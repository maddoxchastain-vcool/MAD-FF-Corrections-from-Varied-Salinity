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onnections.xml" ContentType="application/vnd.openxmlformats-officedocument.spreadsheetml.connection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MAD" sheetId="1" state="visible" r:id="rId3"/>
    <sheet name="STD" sheetId="2" state="visible" r:id="rId4"/>
    <sheet name="Depth vlookup" sheetId="3" state="visible" r:id="rId5"/>
    <sheet name="Beakers" sheetId="4" state="visible" r:id="rId6"/>
    <sheet name="Sample List" sheetId="5" state="visible" r:id="rId7"/>
    <sheet name="PRINT" sheetId="6" state="visible" r:id="rId8"/>
    <sheet name="Plots" sheetId="7" state="visible" r:id="rId9"/>
  </sheets>
  <externalReferences>
    <externalReference r:id="rId10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0" name="Abfrage - CoreSection_ELB" description="Verbindung mit der Abfrage 'CoreSection_ELB' in der Arbeitsmappe." type="5" reconnectionMethod="1" refreshedVersion="7" minRefreshableVersion="0" savePassword="0" new="0" deleted="0" onlyUseConnectionFile="0" background="1" refreshOnLoad="0" saveData="1">
    <dbPr connection="Provider=Microsoft.Mashup.OleDb.1;Data Source=$Workbook$;Location=CoreSection_ELB;Extended Properties=&quot;&quot;" command="SELECT * FROM [CoreSection_ELB]"/>
  </connection>
</connections>
</file>

<file path=xl/sharedStrings.xml><?xml version="1.0" encoding="utf-8"?>
<sst xmlns="http://schemas.openxmlformats.org/spreadsheetml/2006/main" count="7738" uniqueCount="423">
  <si>
    <t xml:space="preserve">Exp</t>
  </si>
  <si>
    <t xml:space="preserve">Site</t>
  </si>
  <si>
    <t xml:space="preserve">Hole</t>
  </si>
  <si>
    <t xml:space="preserve">Core</t>
  </si>
  <si>
    <t xml:space="preserve">Type</t>
  </si>
  <si>
    <t xml:space="preserve">Section</t>
  </si>
  <si>
    <t xml:space="preserve">Sample Top, cm</t>
  </si>
  <si>
    <t xml:space="preserve">Sample Bottom, cm</t>
  </si>
  <si>
    <t xml:space="preserve">Combined id</t>
  </si>
  <si>
    <t xml:space="preserve">Sample Label</t>
  </si>
  <si>
    <t xml:space="preserve">Sample Top Depth, mbsf</t>
  </si>
  <si>
    <t xml:space="preserve">Sample Bot Depth, mbsf</t>
  </si>
  <si>
    <t xml:space="preserve">Beaker Number</t>
  </si>
  <si>
    <t xml:space="preserve">Beaker Weight,         g</t>
  </si>
  <si>
    <r>
      <rPr>
        <b val="true"/>
        <sz val="9"/>
        <color theme="1"/>
        <rFont val="Calibri"/>
        <family val="2"/>
        <charset val="1"/>
      </rPr>
      <t xml:space="preserve">WET</t>
    </r>
    <r>
      <rPr>
        <sz val="9"/>
        <color theme="1"/>
        <rFont val="Calibri"/>
        <family val="2"/>
        <charset val="1"/>
      </rPr>
      <t xml:space="preserve"> Weight (Sample + Beaker), g </t>
    </r>
  </si>
  <si>
    <r>
      <rPr>
        <sz val="9"/>
        <color theme="1"/>
        <rFont val="Calibri"/>
        <family val="2"/>
        <charset val="1"/>
      </rPr>
      <t xml:space="preserve">OVEN             Date/Time                    </t>
    </r>
    <r>
      <rPr>
        <b val="true"/>
        <sz val="9"/>
        <color theme="1"/>
        <rFont val="Calibri"/>
        <family val="2"/>
        <charset val="1"/>
      </rPr>
      <t xml:space="preserve">IN</t>
    </r>
  </si>
  <si>
    <r>
      <rPr>
        <b val="true"/>
        <sz val="9"/>
        <color theme="1"/>
        <rFont val="Calibri"/>
        <family val="2"/>
        <charset val="1"/>
      </rPr>
      <t xml:space="preserve">DRY</t>
    </r>
    <r>
      <rPr>
        <sz val="9"/>
        <color theme="1"/>
        <rFont val="Calibri"/>
        <family val="2"/>
        <charset val="1"/>
      </rPr>
      <t xml:space="preserve"> Weight (Sample + Beaker), g</t>
    </r>
  </si>
  <si>
    <t xml:space="preserve">Scientist</t>
  </si>
  <si>
    <t xml:space="preserve">Pycnometer Cell</t>
  </si>
  <si>
    <t xml:space="preserve">DRY Volume, cc</t>
  </si>
  <si>
    <t xml:space="preserve">WEIGHT   WET Sample, g</t>
  </si>
  <si>
    <t xml:space="preserve">WEIGHT     DRY Sample,  g</t>
  </si>
  <si>
    <t xml:space="preserve">WEIGHT Pore Water, g</t>
  </si>
  <si>
    <t xml:space="preserve">WEIGHT Salt,                g</t>
  </si>
  <si>
    <t xml:space="preserve">WEIGHT Grains,               g </t>
  </si>
  <si>
    <t xml:space="preserve">VOLUME Pore Water, cc</t>
  </si>
  <si>
    <t xml:space="preserve">VOLUME Salt,                           cc</t>
  </si>
  <si>
    <t xml:space="preserve">VOLUME   Dry Sample, cc</t>
  </si>
  <si>
    <t xml:space="preserve">VOLUME   Wet Sample, cc</t>
  </si>
  <si>
    <t xml:space="preserve">VOLUME        Grains,          cc</t>
  </si>
  <si>
    <t xml:space="preserve">Water Content,   (wet) v/v</t>
  </si>
  <si>
    <t xml:space="preserve">Water Content (dry), v/v</t>
  </si>
  <si>
    <t xml:space="preserve">Bulk Density, g/cc</t>
  </si>
  <si>
    <t xml:space="preserve">Dry Density, g/cc</t>
  </si>
  <si>
    <t xml:space="preserve">Grain Density, g/cc</t>
  </si>
  <si>
    <t xml:space="preserve">Porosity,   v/v</t>
  </si>
  <si>
    <t xml:space="preserve">Void Ratio, v/v</t>
  </si>
  <si>
    <t xml:space="preserve">Lithology</t>
  </si>
  <si>
    <t xml:space="preserve">M0111</t>
  </si>
  <si>
    <t xml:space="preserve">B</t>
  </si>
  <si>
    <t xml:space="preserve">H</t>
  </si>
  <si>
    <t xml:space="preserve">MS</t>
  </si>
  <si>
    <t xml:space="preserve">sand</t>
  </si>
  <si>
    <t xml:space="preserve">TS</t>
  </si>
  <si>
    <t xml:space="preserve">R</t>
  </si>
  <si>
    <t xml:space="preserve">clay</t>
  </si>
  <si>
    <t xml:space="preserve">cemennted</t>
  </si>
  <si>
    <t xml:space="preserve">Run Number</t>
  </si>
  <si>
    <t xml:space="preserve">Pyc Cell</t>
  </si>
  <si>
    <t xml:space="preserve">Volume of Std</t>
  </si>
  <si>
    <t xml:space="preserve">Offset</t>
  </si>
  <si>
    <t xml:space="preserve">date and time</t>
  </si>
  <si>
    <t xml:space="preserve">Comments</t>
  </si>
  <si>
    <t xml:space="preserve">17.01.2026</t>
  </si>
  <si>
    <t xml:space="preserve">19.01.2026</t>
  </si>
  <si>
    <t xml:space="preserve">19.01.2025</t>
  </si>
  <si>
    <t xml:space="preserve">Calibration Cell</t>
  </si>
  <si>
    <t xml:space="preserve">Cell 4 was recalibrated</t>
  </si>
  <si>
    <t xml:space="preserve">Unstable Pressure</t>
  </si>
  <si>
    <t xml:space="preserve">Cell 4 not to be used - use 3 samples and 1 std</t>
  </si>
  <si>
    <t xml:space="preserve">Recalibration of all cells</t>
  </si>
  <si>
    <t xml:space="preserve">From 19:17 on 19.01 - the threshold for standard and recalibration is &gt;0.04</t>
  </si>
  <si>
    <t xml:space="preserve">Recalibration of Cells</t>
  </si>
  <si>
    <t xml:space="preserve">Cell 1</t>
  </si>
  <si>
    <t xml:space="preserve">20.01.2026</t>
  </si>
  <si>
    <t xml:space="preserve">Cell 2</t>
  </si>
  <si>
    <t xml:space="preserve">Cell 1 was recalibrated</t>
  </si>
  <si>
    <t xml:space="preserve">Cell 3</t>
  </si>
  <si>
    <t xml:space="preserve">Cell 5</t>
  </si>
  <si>
    <t xml:space="preserve">Calibration after Stefan repaired Cell 4 (maybe gasket), </t>
  </si>
  <si>
    <t xml:space="preserve">Cell1 check</t>
  </si>
  <si>
    <t xml:space="preserve"> </t>
  </si>
  <si>
    <t xml:space="preserve">Cell4 check</t>
  </si>
  <si>
    <t xml:space="preserve">Cell4</t>
  </si>
  <si>
    <t xml:space="preserve">21.01.2027</t>
  </si>
  <si>
    <t xml:space="preserve">22.01.2026</t>
  </si>
  <si>
    <t xml:space="preserve">23.01.2026</t>
  </si>
  <si>
    <t xml:space="preserve">24.01.2026</t>
  </si>
  <si>
    <t xml:space="preserve">26.01.2026</t>
  </si>
  <si>
    <t xml:space="preserve">26.04.2026</t>
  </si>
  <si>
    <t xml:space="preserve">Expedition</t>
  </si>
  <si>
    <t xml:space="preserve">Core </t>
  </si>
  <si>
    <t xml:space="preserve">Combined</t>
  </si>
  <si>
    <t xml:space="preserve">top_depth</t>
  </si>
  <si>
    <t xml:space="preserve">bottom_depth</t>
  </si>
  <si>
    <t xml:space="preserve">A</t>
  </si>
  <si>
    <t xml:space="preserve">X</t>
  </si>
  <si>
    <t xml:space="preserve">C</t>
  </si>
  <si>
    <t xml:space="preserve">O</t>
  </si>
  <si>
    <t xml:space="preserve">M0112</t>
  </si>
  <si>
    <t xml:space="preserve">M0113</t>
  </si>
  <si>
    <t xml:space="preserve">Number</t>
  </si>
  <si>
    <t xml:space="preserve">Weight, g</t>
  </si>
  <si>
    <t xml:space="preserve">Volume, cc</t>
  </si>
  <si>
    <t xml:space="preserve">Need editing with values for X501</t>
  </si>
  <si>
    <t xml:space="preserve">Site </t>
  </si>
  <si>
    <t xml:space="preserve">Half</t>
  </si>
  <si>
    <t xml:space="preserve">Top Interval </t>
  </si>
  <si>
    <t xml:space="preserve">Bot Interval</t>
  </si>
  <si>
    <t xml:space="preserve">Curators Top Depth (mbsf)</t>
  </si>
  <si>
    <t xml:space="preserve">Curators Bot Depth (mbsf)</t>
  </si>
  <si>
    <t xml:space="preserve">Lithology Comments</t>
  </si>
  <si>
    <t xml:space="preserve">Suggested depth flexibility</t>
  </si>
  <si>
    <t xml:space="preserve">Res (m)</t>
  </si>
  <si>
    <t xml:space="preserve">W</t>
  </si>
  <si>
    <t xml:space="preserve">sand with shells</t>
  </si>
  <si>
    <t xml:space="preserve">± 10 cm</t>
  </si>
  <si>
    <t xml:space="preserve">n/a</t>
  </si>
  <si>
    <t xml:space="preserve">shells in sand</t>
  </si>
  <si>
    <t xml:space="preserve">Sand</t>
  </si>
  <si>
    <t xml:space="preserve">slushy sand</t>
  </si>
  <si>
    <t xml:space="preserve">± 5 cm</t>
  </si>
  <si>
    <t xml:space="preserve">very fine slushy sand</t>
  </si>
  <si>
    <t xml:space="preserve">Light grey mix of medium coarse to fine sand</t>
  </si>
  <si>
    <t xml:space="preserve">light grey coarse sand</t>
  </si>
  <si>
    <t xml:space="preserve">light grey medium coarse sand</t>
  </si>
  <si>
    <t xml:space="preserve">Coarse to medium corase sand</t>
  </si>
  <si>
    <t xml:space="preserve">medium coarse sand</t>
  </si>
  <si>
    <t xml:space="preserve">Coarse to medium coarse sand,</t>
  </si>
  <si>
    <t xml:space="preserve">very fine dark grey sand</t>
  </si>
  <si>
    <t xml:space="preserve">very fine sand</t>
  </si>
  <si>
    <t xml:space="preserve">fine grain dark gray sand</t>
  </si>
  <si>
    <t xml:space="preserve">fine grain dark sand</t>
  </si>
  <si>
    <t xml:space="preserve">medium to fine dark grey sand</t>
  </si>
  <si>
    <t xml:space="preserve">lightish gray medium grain sand</t>
  </si>
  <si>
    <t xml:space="preserve">soupy dark-ish gray sand</t>
  </si>
  <si>
    <t xml:space="preserve">medium coarse light grey sand</t>
  </si>
  <si>
    <t xml:space="preserve">dark grey coarse to medium coarse sand</t>
  </si>
  <si>
    <t xml:space="preserve">light grey medium coarse sand </t>
  </si>
  <si>
    <t xml:space="preserve">medium grain dark sand with shells inside</t>
  </si>
  <si>
    <t xml:space="preserve">coarse sand with shells</t>
  </si>
  <si>
    <t xml:space="preserve">sand and clay mix, silty clay, grey</t>
  </si>
  <si>
    <t xml:space="preserve">silty clay</t>
  </si>
  <si>
    <t xml:space="preserve">silty mud</t>
  </si>
  <si>
    <t xml:space="preserve">silty mud?</t>
  </si>
  <si>
    <t xml:space="preserve">sand glauconitic</t>
  </si>
  <si>
    <t xml:space="preserve">coarse sand</t>
  </si>
  <si>
    <t xml:space="preserve">dark grey mud</t>
  </si>
  <si>
    <t xml:space="preserve">light grey mud</t>
  </si>
  <si>
    <t xml:space="preserve">light grey mud </t>
  </si>
  <si>
    <t xml:space="preserve">mud-silt?</t>
  </si>
  <si>
    <t xml:space="preserve">mud</t>
  </si>
  <si>
    <t xml:space="preserve">grey mud, disturbed</t>
  </si>
  <si>
    <t xml:space="preserve">mud </t>
  </si>
  <si>
    <t xml:space="preserve">grey mud</t>
  </si>
  <si>
    <t xml:space="preserve">sand mixed with clay</t>
  </si>
  <si>
    <t xml:space="preserve">semi lithified sand and clay</t>
  </si>
  <si>
    <t xml:space="preserve">compacted sand and clay</t>
  </si>
  <si>
    <t xml:space="preserve">compacted sand after 35</t>
  </si>
  <si>
    <t xml:space="preserve">dark gray fine grain sand</t>
  </si>
  <si>
    <t xml:space="preserve">dark gray sand</t>
  </si>
  <si>
    <t xml:space="preserve">coarse sandy mud</t>
  </si>
  <si>
    <t xml:space="preserve">dark gray fine grain sand- clay</t>
  </si>
  <si>
    <t xml:space="preserve">dark clay</t>
  </si>
  <si>
    <t xml:space="preserve">dark grey clay</t>
  </si>
  <si>
    <t xml:space="preserve">dark gray mud</t>
  </si>
  <si>
    <t xml:space="preserve">dark gray-green mud</t>
  </si>
  <si>
    <t xml:space="preserve">dark grey competant mud</t>
  </si>
  <si>
    <t xml:space="preserve">dark grey sand</t>
  </si>
  <si>
    <t xml:space="preserve">grey sand</t>
  </si>
  <si>
    <t xml:space="preserve">dark sandy clay</t>
  </si>
  <si>
    <t xml:space="preserve">brown sand</t>
  </si>
  <si>
    <t xml:space="preserve">grey clay</t>
  </si>
  <si>
    <t xml:space="preserve">sand/clay mixture</t>
  </si>
  <si>
    <t xml:space="preserve">stiff mud</t>
  </si>
  <si>
    <t xml:space="preserve">competant light grey mud</t>
  </si>
  <si>
    <t xml:space="preserve">slushy mud and sand mixed</t>
  </si>
  <si>
    <t xml:space="preserve">grey sand and mud</t>
  </si>
  <si>
    <t xml:space="preserve">light grey slushy mud and sand mix</t>
  </si>
  <si>
    <t xml:space="preserve">light grey mud with sand</t>
  </si>
  <si>
    <t xml:space="preserve">semi lithified sand and mud</t>
  </si>
  <si>
    <t xml:space="preserve">light grey clay</t>
  </si>
  <si>
    <t xml:space="preserve">redish clay</t>
  </si>
  <si>
    <t xml:space="preserve">light coloured sand</t>
  </si>
  <si>
    <t xml:space="preserve">sand and mud mix</t>
  </si>
  <si>
    <t xml:space="preserve">light grey fine grain sand</t>
  </si>
  <si>
    <t xml:space="preserve">grey sand, unconsolidated</t>
  </si>
  <si>
    <t xml:space="preserve">lightgray clay</t>
  </si>
  <si>
    <t xml:space="preserve">red clay</t>
  </si>
  <si>
    <t xml:space="preserve">sandy</t>
  </si>
  <si>
    <t xml:space="preserve">Dark sands with some light colored sand</t>
  </si>
  <si>
    <t xml:space="preserve">Sandy</t>
  </si>
  <si>
    <t xml:space="preserve">likegray clay</t>
  </si>
  <si>
    <t xml:space="preserve">clay column with coarse sand</t>
  </si>
  <si>
    <t xml:space="preserve">grey competant clay</t>
  </si>
  <si>
    <t xml:space="preserve">light grey competant mud</t>
  </si>
  <si>
    <t xml:space="preserve">slushy sand and clay mix</t>
  </si>
  <si>
    <t xml:space="preserve">Light grey clay and sand mix</t>
  </si>
  <si>
    <t xml:space="preserve">semi lithified sand</t>
  </si>
  <si>
    <t xml:space="preserve">very fine grain sand (slushy mix)</t>
  </si>
  <si>
    <t xml:space="preserve">very fine grain slushy sand mix</t>
  </si>
  <si>
    <t xml:space="preserve">very fine garin sand (slushy mix)</t>
  </si>
  <si>
    <t xml:space="preserve">fine grain sand</t>
  </si>
  <si>
    <t xml:space="preserve">fine grain grey sand.</t>
  </si>
  <si>
    <t xml:space="preserve">dark sand and mud</t>
  </si>
  <si>
    <t xml:space="preserve">fine grain slushy sand</t>
  </si>
  <si>
    <t xml:space="preserve">slushy lightgrey sand</t>
  </si>
  <si>
    <t xml:space="preserve">slushy light grey sand</t>
  </si>
  <si>
    <t xml:space="preserve">light grey clay (orange staining)</t>
  </si>
  <si>
    <t xml:space="preserve">bright orange clay</t>
  </si>
  <si>
    <t xml:space="preserve">semi lithified sands/clay mix</t>
  </si>
  <si>
    <t xml:space="preserve">semi lithified sands</t>
  </si>
  <si>
    <t xml:space="preserve">-10 cm </t>
  </si>
  <si>
    <t xml:space="preserve">semi lithified sand and some clay</t>
  </si>
  <si>
    <t xml:space="preserve">coarse and fine combined sand</t>
  </si>
  <si>
    <t xml:space="preserve">light orange sandy clay</t>
  </si>
  <si>
    <t xml:space="preserve">dark grey green clay</t>
  </si>
  <si>
    <t xml:space="preserve">Dark grey geen clay</t>
  </si>
  <si>
    <t xml:space="preserve">Dark colored mud</t>
  </si>
  <si>
    <t xml:space="preserve">Dark coloured mud</t>
  </si>
  <si>
    <t xml:space="preserve">Sandy mud, disturbed</t>
  </si>
  <si>
    <t xml:space="preserve">dark grey intact clay</t>
  </si>
  <si>
    <t xml:space="preserve">dark  sandy mud</t>
  </si>
  <si>
    <t xml:space="preserve">dark coloured mud</t>
  </si>
  <si>
    <t xml:space="preserve">dark sandy mud</t>
  </si>
  <si>
    <t xml:space="preserve">dark coloured sand</t>
  </si>
  <si>
    <t xml:space="preserve">watery fine grain sand</t>
  </si>
  <si>
    <t xml:space="preserve">Slushy dark grey sand</t>
  </si>
  <si>
    <t xml:space="preserve">Dark grey coarse grain sand</t>
  </si>
  <si>
    <t xml:space="preserve">Dark grey clay</t>
  </si>
  <si>
    <t xml:space="preserve">dark green clay</t>
  </si>
  <si>
    <t xml:space="preserve">dark greenish mud and sands interbedded</t>
  </si>
  <si>
    <t xml:space="preserve">Dark coloured mud and sand</t>
  </si>
  <si>
    <t xml:space="preserve">black sandy material </t>
  </si>
  <si>
    <t xml:space="preserve">dark coloured mud.</t>
  </si>
  <si>
    <t xml:space="preserve">light grey sand </t>
  </si>
  <si>
    <t xml:space="preserve"> light grey sand and clay</t>
  </si>
  <si>
    <t xml:space="preserve">very fine grain light grey sand with some clay</t>
  </si>
  <si>
    <t xml:space="preserve">Light grey sand  </t>
  </si>
  <si>
    <t xml:space="preserve">Light grey coarse sand</t>
  </si>
  <si>
    <t xml:space="preserve">dark sand into lighter sand, disturbed</t>
  </si>
  <si>
    <t xml:space="preserve">Light grey clay</t>
  </si>
  <si>
    <t xml:space="preserve">Grey silty mud</t>
  </si>
  <si>
    <t xml:space="preserve">Greenish sand</t>
  </si>
  <si>
    <t xml:space="preserve">Fine grain sandy mud </t>
  </si>
  <si>
    <t xml:space="preserve">Fine grain sand</t>
  </si>
  <si>
    <t xml:space="preserve">fine grain sandy mud</t>
  </si>
  <si>
    <t xml:space="preserve">fine grain sand, very watery</t>
  </si>
  <si>
    <t xml:space="preserve">Fine grain sand, watery</t>
  </si>
  <si>
    <t xml:space="preserve">very fine grain sandy mud</t>
  </si>
  <si>
    <t xml:space="preserve">sandy mud</t>
  </si>
  <si>
    <t xml:space="preserve">Mud </t>
  </si>
  <si>
    <t xml:space="preserve">Fine grain sand.</t>
  </si>
  <si>
    <t xml:space="preserve">coarse to medium grain sand</t>
  </si>
  <si>
    <t xml:space="preserve">coarse to medium grain light grey sand</t>
  </si>
  <si>
    <t xml:space="preserve">medium to fine grain loose sand</t>
  </si>
  <si>
    <t xml:space="preserve">light grey clay and fine sand mixture</t>
  </si>
  <si>
    <t xml:space="preserve">Grey watery loose sand</t>
  </si>
  <si>
    <t xml:space="preserve">dark colored sand suspended in fluid</t>
  </si>
  <si>
    <t xml:space="preserve">Very dark watery coarse sand.</t>
  </si>
  <si>
    <t xml:space="preserve">dark colored sand</t>
  </si>
  <si>
    <t xml:space="preserve">Mud</t>
  </si>
  <si>
    <t xml:space="preserve">Mud, disturbed.</t>
  </si>
  <si>
    <t xml:space="preserve">Dense mud</t>
  </si>
  <si>
    <t xml:space="preserve">Mud.</t>
  </si>
  <si>
    <t xml:space="preserve">Mud. Disturbed</t>
  </si>
  <si>
    <t xml:space="preserve">Watery mud.</t>
  </si>
  <si>
    <t xml:space="preserve">Compact mud</t>
  </si>
  <si>
    <t xml:space="preserve">Mud, disturbance at top</t>
  </si>
  <si>
    <t xml:space="preserve">Muddy sediment. Somewhat competent.</t>
  </si>
  <si>
    <t xml:space="preserve">Muddy sediment, watery</t>
  </si>
  <si>
    <t xml:space="preserve">Muddy sediment</t>
  </si>
  <si>
    <t xml:space="preserve">Sandy mud.</t>
  </si>
  <si>
    <t xml:space="preserve">Coarse grain sand.</t>
  </si>
  <si>
    <t xml:space="preserve">± 4 cm</t>
  </si>
  <si>
    <t xml:space="preserve">Competent sandy material</t>
  </si>
  <si>
    <t xml:space="preserve">Granular material, disturbed</t>
  </si>
  <si>
    <t xml:space="preserve">Coarse-grained sediment</t>
  </si>
  <si>
    <t xml:space="preserve">Coarse-grained unconsolidated sediment</t>
  </si>
  <si>
    <t xml:space="preserve">Coarse-grained sludge</t>
  </si>
  <si>
    <t xml:space="preserve">Coarse unconsolidated sand</t>
  </si>
  <si>
    <t xml:space="preserve">Coarse unconsolidated sand. </t>
  </si>
  <si>
    <t xml:space="preserve">Unconsolided sand</t>
  </si>
  <si>
    <t xml:space="preserve">Unconsolidated sand</t>
  </si>
  <si>
    <t xml:space="preserve">dense clay</t>
  </si>
  <si>
    <t xml:space="preserve">Muddy clay</t>
  </si>
  <si>
    <t xml:space="preserve">dark coloured fine grain sand</t>
  </si>
  <si>
    <t xml:space="preserve">Dark coloured fine grain sand.</t>
  </si>
  <si>
    <t xml:space="preserve">Dark fine grained sand suspension</t>
  </si>
  <si>
    <t xml:space="preserve">Dark fine grained sand</t>
  </si>
  <si>
    <t xml:space="preserve">Dark fine-grained material</t>
  </si>
  <si>
    <t xml:space="preserve">Mudstone, disturbed top</t>
  </si>
  <si>
    <t xml:space="preserve">Mud/mudstone &gt; significant disturbance</t>
  </si>
  <si>
    <t xml:space="preserve">Coarse grain sand</t>
  </si>
  <si>
    <t xml:space="preserve">Greylish brown with clay</t>
  </si>
  <si>
    <t xml:space="preserve">Light grey coarse sand.</t>
  </si>
  <si>
    <t xml:space="preserve">Light grey sand</t>
  </si>
  <si>
    <t xml:space="preserve">Light grey fine grain sand mixed with clay.</t>
  </si>
  <si>
    <t xml:space="preserve">Beige sand - slushy</t>
  </si>
  <si>
    <t xml:space="preserve">Grey sand - slushy</t>
  </si>
  <si>
    <t xml:space="preserve">Grey compact mud</t>
  </si>
  <si>
    <t xml:space="preserve">Grey mud mixed with black clay layers</t>
  </si>
  <si>
    <t xml:space="preserve">sand and clay</t>
  </si>
  <si>
    <t xml:space="preserve">Grey muddy material</t>
  </si>
  <si>
    <t xml:space="preserve">Grey mud</t>
  </si>
  <si>
    <t xml:space="preserve">Light grey sandy mud</t>
  </si>
  <si>
    <t xml:space="preserve">Dark mud.</t>
  </si>
  <si>
    <t xml:space="preserve">Gravels and coarse sand</t>
  </si>
  <si>
    <t xml:space="preserve">Light grey sandy mud.</t>
  </si>
  <si>
    <t xml:space="preserve">Grey sand mixed mud.</t>
  </si>
  <si>
    <t xml:space="preserve">Grey sandy mud.</t>
  </si>
  <si>
    <t xml:space="preserve">Light grey dense clay.</t>
  </si>
  <si>
    <t xml:space="preserve">Greyish white clay</t>
  </si>
  <si>
    <t xml:space="preserve">Dense clay</t>
  </si>
  <si>
    <t xml:space="preserve">Grey clay</t>
  </si>
  <si>
    <t xml:space="preserve">Mixture of clay and sand</t>
  </si>
  <si>
    <t xml:space="preserve">Compacted fine-grained clay-ish material</t>
  </si>
  <si>
    <t xml:space="preserve">Compact fine-grained clay</t>
  </si>
  <si>
    <t xml:space="preserve">Muddy</t>
  </si>
  <si>
    <t xml:space="preserve">Grey clay.</t>
  </si>
  <si>
    <t xml:space="preserve">Grey clay with wood</t>
  </si>
  <si>
    <t xml:space="preserve">Grey compact clay.</t>
  </si>
  <si>
    <t xml:space="preserve">Clay</t>
  </si>
  <si>
    <t xml:space="preserve">Sandy clay</t>
  </si>
  <si>
    <t xml:space="preserve">Sandy clay.</t>
  </si>
  <si>
    <t xml:space="preserve">Clay.</t>
  </si>
  <si>
    <t xml:space="preserve">Sand mud.</t>
  </si>
  <si>
    <t xml:space="preserve">Unconsolidated sand slushy</t>
  </si>
  <si>
    <t xml:space="preserve">Unconsolidate sand slushy</t>
  </si>
  <si>
    <t xml:space="preserve">grey sandy/mud</t>
  </si>
  <si>
    <t xml:space="preserve">Compacted mud</t>
  </si>
  <si>
    <t xml:space="preserve">Sand slushy</t>
  </si>
  <si>
    <t xml:space="preserve">Light grey sand.</t>
  </si>
  <si>
    <t xml:space="preserve">Light grey, fine grain sand.</t>
  </si>
  <si>
    <t xml:space="preserve">± 2 cm</t>
  </si>
  <si>
    <t xml:space="preserve">-4 cm</t>
  </si>
  <si>
    <t xml:space="preserve">Grey clay. Mixed with some red material </t>
  </si>
  <si>
    <t xml:space="preserve">Sandy clay, disturbed</t>
  </si>
  <si>
    <t xml:space="preserve">Red clay</t>
  </si>
  <si>
    <t xml:space="preserve">red to grey clay and sand</t>
  </si>
  <si>
    <t xml:space="preserve">Grains in light pink clay matrix</t>
  </si>
  <si>
    <t xml:space="preserve">Grains in red clay matrix</t>
  </si>
  <si>
    <t xml:space="preserve">Pink sand sludge</t>
  </si>
  <si>
    <t xml:space="preserve">Sand embedded in red clay</t>
  </si>
  <si>
    <t xml:space="preserve">Grey-ish sand</t>
  </si>
  <si>
    <t xml:space="preserve">Brown-red clay</t>
  </si>
  <si>
    <t xml:space="preserve">Dark yellow to brown coloured clay.</t>
  </si>
  <si>
    <t xml:space="preserve">Compact clay. </t>
  </si>
  <si>
    <t xml:space="preserve">Clay and foamy water</t>
  </si>
  <si>
    <t xml:space="preserve">granular material</t>
  </si>
  <si>
    <t xml:space="preserve">sandy, disturbed</t>
  </si>
  <si>
    <t xml:space="preserve">gradually finer sand</t>
  </si>
  <si>
    <t xml:space="preserve">gravel to sand to mud</t>
  </si>
  <si>
    <t xml:space="preserve">Dark coarse sand with shell fragments</t>
  </si>
  <si>
    <t xml:space="preserve">Coarse sand</t>
  </si>
  <si>
    <t xml:space="preserve">- 10 cm</t>
  </si>
  <si>
    <t xml:space="preserve">Sand with gravel.</t>
  </si>
  <si>
    <t xml:space="preserve">- 5 cm</t>
  </si>
  <si>
    <t xml:space="preserve">Muddy sand.</t>
  </si>
  <si>
    <t xml:space="preserve">Reddish brown mud</t>
  </si>
  <si>
    <t xml:space="preserve">Light-grey mud</t>
  </si>
  <si>
    <t xml:space="preserve">red-grey mud</t>
  </si>
  <si>
    <t xml:space="preserve">Sandy rubble</t>
  </si>
  <si>
    <t xml:space="preserve">Red sand</t>
  </si>
  <si>
    <t xml:space="preserve">Red and grey sand</t>
  </si>
  <si>
    <t xml:space="preserve">Gray fine sand</t>
  </si>
  <si>
    <t xml:space="preserve">Light gray sand</t>
  </si>
  <si>
    <t xml:space="preserve">Coarse grey sand</t>
  </si>
  <si>
    <t xml:space="preserve">Medium grey sand</t>
  </si>
  <si>
    <t xml:space="preserve">Grey fine sand</t>
  </si>
  <si>
    <t xml:space="preserve">silty mud with shell fragments</t>
  </si>
  <si>
    <t xml:space="preserve">Grey silt</t>
  </si>
  <si>
    <t xml:space="preserve">Grey silt and mud</t>
  </si>
  <si>
    <t xml:space="preserve">Grey silt and mud </t>
  </si>
  <si>
    <t xml:space="preserve">Grey sand and silt</t>
  </si>
  <si>
    <t xml:space="preserve">Grey sand</t>
  </si>
  <si>
    <t xml:space="preserve">Grey coarse sand</t>
  </si>
  <si>
    <t xml:space="preserve">Gray sand with shells</t>
  </si>
  <si>
    <t xml:space="preserve">Gray clay</t>
  </si>
  <si>
    <t xml:space="preserve">Gray sand</t>
  </si>
  <si>
    <t xml:space="preserve">Gray Clay</t>
  </si>
  <si>
    <t xml:space="preserve">Silty clay</t>
  </si>
  <si>
    <t xml:space="preserve">green-grey silt</t>
  </si>
  <si>
    <t xml:space="preserve">black-speckled greenish-grey sand</t>
  </si>
  <si>
    <t xml:space="preserve">coarse-grained sand with shell fragments</t>
  </si>
  <si>
    <t xml:space="preserve">Grey silt-clay</t>
  </si>
  <si>
    <t xml:space="preserve">Grey sand and clay</t>
  </si>
  <si>
    <t xml:space="preserve">no lithology</t>
  </si>
  <si>
    <t xml:space="preserve">Loose sand with granite</t>
  </si>
  <si>
    <t xml:space="preserve">Sand- Clay</t>
  </si>
  <si>
    <t xml:space="preserve">Grey silt, clay</t>
  </si>
  <si>
    <t xml:space="preserve">Grey sand-silt-mud mix, rock on bottom</t>
  </si>
  <si>
    <t xml:space="preserve">Grey sand-silt-mud mix</t>
  </si>
  <si>
    <t xml:space="preserve">Compact clay</t>
  </si>
  <si>
    <t xml:space="preserve">Silty mud</t>
  </si>
  <si>
    <t xml:space="preserve">Sandy clay, more compact</t>
  </si>
  <si>
    <t xml:space="preserve">Fine sand-silt-clay mixture</t>
  </si>
  <si>
    <t xml:space="preserve">Sandy mud</t>
  </si>
  <si>
    <t xml:space="preserve">Dark silty mud</t>
  </si>
  <si>
    <t xml:space="preserve">Light green sand, cohesive</t>
  </si>
  <si>
    <t xml:space="preserve">Green sand</t>
  </si>
  <si>
    <t xml:space="preserve">Dark green cohesive sand</t>
  </si>
  <si>
    <t xml:space="preserve">Brown sand</t>
  </si>
  <si>
    <t xml:space="preserve">Brown, coarse-grained sand</t>
  </si>
  <si>
    <t xml:space="preserve">Brown, coarse-grained sand sludge</t>
  </si>
  <si>
    <t xml:space="preserve">Grey fine grain sand</t>
  </si>
  <si>
    <t xml:space="preserve">Dark brown silty sand</t>
  </si>
  <si>
    <t xml:space="preserve">Grey silty sand</t>
  </si>
  <si>
    <t xml:space="preserve">Semi-consolidated sand</t>
  </si>
  <si>
    <t xml:space="preserve">dark dense sand with silver sparkles</t>
  </si>
  <si>
    <t xml:space="preserve">Fine dark gray silty sand</t>
  </si>
  <si>
    <t xml:space="preserve">Dark, dense sand with silver sparkles</t>
  </si>
  <si>
    <t xml:space="preserve">Brown coarse grain sand</t>
  </si>
  <si>
    <t xml:space="preserve">Brown sand followed by grey fine grain sand</t>
  </si>
  <si>
    <t xml:space="preserve">Black silty sand</t>
  </si>
  <si>
    <t xml:space="preserve">Black clay</t>
  </si>
  <si>
    <t xml:space="preserve">Stiff black clay</t>
  </si>
  <si>
    <t xml:space="preserve">black sandy clay</t>
  </si>
  <si>
    <t xml:space="preserve">brown consolidated sandy clay</t>
  </si>
  <si>
    <t xml:space="preserve">MOISTURE and DENSITY (MAD)</t>
  </si>
  <si>
    <t xml:space="preserve">Sample Base, cm</t>
  </si>
  <si>
    <t xml:space="preserve">WET WEIGHT (Sample + Beaker), g </t>
  </si>
  <si>
    <t xml:space="preserve">IN OVEN (date/time)</t>
  </si>
  <si>
    <t xml:space="preserve">OUT OF OVEN                      (date/time)</t>
  </si>
  <si>
    <t xml:space="preserve">IN DSCTR (time/date)</t>
  </si>
  <si>
    <t xml:space="preserve">OUT OF DSCTR (time/date)</t>
  </si>
  <si>
    <t xml:space="preserve">DRY WEIGHT (Sample + Beaker), g</t>
  </si>
  <si>
    <t xml:space="preserve">PYCNOMTR (date/time)</t>
  </si>
  <si>
    <t xml:space="preserve">P Cell</t>
  </si>
  <si>
    <t xml:space="preserve">DRY VOLUME (Sample + Beaker), cc</t>
  </si>
  <si>
    <t xml:space="preserve">mbsf</t>
  </si>
  <si>
    <t xml:space="preserve">porosity</t>
  </si>
  <si>
    <t xml:space="preserve">mbsf (top)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</si>
</sst>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/d/yyyy\ h:mm"/>
    <numFmt numFmtId="166" formatCode="0.00"/>
    <numFmt numFmtId="167" formatCode="0.0000"/>
    <numFmt numFmtId="168" formatCode="0.0"/>
    <numFmt numFmtId="169" formatCode="0.000"/>
    <numFmt numFmtId="170" formatCode="h:mm"/>
    <numFmt numFmtId="171" formatCode="d\-mmm\-yy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6"/>
      <name val="Calibri"/>
      <family val="2"/>
      <charset val="1"/>
    </font>
    <font>
      <sz val="10"/>
      <color theme="1"/>
      <name val="Calibri"/>
      <family val="2"/>
      <charset val="1"/>
    </font>
    <font>
      <sz val="13"/>
      <color theme="1"/>
      <name val="Calibri"/>
      <family val="2"/>
      <charset val="1"/>
    </font>
    <font>
      <sz val="11"/>
      <color theme="7" tint="-0.25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9" tint="0.7999"/>
        <bgColor rgb="FFE7E6E6"/>
      </patternFill>
    </fill>
    <fill>
      <patternFill patternType="solid">
        <fgColor theme="0" tint="-0.05"/>
        <bgColor rgb="FFEDEDED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7999"/>
        <bgColor rgb="FFFFF2CC"/>
      </patternFill>
    </fill>
    <fill>
      <patternFill patternType="solid">
        <fgColor theme="7" tint="0.7999"/>
        <bgColor rgb="FFFBE5D6"/>
      </patternFill>
    </fill>
    <fill>
      <patternFill patternType="solid">
        <fgColor theme="8" tint="0.7999"/>
        <bgColor rgb="FFE7E6E6"/>
      </patternFill>
    </fill>
    <fill>
      <patternFill patternType="solid">
        <fgColor theme="3" tint="0.799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5" tint="0.5999"/>
        <bgColor rgb="FFFBE5D6"/>
      </patternFill>
    </fill>
    <fill>
      <patternFill patternType="solid">
        <fgColor theme="2"/>
        <bgColor rgb="FFEDEDED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9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9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theme="5" tint="0.3999"/>
        </patternFill>
      </fill>
    </dxf>
    <dxf>
      <fill>
        <patternFill>
          <bgColor theme="5" tint="0.3999"/>
        </patternFill>
      </fill>
    </dxf>
    <dxf>
      <fill>
        <patternFill>
          <bgColor theme="5" tint="0.3999"/>
        </patternFill>
      </fill>
    </dxf>
    <dxf>
      <fill>
        <patternFill>
          <bgColor theme="5" tint="0.3999"/>
        </patternFill>
      </fill>
    </dxf>
    <dxf>
      <fill>
        <patternFill>
          <bgColor theme="5" tint="0.39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F0D9"/>
      <rgbColor rgb="FFFBE5D6"/>
      <rgbColor rgb="FFD9D9D9"/>
      <rgbColor rgb="FFF4B183"/>
      <rgbColor rgb="FFE7E6E6"/>
      <rgbColor rgb="FFF8CBAD"/>
      <rgbColor rgb="FF4472C4"/>
      <rgbColor rgb="FF33CCCC"/>
      <rgbColor rgb="FF99CC00"/>
      <rgbColor rgb="FFFFCC00"/>
      <rgbColor rgb="FFBF90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12" Type="http://schemas.openxmlformats.org/officeDocument/2006/relationships/connections" Target="connections.xml"/><Relationship Id="rId13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Sand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Plots!$F$1</c:f>
              <c:strCache>
                <c:ptCount val="1"/>
                <c:pt idx="0">
                  <c:v>porosity</c:v>
                </c:pt>
              </c:strCache>
            </c:strRef>
          </c:tx>
          <c:spPr>
            <a:solidFill>
              <a:srgbClr val="4472c4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Plots!$F$2:$F$94</c:f>
              <c:numCache>
                <c:formatCode>0.00</c:formatCode>
                <c:ptCount val="93"/>
                <c:pt idx="0">
                  <c:v>0.340861519302008</c:v>
                </c:pt>
                <c:pt idx="1">
                  <c:v>0.397161973750557</c:v>
                </c:pt>
                <c:pt idx="2">
                  <c:v>0.390213151121771</c:v>
                </c:pt>
                <c:pt idx="3">
                  <c:v>0.39333308980938</c:v>
                </c:pt>
                <c:pt idx="4">
                  <c:v>0.370499934829474</c:v>
                </c:pt>
                <c:pt idx="5">
                  <c:v>0.403642095997382</c:v>
                </c:pt>
                <c:pt idx="6">
                  <c:v>0.385007638176828</c:v>
                </c:pt>
                <c:pt idx="7">
                  <c:v>0.392949531211013</c:v>
                </c:pt>
                <c:pt idx="8">
                  <c:v>0.350899570715513</c:v>
                </c:pt>
                <c:pt idx="9">
                  <c:v>0.333458571603797</c:v>
                </c:pt>
                <c:pt idx="10">
                  <c:v>0.352968516270939</c:v>
                </c:pt>
                <c:pt idx="11">
                  <c:v>0.4238544971981</c:v>
                </c:pt>
                <c:pt idx="12">
                  <c:v>0.379542191761527</c:v>
                </c:pt>
                <c:pt idx="13">
                  <c:v>0.348636090291238</c:v>
                </c:pt>
                <c:pt idx="14">
                  <c:v>0.383376325989338</c:v>
                </c:pt>
                <c:pt idx="15">
                  <c:v>0.439561293729967</c:v>
                </c:pt>
                <c:pt idx="16">
                  <c:v>0.357808565072902</c:v>
                </c:pt>
                <c:pt idx="17">
                  <c:v>0.343246458630491</c:v>
                </c:pt>
                <c:pt idx="18">
                  <c:v>0.418100487450175</c:v>
                </c:pt>
                <c:pt idx="19">
                  <c:v>0.441008337631521</c:v>
                </c:pt>
                <c:pt idx="20">
                  <c:v>0.365711604420914</c:v>
                </c:pt>
                <c:pt idx="21">
                  <c:v>0.404531468047261</c:v>
                </c:pt>
                <c:pt idx="22">
                  <c:v>0.387749708267034</c:v>
                </c:pt>
                <c:pt idx="23">
                  <c:v>0.319203029994903</c:v>
                </c:pt>
                <c:pt idx="24">
                  <c:v>0.364324024896013</c:v>
                </c:pt>
                <c:pt idx="25">
                  <c:v>0.333516317744954</c:v>
                </c:pt>
                <c:pt idx="26">
                  <c:v>0.385608566961382</c:v>
                </c:pt>
                <c:pt idx="27">
                  <c:v>0.348912015838346</c:v>
                </c:pt>
                <c:pt idx="28">
                  <c:v>0.241281722899587</c:v>
                </c:pt>
                <c:pt idx="29">
                  <c:v>0.40369403602901</c:v>
                </c:pt>
                <c:pt idx="30">
                  <c:v>0.454278535302891</c:v>
                </c:pt>
                <c:pt idx="31">
                  <c:v>0.395303126354044</c:v>
                </c:pt>
                <c:pt idx="32">
                  <c:v>0.286175423681054</c:v>
                </c:pt>
                <c:pt idx="33">
                  <c:v>0.332061385632537</c:v>
                </c:pt>
                <c:pt idx="34">
                  <c:v>0.404407188148791</c:v>
                </c:pt>
                <c:pt idx="35">
                  <c:v>0.295603999544761</c:v>
                </c:pt>
                <c:pt idx="36">
                  <c:v>0.403066976172316</c:v>
                </c:pt>
                <c:pt idx="37">
                  <c:v>0.373914907829445</c:v>
                </c:pt>
                <c:pt idx="38">
                  <c:v>0.488373590129824</c:v>
                </c:pt>
                <c:pt idx="39">
                  <c:v>0.5627799214171</c:v>
                </c:pt>
                <c:pt idx="40">
                  <c:v>0.567144200725244</c:v>
                </c:pt>
                <c:pt idx="41">
                  <c:v>0.564432186169464</c:v>
                </c:pt>
                <c:pt idx="42">
                  <c:v>0.577897497968463</c:v>
                </c:pt>
                <c:pt idx="43">
                  <c:v>0.409958474391797</c:v>
                </c:pt>
                <c:pt idx="44">
                  <c:v>0.392619958102606</c:v>
                </c:pt>
                <c:pt idx="45">
                  <c:v>0.404293975557986</c:v>
                </c:pt>
                <c:pt idx="46">
                  <c:v>0.413040846463776</c:v>
                </c:pt>
                <c:pt idx="47">
                  <c:v>0.427149950656558</c:v>
                </c:pt>
                <c:pt idx="48">
                  <c:v>0.491453623606309</c:v>
                </c:pt>
                <c:pt idx="49">
                  <c:v>0.495216794557851</c:v>
                </c:pt>
                <c:pt idx="50">
                  <c:v>0.444104811419097</c:v>
                </c:pt>
                <c:pt idx="51">
                  <c:v>0.466725491691538</c:v>
                </c:pt>
                <c:pt idx="52">
                  <c:v>0.503799095005089</c:v>
                </c:pt>
                <c:pt idx="53">
                  <c:v>0.412161256198874</c:v>
                </c:pt>
                <c:pt idx="54">
                  <c:v>0.348405827172943</c:v>
                </c:pt>
                <c:pt idx="55">
                  <c:v>0.495045036119259</c:v>
                </c:pt>
                <c:pt idx="56">
                  <c:v>0.427547938774791</c:v>
                </c:pt>
                <c:pt idx="57">
                  <c:v>0.423441590223084</c:v>
                </c:pt>
                <c:pt idx="58">
                  <c:v>0.331562566409314</c:v>
                </c:pt>
                <c:pt idx="59">
                  <c:v>0.433696413301426</c:v>
                </c:pt>
                <c:pt idx="60">
                  <c:v>0.450977710693272</c:v>
                </c:pt>
                <c:pt idx="61">
                  <c:v>0.473859600620842</c:v>
                </c:pt>
                <c:pt idx="62">
                  <c:v>0.455780117190229</c:v>
                </c:pt>
                <c:pt idx="63">
                  <c:v>0.461610966512829</c:v>
                </c:pt>
                <c:pt idx="64">
                  <c:v>0.423110149146033</c:v>
                </c:pt>
                <c:pt idx="65">
                  <c:v>0.508905541401876</c:v>
                </c:pt>
                <c:pt idx="66">
                  <c:v>0.406062382208773</c:v>
                </c:pt>
                <c:pt idx="67">
                  <c:v>0.373310793668442</c:v>
                </c:pt>
                <c:pt idx="68">
                  <c:v>0.491961384881449</c:v>
                </c:pt>
                <c:pt idx="69">
                  <c:v>0.183427452461079</c:v>
                </c:pt>
                <c:pt idx="70">
                  <c:v>0.326313420312558</c:v>
                </c:pt>
                <c:pt idx="71">
                  <c:v>0.311870831838094</c:v>
                </c:pt>
                <c:pt idx="72">
                  <c:v>0.350256836906022</c:v>
                </c:pt>
                <c:pt idx="73">
                  <c:v>0.242052162544978</c:v>
                </c:pt>
                <c:pt idx="74">
                  <c:v>0.436361254403549</c:v>
                </c:pt>
                <c:pt idx="75">
                  <c:v>0.407541226342458</c:v>
                </c:pt>
                <c:pt idx="76">
                  <c:v>0.419529511840043</c:v>
                </c:pt>
                <c:pt idx="77">
                  <c:v>0.338617621555912</c:v>
                </c:pt>
                <c:pt idx="78">
                  <c:v>0.432420289801492</c:v>
                </c:pt>
                <c:pt idx="79">
                  <c:v>0.501093726739306</c:v>
                </c:pt>
                <c:pt idx="80">
                  <c:v>0.341262290619615</c:v>
                </c:pt>
                <c:pt idx="81">
                  <c:v>0.349963169536396</c:v>
                </c:pt>
                <c:pt idx="82">
                  <c:v>0.395402074948777</c:v>
                </c:pt>
                <c:pt idx="83">
                  <c:v>0.416592622061982</c:v>
                </c:pt>
                <c:pt idx="84">
                  <c:v>0.418763230858824</c:v>
                </c:pt>
                <c:pt idx="85">
                  <c:v>0.309027508672956</c:v>
                </c:pt>
                <c:pt idx="86">
                  <c:v>0.34419563425762</c:v>
                </c:pt>
                <c:pt idx="87">
                  <c:v>0.334913096618673</c:v>
                </c:pt>
                <c:pt idx="88">
                  <c:v>0.30399511623483</c:v>
                </c:pt>
                <c:pt idx="89">
                  <c:v>0.436430071855246</c:v>
                </c:pt>
                <c:pt idx="90">
                  <c:v>0.368668807710312</c:v>
                </c:pt>
                <c:pt idx="91">
                  <c:v>0.296425000128962</c:v>
                </c:pt>
                <c:pt idx="92">
                  <c:v>0.377032666588946</c:v>
                </c:pt>
              </c:numCache>
            </c:numRef>
          </c:xVal>
          <c:yVal>
            <c:numRef>
              <c:f>Plots!$E$2:$E$94</c:f>
              <c:numCache>
                <c:formatCode>0.00</c:formatCode>
                <c:ptCount val="93"/>
                <c:pt idx="0">
                  <c:v>0.635</c:v>
                </c:pt>
                <c:pt idx="1">
                  <c:v>4.29</c:v>
                </c:pt>
                <c:pt idx="2">
                  <c:v>4.84</c:v>
                </c:pt>
                <c:pt idx="3">
                  <c:v>7.77</c:v>
                </c:pt>
                <c:pt idx="4">
                  <c:v>10.6</c:v>
                </c:pt>
                <c:pt idx="5">
                  <c:v>12.9</c:v>
                </c:pt>
                <c:pt idx="6">
                  <c:v>14.08</c:v>
                </c:pt>
                <c:pt idx="7">
                  <c:v>14.95</c:v>
                </c:pt>
                <c:pt idx="8">
                  <c:v>15.61</c:v>
                </c:pt>
                <c:pt idx="9">
                  <c:v>16.74</c:v>
                </c:pt>
                <c:pt idx="10">
                  <c:v>32.73</c:v>
                </c:pt>
                <c:pt idx="11">
                  <c:v>34.18</c:v>
                </c:pt>
                <c:pt idx="12">
                  <c:v>38.5</c:v>
                </c:pt>
                <c:pt idx="13">
                  <c:v>40.83</c:v>
                </c:pt>
                <c:pt idx="14">
                  <c:v>41.57</c:v>
                </c:pt>
                <c:pt idx="15">
                  <c:v>43.39</c:v>
                </c:pt>
                <c:pt idx="16">
                  <c:v>44.21</c:v>
                </c:pt>
                <c:pt idx="17">
                  <c:v>46.58</c:v>
                </c:pt>
                <c:pt idx="18">
                  <c:v>49.08</c:v>
                </c:pt>
                <c:pt idx="19">
                  <c:v>51.05</c:v>
                </c:pt>
                <c:pt idx="20">
                  <c:v>55.3</c:v>
                </c:pt>
                <c:pt idx="21">
                  <c:v>57.04</c:v>
                </c:pt>
                <c:pt idx="22">
                  <c:v>59.78</c:v>
                </c:pt>
                <c:pt idx="23">
                  <c:v>61.9</c:v>
                </c:pt>
                <c:pt idx="24">
                  <c:v>63.98</c:v>
                </c:pt>
                <c:pt idx="25">
                  <c:v>65.91</c:v>
                </c:pt>
                <c:pt idx="26">
                  <c:v>67.94</c:v>
                </c:pt>
                <c:pt idx="27">
                  <c:v>69.2</c:v>
                </c:pt>
                <c:pt idx="28">
                  <c:v>71.06</c:v>
                </c:pt>
                <c:pt idx="29">
                  <c:v>72.14</c:v>
                </c:pt>
                <c:pt idx="30">
                  <c:v>76.8</c:v>
                </c:pt>
                <c:pt idx="31">
                  <c:v>73.76</c:v>
                </c:pt>
                <c:pt idx="32">
                  <c:v>94.28</c:v>
                </c:pt>
                <c:pt idx="33">
                  <c:v>96.64</c:v>
                </c:pt>
                <c:pt idx="34">
                  <c:v>98.94</c:v>
                </c:pt>
                <c:pt idx="35">
                  <c:v>134.82</c:v>
                </c:pt>
                <c:pt idx="36">
                  <c:v>138.15</c:v>
                </c:pt>
                <c:pt idx="37">
                  <c:v>141.2</c:v>
                </c:pt>
                <c:pt idx="38">
                  <c:v>144.55</c:v>
                </c:pt>
                <c:pt idx="39">
                  <c:v>146.955</c:v>
                </c:pt>
                <c:pt idx="40">
                  <c:v>149.7</c:v>
                </c:pt>
                <c:pt idx="41">
                  <c:v>149.92</c:v>
                </c:pt>
                <c:pt idx="42">
                  <c:v>152.59</c:v>
                </c:pt>
                <c:pt idx="43">
                  <c:v>155.64</c:v>
                </c:pt>
                <c:pt idx="44">
                  <c:v>158.39</c:v>
                </c:pt>
                <c:pt idx="45">
                  <c:v>161.66</c:v>
                </c:pt>
                <c:pt idx="46">
                  <c:v>168.89</c:v>
                </c:pt>
                <c:pt idx="47">
                  <c:v>169.93</c:v>
                </c:pt>
                <c:pt idx="48">
                  <c:v>188.22</c:v>
                </c:pt>
                <c:pt idx="49">
                  <c:v>191.27</c:v>
                </c:pt>
                <c:pt idx="50">
                  <c:v>194.35</c:v>
                </c:pt>
                <c:pt idx="51">
                  <c:v>198.35</c:v>
                </c:pt>
                <c:pt idx="52">
                  <c:v>201.24</c:v>
                </c:pt>
                <c:pt idx="53">
                  <c:v>207.71</c:v>
                </c:pt>
                <c:pt idx="54">
                  <c:v>215.71</c:v>
                </c:pt>
                <c:pt idx="55">
                  <c:v>210.21</c:v>
                </c:pt>
                <c:pt idx="56">
                  <c:v>213.26</c:v>
                </c:pt>
                <c:pt idx="57">
                  <c:v>220.31</c:v>
                </c:pt>
                <c:pt idx="58">
                  <c:v>224.27</c:v>
                </c:pt>
                <c:pt idx="59">
                  <c:v>228.01</c:v>
                </c:pt>
                <c:pt idx="60">
                  <c:v>234.17</c:v>
                </c:pt>
                <c:pt idx="61">
                  <c:v>234.91</c:v>
                </c:pt>
                <c:pt idx="62">
                  <c:v>245.21</c:v>
                </c:pt>
                <c:pt idx="63">
                  <c:v>237.96</c:v>
                </c:pt>
                <c:pt idx="64">
                  <c:v>251.91</c:v>
                </c:pt>
                <c:pt idx="65">
                  <c:v>253.21</c:v>
                </c:pt>
                <c:pt idx="66">
                  <c:v>255.91</c:v>
                </c:pt>
                <c:pt idx="67">
                  <c:v>256.66</c:v>
                </c:pt>
                <c:pt idx="68">
                  <c:v>262.36</c:v>
                </c:pt>
                <c:pt idx="69">
                  <c:v>274.46</c:v>
                </c:pt>
                <c:pt idx="70">
                  <c:v>275.56</c:v>
                </c:pt>
                <c:pt idx="71">
                  <c:v>277.61</c:v>
                </c:pt>
                <c:pt idx="72">
                  <c:v>278.31</c:v>
                </c:pt>
                <c:pt idx="73">
                  <c:v>278.76</c:v>
                </c:pt>
                <c:pt idx="74">
                  <c:v>288.37</c:v>
                </c:pt>
                <c:pt idx="75">
                  <c:v>293.31</c:v>
                </c:pt>
                <c:pt idx="76">
                  <c:v>296.01</c:v>
                </c:pt>
                <c:pt idx="77">
                  <c:v>306.71</c:v>
                </c:pt>
                <c:pt idx="78">
                  <c:v>319.65</c:v>
                </c:pt>
                <c:pt idx="79">
                  <c:v>326.51</c:v>
                </c:pt>
                <c:pt idx="80">
                  <c:v>329.28</c:v>
                </c:pt>
                <c:pt idx="81">
                  <c:v>331.24</c:v>
                </c:pt>
                <c:pt idx="82">
                  <c:v>332.96</c:v>
                </c:pt>
                <c:pt idx="83">
                  <c:v>335.36</c:v>
                </c:pt>
                <c:pt idx="84">
                  <c:v>336.71</c:v>
                </c:pt>
                <c:pt idx="85">
                  <c:v>338.38</c:v>
                </c:pt>
                <c:pt idx="86">
                  <c:v>344.61</c:v>
                </c:pt>
                <c:pt idx="87">
                  <c:v>346.51</c:v>
                </c:pt>
                <c:pt idx="88">
                  <c:v>350.53</c:v>
                </c:pt>
                <c:pt idx="89">
                  <c:v>348.41</c:v>
                </c:pt>
                <c:pt idx="90">
                  <c:v>351.56</c:v>
                </c:pt>
                <c:pt idx="91">
                  <c:v>353.76</c:v>
                </c:pt>
                <c:pt idx="92">
                  <c:v>366.46</c:v>
                </c:pt>
              </c:numCache>
            </c:numRef>
          </c:yVal>
          <c:smooth val="0"/>
        </c:ser>
        <c:axId val="34811101"/>
        <c:axId val="53958533"/>
      </c:scatterChart>
      <c:valAx>
        <c:axId val="3481110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3958533"/>
        <c:crosses val="autoZero"/>
        <c:crossBetween val="midCat"/>
      </c:valAx>
      <c:valAx>
        <c:axId val="53958533"/>
        <c:scaling>
          <c:orientation val="maxMin"/>
          <c:max val="4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481110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Clay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Plots!$A$1</c:f>
              <c:strCache>
                <c:ptCount val="1"/>
                <c:pt idx="0">
                  <c:v>mbsf</c:v>
                </c:pt>
              </c:strCache>
            </c:strRef>
          </c:tx>
          <c:spPr>
            <a:solidFill>
              <a:srgbClr val="4472c4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Plots!$B$2:$B$55</c:f>
              <c:numCache>
                <c:formatCode>0.00</c:formatCode>
                <c:ptCount val="54"/>
                <c:pt idx="0">
                  <c:v>0.408907333925854</c:v>
                </c:pt>
                <c:pt idx="1">
                  <c:v>0.418583243107455</c:v>
                </c:pt>
                <c:pt idx="2">
                  <c:v>0.428513430557839</c:v>
                </c:pt>
                <c:pt idx="3">
                  <c:v>0.474812570278815</c:v>
                </c:pt>
                <c:pt idx="4">
                  <c:v>0.493473542415748</c:v>
                </c:pt>
                <c:pt idx="5">
                  <c:v>0.539791736884617</c:v>
                </c:pt>
                <c:pt idx="6">
                  <c:v>0.486631052425396</c:v>
                </c:pt>
                <c:pt idx="7">
                  <c:v>0.502345883275419</c:v>
                </c:pt>
                <c:pt idx="8">
                  <c:v>0.484006823259473</c:v>
                </c:pt>
                <c:pt idx="9">
                  <c:v>0.436702926176574</c:v>
                </c:pt>
                <c:pt idx="10">
                  <c:v>0.548411010553702</c:v>
                </c:pt>
                <c:pt idx="11">
                  <c:v>0.453112726022825</c:v>
                </c:pt>
                <c:pt idx="12">
                  <c:v>0.461219646460597</c:v>
                </c:pt>
                <c:pt idx="13">
                  <c:v>0.460057461085421</c:v>
                </c:pt>
                <c:pt idx="14">
                  <c:v>0.505879297538156</c:v>
                </c:pt>
                <c:pt idx="15">
                  <c:v>0.445928019009582</c:v>
                </c:pt>
                <c:pt idx="16">
                  <c:v>0.501306095630099</c:v>
                </c:pt>
                <c:pt idx="17">
                  <c:v>0.571237341819525</c:v>
                </c:pt>
                <c:pt idx="18">
                  <c:v>0.428082585568758</c:v>
                </c:pt>
                <c:pt idx="19">
                  <c:v>0.4450837290481</c:v>
                </c:pt>
                <c:pt idx="20">
                  <c:v>0.411697645765849</c:v>
                </c:pt>
                <c:pt idx="21">
                  <c:v>0.370324197770715</c:v>
                </c:pt>
                <c:pt idx="22">
                  <c:v>0.450548283610727</c:v>
                </c:pt>
                <c:pt idx="23">
                  <c:v>0.400326186370225</c:v>
                </c:pt>
                <c:pt idx="24">
                  <c:v>0.496194287950593</c:v>
                </c:pt>
                <c:pt idx="25">
                  <c:v>0.51929471160676</c:v>
                </c:pt>
                <c:pt idx="26">
                  <c:v>0.475077828997887</c:v>
                </c:pt>
                <c:pt idx="27">
                  <c:v>0.514943406457715</c:v>
                </c:pt>
                <c:pt idx="28">
                  <c:v>0.482316872847531</c:v>
                </c:pt>
                <c:pt idx="29">
                  <c:v>0.500486129364514</c:v>
                </c:pt>
                <c:pt idx="30">
                  <c:v>0.489735094289803</c:v>
                </c:pt>
                <c:pt idx="31">
                  <c:v>0.406195905085065</c:v>
                </c:pt>
                <c:pt idx="32">
                  <c:v>0.456693026059276</c:v>
                </c:pt>
                <c:pt idx="33">
                  <c:v>0.456729499139148</c:v>
                </c:pt>
                <c:pt idx="34">
                  <c:v>0.389981999001876</c:v>
                </c:pt>
                <c:pt idx="35">
                  <c:v>0.355021482487223</c:v>
                </c:pt>
                <c:pt idx="36">
                  <c:v>0.363362610495946</c:v>
                </c:pt>
                <c:pt idx="37">
                  <c:v>0.40885639931688</c:v>
                </c:pt>
                <c:pt idx="38">
                  <c:v>0.373670525632824</c:v>
                </c:pt>
                <c:pt idx="39">
                  <c:v>0.385726165751073</c:v>
                </c:pt>
                <c:pt idx="40">
                  <c:v>0.387358890755552</c:v>
                </c:pt>
                <c:pt idx="41">
                  <c:v>0.456278362332719</c:v>
                </c:pt>
                <c:pt idx="42">
                  <c:v>0.403332978367121</c:v>
                </c:pt>
                <c:pt idx="43">
                  <c:v>0.500530066043636</c:v>
                </c:pt>
                <c:pt idx="44">
                  <c:v>0.437472231629462</c:v>
                </c:pt>
                <c:pt idx="45">
                  <c:v>0.410261157374463</c:v>
                </c:pt>
                <c:pt idx="46">
                  <c:v>0.418351341356021</c:v>
                </c:pt>
                <c:pt idx="47">
                  <c:v>0.368891671665245</c:v>
                </c:pt>
                <c:pt idx="48">
                  <c:v>0.482108154711558</c:v>
                </c:pt>
                <c:pt idx="49">
                  <c:v>0.40023951668374</c:v>
                </c:pt>
                <c:pt idx="50">
                  <c:v>0.440765441829973</c:v>
                </c:pt>
                <c:pt idx="51">
                  <c:v>0.483555547206381</c:v>
                </c:pt>
                <c:pt idx="52">
                  <c:v>0.324902008565603</c:v>
                </c:pt>
                <c:pt idx="53">
                  <c:v>0.307941548250106</c:v>
                </c:pt>
              </c:numCache>
            </c:numRef>
          </c:xVal>
          <c:yVal>
            <c:numRef>
              <c:f>Plots!$A$2:$A$55</c:f>
              <c:numCache>
                <c:formatCode>0.00</c:formatCode>
                <c:ptCount val="54"/>
                <c:pt idx="0">
                  <c:v>52.8</c:v>
                </c:pt>
                <c:pt idx="1">
                  <c:v>79.78</c:v>
                </c:pt>
                <c:pt idx="2">
                  <c:v>82.8</c:v>
                </c:pt>
                <c:pt idx="3">
                  <c:v>84.98</c:v>
                </c:pt>
                <c:pt idx="4">
                  <c:v>86.78</c:v>
                </c:pt>
                <c:pt idx="5">
                  <c:v>88.78</c:v>
                </c:pt>
                <c:pt idx="6">
                  <c:v>91.26</c:v>
                </c:pt>
                <c:pt idx="7">
                  <c:v>100.67</c:v>
                </c:pt>
                <c:pt idx="8">
                  <c:v>106.79</c:v>
                </c:pt>
                <c:pt idx="9">
                  <c:v>103.79</c:v>
                </c:pt>
                <c:pt idx="10">
                  <c:v>109.8</c:v>
                </c:pt>
                <c:pt idx="11">
                  <c:v>112.54</c:v>
                </c:pt>
                <c:pt idx="12">
                  <c:v>115.52</c:v>
                </c:pt>
                <c:pt idx="13">
                  <c:v>118.48</c:v>
                </c:pt>
                <c:pt idx="14">
                  <c:v>121.43</c:v>
                </c:pt>
                <c:pt idx="15">
                  <c:v>124.48</c:v>
                </c:pt>
                <c:pt idx="16">
                  <c:v>127.39</c:v>
                </c:pt>
                <c:pt idx="17">
                  <c:v>121.7</c:v>
                </c:pt>
                <c:pt idx="18">
                  <c:v>124.2</c:v>
                </c:pt>
                <c:pt idx="19">
                  <c:v>126.75</c:v>
                </c:pt>
                <c:pt idx="20">
                  <c:v>127.82</c:v>
                </c:pt>
                <c:pt idx="21">
                  <c:v>129.57</c:v>
                </c:pt>
                <c:pt idx="22">
                  <c:v>131.85</c:v>
                </c:pt>
                <c:pt idx="23">
                  <c:v>131.85</c:v>
                </c:pt>
                <c:pt idx="24">
                  <c:v>131.85</c:v>
                </c:pt>
                <c:pt idx="25">
                  <c:v>131.85</c:v>
                </c:pt>
                <c:pt idx="26">
                  <c:v>131.85</c:v>
                </c:pt>
                <c:pt idx="27">
                  <c:v>131.85</c:v>
                </c:pt>
                <c:pt idx="28">
                  <c:v>131.85</c:v>
                </c:pt>
                <c:pt idx="29">
                  <c:v>131.85</c:v>
                </c:pt>
                <c:pt idx="30">
                  <c:v>131.85</c:v>
                </c:pt>
                <c:pt idx="31">
                  <c:v>131.85</c:v>
                </c:pt>
                <c:pt idx="32">
                  <c:v>131.85</c:v>
                </c:pt>
                <c:pt idx="33">
                  <c:v>131.85</c:v>
                </c:pt>
                <c:pt idx="34">
                  <c:v>268.51</c:v>
                </c:pt>
                <c:pt idx="35">
                  <c:v>265.32</c:v>
                </c:pt>
                <c:pt idx="36">
                  <c:v>271.31</c:v>
                </c:pt>
                <c:pt idx="37">
                  <c:v>259.31</c:v>
                </c:pt>
                <c:pt idx="38">
                  <c:v>281.94</c:v>
                </c:pt>
                <c:pt idx="39">
                  <c:v>285.16</c:v>
                </c:pt>
                <c:pt idx="40">
                  <c:v>289.71</c:v>
                </c:pt>
                <c:pt idx="41">
                  <c:v>299.13</c:v>
                </c:pt>
                <c:pt idx="42">
                  <c:v>301.52</c:v>
                </c:pt>
                <c:pt idx="43">
                  <c:v>307.41</c:v>
                </c:pt>
                <c:pt idx="44">
                  <c:v>310.51</c:v>
                </c:pt>
                <c:pt idx="45">
                  <c:v>314.7</c:v>
                </c:pt>
                <c:pt idx="46">
                  <c:v>316.29</c:v>
                </c:pt>
                <c:pt idx="47">
                  <c:v>322.31</c:v>
                </c:pt>
                <c:pt idx="48">
                  <c:v>323.85</c:v>
                </c:pt>
                <c:pt idx="49">
                  <c:v>356.04</c:v>
                </c:pt>
                <c:pt idx="50">
                  <c:v>361.21</c:v>
                </c:pt>
                <c:pt idx="51">
                  <c:v>362.16</c:v>
                </c:pt>
                <c:pt idx="52">
                  <c:v>364.81</c:v>
                </c:pt>
                <c:pt idx="53">
                  <c:v>369.21</c:v>
                </c:pt>
              </c:numCache>
            </c:numRef>
          </c:yVal>
          <c:smooth val="0"/>
        </c:ser>
        <c:axId val="50013530"/>
        <c:axId val="17568855"/>
      </c:scatterChart>
      <c:valAx>
        <c:axId val="50013530"/>
        <c:scaling>
          <c:orientation val="minMax"/>
          <c:max val="0.8"/>
          <c:min val="0.2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7568855"/>
        <c:crosses val="autoZero"/>
        <c:crossBetween val="midCat"/>
        <c:majorUnit val="0.2"/>
      </c:valAx>
      <c:valAx>
        <c:axId val="17568855"/>
        <c:scaling>
          <c:orientation val="maxMin"/>
          <c:max val="4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001353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 1</a:t>
            </a:r>
          </a:p>
          <a:p>
            <a:pPr>
              <a:defRPr b="0" sz="1300" strike="noStrike" u="none">
                <a:uFillTx/>
                <a:latin typeface="Calibri"/>
              </a:defRPr>
            </a:pP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Plots!$T$1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Plots!$S$2:$S$69</c:f>
              <c:numCache>
                <c:formatCode>General</c:formatCode>
                <c:ptCount val="68"/>
                <c:pt idx="0">
                  <c:v>2</c:v>
                </c:pt>
                <c:pt idx="1">
                  <c:v>8</c:v>
                </c:pt>
                <c:pt idx="3">
                  <c:v>9</c:v>
                </c:pt>
                <c:pt idx="4">
                  <c:v>13</c:v>
                </c:pt>
                <c:pt idx="5">
                  <c:v>17</c:v>
                </c:pt>
                <c:pt idx="6">
                  <c:v>21</c:v>
                </c:pt>
                <c:pt idx="7">
                  <c:v>25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45</c:v>
                </c:pt>
                <c:pt idx="12">
                  <c:v>49</c:v>
                </c:pt>
              </c:numCache>
            </c:numRef>
          </c:xVal>
          <c:yVal>
            <c:numRef>
              <c:f>Plots!$T$2:$T$69</c:f>
              <c:numCache>
                <c:formatCode>General</c:formatCode>
                <c:ptCount val="68"/>
                <c:pt idx="0">
                  <c:v>9.2176</c:v>
                </c:pt>
                <c:pt idx="1">
                  <c:v>9.1865</c:v>
                </c:pt>
                <c:pt idx="2">
                  <c:v>9.2188</c:v>
                </c:pt>
                <c:pt idx="3">
                  <c:v>9.2164</c:v>
                </c:pt>
                <c:pt idx="4">
                  <c:v>9.2205</c:v>
                </c:pt>
                <c:pt idx="5">
                  <c:v>9.2045</c:v>
                </c:pt>
                <c:pt idx="6">
                  <c:v>9.2215</c:v>
                </c:pt>
                <c:pt idx="7">
                  <c:v>9.2237</c:v>
                </c:pt>
                <c:pt idx="8">
                  <c:v>9.2304</c:v>
                </c:pt>
                <c:pt idx="9">
                  <c:v>9.2265</c:v>
                </c:pt>
                <c:pt idx="10">
                  <c:v>9.2242</c:v>
                </c:pt>
                <c:pt idx="11">
                  <c:v>9.209</c:v>
                </c:pt>
                <c:pt idx="12">
                  <c:v>9.2176</c:v>
                </c:pt>
              </c:numCache>
            </c:numRef>
          </c:yVal>
          <c:smooth val="0"/>
        </c:ser>
        <c:axId val="88963554"/>
        <c:axId val="43050934"/>
      </c:scatterChart>
      <c:valAx>
        <c:axId val="88963554"/>
        <c:scaling>
          <c:orientation val="minMax"/>
          <c:max val="12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3050934"/>
        <c:crosses val="autoZero"/>
        <c:crossBetween val="midCat"/>
      </c:valAx>
      <c:valAx>
        <c:axId val="43050934"/>
        <c:scaling>
          <c:orientation val="minMax"/>
          <c:min val="9.18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896355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</a:t>
            </a: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Plots!$Z$1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Plots!$X$2:$X$69</c:f>
              <c:numCache>
                <c:formatCode>General</c:formatCode>
                <c:ptCount val="68"/>
                <c:pt idx="0">
                  <c:v>3</c:v>
                </c:pt>
                <c:pt idx="1">
                  <c:v>10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46</c:v>
                </c:pt>
              </c:numCache>
            </c:numRef>
          </c:xVal>
          <c:yVal>
            <c:numRef>
              <c:f>Plots!$Z$2:$Z$69</c:f>
              <c:numCache>
                <c:formatCode>General</c:formatCode>
                <c:ptCount val="68"/>
                <c:pt idx="0">
                  <c:v>9.2133</c:v>
                </c:pt>
                <c:pt idx="1">
                  <c:v>9.2397</c:v>
                </c:pt>
                <c:pt idx="2">
                  <c:v>9.2111</c:v>
                </c:pt>
                <c:pt idx="3">
                  <c:v>9.2141</c:v>
                </c:pt>
                <c:pt idx="4">
                  <c:v>9.2031</c:v>
                </c:pt>
                <c:pt idx="5">
                  <c:v>9.2305</c:v>
                </c:pt>
                <c:pt idx="6">
                  <c:v>9.2153</c:v>
                </c:pt>
                <c:pt idx="7">
                  <c:v>9.1928</c:v>
                </c:pt>
                <c:pt idx="8">
                  <c:v>9.2164</c:v>
                </c:pt>
                <c:pt idx="9">
                  <c:v>9.2096</c:v>
                </c:pt>
                <c:pt idx="10">
                  <c:v>9.2095</c:v>
                </c:pt>
              </c:numCache>
            </c:numRef>
          </c:yVal>
          <c:smooth val="0"/>
        </c:ser>
        <c:axId val="25680584"/>
        <c:axId val="42767028"/>
      </c:scatterChart>
      <c:valAx>
        <c:axId val="2568058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2767028"/>
        <c:crosses val="autoZero"/>
        <c:crossBetween val="midCat"/>
      </c:valAx>
      <c:valAx>
        <c:axId val="42767028"/>
        <c:scaling>
          <c:orientation val="minMax"/>
          <c:max val="9.24"/>
          <c:min val="9.16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568058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Plots!$AE$1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Plots!$AC$2:$AC$69</c:f>
              <c:numCache>
                <c:formatCode>General</c:formatCode>
                <c:ptCount val="68"/>
                <c:pt idx="0">
                  <c:v>4</c:v>
                </c:pt>
                <c:pt idx="1">
                  <c:v>11</c:v>
                </c:pt>
                <c:pt idx="2">
                  <c:v>15</c:v>
                </c:pt>
                <c:pt idx="3">
                  <c:v>19</c:v>
                </c:pt>
                <c:pt idx="4">
                  <c:v>23</c:v>
                </c:pt>
                <c:pt idx="5">
                  <c:v>27</c:v>
                </c:pt>
                <c:pt idx="6">
                  <c:v>31</c:v>
                </c:pt>
                <c:pt idx="7">
                  <c:v>35</c:v>
                </c:pt>
                <c:pt idx="8">
                  <c:v>39</c:v>
                </c:pt>
                <c:pt idx="9">
                  <c:v>43</c:v>
                </c:pt>
                <c:pt idx="10">
                  <c:v>50</c:v>
                </c:pt>
              </c:numCache>
            </c:numRef>
          </c:xVal>
          <c:yVal>
            <c:numRef>
              <c:f>Plots!$AE$2:$AE$69</c:f>
              <c:numCache>
                <c:formatCode>General</c:formatCode>
                <c:ptCount val="68"/>
                <c:pt idx="0">
                  <c:v>9.2299</c:v>
                </c:pt>
                <c:pt idx="1">
                  <c:v>9.2187</c:v>
                </c:pt>
                <c:pt idx="2">
                  <c:v>9.1812</c:v>
                </c:pt>
                <c:pt idx="3">
                  <c:v>9.2131</c:v>
                </c:pt>
                <c:pt idx="4">
                  <c:v>9.2051</c:v>
                </c:pt>
                <c:pt idx="5">
                  <c:v>9.226</c:v>
                </c:pt>
                <c:pt idx="6">
                  <c:v>9.2201</c:v>
                </c:pt>
                <c:pt idx="7">
                  <c:v>9.1984</c:v>
                </c:pt>
                <c:pt idx="8">
                  <c:v>9.2056</c:v>
                </c:pt>
                <c:pt idx="9">
                  <c:v>9.2077</c:v>
                </c:pt>
                <c:pt idx="10">
                  <c:v>9.1775</c:v>
                </c:pt>
              </c:numCache>
            </c:numRef>
          </c:yVal>
          <c:smooth val="0"/>
        </c:ser>
        <c:axId val="94896013"/>
        <c:axId val="4794714"/>
      </c:scatterChart>
      <c:valAx>
        <c:axId val="9489601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794714"/>
        <c:crosses val="autoZero"/>
        <c:crossBetween val="midCat"/>
      </c:valAx>
      <c:valAx>
        <c:axId val="479471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489601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 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Plots!$AJ$1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Plots!$AH$2:$AH$69</c:f>
              <c:numCache>
                <c:formatCode>General</c:formatCode>
                <c:ptCount val="68"/>
                <c:pt idx="0">
                  <c:v>1</c:v>
                </c:pt>
                <c:pt idx="1">
                  <c:v>7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44</c:v>
                </c:pt>
                <c:pt idx="10">
                  <c:v>48</c:v>
                </c:pt>
              </c:numCache>
            </c:numRef>
          </c:xVal>
          <c:yVal>
            <c:numRef>
              <c:f>Plots!$AJ$2:$AJ$69</c:f>
              <c:numCache>
                <c:formatCode>General</c:formatCode>
                <c:ptCount val="68"/>
                <c:pt idx="0">
                  <c:v>9.2015</c:v>
                </c:pt>
                <c:pt idx="1">
                  <c:v>9.2127</c:v>
                </c:pt>
                <c:pt idx="2">
                  <c:v>9.2231</c:v>
                </c:pt>
                <c:pt idx="3">
                  <c:v>9.2207</c:v>
                </c:pt>
                <c:pt idx="4">
                  <c:v>9.215</c:v>
                </c:pt>
                <c:pt idx="5">
                  <c:v>9.2266</c:v>
                </c:pt>
                <c:pt idx="6">
                  <c:v>9.2235</c:v>
                </c:pt>
                <c:pt idx="7">
                  <c:v>9.2217</c:v>
                </c:pt>
                <c:pt idx="8">
                  <c:v>9.2076</c:v>
                </c:pt>
                <c:pt idx="9">
                  <c:v>9.2193</c:v>
                </c:pt>
                <c:pt idx="10">
                  <c:v>9.2251</c:v>
                </c:pt>
              </c:numCache>
            </c:numRef>
          </c:yVal>
          <c:smooth val="0"/>
        </c:ser>
        <c:axId val="83953761"/>
        <c:axId val="27213319"/>
      </c:scatterChart>
      <c:valAx>
        <c:axId val="8395376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7213319"/>
        <c:crosses val="autoZero"/>
        <c:crossBetween val="midCat"/>
      </c:valAx>
      <c:valAx>
        <c:axId val="27213319"/>
        <c:scaling>
          <c:orientation val="minMax"/>
          <c:max val="19.24"/>
          <c:min val="9.18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3953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Offset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Plots!$U$1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Plots!$S$2:$S$69</c:f>
              <c:numCache>
                <c:formatCode>General</c:formatCode>
                <c:ptCount val="68"/>
                <c:pt idx="0">
                  <c:v>2</c:v>
                </c:pt>
                <c:pt idx="1">
                  <c:v>8</c:v>
                </c:pt>
                <c:pt idx="3">
                  <c:v>9</c:v>
                </c:pt>
                <c:pt idx="4">
                  <c:v>13</c:v>
                </c:pt>
                <c:pt idx="5">
                  <c:v>17</c:v>
                </c:pt>
                <c:pt idx="6">
                  <c:v>21</c:v>
                </c:pt>
                <c:pt idx="7">
                  <c:v>25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45</c:v>
                </c:pt>
                <c:pt idx="12">
                  <c:v>49</c:v>
                </c:pt>
              </c:numCache>
            </c:numRef>
          </c:xVal>
          <c:yVal>
            <c:numRef>
              <c:f>Plots!$U$2:$U$69</c:f>
              <c:numCache>
                <c:formatCode>General</c:formatCode>
                <c:ptCount val="68"/>
                <c:pt idx="0">
                  <c:v>-0.00269999999999904</c:v>
                </c:pt>
                <c:pt idx="1">
                  <c:v>0.0283999999999995</c:v>
                </c:pt>
                <c:pt idx="2">
                  <c:v>-0.00389999999999979</c:v>
                </c:pt>
                <c:pt idx="3">
                  <c:v>-0.00150000000000006</c:v>
                </c:pt>
                <c:pt idx="4">
                  <c:v>-0.00559999999999938</c:v>
                </c:pt>
                <c:pt idx="5">
                  <c:v>0.0104000000000006</c:v>
                </c:pt>
                <c:pt idx="6">
                  <c:v>-0.00660000000000061</c:v>
                </c:pt>
                <c:pt idx="7">
                  <c:v>-0.00879999999999903</c:v>
                </c:pt>
                <c:pt idx="8">
                  <c:v>-0.0154999999999994</c:v>
                </c:pt>
                <c:pt idx="9">
                  <c:v>-0.0115999999999996</c:v>
                </c:pt>
                <c:pt idx="10">
                  <c:v>-0.00929999999999964</c:v>
                </c:pt>
                <c:pt idx="11">
                  <c:v>0.00590000000000046</c:v>
                </c:pt>
                <c:pt idx="12">
                  <c:v>-0.00269999999999904</c:v>
                </c:pt>
              </c:numCache>
            </c:numRef>
          </c:yVal>
          <c:smooth val="0"/>
        </c:ser>
        <c:axId val="42254359"/>
        <c:axId val="68510182"/>
      </c:scatterChart>
      <c:valAx>
        <c:axId val="42254359"/>
        <c:scaling>
          <c:orientation val="minMax"/>
          <c:max val="20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8510182"/>
        <c:crosses val="autoZero"/>
        <c:crossBetween val="midCat"/>
      </c:valAx>
      <c:valAx>
        <c:axId val="68510182"/>
        <c:scaling>
          <c:orientation val="minMax"/>
          <c:min val="-0.1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225435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Offset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Plots!$AA$1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Plots!$X$2:$X$69</c:f>
              <c:numCache>
                <c:formatCode>General</c:formatCode>
                <c:ptCount val="68"/>
                <c:pt idx="0">
                  <c:v>3</c:v>
                </c:pt>
                <c:pt idx="1">
                  <c:v>10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46</c:v>
                </c:pt>
              </c:numCache>
            </c:numRef>
          </c:xVal>
          <c:yVal>
            <c:numRef>
              <c:f>Plots!$AA$2:$AA$69</c:f>
              <c:numCache>
                <c:formatCode>General</c:formatCode>
                <c:ptCount val="68"/>
                <c:pt idx="0">
                  <c:v>0.00159999999999982</c:v>
                </c:pt>
                <c:pt idx="1">
                  <c:v>-0.024799999999999</c:v>
                </c:pt>
                <c:pt idx="2">
                  <c:v>0.00380000000000003</c:v>
                </c:pt>
                <c:pt idx="3">
                  <c:v>0.000799999999999912</c:v>
                </c:pt>
                <c:pt idx="4">
                  <c:v>0.0118000000000009</c:v>
                </c:pt>
                <c:pt idx="5">
                  <c:v>-0.0155999999999992</c:v>
                </c:pt>
                <c:pt idx="6">
                  <c:v>-0.000399999999999068</c:v>
                </c:pt>
                <c:pt idx="7">
                  <c:v>0.0221</c:v>
                </c:pt>
                <c:pt idx="8">
                  <c:v>-0.00150000000000006</c:v>
                </c:pt>
                <c:pt idx="9">
                  <c:v>0.00530000000000008</c:v>
                </c:pt>
                <c:pt idx="10">
                  <c:v>0.00539999999999985</c:v>
                </c:pt>
              </c:numCache>
            </c:numRef>
          </c:yVal>
          <c:smooth val="0"/>
        </c:ser>
        <c:axId val="92900589"/>
        <c:axId val="93155974"/>
      </c:scatterChart>
      <c:valAx>
        <c:axId val="9290058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3155974"/>
        <c:crosses val="autoZero"/>
        <c:crossBetween val="midCat"/>
      </c:valAx>
      <c:valAx>
        <c:axId val="9315597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290058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Offset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Plots!$AF$1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Plots!$AC$2:$AC$69</c:f>
              <c:numCache>
                <c:formatCode>General</c:formatCode>
                <c:ptCount val="68"/>
                <c:pt idx="0">
                  <c:v>4</c:v>
                </c:pt>
                <c:pt idx="1">
                  <c:v>11</c:v>
                </c:pt>
                <c:pt idx="2">
                  <c:v>15</c:v>
                </c:pt>
                <c:pt idx="3">
                  <c:v>19</c:v>
                </c:pt>
                <c:pt idx="4">
                  <c:v>23</c:v>
                </c:pt>
                <c:pt idx="5">
                  <c:v>27</c:v>
                </c:pt>
                <c:pt idx="6">
                  <c:v>31</c:v>
                </c:pt>
                <c:pt idx="7">
                  <c:v>35</c:v>
                </c:pt>
                <c:pt idx="8">
                  <c:v>39</c:v>
                </c:pt>
                <c:pt idx="9">
                  <c:v>43</c:v>
                </c:pt>
                <c:pt idx="10">
                  <c:v>50</c:v>
                </c:pt>
              </c:numCache>
            </c:numRef>
          </c:xVal>
          <c:yVal>
            <c:numRef>
              <c:f>Plots!$AF$2:$AF$69</c:f>
              <c:numCache>
                <c:formatCode>General</c:formatCode>
                <c:ptCount val="68"/>
                <c:pt idx="0">
                  <c:v>-0.0150000000000006</c:v>
                </c:pt>
                <c:pt idx="1">
                  <c:v>-0.00380000000000003</c:v>
                </c:pt>
                <c:pt idx="2">
                  <c:v>0.0336999999999996</c:v>
                </c:pt>
                <c:pt idx="3">
                  <c:v>0.00179999999999936</c:v>
                </c:pt>
                <c:pt idx="4">
                  <c:v>0.00980000000000025</c:v>
                </c:pt>
                <c:pt idx="5">
                  <c:v>-0.0111000000000008</c:v>
                </c:pt>
                <c:pt idx="6">
                  <c:v>-0.00520000000000032</c:v>
                </c:pt>
                <c:pt idx="7">
                  <c:v>0.0165000000000006</c:v>
                </c:pt>
                <c:pt idx="8">
                  <c:v>0.00929999999999964</c:v>
                </c:pt>
                <c:pt idx="9">
                  <c:v>0.00719999999999921</c:v>
                </c:pt>
                <c:pt idx="10">
                  <c:v>0.0373999999999999</c:v>
                </c:pt>
              </c:numCache>
            </c:numRef>
          </c:yVal>
          <c:smooth val="0"/>
        </c:ser>
        <c:axId val="10280015"/>
        <c:axId val="12768183"/>
      </c:scatterChart>
      <c:valAx>
        <c:axId val="1028001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2768183"/>
        <c:crosses val="autoZero"/>
        <c:crossBetween val="midCat"/>
      </c:valAx>
      <c:valAx>
        <c:axId val="12768183"/>
        <c:scaling>
          <c:orientation val="minMax"/>
          <c:min val="-0.1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028001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Offset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Plots!$AK$1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Plots!$AH$2:$AH$69</c:f>
              <c:numCache>
                <c:formatCode>General</c:formatCode>
                <c:ptCount val="68"/>
                <c:pt idx="0">
                  <c:v>1</c:v>
                </c:pt>
                <c:pt idx="1">
                  <c:v>7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44</c:v>
                </c:pt>
                <c:pt idx="10">
                  <c:v>48</c:v>
                </c:pt>
              </c:numCache>
            </c:numRef>
          </c:xVal>
          <c:yVal>
            <c:numRef>
              <c:f>Plots!$AK$2:$AK$69</c:f>
              <c:numCache>
                <c:formatCode>General</c:formatCode>
                <c:ptCount val="68"/>
                <c:pt idx="0">
                  <c:v>0.0134000000000007</c:v>
                </c:pt>
                <c:pt idx="1">
                  <c:v>0.0022000000000002</c:v>
                </c:pt>
                <c:pt idx="2">
                  <c:v>-0.00820000000000043</c:v>
                </c:pt>
                <c:pt idx="3">
                  <c:v>-0.00580000000000069</c:v>
                </c:pt>
                <c:pt idx="4">
                  <c:v>-9.99999999997669E-005</c:v>
                </c:pt>
                <c:pt idx="5">
                  <c:v>-0.0116999999999994</c:v>
                </c:pt>
                <c:pt idx="6">
                  <c:v>-0.0085999999999995</c:v>
                </c:pt>
                <c:pt idx="7">
                  <c:v>-0.00680000000000014</c:v>
                </c:pt>
                <c:pt idx="8">
                  <c:v>0.00730000000000075</c:v>
                </c:pt>
                <c:pt idx="9">
                  <c:v>-0.0044000000000004</c:v>
                </c:pt>
                <c:pt idx="10">
                  <c:v>-0.0101999999999993</c:v>
                </c:pt>
              </c:numCache>
            </c:numRef>
          </c:yVal>
          <c:smooth val="0"/>
        </c:ser>
        <c:axId val="37326868"/>
        <c:axId val="57132120"/>
      </c:scatterChart>
      <c:valAx>
        <c:axId val="3732686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7132120"/>
        <c:crosses val="autoZero"/>
        <c:crossBetween val="midCat"/>
      </c:valAx>
      <c:valAx>
        <c:axId val="57132120"/>
        <c:scaling>
          <c:orientation val="minMax"/>
          <c:min val="-0.1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7326868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205920</xdr:colOff>
      <xdr:row>0</xdr:row>
      <xdr:rowOff>3960</xdr:rowOff>
    </xdr:from>
    <xdr:to>
      <xdr:col>17</xdr:col>
      <xdr:colOff>190440</xdr:colOff>
      <xdr:row>43</xdr:row>
      <xdr:rowOff>136800</xdr:rowOff>
    </xdr:to>
    <xdr:graphicFrame>
      <xdr:nvGraphicFramePr>
        <xdr:cNvPr id="1" name="Chart 1"/>
        <xdr:cNvGraphicFramePr/>
      </xdr:nvGraphicFramePr>
      <xdr:xfrm>
        <a:off x="8370000" y="3960"/>
        <a:ext cx="2496600" cy="791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563760</xdr:colOff>
      <xdr:row>0</xdr:row>
      <xdr:rowOff>0</xdr:rowOff>
    </xdr:from>
    <xdr:to>
      <xdr:col>12</xdr:col>
      <xdr:colOff>578520</xdr:colOff>
      <xdr:row>43</xdr:row>
      <xdr:rowOff>129240</xdr:rowOff>
    </xdr:to>
    <xdr:graphicFrame>
      <xdr:nvGraphicFramePr>
        <xdr:cNvPr id="2" name="Chart 3"/>
        <xdr:cNvGraphicFramePr/>
      </xdr:nvGraphicFramePr>
      <xdr:xfrm>
        <a:off x="5587920" y="0"/>
        <a:ext cx="2526840" cy="791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509400</xdr:colOff>
      <xdr:row>15</xdr:row>
      <xdr:rowOff>37800</xdr:rowOff>
    </xdr:from>
    <xdr:to>
      <xdr:col>23</xdr:col>
      <xdr:colOff>56880</xdr:colOff>
      <xdr:row>24</xdr:row>
      <xdr:rowOff>125280</xdr:rowOff>
    </xdr:to>
    <xdr:graphicFrame>
      <xdr:nvGraphicFramePr>
        <xdr:cNvPr id="3" name="Chart 5"/>
        <xdr:cNvGraphicFramePr/>
      </xdr:nvGraphicFramePr>
      <xdr:xfrm>
        <a:off x="11185560" y="2752560"/>
        <a:ext cx="3303000" cy="1716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22</xdr:col>
      <xdr:colOff>213480</xdr:colOff>
      <xdr:row>16</xdr:row>
      <xdr:rowOff>79920</xdr:rowOff>
    </xdr:from>
    <xdr:to>
      <xdr:col>28</xdr:col>
      <xdr:colOff>68400</xdr:colOff>
      <xdr:row>25</xdr:row>
      <xdr:rowOff>75600</xdr:rowOff>
    </xdr:to>
    <xdr:graphicFrame>
      <xdr:nvGraphicFramePr>
        <xdr:cNvPr id="4" name="Chart 6"/>
        <xdr:cNvGraphicFramePr/>
      </xdr:nvGraphicFramePr>
      <xdr:xfrm>
        <a:off x="14029920" y="2975400"/>
        <a:ext cx="3610080" cy="162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28</xdr:col>
      <xdr:colOff>53280</xdr:colOff>
      <xdr:row>16</xdr:row>
      <xdr:rowOff>38160</xdr:rowOff>
    </xdr:from>
    <xdr:to>
      <xdr:col>33</xdr:col>
      <xdr:colOff>548280</xdr:colOff>
      <xdr:row>24</xdr:row>
      <xdr:rowOff>148320</xdr:rowOff>
    </xdr:to>
    <xdr:graphicFrame>
      <xdr:nvGraphicFramePr>
        <xdr:cNvPr id="5" name="Chart 7"/>
        <xdr:cNvGraphicFramePr/>
      </xdr:nvGraphicFramePr>
      <xdr:xfrm>
        <a:off x="17624880" y="2933640"/>
        <a:ext cx="3635280" cy="1558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34</xdr:col>
      <xdr:colOff>38160</xdr:colOff>
      <xdr:row>15</xdr:row>
      <xdr:rowOff>122040</xdr:rowOff>
    </xdr:from>
    <xdr:to>
      <xdr:col>39</xdr:col>
      <xdr:colOff>182520</xdr:colOff>
      <xdr:row>23</xdr:row>
      <xdr:rowOff>133200</xdr:rowOff>
    </xdr:to>
    <xdr:graphicFrame>
      <xdr:nvGraphicFramePr>
        <xdr:cNvPr id="6" name="Chart 8"/>
        <xdr:cNvGraphicFramePr/>
      </xdr:nvGraphicFramePr>
      <xdr:xfrm>
        <a:off x="21377880" y="2836800"/>
        <a:ext cx="3284640" cy="1458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17</xdr:col>
      <xdr:colOff>380880</xdr:colOff>
      <xdr:row>26</xdr:row>
      <xdr:rowOff>7560</xdr:rowOff>
    </xdr:from>
    <xdr:to>
      <xdr:col>21</xdr:col>
      <xdr:colOff>510120</xdr:colOff>
      <xdr:row>32</xdr:row>
      <xdr:rowOff>18720</xdr:rowOff>
    </xdr:to>
    <xdr:graphicFrame>
      <xdr:nvGraphicFramePr>
        <xdr:cNvPr id="7" name="Chart 9"/>
        <xdr:cNvGraphicFramePr/>
      </xdr:nvGraphicFramePr>
      <xdr:xfrm>
        <a:off x="11057040" y="4712760"/>
        <a:ext cx="2641320" cy="109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22</xdr:col>
      <xdr:colOff>533520</xdr:colOff>
      <xdr:row>27</xdr:row>
      <xdr:rowOff>0</xdr:rowOff>
    </xdr:from>
    <xdr:to>
      <xdr:col>27</xdr:col>
      <xdr:colOff>15120</xdr:colOff>
      <xdr:row>33</xdr:row>
      <xdr:rowOff>22680</xdr:rowOff>
    </xdr:to>
    <xdr:graphicFrame>
      <xdr:nvGraphicFramePr>
        <xdr:cNvPr id="8" name="Chart 10"/>
        <xdr:cNvGraphicFramePr/>
      </xdr:nvGraphicFramePr>
      <xdr:xfrm>
        <a:off x="14349960" y="4886280"/>
        <a:ext cx="2608920" cy="1108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28</xdr:col>
      <xdr:colOff>198000</xdr:colOff>
      <xdr:row>24</xdr:row>
      <xdr:rowOff>167760</xdr:rowOff>
    </xdr:from>
    <xdr:to>
      <xdr:col>31</xdr:col>
      <xdr:colOff>525240</xdr:colOff>
      <xdr:row>31</xdr:row>
      <xdr:rowOff>171360</xdr:rowOff>
    </xdr:to>
    <xdr:graphicFrame>
      <xdr:nvGraphicFramePr>
        <xdr:cNvPr id="9" name="Chart 11"/>
        <xdr:cNvGraphicFramePr/>
      </xdr:nvGraphicFramePr>
      <xdr:xfrm>
        <a:off x="17769600" y="4511160"/>
        <a:ext cx="2211480" cy="127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34</xdr:col>
      <xdr:colOff>205920</xdr:colOff>
      <xdr:row>25</xdr:row>
      <xdr:rowOff>91440</xdr:rowOff>
    </xdr:from>
    <xdr:to>
      <xdr:col>37</xdr:col>
      <xdr:colOff>297000</xdr:colOff>
      <xdr:row>31</xdr:row>
      <xdr:rowOff>102600</xdr:rowOff>
    </xdr:to>
    <xdr:graphicFrame>
      <xdr:nvGraphicFramePr>
        <xdr:cNvPr id="10" name="Chart 12"/>
        <xdr:cNvGraphicFramePr/>
      </xdr:nvGraphicFramePr>
      <xdr:xfrm>
        <a:off x="21545640" y="4615920"/>
        <a:ext cx="1975320" cy="1096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taff/home/a/am1422/My%20Documents/ESO%20Files/New%20England%20Hydrogeology/Onshore%20Operations/X501%20ONO%20Phys%20Props%20Core+Sample%20lis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TC"/>
      <sheetName val="MAD"/>
      <sheetName val="DPW"/>
      <sheetName val="Shear Strength+FF"/>
      <sheetName val="M0111A"/>
      <sheetName val="M0111B"/>
      <sheetName val="M0111C"/>
      <sheetName val="M0112A"/>
      <sheetName val="M0112B"/>
      <sheetName val="M0113A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A</v>
          </cell>
          <cell r="E2" t="str">
            <v>501_M0111_A_001H</v>
          </cell>
          <cell r="F2">
            <v>45798.7743055556</v>
          </cell>
          <cell r="G2" t="str">
            <v>GEPR</v>
          </cell>
          <cell r="H2">
            <v>0</v>
          </cell>
          <cell r="I2">
            <v>2.9</v>
          </cell>
          <cell r="J2">
            <v>2.9</v>
          </cell>
          <cell r="K2">
            <v>2</v>
          </cell>
          <cell r="L2">
            <v>2.9</v>
          </cell>
          <cell r="M2">
            <v>100</v>
          </cell>
        </row>
        <row r="2"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</row>
        <row r="2">
          <cell r="V2">
            <v>72</v>
          </cell>
          <cell r="W2">
            <v>0</v>
          </cell>
          <cell r="X2">
            <v>0</v>
          </cell>
          <cell r="Y2">
            <v>2.9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A</v>
          </cell>
          <cell r="E3" t="str">
            <v>501_M0111_A_002H</v>
          </cell>
          <cell r="F3">
            <v>45798.875</v>
          </cell>
          <cell r="G3" t="str">
            <v>WINK</v>
          </cell>
          <cell r="H3">
            <v>2.4</v>
          </cell>
          <cell r="I3">
            <v>2.59</v>
          </cell>
          <cell r="J3">
            <v>4.99</v>
          </cell>
          <cell r="K3">
            <v>2</v>
          </cell>
          <cell r="L3">
            <v>2.59</v>
          </cell>
          <cell r="M3">
            <v>100</v>
          </cell>
        </row>
        <row r="3">
          <cell r="P3" t="str">
            <v>infall</v>
          </cell>
        </row>
        <row r="3">
          <cell r="X3">
            <v>2.4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A</v>
          </cell>
          <cell r="E4" t="str">
            <v>501_M0111_A_003H</v>
          </cell>
          <cell r="F4">
            <v>45799.0833333333</v>
          </cell>
          <cell r="G4" t="str">
            <v>WINK</v>
          </cell>
          <cell r="H4">
            <v>4.46</v>
          </cell>
          <cell r="I4">
            <v>2.64</v>
          </cell>
          <cell r="J4">
            <v>7.1</v>
          </cell>
          <cell r="K4">
            <v>2</v>
          </cell>
          <cell r="L4">
            <v>2.64</v>
          </cell>
          <cell r="M4">
            <v>100</v>
          </cell>
        </row>
        <row r="4"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  <cell r="W4">
            <v>0</v>
          </cell>
          <cell r="X4">
            <v>4.46</v>
          </cell>
          <cell r="Y4">
            <v>7.1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A</v>
          </cell>
          <cell r="E5" t="str">
            <v>501_M0111_A_004H</v>
          </cell>
          <cell r="F5">
            <v>45799.1215277778</v>
          </cell>
          <cell r="G5" t="str">
            <v>WINK</v>
          </cell>
          <cell r="H5">
            <v>6.89</v>
          </cell>
          <cell r="I5">
            <v>2.71</v>
          </cell>
          <cell r="J5">
            <v>9.6</v>
          </cell>
          <cell r="K5">
            <v>2</v>
          </cell>
          <cell r="L5">
            <v>2.71</v>
          </cell>
          <cell r="M5">
            <v>100</v>
          </cell>
        </row>
        <row r="5"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</row>
        <row r="5">
          <cell r="V5">
            <v>72</v>
          </cell>
          <cell r="W5">
            <v>0</v>
          </cell>
          <cell r="X5">
            <v>6.89</v>
          </cell>
          <cell r="Y5">
            <v>9.6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A</v>
          </cell>
          <cell r="E6" t="str">
            <v>501_M0111_A_005H</v>
          </cell>
          <cell r="F6">
            <v>45799.1944444444</v>
          </cell>
          <cell r="G6" t="str">
            <v>GEPR</v>
          </cell>
          <cell r="H6">
            <v>9.6</v>
          </cell>
          <cell r="I6">
            <v>2.45</v>
          </cell>
          <cell r="J6">
            <v>12.05</v>
          </cell>
          <cell r="K6">
            <v>2</v>
          </cell>
          <cell r="L6">
            <v>2.45</v>
          </cell>
          <cell r="M6">
            <v>100</v>
          </cell>
        </row>
        <row r="6"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</row>
        <row r="6">
          <cell r="V6">
            <v>72</v>
          </cell>
          <cell r="W6">
            <v>0</v>
          </cell>
          <cell r="X6">
            <v>9.6</v>
          </cell>
          <cell r="Y6">
            <v>12.05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A</v>
          </cell>
          <cell r="E7" t="str">
            <v>501_M0111_A_006H</v>
          </cell>
          <cell r="F7">
            <v>45799.4305555556</v>
          </cell>
          <cell r="G7" t="str">
            <v>GEPR</v>
          </cell>
          <cell r="H7">
            <v>11.7</v>
          </cell>
          <cell r="I7">
            <v>2.24</v>
          </cell>
          <cell r="J7">
            <v>13.94</v>
          </cell>
          <cell r="K7">
            <v>2</v>
          </cell>
          <cell r="L7">
            <v>2.24</v>
          </cell>
          <cell r="M7">
            <v>100</v>
          </cell>
        </row>
        <row r="7">
          <cell r="P7" t="str">
            <v>Infill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</row>
        <row r="7">
          <cell r="V7">
            <v>72</v>
          </cell>
          <cell r="W7">
            <v>0</v>
          </cell>
          <cell r="X7">
            <v>11.7</v>
          </cell>
          <cell r="Y7">
            <v>13.94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A</v>
          </cell>
          <cell r="E8" t="str">
            <v>501_M0111_A_007H</v>
          </cell>
          <cell r="F8">
            <v>45799.46875</v>
          </cell>
          <cell r="G8" t="str">
            <v>GEPR</v>
          </cell>
          <cell r="H8">
            <v>13.94</v>
          </cell>
          <cell r="I8">
            <v>0.83</v>
          </cell>
          <cell r="J8">
            <v>14.77</v>
          </cell>
          <cell r="K8">
            <v>1</v>
          </cell>
          <cell r="L8">
            <v>0.23</v>
          </cell>
          <cell r="M8">
            <v>27.71</v>
          </cell>
        </row>
        <row r="8"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</row>
        <row r="8">
          <cell r="V8">
            <v>72</v>
          </cell>
          <cell r="W8">
            <v>0</v>
          </cell>
          <cell r="X8">
            <v>13.94</v>
          </cell>
          <cell r="Y8">
            <v>14.77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A</v>
          </cell>
          <cell r="E9" t="str">
            <v>501_M0111_A_008H</v>
          </cell>
          <cell r="F9">
            <v>45799.4965277778</v>
          </cell>
          <cell r="G9" t="str">
            <v>GEPR</v>
          </cell>
          <cell r="H9">
            <v>14.77</v>
          </cell>
          <cell r="I9">
            <v>0</v>
          </cell>
          <cell r="J9">
            <v>14.77</v>
          </cell>
          <cell r="K9">
            <v>1</v>
          </cell>
          <cell r="L9">
            <v>0</v>
          </cell>
          <cell r="M9">
            <v>0</v>
          </cell>
        </row>
        <row r="9">
          <cell r="P9" t="str">
            <v>zero advance</v>
          </cell>
        </row>
        <row r="9">
          <cell r="X9">
            <v>14.77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A</v>
          </cell>
          <cell r="E10" t="str">
            <v>501_M0111_A_009X</v>
          </cell>
          <cell r="F10">
            <v>45799.5347222222</v>
          </cell>
          <cell r="G10" t="str">
            <v>GEPR</v>
          </cell>
          <cell r="H10">
            <v>14.77</v>
          </cell>
          <cell r="I10">
            <v>0.44</v>
          </cell>
          <cell r="J10">
            <v>15.21</v>
          </cell>
          <cell r="K10">
            <v>1</v>
          </cell>
          <cell r="L10">
            <v>0.28</v>
          </cell>
          <cell r="M10">
            <v>63.64</v>
          </cell>
        </row>
        <row r="10">
          <cell r="Q10" t="str">
            <v>yes</v>
          </cell>
          <cell r="R10" t="str">
            <v>all</v>
          </cell>
          <cell r="S10" t="str">
            <v>X</v>
          </cell>
          <cell r="T10" t="str">
            <v>X (QD-TEC)</v>
          </cell>
        </row>
        <row r="10">
          <cell r="V10">
            <v>72</v>
          </cell>
          <cell r="W10">
            <v>0</v>
          </cell>
          <cell r="X10">
            <v>14.77</v>
          </cell>
          <cell r="Y10">
            <v>15.21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A</v>
          </cell>
          <cell r="E11" t="str">
            <v>501_M0111_A_010R</v>
          </cell>
          <cell r="F11">
            <v>45799.5763888889</v>
          </cell>
          <cell r="G11" t="str">
            <v>GEPR</v>
          </cell>
          <cell r="H11">
            <v>15.21</v>
          </cell>
          <cell r="I11">
            <v>1.15</v>
          </cell>
          <cell r="J11">
            <v>16.36</v>
          </cell>
          <cell r="K11">
            <v>1</v>
          </cell>
          <cell r="L11">
            <v>1.33</v>
          </cell>
          <cell r="M11">
            <v>115.65</v>
          </cell>
        </row>
        <row r="11">
          <cell r="P11" t="str">
            <v>burning in</v>
          </cell>
        </row>
        <row r="11">
          <cell r="X11">
            <v>15.21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A</v>
          </cell>
          <cell r="E12" t="str">
            <v>501_M0111_A_011R</v>
          </cell>
          <cell r="F12">
            <v>45799.625</v>
          </cell>
          <cell r="G12" t="str">
            <v>GEPR</v>
          </cell>
          <cell r="H12">
            <v>16.36</v>
          </cell>
          <cell r="I12">
            <v>0.23</v>
          </cell>
          <cell r="J12">
            <v>16.59</v>
          </cell>
          <cell r="K12">
            <v>1</v>
          </cell>
          <cell r="L12">
            <v>0.48</v>
          </cell>
          <cell r="M12">
            <v>208.7</v>
          </cell>
        </row>
        <row r="12">
          <cell r="P12" t="str">
            <v>burning in</v>
          </cell>
        </row>
        <row r="12">
          <cell r="X12">
            <v>16.36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A</v>
          </cell>
          <cell r="E13" t="str">
            <v>501_M0111_A_012R</v>
          </cell>
          <cell r="F13">
            <v>45800.1319444444</v>
          </cell>
          <cell r="G13" t="str">
            <v>WINK</v>
          </cell>
          <cell r="H13">
            <v>32.25</v>
          </cell>
          <cell r="I13">
            <v>1.55</v>
          </cell>
          <cell r="J13">
            <v>33.8</v>
          </cell>
          <cell r="K13">
            <v>1</v>
          </cell>
          <cell r="L13">
            <v>0.77</v>
          </cell>
          <cell r="M13">
            <v>49.68</v>
          </cell>
        </row>
        <row r="13">
          <cell r="P13" t="str">
            <v>burning in</v>
          </cell>
        </row>
        <row r="13">
          <cell r="X13">
            <v>32.25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A</v>
          </cell>
          <cell r="E14" t="str">
            <v>501_M0111_A_013H</v>
          </cell>
          <cell r="F14">
            <v>45800.1597222222</v>
          </cell>
          <cell r="G14" t="str">
            <v>GEPR</v>
          </cell>
          <cell r="H14">
            <v>33.8</v>
          </cell>
          <cell r="I14">
            <v>1.55</v>
          </cell>
          <cell r="J14">
            <v>35.35</v>
          </cell>
          <cell r="K14">
            <v>2</v>
          </cell>
          <cell r="L14">
            <v>1.55</v>
          </cell>
          <cell r="M14">
            <v>100</v>
          </cell>
        </row>
        <row r="14">
          <cell r="Q14" t="str">
            <v>yes</v>
          </cell>
          <cell r="R14" t="str">
            <v>all</v>
          </cell>
          <cell r="S14" t="str">
            <v>H</v>
          </cell>
          <cell r="T14" t="str">
            <v>H (QD-TEC)</v>
          </cell>
        </row>
        <row r="14">
          <cell r="V14">
            <v>72</v>
          </cell>
          <cell r="W14">
            <v>0</v>
          </cell>
          <cell r="X14">
            <v>33.8</v>
          </cell>
          <cell r="Y14">
            <v>35.35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A</v>
          </cell>
          <cell r="E15" t="str">
            <v>501_M0111_A_014H</v>
          </cell>
          <cell r="F15">
            <v>45800.2013888889</v>
          </cell>
          <cell r="G15" t="str">
            <v>GEPR</v>
          </cell>
          <cell r="H15">
            <v>33.35</v>
          </cell>
          <cell r="I15">
            <v>2.77</v>
          </cell>
          <cell r="J15">
            <v>36.12</v>
          </cell>
          <cell r="K15">
            <v>2</v>
          </cell>
          <cell r="L15">
            <v>2.77</v>
          </cell>
          <cell r="M15">
            <v>100</v>
          </cell>
        </row>
        <row r="15">
          <cell r="P15" t="str">
            <v>MUD FROM TOP</v>
          </cell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</row>
        <row r="15">
          <cell r="V15">
            <v>72</v>
          </cell>
          <cell r="W15">
            <v>0</v>
          </cell>
          <cell r="X15">
            <v>33.35</v>
          </cell>
          <cell r="Y15">
            <v>36.12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A</v>
          </cell>
          <cell r="E16" t="str">
            <v>501_M0111_A_015H</v>
          </cell>
          <cell r="F16">
            <v>45800.2430555556</v>
          </cell>
          <cell r="G16" t="str">
            <v>GEPR</v>
          </cell>
          <cell r="H16">
            <v>38.12</v>
          </cell>
          <cell r="I16">
            <v>2.33</v>
          </cell>
          <cell r="J16">
            <v>40.45</v>
          </cell>
          <cell r="K16">
            <v>2</v>
          </cell>
          <cell r="L16">
            <v>2.33</v>
          </cell>
          <cell r="M16">
            <v>100</v>
          </cell>
        </row>
        <row r="16"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</row>
        <row r="16">
          <cell r="V16">
            <v>72</v>
          </cell>
          <cell r="W16">
            <v>0</v>
          </cell>
          <cell r="X16">
            <v>38.12</v>
          </cell>
          <cell r="Y16">
            <v>40.45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A</v>
          </cell>
          <cell r="E17" t="str">
            <v>501_M0111_A_016H</v>
          </cell>
          <cell r="F17">
            <v>45800.28125</v>
          </cell>
          <cell r="G17" t="str">
            <v>GEPR</v>
          </cell>
          <cell r="H17">
            <v>40.45</v>
          </cell>
          <cell r="I17">
            <v>0.74</v>
          </cell>
          <cell r="J17">
            <v>41.19</v>
          </cell>
          <cell r="K17">
            <v>1</v>
          </cell>
          <cell r="L17">
            <v>0.74</v>
          </cell>
          <cell r="M17">
            <v>100</v>
          </cell>
        </row>
        <row r="17"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</row>
        <row r="17">
          <cell r="V17">
            <v>72</v>
          </cell>
          <cell r="W17">
            <v>0</v>
          </cell>
          <cell r="X17">
            <v>40.45</v>
          </cell>
          <cell r="Y17">
            <v>41.19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A</v>
          </cell>
          <cell r="E18" t="str">
            <v>501_M0111_A_017H</v>
          </cell>
          <cell r="F18">
            <v>45800.3125</v>
          </cell>
          <cell r="G18" t="str">
            <v>GEPR</v>
          </cell>
          <cell r="H18">
            <v>41.19</v>
          </cell>
          <cell r="I18">
            <v>2.13</v>
          </cell>
          <cell r="J18">
            <v>43.32</v>
          </cell>
          <cell r="K18">
            <v>2</v>
          </cell>
          <cell r="L18">
            <v>2.13</v>
          </cell>
          <cell r="M18">
            <v>100</v>
          </cell>
        </row>
        <row r="18"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</row>
        <row r="18">
          <cell r="V18">
            <v>72</v>
          </cell>
          <cell r="W18">
            <v>0</v>
          </cell>
          <cell r="X18">
            <v>41.19</v>
          </cell>
          <cell r="Y18">
            <v>43.32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A</v>
          </cell>
          <cell r="E19" t="str">
            <v>501_M0111_A_018H</v>
          </cell>
          <cell r="F19">
            <v>45800.3402777778</v>
          </cell>
          <cell r="G19" t="str">
            <v>GEPR</v>
          </cell>
          <cell r="H19">
            <v>43.32</v>
          </cell>
          <cell r="I19">
            <v>0.51</v>
          </cell>
          <cell r="J19">
            <v>43.83</v>
          </cell>
          <cell r="K19">
            <v>1</v>
          </cell>
          <cell r="L19">
            <v>0.51</v>
          </cell>
          <cell r="M19">
            <v>100</v>
          </cell>
        </row>
        <row r="19">
          <cell r="Q19" t="str">
            <v>yes</v>
          </cell>
          <cell r="R19" t="str">
            <v>all</v>
          </cell>
          <cell r="S19" t="str">
            <v>H</v>
          </cell>
          <cell r="T19" t="str">
            <v>H (QD-TEC)</v>
          </cell>
        </row>
        <row r="19">
          <cell r="V19">
            <v>72</v>
          </cell>
          <cell r="W19">
            <v>0</v>
          </cell>
          <cell r="X19">
            <v>43.32</v>
          </cell>
          <cell r="Y19">
            <v>43.83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A</v>
          </cell>
          <cell r="E20" t="str">
            <v>501_M0111_A_019H</v>
          </cell>
          <cell r="F20">
            <v>45800.3645833333</v>
          </cell>
          <cell r="G20" t="str">
            <v>GEPR</v>
          </cell>
          <cell r="H20">
            <v>43.83</v>
          </cell>
          <cell r="I20">
            <v>2.37</v>
          </cell>
          <cell r="J20">
            <v>46.2</v>
          </cell>
          <cell r="K20">
            <v>2</v>
          </cell>
          <cell r="L20">
            <v>2.37</v>
          </cell>
          <cell r="M20">
            <v>100</v>
          </cell>
        </row>
        <row r="20">
          <cell r="Q20" t="str">
            <v>yes</v>
          </cell>
          <cell r="R20" t="str">
            <v>all</v>
          </cell>
          <cell r="S20" t="str">
            <v>H</v>
          </cell>
          <cell r="T20" t="str">
            <v>H (QD-TEC)</v>
          </cell>
        </row>
        <row r="20">
          <cell r="V20">
            <v>72</v>
          </cell>
          <cell r="W20">
            <v>0</v>
          </cell>
          <cell r="X20">
            <v>43.83</v>
          </cell>
          <cell r="Y20">
            <v>46.2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A</v>
          </cell>
          <cell r="E21" t="str">
            <v>501_M0111_A_020H</v>
          </cell>
          <cell r="F21">
            <v>45800.4166666667</v>
          </cell>
          <cell r="G21" t="str">
            <v>GEPR</v>
          </cell>
          <cell r="H21">
            <v>46.2</v>
          </cell>
          <cell r="I21">
            <v>2.47</v>
          </cell>
          <cell r="J21">
            <v>48.67</v>
          </cell>
          <cell r="K21">
            <v>2</v>
          </cell>
          <cell r="L21">
            <v>2.47</v>
          </cell>
          <cell r="M21">
            <v>100</v>
          </cell>
        </row>
        <row r="21"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</row>
        <row r="21">
          <cell r="V21">
            <v>72</v>
          </cell>
          <cell r="W21">
            <v>0</v>
          </cell>
          <cell r="X21">
            <v>46.2</v>
          </cell>
          <cell r="Y21">
            <v>48.67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A</v>
          </cell>
          <cell r="E22" t="str">
            <v>501_M0111_A_021H</v>
          </cell>
          <cell r="F22">
            <v>45800.4548611111</v>
          </cell>
          <cell r="G22" t="str">
            <v>GEPR</v>
          </cell>
          <cell r="H22">
            <v>48.67</v>
          </cell>
          <cell r="I22">
            <v>2.23</v>
          </cell>
          <cell r="J22">
            <v>50.9</v>
          </cell>
          <cell r="K22">
            <v>3</v>
          </cell>
          <cell r="L22">
            <v>2.23</v>
          </cell>
          <cell r="M22">
            <v>100</v>
          </cell>
        </row>
        <row r="22">
          <cell r="P22" t="str">
            <v>liner collapsed</v>
          </cell>
        </row>
        <row r="22">
          <cell r="X22">
            <v>48.67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A</v>
          </cell>
          <cell r="E23" t="str">
            <v>501_M0111_A_022H</v>
          </cell>
          <cell r="F23">
            <v>45800.5138888889</v>
          </cell>
          <cell r="G23" t="str">
            <v>GEPR</v>
          </cell>
          <cell r="H23">
            <v>50.9</v>
          </cell>
          <cell r="I23">
            <v>1.52</v>
          </cell>
          <cell r="J23">
            <v>52.42</v>
          </cell>
          <cell r="K23">
            <v>2</v>
          </cell>
          <cell r="L23">
            <v>1.52</v>
          </cell>
          <cell r="M23">
            <v>100</v>
          </cell>
        </row>
        <row r="23">
          <cell r="P23" t="str">
            <v>liner collapsed</v>
          </cell>
        </row>
        <row r="23">
          <cell r="X23">
            <v>50.9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A</v>
          </cell>
          <cell r="E24" t="str">
            <v>501_M0111_A_023H</v>
          </cell>
          <cell r="F24">
            <v>45800.5493055556</v>
          </cell>
          <cell r="G24" t="str">
            <v>GEPR</v>
          </cell>
          <cell r="H24">
            <v>52.42</v>
          </cell>
          <cell r="I24">
            <v>2.5</v>
          </cell>
          <cell r="J24">
            <v>54.92</v>
          </cell>
          <cell r="K24">
            <v>2</v>
          </cell>
          <cell r="L24">
            <v>2.5</v>
          </cell>
          <cell r="M24">
            <v>100</v>
          </cell>
        </row>
        <row r="24"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</row>
        <row r="24">
          <cell r="V24">
            <v>72</v>
          </cell>
          <cell r="W24">
            <v>0</v>
          </cell>
          <cell r="X24">
            <v>52.42</v>
          </cell>
          <cell r="Y24">
            <v>54.92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A</v>
          </cell>
          <cell r="E25" t="str">
            <v>501_M0111_A_024H</v>
          </cell>
          <cell r="F25">
            <v>45800.5868055556</v>
          </cell>
          <cell r="G25" t="str">
            <v>GEPR</v>
          </cell>
          <cell r="H25">
            <v>54.92</v>
          </cell>
          <cell r="I25">
            <v>1.74</v>
          </cell>
          <cell r="J25">
            <v>56.66</v>
          </cell>
          <cell r="K25">
            <v>2</v>
          </cell>
          <cell r="L25">
            <v>1.74</v>
          </cell>
          <cell r="M25">
            <v>100</v>
          </cell>
        </row>
        <row r="25">
          <cell r="P25" t="str">
            <v>wood and mica in core</v>
          </cell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</row>
        <row r="25">
          <cell r="V25">
            <v>72</v>
          </cell>
          <cell r="W25">
            <v>0</v>
          </cell>
          <cell r="X25">
            <v>54.92</v>
          </cell>
          <cell r="Y25">
            <v>56.66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A</v>
          </cell>
          <cell r="E26" t="str">
            <v>501_M0111_A_025H</v>
          </cell>
          <cell r="F26">
            <v>45800.6284722222</v>
          </cell>
          <cell r="G26" t="str">
            <v>GEPR</v>
          </cell>
          <cell r="H26">
            <v>56.66</v>
          </cell>
          <cell r="I26">
            <v>2.22</v>
          </cell>
          <cell r="J26">
            <v>58.88</v>
          </cell>
          <cell r="K26">
            <v>2</v>
          </cell>
          <cell r="L26">
            <v>2.22</v>
          </cell>
          <cell r="M26">
            <v>100</v>
          </cell>
        </row>
        <row r="26">
          <cell r="P26" t="str">
            <v>microsphere inserted for this core</v>
          </cell>
        </row>
        <row r="26">
          <cell r="X26">
            <v>56.66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A</v>
          </cell>
          <cell r="E27" t="str">
            <v>501_M0111_A_026H</v>
          </cell>
          <cell r="F27">
            <v>45800.7083333333</v>
          </cell>
          <cell r="G27" t="str">
            <v>WINK</v>
          </cell>
          <cell r="H27">
            <v>58.88</v>
          </cell>
          <cell r="I27">
            <v>2.32</v>
          </cell>
          <cell r="J27">
            <v>61.2</v>
          </cell>
          <cell r="K27">
            <v>2</v>
          </cell>
          <cell r="L27">
            <v>2.32</v>
          </cell>
          <cell r="M27">
            <v>100</v>
          </cell>
        </row>
        <row r="27">
          <cell r="Q27" t="str">
            <v>yes</v>
          </cell>
          <cell r="R27" t="str">
            <v>all</v>
          </cell>
          <cell r="S27" t="str">
            <v>H</v>
          </cell>
          <cell r="T27" t="str">
            <v>H (QD-TEC)</v>
          </cell>
        </row>
        <row r="27">
          <cell r="V27">
            <v>72</v>
          </cell>
          <cell r="W27">
            <v>0</v>
          </cell>
          <cell r="X27">
            <v>58.88</v>
          </cell>
          <cell r="Y27">
            <v>61.2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A</v>
          </cell>
          <cell r="E28" t="str">
            <v>501_M0111_A_027H</v>
          </cell>
          <cell r="F28">
            <v>45800.7430555556</v>
          </cell>
          <cell r="G28" t="str">
            <v>WINK</v>
          </cell>
          <cell r="H28">
            <v>61.2</v>
          </cell>
          <cell r="I28">
            <v>2.18</v>
          </cell>
          <cell r="J28">
            <v>63.38</v>
          </cell>
          <cell r="K28">
            <v>2</v>
          </cell>
          <cell r="L28">
            <v>2.18</v>
          </cell>
          <cell r="M28">
            <v>100</v>
          </cell>
        </row>
        <row r="28"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</row>
        <row r="28">
          <cell r="V28">
            <v>72</v>
          </cell>
          <cell r="W28">
            <v>0</v>
          </cell>
          <cell r="X28">
            <v>61.2</v>
          </cell>
          <cell r="Y28">
            <v>63.38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A</v>
          </cell>
          <cell r="E29" t="str">
            <v>501_M0111_A_028H</v>
          </cell>
          <cell r="F29">
            <v>45800.78125</v>
          </cell>
          <cell r="G29" t="str">
            <v>WINK</v>
          </cell>
          <cell r="H29">
            <v>63.38</v>
          </cell>
          <cell r="I29">
            <v>0</v>
          </cell>
          <cell r="J29">
            <v>63.38</v>
          </cell>
          <cell r="K29">
            <v>1</v>
          </cell>
          <cell r="L29">
            <v>0.38</v>
          </cell>
          <cell r="M29">
            <v>0</v>
          </cell>
        </row>
        <row r="29">
          <cell r="P29" t="str">
            <v>infill</v>
          </cell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</row>
        <row r="29">
          <cell r="V29">
            <v>72</v>
          </cell>
          <cell r="W29">
            <v>0</v>
          </cell>
          <cell r="X29">
            <v>63.38</v>
          </cell>
          <cell r="Y29">
            <v>63.38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A</v>
          </cell>
          <cell r="E30" t="str">
            <v>501_M0111_A_029H</v>
          </cell>
          <cell r="F30">
            <v>45800.8090277778</v>
          </cell>
          <cell r="G30" t="str">
            <v>WINK</v>
          </cell>
          <cell r="H30">
            <v>63.38</v>
          </cell>
          <cell r="I30">
            <v>0.27</v>
          </cell>
          <cell r="J30">
            <v>63.65</v>
          </cell>
          <cell r="K30">
            <v>1</v>
          </cell>
          <cell r="L30">
            <v>0.27</v>
          </cell>
          <cell r="M30">
            <v>100</v>
          </cell>
        </row>
        <row r="30"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</row>
        <row r="30">
          <cell r="V30">
            <v>72</v>
          </cell>
          <cell r="W30">
            <v>0</v>
          </cell>
          <cell r="X30">
            <v>63.38</v>
          </cell>
          <cell r="Y30">
            <v>63.65</v>
          </cell>
        </row>
      </sheetData>
      <sheetData sheetId="6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  <cell r="AA1" t="str">
            <v>IGSN</v>
          </cell>
          <cell r="AB1" t="str">
            <v>Additional Information </v>
          </cell>
          <cell r="AC1" t="str">
            <v>Barrel Length [m]</v>
          </cell>
          <cell r="AD1" t="str">
            <v>Bit Size</v>
          </cell>
          <cell r="AE1" t="str">
            <v>Drilling Fluid Type</v>
          </cell>
          <cell r="AF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B</v>
          </cell>
          <cell r="E2" t="str">
            <v>501_M0111_B_001H</v>
          </cell>
          <cell r="F2">
            <v>45802.4131944444</v>
          </cell>
          <cell r="G2" t="str">
            <v>GEPR</v>
          </cell>
          <cell r="H2">
            <v>62</v>
          </cell>
          <cell r="I2">
            <v>2.14</v>
          </cell>
          <cell r="J2">
            <v>64.14</v>
          </cell>
          <cell r="K2">
            <v>2</v>
          </cell>
          <cell r="L2">
            <v>2.24</v>
          </cell>
          <cell r="M2">
            <v>104.67</v>
          </cell>
        </row>
        <row r="2">
          <cell r="P2" t="str">
            <v>10cm infill </v>
          </cell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</row>
        <row r="2">
          <cell r="V2">
            <v>72</v>
          </cell>
          <cell r="W2">
            <v>0</v>
          </cell>
          <cell r="X2">
            <v>62</v>
          </cell>
          <cell r="Y2">
            <v>64.14</v>
          </cell>
        </row>
        <row r="2">
          <cell r="AA2" t="str">
            <v>IBCR0501EC12Q01</v>
          </cell>
        </row>
        <row r="2">
          <cell r="AC2">
            <v>3</v>
          </cell>
          <cell r="AD2" t="str">
            <v>BLY PQ3</v>
          </cell>
          <cell r="AE2" t="str">
            <v>Water-based mud (WBM)</v>
          </cell>
          <cell r="AF2" t="str">
            <v>PureBore by Clear Solutions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B</v>
          </cell>
          <cell r="E3" t="str">
            <v>501_M0111_B_002H</v>
          </cell>
          <cell r="F3">
            <v>45802.4444444444</v>
          </cell>
          <cell r="G3" t="str">
            <v>GEPR</v>
          </cell>
          <cell r="H3">
            <v>64.14</v>
          </cell>
          <cell r="I3">
            <v>1.92</v>
          </cell>
          <cell r="J3">
            <v>66.06</v>
          </cell>
          <cell r="K3">
            <v>2</v>
          </cell>
          <cell r="L3">
            <v>1.92</v>
          </cell>
          <cell r="M3">
            <v>100</v>
          </cell>
        </row>
        <row r="3"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</row>
        <row r="3">
          <cell r="V3">
            <v>72</v>
          </cell>
          <cell r="W3">
            <v>0</v>
          </cell>
          <cell r="X3">
            <v>64.14</v>
          </cell>
          <cell r="Y3">
            <v>66.06</v>
          </cell>
        </row>
        <row r="3">
          <cell r="AA3" t="str">
            <v>IBCR0501EC22Q01</v>
          </cell>
        </row>
        <row r="3">
          <cell r="AC3">
            <v>3</v>
          </cell>
          <cell r="AD3" t="str">
            <v>BLY PQ3</v>
          </cell>
          <cell r="AE3" t="str">
            <v>Water-based mud (WBM)</v>
          </cell>
          <cell r="AF3" t="str">
            <v>PureBore by Clear Solutions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B</v>
          </cell>
          <cell r="E4" t="str">
            <v>501_M0111_B_003H</v>
          </cell>
          <cell r="F4">
            <v>45802.4645833333</v>
          </cell>
          <cell r="G4" t="str">
            <v>GEPR</v>
          </cell>
          <cell r="H4">
            <v>66.06</v>
          </cell>
          <cell r="I4">
            <v>2.14</v>
          </cell>
          <cell r="J4">
            <v>68.2</v>
          </cell>
          <cell r="K4">
            <v>2</v>
          </cell>
          <cell r="L4">
            <v>2.14</v>
          </cell>
          <cell r="M4">
            <v>100</v>
          </cell>
        </row>
        <row r="4"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  <cell r="W4">
            <v>0</v>
          </cell>
          <cell r="X4">
            <v>66.06</v>
          </cell>
          <cell r="Y4">
            <v>68.2</v>
          </cell>
        </row>
        <row r="4">
          <cell r="AA4" t="str">
            <v>IBCR0501EC32Q01</v>
          </cell>
        </row>
        <row r="4">
          <cell r="AC4">
            <v>3</v>
          </cell>
          <cell r="AD4" t="str">
            <v>BLY PQ3</v>
          </cell>
          <cell r="AE4" t="str">
            <v>Water-based mud (WBM)</v>
          </cell>
          <cell r="AF4" t="str">
            <v>PureBore by Clear Solutions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B</v>
          </cell>
          <cell r="E5" t="str">
            <v>501_M0111_B_004H</v>
          </cell>
          <cell r="F5">
            <v>45802.4965277778</v>
          </cell>
          <cell r="G5" t="str">
            <v>GEPR</v>
          </cell>
          <cell r="H5">
            <v>68.2</v>
          </cell>
          <cell r="I5">
            <v>1.45</v>
          </cell>
          <cell r="J5">
            <v>69.65</v>
          </cell>
          <cell r="K5">
            <v>1</v>
          </cell>
          <cell r="L5">
            <v>1.45</v>
          </cell>
          <cell r="M5">
            <v>100</v>
          </cell>
        </row>
        <row r="5">
          <cell r="P5" t="str">
            <v>RH 125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B</v>
          </cell>
          <cell r="E6" t="str">
            <v>501_M0111_B_005H</v>
          </cell>
          <cell r="F6">
            <v>45802.5173611111</v>
          </cell>
          <cell r="G6" t="str">
            <v>GEPR</v>
          </cell>
          <cell r="H6">
            <v>69.65</v>
          </cell>
          <cell r="I6">
            <v>1.89</v>
          </cell>
          <cell r="J6">
            <v>71.54</v>
          </cell>
          <cell r="K6">
            <v>2</v>
          </cell>
          <cell r="L6">
            <v>1.89</v>
          </cell>
          <cell r="M6">
            <v>100</v>
          </cell>
        </row>
        <row r="6"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</row>
        <row r="6">
          <cell r="V6">
            <v>72</v>
          </cell>
          <cell r="W6">
            <v>0</v>
          </cell>
          <cell r="X6">
            <v>69.65</v>
          </cell>
          <cell r="Y6">
            <v>71.54</v>
          </cell>
        </row>
        <row r="6">
          <cell r="AA6" t="str">
            <v>IBCR0501EC52Q01</v>
          </cell>
        </row>
        <row r="6">
          <cell r="AC6">
            <v>3</v>
          </cell>
          <cell r="AD6" t="str">
            <v>BLY PQ3</v>
          </cell>
          <cell r="AE6" t="str">
            <v>Water-based mud (WBM)</v>
          </cell>
          <cell r="AF6" t="str">
            <v>PureBore by Clear Solutions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B</v>
          </cell>
          <cell r="E7" t="str">
            <v>501_M0111_B_006H</v>
          </cell>
          <cell r="F7">
            <v>45802.5416666667</v>
          </cell>
          <cell r="G7" t="str">
            <v>GEPR</v>
          </cell>
          <cell r="H7">
            <v>71.54</v>
          </cell>
          <cell r="I7">
            <v>0.72</v>
          </cell>
          <cell r="J7">
            <v>72.26</v>
          </cell>
          <cell r="K7">
            <v>1</v>
          </cell>
          <cell r="L7">
            <v>0.72</v>
          </cell>
          <cell r="M7">
            <v>100</v>
          </cell>
        </row>
        <row r="7"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</row>
        <row r="7">
          <cell r="V7">
            <v>72</v>
          </cell>
          <cell r="W7">
            <v>0</v>
          </cell>
          <cell r="X7">
            <v>71.54</v>
          </cell>
          <cell r="Y7">
            <v>72.26</v>
          </cell>
        </row>
        <row r="7">
          <cell r="AA7" t="str">
            <v>IBCR0501EC62Q01</v>
          </cell>
        </row>
        <row r="7">
          <cell r="AC7">
            <v>3</v>
          </cell>
          <cell r="AD7" t="str">
            <v>BLY PQ3</v>
          </cell>
          <cell r="AE7" t="str">
            <v>Water-based mud (WBM)</v>
          </cell>
          <cell r="AF7" t="str">
            <v>PureBore by Clear Solutions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B</v>
          </cell>
          <cell r="E8" t="str">
            <v>501_M0111_B_007H</v>
          </cell>
          <cell r="F8">
            <v>45802.5659722222</v>
          </cell>
          <cell r="G8" t="str">
            <v>GEPR</v>
          </cell>
          <cell r="H8">
            <v>72.26</v>
          </cell>
          <cell r="I8">
            <v>0.5</v>
          </cell>
          <cell r="J8">
            <v>72.76</v>
          </cell>
          <cell r="K8">
            <v>1</v>
          </cell>
          <cell r="L8">
            <v>0.5</v>
          </cell>
          <cell r="M8">
            <v>100</v>
          </cell>
        </row>
        <row r="8"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</row>
        <row r="8">
          <cell r="V8">
            <v>72</v>
          </cell>
          <cell r="W8">
            <v>0</v>
          </cell>
          <cell r="X8">
            <v>72.26</v>
          </cell>
          <cell r="Y8">
            <v>72.76</v>
          </cell>
        </row>
        <row r="8">
          <cell r="AA8" t="str">
            <v>IBCR0501EC72Q01</v>
          </cell>
        </row>
        <row r="8">
          <cell r="AC8">
            <v>3</v>
          </cell>
          <cell r="AD8" t="str">
            <v>BLY PQ3</v>
          </cell>
          <cell r="AE8" t="str">
            <v>Water-based mud (WBM)</v>
          </cell>
          <cell r="AF8" t="str">
            <v>PureBore by Clear Solutions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B</v>
          </cell>
          <cell r="E9" t="str">
            <v>501_M0111_B_008X</v>
          </cell>
          <cell r="F9">
            <v>45802.6041666667</v>
          </cell>
          <cell r="G9" t="str">
            <v>GEPR</v>
          </cell>
          <cell r="H9">
            <v>72.76</v>
          </cell>
          <cell r="I9">
            <v>0</v>
          </cell>
          <cell r="J9">
            <v>72.76</v>
          </cell>
          <cell r="K9">
            <v>1</v>
          </cell>
          <cell r="L9">
            <v>0</v>
          </cell>
          <cell r="M9">
            <v>0</v>
          </cell>
        </row>
        <row r="9">
          <cell r="P9" t="str">
            <v>CC only</v>
          </cell>
          <cell r="Q9" t="str">
            <v>yes</v>
          </cell>
          <cell r="R9" t="str">
            <v>none</v>
          </cell>
          <cell r="S9" t="str">
            <v>X</v>
          </cell>
          <cell r="T9" t="str">
            <v>X (QD-TEC)</v>
          </cell>
        </row>
        <row r="9">
          <cell r="V9">
            <v>72</v>
          </cell>
          <cell r="W9">
            <v>0</v>
          </cell>
          <cell r="X9">
            <v>72.76</v>
          </cell>
          <cell r="Y9">
            <v>72.76</v>
          </cell>
        </row>
        <row r="9">
          <cell r="AA9" t="str">
            <v>IBCR0501EC82Q01</v>
          </cell>
        </row>
        <row r="9">
          <cell r="AC9">
            <v>3</v>
          </cell>
          <cell r="AD9" t="str">
            <v>BLY PQ3</v>
          </cell>
          <cell r="AE9" t="str">
            <v>Water-based mud (WBM)</v>
          </cell>
          <cell r="AF9" t="str">
            <v>PureBore by Clear Solutions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B</v>
          </cell>
          <cell r="E10" t="str">
            <v>501_M0111_B_009R</v>
          </cell>
          <cell r="F10">
            <v>45802.6284722222</v>
          </cell>
          <cell r="G10" t="str">
            <v>GEPR</v>
          </cell>
          <cell r="H10">
            <v>72.76</v>
          </cell>
          <cell r="I10">
            <v>1.54</v>
          </cell>
          <cell r="J10">
            <v>74.3</v>
          </cell>
          <cell r="K10">
            <v>1</v>
          </cell>
          <cell r="L10">
            <v>1.32</v>
          </cell>
          <cell r="M10">
            <v>85.71</v>
          </cell>
        </row>
        <row r="10"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</row>
        <row r="10">
          <cell r="V10">
            <v>72</v>
          </cell>
          <cell r="W10">
            <v>0</v>
          </cell>
          <cell r="X10">
            <v>72.76</v>
          </cell>
          <cell r="Y10">
            <v>74.3</v>
          </cell>
        </row>
        <row r="10">
          <cell r="AA10" t="str">
            <v>IBCR0501EC92Q01</v>
          </cell>
        </row>
        <row r="10">
          <cell r="AC10">
            <v>3</v>
          </cell>
          <cell r="AD10" t="str">
            <v>BLY PQ3</v>
          </cell>
          <cell r="AE10" t="str">
            <v>Water-based mud (WBM)</v>
          </cell>
          <cell r="AF10" t="str">
            <v>PureBore by Clear Solutions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B</v>
          </cell>
          <cell r="E11" t="str">
            <v>501_M0111_B_010R</v>
          </cell>
          <cell r="F11">
            <v>45802.6597222222</v>
          </cell>
          <cell r="G11" t="str">
            <v>WINK</v>
          </cell>
          <cell r="H11">
            <v>74.3</v>
          </cell>
          <cell r="I11">
            <v>2.3</v>
          </cell>
          <cell r="J11">
            <v>76.6</v>
          </cell>
          <cell r="K11">
            <v>0</v>
          </cell>
          <cell r="L11">
            <v>0</v>
          </cell>
          <cell r="M11">
            <v>0</v>
          </cell>
        </row>
        <row r="11">
          <cell r="P11" t="str">
            <v>no recovery</v>
          </cell>
          <cell r="Q11" t="str">
            <v>no</v>
          </cell>
          <cell r="R11" t="str">
            <v>none</v>
          </cell>
          <cell r="S11" t="str">
            <v>R</v>
          </cell>
          <cell r="T11" t="str">
            <v>R (QD-TEC)</v>
          </cell>
        </row>
        <row r="11">
          <cell r="V11">
            <v>72</v>
          </cell>
          <cell r="W11">
            <v>0</v>
          </cell>
          <cell r="X11">
            <v>74.3</v>
          </cell>
          <cell r="Y11">
            <v>76.6</v>
          </cell>
        </row>
        <row r="11">
          <cell r="AA11" t="str">
            <v>IBCR0501ECA2Q01</v>
          </cell>
        </row>
        <row r="11">
          <cell r="AC11">
            <v>3</v>
          </cell>
          <cell r="AD11" t="str">
            <v>BLY PQ3</v>
          </cell>
          <cell r="AE11" t="str">
            <v>Water-based mud (WBM)</v>
          </cell>
          <cell r="AF11" t="str">
            <v>PureBore by Clear Solutions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B</v>
          </cell>
          <cell r="E12" t="str">
            <v>501_M0111_B_011H</v>
          </cell>
          <cell r="F12">
            <v>45802.6875</v>
          </cell>
          <cell r="G12" t="str">
            <v>WINK</v>
          </cell>
          <cell r="H12">
            <v>76.4</v>
          </cell>
          <cell r="I12">
            <v>0.29</v>
          </cell>
          <cell r="J12">
            <v>76.69</v>
          </cell>
          <cell r="K12">
            <v>1</v>
          </cell>
          <cell r="L12">
            <v>0.29</v>
          </cell>
          <cell r="M12">
            <v>100</v>
          </cell>
        </row>
        <row r="12">
          <cell r="P12" t="str">
            <v>likely infill</v>
          </cell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</row>
        <row r="12">
          <cell r="V12">
            <v>72</v>
          </cell>
          <cell r="W12">
            <v>0</v>
          </cell>
          <cell r="X12">
            <v>76.4</v>
          </cell>
          <cell r="Y12">
            <v>76.69</v>
          </cell>
        </row>
        <row r="12">
          <cell r="AA12" t="str">
            <v>IBCR0501ECB2Q01</v>
          </cell>
        </row>
        <row r="12">
          <cell r="AC12">
            <v>3</v>
          </cell>
          <cell r="AD12" t="str">
            <v>BLY PQ3</v>
          </cell>
          <cell r="AE12" t="str">
            <v>Water-based mud (WBM)</v>
          </cell>
          <cell r="AF12" t="str">
            <v>PureBore by Clear Solutions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B</v>
          </cell>
          <cell r="E13" t="str">
            <v>501_M0111_B_012R</v>
          </cell>
          <cell r="F13">
            <v>45802.7777777778</v>
          </cell>
          <cell r="G13" t="str">
            <v>WINK</v>
          </cell>
          <cell r="H13">
            <v>76.69</v>
          </cell>
          <cell r="I13">
            <v>2.91</v>
          </cell>
          <cell r="J13">
            <v>79.6</v>
          </cell>
          <cell r="K13">
            <v>2</v>
          </cell>
          <cell r="L13">
            <v>0.82</v>
          </cell>
          <cell r="M13">
            <v>28.18</v>
          </cell>
        </row>
        <row r="13"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</row>
        <row r="13">
          <cell r="V13">
            <v>72</v>
          </cell>
          <cell r="W13">
            <v>0</v>
          </cell>
          <cell r="X13">
            <v>76.69</v>
          </cell>
          <cell r="Y13">
            <v>79.6</v>
          </cell>
        </row>
        <row r="13">
          <cell r="AA13" t="str">
            <v>IBCR0501ECC2Q01</v>
          </cell>
        </row>
        <row r="13">
          <cell r="AC13">
            <v>3</v>
          </cell>
          <cell r="AD13" t="str">
            <v>BLY PQ3</v>
          </cell>
          <cell r="AE13" t="str">
            <v>Water-based mud (WBM)</v>
          </cell>
          <cell r="AF13" t="str">
            <v>PureBore by Clear Solutions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B</v>
          </cell>
          <cell r="E14" t="str">
            <v>501_M0111_B_013R</v>
          </cell>
          <cell r="F14">
            <v>45802.8229166667</v>
          </cell>
          <cell r="G14" t="str">
            <v>WINK</v>
          </cell>
          <cell r="H14">
            <v>79.6</v>
          </cell>
          <cell r="I14">
            <v>3</v>
          </cell>
          <cell r="J14">
            <v>82.6</v>
          </cell>
          <cell r="K14">
            <v>2</v>
          </cell>
          <cell r="L14">
            <v>1.06</v>
          </cell>
          <cell r="M14">
            <v>35.33</v>
          </cell>
        </row>
        <row r="14">
          <cell r="P14" t="str">
            <v>Mud sample taken</v>
          </cell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</row>
        <row r="14">
          <cell r="V14">
            <v>72</v>
          </cell>
          <cell r="W14">
            <v>0</v>
          </cell>
          <cell r="X14">
            <v>79.6</v>
          </cell>
          <cell r="Y14">
            <v>82.6</v>
          </cell>
        </row>
        <row r="14">
          <cell r="AA14" t="str">
            <v>IBCR0501ECD2Q01</v>
          </cell>
        </row>
        <row r="14">
          <cell r="AC14">
            <v>3</v>
          </cell>
          <cell r="AD14" t="str">
            <v>BLY PQ3</v>
          </cell>
          <cell r="AE14" t="str">
            <v>Water-based mud (WBM)</v>
          </cell>
          <cell r="AF14" t="str">
            <v>PureBore by Clear Solutions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B</v>
          </cell>
          <cell r="E15" t="str">
            <v>501_M0111_B_014R</v>
          </cell>
          <cell r="F15">
            <v>45802.8611111111</v>
          </cell>
          <cell r="G15" t="str">
            <v>WINK</v>
          </cell>
          <cell r="H15">
            <v>82.6</v>
          </cell>
          <cell r="I15">
            <v>2</v>
          </cell>
          <cell r="J15">
            <v>84.6</v>
          </cell>
          <cell r="K15">
            <v>1</v>
          </cell>
          <cell r="L15">
            <v>1.48</v>
          </cell>
          <cell r="M15">
            <v>74</v>
          </cell>
        </row>
        <row r="15"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</row>
        <row r="15">
          <cell r="V15">
            <v>72</v>
          </cell>
          <cell r="W15">
            <v>0</v>
          </cell>
          <cell r="X15">
            <v>82.6</v>
          </cell>
          <cell r="Y15">
            <v>84.6</v>
          </cell>
        </row>
        <row r="15">
          <cell r="AA15" t="str">
            <v>IBCR0501ECE2Q01</v>
          </cell>
        </row>
        <row r="15">
          <cell r="AC15">
            <v>3</v>
          </cell>
          <cell r="AD15" t="str">
            <v>BLY PQ3</v>
          </cell>
          <cell r="AE15" t="str">
            <v>Water-based mud (WBM)</v>
          </cell>
          <cell r="AF15" t="str">
            <v>PureBore by Clear Solutions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B</v>
          </cell>
          <cell r="E16" t="str">
            <v>501_M0111_B_015R</v>
          </cell>
          <cell r="F16">
            <v>45802.9131944444</v>
          </cell>
          <cell r="G16" t="str">
            <v>WINK</v>
          </cell>
          <cell r="H16">
            <v>84.6</v>
          </cell>
          <cell r="I16">
            <v>2</v>
          </cell>
          <cell r="J16">
            <v>86.6</v>
          </cell>
          <cell r="K16">
            <v>2</v>
          </cell>
          <cell r="L16">
            <v>2.22</v>
          </cell>
          <cell r="M16">
            <v>111</v>
          </cell>
        </row>
        <row r="16"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</row>
        <row r="16">
          <cell r="V16">
            <v>72</v>
          </cell>
          <cell r="W16">
            <v>0</v>
          </cell>
          <cell r="X16">
            <v>84.6</v>
          </cell>
          <cell r="Y16">
            <v>86.6</v>
          </cell>
        </row>
        <row r="16">
          <cell r="AA16" t="str">
            <v>IBCR0501ECF2Q01</v>
          </cell>
        </row>
        <row r="16">
          <cell r="AC16">
            <v>3</v>
          </cell>
          <cell r="AD16" t="str">
            <v>BLY PQ3</v>
          </cell>
          <cell r="AE16" t="str">
            <v>Water-based mud (WBM)</v>
          </cell>
          <cell r="AF16" t="str">
            <v>PureBore by Clear Solutions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B</v>
          </cell>
          <cell r="E17" t="str">
            <v>501_M0111_B_016R</v>
          </cell>
          <cell r="F17">
            <v>45802.9548611111</v>
          </cell>
          <cell r="G17" t="str">
            <v>WINK</v>
          </cell>
          <cell r="H17">
            <v>86.6</v>
          </cell>
          <cell r="I17">
            <v>1.8</v>
          </cell>
          <cell r="J17">
            <v>88.4</v>
          </cell>
          <cell r="K17">
            <v>1</v>
          </cell>
          <cell r="L17">
            <v>1.4</v>
          </cell>
          <cell r="M17">
            <v>77.78</v>
          </cell>
        </row>
        <row r="17">
          <cell r="Q17" t="str">
            <v>yes</v>
          </cell>
          <cell r="R17" t="str">
            <v>all</v>
          </cell>
          <cell r="S17" t="str">
            <v>R</v>
          </cell>
          <cell r="T17" t="str">
            <v>R (QD-TEC)</v>
          </cell>
        </row>
        <row r="17">
          <cell r="V17">
            <v>72</v>
          </cell>
          <cell r="W17">
            <v>0</v>
          </cell>
          <cell r="X17">
            <v>86.6</v>
          </cell>
          <cell r="Y17">
            <v>88.4</v>
          </cell>
        </row>
        <row r="17">
          <cell r="AA17" t="str">
            <v>IBCR0501ECG2Q01</v>
          </cell>
        </row>
        <row r="17">
          <cell r="AC17">
            <v>3</v>
          </cell>
          <cell r="AD17" t="str">
            <v>BLY PQ3</v>
          </cell>
          <cell r="AE17" t="str">
            <v>Water-based mud (WBM)</v>
          </cell>
          <cell r="AF17" t="str">
            <v>PureBore by Clear Solutions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B</v>
          </cell>
          <cell r="E18" t="str">
            <v>501_M0111_B_017R</v>
          </cell>
          <cell r="F18">
            <v>45803.0208333333</v>
          </cell>
          <cell r="G18" t="str">
            <v>WINK</v>
          </cell>
          <cell r="H18">
            <v>88.4</v>
          </cell>
          <cell r="I18">
            <v>2.7</v>
          </cell>
          <cell r="J18">
            <v>91.1</v>
          </cell>
          <cell r="K18">
            <v>2</v>
          </cell>
          <cell r="L18">
            <v>1.73</v>
          </cell>
          <cell r="M18">
            <v>64.07</v>
          </cell>
        </row>
        <row r="18"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</row>
        <row r="18">
          <cell r="V18">
            <v>72</v>
          </cell>
          <cell r="W18">
            <v>0</v>
          </cell>
          <cell r="X18">
            <v>88.4</v>
          </cell>
          <cell r="Y18">
            <v>91.1</v>
          </cell>
        </row>
        <row r="18">
          <cell r="AA18" t="str">
            <v>IBCR0501ECH2Q01</v>
          </cell>
        </row>
        <row r="18">
          <cell r="AC18">
            <v>3</v>
          </cell>
          <cell r="AD18" t="str">
            <v>BLY PQ3</v>
          </cell>
          <cell r="AE18" t="str">
            <v>Water-based mud (WBM)</v>
          </cell>
          <cell r="AF18" t="str">
            <v>PureBore by Clear Solutions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B</v>
          </cell>
          <cell r="E19" t="str">
            <v>501_M0111_B_018R</v>
          </cell>
          <cell r="F19">
            <v>45803.0555555556</v>
          </cell>
          <cell r="G19" t="str">
            <v>WINK</v>
          </cell>
          <cell r="H19">
            <v>91.1</v>
          </cell>
          <cell r="I19">
            <v>3</v>
          </cell>
          <cell r="J19">
            <v>94.1</v>
          </cell>
          <cell r="K19">
            <v>2</v>
          </cell>
          <cell r="L19">
            <v>1.46</v>
          </cell>
          <cell r="M19">
            <v>48.67</v>
          </cell>
        </row>
        <row r="19"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</row>
        <row r="19">
          <cell r="V19">
            <v>72</v>
          </cell>
          <cell r="W19">
            <v>0</v>
          </cell>
          <cell r="X19">
            <v>91.1</v>
          </cell>
          <cell r="Y19">
            <v>94.1</v>
          </cell>
        </row>
        <row r="19">
          <cell r="AA19" t="str">
            <v>IBCR0501ECI2Q01</v>
          </cell>
        </row>
        <row r="19">
          <cell r="AC19">
            <v>3</v>
          </cell>
          <cell r="AD19" t="str">
            <v>BLY PQ3</v>
          </cell>
          <cell r="AE19" t="str">
            <v>Water-based mud (WBM)</v>
          </cell>
          <cell r="AF19" t="str">
            <v>PureBore by Clear Solutions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B</v>
          </cell>
          <cell r="E20" t="str">
            <v>501_M0111_B_019R</v>
          </cell>
          <cell r="F20">
            <v>45803.09375</v>
          </cell>
          <cell r="G20" t="str">
            <v>WINK</v>
          </cell>
          <cell r="H20">
            <v>94.1</v>
          </cell>
          <cell r="I20">
            <v>1.35</v>
          </cell>
          <cell r="J20">
            <v>95.45</v>
          </cell>
          <cell r="K20">
            <v>1</v>
          </cell>
          <cell r="L20">
            <v>0.39</v>
          </cell>
          <cell r="M20">
            <v>28.89</v>
          </cell>
        </row>
        <row r="20">
          <cell r="Q20" t="str">
            <v>yes</v>
          </cell>
          <cell r="R20" t="str">
            <v>all</v>
          </cell>
          <cell r="S20" t="str">
            <v>R</v>
          </cell>
          <cell r="T20" t="str">
            <v>R (QD-TEC)</v>
          </cell>
        </row>
        <row r="20">
          <cell r="V20">
            <v>72</v>
          </cell>
          <cell r="W20">
            <v>0</v>
          </cell>
          <cell r="X20">
            <v>94.1</v>
          </cell>
          <cell r="Y20">
            <v>95.45</v>
          </cell>
        </row>
        <row r="20">
          <cell r="AA20" t="str">
            <v>IBCR0501ECJ2Q01</v>
          </cell>
        </row>
        <row r="20">
          <cell r="AC20">
            <v>3</v>
          </cell>
          <cell r="AD20" t="str">
            <v>BLY PQ3</v>
          </cell>
          <cell r="AE20" t="str">
            <v>Water-based mud (WBM)</v>
          </cell>
          <cell r="AF20" t="str">
            <v>PureBore by Clear Solutions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B</v>
          </cell>
          <cell r="E21" t="str">
            <v>501_M0111_B_020R</v>
          </cell>
          <cell r="F21">
            <v>45803.1111111111</v>
          </cell>
          <cell r="G21" t="str">
            <v>WINK</v>
          </cell>
          <cell r="H21">
            <v>95.45</v>
          </cell>
          <cell r="I21">
            <v>1</v>
          </cell>
          <cell r="J21">
            <v>96.45</v>
          </cell>
          <cell r="K21">
            <v>0</v>
          </cell>
          <cell r="L21">
            <v>0</v>
          </cell>
          <cell r="M21">
            <v>0</v>
          </cell>
        </row>
        <row r="21">
          <cell r="P21" t="str">
            <v>core came up empty</v>
          </cell>
          <cell r="Q21" t="str">
            <v>no</v>
          </cell>
          <cell r="R21" t="str">
            <v>none</v>
          </cell>
          <cell r="S21" t="str">
            <v>R</v>
          </cell>
          <cell r="T21" t="str">
            <v>R (QD-TEC)</v>
          </cell>
        </row>
        <row r="21">
          <cell r="V21">
            <v>72</v>
          </cell>
          <cell r="W21">
            <v>0</v>
          </cell>
          <cell r="X21">
            <v>95.45</v>
          </cell>
          <cell r="Y21">
            <v>96.45</v>
          </cell>
        </row>
        <row r="21">
          <cell r="AA21" t="str">
            <v>IBCR0501ECK2Q01</v>
          </cell>
        </row>
        <row r="21">
          <cell r="AC21">
            <v>3</v>
          </cell>
          <cell r="AD21" t="str">
            <v>BLY PQ3</v>
          </cell>
          <cell r="AE21" t="str">
            <v>Water-based mud (WBM)</v>
          </cell>
          <cell r="AF21" t="str">
            <v>PureBore by Clear Solutions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B</v>
          </cell>
          <cell r="E22" t="str">
            <v>501_M0111_B_021H</v>
          </cell>
          <cell r="F22">
            <v>45803.1388888889</v>
          </cell>
          <cell r="G22" t="str">
            <v>WINK</v>
          </cell>
          <cell r="H22">
            <v>96.45</v>
          </cell>
          <cell r="I22">
            <v>2.31</v>
          </cell>
          <cell r="J22">
            <v>98.76</v>
          </cell>
          <cell r="K22">
            <v>2</v>
          </cell>
          <cell r="L22">
            <v>2.31</v>
          </cell>
          <cell r="M22">
            <v>100</v>
          </cell>
        </row>
        <row r="22"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</row>
        <row r="22">
          <cell r="V22">
            <v>72</v>
          </cell>
          <cell r="W22">
            <v>0</v>
          </cell>
          <cell r="X22">
            <v>96.45</v>
          </cell>
          <cell r="Y22">
            <v>98.76</v>
          </cell>
        </row>
        <row r="22">
          <cell r="AA22" t="str">
            <v>IBCR0501ECL2Q01</v>
          </cell>
        </row>
        <row r="22">
          <cell r="AC22">
            <v>3</v>
          </cell>
          <cell r="AD22" t="str">
            <v>BLY PQ3</v>
          </cell>
          <cell r="AE22" t="str">
            <v>Water-based mud (WBM)</v>
          </cell>
          <cell r="AF22" t="str">
            <v>PureBore by Clear Solutions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B</v>
          </cell>
          <cell r="E23" t="str">
            <v>501_M0111_B_022H</v>
          </cell>
          <cell r="F23">
            <v>45803.1666666667</v>
          </cell>
          <cell r="G23" t="str">
            <v>GEPR</v>
          </cell>
          <cell r="H23">
            <v>98.76</v>
          </cell>
          <cell r="I23">
            <v>1.73</v>
          </cell>
          <cell r="J23">
            <v>100.49</v>
          </cell>
          <cell r="K23">
            <v>2</v>
          </cell>
          <cell r="L23">
            <v>1.78</v>
          </cell>
          <cell r="M23">
            <v>102.89</v>
          </cell>
        </row>
        <row r="23"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</row>
        <row r="23">
          <cell r="V23">
            <v>72</v>
          </cell>
          <cell r="W23">
            <v>0</v>
          </cell>
          <cell r="X23">
            <v>98.76</v>
          </cell>
          <cell r="Y23">
            <v>100.49</v>
          </cell>
        </row>
        <row r="23">
          <cell r="AA23" t="str">
            <v>IBCR0501ECM2Q01</v>
          </cell>
        </row>
        <row r="23">
          <cell r="AC23">
            <v>3</v>
          </cell>
          <cell r="AD23" t="str">
            <v>BLY PQ3</v>
          </cell>
          <cell r="AE23" t="str">
            <v>Water-based mud (WBM)</v>
          </cell>
          <cell r="AF23" t="str">
            <v>PureBore by Clear Solutions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B</v>
          </cell>
          <cell r="E24" t="str">
            <v>501_M0111_B_023H</v>
          </cell>
          <cell r="F24">
            <v>45803.1944444444</v>
          </cell>
          <cell r="G24" t="str">
            <v>GEPR</v>
          </cell>
          <cell r="H24">
            <v>100.49</v>
          </cell>
          <cell r="I24">
            <v>1.35</v>
          </cell>
          <cell r="J24">
            <v>101.84</v>
          </cell>
          <cell r="K24">
            <v>2</v>
          </cell>
          <cell r="L24">
            <v>1.35</v>
          </cell>
          <cell r="M24">
            <v>100</v>
          </cell>
        </row>
        <row r="24">
          <cell r="P24" t="str">
            <v>liner collapsed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B</v>
          </cell>
          <cell r="E25" t="str">
            <v>501_M0111_B_024R</v>
          </cell>
          <cell r="F25">
            <v>45803.2708333333</v>
          </cell>
          <cell r="G25" t="str">
            <v>GEPR</v>
          </cell>
          <cell r="H25">
            <v>101.84</v>
          </cell>
          <cell r="I25">
            <v>1.76</v>
          </cell>
          <cell r="J25">
            <v>103.6</v>
          </cell>
          <cell r="K25">
            <v>2</v>
          </cell>
          <cell r="L25">
            <v>2.14</v>
          </cell>
          <cell r="M25">
            <v>121.59</v>
          </cell>
        </row>
        <row r="25">
          <cell r="P25" t="str">
            <v>core slipped out of liner during lifting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B</v>
          </cell>
          <cell r="E26" t="str">
            <v>501_M0111_B_025R</v>
          </cell>
          <cell r="F26">
            <v>45803.3090277778</v>
          </cell>
          <cell r="G26" t="str">
            <v>GEPR</v>
          </cell>
          <cell r="H26">
            <v>103.6</v>
          </cell>
          <cell r="I26">
            <v>3</v>
          </cell>
          <cell r="J26">
            <v>106.6</v>
          </cell>
          <cell r="K26">
            <v>1</v>
          </cell>
          <cell r="L26">
            <v>0.15</v>
          </cell>
          <cell r="M26">
            <v>5</v>
          </cell>
        </row>
        <row r="26">
          <cell r="P26" t="str">
            <v>core slipped out of liner during lifting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B</v>
          </cell>
          <cell r="E27" t="str">
            <v>501_M0111_B_026R</v>
          </cell>
          <cell r="F27">
            <v>45803.3645833333</v>
          </cell>
          <cell r="G27" t="str">
            <v>GEPR</v>
          </cell>
          <cell r="H27">
            <v>106.6</v>
          </cell>
          <cell r="I27">
            <v>3</v>
          </cell>
          <cell r="J27">
            <v>109.6</v>
          </cell>
          <cell r="K27">
            <v>2</v>
          </cell>
          <cell r="L27">
            <v>2.46</v>
          </cell>
          <cell r="M27">
            <v>82</v>
          </cell>
        </row>
        <row r="27">
          <cell r="Q27" t="str">
            <v>yes</v>
          </cell>
          <cell r="R27" t="str">
            <v>all</v>
          </cell>
          <cell r="S27" t="str">
            <v>R</v>
          </cell>
          <cell r="T27" t="str">
            <v>R (QD-TEC)</v>
          </cell>
        </row>
        <row r="27">
          <cell r="V27">
            <v>72</v>
          </cell>
          <cell r="W27">
            <v>0</v>
          </cell>
          <cell r="X27">
            <v>106.6</v>
          </cell>
          <cell r="Y27">
            <v>109.6</v>
          </cell>
        </row>
        <row r="27">
          <cell r="AA27" t="str">
            <v>IBCR0501ECQ2Q01</v>
          </cell>
        </row>
        <row r="27">
          <cell r="AC27">
            <v>3</v>
          </cell>
          <cell r="AD27" t="str">
            <v>BLY PQ3</v>
          </cell>
          <cell r="AE27" t="str">
            <v>Water-based mud (WBM)</v>
          </cell>
          <cell r="AF27" t="str">
            <v>PureBore by Clear Solutions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B</v>
          </cell>
          <cell r="E28" t="str">
            <v>501_M0111_B_027R</v>
          </cell>
          <cell r="F28">
            <v>45803.3958333333</v>
          </cell>
          <cell r="G28" t="str">
            <v>GEPR</v>
          </cell>
          <cell r="H28">
            <v>109.6</v>
          </cell>
          <cell r="I28">
            <v>2.7</v>
          </cell>
          <cell r="J28">
            <v>112.3</v>
          </cell>
          <cell r="K28">
            <v>2</v>
          </cell>
          <cell r="L28">
            <v>2.79</v>
          </cell>
          <cell r="M28">
            <v>103.33</v>
          </cell>
        </row>
        <row r="28"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</row>
        <row r="28">
          <cell r="V28">
            <v>72</v>
          </cell>
          <cell r="W28">
            <v>0</v>
          </cell>
          <cell r="X28">
            <v>109.6</v>
          </cell>
          <cell r="Y28">
            <v>112.3</v>
          </cell>
        </row>
        <row r="28">
          <cell r="AA28" t="str">
            <v>IBCR0501ECS2Q01</v>
          </cell>
        </row>
        <row r="28">
          <cell r="AC28">
            <v>3</v>
          </cell>
          <cell r="AD28" t="str">
            <v>BLY PQ3</v>
          </cell>
          <cell r="AE28" t="str">
            <v>Water-based mud (WBM)</v>
          </cell>
          <cell r="AF28" t="str">
            <v>PureBore by Clear Solutions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B</v>
          </cell>
          <cell r="E29" t="str">
            <v>501_M0111_B_028R</v>
          </cell>
          <cell r="F29">
            <v>45803.4340277778</v>
          </cell>
          <cell r="G29" t="str">
            <v>GEPR</v>
          </cell>
          <cell r="H29">
            <v>112.3</v>
          </cell>
          <cell r="I29">
            <v>3</v>
          </cell>
          <cell r="J29">
            <v>115.3</v>
          </cell>
          <cell r="K29">
            <v>2</v>
          </cell>
          <cell r="L29">
            <v>2.95</v>
          </cell>
          <cell r="M29">
            <v>98.33</v>
          </cell>
        </row>
        <row r="29"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</row>
        <row r="29">
          <cell r="V29">
            <v>72</v>
          </cell>
          <cell r="W29">
            <v>0</v>
          </cell>
          <cell r="X29">
            <v>112.3</v>
          </cell>
          <cell r="Y29">
            <v>115.3</v>
          </cell>
        </row>
        <row r="29">
          <cell r="AA29" t="str">
            <v>IBCR0501ECT2Q01</v>
          </cell>
        </row>
        <row r="29">
          <cell r="AC29">
            <v>3</v>
          </cell>
          <cell r="AD29" t="str">
            <v>BLY PQ3</v>
          </cell>
          <cell r="AE29" t="str">
            <v>Water-based mud (WBM)</v>
          </cell>
          <cell r="AF29" t="str">
            <v>PureBore by Clear Solutions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B</v>
          </cell>
          <cell r="E30" t="str">
            <v>501_M0111_B_029R</v>
          </cell>
          <cell r="F30">
            <v>45803.46875</v>
          </cell>
          <cell r="G30" t="str">
            <v>GEPR</v>
          </cell>
          <cell r="H30">
            <v>115.3</v>
          </cell>
          <cell r="I30">
            <v>3</v>
          </cell>
          <cell r="J30">
            <v>118.3</v>
          </cell>
          <cell r="K30">
            <v>3</v>
          </cell>
          <cell r="L30">
            <v>3.23</v>
          </cell>
          <cell r="M30">
            <v>107.67</v>
          </cell>
        </row>
        <row r="30"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</row>
        <row r="30">
          <cell r="V30">
            <v>72</v>
          </cell>
          <cell r="W30">
            <v>0</v>
          </cell>
          <cell r="X30">
            <v>115.3</v>
          </cell>
          <cell r="Y30">
            <v>118.3</v>
          </cell>
        </row>
        <row r="30">
          <cell r="AA30" t="str">
            <v>IBCR0501ECU2Q01</v>
          </cell>
        </row>
        <row r="30">
          <cell r="AC30">
            <v>3</v>
          </cell>
          <cell r="AD30" t="str">
            <v>BLY PQ3</v>
          </cell>
          <cell r="AE30" t="str">
            <v>Water-based mud (WBM)</v>
          </cell>
          <cell r="AF30" t="str">
            <v>PureBore by Clear Solutions</v>
          </cell>
        </row>
        <row r="31">
          <cell r="A31">
            <v>30</v>
          </cell>
          <cell r="B31">
            <v>501</v>
          </cell>
          <cell r="C31" t="str">
            <v>M0111</v>
          </cell>
          <cell r="D31" t="str">
            <v>B</v>
          </cell>
          <cell r="E31" t="str">
            <v>501_M0111_B_030R</v>
          </cell>
          <cell r="F31">
            <v>45803.5208333333</v>
          </cell>
          <cell r="G31" t="str">
            <v>GEPR</v>
          </cell>
          <cell r="H31">
            <v>118.3</v>
          </cell>
          <cell r="I31">
            <v>3</v>
          </cell>
          <cell r="J31">
            <v>121.3</v>
          </cell>
          <cell r="K31">
            <v>2</v>
          </cell>
          <cell r="L31">
            <v>2.46</v>
          </cell>
          <cell r="M31">
            <v>82</v>
          </cell>
        </row>
        <row r="31"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</row>
        <row r="31">
          <cell r="V31">
            <v>72</v>
          </cell>
          <cell r="W31">
            <v>0</v>
          </cell>
          <cell r="X31">
            <v>118.3</v>
          </cell>
          <cell r="Y31">
            <v>121.3</v>
          </cell>
        </row>
        <row r="31">
          <cell r="AA31" t="str">
            <v>IBCR0501ECV2Q01</v>
          </cell>
        </row>
        <row r="31">
          <cell r="AC31">
            <v>3</v>
          </cell>
          <cell r="AD31" t="str">
            <v>BLY PQ3</v>
          </cell>
          <cell r="AE31" t="str">
            <v>Water-based mud (WBM)</v>
          </cell>
          <cell r="AF31" t="str">
            <v>PureBore by Clear Solutions</v>
          </cell>
        </row>
        <row r="32">
          <cell r="A32">
            <v>31</v>
          </cell>
          <cell r="B32">
            <v>501</v>
          </cell>
          <cell r="C32" t="str">
            <v>M0111</v>
          </cell>
          <cell r="D32" t="str">
            <v>B</v>
          </cell>
          <cell r="E32" t="str">
            <v>501_M0111_B_031R</v>
          </cell>
          <cell r="F32">
            <v>45803.5520833333</v>
          </cell>
          <cell r="G32" t="str">
            <v>GEPR</v>
          </cell>
          <cell r="H32">
            <v>121.3</v>
          </cell>
          <cell r="I32">
            <v>2.4</v>
          </cell>
          <cell r="J32">
            <v>123.7</v>
          </cell>
          <cell r="K32">
            <v>2</v>
          </cell>
          <cell r="L32">
            <v>2.52</v>
          </cell>
          <cell r="M32">
            <v>105</v>
          </cell>
        </row>
        <row r="32">
          <cell r="P32" t="str">
            <v>microsheres inserted</v>
          </cell>
        </row>
        <row r="33">
          <cell r="A33">
            <v>32</v>
          </cell>
          <cell r="B33">
            <v>501</v>
          </cell>
          <cell r="C33" t="str">
            <v>M0111</v>
          </cell>
          <cell r="D33" t="str">
            <v>B</v>
          </cell>
          <cell r="E33" t="str">
            <v>501_M0111_B_032R</v>
          </cell>
          <cell r="F33">
            <v>45803.5972222222</v>
          </cell>
          <cell r="G33" t="str">
            <v>GEPR</v>
          </cell>
          <cell r="H33">
            <v>124.3</v>
          </cell>
          <cell r="I33">
            <v>2.4</v>
          </cell>
          <cell r="J33">
            <v>126.7</v>
          </cell>
          <cell r="K33">
            <v>1</v>
          </cell>
          <cell r="L33">
            <v>0.34</v>
          </cell>
          <cell r="M33">
            <v>14.17</v>
          </cell>
        </row>
        <row r="33">
          <cell r="Q33" t="str">
            <v>yes</v>
          </cell>
          <cell r="R33" t="str">
            <v>all</v>
          </cell>
          <cell r="S33" t="str">
            <v>R</v>
          </cell>
          <cell r="T33" t="str">
            <v>R (QD-TEC)</v>
          </cell>
        </row>
        <row r="33">
          <cell r="V33">
            <v>72</v>
          </cell>
          <cell r="W33">
            <v>0</v>
          </cell>
          <cell r="X33">
            <v>124.3</v>
          </cell>
          <cell r="Y33">
            <v>126.7</v>
          </cell>
        </row>
        <row r="33">
          <cell r="AA33" t="str">
            <v>IBCR0501ECX2Q01</v>
          </cell>
        </row>
        <row r="33">
          <cell r="AC33">
            <v>3</v>
          </cell>
          <cell r="AD33" t="str">
            <v>BLY PQ3</v>
          </cell>
          <cell r="AE33" t="str">
            <v>Water-based mud (WBM)</v>
          </cell>
          <cell r="AF33" t="str">
            <v>PureBore by Clear Solutions</v>
          </cell>
        </row>
        <row r="34">
          <cell r="A34">
            <v>33</v>
          </cell>
          <cell r="B34">
            <v>501</v>
          </cell>
          <cell r="C34" t="str">
            <v>M0111</v>
          </cell>
          <cell r="D34" t="str">
            <v>B</v>
          </cell>
          <cell r="E34" t="str">
            <v>501_M0111_B_033R</v>
          </cell>
          <cell r="F34">
            <v>45803.6111111111</v>
          </cell>
          <cell r="G34" t="str">
            <v>GEPR</v>
          </cell>
          <cell r="H34">
            <v>126.7</v>
          </cell>
          <cell r="I34">
            <v>0.34</v>
          </cell>
          <cell r="J34">
            <v>127.04</v>
          </cell>
          <cell r="K34">
            <v>2</v>
          </cell>
          <cell r="L34">
            <v>0.78</v>
          </cell>
          <cell r="M34">
            <v>229.41</v>
          </cell>
        </row>
        <row r="34">
          <cell r="Q34" t="str">
            <v>yes</v>
          </cell>
          <cell r="R34" t="str">
            <v>all</v>
          </cell>
          <cell r="S34" t="str">
            <v>R</v>
          </cell>
          <cell r="T34" t="str">
            <v>R (QD-TEC)</v>
          </cell>
        </row>
        <row r="34">
          <cell r="V34">
            <v>72</v>
          </cell>
          <cell r="W34">
            <v>0</v>
          </cell>
          <cell r="X34">
            <v>126.7</v>
          </cell>
          <cell r="Y34">
            <v>127.04</v>
          </cell>
        </row>
        <row r="34">
          <cell r="AA34" t="str">
            <v>IBCR0501ECY2Q01</v>
          </cell>
        </row>
        <row r="34">
          <cell r="AC34">
            <v>3</v>
          </cell>
          <cell r="AD34" t="str">
            <v>BLY PQ3</v>
          </cell>
          <cell r="AE34" t="str">
            <v>Water-based mud (WBM)</v>
          </cell>
          <cell r="AF34" t="str">
            <v>PureBore by Clear Solutions</v>
          </cell>
        </row>
        <row r="35">
          <cell r="A35">
            <v>34</v>
          </cell>
          <cell r="B35">
            <v>501</v>
          </cell>
          <cell r="C35" t="str">
            <v>M0111</v>
          </cell>
          <cell r="D35" t="str">
            <v>B</v>
          </cell>
          <cell r="E35" t="str">
            <v>501_M0111_B_034R</v>
          </cell>
          <cell r="F35">
            <v>45805.1597222222</v>
          </cell>
          <cell r="G35" t="str">
            <v>GEPR</v>
          </cell>
          <cell r="H35">
            <v>121.52</v>
          </cell>
          <cell r="I35">
            <v>1</v>
          </cell>
          <cell r="J35">
            <v>122.52</v>
          </cell>
          <cell r="K35">
            <v>2</v>
          </cell>
          <cell r="L35">
            <v>1.58</v>
          </cell>
          <cell r="M35">
            <v>158</v>
          </cell>
        </row>
        <row r="35">
          <cell r="Q35" t="str">
            <v>yes</v>
          </cell>
          <cell r="R35" t="str">
            <v>all</v>
          </cell>
          <cell r="S35" t="str">
            <v>R</v>
          </cell>
          <cell r="T35" t="str">
            <v>R (BLY-HQ3)</v>
          </cell>
        </row>
        <row r="35">
          <cell r="V35">
            <v>61</v>
          </cell>
          <cell r="W35">
            <v>0</v>
          </cell>
          <cell r="X35">
            <v>121.52</v>
          </cell>
          <cell r="Y35">
            <v>122.52</v>
          </cell>
        </row>
        <row r="35">
          <cell r="AA35" t="str">
            <v>IBCR0501ECZ2Q01</v>
          </cell>
        </row>
        <row r="35">
          <cell r="AC35">
            <v>3</v>
          </cell>
          <cell r="AD35" t="str">
            <v>BLY HQ3</v>
          </cell>
          <cell r="AE35" t="str">
            <v>Water-based mud (WBM)</v>
          </cell>
          <cell r="AF35" t="str">
            <v>PureBore by Clear Solutions</v>
          </cell>
        </row>
        <row r="36">
          <cell r="A36">
            <v>35</v>
          </cell>
          <cell r="B36">
            <v>501</v>
          </cell>
          <cell r="C36" t="str">
            <v>M0111</v>
          </cell>
          <cell r="D36" t="str">
            <v>B</v>
          </cell>
          <cell r="E36" t="str">
            <v>501_M0111_B_035R</v>
          </cell>
          <cell r="F36">
            <v>45805.2048611111</v>
          </cell>
          <cell r="G36" t="str">
            <v>GEPR</v>
          </cell>
          <cell r="H36">
            <v>122.52</v>
          </cell>
          <cell r="I36">
            <v>3.05</v>
          </cell>
          <cell r="J36">
            <v>125.57</v>
          </cell>
          <cell r="K36">
            <v>3</v>
          </cell>
          <cell r="L36">
            <v>3.15</v>
          </cell>
          <cell r="M36">
            <v>103.28</v>
          </cell>
        </row>
        <row r="36">
          <cell r="Q36" t="str">
            <v>yes</v>
          </cell>
          <cell r="R36" t="str">
            <v>all</v>
          </cell>
          <cell r="S36" t="str">
            <v>R</v>
          </cell>
          <cell r="T36" t="str">
            <v>R (BLY-HQ3)</v>
          </cell>
        </row>
        <row r="36">
          <cell r="V36">
            <v>61</v>
          </cell>
          <cell r="W36">
            <v>0</v>
          </cell>
          <cell r="X36">
            <v>122.52</v>
          </cell>
          <cell r="Y36">
            <v>125.57</v>
          </cell>
        </row>
        <row r="36">
          <cell r="AA36" t="str">
            <v>IBCR0501EC03Q01</v>
          </cell>
        </row>
        <row r="36">
          <cell r="AC36">
            <v>3</v>
          </cell>
          <cell r="AD36" t="str">
            <v>BLY HQ3</v>
          </cell>
          <cell r="AE36" t="str">
            <v>Water-based mud (WBM)</v>
          </cell>
          <cell r="AF36" t="str">
            <v>PureBore by Clear Solutions</v>
          </cell>
        </row>
        <row r="37">
          <cell r="A37">
            <v>36</v>
          </cell>
          <cell r="B37">
            <v>501</v>
          </cell>
          <cell r="C37" t="str">
            <v>M0111</v>
          </cell>
          <cell r="D37" t="str">
            <v>B</v>
          </cell>
          <cell r="E37" t="str">
            <v>501_M0111_B_036R</v>
          </cell>
          <cell r="F37">
            <v>45805.2743055556</v>
          </cell>
          <cell r="G37" t="str">
            <v>GEPR</v>
          </cell>
          <cell r="H37">
            <v>125.57</v>
          </cell>
          <cell r="I37">
            <v>2.07</v>
          </cell>
          <cell r="J37">
            <v>127.64</v>
          </cell>
          <cell r="K37">
            <v>2</v>
          </cell>
          <cell r="L37">
            <v>1.91</v>
          </cell>
          <cell r="M37">
            <v>92.27</v>
          </cell>
        </row>
        <row r="37">
          <cell r="Q37" t="str">
            <v>yes</v>
          </cell>
          <cell r="R37" t="str">
            <v>all</v>
          </cell>
          <cell r="S37" t="str">
            <v>R</v>
          </cell>
          <cell r="T37" t="str">
            <v>R (BLY-HQ3)</v>
          </cell>
        </row>
        <row r="37">
          <cell r="V37">
            <v>61</v>
          </cell>
          <cell r="W37">
            <v>0</v>
          </cell>
          <cell r="X37">
            <v>125.57</v>
          </cell>
          <cell r="Y37">
            <v>127.64</v>
          </cell>
        </row>
        <row r="37">
          <cell r="AA37" t="str">
            <v>IBCR0501EC13Q01</v>
          </cell>
        </row>
        <row r="37">
          <cell r="AC37">
            <v>3</v>
          </cell>
          <cell r="AD37" t="str">
            <v>BLY HQ3</v>
          </cell>
          <cell r="AE37" t="str">
            <v>Water-based mud (WBM)</v>
          </cell>
          <cell r="AF37" t="str">
            <v>PureBore by Clear Solutions</v>
          </cell>
        </row>
        <row r="38">
          <cell r="A38">
            <v>37</v>
          </cell>
          <cell r="B38">
            <v>501</v>
          </cell>
          <cell r="C38" t="str">
            <v>M0111</v>
          </cell>
          <cell r="D38" t="str">
            <v>B</v>
          </cell>
          <cell r="E38" t="str">
            <v>501_M0111_B_037R</v>
          </cell>
          <cell r="F38">
            <v>45805.2743055556</v>
          </cell>
          <cell r="G38" t="str">
            <v>GEPR</v>
          </cell>
          <cell r="H38">
            <v>127.64</v>
          </cell>
          <cell r="I38">
            <v>1.75</v>
          </cell>
          <cell r="J38">
            <v>129.39</v>
          </cell>
          <cell r="K38">
            <v>1</v>
          </cell>
          <cell r="L38">
            <v>1.07</v>
          </cell>
          <cell r="M38">
            <v>61.14</v>
          </cell>
        </row>
        <row r="38">
          <cell r="Q38" t="str">
            <v>yes</v>
          </cell>
          <cell r="R38" t="str">
            <v>all</v>
          </cell>
          <cell r="S38" t="str">
            <v>R</v>
          </cell>
          <cell r="T38" t="str">
            <v>R (BLY-HQ3)</v>
          </cell>
        </row>
        <row r="38">
          <cell r="V38">
            <v>61</v>
          </cell>
          <cell r="W38">
            <v>0</v>
          </cell>
          <cell r="X38">
            <v>127.64</v>
          </cell>
          <cell r="Y38">
            <v>129.39</v>
          </cell>
        </row>
        <row r="38">
          <cell r="AA38" t="str">
            <v>IBCR0501EC23Q01</v>
          </cell>
        </row>
        <row r="38">
          <cell r="AC38">
            <v>3</v>
          </cell>
          <cell r="AD38" t="str">
            <v>BLY HQ3</v>
          </cell>
          <cell r="AE38" t="str">
            <v>Water-based mud (WBM)</v>
          </cell>
          <cell r="AF38" t="str">
            <v>PureBore by Clear Solutions</v>
          </cell>
        </row>
        <row r="39">
          <cell r="A39">
            <v>38</v>
          </cell>
          <cell r="B39">
            <v>501</v>
          </cell>
          <cell r="C39" t="str">
            <v>M0111</v>
          </cell>
          <cell r="D39" t="str">
            <v>B</v>
          </cell>
          <cell r="E39" t="str">
            <v>501_M0111_B_038R</v>
          </cell>
          <cell r="F39">
            <v>45805.2777777778</v>
          </cell>
          <cell r="G39" t="str">
            <v>GEPR</v>
          </cell>
          <cell r="H39">
            <v>129.39</v>
          </cell>
          <cell r="I39">
            <v>2.28</v>
          </cell>
          <cell r="J39">
            <v>131.67</v>
          </cell>
          <cell r="K39">
            <v>2</v>
          </cell>
          <cell r="L39">
            <v>2.1</v>
          </cell>
          <cell r="M39">
            <v>92.11</v>
          </cell>
        </row>
        <row r="39">
          <cell r="Q39" t="str">
            <v>yes</v>
          </cell>
          <cell r="R39" t="str">
            <v>all</v>
          </cell>
          <cell r="S39" t="str">
            <v>R</v>
          </cell>
          <cell r="T39" t="str">
            <v>R (BLY-HQ3)</v>
          </cell>
        </row>
        <row r="39">
          <cell r="V39">
            <v>61</v>
          </cell>
          <cell r="W39">
            <v>0</v>
          </cell>
          <cell r="X39">
            <v>129.39</v>
          </cell>
          <cell r="Y39">
            <v>131.67</v>
          </cell>
        </row>
        <row r="39">
          <cell r="AA39" t="str">
            <v>IBCR0501EC33Q01</v>
          </cell>
        </row>
        <row r="39">
          <cell r="AC39">
            <v>3</v>
          </cell>
          <cell r="AD39" t="str">
            <v>BLY HQ3</v>
          </cell>
          <cell r="AE39" t="str">
            <v>Water-based mud (WBM)</v>
          </cell>
          <cell r="AF39" t="str">
            <v>PureBore by Clear Solutions</v>
          </cell>
        </row>
        <row r="40">
          <cell r="A40">
            <v>39</v>
          </cell>
          <cell r="B40">
            <v>501</v>
          </cell>
          <cell r="C40" t="str">
            <v>M0111</v>
          </cell>
          <cell r="D40" t="str">
            <v>B</v>
          </cell>
          <cell r="E40" t="str">
            <v>501_M0111_B_039R</v>
          </cell>
          <cell r="F40">
            <v>45805.2986111111</v>
          </cell>
          <cell r="G40" t="str">
            <v>GEPR</v>
          </cell>
          <cell r="H40">
            <v>131.67</v>
          </cell>
          <cell r="I40">
            <v>3.05</v>
          </cell>
          <cell r="J40">
            <v>134.72</v>
          </cell>
          <cell r="K40">
            <v>2</v>
          </cell>
          <cell r="L40">
            <v>2.79</v>
          </cell>
          <cell r="M40">
            <v>91.48</v>
          </cell>
        </row>
        <row r="40">
          <cell r="Q40" t="str">
            <v>yes</v>
          </cell>
          <cell r="R40" t="str">
            <v>all</v>
          </cell>
          <cell r="S40" t="str">
            <v>R</v>
          </cell>
          <cell r="T40" t="str">
            <v>R (BLY-HQ3)</v>
          </cell>
        </row>
        <row r="40">
          <cell r="V40">
            <v>61</v>
          </cell>
          <cell r="W40">
            <v>0</v>
          </cell>
          <cell r="X40">
            <v>131.67</v>
          </cell>
          <cell r="Y40">
            <v>134.72</v>
          </cell>
        </row>
        <row r="40">
          <cell r="AA40" t="str">
            <v>IBCR0501EC43Q01</v>
          </cell>
        </row>
        <row r="40">
          <cell r="AC40">
            <v>3</v>
          </cell>
          <cell r="AD40" t="str">
            <v>BLY HQ3</v>
          </cell>
          <cell r="AE40" t="str">
            <v>Water-based mud (WBM)</v>
          </cell>
          <cell r="AF40" t="str">
            <v>PureBore by Clear Solutions</v>
          </cell>
        </row>
        <row r="41">
          <cell r="A41">
            <v>40</v>
          </cell>
          <cell r="B41">
            <v>501</v>
          </cell>
          <cell r="C41" t="str">
            <v>M0111</v>
          </cell>
          <cell r="D41" t="str">
            <v>B</v>
          </cell>
          <cell r="E41" t="str">
            <v>501_M0111_B_040R</v>
          </cell>
          <cell r="F41">
            <v>45805.3263888889</v>
          </cell>
          <cell r="G41" t="str">
            <v>GEPR</v>
          </cell>
          <cell r="H41">
            <v>134.72</v>
          </cell>
          <cell r="I41">
            <v>3.05</v>
          </cell>
          <cell r="J41">
            <v>137.77</v>
          </cell>
          <cell r="K41">
            <v>1</v>
          </cell>
          <cell r="L41">
            <v>1.15</v>
          </cell>
          <cell r="M41">
            <v>37.7</v>
          </cell>
        </row>
        <row r="41">
          <cell r="Q41" t="str">
            <v>yes</v>
          </cell>
          <cell r="R41" t="str">
            <v>all</v>
          </cell>
          <cell r="S41" t="str">
            <v>R</v>
          </cell>
          <cell r="T41" t="str">
            <v>R (BLY-HQ3)</v>
          </cell>
        </row>
        <row r="41">
          <cell r="V41">
            <v>61</v>
          </cell>
          <cell r="W41">
            <v>0</v>
          </cell>
          <cell r="X41">
            <v>134.72</v>
          </cell>
          <cell r="Y41">
            <v>137.77</v>
          </cell>
        </row>
        <row r="41">
          <cell r="AA41" t="str">
            <v>IBCR0501EC53Q01</v>
          </cell>
        </row>
        <row r="41">
          <cell r="AC41">
            <v>3</v>
          </cell>
          <cell r="AD41" t="str">
            <v>BLY HQ3</v>
          </cell>
          <cell r="AE41" t="str">
            <v>Water-based mud (WBM)</v>
          </cell>
          <cell r="AF41" t="str">
            <v>PureBore by Clear Solutions</v>
          </cell>
        </row>
        <row r="42">
          <cell r="A42">
            <v>41</v>
          </cell>
          <cell r="B42">
            <v>501</v>
          </cell>
          <cell r="C42" t="str">
            <v>M0111</v>
          </cell>
          <cell r="D42" t="str">
            <v>B</v>
          </cell>
          <cell r="E42" t="str">
            <v>501_M0111_B_041R</v>
          </cell>
          <cell r="F42">
            <v>45805.3402777778</v>
          </cell>
          <cell r="G42" t="str">
            <v>GEPR</v>
          </cell>
          <cell r="H42">
            <v>137.77</v>
          </cell>
          <cell r="I42">
            <v>3.05</v>
          </cell>
          <cell r="J42">
            <v>140.82</v>
          </cell>
          <cell r="K42">
            <v>2</v>
          </cell>
          <cell r="L42">
            <v>2.46</v>
          </cell>
          <cell r="M42">
            <v>80.66</v>
          </cell>
        </row>
        <row r="42">
          <cell r="Q42" t="str">
            <v>yes</v>
          </cell>
          <cell r="R42" t="str">
            <v>all</v>
          </cell>
          <cell r="S42" t="str">
            <v>R</v>
          </cell>
          <cell r="T42" t="str">
            <v>R (BLY-HQ3)</v>
          </cell>
        </row>
        <row r="42">
          <cell r="V42">
            <v>61</v>
          </cell>
          <cell r="W42">
            <v>0</v>
          </cell>
          <cell r="X42">
            <v>137.77</v>
          </cell>
          <cell r="Y42">
            <v>140.82</v>
          </cell>
        </row>
        <row r="42">
          <cell r="AA42" t="str">
            <v>IBCR0501EC63Q01</v>
          </cell>
        </row>
        <row r="42">
          <cell r="AC42">
            <v>3</v>
          </cell>
          <cell r="AD42" t="str">
            <v>BLY HQ3</v>
          </cell>
          <cell r="AE42" t="str">
            <v>Water-based mud (WBM)</v>
          </cell>
          <cell r="AF42" t="str">
            <v>PureBore by Clear Solutions</v>
          </cell>
        </row>
        <row r="43">
          <cell r="A43">
            <v>42</v>
          </cell>
          <cell r="B43">
            <v>501</v>
          </cell>
          <cell r="C43" t="str">
            <v>M0111</v>
          </cell>
          <cell r="D43" t="str">
            <v>B</v>
          </cell>
          <cell r="E43" t="str">
            <v>501_M0111_B_042R</v>
          </cell>
          <cell r="F43">
            <v>45805.3715277778</v>
          </cell>
          <cell r="G43" t="str">
            <v>GEPR</v>
          </cell>
          <cell r="H43">
            <v>140.82</v>
          </cell>
          <cell r="I43">
            <v>3.05</v>
          </cell>
          <cell r="J43">
            <v>143.87</v>
          </cell>
          <cell r="K43">
            <v>1</v>
          </cell>
          <cell r="L43">
            <v>1.05</v>
          </cell>
          <cell r="M43">
            <v>34.43</v>
          </cell>
        </row>
        <row r="43">
          <cell r="Q43" t="str">
            <v>yes</v>
          </cell>
          <cell r="R43" t="str">
            <v>all</v>
          </cell>
          <cell r="S43" t="str">
            <v>R</v>
          </cell>
          <cell r="T43" t="str">
            <v>R (BLY-HQ3)</v>
          </cell>
        </row>
        <row r="43">
          <cell r="V43">
            <v>61</v>
          </cell>
          <cell r="W43">
            <v>0</v>
          </cell>
          <cell r="X43">
            <v>140.82</v>
          </cell>
          <cell r="Y43">
            <v>143.87</v>
          </cell>
        </row>
        <row r="43">
          <cell r="AA43" t="str">
            <v>IBCR0501EC73Q01</v>
          </cell>
        </row>
        <row r="43">
          <cell r="AC43">
            <v>3</v>
          </cell>
          <cell r="AD43" t="str">
            <v>BLY HQ3</v>
          </cell>
          <cell r="AE43" t="str">
            <v>Water-based mud (WBM)</v>
          </cell>
          <cell r="AF43" t="str">
            <v>PureBore by Clear Solutions</v>
          </cell>
        </row>
        <row r="44">
          <cell r="A44">
            <v>43</v>
          </cell>
          <cell r="B44">
            <v>501</v>
          </cell>
          <cell r="C44" t="str">
            <v>M0111</v>
          </cell>
          <cell r="D44" t="str">
            <v>B</v>
          </cell>
          <cell r="E44" t="str">
            <v>501_M0111_B_043R</v>
          </cell>
          <cell r="F44">
            <v>45805.3888888889</v>
          </cell>
          <cell r="G44" t="str">
            <v>GEPR</v>
          </cell>
          <cell r="H44">
            <v>143.87</v>
          </cell>
          <cell r="I44">
            <v>2.24</v>
          </cell>
          <cell r="J44">
            <v>146.11</v>
          </cell>
          <cell r="K44">
            <v>2</v>
          </cell>
          <cell r="L44">
            <v>1.39</v>
          </cell>
          <cell r="M44">
            <v>62.05</v>
          </cell>
        </row>
        <row r="44">
          <cell r="Q44" t="str">
            <v>yes</v>
          </cell>
          <cell r="R44" t="str">
            <v>all</v>
          </cell>
          <cell r="S44" t="str">
            <v>R</v>
          </cell>
          <cell r="T44" t="str">
            <v>R (BLY-HQ3)</v>
          </cell>
        </row>
        <row r="44">
          <cell r="V44">
            <v>61</v>
          </cell>
          <cell r="W44">
            <v>0</v>
          </cell>
          <cell r="X44">
            <v>143.87</v>
          </cell>
          <cell r="Y44">
            <v>146.11</v>
          </cell>
        </row>
        <row r="44">
          <cell r="AA44" t="str">
            <v>IBCR0501EC83Q01</v>
          </cell>
        </row>
        <row r="44">
          <cell r="AC44">
            <v>3</v>
          </cell>
          <cell r="AD44" t="str">
            <v>BLY HQ3</v>
          </cell>
          <cell r="AE44" t="str">
            <v>Water-based mud (WBM)</v>
          </cell>
          <cell r="AF44" t="str">
            <v>PureBore by Clear Solutions</v>
          </cell>
        </row>
        <row r="45">
          <cell r="A45">
            <v>44</v>
          </cell>
          <cell r="B45">
            <v>501</v>
          </cell>
          <cell r="C45" t="str">
            <v>M0111</v>
          </cell>
          <cell r="D45" t="str">
            <v>B</v>
          </cell>
          <cell r="E45" t="str">
            <v>501_M0111_B_044R</v>
          </cell>
          <cell r="F45">
            <v>45805.4375</v>
          </cell>
          <cell r="G45" t="str">
            <v>GEPR</v>
          </cell>
          <cell r="H45">
            <v>146.11</v>
          </cell>
          <cell r="I45">
            <v>3.05</v>
          </cell>
          <cell r="J45">
            <v>149.16</v>
          </cell>
          <cell r="K45">
            <v>2</v>
          </cell>
          <cell r="L45">
            <v>2.29</v>
          </cell>
          <cell r="M45">
            <v>75.08</v>
          </cell>
        </row>
        <row r="45">
          <cell r="Q45" t="str">
            <v>yes</v>
          </cell>
          <cell r="R45" t="str">
            <v>all</v>
          </cell>
          <cell r="S45" t="str">
            <v>R</v>
          </cell>
          <cell r="T45" t="str">
            <v>R (BLY-HQ3)</v>
          </cell>
        </row>
        <row r="45">
          <cell r="V45">
            <v>61</v>
          </cell>
          <cell r="W45">
            <v>0</v>
          </cell>
          <cell r="X45">
            <v>146.11</v>
          </cell>
          <cell r="Y45">
            <v>149.16</v>
          </cell>
        </row>
        <row r="45">
          <cell r="AA45" t="str">
            <v>IBCR0501EC93Q01</v>
          </cell>
        </row>
        <row r="45">
          <cell r="AC45">
            <v>3</v>
          </cell>
          <cell r="AD45" t="str">
            <v>BLY HQ3</v>
          </cell>
          <cell r="AE45" t="str">
            <v>Water-based mud (WBM)</v>
          </cell>
          <cell r="AF45" t="str">
            <v>PureBore by Clear Solutions</v>
          </cell>
        </row>
        <row r="46">
          <cell r="A46">
            <v>45</v>
          </cell>
          <cell r="B46">
            <v>501</v>
          </cell>
          <cell r="C46" t="str">
            <v>M0111</v>
          </cell>
          <cell r="D46" t="str">
            <v>B</v>
          </cell>
          <cell r="E46" t="str">
            <v>501_M0111_B_045R</v>
          </cell>
          <cell r="F46">
            <v>45805.4513888889</v>
          </cell>
          <cell r="G46" t="str">
            <v>GEPR</v>
          </cell>
          <cell r="H46">
            <v>149.16</v>
          </cell>
          <cell r="I46">
            <v>0.38</v>
          </cell>
          <cell r="J46">
            <v>149.54</v>
          </cell>
          <cell r="K46">
            <v>1</v>
          </cell>
          <cell r="L46">
            <v>0.98</v>
          </cell>
          <cell r="M46">
            <v>257.89</v>
          </cell>
        </row>
        <row r="46">
          <cell r="P46" t="str">
            <v>Infill at top</v>
          </cell>
          <cell r="Q46" t="str">
            <v>yes</v>
          </cell>
          <cell r="R46" t="str">
            <v>all</v>
          </cell>
          <cell r="S46" t="str">
            <v>R</v>
          </cell>
          <cell r="T46" t="str">
            <v>R (BLY-HQ3)</v>
          </cell>
        </row>
        <row r="46">
          <cell r="V46">
            <v>61</v>
          </cell>
          <cell r="W46">
            <v>0</v>
          </cell>
          <cell r="X46">
            <v>149.16</v>
          </cell>
          <cell r="Y46">
            <v>149.54</v>
          </cell>
        </row>
        <row r="46">
          <cell r="AA46" t="str">
            <v>IBCR0501ECA3Q01</v>
          </cell>
        </row>
        <row r="46">
          <cell r="AC46">
            <v>3</v>
          </cell>
          <cell r="AD46" t="str">
            <v>BLY HQ3</v>
          </cell>
          <cell r="AE46" t="str">
            <v>Water-based mud (WBM)</v>
          </cell>
          <cell r="AF46" t="str">
            <v>PureBore by Clear Solutions</v>
          </cell>
        </row>
        <row r="47">
          <cell r="A47">
            <v>46</v>
          </cell>
          <cell r="B47">
            <v>501</v>
          </cell>
          <cell r="C47" t="str">
            <v>M0111</v>
          </cell>
          <cell r="D47" t="str">
            <v>B</v>
          </cell>
          <cell r="E47" t="str">
            <v>501_M0111_B_046R</v>
          </cell>
          <cell r="F47">
            <v>45805.5277777778</v>
          </cell>
          <cell r="G47" t="str">
            <v>GEPR</v>
          </cell>
          <cell r="H47">
            <v>149.54</v>
          </cell>
          <cell r="I47">
            <v>2.67</v>
          </cell>
          <cell r="J47">
            <v>152.21</v>
          </cell>
          <cell r="K47">
            <v>2</v>
          </cell>
          <cell r="L47">
            <v>2.75</v>
          </cell>
          <cell r="M47">
            <v>103</v>
          </cell>
        </row>
        <row r="47">
          <cell r="Q47" t="str">
            <v>yes</v>
          </cell>
          <cell r="R47" t="str">
            <v>all</v>
          </cell>
          <cell r="S47" t="str">
            <v>R</v>
          </cell>
          <cell r="T47" t="str">
            <v>R (BLY-HQ3)</v>
          </cell>
        </row>
        <row r="47">
          <cell r="V47">
            <v>61</v>
          </cell>
          <cell r="W47">
            <v>0</v>
          </cell>
          <cell r="X47">
            <v>149.54</v>
          </cell>
          <cell r="Y47">
            <v>152.21</v>
          </cell>
        </row>
        <row r="47">
          <cell r="AA47" t="str">
            <v>IBCR0501ECB3Q01</v>
          </cell>
        </row>
        <row r="47">
          <cell r="AC47">
            <v>3</v>
          </cell>
          <cell r="AD47" t="str">
            <v>BLY HQ3</v>
          </cell>
          <cell r="AE47" t="str">
            <v>Water-based mud (WBM)</v>
          </cell>
          <cell r="AF47" t="str">
            <v>PureBore by Clear Solutions</v>
          </cell>
        </row>
        <row r="48">
          <cell r="A48">
            <v>47</v>
          </cell>
          <cell r="B48">
            <v>501</v>
          </cell>
          <cell r="C48" t="str">
            <v>M0111</v>
          </cell>
          <cell r="D48" t="str">
            <v>B</v>
          </cell>
          <cell r="E48" t="str">
            <v>501_M0111_B_047R</v>
          </cell>
          <cell r="F48">
            <v>45805.5104166667</v>
          </cell>
          <cell r="G48" t="str">
            <v>GEPR</v>
          </cell>
          <cell r="H48">
            <v>152.21</v>
          </cell>
          <cell r="I48">
            <v>3.05</v>
          </cell>
          <cell r="J48">
            <v>155.26</v>
          </cell>
          <cell r="K48">
            <v>3</v>
          </cell>
          <cell r="L48">
            <v>3.14</v>
          </cell>
          <cell r="M48">
            <v>102.95</v>
          </cell>
        </row>
        <row r="48">
          <cell r="Q48" t="str">
            <v>yes</v>
          </cell>
          <cell r="R48" t="str">
            <v>all</v>
          </cell>
          <cell r="S48" t="str">
            <v>R</v>
          </cell>
          <cell r="T48" t="str">
            <v>R (BLY-HQ3)</v>
          </cell>
        </row>
        <row r="48">
          <cell r="V48">
            <v>61</v>
          </cell>
          <cell r="W48">
            <v>0</v>
          </cell>
          <cell r="X48">
            <v>152.21</v>
          </cell>
          <cell r="Y48">
            <v>155.26</v>
          </cell>
        </row>
        <row r="48">
          <cell r="AA48" t="str">
            <v>IBCR0501ECC3Q01</v>
          </cell>
        </row>
        <row r="48">
          <cell r="AC48">
            <v>3</v>
          </cell>
          <cell r="AD48" t="str">
            <v>BLY HQ3</v>
          </cell>
          <cell r="AE48" t="str">
            <v>Water-based mud (WBM)</v>
          </cell>
          <cell r="AF48" t="str">
            <v>PureBore by Clear Solutions</v>
          </cell>
        </row>
        <row r="49">
          <cell r="A49">
            <v>48</v>
          </cell>
          <cell r="B49">
            <v>501</v>
          </cell>
          <cell r="C49" t="str">
            <v>M0111</v>
          </cell>
          <cell r="D49" t="str">
            <v>B</v>
          </cell>
          <cell r="E49" t="str">
            <v>501_M0111_B_048R</v>
          </cell>
          <cell r="F49">
            <v>45805.5243055556</v>
          </cell>
          <cell r="G49" t="str">
            <v>GEPR</v>
          </cell>
          <cell r="H49">
            <v>155.26</v>
          </cell>
          <cell r="I49">
            <v>3.05</v>
          </cell>
          <cell r="J49">
            <v>158.31</v>
          </cell>
          <cell r="K49">
            <v>1</v>
          </cell>
          <cell r="L49">
            <v>0.47</v>
          </cell>
          <cell r="M49">
            <v>15.41</v>
          </cell>
        </row>
        <row r="49">
          <cell r="Q49" t="str">
            <v>yes</v>
          </cell>
          <cell r="R49" t="str">
            <v>all</v>
          </cell>
          <cell r="S49" t="str">
            <v>R</v>
          </cell>
          <cell r="T49" t="str">
            <v>R (BLY-HQ3)</v>
          </cell>
        </row>
        <row r="49">
          <cell r="V49">
            <v>61</v>
          </cell>
          <cell r="W49">
            <v>0</v>
          </cell>
          <cell r="X49">
            <v>155.26</v>
          </cell>
          <cell r="Y49">
            <v>158.31</v>
          </cell>
        </row>
        <row r="49">
          <cell r="AA49" t="str">
            <v>IBCR0501ECD3Q01</v>
          </cell>
        </row>
        <row r="49">
          <cell r="AC49">
            <v>3</v>
          </cell>
          <cell r="AD49" t="str">
            <v>BLY HQ3</v>
          </cell>
          <cell r="AE49" t="str">
            <v>Water-based mud (WBM)</v>
          </cell>
          <cell r="AF49" t="str">
            <v>PureBore by Clear Solutions</v>
          </cell>
        </row>
        <row r="50">
          <cell r="A50">
            <v>49</v>
          </cell>
          <cell r="B50">
            <v>501</v>
          </cell>
          <cell r="C50" t="str">
            <v>M0111</v>
          </cell>
          <cell r="D50" t="str">
            <v>B</v>
          </cell>
          <cell r="E50" t="str">
            <v>501_M0111_B_049R</v>
          </cell>
          <cell r="F50">
            <v>45805.5798611111</v>
          </cell>
          <cell r="G50" t="str">
            <v>GEPR</v>
          </cell>
          <cell r="H50">
            <v>158.31</v>
          </cell>
          <cell r="I50">
            <v>0.25</v>
          </cell>
          <cell r="J50">
            <v>158.56</v>
          </cell>
          <cell r="K50">
            <v>1</v>
          </cell>
          <cell r="L50">
            <v>0.19</v>
          </cell>
          <cell r="M50">
            <v>76</v>
          </cell>
        </row>
        <row r="50">
          <cell r="Q50" t="str">
            <v>yes</v>
          </cell>
          <cell r="R50" t="str">
            <v>all</v>
          </cell>
          <cell r="S50" t="str">
            <v>R</v>
          </cell>
          <cell r="T50" t="str">
            <v>R (BLY-HQ3)</v>
          </cell>
        </row>
        <row r="50">
          <cell r="V50">
            <v>61</v>
          </cell>
          <cell r="W50">
            <v>0</v>
          </cell>
          <cell r="X50">
            <v>158.31</v>
          </cell>
          <cell r="Y50">
            <v>158.56</v>
          </cell>
        </row>
        <row r="50">
          <cell r="AA50" t="str">
            <v>IBCR0501ECE3Q01</v>
          </cell>
        </row>
        <row r="50">
          <cell r="AC50">
            <v>3</v>
          </cell>
          <cell r="AD50" t="str">
            <v>BLY HQ3</v>
          </cell>
          <cell r="AE50" t="str">
            <v>Water-based mud (WBM)</v>
          </cell>
          <cell r="AF50" t="str">
            <v>PureBore by Clear Solutions</v>
          </cell>
        </row>
        <row r="51">
          <cell r="A51">
            <v>50</v>
          </cell>
          <cell r="B51">
            <v>501</v>
          </cell>
          <cell r="C51" t="str">
            <v>M0111</v>
          </cell>
          <cell r="D51" t="str">
            <v>B</v>
          </cell>
          <cell r="E51" t="str">
            <v>501_M0111_B_050R</v>
          </cell>
          <cell r="F51">
            <v>45805.6006944444</v>
          </cell>
          <cell r="G51" t="str">
            <v>GEPR</v>
          </cell>
          <cell r="H51">
            <v>158.56</v>
          </cell>
          <cell r="I51">
            <v>2.8</v>
          </cell>
          <cell r="J51">
            <v>161.36</v>
          </cell>
          <cell r="K51">
            <v>1</v>
          </cell>
          <cell r="L51">
            <v>0.19</v>
          </cell>
          <cell r="M51">
            <v>6.79</v>
          </cell>
        </row>
        <row r="51">
          <cell r="Q51" t="str">
            <v>yes</v>
          </cell>
          <cell r="R51" t="str">
            <v>all</v>
          </cell>
          <cell r="S51" t="str">
            <v>R</v>
          </cell>
          <cell r="T51" t="str">
            <v>R (BLY-HQ3)</v>
          </cell>
        </row>
        <row r="51">
          <cell r="V51">
            <v>61</v>
          </cell>
          <cell r="W51">
            <v>0</v>
          </cell>
          <cell r="X51">
            <v>158.56</v>
          </cell>
          <cell r="Y51">
            <v>161.36</v>
          </cell>
        </row>
        <row r="51">
          <cell r="AA51" t="str">
            <v>IBCR0501ECF3Q01</v>
          </cell>
        </row>
        <row r="51">
          <cell r="AC51">
            <v>3</v>
          </cell>
          <cell r="AD51" t="str">
            <v>BLY HQ3</v>
          </cell>
          <cell r="AE51" t="str">
            <v>Water-based mud (WBM)</v>
          </cell>
          <cell r="AF51" t="str">
            <v>PureBore by Clear Solutions</v>
          </cell>
        </row>
        <row r="52">
          <cell r="A52">
            <v>51</v>
          </cell>
          <cell r="B52">
            <v>501</v>
          </cell>
          <cell r="C52" t="str">
            <v>M0111</v>
          </cell>
          <cell r="D52" t="str">
            <v>B</v>
          </cell>
          <cell r="E52" t="str">
            <v>501_M0111_B_051R</v>
          </cell>
          <cell r="F52">
            <v>45805.6180555556</v>
          </cell>
          <cell r="G52" t="str">
            <v>GEPR</v>
          </cell>
          <cell r="H52">
            <v>161.36</v>
          </cell>
          <cell r="I52">
            <v>0.7</v>
          </cell>
          <cell r="J52">
            <v>162.06</v>
          </cell>
          <cell r="K52">
            <v>1</v>
          </cell>
          <cell r="L52">
            <v>0.6</v>
          </cell>
          <cell r="M52">
            <v>85.71</v>
          </cell>
        </row>
        <row r="52">
          <cell r="Q52" t="str">
            <v>yes</v>
          </cell>
          <cell r="R52" t="str">
            <v>all</v>
          </cell>
          <cell r="S52" t="str">
            <v>R</v>
          </cell>
          <cell r="T52" t="str">
            <v>R (BLY-HQ3)</v>
          </cell>
        </row>
        <row r="52">
          <cell r="V52">
            <v>61</v>
          </cell>
          <cell r="W52">
            <v>0</v>
          </cell>
          <cell r="X52">
            <v>161.36</v>
          </cell>
          <cell r="Y52">
            <v>162.06</v>
          </cell>
        </row>
        <row r="52">
          <cell r="AA52" t="str">
            <v>IBCR0501ECG3Q01</v>
          </cell>
        </row>
        <row r="52">
          <cell r="AC52">
            <v>3</v>
          </cell>
          <cell r="AD52" t="str">
            <v>BLY HQ3</v>
          </cell>
          <cell r="AE52" t="str">
            <v>Water-based mud (WBM)</v>
          </cell>
          <cell r="AF52" t="str">
            <v>PureBore by Clear Solutions</v>
          </cell>
        </row>
        <row r="53">
          <cell r="A53">
            <v>52</v>
          </cell>
          <cell r="B53">
            <v>501</v>
          </cell>
          <cell r="C53" t="str">
            <v>M0111</v>
          </cell>
          <cell r="D53" t="str">
            <v>B</v>
          </cell>
          <cell r="E53" t="str">
            <v>501_M0111_B_052R</v>
          </cell>
          <cell r="F53">
            <v>45805.6423611111</v>
          </cell>
          <cell r="G53" t="str">
            <v>GEPR</v>
          </cell>
          <cell r="H53">
            <v>162.06</v>
          </cell>
          <cell r="I53">
            <v>1.78</v>
          </cell>
          <cell r="J53">
            <v>163.84</v>
          </cell>
          <cell r="K53">
            <v>1</v>
          </cell>
          <cell r="L53">
            <v>0.26</v>
          </cell>
          <cell r="M53">
            <v>14.61</v>
          </cell>
        </row>
        <row r="53">
          <cell r="Q53" t="str">
            <v>yes</v>
          </cell>
          <cell r="R53" t="str">
            <v>all</v>
          </cell>
          <cell r="S53" t="str">
            <v>R</v>
          </cell>
          <cell r="T53" t="str">
            <v>R (BLY-HQ3)</v>
          </cell>
        </row>
        <row r="53">
          <cell r="V53">
            <v>61</v>
          </cell>
          <cell r="W53">
            <v>0</v>
          </cell>
          <cell r="X53">
            <v>162.06</v>
          </cell>
          <cell r="Y53">
            <v>163.84</v>
          </cell>
        </row>
        <row r="53">
          <cell r="AA53" t="str">
            <v>IBCR0501ECH3Q01</v>
          </cell>
        </row>
        <row r="53">
          <cell r="AC53">
            <v>3</v>
          </cell>
          <cell r="AD53" t="str">
            <v>BLY HQ3</v>
          </cell>
          <cell r="AE53" t="str">
            <v>Water-based mud (WBM)</v>
          </cell>
          <cell r="AF53" t="str">
            <v>PureBore by Clear Solutions</v>
          </cell>
        </row>
        <row r="54">
          <cell r="A54">
            <v>53</v>
          </cell>
          <cell r="B54">
            <v>501</v>
          </cell>
          <cell r="C54" t="str">
            <v>M0111</v>
          </cell>
          <cell r="D54" t="str">
            <v>B</v>
          </cell>
          <cell r="E54" t="str">
            <v>501_M0111_B_053R</v>
          </cell>
          <cell r="F54">
            <v>45805.7013888889</v>
          </cell>
          <cell r="G54" t="str">
            <v>MOSE</v>
          </cell>
          <cell r="H54">
            <v>163.84</v>
          </cell>
          <cell r="I54">
            <v>1.62</v>
          </cell>
          <cell r="J54">
            <v>165.46</v>
          </cell>
          <cell r="K54">
            <v>1</v>
          </cell>
          <cell r="L54">
            <v>0.26</v>
          </cell>
          <cell r="M54">
            <v>16.05</v>
          </cell>
        </row>
        <row r="54">
          <cell r="Q54" t="str">
            <v>yes</v>
          </cell>
          <cell r="R54" t="str">
            <v>all</v>
          </cell>
          <cell r="S54" t="str">
            <v>R</v>
          </cell>
          <cell r="T54" t="str">
            <v>R (BLY-HQ3)</v>
          </cell>
        </row>
        <row r="54">
          <cell r="V54">
            <v>61</v>
          </cell>
          <cell r="W54">
            <v>0</v>
          </cell>
          <cell r="X54">
            <v>163.84</v>
          </cell>
          <cell r="Y54">
            <v>165.46</v>
          </cell>
        </row>
        <row r="54">
          <cell r="AA54" t="str">
            <v>IBCR0501ECI3Q01</v>
          </cell>
        </row>
        <row r="54">
          <cell r="AC54">
            <v>3</v>
          </cell>
          <cell r="AD54" t="str">
            <v>BLY HQ3</v>
          </cell>
          <cell r="AE54" t="str">
            <v>Water-based mud (WBM)</v>
          </cell>
          <cell r="AF54" t="str">
            <v>PureBore by Clear Solutions</v>
          </cell>
        </row>
        <row r="55">
          <cell r="A55">
            <v>54</v>
          </cell>
          <cell r="B55">
            <v>501</v>
          </cell>
          <cell r="C55" t="str">
            <v>M0111</v>
          </cell>
          <cell r="D55" t="str">
            <v>B</v>
          </cell>
          <cell r="E55" t="str">
            <v>501_M0111_B_054R</v>
          </cell>
          <cell r="F55">
            <v>45805.7256944444</v>
          </cell>
          <cell r="G55" t="str">
            <v>MOSE</v>
          </cell>
          <cell r="H55">
            <v>165.46</v>
          </cell>
          <cell r="I55">
            <v>0.35</v>
          </cell>
          <cell r="J55">
            <v>165.81</v>
          </cell>
          <cell r="K55">
            <v>1</v>
          </cell>
          <cell r="L55">
            <v>0.38</v>
          </cell>
          <cell r="M55">
            <v>108.57</v>
          </cell>
        </row>
        <row r="55">
          <cell r="Q55" t="str">
            <v>yes</v>
          </cell>
          <cell r="R55" t="str">
            <v>all</v>
          </cell>
          <cell r="S55" t="str">
            <v>R</v>
          </cell>
          <cell r="T55" t="str">
            <v>R (BLY-HQ3)</v>
          </cell>
        </row>
        <row r="55">
          <cell r="V55">
            <v>61</v>
          </cell>
          <cell r="W55">
            <v>0</v>
          </cell>
          <cell r="X55">
            <v>165.46</v>
          </cell>
          <cell r="Y55">
            <v>165.81</v>
          </cell>
        </row>
        <row r="55">
          <cell r="AA55" t="str">
            <v>IBCR0501ECJ3Q01</v>
          </cell>
        </row>
        <row r="55">
          <cell r="AC55">
            <v>3</v>
          </cell>
          <cell r="AD55" t="str">
            <v>BLY HQ3</v>
          </cell>
          <cell r="AE55" t="str">
            <v>Water-based mud (WBM)</v>
          </cell>
          <cell r="AF55" t="str">
            <v>PureBore by Clear Solutions</v>
          </cell>
        </row>
        <row r="56">
          <cell r="A56">
            <v>55</v>
          </cell>
          <cell r="B56">
            <v>501</v>
          </cell>
          <cell r="C56" t="str">
            <v>M0111</v>
          </cell>
          <cell r="D56" t="str">
            <v>B</v>
          </cell>
          <cell r="E56" t="str">
            <v>501_M0111_B_055R</v>
          </cell>
          <cell r="F56">
            <v>45805.75</v>
          </cell>
          <cell r="G56" t="str">
            <v>MOSE</v>
          </cell>
          <cell r="H56">
            <v>165.81</v>
          </cell>
          <cell r="I56">
            <v>0.4</v>
          </cell>
          <cell r="J56">
            <v>166.21</v>
          </cell>
          <cell r="K56">
            <v>1</v>
          </cell>
          <cell r="L56">
            <v>0.5</v>
          </cell>
          <cell r="M56">
            <v>125</v>
          </cell>
        </row>
        <row r="56">
          <cell r="Q56" t="str">
            <v>yes</v>
          </cell>
          <cell r="R56" t="str">
            <v>all</v>
          </cell>
          <cell r="S56" t="str">
            <v>R</v>
          </cell>
          <cell r="T56" t="str">
            <v>R (BLY-HQ3)</v>
          </cell>
        </row>
        <row r="56">
          <cell r="V56">
            <v>61</v>
          </cell>
          <cell r="W56">
            <v>0</v>
          </cell>
          <cell r="X56">
            <v>165.81</v>
          </cell>
          <cell r="Y56">
            <v>166.21</v>
          </cell>
        </row>
        <row r="56">
          <cell r="AA56" t="str">
            <v>IBCR0501ECK3Q01</v>
          </cell>
        </row>
        <row r="56">
          <cell r="AC56">
            <v>3</v>
          </cell>
          <cell r="AD56" t="str">
            <v>BLY HQ3</v>
          </cell>
          <cell r="AE56" t="str">
            <v>Water-based mud (WBM)</v>
          </cell>
          <cell r="AF56" t="str">
            <v>PureBore by Clear Solutions</v>
          </cell>
        </row>
        <row r="57">
          <cell r="A57">
            <v>56</v>
          </cell>
          <cell r="B57">
            <v>501</v>
          </cell>
          <cell r="C57" t="str">
            <v>M0111</v>
          </cell>
          <cell r="D57" t="str">
            <v>B</v>
          </cell>
          <cell r="E57" t="str">
            <v>501_M0111_B_056R</v>
          </cell>
          <cell r="F57">
            <v>45805.7673611111</v>
          </cell>
          <cell r="G57" t="str">
            <v>MOSE</v>
          </cell>
          <cell r="H57">
            <v>166.21</v>
          </cell>
          <cell r="I57">
            <v>1.25</v>
          </cell>
          <cell r="J57">
            <v>167.46</v>
          </cell>
          <cell r="K57">
            <v>1</v>
          </cell>
          <cell r="L57">
            <v>0.31</v>
          </cell>
          <cell r="M57">
            <v>24.8</v>
          </cell>
        </row>
        <row r="57">
          <cell r="Q57" t="str">
            <v>yes</v>
          </cell>
          <cell r="R57" t="str">
            <v>all</v>
          </cell>
          <cell r="S57" t="str">
            <v>R</v>
          </cell>
          <cell r="T57" t="str">
            <v>R (BLY-HQ3)</v>
          </cell>
        </row>
        <row r="57">
          <cell r="V57">
            <v>61</v>
          </cell>
          <cell r="W57">
            <v>0</v>
          </cell>
          <cell r="X57">
            <v>166.21</v>
          </cell>
          <cell r="Y57">
            <v>167.46</v>
          </cell>
        </row>
        <row r="57">
          <cell r="AA57" t="str">
            <v>IBCR0501ECL3Q01</v>
          </cell>
        </row>
        <row r="57">
          <cell r="AC57">
            <v>3</v>
          </cell>
          <cell r="AD57" t="str">
            <v>BLY HQ3</v>
          </cell>
          <cell r="AE57" t="str">
            <v>Water-based mud (WBM)</v>
          </cell>
          <cell r="AF57" t="str">
            <v>PureBore by Clear Solutions</v>
          </cell>
        </row>
        <row r="58">
          <cell r="A58">
            <v>57</v>
          </cell>
          <cell r="B58">
            <v>501</v>
          </cell>
          <cell r="C58" t="str">
            <v>M0111</v>
          </cell>
          <cell r="D58" t="str">
            <v>B</v>
          </cell>
          <cell r="E58" t="str">
            <v>501_M0111_B_057R</v>
          </cell>
          <cell r="F58">
            <v>45805.7881944444</v>
          </cell>
          <cell r="G58" t="str">
            <v>MOSE</v>
          </cell>
          <cell r="H58">
            <v>167.46</v>
          </cell>
          <cell r="I58">
            <v>1.05</v>
          </cell>
          <cell r="J58">
            <v>168.51</v>
          </cell>
          <cell r="K58">
            <v>1</v>
          </cell>
          <cell r="L58">
            <v>0.7</v>
          </cell>
          <cell r="M58">
            <v>66.67</v>
          </cell>
        </row>
        <row r="58">
          <cell r="Q58" t="str">
            <v>yes</v>
          </cell>
          <cell r="R58" t="str">
            <v>all</v>
          </cell>
          <cell r="S58" t="str">
            <v>R</v>
          </cell>
          <cell r="T58" t="str">
            <v>R (BLY-HQ3)</v>
          </cell>
        </row>
        <row r="58">
          <cell r="V58">
            <v>61</v>
          </cell>
          <cell r="W58">
            <v>0</v>
          </cell>
          <cell r="X58">
            <v>167.46</v>
          </cell>
          <cell r="Y58">
            <v>168.51</v>
          </cell>
        </row>
        <row r="58">
          <cell r="AA58" t="str">
            <v>IBCR0501ECM3Q01</v>
          </cell>
        </row>
        <row r="58">
          <cell r="AC58">
            <v>3</v>
          </cell>
          <cell r="AD58" t="str">
            <v>BLY HQ3</v>
          </cell>
          <cell r="AE58" t="str">
            <v>Water-based mud (WBM)</v>
          </cell>
          <cell r="AF58" t="str">
            <v>PureBore by Clear Solutions</v>
          </cell>
        </row>
        <row r="59">
          <cell r="A59">
            <v>58</v>
          </cell>
          <cell r="B59">
            <v>501</v>
          </cell>
          <cell r="C59" t="str">
            <v>M0111</v>
          </cell>
          <cell r="D59" t="str">
            <v>B</v>
          </cell>
          <cell r="E59" t="str">
            <v>501_M0111_B_058R</v>
          </cell>
          <cell r="F59">
            <v>45805.8055555556</v>
          </cell>
          <cell r="G59" t="str">
            <v>MOSE</v>
          </cell>
          <cell r="H59">
            <v>168.51</v>
          </cell>
          <cell r="I59">
            <v>1</v>
          </cell>
          <cell r="J59">
            <v>169.51</v>
          </cell>
          <cell r="K59">
            <v>1</v>
          </cell>
          <cell r="L59">
            <v>0.82</v>
          </cell>
          <cell r="M59">
            <v>82</v>
          </cell>
        </row>
        <row r="59">
          <cell r="Q59" t="str">
            <v>yes</v>
          </cell>
          <cell r="R59" t="str">
            <v>all</v>
          </cell>
          <cell r="S59" t="str">
            <v>R</v>
          </cell>
          <cell r="T59" t="str">
            <v>R (BLY-HQ3)</v>
          </cell>
        </row>
        <row r="59">
          <cell r="V59">
            <v>61</v>
          </cell>
          <cell r="W59">
            <v>0</v>
          </cell>
          <cell r="X59">
            <v>168.51</v>
          </cell>
          <cell r="Y59">
            <v>169.51</v>
          </cell>
        </row>
        <row r="59">
          <cell r="AA59" t="str">
            <v>IBCR0501ECN3Q01</v>
          </cell>
        </row>
        <row r="59">
          <cell r="AC59">
            <v>3</v>
          </cell>
          <cell r="AD59" t="str">
            <v>BLY HQ3</v>
          </cell>
          <cell r="AE59" t="str">
            <v>Water-based mud (WBM)</v>
          </cell>
          <cell r="AF59" t="str">
            <v>PureBore by Clear Solutions</v>
          </cell>
        </row>
        <row r="60">
          <cell r="A60">
            <v>59</v>
          </cell>
          <cell r="B60">
            <v>501</v>
          </cell>
          <cell r="C60" t="str">
            <v>M0111</v>
          </cell>
          <cell r="D60" t="str">
            <v>B</v>
          </cell>
          <cell r="E60" t="str">
            <v>501_M0111_B_059R</v>
          </cell>
          <cell r="F60">
            <v>45805.8333333333</v>
          </cell>
          <cell r="G60" t="str">
            <v>MOSE</v>
          </cell>
          <cell r="H60">
            <v>169.51</v>
          </cell>
          <cell r="I60">
            <v>3.05</v>
          </cell>
          <cell r="J60">
            <v>172.56</v>
          </cell>
          <cell r="K60">
            <v>3</v>
          </cell>
          <cell r="L60">
            <v>1.39</v>
          </cell>
          <cell r="M60">
            <v>45.57</v>
          </cell>
        </row>
        <row r="60">
          <cell r="Q60" t="str">
            <v>yes</v>
          </cell>
          <cell r="R60" t="str">
            <v>all</v>
          </cell>
          <cell r="S60" t="str">
            <v>R</v>
          </cell>
          <cell r="T60" t="str">
            <v>R (BLY-HQ3)</v>
          </cell>
        </row>
        <row r="60">
          <cell r="V60">
            <v>61</v>
          </cell>
          <cell r="W60">
            <v>0</v>
          </cell>
          <cell r="X60">
            <v>169.51</v>
          </cell>
          <cell r="Y60">
            <v>172.56</v>
          </cell>
        </row>
        <row r="60">
          <cell r="AA60" t="str">
            <v>IBCR0501ECO3Q01</v>
          </cell>
        </row>
        <row r="60">
          <cell r="AC60">
            <v>3</v>
          </cell>
          <cell r="AD60" t="str">
            <v>BLY HQ3</v>
          </cell>
          <cell r="AE60" t="str">
            <v>Water-based mud (WBM)</v>
          </cell>
          <cell r="AF60" t="str">
            <v>PureBore by Clear Solutions</v>
          </cell>
        </row>
        <row r="61">
          <cell r="A61">
            <v>60</v>
          </cell>
          <cell r="B61">
            <v>501</v>
          </cell>
          <cell r="C61" t="str">
            <v>M0111</v>
          </cell>
          <cell r="D61" t="str">
            <v>B</v>
          </cell>
          <cell r="E61" t="str">
            <v>501_M0111_B_060R</v>
          </cell>
          <cell r="F61">
            <v>45805.8541666667</v>
          </cell>
          <cell r="G61" t="str">
            <v>BEND</v>
          </cell>
          <cell r="H61">
            <v>172.56</v>
          </cell>
          <cell r="I61">
            <v>3.05</v>
          </cell>
          <cell r="J61">
            <v>175.61</v>
          </cell>
          <cell r="K61">
            <v>4</v>
          </cell>
          <cell r="L61">
            <v>3.22</v>
          </cell>
          <cell r="M61">
            <v>105.57</v>
          </cell>
        </row>
        <row r="61">
          <cell r="Q61" t="str">
            <v>yes</v>
          </cell>
          <cell r="R61" t="str">
            <v>all</v>
          </cell>
          <cell r="S61" t="str">
            <v>R</v>
          </cell>
          <cell r="T61" t="str">
            <v>R (BLY-HQ3)</v>
          </cell>
        </row>
        <row r="61">
          <cell r="V61">
            <v>61</v>
          </cell>
          <cell r="W61">
            <v>0</v>
          </cell>
          <cell r="X61">
            <v>172.56</v>
          </cell>
          <cell r="Y61">
            <v>175.61</v>
          </cell>
        </row>
        <row r="61">
          <cell r="AA61" t="str">
            <v>IBCR0501ECP3Q01</v>
          </cell>
        </row>
        <row r="61">
          <cell r="AC61">
            <v>3</v>
          </cell>
          <cell r="AD61" t="str">
            <v>BLY HQ3</v>
          </cell>
          <cell r="AE61" t="str">
            <v>Water-based mud (WBM)</v>
          </cell>
          <cell r="AF61" t="str">
            <v>PureBore by Clear Solutions</v>
          </cell>
        </row>
        <row r="62">
          <cell r="A62">
            <v>61</v>
          </cell>
          <cell r="B62">
            <v>501</v>
          </cell>
          <cell r="C62" t="str">
            <v>M0111</v>
          </cell>
          <cell r="D62" t="str">
            <v>B</v>
          </cell>
          <cell r="E62" t="str">
            <v>501_M0111_B_061R</v>
          </cell>
          <cell r="F62">
            <v>45805.8645833333</v>
          </cell>
          <cell r="G62" t="str">
            <v>BEND</v>
          </cell>
          <cell r="H62">
            <v>175.61</v>
          </cell>
          <cell r="I62">
            <v>3.05</v>
          </cell>
          <cell r="J62">
            <v>178.66</v>
          </cell>
          <cell r="K62">
            <v>4</v>
          </cell>
          <cell r="L62">
            <v>3.24</v>
          </cell>
          <cell r="M62">
            <v>106.23</v>
          </cell>
        </row>
        <row r="62">
          <cell r="Q62" t="str">
            <v>yes</v>
          </cell>
          <cell r="R62" t="str">
            <v>all</v>
          </cell>
          <cell r="S62" t="str">
            <v>R</v>
          </cell>
          <cell r="T62" t="str">
            <v>R (BLY-HQ3)</v>
          </cell>
        </row>
        <row r="62">
          <cell r="V62">
            <v>61</v>
          </cell>
          <cell r="W62">
            <v>0</v>
          </cell>
          <cell r="X62">
            <v>175.61</v>
          </cell>
          <cell r="Y62">
            <v>178.66</v>
          </cell>
        </row>
        <row r="62">
          <cell r="AA62" t="str">
            <v>IBCR0501ECQ3Q01</v>
          </cell>
        </row>
        <row r="62">
          <cell r="AC62">
            <v>3</v>
          </cell>
          <cell r="AD62" t="str">
            <v>BLY HQ3</v>
          </cell>
          <cell r="AE62" t="str">
            <v>Water-based mud (WBM)</v>
          </cell>
          <cell r="AF62" t="str">
            <v>PureBore by Clear Solutions</v>
          </cell>
        </row>
        <row r="63">
          <cell r="A63">
            <v>62</v>
          </cell>
          <cell r="B63">
            <v>501</v>
          </cell>
          <cell r="C63" t="str">
            <v>M0111</v>
          </cell>
          <cell r="D63" t="str">
            <v>B</v>
          </cell>
          <cell r="E63" t="str">
            <v>501_M0111_B_062R</v>
          </cell>
          <cell r="F63">
            <v>45805.8958333333</v>
          </cell>
          <cell r="G63" t="str">
            <v>BEND</v>
          </cell>
          <cell r="H63">
            <v>178.66</v>
          </cell>
          <cell r="I63">
            <v>3.05</v>
          </cell>
          <cell r="J63">
            <v>181.71</v>
          </cell>
          <cell r="K63">
            <v>4</v>
          </cell>
          <cell r="L63">
            <v>2.86</v>
          </cell>
          <cell r="M63">
            <v>93.77</v>
          </cell>
        </row>
        <row r="63">
          <cell r="Q63" t="str">
            <v>yes</v>
          </cell>
          <cell r="R63" t="str">
            <v>all</v>
          </cell>
          <cell r="S63" t="str">
            <v>R</v>
          </cell>
          <cell r="T63" t="str">
            <v>R (BLY-HQ3)</v>
          </cell>
        </row>
        <row r="63">
          <cell r="V63">
            <v>61</v>
          </cell>
          <cell r="W63">
            <v>0</v>
          </cell>
          <cell r="X63">
            <v>178.66</v>
          </cell>
          <cell r="Y63">
            <v>181.71</v>
          </cell>
        </row>
        <row r="63">
          <cell r="AA63" t="str">
            <v>IBCR0501ECR3Q01</v>
          </cell>
        </row>
        <row r="63">
          <cell r="AC63">
            <v>3</v>
          </cell>
          <cell r="AD63" t="str">
            <v>BLY HQ3</v>
          </cell>
          <cell r="AE63" t="str">
            <v>Water-based mud (WBM)</v>
          </cell>
          <cell r="AF63" t="str">
            <v>PureBore by Clear Solutions</v>
          </cell>
        </row>
        <row r="64">
          <cell r="A64">
            <v>63</v>
          </cell>
          <cell r="B64">
            <v>501</v>
          </cell>
          <cell r="C64" t="str">
            <v>M0111</v>
          </cell>
          <cell r="D64" t="str">
            <v>B</v>
          </cell>
          <cell r="E64" t="str">
            <v>501_M0111_B_063R</v>
          </cell>
          <cell r="F64">
            <v>45805.9340277778</v>
          </cell>
          <cell r="G64" t="str">
            <v>BEND</v>
          </cell>
          <cell r="H64">
            <v>181.71</v>
          </cell>
          <cell r="I64">
            <v>3.05</v>
          </cell>
          <cell r="J64">
            <v>184.76</v>
          </cell>
          <cell r="K64">
            <v>4</v>
          </cell>
          <cell r="L64">
            <v>3.21</v>
          </cell>
          <cell r="M64">
            <v>105.25</v>
          </cell>
        </row>
        <row r="64">
          <cell r="Q64" t="str">
            <v>yes</v>
          </cell>
          <cell r="R64" t="str">
            <v>all</v>
          </cell>
          <cell r="S64" t="str">
            <v>R</v>
          </cell>
          <cell r="T64" t="str">
            <v>R (BLY-HQ3)</v>
          </cell>
        </row>
        <row r="64">
          <cell r="V64">
            <v>61</v>
          </cell>
          <cell r="W64">
            <v>0</v>
          </cell>
          <cell r="X64">
            <v>181.71</v>
          </cell>
          <cell r="Y64">
            <v>184.76</v>
          </cell>
        </row>
        <row r="64">
          <cell r="AA64" t="str">
            <v>IBCR0501ECS3Q01</v>
          </cell>
        </row>
        <row r="64">
          <cell r="AC64">
            <v>3</v>
          </cell>
          <cell r="AD64" t="str">
            <v>BLY HQ3</v>
          </cell>
          <cell r="AE64" t="str">
            <v>Water-based mud (WBM)</v>
          </cell>
          <cell r="AF64" t="str">
            <v>PureBore by Clear Solutions</v>
          </cell>
        </row>
        <row r="65">
          <cell r="A65">
            <v>64</v>
          </cell>
          <cell r="B65">
            <v>501</v>
          </cell>
          <cell r="C65" t="str">
            <v>M0111</v>
          </cell>
          <cell r="D65" t="str">
            <v>B</v>
          </cell>
          <cell r="E65" t="str">
            <v>501_M0111_B_064R</v>
          </cell>
          <cell r="F65">
            <v>45805.9895833333</v>
          </cell>
          <cell r="G65" t="str">
            <v>MOSE</v>
          </cell>
          <cell r="H65">
            <v>184.76</v>
          </cell>
          <cell r="I65">
            <v>3.05</v>
          </cell>
          <cell r="J65">
            <v>187.81</v>
          </cell>
          <cell r="K65">
            <v>2</v>
          </cell>
          <cell r="L65">
            <v>0.9</v>
          </cell>
          <cell r="M65">
            <v>29.51</v>
          </cell>
        </row>
        <row r="65">
          <cell r="Q65" t="str">
            <v>yes</v>
          </cell>
          <cell r="R65" t="str">
            <v>all</v>
          </cell>
          <cell r="S65" t="str">
            <v>R</v>
          </cell>
          <cell r="T65" t="str">
            <v>R (BLY-HQ3)</v>
          </cell>
        </row>
        <row r="65">
          <cell r="V65">
            <v>61</v>
          </cell>
          <cell r="W65">
            <v>0</v>
          </cell>
          <cell r="X65">
            <v>184.76</v>
          </cell>
          <cell r="Y65">
            <v>187.81</v>
          </cell>
        </row>
        <row r="65">
          <cell r="AA65" t="str">
            <v>IBCR0501ECT3Q01</v>
          </cell>
        </row>
        <row r="65">
          <cell r="AC65">
            <v>3</v>
          </cell>
          <cell r="AD65" t="str">
            <v>BLY HQ3</v>
          </cell>
          <cell r="AE65" t="str">
            <v>Water-based mud (WBM)</v>
          </cell>
          <cell r="AF65" t="str">
            <v>PureBore by Clear Solutions</v>
          </cell>
        </row>
        <row r="66">
          <cell r="A66">
            <v>65</v>
          </cell>
          <cell r="B66">
            <v>501</v>
          </cell>
          <cell r="C66" t="str">
            <v>M0111</v>
          </cell>
          <cell r="D66" t="str">
            <v>B</v>
          </cell>
          <cell r="E66" t="str">
            <v>501_M0111_B_065R</v>
          </cell>
          <cell r="F66">
            <v>45806.0208333333</v>
          </cell>
          <cell r="G66" t="str">
            <v>MOSE</v>
          </cell>
          <cell r="H66">
            <v>187.81</v>
          </cell>
          <cell r="I66">
            <v>3.05</v>
          </cell>
          <cell r="J66">
            <v>190.86</v>
          </cell>
          <cell r="K66">
            <v>4</v>
          </cell>
          <cell r="L66">
            <v>3.17</v>
          </cell>
          <cell r="M66">
            <v>103.93</v>
          </cell>
        </row>
        <row r="66">
          <cell r="Q66" t="str">
            <v>yes</v>
          </cell>
          <cell r="R66" t="str">
            <v>all</v>
          </cell>
          <cell r="S66" t="str">
            <v>R</v>
          </cell>
          <cell r="T66" t="str">
            <v>R (BLY-HQ3)</v>
          </cell>
        </row>
        <row r="66">
          <cell r="V66">
            <v>61</v>
          </cell>
          <cell r="W66">
            <v>0</v>
          </cell>
          <cell r="X66">
            <v>187.81</v>
          </cell>
          <cell r="Y66">
            <v>190.86</v>
          </cell>
        </row>
        <row r="66">
          <cell r="AA66" t="str">
            <v>IBCR0501ECU3Q01</v>
          </cell>
        </row>
        <row r="66">
          <cell r="AC66">
            <v>3</v>
          </cell>
          <cell r="AD66" t="str">
            <v>BLY HQ3</v>
          </cell>
          <cell r="AE66" t="str">
            <v>Water-based mud (WBM)</v>
          </cell>
          <cell r="AF66" t="str">
            <v>PureBore by Clear Solutions</v>
          </cell>
        </row>
        <row r="67">
          <cell r="A67">
            <v>66</v>
          </cell>
          <cell r="B67">
            <v>501</v>
          </cell>
          <cell r="C67" t="str">
            <v>M0111</v>
          </cell>
          <cell r="D67" t="str">
            <v>B</v>
          </cell>
          <cell r="E67" t="str">
            <v>501_M0111_B_066R</v>
          </cell>
          <cell r="F67">
            <v>45806.0451388889</v>
          </cell>
          <cell r="G67" t="str">
            <v>MOSE</v>
          </cell>
          <cell r="H67">
            <v>190.86</v>
          </cell>
          <cell r="I67">
            <v>3.05</v>
          </cell>
          <cell r="J67">
            <v>193.91</v>
          </cell>
          <cell r="K67">
            <v>4</v>
          </cell>
          <cell r="L67">
            <v>3.19</v>
          </cell>
          <cell r="M67">
            <v>104.59</v>
          </cell>
        </row>
        <row r="67">
          <cell r="Q67" t="str">
            <v>yes</v>
          </cell>
          <cell r="R67" t="str">
            <v>all</v>
          </cell>
          <cell r="S67" t="str">
            <v>R</v>
          </cell>
          <cell r="T67" t="str">
            <v>R (BLY-HQ3)</v>
          </cell>
        </row>
        <row r="67">
          <cell r="V67">
            <v>61</v>
          </cell>
          <cell r="W67">
            <v>0</v>
          </cell>
          <cell r="X67">
            <v>190.86</v>
          </cell>
          <cell r="Y67">
            <v>193.91</v>
          </cell>
        </row>
        <row r="67">
          <cell r="AA67" t="str">
            <v>IBCR0501ECV3Q01</v>
          </cell>
        </row>
        <row r="67">
          <cell r="AC67">
            <v>3</v>
          </cell>
          <cell r="AD67" t="str">
            <v>BLY HQ3</v>
          </cell>
          <cell r="AE67" t="str">
            <v>Water-based mud (WBM)</v>
          </cell>
          <cell r="AF67" t="str">
            <v>PureBore by Clear Solutions</v>
          </cell>
        </row>
        <row r="68">
          <cell r="A68">
            <v>67</v>
          </cell>
          <cell r="B68">
            <v>501</v>
          </cell>
          <cell r="C68" t="str">
            <v>M0111</v>
          </cell>
          <cell r="D68" t="str">
            <v>B</v>
          </cell>
          <cell r="E68" t="str">
            <v>501_M0111_B_067R</v>
          </cell>
          <cell r="F68">
            <v>45806.0729166667</v>
          </cell>
          <cell r="G68" t="str">
            <v>MOSE</v>
          </cell>
          <cell r="H68">
            <v>193.91</v>
          </cell>
          <cell r="I68">
            <v>3.05</v>
          </cell>
          <cell r="J68">
            <v>196.96</v>
          </cell>
          <cell r="K68">
            <v>3</v>
          </cell>
          <cell r="L68">
            <v>2.42</v>
          </cell>
          <cell r="M68">
            <v>79.34</v>
          </cell>
        </row>
        <row r="68">
          <cell r="Q68" t="str">
            <v>yes</v>
          </cell>
          <cell r="R68" t="str">
            <v>all</v>
          </cell>
          <cell r="S68" t="str">
            <v>R</v>
          </cell>
          <cell r="T68" t="str">
            <v>R (BLY-HQ3)</v>
          </cell>
        </row>
        <row r="68">
          <cell r="V68">
            <v>61</v>
          </cell>
          <cell r="W68">
            <v>0</v>
          </cell>
          <cell r="X68">
            <v>193.91</v>
          </cell>
          <cell r="Y68">
            <v>196.96</v>
          </cell>
        </row>
        <row r="68">
          <cell r="AA68" t="str">
            <v>IBCR0501ECW3Q01</v>
          </cell>
        </row>
        <row r="68">
          <cell r="AC68">
            <v>3</v>
          </cell>
          <cell r="AD68" t="str">
            <v>BLY HQ3</v>
          </cell>
          <cell r="AE68" t="str">
            <v>Water-based mud (WBM)</v>
          </cell>
          <cell r="AF68" t="str">
            <v>PureBore by Clear Solutions</v>
          </cell>
        </row>
        <row r="69">
          <cell r="A69">
            <v>68</v>
          </cell>
          <cell r="B69">
            <v>501</v>
          </cell>
          <cell r="C69" t="str">
            <v>M0111</v>
          </cell>
          <cell r="D69" t="str">
            <v>B</v>
          </cell>
          <cell r="E69" t="str">
            <v>501_M0111_B_068R</v>
          </cell>
          <cell r="F69">
            <v>45806.0972222222</v>
          </cell>
          <cell r="G69" t="str">
            <v>MOSE</v>
          </cell>
          <cell r="H69">
            <v>196.96</v>
          </cell>
          <cell r="I69">
            <v>3.05</v>
          </cell>
          <cell r="J69">
            <v>200.01</v>
          </cell>
          <cell r="K69">
            <v>2</v>
          </cell>
          <cell r="L69">
            <v>2.71</v>
          </cell>
          <cell r="M69">
            <v>88.85</v>
          </cell>
        </row>
        <row r="69">
          <cell r="Q69" t="str">
            <v>yes</v>
          </cell>
          <cell r="R69" t="str">
            <v>all</v>
          </cell>
          <cell r="S69" t="str">
            <v>R</v>
          </cell>
          <cell r="T69" t="str">
            <v>R (BLY-HQ3)</v>
          </cell>
        </row>
        <row r="69">
          <cell r="V69">
            <v>61</v>
          </cell>
          <cell r="W69">
            <v>0</v>
          </cell>
          <cell r="X69">
            <v>196.96</v>
          </cell>
          <cell r="Y69">
            <v>200.01</v>
          </cell>
        </row>
        <row r="69">
          <cell r="AA69" t="str">
            <v>IBCR0501ECX3Q01</v>
          </cell>
        </row>
        <row r="69">
          <cell r="AC69">
            <v>3</v>
          </cell>
          <cell r="AD69" t="str">
            <v>BLY HQ3</v>
          </cell>
          <cell r="AE69" t="str">
            <v>Water-based mud (WBM)</v>
          </cell>
          <cell r="AF69" t="str">
            <v>PureBore by Clear Solutions</v>
          </cell>
        </row>
        <row r="70">
          <cell r="A70">
            <v>69</v>
          </cell>
          <cell r="B70">
            <v>501</v>
          </cell>
          <cell r="C70" t="str">
            <v>M0111</v>
          </cell>
          <cell r="D70" t="str">
            <v>B</v>
          </cell>
          <cell r="E70" t="str">
            <v>501_M0111_B_069R</v>
          </cell>
          <cell r="F70">
            <v>45806.1284722222</v>
          </cell>
          <cell r="G70" t="str">
            <v>MOSE</v>
          </cell>
          <cell r="H70">
            <v>200.01</v>
          </cell>
          <cell r="I70">
            <v>3.05</v>
          </cell>
          <cell r="J70">
            <v>203.06</v>
          </cell>
          <cell r="K70">
            <v>2</v>
          </cell>
          <cell r="L70">
            <v>2.98</v>
          </cell>
          <cell r="M70">
            <v>97.7</v>
          </cell>
        </row>
        <row r="70">
          <cell r="Q70" t="str">
            <v>yes</v>
          </cell>
          <cell r="R70" t="str">
            <v>all</v>
          </cell>
          <cell r="S70" t="str">
            <v>R</v>
          </cell>
          <cell r="T70" t="str">
            <v>R (BLY-HQ3)</v>
          </cell>
        </row>
        <row r="70">
          <cell r="V70">
            <v>61</v>
          </cell>
          <cell r="W70">
            <v>0</v>
          </cell>
          <cell r="X70">
            <v>200.01</v>
          </cell>
          <cell r="Y70">
            <v>203.06</v>
          </cell>
        </row>
        <row r="70">
          <cell r="AA70" t="str">
            <v>IBCR0501ECY3Q01</v>
          </cell>
        </row>
        <row r="70">
          <cell r="AC70">
            <v>3</v>
          </cell>
          <cell r="AD70" t="str">
            <v>BLY HQ3</v>
          </cell>
          <cell r="AE70" t="str">
            <v>Water-based mud (WBM)</v>
          </cell>
          <cell r="AF70" t="str">
            <v>PureBore by Clear Solutions</v>
          </cell>
        </row>
        <row r="71">
          <cell r="A71">
            <v>70</v>
          </cell>
          <cell r="B71">
            <v>501</v>
          </cell>
          <cell r="C71" t="str">
            <v>M0111</v>
          </cell>
          <cell r="D71" t="str">
            <v>B</v>
          </cell>
          <cell r="E71" t="str">
            <v>501_M0111_B_070R</v>
          </cell>
          <cell r="F71">
            <v>45806.1770833333</v>
          </cell>
          <cell r="G71" t="str">
            <v>GEPR</v>
          </cell>
          <cell r="H71">
            <v>203.06</v>
          </cell>
          <cell r="I71">
            <v>3.05</v>
          </cell>
          <cell r="J71">
            <v>206.11</v>
          </cell>
          <cell r="K71">
            <v>2</v>
          </cell>
          <cell r="L71">
            <v>1.44</v>
          </cell>
          <cell r="M71">
            <v>47.21</v>
          </cell>
        </row>
        <row r="71">
          <cell r="Q71" t="str">
            <v>yes</v>
          </cell>
          <cell r="R71" t="str">
            <v>all</v>
          </cell>
          <cell r="S71" t="str">
            <v>R</v>
          </cell>
          <cell r="T71" t="str">
            <v>R (BLY-HQ3)</v>
          </cell>
        </row>
        <row r="71">
          <cell r="V71">
            <v>61</v>
          </cell>
          <cell r="W71">
            <v>0</v>
          </cell>
          <cell r="X71">
            <v>203.06</v>
          </cell>
          <cell r="Y71">
            <v>206.11</v>
          </cell>
        </row>
        <row r="71">
          <cell r="AA71" t="str">
            <v>IBCR0501ECZ3Q01</v>
          </cell>
        </row>
        <row r="71">
          <cell r="AC71">
            <v>3</v>
          </cell>
          <cell r="AD71" t="str">
            <v>BLY HQ3</v>
          </cell>
          <cell r="AE71" t="str">
            <v>Water-based mud (WBM)</v>
          </cell>
          <cell r="AF71" t="str">
            <v>PureBore by Clear Solutions</v>
          </cell>
        </row>
        <row r="72">
          <cell r="A72">
            <v>71</v>
          </cell>
          <cell r="B72">
            <v>501</v>
          </cell>
          <cell r="C72" t="str">
            <v>M0111</v>
          </cell>
          <cell r="D72" t="str">
            <v>B</v>
          </cell>
          <cell r="E72" t="str">
            <v>501_M0111_B_071R</v>
          </cell>
          <cell r="F72">
            <v>45806.2048611111</v>
          </cell>
          <cell r="G72" t="str">
            <v>GEPR</v>
          </cell>
          <cell r="H72">
            <v>206.11</v>
          </cell>
          <cell r="I72">
            <v>1.22</v>
          </cell>
          <cell r="J72">
            <v>207.33</v>
          </cell>
          <cell r="K72">
            <v>1</v>
          </cell>
          <cell r="L72">
            <v>1.18</v>
          </cell>
          <cell r="M72">
            <v>96.72</v>
          </cell>
        </row>
        <row r="72">
          <cell r="Q72" t="str">
            <v>yes</v>
          </cell>
          <cell r="R72" t="str">
            <v>all</v>
          </cell>
          <cell r="S72" t="str">
            <v>R</v>
          </cell>
          <cell r="T72" t="str">
            <v>R (BLY-HQ3)</v>
          </cell>
        </row>
        <row r="72">
          <cell r="V72">
            <v>61</v>
          </cell>
          <cell r="W72">
            <v>0</v>
          </cell>
          <cell r="X72">
            <v>206.11</v>
          </cell>
          <cell r="Y72">
            <v>207.33</v>
          </cell>
        </row>
        <row r="72">
          <cell r="AA72" t="str">
            <v>IBCR0501EC04Q01</v>
          </cell>
        </row>
        <row r="72">
          <cell r="AC72">
            <v>3</v>
          </cell>
          <cell r="AD72" t="str">
            <v>BLY HQ3</v>
          </cell>
          <cell r="AE72" t="str">
            <v>Water-based mud (WBM)</v>
          </cell>
          <cell r="AF72" t="str">
            <v>PureBore by Clear Solutions</v>
          </cell>
        </row>
        <row r="73">
          <cell r="A73">
            <v>72</v>
          </cell>
          <cell r="B73">
            <v>501</v>
          </cell>
          <cell r="C73" t="str">
            <v>M0111</v>
          </cell>
          <cell r="D73" t="str">
            <v>B</v>
          </cell>
          <cell r="E73" t="str">
            <v>501_M0111_B_072R</v>
          </cell>
          <cell r="F73">
            <v>45806.2291666667</v>
          </cell>
          <cell r="G73" t="str">
            <v>GEPR</v>
          </cell>
          <cell r="H73">
            <v>207.33</v>
          </cell>
          <cell r="I73">
            <v>2.5</v>
          </cell>
          <cell r="J73">
            <v>209.83</v>
          </cell>
          <cell r="K73">
            <v>1</v>
          </cell>
          <cell r="L73">
            <v>1.13</v>
          </cell>
          <cell r="M73">
            <v>45.2</v>
          </cell>
        </row>
        <row r="73">
          <cell r="Q73" t="str">
            <v>yes</v>
          </cell>
          <cell r="R73" t="str">
            <v>all</v>
          </cell>
          <cell r="S73" t="str">
            <v>R</v>
          </cell>
          <cell r="T73" t="str">
            <v>R (BLY-HQ3)</v>
          </cell>
        </row>
        <row r="73">
          <cell r="V73">
            <v>61</v>
          </cell>
          <cell r="W73">
            <v>0</v>
          </cell>
          <cell r="X73">
            <v>207.33</v>
          </cell>
          <cell r="Y73">
            <v>209.83</v>
          </cell>
        </row>
        <row r="73">
          <cell r="AA73" t="str">
            <v>IBCR0501EC14Q01</v>
          </cell>
        </row>
        <row r="73">
          <cell r="AC73">
            <v>3</v>
          </cell>
          <cell r="AD73" t="str">
            <v>BLY HQ3</v>
          </cell>
          <cell r="AE73" t="str">
            <v>Water-based mud (WBM)</v>
          </cell>
          <cell r="AF73" t="str">
            <v>PureBore by Clear Solutions</v>
          </cell>
        </row>
        <row r="74">
          <cell r="A74">
            <v>73</v>
          </cell>
          <cell r="B74">
            <v>501</v>
          </cell>
          <cell r="C74" t="str">
            <v>M0111</v>
          </cell>
          <cell r="D74" t="str">
            <v>B</v>
          </cell>
          <cell r="E74" t="str">
            <v>501_M0111_B_073R</v>
          </cell>
          <cell r="F74">
            <v>45806.2743055556</v>
          </cell>
          <cell r="G74" t="str">
            <v>GEPR</v>
          </cell>
          <cell r="H74">
            <v>209.83</v>
          </cell>
          <cell r="I74">
            <v>3.05</v>
          </cell>
          <cell r="J74">
            <v>212.88</v>
          </cell>
          <cell r="K74">
            <v>2</v>
          </cell>
          <cell r="L74">
            <v>2.55</v>
          </cell>
          <cell r="M74">
            <v>83.61</v>
          </cell>
        </row>
        <row r="74">
          <cell r="Q74" t="str">
            <v>yes</v>
          </cell>
          <cell r="R74" t="str">
            <v>all</v>
          </cell>
          <cell r="S74" t="str">
            <v>R</v>
          </cell>
          <cell r="T74" t="str">
            <v>R (BLY-HQ3)</v>
          </cell>
        </row>
        <row r="74">
          <cell r="V74">
            <v>61</v>
          </cell>
          <cell r="W74">
            <v>0</v>
          </cell>
          <cell r="X74">
            <v>209.83</v>
          </cell>
          <cell r="Y74">
            <v>212.88</v>
          </cell>
        </row>
        <row r="74">
          <cell r="AA74" t="str">
            <v>IBCR0501EC24Q01</v>
          </cell>
        </row>
        <row r="74">
          <cell r="AC74">
            <v>3</v>
          </cell>
          <cell r="AD74" t="str">
            <v>BLY HQ3</v>
          </cell>
          <cell r="AE74" t="str">
            <v>Water-based mud (WBM)</v>
          </cell>
          <cell r="AF74" t="str">
            <v>PureBore by Clear Solutions</v>
          </cell>
        </row>
        <row r="75">
          <cell r="A75">
            <v>74</v>
          </cell>
          <cell r="B75">
            <v>501</v>
          </cell>
          <cell r="C75" t="str">
            <v>M0111</v>
          </cell>
          <cell r="D75" t="str">
            <v>B</v>
          </cell>
          <cell r="E75" t="str">
            <v>501_M0111_B_074R</v>
          </cell>
          <cell r="F75">
            <v>45806.3090277778</v>
          </cell>
          <cell r="G75" t="str">
            <v>GEPR</v>
          </cell>
          <cell r="H75">
            <v>212.88</v>
          </cell>
          <cell r="I75">
            <v>2.45</v>
          </cell>
          <cell r="J75">
            <v>215.33</v>
          </cell>
          <cell r="K75">
            <v>1</v>
          </cell>
          <cell r="L75">
            <v>0.79</v>
          </cell>
          <cell r="M75">
            <v>32.24</v>
          </cell>
        </row>
        <row r="75">
          <cell r="Q75" t="str">
            <v>yes</v>
          </cell>
          <cell r="R75" t="str">
            <v>all</v>
          </cell>
          <cell r="S75" t="str">
            <v>R</v>
          </cell>
          <cell r="T75" t="str">
            <v>R (BLY-HQ3)</v>
          </cell>
        </row>
        <row r="75">
          <cell r="V75">
            <v>61</v>
          </cell>
          <cell r="W75">
            <v>0</v>
          </cell>
          <cell r="X75">
            <v>212.88</v>
          </cell>
          <cell r="Y75">
            <v>215.33</v>
          </cell>
        </row>
        <row r="75">
          <cell r="AA75" t="str">
            <v>IBCR0501EC34Q01</v>
          </cell>
        </row>
        <row r="75">
          <cell r="AC75">
            <v>3</v>
          </cell>
          <cell r="AD75" t="str">
            <v>BLY HQ3</v>
          </cell>
          <cell r="AE75" t="str">
            <v>Water-based mud (WBM)</v>
          </cell>
          <cell r="AF75" t="str">
            <v>PureBore by Clear Solutions</v>
          </cell>
        </row>
        <row r="76">
          <cell r="A76">
            <v>75</v>
          </cell>
          <cell r="B76">
            <v>501</v>
          </cell>
          <cell r="C76" t="str">
            <v>M0111</v>
          </cell>
          <cell r="D76" t="str">
            <v>B</v>
          </cell>
          <cell r="E76" t="str">
            <v>501_M0111_B_075R</v>
          </cell>
          <cell r="F76">
            <v>45806.3333333333</v>
          </cell>
          <cell r="G76" t="str">
            <v>GEPR</v>
          </cell>
          <cell r="H76">
            <v>215.33</v>
          </cell>
          <cell r="I76">
            <v>1.35</v>
          </cell>
          <cell r="J76">
            <v>216.68</v>
          </cell>
          <cell r="K76">
            <v>1</v>
          </cell>
          <cell r="L76">
            <v>0.77</v>
          </cell>
          <cell r="M76">
            <v>57.04</v>
          </cell>
        </row>
        <row r="76">
          <cell r="Q76" t="str">
            <v>yes</v>
          </cell>
          <cell r="R76" t="str">
            <v>all</v>
          </cell>
          <cell r="S76" t="str">
            <v>R</v>
          </cell>
          <cell r="T76" t="str">
            <v>R (BLY-HQ3)</v>
          </cell>
        </row>
        <row r="76">
          <cell r="V76">
            <v>61</v>
          </cell>
          <cell r="W76">
            <v>0</v>
          </cell>
          <cell r="X76">
            <v>215.33</v>
          </cell>
          <cell r="Y76">
            <v>216.68</v>
          </cell>
        </row>
        <row r="76">
          <cell r="AA76" t="str">
            <v>IBCR0501EC44Q01</v>
          </cell>
        </row>
        <row r="76">
          <cell r="AC76">
            <v>3</v>
          </cell>
          <cell r="AD76" t="str">
            <v>BLY HQ3</v>
          </cell>
          <cell r="AE76" t="str">
            <v>Water-based mud (WBM)</v>
          </cell>
          <cell r="AF76" t="str">
            <v>PureBore by Clear Solutions</v>
          </cell>
        </row>
        <row r="77">
          <cell r="A77">
            <v>76</v>
          </cell>
          <cell r="B77">
            <v>501</v>
          </cell>
          <cell r="C77" t="str">
            <v>M0111</v>
          </cell>
          <cell r="D77" t="str">
            <v>B</v>
          </cell>
          <cell r="E77" t="str">
            <v>501_M0111_B_076R</v>
          </cell>
          <cell r="F77">
            <v>45806.3541666667</v>
          </cell>
          <cell r="G77" t="str">
            <v>GEPR</v>
          </cell>
          <cell r="H77">
            <v>216.68</v>
          </cell>
          <cell r="I77">
            <v>1.65</v>
          </cell>
          <cell r="J77">
            <v>218.33</v>
          </cell>
          <cell r="K77">
            <v>0</v>
          </cell>
          <cell r="L77">
            <v>0</v>
          </cell>
          <cell r="M77">
            <v>0</v>
          </cell>
        </row>
        <row r="77">
          <cell r="P77" t="str">
            <v>no recovery</v>
          </cell>
          <cell r="Q77" t="str">
            <v>no</v>
          </cell>
          <cell r="R77" t="str">
            <v>none</v>
          </cell>
          <cell r="S77" t="str">
            <v>R</v>
          </cell>
          <cell r="T77" t="str">
            <v>R (BLY-HQ3)</v>
          </cell>
        </row>
        <row r="77">
          <cell r="V77">
            <v>61</v>
          </cell>
          <cell r="W77">
            <v>0</v>
          </cell>
          <cell r="X77">
            <v>216.68</v>
          </cell>
          <cell r="Y77">
            <v>218.33</v>
          </cell>
        </row>
        <row r="77">
          <cell r="AA77" t="str">
            <v>IBCR0501EC54Q01</v>
          </cell>
        </row>
        <row r="77">
          <cell r="AC77">
            <v>3</v>
          </cell>
          <cell r="AD77" t="str">
            <v>BLY HQ3</v>
          </cell>
          <cell r="AE77" t="str">
            <v>Water-based mud (WBM)</v>
          </cell>
          <cell r="AF77" t="str">
            <v>PureBore by Clear Solutions</v>
          </cell>
        </row>
        <row r="78">
          <cell r="A78">
            <v>77</v>
          </cell>
          <cell r="B78">
            <v>501</v>
          </cell>
          <cell r="C78" t="str">
            <v>M0111</v>
          </cell>
          <cell r="D78" t="str">
            <v>B</v>
          </cell>
          <cell r="E78" t="str">
            <v>501_M0111_B_077R</v>
          </cell>
          <cell r="F78">
            <v>45806.3680555556</v>
          </cell>
          <cell r="G78" t="str">
            <v>GEPR</v>
          </cell>
          <cell r="H78">
            <v>218.33</v>
          </cell>
          <cell r="I78">
            <v>1.6</v>
          </cell>
          <cell r="J78">
            <v>219.93</v>
          </cell>
          <cell r="K78">
            <v>0</v>
          </cell>
          <cell r="L78">
            <v>0</v>
          </cell>
          <cell r="M78">
            <v>0</v>
          </cell>
        </row>
        <row r="78">
          <cell r="P78" t="str">
            <v>no recovery</v>
          </cell>
          <cell r="Q78" t="str">
            <v>no</v>
          </cell>
          <cell r="R78" t="str">
            <v>none</v>
          </cell>
          <cell r="S78" t="str">
            <v>R</v>
          </cell>
          <cell r="T78" t="str">
            <v>R (BLY-HQ3)</v>
          </cell>
        </row>
        <row r="78">
          <cell r="V78">
            <v>61</v>
          </cell>
          <cell r="W78">
            <v>0</v>
          </cell>
          <cell r="X78">
            <v>218.33</v>
          </cell>
          <cell r="Y78">
            <v>219.93</v>
          </cell>
        </row>
        <row r="78">
          <cell r="AA78" t="str">
            <v>IBCR0501EC64Q01</v>
          </cell>
        </row>
        <row r="78">
          <cell r="AC78">
            <v>3</v>
          </cell>
          <cell r="AD78" t="str">
            <v>BLY HQ3</v>
          </cell>
          <cell r="AE78" t="str">
            <v>Water-based mud (WBM)</v>
          </cell>
          <cell r="AF78" t="str">
            <v>PureBore by Clear Solutions</v>
          </cell>
        </row>
        <row r="79">
          <cell r="A79">
            <v>78</v>
          </cell>
          <cell r="B79">
            <v>501</v>
          </cell>
          <cell r="C79" t="str">
            <v>M0111</v>
          </cell>
          <cell r="D79" t="str">
            <v>B</v>
          </cell>
          <cell r="E79" t="str">
            <v>501_M0111_B_078R</v>
          </cell>
          <cell r="F79">
            <v>45806.4097222222</v>
          </cell>
          <cell r="G79" t="str">
            <v>GEPR</v>
          </cell>
          <cell r="H79">
            <v>219.93</v>
          </cell>
          <cell r="I79">
            <v>0.9</v>
          </cell>
          <cell r="J79">
            <v>220.83</v>
          </cell>
          <cell r="K79">
            <v>1</v>
          </cell>
          <cell r="L79">
            <v>0.69</v>
          </cell>
          <cell r="M79">
            <v>76.67</v>
          </cell>
        </row>
        <row r="79">
          <cell r="Q79" t="str">
            <v>yes</v>
          </cell>
          <cell r="R79" t="str">
            <v>all</v>
          </cell>
          <cell r="S79" t="str">
            <v>R</v>
          </cell>
          <cell r="T79" t="str">
            <v>R (BLY-HQ3)</v>
          </cell>
        </row>
        <row r="79">
          <cell r="V79">
            <v>61</v>
          </cell>
          <cell r="W79">
            <v>0</v>
          </cell>
          <cell r="X79">
            <v>219.93</v>
          </cell>
          <cell r="Y79">
            <v>220.83</v>
          </cell>
        </row>
        <row r="79">
          <cell r="AA79" t="str">
            <v>IBCR0501EC74Q01</v>
          </cell>
        </row>
        <row r="79">
          <cell r="AC79">
            <v>3</v>
          </cell>
          <cell r="AD79" t="str">
            <v>BLY HQ3</v>
          </cell>
          <cell r="AE79" t="str">
            <v>Water-based mud (WBM)</v>
          </cell>
          <cell r="AF79" t="str">
            <v>PureBore by Clear Solutions</v>
          </cell>
        </row>
        <row r="80">
          <cell r="A80">
            <v>79</v>
          </cell>
          <cell r="B80">
            <v>501</v>
          </cell>
          <cell r="C80" t="str">
            <v>M0111</v>
          </cell>
          <cell r="D80" t="str">
            <v>B</v>
          </cell>
          <cell r="E80" t="str">
            <v>501_M0111_B_079R</v>
          </cell>
          <cell r="F80">
            <v>45806.4444444444</v>
          </cell>
          <cell r="G80" t="str">
            <v>GEPR</v>
          </cell>
          <cell r="H80">
            <v>220.83</v>
          </cell>
          <cell r="I80">
            <v>1.3</v>
          </cell>
          <cell r="J80">
            <v>222.13</v>
          </cell>
          <cell r="K80">
            <v>0</v>
          </cell>
          <cell r="L80">
            <v>0</v>
          </cell>
          <cell r="M80">
            <v>0</v>
          </cell>
        </row>
        <row r="80">
          <cell r="P80" t="str">
            <v>no recovery</v>
          </cell>
          <cell r="Q80" t="str">
            <v>no</v>
          </cell>
          <cell r="R80" t="str">
            <v>none</v>
          </cell>
          <cell r="S80" t="str">
            <v>R</v>
          </cell>
          <cell r="T80" t="str">
            <v>R (BLY-HQ3)</v>
          </cell>
        </row>
        <row r="80">
          <cell r="V80">
            <v>61</v>
          </cell>
          <cell r="W80">
            <v>0</v>
          </cell>
          <cell r="X80">
            <v>220.83</v>
          </cell>
          <cell r="Y80">
            <v>222.13</v>
          </cell>
        </row>
        <row r="80">
          <cell r="AA80" t="str">
            <v>IBCR0501EC84Q01</v>
          </cell>
        </row>
        <row r="80">
          <cell r="AC80">
            <v>3</v>
          </cell>
          <cell r="AD80" t="str">
            <v>BLY HQ3</v>
          </cell>
          <cell r="AE80" t="str">
            <v>Water-based mud (WBM)</v>
          </cell>
          <cell r="AF80" t="str">
            <v>PureBore by Clear Solutions</v>
          </cell>
        </row>
        <row r="81">
          <cell r="A81">
            <v>80</v>
          </cell>
          <cell r="B81">
            <v>501</v>
          </cell>
          <cell r="C81" t="str">
            <v>M0111</v>
          </cell>
          <cell r="D81" t="str">
            <v>B</v>
          </cell>
          <cell r="E81" t="str">
            <v>501_M0111_B_080R</v>
          </cell>
          <cell r="F81">
            <v>45806.4791666667</v>
          </cell>
          <cell r="G81" t="str">
            <v>GEPR</v>
          </cell>
          <cell r="H81">
            <v>222.13</v>
          </cell>
          <cell r="I81">
            <v>1.96</v>
          </cell>
          <cell r="J81">
            <v>224.09</v>
          </cell>
          <cell r="K81">
            <v>0</v>
          </cell>
          <cell r="L81">
            <v>0</v>
          </cell>
          <cell r="M81">
            <v>0</v>
          </cell>
        </row>
        <row r="81">
          <cell r="P81" t="str">
            <v>no recovery</v>
          </cell>
          <cell r="Q81" t="str">
            <v>no</v>
          </cell>
          <cell r="R81" t="str">
            <v>none</v>
          </cell>
          <cell r="S81" t="str">
            <v>R</v>
          </cell>
          <cell r="T81" t="str">
            <v>R (BLY-HQ3)</v>
          </cell>
        </row>
        <row r="81">
          <cell r="V81">
            <v>61</v>
          </cell>
          <cell r="W81">
            <v>0</v>
          </cell>
          <cell r="X81">
            <v>222.13</v>
          </cell>
          <cell r="Y81">
            <v>224.09</v>
          </cell>
        </row>
        <row r="81">
          <cell r="AA81" t="str">
            <v>IBCR0501EC94Q01</v>
          </cell>
        </row>
        <row r="81">
          <cell r="AC81">
            <v>3</v>
          </cell>
          <cell r="AD81" t="str">
            <v>BLY HQ3</v>
          </cell>
          <cell r="AE81" t="str">
            <v>Water-based mud (WBM)</v>
          </cell>
          <cell r="AF81" t="str">
            <v>PureBore by Clear Solutions</v>
          </cell>
        </row>
        <row r="82">
          <cell r="A82">
            <v>81</v>
          </cell>
          <cell r="B82">
            <v>501</v>
          </cell>
          <cell r="C82" t="str">
            <v>M0111</v>
          </cell>
          <cell r="D82" t="str">
            <v>B</v>
          </cell>
          <cell r="E82" t="str">
            <v>501_M0111_B_081R</v>
          </cell>
          <cell r="F82">
            <v>45806.5</v>
          </cell>
          <cell r="G82" t="str">
            <v>GEPR</v>
          </cell>
          <cell r="H82">
            <v>224.09</v>
          </cell>
          <cell r="I82">
            <v>0.49</v>
          </cell>
          <cell r="J82">
            <v>224.58</v>
          </cell>
          <cell r="K82">
            <v>1</v>
          </cell>
          <cell r="L82">
            <v>0.33</v>
          </cell>
          <cell r="M82">
            <v>67.35</v>
          </cell>
        </row>
        <row r="82">
          <cell r="Q82" t="str">
            <v>yes</v>
          </cell>
          <cell r="R82" t="str">
            <v>all</v>
          </cell>
          <cell r="S82" t="str">
            <v>R</v>
          </cell>
          <cell r="T82" t="str">
            <v>R (BLY-HQ3)</v>
          </cell>
        </row>
        <row r="82">
          <cell r="V82">
            <v>61</v>
          </cell>
          <cell r="W82">
            <v>0</v>
          </cell>
          <cell r="X82">
            <v>224.09</v>
          </cell>
          <cell r="Y82">
            <v>224.58</v>
          </cell>
        </row>
        <row r="82">
          <cell r="AA82" t="str">
            <v>IBCR0501ECA4Q01</v>
          </cell>
        </row>
        <row r="82">
          <cell r="AC82">
            <v>3</v>
          </cell>
          <cell r="AD82" t="str">
            <v>BLY HQ3</v>
          </cell>
          <cell r="AE82" t="str">
            <v>Water-based mud (WBM)</v>
          </cell>
          <cell r="AF82" t="str">
            <v>PureBore by Clear Solutions</v>
          </cell>
        </row>
        <row r="83">
          <cell r="A83">
            <v>82</v>
          </cell>
          <cell r="B83">
            <v>501</v>
          </cell>
          <cell r="C83" t="str">
            <v>M0111</v>
          </cell>
          <cell r="D83" t="str">
            <v>B</v>
          </cell>
          <cell r="E83" t="str">
            <v>501_M0111_B_082R</v>
          </cell>
          <cell r="F83">
            <v>45806.5173611111</v>
          </cell>
          <cell r="G83" t="str">
            <v>GEPR</v>
          </cell>
          <cell r="H83">
            <v>224.58</v>
          </cell>
          <cell r="I83">
            <v>0</v>
          </cell>
          <cell r="J83">
            <v>224.58</v>
          </cell>
          <cell r="K83">
            <v>1</v>
          </cell>
          <cell r="L83">
            <v>0.84</v>
          </cell>
          <cell r="M83">
            <v>0</v>
          </cell>
        </row>
        <row r="83">
          <cell r="P83" t="str">
            <v>infill only</v>
          </cell>
        </row>
        <row r="84">
          <cell r="A84">
            <v>83</v>
          </cell>
          <cell r="B84">
            <v>501</v>
          </cell>
          <cell r="C84" t="str">
            <v>M0111</v>
          </cell>
          <cell r="D84" t="str">
            <v>B</v>
          </cell>
          <cell r="E84" t="str">
            <v>501_M0111_B_083R</v>
          </cell>
          <cell r="F84">
            <v>45806.7916666667</v>
          </cell>
          <cell r="G84" t="str">
            <v>MOSE</v>
          </cell>
          <cell r="H84">
            <v>224.58</v>
          </cell>
          <cell r="I84">
            <v>3.05</v>
          </cell>
          <cell r="J84">
            <v>227.63</v>
          </cell>
          <cell r="K84">
            <v>1</v>
          </cell>
          <cell r="L84">
            <v>0.46</v>
          </cell>
          <cell r="M84">
            <v>15.08</v>
          </cell>
        </row>
        <row r="84">
          <cell r="Q84" t="str">
            <v>yes</v>
          </cell>
          <cell r="R84" t="str">
            <v>all</v>
          </cell>
          <cell r="S84" t="str">
            <v>R</v>
          </cell>
          <cell r="T84" t="str">
            <v>R (BLY-HQ3)</v>
          </cell>
        </row>
        <row r="84">
          <cell r="V84">
            <v>61</v>
          </cell>
          <cell r="W84">
            <v>0</v>
          </cell>
          <cell r="X84">
            <v>224.58</v>
          </cell>
          <cell r="Y84">
            <v>227.63</v>
          </cell>
        </row>
        <row r="84">
          <cell r="AA84" t="str">
            <v>IBCR0501ECC4Q01</v>
          </cell>
        </row>
        <row r="84">
          <cell r="AC84">
            <v>3</v>
          </cell>
          <cell r="AD84" t="str">
            <v>BLY HQ3</v>
          </cell>
          <cell r="AE84" t="str">
            <v>Water-based mud (WBM)</v>
          </cell>
          <cell r="AF84" t="str">
            <v>PureBore by Clear Solutions</v>
          </cell>
        </row>
        <row r="85">
          <cell r="A85">
            <v>84</v>
          </cell>
          <cell r="B85">
            <v>501</v>
          </cell>
          <cell r="C85" t="str">
            <v>M0111</v>
          </cell>
          <cell r="D85" t="str">
            <v>B</v>
          </cell>
          <cell r="E85" t="str">
            <v>501_M0111_B_084R</v>
          </cell>
          <cell r="F85">
            <v>45806.8506944444</v>
          </cell>
          <cell r="G85" t="str">
            <v>BEND</v>
          </cell>
          <cell r="H85">
            <v>227.63</v>
          </cell>
          <cell r="I85">
            <v>3.05</v>
          </cell>
          <cell r="J85">
            <v>230.68</v>
          </cell>
          <cell r="K85">
            <v>2</v>
          </cell>
          <cell r="L85">
            <v>1.61</v>
          </cell>
          <cell r="M85">
            <v>52.79</v>
          </cell>
        </row>
        <row r="85">
          <cell r="Q85" t="str">
            <v>yes</v>
          </cell>
          <cell r="R85" t="str">
            <v>all</v>
          </cell>
          <cell r="S85" t="str">
            <v>R</v>
          </cell>
          <cell r="T85" t="str">
            <v>R (BLY-HQ3)</v>
          </cell>
        </row>
        <row r="85">
          <cell r="V85">
            <v>61</v>
          </cell>
          <cell r="W85">
            <v>0</v>
          </cell>
          <cell r="X85">
            <v>227.63</v>
          </cell>
          <cell r="Y85">
            <v>230.68</v>
          </cell>
        </row>
        <row r="85">
          <cell r="AA85" t="str">
            <v>IBCR0501ECD4Q01</v>
          </cell>
        </row>
        <row r="85">
          <cell r="AC85">
            <v>3</v>
          </cell>
          <cell r="AD85" t="str">
            <v>BLY HQ3</v>
          </cell>
          <cell r="AE85" t="str">
            <v>Water-based mud (WBM)</v>
          </cell>
          <cell r="AF85" t="str">
            <v>PureBore by Clear Solutions</v>
          </cell>
        </row>
        <row r="86">
          <cell r="A86">
            <v>85</v>
          </cell>
          <cell r="B86">
            <v>501</v>
          </cell>
          <cell r="C86" t="str">
            <v>M0111</v>
          </cell>
          <cell r="D86" t="str">
            <v>B</v>
          </cell>
          <cell r="E86" t="str">
            <v>501_M0111_B_085R</v>
          </cell>
          <cell r="F86">
            <v>45807.3194444444</v>
          </cell>
          <cell r="G86" t="str">
            <v>GEPR</v>
          </cell>
          <cell r="H86">
            <v>230.68</v>
          </cell>
          <cell r="I86">
            <v>0</v>
          </cell>
          <cell r="J86">
            <v>230.68</v>
          </cell>
          <cell r="K86">
            <v>1</v>
          </cell>
          <cell r="L86">
            <v>0.4</v>
          </cell>
          <cell r="M86">
            <v>0</v>
          </cell>
        </row>
        <row r="86">
          <cell r="P86" t="str">
            <v>infill only</v>
          </cell>
        </row>
        <row r="87">
          <cell r="A87">
            <v>86</v>
          </cell>
          <cell r="B87">
            <v>501</v>
          </cell>
          <cell r="C87" t="str">
            <v>M0111</v>
          </cell>
          <cell r="D87" t="str">
            <v>B</v>
          </cell>
          <cell r="E87" t="str">
            <v>501_M0111_B_086R</v>
          </cell>
          <cell r="F87">
            <v>45807.3506944444</v>
          </cell>
          <cell r="G87" t="str">
            <v>GEPR</v>
          </cell>
          <cell r="H87">
            <v>230.68</v>
          </cell>
          <cell r="I87">
            <v>3.05</v>
          </cell>
          <cell r="J87">
            <v>233.73</v>
          </cell>
          <cell r="K87">
            <v>2</v>
          </cell>
          <cell r="L87">
            <v>2.81</v>
          </cell>
          <cell r="M87">
            <v>92.13</v>
          </cell>
        </row>
        <row r="87">
          <cell r="Q87" t="str">
            <v>yes</v>
          </cell>
          <cell r="R87" t="str">
            <v>all</v>
          </cell>
          <cell r="S87" t="str">
            <v>R</v>
          </cell>
          <cell r="T87" t="str">
            <v>R (BLY-HQ3)</v>
          </cell>
        </row>
        <row r="87">
          <cell r="V87">
            <v>61</v>
          </cell>
          <cell r="W87">
            <v>0</v>
          </cell>
          <cell r="X87">
            <v>230.68</v>
          </cell>
          <cell r="Y87">
            <v>233.73</v>
          </cell>
        </row>
        <row r="87">
          <cell r="AA87" t="str">
            <v>IBCR0501ECF4Q01</v>
          </cell>
        </row>
        <row r="87">
          <cell r="AC87">
            <v>3</v>
          </cell>
          <cell r="AD87" t="str">
            <v>BLY HQ3</v>
          </cell>
          <cell r="AE87" t="str">
            <v>Water-based mud (WBM)</v>
          </cell>
          <cell r="AF87" t="str">
            <v>PureBore by Clear Solutions</v>
          </cell>
        </row>
        <row r="88">
          <cell r="A88">
            <v>87</v>
          </cell>
          <cell r="B88">
            <v>501</v>
          </cell>
          <cell r="C88" t="str">
            <v>M0111</v>
          </cell>
          <cell r="D88" t="str">
            <v>B</v>
          </cell>
          <cell r="E88" t="str">
            <v>501_M0111_B_087R</v>
          </cell>
          <cell r="F88">
            <v>45808.0868055556</v>
          </cell>
          <cell r="G88" t="str">
            <v>MOSE</v>
          </cell>
          <cell r="H88">
            <v>233.73</v>
          </cell>
          <cell r="I88">
            <v>0.8</v>
          </cell>
          <cell r="J88">
            <v>234.53</v>
          </cell>
          <cell r="K88">
            <v>1</v>
          </cell>
          <cell r="L88">
            <v>0.94</v>
          </cell>
          <cell r="M88">
            <v>117.5</v>
          </cell>
        </row>
        <row r="88">
          <cell r="Q88" t="str">
            <v>yes</v>
          </cell>
          <cell r="R88" t="str">
            <v>all</v>
          </cell>
          <cell r="S88" t="str">
            <v>R</v>
          </cell>
          <cell r="T88" t="str">
            <v>R (BLY-HQ3)</v>
          </cell>
        </row>
        <row r="88">
          <cell r="V88">
            <v>61</v>
          </cell>
          <cell r="W88">
            <v>0</v>
          </cell>
          <cell r="X88">
            <v>233.73</v>
          </cell>
          <cell r="Y88">
            <v>234.53</v>
          </cell>
        </row>
        <row r="88">
          <cell r="AA88" t="str">
            <v>IBCR0501ECH4Q01</v>
          </cell>
        </row>
        <row r="88">
          <cell r="AC88">
            <v>3</v>
          </cell>
          <cell r="AD88" t="str">
            <v>BLY HQ3</v>
          </cell>
          <cell r="AE88" t="str">
            <v>Water-based mud (WBM)</v>
          </cell>
          <cell r="AF88" t="str">
            <v>PureBore by Clear Solutions</v>
          </cell>
        </row>
        <row r="89">
          <cell r="A89">
            <v>88</v>
          </cell>
          <cell r="B89">
            <v>501</v>
          </cell>
          <cell r="C89" t="str">
            <v>M0111</v>
          </cell>
          <cell r="D89" t="str">
            <v>B</v>
          </cell>
          <cell r="E89" t="str">
            <v>501_M0111_B_088R</v>
          </cell>
          <cell r="F89">
            <v>45808.125</v>
          </cell>
          <cell r="G89" t="str">
            <v>MOSE</v>
          </cell>
          <cell r="H89">
            <v>234.53</v>
          </cell>
          <cell r="I89">
            <v>3.05</v>
          </cell>
          <cell r="J89">
            <v>237.58</v>
          </cell>
          <cell r="K89">
            <v>2</v>
          </cell>
          <cell r="L89">
            <v>1.99</v>
          </cell>
          <cell r="M89">
            <v>65.25</v>
          </cell>
        </row>
        <row r="89">
          <cell r="Q89" t="str">
            <v>yes</v>
          </cell>
          <cell r="R89" t="str">
            <v>all</v>
          </cell>
          <cell r="S89" t="str">
            <v>R</v>
          </cell>
          <cell r="T89" t="str">
            <v>R (BLY-HQ3)</v>
          </cell>
        </row>
        <row r="89">
          <cell r="V89">
            <v>61</v>
          </cell>
          <cell r="W89">
            <v>0</v>
          </cell>
          <cell r="X89">
            <v>234.53</v>
          </cell>
          <cell r="Y89">
            <v>237.58</v>
          </cell>
        </row>
        <row r="89">
          <cell r="AA89" t="str">
            <v>IBCR0501ECI4Q01</v>
          </cell>
        </row>
        <row r="89">
          <cell r="AC89">
            <v>3</v>
          </cell>
          <cell r="AD89" t="str">
            <v>BLY HQ3</v>
          </cell>
          <cell r="AE89" t="str">
            <v>Water-based mud (WBM)</v>
          </cell>
          <cell r="AF89" t="str">
            <v>PureBore by Clear Solutions</v>
          </cell>
        </row>
        <row r="90">
          <cell r="A90">
            <v>89</v>
          </cell>
          <cell r="B90">
            <v>501</v>
          </cell>
          <cell r="C90" t="str">
            <v>M0111</v>
          </cell>
          <cell r="D90" t="str">
            <v>B</v>
          </cell>
          <cell r="E90" t="str">
            <v>501_M0111_B_089R</v>
          </cell>
          <cell r="F90">
            <v>45808.1527777778</v>
          </cell>
          <cell r="G90" t="str">
            <v>WINK</v>
          </cell>
          <cell r="H90">
            <v>237.58</v>
          </cell>
          <cell r="I90">
            <v>3.05</v>
          </cell>
          <cell r="J90">
            <v>240.63</v>
          </cell>
          <cell r="K90">
            <v>2</v>
          </cell>
          <cell r="L90">
            <v>2.44</v>
          </cell>
          <cell r="M90">
            <v>80</v>
          </cell>
        </row>
        <row r="90">
          <cell r="Q90" t="str">
            <v>yes</v>
          </cell>
          <cell r="R90" t="str">
            <v>all</v>
          </cell>
          <cell r="S90" t="str">
            <v>R</v>
          </cell>
          <cell r="T90" t="str">
            <v>R (BLY-HQ3)</v>
          </cell>
        </row>
        <row r="90">
          <cell r="V90">
            <v>61</v>
          </cell>
          <cell r="W90">
            <v>0</v>
          </cell>
          <cell r="X90">
            <v>237.58</v>
          </cell>
          <cell r="Y90">
            <v>240.63</v>
          </cell>
        </row>
        <row r="90">
          <cell r="AA90" t="str">
            <v>IBCR0501ECJ4Q01</v>
          </cell>
        </row>
        <row r="90">
          <cell r="AC90">
            <v>3</v>
          </cell>
          <cell r="AD90" t="str">
            <v>BLY HQ3</v>
          </cell>
          <cell r="AE90" t="str">
            <v>Water-based mud (WBM)</v>
          </cell>
          <cell r="AF90" t="str">
            <v>PureBore by Clear Solutions</v>
          </cell>
        </row>
        <row r="91">
          <cell r="A91">
            <v>90</v>
          </cell>
          <cell r="B91">
            <v>501</v>
          </cell>
          <cell r="C91" t="str">
            <v>M0111</v>
          </cell>
          <cell r="D91" t="str">
            <v>B</v>
          </cell>
          <cell r="E91" t="str">
            <v>501_M0111_B_090R</v>
          </cell>
          <cell r="F91">
            <v>45808.1909722222</v>
          </cell>
          <cell r="G91" t="str">
            <v>GEPR</v>
          </cell>
          <cell r="H91">
            <v>240.63</v>
          </cell>
          <cell r="I91">
            <v>3.05</v>
          </cell>
          <cell r="J91">
            <v>243.68</v>
          </cell>
          <cell r="K91">
            <v>0</v>
          </cell>
          <cell r="L91">
            <v>0</v>
          </cell>
          <cell r="M91">
            <v>0</v>
          </cell>
        </row>
        <row r="91">
          <cell r="P91" t="str">
            <v>no recovery</v>
          </cell>
          <cell r="Q91" t="str">
            <v>no</v>
          </cell>
          <cell r="R91" t="str">
            <v>none</v>
          </cell>
          <cell r="S91" t="str">
            <v>R</v>
          </cell>
          <cell r="T91" t="str">
            <v>R (BLY-HQ3)</v>
          </cell>
        </row>
        <row r="91">
          <cell r="V91">
            <v>61</v>
          </cell>
          <cell r="W91">
            <v>0</v>
          </cell>
          <cell r="X91">
            <v>240.63</v>
          </cell>
          <cell r="Y91">
            <v>243.68</v>
          </cell>
        </row>
        <row r="91">
          <cell r="AA91" t="str">
            <v>IBCR0501ECK4Q01</v>
          </cell>
        </row>
        <row r="91">
          <cell r="AC91">
            <v>3</v>
          </cell>
          <cell r="AD91" t="str">
            <v>BLY HQ3</v>
          </cell>
          <cell r="AE91" t="str">
            <v>Water-based mud (WBM)</v>
          </cell>
          <cell r="AF91" t="str">
            <v>PureBore by Clear Solutions</v>
          </cell>
        </row>
        <row r="92">
          <cell r="A92">
            <v>91</v>
          </cell>
          <cell r="B92">
            <v>501</v>
          </cell>
          <cell r="C92" t="str">
            <v>M0111</v>
          </cell>
          <cell r="D92" t="str">
            <v>B</v>
          </cell>
          <cell r="E92" t="str">
            <v>501_M0111_B_091R</v>
          </cell>
          <cell r="F92">
            <v>45808.2083333333</v>
          </cell>
          <cell r="G92" t="str">
            <v>GEPR</v>
          </cell>
          <cell r="H92">
            <v>243.68</v>
          </cell>
          <cell r="I92">
            <v>1.25</v>
          </cell>
          <cell r="J92">
            <v>244.93</v>
          </cell>
          <cell r="K92">
            <v>0</v>
          </cell>
          <cell r="L92">
            <v>0</v>
          </cell>
          <cell r="M92">
            <v>0</v>
          </cell>
        </row>
        <row r="92">
          <cell r="P92" t="str">
            <v>no recovery</v>
          </cell>
          <cell r="Q92" t="str">
            <v>no</v>
          </cell>
          <cell r="R92" t="str">
            <v>none</v>
          </cell>
          <cell r="S92" t="str">
            <v>R</v>
          </cell>
          <cell r="T92" t="str">
            <v>R (BLY-HQ3)</v>
          </cell>
        </row>
        <row r="92">
          <cell r="V92">
            <v>61</v>
          </cell>
          <cell r="W92">
            <v>0</v>
          </cell>
          <cell r="X92">
            <v>243.68</v>
          </cell>
          <cell r="Y92">
            <v>244.93</v>
          </cell>
        </row>
        <row r="92">
          <cell r="AA92" t="str">
            <v>IBCR0501ECL4Q01</v>
          </cell>
        </row>
        <row r="92">
          <cell r="AC92">
            <v>3</v>
          </cell>
          <cell r="AD92" t="str">
            <v>BLY HQ3</v>
          </cell>
          <cell r="AE92" t="str">
            <v>Water-based mud (WBM)</v>
          </cell>
          <cell r="AF92" t="str">
            <v>PureBore by Clear Solutions</v>
          </cell>
        </row>
        <row r="93">
          <cell r="A93">
            <v>92</v>
          </cell>
          <cell r="B93">
            <v>501</v>
          </cell>
          <cell r="C93" t="str">
            <v>M0111</v>
          </cell>
          <cell r="D93" t="str">
            <v>B</v>
          </cell>
          <cell r="E93" t="str">
            <v>501_M0111_B_092R</v>
          </cell>
          <cell r="F93">
            <v>45808.2326388889</v>
          </cell>
          <cell r="G93" t="str">
            <v>GEPR</v>
          </cell>
          <cell r="H93">
            <v>244.93</v>
          </cell>
          <cell r="I93">
            <v>0.35</v>
          </cell>
          <cell r="J93">
            <v>245.28</v>
          </cell>
          <cell r="K93">
            <v>1</v>
          </cell>
          <cell r="L93">
            <v>0.42</v>
          </cell>
          <cell r="M93">
            <v>120</v>
          </cell>
        </row>
        <row r="93">
          <cell r="Q93" t="str">
            <v>yes</v>
          </cell>
          <cell r="R93" t="str">
            <v>all</v>
          </cell>
          <cell r="S93" t="str">
            <v>R</v>
          </cell>
          <cell r="T93" t="str">
            <v>R (BLY-HQ3)</v>
          </cell>
        </row>
        <row r="93">
          <cell r="V93">
            <v>61</v>
          </cell>
          <cell r="W93">
            <v>0</v>
          </cell>
          <cell r="X93">
            <v>244.93</v>
          </cell>
          <cell r="Y93">
            <v>245.28</v>
          </cell>
        </row>
        <row r="93">
          <cell r="AA93" t="str">
            <v>IBCR0501ECM4Q01</v>
          </cell>
        </row>
        <row r="93">
          <cell r="AC93">
            <v>3</v>
          </cell>
          <cell r="AD93" t="str">
            <v>BLY HQ3</v>
          </cell>
          <cell r="AE93" t="str">
            <v>Water-based mud (WBM)</v>
          </cell>
          <cell r="AF93" t="str">
            <v>PureBore by Clear Solutions</v>
          </cell>
        </row>
        <row r="94">
          <cell r="A94">
            <v>93</v>
          </cell>
          <cell r="B94">
            <v>501</v>
          </cell>
          <cell r="C94" t="str">
            <v>M0111</v>
          </cell>
          <cell r="D94" t="str">
            <v>B</v>
          </cell>
          <cell r="E94" t="str">
            <v>501_M0111_B_093R</v>
          </cell>
          <cell r="F94">
            <v>45808.2569444444</v>
          </cell>
          <cell r="G94" t="str">
            <v>GEPR</v>
          </cell>
          <cell r="H94">
            <v>245.28</v>
          </cell>
          <cell r="I94">
            <v>1.45</v>
          </cell>
          <cell r="J94">
            <v>246.73</v>
          </cell>
          <cell r="K94">
            <v>2</v>
          </cell>
          <cell r="L94">
            <v>0.64</v>
          </cell>
          <cell r="M94">
            <v>44.14</v>
          </cell>
        </row>
        <row r="94">
          <cell r="Q94" t="str">
            <v>yes</v>
          </cell>
          <cell r="R94" t="str">
            <v>all</v>
          </cell>
          <cell r="S94" t="str">
            <v>R</v>
          </cell>
          <cell r="T94" t="str">
            <v>R (BLY-HQ3)</v>
          </cell>
        </row>
        <row r="94">
          <cell r="V94">
            <v>61</v>
          </cell>
          <cell r="W94">
            <v>0</v>
          </cell>
          <cell r="X94">
            <v>245.28</v>
          </cell>
          <cell r="Y94">
            <v>246.73</v>
          </cell>
        </row>
        <row r="94">
          <cell r="AA94" t="str">
            <v>IBCR0501ECN4Q01</v>
          </cell>
        </row>
        <row r="94">
          <cell r="AC94">
            <v>3</v>
          </cell>
          <cell r="AD94" t="str">
            <v>BLY HQ3</v>
          </cell>
          <cell r="AE94" t="str">
            <v>Water-based mud (WBM)</v>
          </cell>
          <cell r="AF94" t="str">
            <v>PureBore by Clear Solutions</v>
          </cell>
        </row>
        <row r="95">
          <cell r="A95">
            <v>94</v>
          </cell>
          <cell r="B95">
            <v>501</v>
          </cell>
          <cell r="C95" t="str">
            <v>M0111</v>
          </cell>
          <cell r="D95" t="str">
            <v>B</v>
          </cell>
          <cell r="E95" t="str">
            <v>501_M0111_B_094R</v>
          </cell>
          <cell r="F95">
            <v>45808.2743055556</v>
          </cell>
          <cell r="G95" t="str">
            <v>GEPR</v>
          </cell>
          <cell r="H95">
            <v>246.73</v>
          </cell>
          <cell r="I95">
            <v>3.05</v>
          </cell>
          <cell r="J95">
            <v>249.78</v>
          </cell>
          <cell r="K95">
            <v>3</v>
          </cell>
          <cell r="L95">
            <v>3.16</v>
          </cell>
          <cell r="M95">
            <v>103.61</v>
          </cell>
        </row>
        <row r="95">
          <cell r="Q95" t="str">
            <v>yes</v>
          </cell>
          <cell r="R95" t="str">
            <v>all</v>
          </cell>
          <cell r="S95" t="str">
            <v>R</v>
          </cell>
          <cell r="T95" t="str">
            <v>R (BLY-HQ3)</v>
          </cell>
        </row>
        <row r="95">
          <cell r="V95">
            <v>61</v>
          </cell>
          <cell r="W95">
            <v>0</v>
          </cell>
          <cell r="X95">
            <v>246.73</v>
          </cell>
          <cell r="Y95">
            <v>249.78</v>
          </cell>
        </row>
        <row r="95">
          <cell r="AA95" t="str">
            <v>IBCR0501ECO4Q01</v>
          </cell>
        </row>
        <row r="95">
          <cell r="AC95">
            <v>3</v>
          </cell>
          <cell r="AD95" t="str">
            <v>BLY HQ3</v>
          </cell>
          <cell r="AE95" t="str">
            <v>Water-based mud (WBM)</v>
          </cell>
          <cell r="AF95" t="str">
            <v>PureBore by Clear Solutions</v>
          </cell>
        </row>
        <row r="96">
          <cell r="A96">
            <v>95</v>
          </cell>
          <cell r="B96">
            <v>501</v>
          </cell>
          <cell r="C96" t="str">
            <v>M0111</v>
          </cell>
          <cell r="D96" t="str">
            <v>B</v>
          </cell>
          <cell r="E96" t="str">
            <v>501_M0111_B_095R</v>
          </cell>
          <cell r="F96">
            <v>45808.3090277778</v>
          </cell>
          <cell r="G96" t="str">
            <v>GEPR</v>
          </cell>
          <cell r="H96">
            <v>249.78</v>
          </cell>
          <cell r="I96">
            <v>1.75</v>
          </cell>
          <cell r="J96">
            <v>251.53</v>
          </cell>
          <cell r="K96">
            <v>2</v>
          </cell>
          <cell r="L96">
            <v>1.54</v>
          </cell>
          <cell r="M96">
            <v>88</v>
          </cell>
        </row>
        <row r="96">
          <cell r="P96" t="str">
            <v>microspheres added</v>
          </cell>
        </row>
        <row r="96">
          <cell r="X96">
            <v>249.78</v>
          </cell>
          <cell r="Y96">
            <v>251.53</v>
          </cell>
        </row>
        <row r="97">
          <cell r="A97">
            <v>96</v>
          </cell>
          <cell r="B97">
            <v>501</v>
          </cell>
          <cell r="C97" t="str">
            <v>M0111</v>
          </cell>
          <cell r="D97" t="str">
            <v>B</v>
          </cell>
          <cell r="E97" t="str">
            <v>501_M0111_B_096R</v>
          </cell>
          <cell r="F97">
            <v>45808.3472222222</v>
          </cell>
          <cell r="G97" t="str">
            <v>GEPR</v>
          </cell>
          <cell r="H97">
            <v>251.53</v>
          </cell>
          <cell r="I97">
            <v>1.3</v>
          </cell>
          <cell r="J97">
            <v>252.83</v>
          </cell>
          <cell r="K97">
            <v>1</v>
          </cell>
          <cell r="L97">
            <v>0.85</v>
          </cell>
          <cell r="M97">
            <v>65.38</v>
          </cell>
        </row>
        <row r="97">
          <cell r="Q97" t="str">
            <v>yes</v>
          </cell>
          <cell r="R97" t="str">
            <v>all</v>
          </cell>
          <cell r="S97" t="str">
            <v>R</v>
          </cell>
          <cell r="T97" t="str">
            <v>R (BLY-HQ3)</v>
          </cell>
        </row>
        <row r="97">
          <cell r="V97">
            <v>61</v>
          </cell>
          <cell r="W97">
            <v>0</v>
          </cell>
          <cell r="X97">
            <v>251.53</v>
          </cell>
          <cell r="Y97">
            <v>252.83</v>
          </cell>
        </row>
        <row r="97">
          <cell r="AA97" t="str">
            <v>IBCR0501ECQ4Q01</v>
          </cell>
        </row>
        <row r="97">
          <cell r="AC97">
            <v>3</v>
          </cell>
          <cell r="AD97" t="str">
            <v>BLY HQ3</v>
          </cell>
          <cell r="AE97" t="str">
            <v>Water-based mud (WBM)</v>
          </cell>
          <cell r="AF97" t="str">
            <v>PureBore by Clear Solutions</v>
          </cell>
        </row>
        <row r="98">
          <cell r="A98">
            <v>97</v>
          </cell>
          <cell r="B98">
            <v>501</v>
          </cell>
          <cell r="C98" t="str">
            <v>M0111</v>
          </cell>
          <cell r="D98" t="str">
            <v>B</v>
          </cell>
          <cell r="E98" t="str">
            <v>501_M0111_B_097R</v>
          </cell>
          <cell r="F98">
            <v>45808.3680555556</v>
          </cell>
          <cell r="G98" t="str">
            <v>GEPR</v>
          </cell>
          <cell r="H98">
            <v>252.83</v>
          </cell>
          <cell r="I98">
            <v>2.7</v>
          </cell>
          <cell r="J98">
            <v>255.53</v>
          </cell>
          <cell r="K98">
            <v>1</v>
          </cell>
          <cell r="L98">
            <v>1.33</v>
          </cell>
          <cell r="M98">
            <v>49.26</v>
          </cell>
        </row>
        <row r="98">
          <cell r="Q98" t="str">
            <v>yes</v>
          </cell>
          <cell r="R98" t="str">
            <v>all</v>
          </cell>
          <cell r="S98" t="str">
            <v>R</v>
          </cell>
          <cell r="T98" t="str">
            <v>R (BLY-HQ3)</v>
          </cell>
        </row>
        <row r="98">
          <cell r="V98">
            <v>61</v>
          </cell>
          <cell r="W98">
            <v>0</v>
          </cell>
          <cell r="X98">
            <v>252.83</v>
          </cell>
          <cell r="Y98">
            <v>255.53</v>
          </cell>
        </row>
        <row r="98">
          <cell r="AA98" t="str">
            <v>IBCR0501ECR4Q01</v>
          </cell>
        </row>
        <row r="98">
          <cell r="AC98">
            <v>3</v>
          </cell>
          <cell r="AD98" t="str">
            <v>BLY HQ3</v>
          </cell>
          <cell r="AE98" t="str">
            <v>Water-based mud (WBM)</v>
          </cell>
          <cell r="AF98" t="str">
            <v>PureBore by Clear Solutions</v>
          </cell>
        </row>
        <row r="99">
          <cell r="A99">
            <v>98</v>
          </cell>
          <cell r="B99">
            <v>501</v>
          </cell>
          <cell r="C99" t="str">
            <v>M0111</v>
          </cell>
          <cell r="D99" t="str">
            <v>B</v>
          </cell>
          <cell r="E99" t="str">
            <v>501_M0111_B_098R</v>
          </cell>
          <cell r="F99">
            <v>45808.4305555556</v>
          </cell>
          <cell r="G99" t="str">
            <v>GEPR</v>
          </cell>
          <cell r="H99">
            <v>255.53</v>
          </cell>
          <cell r="I99">
            <v>0.75</v>
          </cell>
          <cell r="J99">
            <v>256.28</v>
          </cell>
          <cell r="K99">
            <v>1</v>
          </cell>
          <cell r="L99">
            <v>0.74</v>
          </cell>
          <cell r="M99">
            <v>98.67</v>
          </cell>
        </row>
        <row r="99">
          <cell r="Q99" t="str">
            <v>yes</v>
          </cell>
          <cell r="R99" t="str">
            <v>all</v>
          </cell>
          <cell r="S99" t="str">
            <v>R</v>
          </cell>
          <cell r="T99" t="str">
            <v>R (BLY-HQ3)</v>
          </cell>
        </row>
        <row r="99">
          <cell r="V99">
            <v>61</v>
          </cell>
          <cell r="W99">
            <v>0</v>
          </cell>
          <cell r="X99">
            <v>255.53</v>
          </cell>
          <cell r="Y99">
            <v>256.28</v>
          </cell>
        </row>
        <row r="99">
          <cell r="AA99" t="str">
            <v>IBCR0501ECS4Q01</v>
          </cell>
        </row>
        <row r="99">
          <cell r="AC99">
            <v>3</v>
          </cell>
          <cell r="AD99" t="str">
            <v>BLY HQ3</v>
          </cell>
          <cell r="AE99" t="str">
            <v>Water-based mud (WBM)</v>
          </cell>
          <cell r="AF99" t="str">
            <v>PureBore by Clear Solutions</v>
          </cell>
        </row>
        <row r="100">
          <cell r="A100">
            <v>99</v>
          </cell>
          <cell r="B100">
            <v>501</v>
          </cell>
          <cell r="C100" t="str">
            <v>M0111</v>
          </cell>
          <cell r="D100" t="str">
            <v>B</v>
          </cell>
          <cell r="E100" t="str">
            <v>501_M0111_B_099R</v>
          </cell>
          <cell r="F100">
            <v>45808.4201388889</v>
          </cell>
          <cell r="G100" t="str">
            <v>GEPR</v>
          </cell>
          <cell r="H100">
            <v>256.28</v>
          </cell>
          <cell r="I100">
            <v>2.65</v>
          </cell>
          <cell r="J100">
            <v>258.93</v>
          </cell>
          <cell r="K100">
            <v>1</v>
          </cell>
          <cell r="L100">
            <v>0.92</v>
          </cell>
          <cell r="M100">
            <v>34.72</v>
          </cell>
        </row>
        <row r="100">
          <cell r="Q100" t="str">
            <v>yes</v>
          </cell>
          <cell r="R100" t="str">
            <v>all</v>
          </cell>
          <cell r="S100" t="str">
            <v>R</v>
          </cell>
          <cell r="T100" t="str">
            <v>R (BLY-HQ3)</v>
          </cell>
        </row>
        <row r="100">
          <cell r="V100">
            <v>61</v>
          </cell>
          <cell r="W100">
            <v>0</v>
          </cell>
          <cell r="X100">
            <v>256.28</v>
          </cell>
          <cell r="Y100">
            <v>258.93</v>
          </cell>
        </row>
        <row r="100">
          <cell r="AA100" t="str">
            <v>IBCR0501ECT4Q01</v>
          </cell>
        </row>
        <row r="100">
          <cell r="AC100">
            <v>3</v>
          </cell>
          <cell r="AD100" t="str">
            <v>BLY HQ3</v>
          </cell>
          <cell r="AE100" t="str">
            <v>Water-based mud (WBM)</v>
          </cell>
          <cell r="AF100" t="str">
            <v>PureBore by Clear Solutions</v>
          </cell>
        </row>
        <row r="101">
          <cell r="A101">
            <v>100</v>
          </cell>
          <cell r="B101">
            <v>501</v>
          </cell>
          <cell r="C101" t="str">
            <v>M0111</v>
          </cell>
          <cell r="D101" t="str">
            <v>B</v>
          </cell>
          <cell r="E101" t="str">
            <v>501_M0111_B_100R</v>
          </cell>
          <cell r="F101">
            <v>45808.4513888889</v>
          </cell>
          <cell r="G101" t="str">
            <v>GEPR</v>
          </cell>
          <cell r="H101">
            <v>258.93</v>
          </cell>
          <cell r="I101">
            <v>3.05</v>
          </cell>
          <cell r="J101">
            <v>261.98</v>
          </cell>
          <cell r="K101">
            <v>2</v>
          </cell>
          <cell r="L101">
            <v>2.09</v>
          </cell>
          <cell r="M101">
            <v>68.52</v>
          </cell>
        </row>
        <row r="101">
          <cell r="Q101" t="str">
            <v>yes</v>
          </cell>
          <cell r="R101" t="str">
            <v>all</v>
          </cell>
          <cell r="S101" t="str">
            <v>R</v>
          </cell>
          <cell r="T101" t="str">
            <v>R (BLY-HQ3)</v>
          </cell>
        </row>
        <row r="101">
          <cell r="V101">
            <v>61</v>
          </cell>
          <cell r="W101">
            <v>0</v>
          </cell>
          <cell r="X101">
            <v>258.93</v>
          </cell>
          <cell r="Y101">
            <v>261.98</v>
          </cell>
        </row>
        <row r="101">
          <cell r="AA101" t="str">
            <v>IBCR0501ECU4Q01</v>
          </cell>
        </row>
        <row r="101">
          <cell r="AC101">
            <v>3</v>
          </cell>
          <cell r="AD101" t="str">
            <v>BLY HQ3</v>
          </cell>
          <cell r="AE101" t="str">
            <v>Water-based mud (WBM)</v>
          </cell>
          <cell r="AF101" t="str">
            <v>PureBore by Clear Solutions</v>
          </cell>
        </row>
        <row r="102">
          <cell r="A102">
            <v>101</v>
          </cell>
          <cell r="B102">
            <v>501</v>
          </cell>
          <cell r="C102" t="str">
            <v>M0111</v>
          </cell>
          <cell r="D102" t="str">
            <v>B</v>
          </cell>
          <cell r="E102" t="str">
            <v>501_M0111_B_101R</v>
          </cell>
          <cell r="F102">
            <v>45808.4944444444</v>
          </cell>
          <cell r="G102" t="str">
            <v>GEPR</v>
          </cell>
          <cell r="H102">
            <v>261.98</v>
          </cell>
          <cell r="I102">
            <v>3.05</v>
          </cell>
          <cell r="J102">
            <v>265.03</v>
          </cell>
          <cell r="K102">
            <v>2</v>
          </cell>
          <cell r="L102">
            <v>2.32</v>
          </cell>
          <cell r="M102">
            <v>76.07</v>
          </cell>
        </row>
        <row r="102">
          <cell r="Q102" t="str">
            <v>yes</v>
          </cell>
          <cell r="R102" t="str">
            <v>all</v>
          </cell>
          <cell r="S102" t="str">
            <v>R</v>
          </cell>
          <cell r="T102" t="str">
            <v>R (BLY-HQ3)</v>
          </cell>
        </row>
        <row r="102">
          <cell r="V102">
            <v>61</v>
          </cell>
          <cell r="W102">
            <v>0</v>
          </cell>
          <cell r="X102">
            <v>261.98</v>
          </cell>
          <cell r="Y102">
            <v>265.03</v>
          </cell>
        </row>
        <row r="102">
          <cell r="AA102" t="str">
            <v>IBCR0501ECV4Q01</v>
          </cell>
        </row>
        <row r="102">
          <cell r="AC102">
            <v>3</v>
          </cell>
          <cell r="AD102" t="str">
            <v>BLY HQ3</v>
          </cell>
          <cell r="AE102" t="str">
            <v>Water-based mud (WBM)</v>
          </cell>
          <cell r="AF102" t="str">
            <v>PureBore by Clear Solutions</v>
          </cell>
        </row>
        <row r="103">
          <cell r="A103">
            <v>102</v>
          </cell>
          <cell r="B103">
            <v>501</v>
          </cell>
          <cell r="C103" t="str">
            <v>M0111</v>
          </cell>
          <cell r="D103" t="str">
            <v>B</v>
          </cell>
          <cell r="E103" t="str">
            <v>501_M0111_B_102R</v>
          </cell>
          <cell r="F103">
            <v>45808.5208333333</v>
          </cell>
          <cell r="G103" t="str">
            <v>GEPR</v>
          </cell>
          <cell r="H103">
            <v>265.03</v>
          </cell>
          <cell r="I103">
            <v>3.05</v>
          </cell>
          <cell r="J103">
            <v>268.08</v>
          </cell>
          <cell r="K103">
            <v>1</v>
          </cell>
          <cell r="L103">
            <v>0.9</v>
          </cell>
          <cell r="M103">
            <v>29.51</v>
          </cell>
        </row>
        <row r="103">
          <cell r="Q103" t="str">
            <v>yes</v>
          </cell>
          <cell r="R103" t="str">
            <v>all</v>
          </cell>
          <cell r="S103" t="str">
            <v>R</v>
          </cell>
          <cell r="T103" t="str">
            <v>R (BLY-HQ3)</v>
          </cell>
        </row>
        <row r="103">
          <cell r="V103">
            <v>61</v>
          </cell>
          <cell r="W103">
            <v>0</v>
          </cell>
          <cell r="X103">
            <v>265.03</v>
          </cell>
          <cell r="Y103">
            <v>268.08</v>
          </cell>
        </row>
        <row r="103">
          <cell r="AA103" t="str">
            <v>IBCR0501ECW4Q01</v>
          </cell>
        </row>
        <row r="103">
          <cell r="AC103">
            <v>3</v>
          </cell>
          <cell r="AD103" t="str">
            <v>BLY HQ3</v>
          </cell>
          <cell r="AE103" t="str">
            <v>Water-based mud (WBM)</v>
          </cell>
          <cell r="AF103" t="str">
            <v>PureBore by Clear Solutions</v>
          </cell>
        </row>
        <row r="104">
          <cell r="A104">
            <v>103</v>
          </cell>
          <cell r="B104">
            <v>501</v>
          </cell>
          <cell r="C104" t="str">
            <v>M0111</v>
          </cell>
          <cell r="D104" t="str">
            <v>B</v>
          </cell>
          <cell r="E104" t="str">
            <v>501_M0111_B_103R</v>
          </cell>
          <cell r="F104">
            <v>45808.5625</v>
          </cell>
          <cell r="G104" t="str">
            <v>GEPR</v>
          </cell>
          <cell r="H104">
            <v>268.08</v>
          </cell>
          <cell r="I104">
            <v>3.05</v>
          </cell>
          <cell r="J104">
            <v>271.13</v>
          </cell>
          <cell r="K104">
            <v>4</v>
          </cell>
          <cell r="L104">
            <v>3.12</v>
          </cell>
          <cell r="M104">
            <v>102.3</v>
          </cell>
        </row>
        <row r="104">
          <cell r="Q104" t="str">
            <v>yes</v>
          </cell>
          <cell r="R104" t="str">
            <v>all</v>
          </cell>
          <cell r="S104" t="str">
            <v>R</v>
          </cell>
          <cell r="T104" t="str">
            <v>R (BLY-HQ3)</v>
          </cell>
        </row>
        <row r="104">
          <cell r="V104">
            <v>61</v>
          </cell>
          <cell r="W104">
            <v>0</v>
          </cell>
          <cell r="X104">
            <v>268.08</v>
          </cell>
          <cell r="Y104">
            <v>271.13</v>
          </cell>
        </row>
        <row r="104">
          <cell r="AA104" t="str">
            <v>IBCR0501ECX4Q01</v>
          </cell>
        </row>
        <row r="104">
          <cell r="AC104">
            <v>3</v>
          </cell>
          <cell r="AD104" t="str">
            <v>BLY HQ3</v>
          </cell>
          <cell r="AE104" t="str">
            <v>Water-based mud (WBM)</v>
          </cell>
          <cell r="AF104" t="str">
            <v>PureBore by Clear Solutions</v>
          </cell>
        </row>
        <row r="105">
          <cell r="A105">
            <v>104</v>
          </cell>
          <cell r="B105">
            <v>501</v>
          </cell>
          <cell r="C105" t="str">
            <v>M0111</v>
          </cell>
          <cell r="D105" t="str">
            <v>B</v>
          </cell>
          <cell r="E105" t="str">
            <v>501_M0111_B_104R</v>
          </cell>
          <cell r="F105">
            <v>45808.6215277778</v>
          </cell>
          <cell r="G105" t="str">
            <v>GEPR</v>
          </cell>
          <cell r="H105">
            <v>271.13</v>
          </cell>
          <cell r="I105">
            <v>3.05</v>
          </cell>
          <cell r="J105">
            <v>274.18</v>
          </cell>
          <cell r="K105">
            <v>3</v>
          </cell>
          <cell r="L105">
            <v>2.77</v>
          </cell>
          <cell r="M105">
            <v>90.82</v>
          </cell>
        </row>
        <row r="105">
          <cell r="Q105" t="str">
            <v>yes</v>
          </cell>
          <cell r="R105" t="str">
            <v>all</v>
          </cell>
          <cell r="S105" t="str">
            <v>R</v>
          </cell>
          <cell r="T105" t="str">
            <v>R (BLY-HQ3)</v>
          </cell>
        </row>
        <row r="105">
          <cell r="V105">
            <v>61</v>
          </cell>
          <cell r="W105">
            <v>0</v>
          </cell>
          <cell r="X105">
            <v>271.13</v>
          </cell>
          <cell r="Y105">
            <v>274.18</v>
          </cell>
        </row>
        <row r="105">
          <cell r="AA105" t="str">
            <v>IBCR0501ECY4Q01</v>
          </cell>
        </row>
        <row r="105">
          <cell r="AC105">
            <v>3</v>
          </cell>
          <cell r="AD105" t="str">
            <v>BLY HQ3</v>
          </cell>
          <cell r="AE105" t="str">
            <v>Water-based mud (WBM)</v>
          </cell>
          <cell r="AF105" t="str">
            <v>PureBore by Clear Solutions</v>
          </cell>
        </row>
        <row r="106">
          <cell r="A106">
            <v>105</v>
          </cell>
          <cell r="B106">
            <v>501</v>
          </cell>
          <cell r="C106" t="str">
            <v>M0111</v>
          </cell>
          <cell r="D106" t="str">
            <v>B</v>
          </cell>
          <cell r="E106" t="str">
            <v>501_M0111_B_105R</v>
          </cell>
          <cell r="F106">
            <v>45808.6527777778</v>
          </cell>
          <cell r="G106" t="str">
            <v>GEPR</v>
          </cell>
          <cell r="H106">
            <v>274.18</v>
          </cell>
          <cell r="I106">
            <v>1</v>
          </cell>
          <cell r="J106">
            <v>275.18</v>
          </cell>
          <cell r="K106">
            <v>1</v>
          </cell>
          <cell r="L106">
            <v>0.48</v>
          </cell>
          <cell r="M106">
            <v>48</v>
          </cell>
        </row>
        <row r="106">
          <cell r="Q106" t="str">
            <v>yes</v>
          </cell>
          <cell r="R106" t="str">
            <v>all</v>
          </cell>
          <cell r="S106" t="str">
            <v>R</v>
          </cell>
          <cell r="T106" t="str">
            <v>R (BLY-HQ3)</v>
          </cell>
        </row>
        <row r="106">
          <cell r="V106">
            <v>61</v>
          </cell>
          <cell r="W106">
            <v>0</v>
          </cell>
          <cell r="X106">
            <v>274.18</v>
          </cell>
          <cell r="Y106">
            <v>275.18</v>
          </cell>
        </row>
        <row r="106">
          <cell r="AA106" t="str">
            <v>IBCR0501ECZ4Q01</v>
          </cell>
        </row>
        <row r="106">
          <cell r="AC106">
            <v>3</v>
          </cell>
          <cell r="AD106" t="str">
            <v>BLY HQ3</v>
          </cell>
          <cell r="AE106" t="str">
            <v>Water-based mud (WBM)</v>
          </cell>
          <cell r="AF106" t="str">
            <v>PureBore by Clear Solutions</v>
          </cell>
        </row>
        <row r="107">
          <cell r="A107">
            <v>106</v>
          </cell>
          <cell r="B107">
            <v>501</v>
          </cell>
          <cell r="C107" t="str">
            <v>M0111</v>
          </cell>
          <cell r="D107" t="str">
            <v>B</v>
          </cell>
          <cell r="E107" t="str">
            <v>501_M0111_B_106R</v>
          </cell>
          <cell r="F107">
            <v>45808.6875</v>
          </cell>
          <cell r="G107" t="str">
            <v>MOSE</v>
          </cell>
          <cell r="H107">
            <v>275.18</v>
          </cell>
          <cell r="I107">
            <v>2.05</v>
          </cell>
          <cell r="J107">
            <v>277.23</v>
          </cell>
          <cell r="K107">
            <v>2</v>
          </cell>
          <cell r="L107">
            <v>2.29</v>
          </cell>
          <cell r="M107">
            <v>111.71</v>
          </cell>
        </row>
        <row r="107">
          <cell r="Q107" t="str">
            <v>yes</v>
          </cell>
          <cell r="R107" t="str">
            <v>all</v>
          </cell>
          <cell r="S107" t="str">
            <v>R</v>
          </cell>
          <cell r="T107" t="str">
            <v>R (BLY-HQ3)</v>
          </cell>
        </row>
        <row r="107">
          <cell r="V107">
            <v>61</v>
          </cell>
          <cell r="W107">
            <v>0</v>
          </cell>
          <cell r="X107">
            <v>275.18</v>
          </cell>
          <cell r="Y107">
            <v>277.23</v>
          </cell>
        </row>
        <row r="107">
          <cell r="AA107" t="str">
            <v>IBCR0501EC05Q01</v>
          </cell>
        </row>
        <row r="107">
          <cell r="AC107">
            <v>3</v>
          </cell>
          <cell r="AD107" t="str">
            <v>BLY HQ3</v>
          </cell>
          <cell r="AE107" t="str">
            <v>Water-based mud (WBM)</v>
          </cell>
          <cell r="AF107" t="str">
            <v>PureBore by Clear Solutions</v>
          </cell>
        </row>
        <row r="108">
          <cell r="A108">
            <v>107</v>
          </cell>
          <cell r="B108">
            <v>501</v>
          </cell>
          <cell r="C108" t="str">
            <v>M0111</v>
          </cell>
          <cell r="D108" t="str">
            <v>B</v>
          </cell>
          <cell r="E108" t="str">
            <v>501_M0111_B_107R</v>
          </cell>
          <cell r="F108">
            <v>45808.7222222222</v>
          </cell>
          <cell r="G108" t="str">
            <v>WINK</v>
          </cell>
          <cell r="H108">
            <v>277.23</v>
          </cell>
          <cell r="I108">
            <v>0.9</v>
          </cell>
          <cell r="J108">
            <v>278.13</v>
          </cell>
          <cell r="K108">
            <v>1</v>
          </cell>
          <cell r="L108">
            <v>0.96</v>
          </cell>
          <cell r="M108">
            <v>106.67</v>
          </cell>
        </row>
        <row r="108">
          <cell r="Q108" t="str">
            <v>yes</v>
          </cell>
          <cell r="R108" t="str">
            <v>all</v>
          </cell>
          <cell r="S108" t="str">
            <v>R</v>
          </cell>
          <cell r="T108" t="str">
            <v>R (BLY-HQ3)</v>
          </cell>
        </row>
        <row r="108">
          <cell r="V108">
            <v>61</v>
          </cell>
          <cell r="W108">
            <v>0</v>
          </cell>
          <cell r="X108">
            <v>277.23</v>
          </cell>
          <cell r="Y108">
            <v>278.13</v>
          </cell>
        </row>
        <row r="108">
          <cell r="AA108" t="str">
            <v>IBCR0501EC15Q01</v>
          </cell>
        </row>
        <row r="108">
          <cell r="AC108">
            <v>3</v>
          </cell>
          <cell r="AD108" t="str">
            <v>BLY HQ3</v>
          </cell>
          <cell r="AE108" t="str">
            <v>Water-based mud (WBM)</v>
          </cell>
          <cell r="AF108" t="str">
            <v>PureBore by Clear Solutions</v>
          </cell>
        </row>
        <row r="109">
          <cell r="A109">
            <v>108</v>
          </cell>
          <cell r="B109">
            <v>501</v>
          </cell>
          <cell r="C109" t="str">
            <v>M0111</v>
          </cell>
          <cell r="D109" t="str">
            <v>B</v>
          </cell>
          <cell r="E109" t="str">
            <v>501_M0111_B_108R</v>
          </cell>
          <cell r="F109">
            <v>45808.7395833333</v>
          </cell>
          <cell r="G109" t="str">
            <v>WINK</v>
          </cell>
          <cell r="H109">
            <v>278.13</v>
          </cell>
          <cell r="I109">
            <v>0.25</v>
          </cell>
          <cell r="J109">
            <v>278.38</v>
          </cell>
          <cell r="K109">
            <v>1</v>
          </cell>
          <cell r="L109">
            <v>0.38</v>
          </cell>
          <cell r="M109">
            <v>152</v>
          </cell>
        </row>
        <row r="109">
          <cell r="Q109" t="str">
            <v>yes</v>
          </cell>
          <cell r="R109" t="str">
            <v>all</v>
          </cell>
          <cell r="S109" t="str">
            <v>R</v>
          </cell>
          <cell r="T109" t="str">
            <v>R (BLY-HQ3)</v>
          </cell>
        </row>
        <row r="109">
          <cell r="V109">
            <v>61</v>
          </cell>
          <cell r="W109">
            <v>0</v>
          </cell>
          <cell r="X109">
            <v>278.13</v>
          </cell>
          <cell r="Y109">
            <v>278.38</v>
          </cell>
        </row>
        <row r="109">
          <cell r="AA109" t="str">
            <v>IBCR0501EC25Q01</v>
          </cell>
        </row>
        <row r="109">
          <cell r="AC109">
            <v>3</v>
          </cell>
          <cell r="AD109" t="str">
            <v>BLY HQ3</v>
          </cell>
          <cell r="AE109" t="str">
            <v>Water-based mud (WBM)</v>
          </cell>
          <cell r="AF109" t="str">
            <v>PureBore by Clear Solutions</v>
          </cell>
        </row>
        <row r="110">
          <cell r="A110">
            <v>109</v>
          </cell>
          <cell r="B110">
            <v>501</v>
          </cell>
          <cell r="C110" t="str">
            <v>M0111</v>
          </cell>
          <cell r="D110" t="str">
            <v>B</v>
          </cell>
          <cell r="E110" t="str">
            <v>501_M0111_B_109R</v>
          </cell>
          <cell r="F110">
            <v>45808.7638888889</v>
          </cell>
          <cell r="G110" t="str">
            <v>WINK</v>
          </cell>
          <cell r="H110">
            <v>278.38</v>
          </cell>
          <cell r="I110">
            <v>1.9</v>
          </cell>
          <cell r="J110">
            <v>280.28</v>
          </cell>
          <cell r="K110">
            <v>1</v>
          </cell>
          <cell r="L110">
            <v>0.6</v>
          </cell>
          <cell r="M110">
            <v>31.58</v>
          </cell>
        </row>
        <row r="110">
          <cell r="Q110" t="str">
            <v>yes</v>
          </cell>
          <cell r="R110" t="str">
            <v>all</v>
          </cell>
          <cell r="S110" t="str">
            <v>R</v>
          </cell>
          <cell r="T110" t="str">
            <v>R (BLY-HQ3)</v>
          </cell>
        </row>
        <row r="110">
          <cell r="V110">
            <v>61</v>
          </cell>
          <cell r="W110">
            <v>0</v>
          </cell>
          <cell r="X110">
            <v>278.38</v>
          </cell>
          <cell r="Y110">
            <v>280.28</v>
          </cell>
        </row>
        <row r="110">
          <cell r="AA110" t="str">
            <v>IBCR0501EC35Q01</v>
          </cell>
        </row>
        <row r="110">
          <cell r="AC110">
            <v>3</v>
          </cell>
          <cell r="AD110" t="str">
            <v>BLY HQ3</v>
          </cell>
          <cell r="AE110" t="str">
            <v>Water-based mud (WBM)</v>
          </cell>
          <cell r="AF110" t="str">
            <v>PureBore by Clear Solutions</v>
          </cell>
        </row>
        <row r="111">
          <cell r="A111">
            <v>110</v>
          </cell>
          <cell r="B111">
            <v>501</v>
          </cell>
          <cell r="C111" t="str">
            <v>M0111</v>
          </cell>
          <cell r="D111" t="str">
            <v>B</v>
          </cell>
          <cell r="E111" t="str">
            <v>501_M0111_B_110R</v>
          </cell>
          <cell r="F111">
            <v>45808.7916666667</v>
          </cell>
          <cell r="G111" t="str">
            <v>WINK</v>
          </cell>
          <cell r="H111">
            <v>280.28</v>
          </cell>
          <cell r="I111">
            <v>0.2</v>
          </cell>
          <cell r="J111">
            <v>280.48</v>
          </cell>
          <cell r="K111">
            <v>1</v>
          </cell>
          <cell r="L111">
            <v>0.22</v>
          </cell>
          <cell r="M111">
            <v>110</v>
          </cell>
        </row>
        <row r="111">
          <cell r="Q111" t="str">
            <v>yes</v>
          </cell>
          <cell r="R111" t="str">
            <v>all</v>
          </cell>
          <cell r="S111" t="str">
            <v>R</v>
          </cell>
          <cell r="T111" t="str">
            <v>R (BLY-HQ3)</v>
          </cell>
        </row>
        <row r="111">
          <cell r="V111">
            <v>61</v>
          </cell>
          <cell r="W111">
            <v>0</v>
          </cell>
          <cell r="X111">
            <v>280.28</v>
          </cell>
          <cell r="Y111">
            <v>280.48</v>
          </cell>
        </row>
        <row r="111">
          <cell r="AA111" t="str">
            <v>IBCR0501EC45Q01</v>
          </cell>
        </row>
        <row r="111">
          <cell r="AC111">
            <v>3</v>
          </cell>
          <cell r="AD111" t="str">
            <v>BLY HQ3</v>
          </cell>
          <cell r="AE111" t="str">
            <v>Water-based mud (WBM)</v>
          </cell>
          <cell r="AF111" t="str">
            <v>PureBore by Clear Solutions</v>
          </cell>
        </row>
        <row r="112">
          <cell r="A112">
            <v>111</v>
          </cell>
          <cell r="B112">
            <v>501</v>
          </cell>
          <cell r="C112" t="str">
            <v>M0111</v>
          </cell>
          <cell r="D112" t="str">
            <v>B</v>
          </cell>
          <cell r="E112" t="str">
            <v>501_M0111_B_111R</v>
          </cell>
          <cell r="F112">
            <v>45808.8125</v>
          </cell>
          <cell r="G112" t="str">
            <v>WINK</v>
          </cell>
          <cell r="H112">
            <v>280.48</v>
          </cell>
          <cell r="I112">
            <v>1.05</v>
          </cell>
          <cell r="J112">
            <v>281.53</v>
          </cell>
          <cell r="K112">
            <v>0</v>
          </cell>
          <cell r="L112">
            <v>0</v>
          </cell>
          <cell r="M112">
            <v>0</v>
          </cell>
        </row>
        <row r="112">
          <cell r="P112" t="str">
            <v>no recovery</v>
          </cell>
          <cell r="Q112" t="str">
            <v>no</v>
          </cell>
          <cell r="R112" t="str">
            <v>none</v>
          </cell>
          <cell r="S112" t="str">
            <v>R</v>
          </cell>
          <cell r="T112" t="str">
            <v>R (BLY-HQ3)</v>
          </cell>
        </row>
        <row r="112">
          <cell r="V112">
            <v>61</v>
          </cell>
          <cell r="W112">
            <v>0</v>
          </cell>
          <cell r="X112">
            <v>280.48</v>
          </cell>
          <cell r="Y112">
            <v>281.53</v>
          </cell>
        </row>
        <row r="112">
          <cell r="AA112" t="str">
            <v>IBCR0501EC55Q01</v>
          </cell>
        </row>
        <row r="112">
          <cell r="AC112">
            <v>3</v>
          </cell>
          <cell r="AD112" t="str">
            <v>BLY HQ3</v>
          </cell>
          <cell r="AE112" t="str">
            <v>Water-based mud (WBM)</v>
          </cell>
          <cell r="AF112" t="str">
            <v>PureBore by Clear Solutions</v>
          </cell>
        </row>
        <row r="113">
          <cell r="A113">
            <v>112</v>
          </cell>
          <cell r="B113">
            <v>501</v>
          </cell>
          <cell r="C113" t="str">
            <v>M0111</v>
          </cell>
          <cell r="D113" t="str">
            <v>B</v>
          </cell>
          <cell r="E113" t="str">
            <v>501_M0111_B_112O</v>
          </cell>
          <cell r="F113">
            <v>45810.3979166667</v>
          </cell>
          <cell r="G113" t="str">
            <v>WINK</v>
          </cell>
          <cell r="H113">
            <v>269</v>
          </cell>
          <cell r="I113">
            <v>12.53</v>
          </cell>
          <cell r="J113">
            <v>281.53</v>
          </cell>
          <cell r="K113">
            <v>1</v>
          </cell>
          <cell r="L113">
            <v>12.53</v>
          </cell>
          <cell r="M113">
            <v>100</v>
          </cell>
        </row>
        <row r="113">
          <cell r="P113" t="str">
            <v>VIRTUAL CORE. 2nd series of pump tests (4</v>
          </cell>
        </row>
        <row r="114">
          <cell r="A114">
            <v>113</v>
          </cell>
          <cell r="B114">
            <v>501</v>
          </cell>
          <cell r="C114" t="str">
            <v>M0111</v>
          </cell>
          <cell r="D114" t="str">
            <v>B</v>
          </cell>
          <cell r="E114" t="str">
            <v>501_M0111_B_113R</v>
          </cell>
          <cell r="F114">
            <v>45810.8125</v>
          </cell>
          <cell r="G114" t="str">
            <v>WINK</v>
          </cell>
          <cell r="H114">
            <v>281.53</v>
          </cell>
          <cell r="I114">
            <v>0</v>
          </cell>
          <cell r="J114">
            <v>281.53</v>
          </cell>
          <cell r="K114">
            <v>1</v>
          </cell>
          <cell r="L114">
            <v>1.16</v>
          </cell>
          <cell r="M114">
            <v>0</v>
          </cell>
        </row>
        <row r="114">
          <cell r="P114" t="str">
            <v>infill</v>
          </cell>
          <cell r="Q114" t="str">
            <v>yes</v>
          </cell>
          <cell r="R114" t="str">
            <v>all</v>
          </cell>
          <cell r="S114" t="str">
            <v>R</v>
          </cell>
          <cell r="T114" t="str">
            <v>R (BLY-HQ3)</v>
          </cell>
        </row>
        <row r="114">
          <cell r="V114">
            <v>61</v>
          </cell>
          <cell r="W114">
            <v>0</v>
          </cell>
          <cell r="X114">
            <v>281.53</v>
          </cell>
          <cell r="Y114">
            <v>281.53</v>
          </cell>
        </row>
        <row r="114">
          <cell r="AA114" t="str">
            <v>IBCR0501EC75Q01</v>
          </cell>
        </row>
        <row r="114">
          <cell r="AC114">
            <v>3</v>
          </cell>
          <cell r="AD114" t="str">
            <v>BLY HQ3</v>
          </cell>
          <cell r="AE114" t="str">
            <v>Water-based mud (WBM)</v>
          </cell>
          <cell r="AF114" t="str">
            <v>PureBore by Clear Solutions</v>
          </cell>
        </row>
        <row r="115">
          <cell r="A115">
            <v>114</v>
          </cell>
          <cell r="B115">
            <v>501</v>
          </cell>
          <cell r="C115" t="str">
            <v>M0111</v>
          </cell>
          <cell r="D115" t="str">
            <v>B</v>
          </cell>
          <cell r="E115" t="str">
            <v>501_M0111_B_114R</v>
          </cell>
          <cell r="F115">
            <v>45810.8298611111</v>
          </cell>
          <cell r="G115" t="str">
            <v>KUHN</v>
          </cell>
          <cell r="H115">
            <v>281.53</v>
          </cell>
          <cell r="I115">
            <v>1.9</v>
          </cell>
          <cell r="J115">
            <v>283.43</v>
          </cell>
          <cell r="K115">
            <v>2</v>
          </cell>
          <cell r="L115">
            <v>1.77</v>
          </cell>
          <cell r="M115">
            <v>93.16</v>
          </cell>
        </row>
        <row r="115">
          <cell r="Q115" t="str">
            <v>yes</v>
          </cell>
          <cell r="R115" t="str">
            <v>all</v>
          </cell>
          <cell r="S115" t="str">
            <v>R</v>
          </cell>
          <cell r="T115" t="str">
            <v>R (BLY-HQ3)</v>
          </cell>
        </row>
        <row r="115">
          <cell r="V115">
            <v>61</v>
          </cell>
          <cell r="W115">
            <v>0</v>
          </cell>
          <cell r="X115">
            <v>281.53</v>
          </cell>
          <cell r="Y115">
            <v>283.43</v>
          </cell>
        </row>
        <row r="115">
          <cell r="AA115" t="str">
            <v>IBCR0501EC85Q01</v>
          </cell>
          <cell r="AB115" t="str">
            <v>infill</v>
          </cell>
          <cell r="AC115">
            <v>3</v>
          </cell>
          <cell r="AD115" t="str">
            <v>BLY HQ3</v>
          </cell>
          <cell r="AE115" t="str">
            <v>Water-based mud (WBM)</v>
          </cell>
          <cell r="AF115" t="str">
            <v>PureBore by Clear Solutions</v>
          </cell>
        </row>
        <row r="116">
          <cell r="A116">
            <v>115</v>
          </cell>
          <cell r="B116">
            <v>501</v>
          </cell>
          <cell r="C116" t="str">
            <v>M0111</v>
          </cell>
          <cell r="D116" t="str">
            <v>B</v>
          </cell>
          <cell r="E116" t="str">
            <v>501_M0111_B_115R</v>
          </cell>
          <cell r="F116">
            <v>45810.8576388889</v>
          </cell>
          <cell r="G116" t="str">
            <v>WINK</v>
          </cell>
          <cell r="H116">
            <v>283.43</v>
          </cell>
          <cell r="I116">
            <v>3.05</v>
          </cell>
          <cell r="J116">
            <v>286.48</v>
          </cell>
          <cell r="K116">
            <v>2</v>
          </cell>
          <cell r="L116">
            <v>2.95</v>
          </cell>
          <cell r="M116">
            <v>96.72</v>
          </cell>
        </row>
        <row r="116">
          <cell r="Q116" t="str">
            <v>yes</v>
          </cell>
          <cell r="R116" t="str">
            <v>all</v>
          </cell>
          <cell r="S116" t="str">
            <v>R</v>
          </cell>
          <cell r="T116" t="str">
            <v>R (BLY-HQ3)</v>
          </cell>
        </row>
        <row r="116">
          <cell r="V116">
            <v>61</v>
          </cell>
          <cell r="W116">
            <v>0</v>
          </cell>
          <cell r="X116">
            <v>283.43</v>
          </cell>
          <cell r="Y116">
            <v>286.48</v>
          </cell>
        </row>
        <row r="116">
          <cell r="AA116" t="str">
            <v>IBCR0501EC95Q01</v>
          </cell>
          <cell r="AB116" t="str">
            <v>infill</v>
          </cell>
          <cell r="AC116">
            <v>3</v>
          </cell>
          <cell r="AD116" t="str">
            <v>BLY HQ3</v>
          </cell>
          <cell r="AE116" t="str">
            <v>Water-based mud (WBM)</v>
          </cell>
          <cell r="AF116" t="str">
            <v>PureBore by Clear Solutions</v>
          </cell>
        </row>
        <row r="117">
          <cell r="A117">
            <v>116</v>
          </cell>
          <cell r="B117">
            <v>501</v>
          </cell>
          <cell r="C117" t="str">
            <v>M0111</v>
          </cell>
          <cell r="D117" t="str">
            <v>B</v>
          </cell>
          <cell r="E117" t="str">
            <v>501_M0111_B_116R</v>
          </cell>
          <cell r="F117">
            <v>45810.8784722222</v>
          </cell>
          <cell r="G117" t="str">
            <v>WINK</v>
          </cell>
          <cell r="H117">
            <v>286.48</v>
          </cell>
          <cell r="I117">
            <v>2.85</v>
          </cell>
          <cell r="J117">
            <v>289.33</v>
          </cell>
          <cell r="K117">
            <v>3</v>
          </cell>
          <cell r="L117">
            <v>2.3</v>
          </cell>
          <cell r="M117">
            <v>80.7</v>
          </cell>
        </row>
        <row r="117">
          <cell r="Q117" t="str">
            <v>yes</v>
          </cell>
          <cell r="R117" t="str">
            <v>all</v>
          </cell>
          <cell r="S117" t="str">
            <v>R</v>
          </cell>
          <cell r="T117" t="str">
            <v>R (BLY-HQ3)</v>
          </cell>
        </row>
        <row r="117">
          <cell r="V117">
            <v>61</v>
          </cell>
          <cell r="W117">
            <v>0</v>
          </cell>
          <cell r="X117">
            <v>286.48</v>
          </cell>
          <cell r="Y117">
            <v>289.33</v>
          </cell>
        </row>
        <row r="117">
          <cell r="AA117" t="str">
            <v>IBCR0501ECA5Q01</v>
          </cell>
        </row>
        <row r="117">
          <cell r="AC117">
            <v>3</v>
          </cell>
          <cell r="AD117" t="str">
            <v>BLY HQ3</v>
          </cell>
          <cell r="AE117" t="str">
            <v>Water-based mud (WBM)</v>
          </cell>
          <cell r="AF117" t="str">
            <v>PureBore by Clear Solutions</v>
          </cell>
        </row>
        <row r="118">
          <cell r="A118">
            <v>117</v>
          </cell>
          <cell r="B118">
            <v>501</v>
          </cell>
          <cell r="C118" t="str">
            <v>M0111</v>
          </cell>
          <cell r="D118" t="str">
            <v>B</v>
          </cell>
          <cell r="E118" t="str">
            <v>501_M0111_B_117R</v>
          </cell>
          <cell r="F118">
            <v>45810.9340277778</v>
          </cell>
          <cell r="G118" t="str">
            <v>WINK</v>
          </cell>
          <cell r="H118">
            <v>289.33</v>
          </cell>
          <cell r="I118">
            <v>2.65</v>
          </cell>
          <cell r="J118">
            <v>291.98</v>
          </cell>
          <cell r="K118">
            <v>1</v>
          </cell>
          <cell r="L118">
            <v>0.96</v>
          </cell>
          <cell r="M118">
            <v>36.23</v>
          </cell>
        </row>
        <row r="118">
          <cell r="Q118" t="str">
            <v>yes</v>
          </cell>
          <cell r="R118" t="str">
            <v>all</v>
          </cell>
          <cell r="S118" t="str">
            <v>R</v>
          </cell>
          <cell r="T118" t="str">
            <v>R (BLY-HQ3)</v>
          </cell>
        </row>
        <row r="118">
          <cell r="V118">
            <v>61</v>
          </cell>
          <cell r="W118">
            <v>0</v>
          </cell>
          <cell r="X118">
            <v>289.33</v>
          </cell>
          <cell r="Y118">
            <v>291.98</v>
          </cell>
        </row>
        <row r="118">
          <cell r="AA118" t="str">
            <v>IBCR0501ECB5Q01</v>
          </cell>
        </row>
        <row r="118">
          <cell r="AC118">
            <v>3</v>
          </cell>
          <cell r="AD118" t="str">
            <v>BLY HQ3</v>
          </cell>
          <cell r="AE118" t="str">
            <v>Water-based mud (WBM)</v>
          </cell>
          <cell r="AF118" t="str">
            <v>PureBore by Clear Solutions</v>
          </cell>
        </row>
        <row r="119">
          <cell r="A119">
            <v>118</v>
          </cell>
          <cell r="B119">
            <v>501</v>
          </cell>
          <cell r="C119" t="str">
            <v>M0111</v>
          </cell>
          <cell r="D119" t="str">
            <v>B</v>
          </cell>
          <cell r="E119" t="str">
            <v>501_M0111_B_118R</v>
          </cell>
          <cell r="F119">
            <v>45810.9583333333</v>
          </cell>
          <cell r="G119" t="str">
            <v>KUHN</v>
          </cell>
          <cell r="H119">
            <v>291.98</v>
          </cell>
          <cell r="I119">
            <v>0.85</v>
          </cell>
          <cell r="J119">
            <v>292.83</v>
          </cell>
          <cell r="K119">
            <v>0</v>
          </cell>
          <cell r="L119">
            <v>0</v>
          </cell>
          <cell r="M119">
            <v>0</v>
          </cell>
        </row>
        <row r="119">
          <cell r="P119" t="str">
            <v>no recovery</v>
          </cell>
          <cell r="Q119" t="str">
            <v>no</v>
          </cell>
          <cell r="R119" t="str">
            <v>none</v>
          </cell>
          <cell r="S119" t="str">
            <v>R</v>
          </cell>
          <cell r="T119" t="str">
            <v>R (BLY-HQ3)</v>
          </cell>
        </row>
        <row r="119">
          <cell r="V119">
            <v>61</v>
          </cell>
          <cell r="W119">
            <v>0</v>
          </cell>
          <cell r="X119">
            <v>291.98</v>
          </cell>
          <cell r="Y119">
            <v>292.83</v>
          </cell>
        </row>
        <row r="119">
          <cell r="AA119" t="str">
            <v>IBCR0501ECC5Q01</v>
          </cell>
        </row>
        <row r="119">
          <cell r="AC119">
            <v>3</v>
          </cell>
          <cell r="AD119" t="str">
            <v>BLY HQ3</v>
          </cell>
          <cell r="AE119" t="str">
            <v>Water-based mud (WBM)</v>
          </cell>
          <cell r="AF119" t="str">
            <v>PureBore by Clear Solutions</v>
          </cell>
        </row>
        <row r="120">
          <cell r="A120">
            <v>119</v>
          </cell>
          <cell r="B120">
            <v>501</v>
          </cell>
          <cell r="C120" t="str">
            <v>M0111</v>
          </cell>
          <cell r="D120" t="str">
            <v>B</v>
          </cell>
          <cell r="E120" t="str">
            <v>501_M0111_B_119R</v>
          </cell>
          <cell r="F120">
            <v>45810.9861111111</v>
          </cell>
          <cell r="G120" t="str">
            <v>WINK</v>
          </cell>
          <cell r="H120">
            <v>292.83</v>
          </cell>
          <cell r="I120">
            <v>2.8</v>
          </cell>
          <cell r="J120">
            <v>295.63</v>
          </cell>
          <cell r="K120">
            <v>1</v>
          </cell>
          <cell r="L120">
            <v>0.66</v>
          </cell>
          <cell r="M120">
            <v>23.57</v>
          </cell>
        </row>
        <row r="120">
          <cell r="Q120" t="str">
            <v>yes</v>
          </cell>
          <cell r="R120" t="str">
            <v>all</v>
          </cell>
          <cell r="S120" t="str">
            <v>R</v>
          </cell>
          <cell r="T120" t="str">
            <v>R (BLY-HQ3)</v>
          </cell>
        </row>
        <row r="120">
          <cell r="V120">
            <v>61</v>
          </cell>
          <cell r="W120">
            <v>0</v>
          </cell>
          <cell r="X120">
            <v>292.83</v>
          </cell>
          <cell r="Y120">
            <v>295.63</v>
          </cell>
        </row>
        <row r="120">
          <cell r="AA120" t="str">
            <v>IBCR0501ECD5Q01</v>
          </cell>
        </row>
        <row r="120">
          <cell r="AC120">
            <v>3</v>
          </cell>
          <cell r="AD120" t="str">
            <v>BLY HQ3</v>
          </cell>
          <cell r="AE120" t="str">
            <v>Water-based mud (WBM)</v>
          </cell>
          <cell r="AF120" t="str">
            <v>PureBore by Clear Solutions</v>
          </cell>
        </row>
        <row r="121">
          <cell r="A121">
            <v>120</v>
          </cell>
          <cell r="B121">
            <v>501</v>
          </cell>
          <cell r="C121" t="str">
            <v>M0111</v>
          </cell>
          <cell r="D121" t="str">
            <v>B</v>
          </cell>
          <cell r="E121" t="str">
            <v>501_M0111_B_120R</v>
          </cell>
          <cell r="F121">
            <v>45811.0173611111</v>
          </cell>
          <cell r="G121" t="str">
            <v>KUHN</v>
          </cell>
          <cell r="H121">
            <v>295.63</v>
          </cell>
          <cell r="I121">
            <v>3.05</v>
          </cell>
          <cell r="J121">
            <v>298.68</v>
          </cell>
          <cell r="K121">
            <v>1</v>
          </cell>
          <cell r="L121">
            <v>1.08</v>
          </cell>
          <cell r="M121">
            <v>35.41</v>
          </cell>
        </row>
        <row r="121">
          <cell r="Q121" t="str">
            <v>yes</v>
          </cell>
          <cell r="R121" t="str">
            <v>all</v>
          </cell>
          <cell r="S121" t="str">
            <v>R</v>
          </cell>
          <cell r="T121" t="str">
            <v>R (BLY-HQ3)</v>
          </cell>
        </row>
        <row r="121">
          <cell r="V121">
            <v>61</v>
          </cell>
          <cell r="W121">
            <v>0</v>
          </cell>
          <cell r="X121">
            <v>295.63</v>
          </cell>
          <cell r="Y121">
            <v>298.68</v>
          </cell>
        </row>
        <row r="121">
          <cell r="AA121" t="str">
            <v>IBCR0501ECE5Q01</v>
          </cell>
        </row>
        <row r="121">
          <cell r="AC121">
            <v>3</v>
          </cell>
          <cell r="AD121" t="str">
            <v>BLY HQ3</v>
          </cell>
          <cell r="AE121" t="str">
            <v>Water-based mud (WBM)</v>
          </cell>
          <cell r="AF121" t="str">
            <v>PureBore by Clear Solutions</v>
          </cell>
        </row>
        <row r="122">
          <cell r="A122">
            <v>121</v>
          </cell>
          <cell r="B122">
            <v>501</v>
          </cell>
          <cell r="C122" t="str">
            <v>M0111</v>
          </cell>
          <cell r="D122" t="str">
            <v>B</v>
          </cell>
          <cell r="E122" t="str">
            <v>501_M0111_B_121R</v>
          </cell>
          <cell r="F122">
            <v>45811.0486111111</v>
          </cell>
          <cell r="G122" t="str">
            <v>WINK</v>
          </cell>
          <cell r="H122">
            <v>298.68</v>
          </cell>
          <cell r="I122">
            <v>1.55</v>
          </cell>
          <cell r="J122">
            <v>300.23</v>
          </cell>
          <cell r="K122">
            <v>2</v>
          </cell>
          <cell r="L122">
            <v>1.66</v>
          </cell>
          <cell r="M122">
            <v>107.1</v>
          </cell>
        </row>
        <row r="122">
          <cell r="Q122" t="str">
            <v>yes</v>
          </cell>
          <cell r="R122" t="str">
            <v>all</v>
          </cell>
          <cell r="S122" t="str">
            <v>R</v>
          </cell>
          <cell r="T122" t="str">
            <v>R (BLY-HQ3)</v>
          </cell>
        </row>
        <row r="122">
          <cell r="V122">
            <v>61</v>
          </cell>
          <cell r="W122">
            <v>0</v>
          </cell>
          <cell r="X122">
            <v>298.68</v>
          </cell>
          <cell r="Y122">
            <v>300.23</v>
          </cell>
        </row>
        <row r="122">
          <cell r="AA122" t="str">
            <v>IBCR0501ECF5Q01</v>
          </cell>
        </row>
        <row r="122">
          <cell r="AC122">
            <v>3</v>
          </cell>
          <cell r="AD122" t="str">
            <v>BLY HQ3</v>
          </cell>
          <cell r="AE122" t="str">
            <v>Water-based mud (WBM)</v>
          </cell>
          <cell r="AF122" t="str">
            <v>PureBore by Clear Solutions</v>
          </cell>
        </row>
        <row r="123">
          <cell r="A123">
            <v>122</v>
          </cell>
          <cell r="B123">
            <v>501</v>
          </cell>
          <cell r="C123" t="str">
            <v>M0111</v>
          </cell>
          <cell r="D123" t="str">
            <v>B</v>
          </cell>
          <cell r="E123" t="str">
            <v>501_M0111_B_122R</v>
          </cell>
          <cell r="F123">
            <v>45811.0833333333</v>
          </cell>
          <cell r="G123" t="str">
            <v>WINK</v>
          </cell>
          <cell r="H123">
            <v>300.23</v>
          </cell>
          <cell r="I123">
            <v>1.5</v>
          </cell>
          <cell r="J123">
            <v>301.73</v>
          </cell>
          <cell r="K123">
            <v>2</v>
          </cell>
          <cell r="L123">
            <v>1.42</v>
          </cell>
          <cell r="M123">
            <v>94.67</v>
          </cell>
        </row>
        <row r="123">
          <cell r="Q123" t="str">
            <v>yes</v>
          </cell>
          <cell r="R123" t="str">
            <v>all</v>
          </cell>
          <cell r="S123" t="str">
            <v>R</v>
          </cell>
          <cell r="T123" t="str">
            <v>R (BLY-HQ3)</v>
          </cell>
        </row>
        <row r="123">
          <cell r="V123">
            <v>61</v>
          </cell>
          <cell r="W123">
            <v>0</v>
          </cell>
          <cell r="X123">
            <v>300.23</v>
          </cell>
          <cell r="Y123">
            <v>301.73</v>
          </cell>
        </row>
        <row r="123">
          <cell r="AA123" t="str">
            <v>IBCR0501ECG5Q01</v>
          </cell>
        </row>
        <row r="123">
          <cell r="AC123">
            <v>3</v>
          </cell>
          <cell r="AD123" t="str">
            <v>BLY HQ3</v>
          </cell>
          <cell r="AE123" t="str">
            <v>Water-based mud (WBM)</v>
          </cell>
          <cell r="AF123" t="str">
            <v>PureBore by Clear Solutions</v>
          </cell>
        </row>
        <row r="124">
          <cell r="A124">
            <v>123</v>
          </cell>
          <cell r="B124">
            <v>501</v>
          </cell>
          <cell r="C124" t="str">
            <v>M0111</v>
          </cell>
          <cell r="D124" t="str">
            <v>B</v>
          </cell>
          <cell r="E124" t="str">
            <v>501_M0111_B_123R</v>
          </cell>
          <cell r="F124">
            <v>45811.1145833333</v>
          </cell>
          <cell r="G124" t="str">
            <v>WINK</v>
          </cell>
          <cell r="H124">
            <v>301.73</v>
          </cell>
          <cell r="I124">
            <v>3.05</v>
          </cell>
          <cell r="J124">
            <v>304.78</v>
          </cell>
          <cell r="K124">
            <v>0</v>
          </cell>
          <cell r="L124">
            <v>0</v>
          </cell>
          <cell r="M124">
            <v>0</v>
          </cell>
        </row>
        <row r="124">
          <cell r="P124" t="str">
            <v>no recovery</v>
          </cell>
          <cell r="Q124" t="str">
            <v>no</v>
          </cell>
          <cell r="R124" t="str">
            <v>none</v>
          </cell>
          <cell r="S124" t="str">
            <v>R</v>
          </cell>
          <cell r="T124" t="str">
            <v>R (BLY-HQ3)</v>
          </cell>
        </row>
        <row r="124">
          <cell r="V124">
            <v>61</v>
          </cell>
          <cell r="W124">
            <v>0</v>
          </cell>
          <cell r="X124">
            <v>301.73</v>
          </cell>
          <cell r="Y124">
            <v>304.78</v>
          </cell>
        </row>
        <row r="124">
          <cell r="AA124" t="str">
            <v>IBCR0501ECH5Q01</v>
          </cell>
        </row>
        <row r="124">
          <cell r="AC124">
            <v>3</v>
          </cell>
          <cell r="AD124" t="str">
            <v>BLY HQ3</v>
          </cell>
          <cell r="AE124" t="str">
            <v>Water-based mud (WBM)</v>
          </cell>
          <cell r="AF124" t="str">
            <v>PureBore by Clear Solutions</v>
          </cell>
        </row>
        <row r="125">
          <cell r="A125">
            <v>124</v>
          </cell>
          <cell r="B125">
            <v>501</v>
          </cell>
          <cell r="C125" t="str">
            <v>M0111</v>
          </cell>
          <cell r="D125" t="str">
            <v>B</v>
          </cell>
          <cell r="E125" t="str">
            <v>501_M0111_B_124R</v>
          </cell>
          <cell r="F125">
            <v>45811.1944444444</v>
          </cell>
          <cell r="G125" t="str">
            <v>GEPR</v>
          </cell>
          <cell r="H125">
            <v>304.78</v>
          </cell>
          <cell r="I125">
            <v>1.55</v>
          </cell>
          <cell r="J125">
            <v>306.33</v>
          </cell>
          <cell r="K125">
            <v>0</v>
          </cell>
          <cell r="L125">
            <v>0</v>
          </cell>
          <cell r="M125">
            <v>0</v>
          </cell>
        </row>
        <row r="125">
          <cell r="P125" t="str">
            <v>no recovery</v>
          </cell>
          <cell r="Q125" t="str">
            <v>no</v>
          </cell>
          <cell r="R125" t="str">
            <v>none</v>
          </cell>
          <cell r="S125" t="str">
            <v>R</v>
          </cell>
          <cell r="T125" t="str">
            <v>R (BLY-HQ3)</v>
          </cell>
        </row>
        <row r="125">
          <cell r="V125">
            <v>61</v>
          </cell>
          <cell r="W125">
            <v>0</v>
          </cell>
          <cell r="X125">
            <v>304.78</v>
          </cell>
          <cell r="Y125">
            <v>306.33</v>
          </cell>
        </row>
        <row r="125">
          <cell r="AA125" t="str">
            <v>IBCR0501ECI5Q01</v>
          </cell>
        </row>
        <row r="125">
          <cell r="AC125">
            <v>3</v>
          </cell>
          <cell r="AD125" t="str">
            <v>BLY HQ3</v>
          </cell>
          <cell r="AE125" t="str">
            <v>Water-based mud (WBM)</v>
          </cell>
          <cell r="AF125" t="str">
            <v>PureBore by Clear Solutions</v>
          </cell>
        </row>
        <row r="126">
          <cell r="A126">
            <v>125</v>
          </cell>
          <cell r="B126">
            <v>501</v>
          </cell>
          <cell r="C126" t="str">
            <v>M0111</v>
          </cell>
          <cell r="D126" t="str">
            <v>B</v>
          </cell>
          <cell r="E126" t="str">
            <v>501_M0111_B_125R</v>
          </cell>
          <cell r="F126">
            <v>45811.2118055556</v>
          </cell>
          <cell r="G126" t="str">
            <v>GEPR</v>
          </cell>
          <cell r="H126">
            <v>306.33</v>
          </cell>
          <cell r="I126">
            <v>0.75</v>
          </cell>
          <cell r="J126">
            <v>307.08</v>
          </cell>
          <cell r="K126">
            <v>1</v>
          </cell>
          <cell r="L126">
            <v>0.47</v>
          </cell>
          <cell r="M126">
            <v>62.67</v>
          </cell>
        </row>
        <row r="126">
          <cell r="Q126" t="str">
            <v>yes</v>
          </cell>
          <cell r="R126" t="str">
            <v>all</v>
          </cell>
          <cell r="S126" t="str">
            <v>R</v>
          </cell>
          <cell r="T126" t="str">
            <v>R (BLY-HQ3)</v>
          </cell>
        </row>
        <row r="126">
          <cell r="V126">
            <v>61</v>
          </cell>
          <cell r="W126">
            <v>0</v>
          </cell>
          <cell r="X126">
            <v>306.33</v>
          </cell>
          <cell r="Y126">
            <v>307.08</v>
          </cell>
        </row>
        <row r="126">
          <cell r="AA126" t="str">
            <v>IBCR0501ECJ5Q01</v>
          </cell>
        </row>
        <row r="126">
          <cell r="AC126">
            <v>3</v>
          </cell>
          <cell r="AD126" t="str">
            <v>BLY HQ3</v>
          </cell>
          <cell r="AE126" t="str">
            <v>Water-based mud (WBM)</v>
          </cell>
          <cell r="AF126" t="str">
            <v>PureBore by Clear Solutions</v>
          </cell>
        </row>
        <row r="127">
          <cell r="A127">
            <v>126</v>
          </cell>
          <cell r="B127">
            <v>501</v>
          </cell>
          <cell r="C127" t="str">
            <v>M0111</v>
          </cell>
          <cell r="D127" t="str">
            <v>B</v>
          </cell>
          <cell r="E127" t="str">
            <v>501_M0111_B_126R</v>
          </cell>
          <cell r="F127">
            <v>45811.2361111111</v>
          </cell>
          <cell r="G127" t="str">
            <v>GEPR</v>
          </cell>
          <cell r="H127">
            <v>307.08</v>
          </cell>
          <cell r="I127">
            <v>3.05</v>
          </cell>
          <cell r="J127">
            <v>310.13</v>
          </cell>
          <cell r="K127">
            <v>1</v>
          </cell>
          <cell r="L127">
            <v>0.42</v>
          </cell>
          <cell r="M127">
            <v>13.77</v>
          </cell>
        </row>
        <row r="127">
          <cell r="Q127" t="str">
            <v>yes</v>
          </cell>
          <cell r="R127" t="str">
            <v>all</v>
          </cell>
          <cell r="S127" t="str">
            <v>R</v>
          </cell>
          <cell r="T127" t="str">
            <v>R (BLY-HQ3)</v>
          </cell>
        </row>
        <row r="127">
          <cell r="V127">
            <v>61</v>
          </cell>
          <cell r="W127">
            <v>0</v>
          </cell>
          <cell r="X127">
            <v>307.08</v>
          </cell>
          <cell r="Y127">
            <v>310.13</v>
          </cell>
        </row>
        <row r="127">
          <cell r="AA127" t="str">
            <v>IBCR0501ECK5Q01</v>
          </cell>
        </row>
        <row r="127">
          <cell r="AC127">
            <v>3</v>
          </cell>
          <cell r="AD127" t="str">
            <v>BLY HQ3</v>
          </cell>
          <cell r="AE127" t="str">
            <v>Water-based mud (WBM)</v>
          </cell>
          <cell r="AF127" t="str">
            <v>PureBore by Clear Solutions</v>
          </cell>
        </row>
        <row r="128">
          <cell r="A128">
            <v>127</v>
          </cell>
          <cell r="B128">
            <v>501</v>
          </cell>
          <cell r="C128" t="str">
            <v>M0111</v>
          </cell>
          <cell r="D128" t="str">
            <v>B</v>
          </cell>
          <cell r="E128" t="str">
            <v>501_M0111_B_127R</v>
          </cell>
          <cell r="F128">
            <v>45811.2638888889</v>
          </cell>
          <cell r="G128" t="str">
            <v>GEPR</v>
          </cell>
          <cell r="H128">
            <v>310.13</v>
          </cell>
          <cell r="I128">
            <v>2.65</v>
          </cell>
          <cell r="J128">
            <v>312.78</v>
          </cell>
          <cell r="K128">
            <v>2</v>
          </cell>
          <cell r="L128">
            <v>1.84</v>
          </cell>
          <cell r="M128">
            <v>69.43</v>
          </cell>
        </row>
        <row r="128">
          <cell r="Q128" t="str">
            <v>yes</v>
          </cell>
          <cell r="R128" t="str">
            <v>all</v>
          </cell>
          <cell r="S128" t="str">
            <v>R</v>
          </cell>
          <cell r="T128" t="str">
            <v>R (BLY-HQ3)</v>
          </cell>
        </row>
        <row r="128">
          <cell r="V128">
            <v>61</v>
          </cell>
          <cell r="W128">
            <v>0</v>
          </cell>
          <cell r="X128">
            <v>310.13</v>
          </cell>
          <cell r="Y128">
            <v>312.78</v>
          </cell>
        </row>
        <row r="128">
          <cell r="AA128" t="str">
            <v>IBCR0501ECL5Q01</v>
          </cell>
        </row>
        <row r="128">
          <cell r="AC128">
            <v>3</v>
          </cell>
          <cell r="AD128" t="str">
            <v>BLY HQ3</v>
          </cell>
          <cell r="AE128" t="str">
            <v>Water-based mud (WBM)</v>
          </cell>
          <cell r="AF128" t="str">
            <v>PureBore by Clear Solutions</v>
          </cell>
        </row>
        <row r="129">
          <cell r="A129">
            <v>128</v>
          </cell>
          <cell r="B129">
            <v>501</v>
          </cell>
          <cell r="C129" t="str">
            <v>M0111</v>
          </cell>
          <cell r="D129" t="str">
            <v>B</v>
          </cell>
          <cell r="E129" t="str">
            <v>501_M0111_B_128R</v>
          </cell>
          <cell r="F129">
            <v>45811.2881944444</v>
          </cell>
          <cell r="G129" t="str">
            <v>GEPR</v>
          </cell>
          <cell r="H129">
            <v>312.78</v>
          </cell>
          <cell r="I129">
            <v>3.05</v>
          </cell>
          <cell r="J129">
            <v>315.83</v>
          </cell>
          <cell r="K129">
            <v>3</v>
          </cell>
          <cell r="L129">
            <v>3.18</v>
          </cell>
          <cell r="M129">
            <v>104.26</v>
          </cell>
        </row>
        <row r="129">
          <cell r="Q129" t="str">
            <v>yes</v>
          </cell>
          <cell r="R129" t="str">
            <v>all</v>
          </cell>
          <cell r="S129" t="str">
            <v>R</v>
          </cell>
          <cell r="T129" t="str">
            <v>R (BLY-HQ3)</v>
          </cell>
        </row>
        <row r="129">
          <cell r="V129">
            <v>61</v>
          </cell>
          <cell r="W129">
            <v>0</v>
          </cell>
          <cell r="X129">
            <v>312.78</v>
          </cell>
          <cell r="Y129">
            <v>315.83</v>
          </cell>
        </row>
        <row r="129">
          <cell r="AA129" t="str">
            <v>IBCR0501ECM5Q01</v>
          </cell>
        </row>
        <row r="129">
          <cell r="AC129">
            <v>3</v>
          </cell>
          <cell r="AD129" t="str">
            <v>BLY HQ3</v>
          </cell>
          <cell r="AE129" t="str">
            <v>Water-based mud (WBM)</v>
          </cell>
          <cell r="AF129" t="str">
            <v>PureBore by Clear Solutions</v>
          </cell>
        </row>
        <row r="130">
          <cell r="A130">
            <v>129</v>
          </cell>
          <cell r="B130">
            <v>501</v>
          </cell>
          <cell r="C130" t="str">
            <v>M0111</v>
          </cell>
          <cell r="D130" t="str">
            <v>B</v>
          </cell>
          <cell r="E130" t="str">
            <v>501_M0111_B_129R</v>
          </cell>
          <cell r="F130">
            <v>45811.3333333333</v>
          </cell>
          <cell r="G130" t="str">
            <v>GEPR</v>
          </cell>
          <cell r="H130">
            <v>315.83</v>
          </cell>
          <cell r="I130">
            <v>3.05</v>
          </cell>
          <cell r="J130">
            <v>318.88</v>
          </cell>
          <cell r="K130">
            <v>2</v>
          </cell>
          <cell r="L130">
            <v>2.81</v>
          </cell>
          <cell r="M130">
            <v>92.13</v>
          </cell>
        </row>
        <row r="130">
          <cell r="Q130" t="str">
            <v>yes</v>
          </cell>
          <cell r="R130" t="str">
            <v>all</v>
          </cell>
          <cell r="S130" t="str">
            <v>R</v>
          </cell>
          <cell r="T130" t="str">
            <v>R (BLY-HQ3)</v>
          </cell>
        </row>
        <row r="130">
          <cell r="V130">
            <v>61</v>
          </cell>
          <cell r="W130">
            <v>0</v>
          </cell>
          <cell r="X130">
            <v>315.83</v>
          </cell>
          <cell r="Y130">
            <v>318.88</v>
          </cell>
        </row>
        <row r="130">
          <cell r="AA130" t="str">
            <v>IBCR0501ECN5Q01</v>
          </cell>
        </row>
        <row r="130">
          <cell r="AC130">
            <v>3</v>
          </cell>
          <cell r="AD130" t="str">
            <v>BLY HQ3</v>
          </cell>
          <cell r="AE130" t="str">
            <v>Water-based mud (WBM)</v>
          </cell>
          <cell r="AF130" t="str">
            <v>PureBore by Clear Solutions</v>
          </cell>
        </row>
        <row r="131">
          <cell r="A131">
            <v>130</v>
          </cell>
          <cell r="B131">
            <v>501</v>
          </cell>
          <cell r="C131" t="str">
            <v>M0111</v>
          </cell>
          <cell r="D131" t="str">
            <v>B</v>
          </cell>
          <cell r="E131" t="str">
            <v>501_M0111_B_130R</v>
          </cell>
          <cell r="F131">
            <v>45811.3680555556</v>
          </cell>
          <cell r="G131" t="str">
            <v>GEPR</v>
          </cell>
          <cell r="H131">
            <v>318.88</v>
          </cell>
          <cell r="I131">
            <v>3.05</v>
          </cell>
          <cell r="J131">
            <v>321.93</v>
          </cell>
          <cell r="K131">
            <v>2</v>
          </cell>
          <cell r="L131">
            <v>2.58</v>
          </cell>
          <cell r="M131">
            <v>84.59</v>
          </cell>
        </row>
        <row r="131">
          <cell r="Q131" t="str">
            <v>yes</v>
          </cell>
          <cell r="R131" t="str">
            <v>all</v>
          </cell>
          <cell r="S131" t="str">
            <v>R</v>
          </cell>
          <cell r="T131" t="str">
            <v>R (BLY-HQ3)</v>
          </cell>
        </row>
        <row r="131">
          <cell r="V131">
            <v>61</v>
          </cell>
          <cell r="W131">
            <v>0</v>
          </cell>
          <cell r="X131">
            <v>318.88</v>
          </cell>
          <cell r="Y131">
            <v>321.93</v>
          </cell>
        </row>
        <row r="131">
          <cell r="AA131" t="str">
            <v>IBCR0501ECO5Q01</v>
          </cell>
        </row>
        <row r="131">
          <cell r="AC131">
            <v>3</v>
          </cell>
          <cell r="AD131" t="str">
            <v>BLY HQ3</v>
          </cell>
          <cell r="AE131" t="str">
            <v>Water-based mud (WBM)</v>
          </cell>
          <cell r="AF131" t="str">
            <v>PureBore by Clear Solutions</v>
          </cell>
        </row>
        <row r="132">
          <cell r="A132">
            <v>131</v>
          </cell>
          <cell r="B132">
            <v>501</v>
          </cell>
          <cell r="C132" t="str">
            <v>M0111</v>
          </cell>
          <cell r="D132" t="str">
            <v>B</v>
          </cell>
          <cell r="E132" t="str">
            <v>501_M0111_B_131R</v>
          </cell>
          <cell r="F132">
            <v>45811.4097222222</v>
          </cell>
          <cell r="G132" t="str">
            <v>GEPR</v>
          </cell>
          <cell r="H132">
            <v>321.93</v>
          </cell>
          <cell r="I132">
            <v>1.9</v>
          </cell>
          <cell r="J132">
            <v>323.83</v>
          </cell>
          <cell r="K132">
            <v>1</v>
          </cell>
          <cell r="L132">
            <v>0.54</v>
          </cell>
          <cell r="M132">
            <v>28.42</v>
          </cell>
        </row>
        <row r="132">
          <cell r="Q132" t="str">
            <v>yes</v>
          </cell>
          <cell r="R132" t="str">
            <v>all</v>
          </cell>
          <cell r="S132" t="str">
            <v>R</v>
          </cell>
          <cell r="T132" t="str">
            <v>R (BLY-HQ3)</v>
          </cell>
        </row>
        <row r="132">
          <cell r="V132">
            <v>61</v>
          </cell>
          <cell r="W132">
            <v>0</v>
          </cell>
          <cell r="X132">
            <v>321.93</v>
          </cell>
          <cell r="Y132">
            <v>323.83</v>
          </cell>
        </row>
        <row r="132">
          <cell r="AA132" t="str">
            <v>IBCR0501ECP5Q01</v>
          </cell>
        </row>
        <row r="132">
          <cell r="AC132">
            <v>3</v>
          </cell>
          <cell r="AD132" t="str">
            <v>BLY HQ3</v>
          </cell>
          <cell r="AE132" t="str">
            <v>Water-based mud (WBM)</v>
          </cell>
          <cell r="AF132" t="str">
            <v>PureBore by Clear Solutions</v>
          </cell>
        </row>
        <row r="133">
          <cell r="A133">
            <v>132</v>
          </cell>
          <cell r="B133">
            <v>501</v>
          </cell>
          <cell r="C133" t="str">
            <v>M0111</v>
          </cell>
          <cell r="D133" t="str">
            <v>B</v>
          </cell>
          <cell r="E133" t="str">
            <v>501_M0111_B_132R</v>
          </cell>
          <cell r="F133">
            <v>45811.4375</v>
          </cell>
          <cell r="G133" t="str">
            <v>GEPR</v>
          </cell>
          <cell r="H133">
            <v>323.83</v>
          </cell>
          <cell r="I133">
            <v>2.3</v>
          </cell>
          <cell r="J133">
            <v>326.13</v>
          </cell>
          <cell r="K133">
            <v>1</v>
          </cell>
          <cell r="L133">
            <v>0.23</v>
          </cell>
          <cell r="M133">
            <v>10</v>
          </cell>
        </row>
        <row r="133">
          <cell r="Q133" t="str">
            <v>yes</v>
          </cell>
          <cell r="R133" t="str">
            <v>all</v>
          </cell>
          <cell r="S133" t="str">
            <v>R</v>
          </cell>
          <cell r="T133" t="str">
            <v>R (BLY-HQ3)</v>
          </cell>
        </row>
        <row r="133">
          <cell r="V133">
            <v>61</v>
          </cell>
          <cell r="W133">
            <v>0</v>
          </cell>
          <cell r="X133">
            <v>323.83</v>
          </cell>
          <cell r="Y133">
            <v>326.13</v>
          </cell>
        </row>
        <row r="133">
          <cell r="AA133" t="str">
            <v>IBCR0501ECQ5Q01</v>
          </cell>
        </row>
        <row r="133">
          <cell r="AC133">
            <v>3</v>
          </cell>
          <cell r="AD133" t="str">
            <v>BLY HQ3</v>
          </cell>
          <cell r="AE133" t="str">
            <v>Water-based mud (WBM)</v>
          </cell>
          <cell r="AF133" t="str">
            <v>PureBore by Clear Solutions</v>
          </cell>
        </row>
        <row r="134">
          <cell r="A134">
            <v>133</v>
          </cell>
          <cell r="B134">
            <v>501</v>
          </cell>
          <cell r="C134" t="str">
            <v>M0111</v>
          </cell>
          <cell r="D134" t="str">
            <v>B</v>
          </cell>
          <cell r="E134" t="str">
            <v>501_M0111_B_133R</v>
          </cell>
          <cell r="F134">
            <v>45811.4722222222</v>
          </cell>
          <cell r="G134" t="str">
            <v>GEPR</v>
          </cell>
          <cell r="H134">
            <v>326.13</v>
          </cell>
          <cell r="I134">
            <v>2.85</v>
          </cell>
          <cell r="J134">
            <v>328.98</v>
          </cell>
          <cell r="K134">
            <v>2</v>
          </cell>
          <cell r="L134">
            <v>2.2</v>
          </cell>
          <cell r="M134">
            <v>77.19</v>
          </cell>
        </row>
        <row r="134">
          <cell r="P134" t="str">
            <v>microspheres added</v>
          </cell>
        </row>
        <row r="134">
          <cell r="X134">
            <v>326.13</v>
          </cell>
          <cell r="Y134">
            <v>328.98</v>
          </cell>
        </row>
        <row r="135">
          <cell r="A135">
            <v>134</v>
          </cell>
          <cell r="B135">
            <v>501</v>
          </cell>
          <cell r="C135" t="str">
            <v>M0111</v>
          </cell>
          <cell r="D135" t="str">
            <v>B</v>
          </cell>
          <cell r="E135" t="str">
            <v>501_M0111_B_134R</v>
          </cell>
          <cell r="F135">
            <v>45811.5</v>
          </cell>
          <cell r="G135" t="str">
            <v>GEPR</v>
          </cell>
          <cell r="H135">
            <v>328.98</v>
          </cell>
          <cell r="I135">
            <v>1.85</v>
          </cell>
          <cell r="J135">
            <v>330.83</v>
          </cell>
          <cell r="K135">
            <v>1</v>
          </cell>
          <cell r="L135">
            <v>0.71</v>
          </cell>
          <cell r="M135">
            <v>38.38</v>
          </cell>
        </row>
        <row r="135">
          <cell r="Q135" t="str">
            <v>yes</v>
          </cell>
          <cell r="R135" t="str">
            <v>all</v>
          </cell>
          <cell r="S135" t="str">
            <v>R</v>
          </cell>
          <cell r="T135" t="str">
            <v>R (BLY-HQ3)</v>
          </cell>
        </row>
        <row r="135">
          <cell r="V135">
            <v>61</v>
          </cell>
          <cell r="W135">
            <v>0</v>
          </cell>
          <cell r="X135">
            <v>328.98</v>
          </cell>
          <cell r="Y135">
            <v>330.83</v>
          </cell>
        </row>
        <row r="135">
          <cell r="AA135" t="str">
            <v>IBCR0501ECS5Q01</v>
          </cell>
        </row>
        <row r="135">
          <cell r="AC135">
            <v>3</v>
          </cell>
          <cell r="AD135" t="str">
            <v>BLY HQ3</v>
          </cell>
          <cell r="AE135" t="str">
            <v>Water-based mud (WBM)</v>
          </cell>
          <cell r="AF135" t="str">
            <v>PureBore by Clear Solutions</v>
          </cell>
        </row>
        <row r="136">
          <cell r="A136">
            <v>135</v>
          </cell>
          <cell r="B136">
            <v>501</v>
          </cell>
          <cell r="C136" t="str">
            <v>M0111</v>
          </cell>
          <cell r="D136" t="str">
            <v>B</v>
          </cell>
          <cell r="E136" t="str">
            <v>501_M0111_B_135R</v>
          </cell>
          <cell r="F136">
            <v>45811.53125</v>
          </cell>
          <cell r="G136" t="str">
            <v>GEPR</v>
          </cell>
          <cell r="H136">
            <v>330.83</v>
          </cell>
          <cell r="I136">
            <v>1.4</v>
          </cell>
          <cell r="J136">
            <v>332.23</v>
          </cell>
          <cell r="K136">
            <v>1</v>
          </cell>
          <cell r="L136">
            <v>0.72</v>
          </cell>
          <cell r="M136">
            <v>51.43</v>
          </cell>
        </row>
        <row r="136">
          <cell r="Q136" t="str">
            <v>yes</v>
          </cell>
          <cell r="R136" t="str">
            <v>all</v>
          </cell>
          <cell r="S136" t="str">
            <v>R</v>
          </cell>
          <cell r="T136" t="str">
            <v>R (BLY-HQ3)</v>
          </cell>
        </row>
        <row r="136">
          <cell r="V136">
            <v>61</v>
          </cell>
          <cell r="W136">
            <v>0</v>
          </cell>
          <cell r="X136">
            <v>330.83</v>
          </cell>
          <cell r="Y136">
            <v>332.23</v>
          </cell>
        </row>
        <row r="136">
          <cell r="AA136" t="str">
            <v>IBCR0501ECT5Q01</v>
          </cell>
        </row>
        <row r="136">
          <cell r="AC136">
            <v>3</v>
          </cell>
          <cell r="AD136" t="str">
            <v>BLY HQ3</v>
          </cell>
          <cell r="AE136" t="str">
            <v>Water-based mud (WBM)</v>
          </cell>
          <cell r="AF136" t="str">
            <v>PureBore by Clear Solutions</v>
          </cell>
        </row>
        <row r="137">
          <cell r="A137">
            <v>136</v>
          </cell>
          <cell r="B137">
            <v>501</v>
          </cell>
          <cell r="C137" t="str">
            <v>M0111</v>
          </cell>
          <cell r="D137" t="str">
            <v>B</v>
          </cell>
          <cell r="E137" t="str">
            <v>501_M0111_B_136R</v>
          </cell>
          <cell r="F137">
            <v>45811.5763888889</v>
          </cell>
          <cell r="G137" t="str">
            <v>GEPR</v>
          </cell>
          <cell r="H137">
            <v>332.23</v>
          </cell>
          <cell r="I137">
            <v>0.35</v>
          </cell>
          <cell r="J137">
            <v>332.58</v>
          </cell>
          <cell r="K137">
            <v>0</v>
          </cell>
          <cell r="L137">
            <v>0</v>
          </cell>
          <cell r="M137">
            <v>0</v>
          </cell>
        </row>
        <row r="137">
          <cell r="P137" t="str">
            <v>no recovery</v>
          </cell>
          <cell r="Q137" t="str">
            <v>no</v>
          </cell>
          <cell r="R137" t="str">
            <v>none</v>
          </cell>
          <cell r="S137" t="str">
            <v>R</v>
          </cell>
          <cell r="T137" t="str">
            <v>R (BLY-HQ3)</v>
          </cell>
        </row>
        <row r="137">
          <cell r="V137">
            <v>61</v>
          </cell>
          <cell r="W137">
            <v>0</v>
          </cell>
          <cell r="X137">
            <v>332.23</v>
          </cell>
          <cell r="Y137">
            <v>332.58</v>
          </cell>
        </row>
        <row r="137">
          <cell r="AA137" t="str">
            <v>IBCR0501ECU5Q01</v>
          </cell>
        </row>
        <row r="137">
          <cell r="AC137">
            <v>3</v>
          </cell>
          <cell r="AD137" t="str">
            <v>BLY HQ3</v>
          </cell>
          <cell r="AE137" t="str">
            <v>Water-based mud (WBM)</v>
          </cell>
          <cell r="AF137" t="str">
            <v>PureBore by Clear Solutions</v>
          </cell>
        </row>
        <row r="138">
          <cell r="A138">
            <v>137</v>
          </cell>
          <cell r="B138">
            <v>501</v>
          </cell>
          <cell r="C138" t="str">
            <v>M0111</v>
          </cell>
          <cell r="D138" t="str">
            <v>B</v>
          </cell>
          <cell r="E138" t="str">
            <v>501_M0111_B_137R</v>
          </cell>
          <cell r="F138">
            <v>45811.5972222222</v>
          </cell>
          <cell r="G138" t="str">
            <v>GEPR</v>
          </cell>
          <cell r="H138">
            <v>332.58</v>
          </cell>
          <cell r="I138">
            <v>2.4</v>
          </cell>
          <cell r="J138">
            <v>334.98</v>
          </cell>
          <cell r="K138">
            <v>1</v>
          </cell>
          <cell r="L138">
            <v>0.64</v>
          </cell>
          <cell r="M138">
            <v>26.67</v>
          </cell>
        </row>
        <row r="138">
          <cell r="Q138" t="str">
            <v>yes</v>
          </cell>
          <cell r="R138" t="str">
            <v>all</v>
          </cell>
          <cell r="S138" t="str">
            <v>R</v>
          </cell>
          <cell r="T138" t="str">
            <v>R (BLY-HQ3)</v>
          </cell>
        </row>
        <row r="138">
          <cell r="V138">
            <v>61</v>
          </cell>
          <cell r="W138">
            <v>0</v>
          </cell>
          <cell r="X138">
            <v>332.58</v>
          </cell>
          <cell r="Y138">
            <v>334.98</v>
          </cell>
        </row>
        <row r="138">
          <cell r="AA138" t="str">
            <v>IBCR0501ECV5Q01</v>
          </cell>
        </row>
        <row r="138">
          <cell r="AC138">
            <v>3</v>
          </cell>
          <cell r="AD138" t="str">
            <v>BLY HQ3</v>
          </cell>
          <cell r="AE138" t="str">
            <v>Water-based mud (WBM)</v>
          </cell>
          <cell r="AF138" t="str">
            <v>PureBore by Clear Solutions</v>
          </cell>
        </row>
        <row r="139">
          <cell r="A139">
            <v>138</v>
          </cell>
          <cell r="B139">
            <v>501</v>
          </cell>
          <cell r="C139" t="str">
            <v>M0111</v>
          </cell>
          <cell r="D139" t="str">
            <v>B</v>
          </cell>
          <cell r="E139" t="str">
            <v>501_M0111_B_138R</v>
          </cell>
          <cell r="F139">
            <v>45811.6458333333</v>
          </cell>
          <cell r="G139" t="str">
            <v>GEPR</v>
          </cell>
          <cell r="H139">
            <v>334.98</v>
          </cell>
          <cell r="I139">
            <v>1.35</v>
          </cell>
          <cell r="J139">
            <v>336.33</v>
          </cell>
          <cell r="K139">
            <v>1</v>
          </cell>
          <cell r="L139">
            <v>1.39</v>
          </cell>
          <cell r="M139">
            <v>102.96</v>
          </cell>
        </row>
        <row r="139">
          <cell r="Q139" t="str">
            <v>yes</v>
          </cell>
          <cell r="R139" t="str">
            <v>all</v>
          </cell>
          <cell r="S139" t="str">
            <v>R</v>
          </cell>
          <cell r="T139" t="str">
            <v>R (BLY-HQ3)</v>
          </cell>
        </row>
        <row r="139">
          <cell r="V139">
            <v>61</v>
          </cell>
          <cell r="W139">
            <v>0</v>
          </cell>
          <cell r="X139">
            <v>334.98</v>
          </cell>
          <cell r="Y139">
            <v>336.33</v>
          </cell>
        </row>
        <row r="139">
          <cell r="AA139" t="str">
            <v>IBCR0501ECW5Q01</v>
          </cell>
        </row>
        <row r="139">
          <cell r="AC139">
            <v>3</v>
          </cell>
          <cell r="AD139" t="str">
            <v>BLY HQ3</v>
          </cell>
          <cell r="AE139" t="str">
            <v>Water-based mud (WBM)</v>
          </cell>
          <cell r="AF139" t="str">
            <v>PureBore by Clear Solutions</v>
          </cell>
        </row>
        <row r="140">
          <cell r="A140">
            <v>139</v>
          </cell>
          <cell r="B140">
            <v>501</v>
          </cell>
          <cell r="C140" t="str">
            <v>M0111</v>
          </cell>
          <cell r="D140" t="str">
            <v>B</v>
          </cell>
          <cell r="E140" t="str">
            <v>501_M0111_B_139R</v>
          </cell>
          <cell r="F140">
            <v>45811.6909722222</v>
          </cell>
          <cell r="G140" t="str">
            <v>LONGE</v>
          </cell>
          <cell r="H140">
            <v>336.33</v>
          </cell>
          <cell r="I140">
            <v>1.7</v>
          </cell>
          <cell r="J140">
            <v>338.03</v>
          </cell>
          <cell r="K140">
            <v>1</v>
          </cell>
          <cell r="L140">
            <v>0.91</v>
          </cell>
          <cell r="M140">
            <v>53.53</v>
          </cell>
        </row>
        <row r="140">
          <cell r="Q140" t="str">
            <v>yes</v>
          </cell>
          <cell r="R140" t="str">
            <v>all</v>
          </cell>
          <cell r="S140" t="str">
            <v>R</v>
          </cell>
          <cell r="T140" t="str">
            <v>R (BLY-HQ3)</v>
          </cell>
        </row>
        <row r="140">
          <cell r="V140">
            <v>61</v>
          </cell>
          <cell r="W140">
            <v>0</v>
          </cell>
          <cell r="X140">
            <v>336.33</v>
          </cell>
          <cell r="Y140">
            <v>338.03</v>
          </cell>
        </row>
        <row r="140">
          <cell r="AA140" t="str">
            <v>IBCR0501ECX5Q01</v>
          </cell>
        </row>
        <row r="140">
          <cell r="AC140">
            <v>3</v>
          </cell>
          <cell r="AD140" t="str">
            <v>BLY HQ3</v>
          </cell>
          <cell r="AE140" t="str">
            <v>Water-based mud (WBM)</v>
          </cell>
          <cell r="AF140" t="str">
            <v>PureBore by Clear Solutions</v>
          </cell>
        </row>
        <row r="141">
          <cell r="A141">
            <v>140</v>
          </cell>
          <cell r="B141">
            <v>501</v>
          </cell>
          <cell r="C141" t="str">
            <v>M0111</v>
          </cell>
          <cell r="D141" t="str">
            <v>B</v>
          </cell>
          <cell r="E141" t="str">
            <v>501_M0111_B_140R</v>
          </cell>
          <cell r="F141">
            <v>45811.7291666667</v>
          </cell>
          <cell r="G141" t="str">
            <v>WINK</v>
          </cell>
          <cell r="H141">
            <v>338.03</v>
          </cell>
          <cell r="I141">
            <v>1.65</v>
          </cell>
          <cell r="J141">
            <v>339.68</v>
          </cell>
          <cell r="K141">
            <v>1</v>
          </cell>
          <cell r="L141">
            <v>0.62</v>
          </cell>
          <cell r="M141">
            <v>37.58</v>
          </cell>
        </row>
        <row r="141">
          <cell r="Q141" t="str">
            <v>yes</v>
          </cell>
          <cell r="R141" t="str">
            <v>all</v>
          </cell>
          <cell r="S141" t="str">
            <v>R</v>
          </cell>
          <cell r="T141" t="str">
            <v>R (BLY-HQ3)</v>
          </cell>
        </row>
        <row r="141">
          <cell r="V141">
            <v>61</v>
          </cell>
          <cell r="W141">
            <v>0</v>
          </cell>
          <cell r="X141">
            <v>338.03</v>
          </cell>
          <cell r="Y141">
            <v>339.68</v>
          </cell>
        </row>
        <row r="141">
          <cell r="AA141" t="str">
            <v>IBCR0501ECY5Q01</v>
          </cell>
        </row>
        <row r="141">
          <cell r="AC141">
            <v>3</v>
          </cell>
          <cell r="AD141" t="str">
            <v>BLY HQ3</v>
          </cell>
          <cell r="AE141" t="str">
            <v>Water-based mud (WBM)</v>
          </cell>
          <cell r="AF141" t="str">
            <v>PureBore by Clear Solutions</v>
          </cell>
        </row>
        <row r="142">
          <cell r="A142">
            <v>141</v>
          </cell>
          <cell r="B142">
            <v>501</v>
          </cell>
          <cell r="C142" t="str">
            <v>M0111</v>
          </cell>
          <cell r="D142" t="str">
            <v>B</v>
          </cell>
          <cell r="E142" t="str">
            <v>501_M0111_B_141R</v>
          </cell>
          <cell r="F142">
            <v>45811.7534722222</v>
          </cell>
          <cell r="G142" t="str">
            <v>WINK</v>
          </cell>
          <cell r="H142">
            <v>339.68</v>
          </cell>
          <cell r="I142">
            <v>1.7</v>
          </cell>
          <cell r="J142">
            <v>341.38</v>
          </cell>
          <cell r="K142">
            <v>1</v>
          </cell>
          <cell r="L142">
            <v>0.13</v>
          </cell>
          <cell r="M142">
            <v>7.65</v>
          </cell>
        </row>
        <row r="142">
          <cell r="Q142" t="str">
            <v>yes</v>
          </cell>
          <cell r="R142" t="str">
            <v>all</v>
          </cell>
          <cell r="S142" t="str">
            <v>R</v>
          </cell>
          <cell r="T142" t="str">
            <v>R (BLY-HQ3)</v>
          </cell>
        </row>
        <row r="142">
          <cell r="V142">
            <v>61</v>
          </cell>
          <cell r="W142">
            <v>0</v>
          </cell>
          <cell r="X142">
            <v>339.68</v>
          </cell>
          <cell r="Y142">
            <v>341.38</v>
          </cell>
        </row>
        <row r="142">
          <cell r="AA142" t="str">
            <v>IBCR0501ECZ5Q01</v>
          </cell>
        </row>
        <row r="142">
          <cell r="AC142">
            <v>3</v>
          </cell>
          <cell r="AD142" t="str">
            <v>BLY HQ3</v>
          </cell>
          <cell r="AE142" t="str">
            <v>Water-based mud (WBM)</v>
          </cell>
          <cell r="AF142" t="str">
            <v>PureBore by Clear Solutions</v>
          </cell>
        </row>
        <row r="143">
          <cell r="A143">
            <v>142</v>
          </cell>
          <cell r="B143">
            <v>501</v>
          </cell>
          <cell r="C143" t="str">
            <v>M0111</v>
          </cell>
          <cell r="D143" t="str">
            <v>B</v>
          </cell>
          <cell r="E143" t="str">
            <v>501_M0111_B_142R</v>
          </cell>
          <cell r="F143">
            <v>45811.78125</v>
          </cell>
          <cell r="G143" t="str">
            <v>WINK</v>
          </cell>
          <cell r="H143">
            <v>341.38</v>
          </cell>
          <cell r="I143">
            <v>1.35</v>
          </cell>
          <cell r="J143">
            <v>342.73</v>
          </cell>
          <cell r="K143">
            <v>0</v>
          </cell>
          <cell r="L143">
            <v>0</v>
          </cell>
          <cell r="M143">
            <v>0</v>
          </cell>
        </row>
        <row r="143">
          <cell r="P143" t="str">
            <v>no recovery</v>
          </cell>
          <cell r="Q143" t="str">
            <v>no</v>
          </cell>
          <cell r="R143" t="str">
            <v>none</v>
          </cell>
          <cell r="S143" t="str">
            <v>R</v>
          </cell>
          <cell r="T143" t="str">
            <v>R (BLY-HQ3)</v>
          </cell>
        </row>
        <row r="143">
          <cell r="V143">
            <v>61</v>
          </cell>
          <cell r="W143">
            <v>0</v>
          </cell>
          <cell r="X143">
            <v>341.38</v>
          </cell>
          <cell r="Y143">
            <v>342.73</v>
          </cell>
        </row>
        <row r="143">
          <cell r="AA143" t="str">
            <v>IBCR0501EC06Q01</v>
          </cell>
        </row>
        <row r="143">
          <cell r="AC143">
            <v>3</v>
          </cell>
          <cell r="AD143" t="str">
            <v>BLY HQ3</v>
          </cell>
          <cell r="AE143" t="str">
            <v>Water-based mud (WBM)</v>
          </cell>
          <cell r="AF143" t="str">
            <v>PureBore by Clear Solutions</v>
          </cell>
        </row>
        <row r="144">
          <cell r="A144">
            <v>143</v>
          </cell>
          <cell r="B144">
            <v>501</v>
          </cell>
          <cell r="C144" t="str">
            <v>M0111</v>
          </cell>
          <cell r="D144" t="str">
            <v>B</v>
          </cell>
          <cell r="E144" t="str">
            <v>501_M0111_B_143R</v>
          </cell>
          <cell r="F144">
            <v>45811.8020833333</v>
          </cell>
          <cell r="G144" t="str">
            <v>KUHN</v>
          </cell>
          <cell r="H144">
            <v>342.73</v>
          </cell>
          <cell r="I144">
            <v>1.7</v>
          </cell>
          <cell r="J144">
            <v>344.43</v>
          </cell>
          <cell r="K144">
            <v>0</v>
          </cell>
          <cell r="L144">
            <v>0</v>
          </cell>
          <cell r="M144">
            <v>0</v>
          </cell>
        </row>
        <row r="144">
          <cell r="P144" t="str">
            <v>no recovery</v>
          </cell>
          <cell r="Q144" t="str">
            <v>no</v>
          </cell>
          <cell r="R144" t="str">
            <v>none</v>
          </cell>
          <cell r="S144" t="str">
            <v>R</v>
          </cell>
          <cell r="T144" t="str">
            <v>R (BLY-HQ3)</v>
          </cell>
        </row>
        <row r="144">
          <cell r="V144">
            <v>61</v>
          </cell>
          <cell r="W144">
            <v>0</v>
          </cell>
          <cell r="X144">
            <v>342.73</v>
          </cell>
          <cell r="Y144">
            <v>344.43</v>
          </cell>
        </row>
        <row r="144">
          <cell r="AA144" t="str">
            <v>IBCR0501EC16Q01</v>
          </cell>
        </row>
        <row r="144">
          <cell r="AC144">
            <v>3</v>
          </cell>
          <cell r="AD144" t="str">
            <v>BLY HQ3</v>
          </cell>
          <cell r="AE144" t="str">
            <v>Water-based mud (WBM)</v>
          </cell>
          <cell r="AF144" t="str">
            <v>PureBore by Clear Solutions</v>
          </cell>
        </row>
        <row r="145">
          <cell r="A145">
            <v>144</v>
          </cell>
          <cell r="B145">
            <v>501</v>
          </cell>
          <cell r="C145" t="str">
            <v>M0111</v>
          </cell>
          <cell r="D145" t="str">
            <v>B</v>
          </cell>
          <cell r="E145" t="str">
            <v>501_M0111_B_144R</v>
          </cell>
          <cell r="F145">
            <v>45811.8229166667</v>
          </cell>
          <cell r="G145" t="str">
            <v>WINK</v>
          </cell>
          <cell r="H145">
            <v>344.43</v>
          </cell>
          <cell r="I145">
            <v>0.55</v>
          </cell>
          <cell r="J145">
            <v>344.98</v>
          </cell>
          <cell r="K145">
            <v>1</v>
          </cell>
          <cell r="L145">
            <v>0.46</v>
          </cell>
          <cell r="M145">
            <v>83.64</v>
          </cell>
        </row>
        <row r="145">
          <cell r="Q145" t="str">
            <v>yes</v>
          </cell>
          <cell r="R145" t="str">
            <v>all</v>
          </cell>
          <cell r="S145" t="str">
            <v>R</v>
          </cell>
          <cell r="T145" t="str">
            <v>R (BLY-HQ3)</v>
          </cell>
        </row>
        <row r="145">
          <cell r="V145">
            <v>61</v>
          </cell>
          <cell r="W145">
            <v>0</v>
          </cell>
          <cell r="X145">
            <v>344.43</v>
          </cell>
          <cell r="Y145">
            <v>344.98</v>
          </cell>
        </row>
        <row r="145">
          <cell r="AA145" t="str">
            <v>IBCR0501EC26Q01</v>
          </cell>
        </row>
        <row r="145">
          <cell r="AC145">
            <v>3</v>
          </cell>
          <cell r="AD145" t="str">
            <v>BLY HQ3</v>
          </cell>
          <cell r="AE145" t="str">
            <v>Water-based mud (WBM)</v>
          </cell>
          <cell r="AF145" t="str">
            <v>PureBore by Clear Solutions</v>
          </cell>
        </row>
        <row r="146">
          <cell r="A146">
            <v>145</v>
          </cell>
          <cell r="B146">
            <v>501</v>
          </cell>
          <cell r="C146" t="str">
            <v>M0111</v>
          </cell>
          <cell r="D146" t="str">
            <v>B</v>
          </cell>
          <cell r="E146" t="str">
            <v>501_M0111_B_145R</v>
          </cell>
          <cell r="F146">
            <v>45811.8402777778</v>
          </cell>
          <cell r="G146" t="str">
            <v>KUHN</v>
          </cell>
          <cell r="H146">
            <v>344.98</v>
          </cell>
          <cell r="I146">
            <v>0.8</v>
          </cell>
          <cell r="J146">
            <v>345.78</v>
          </cell>
          <cell r="K146">
            <v>0</v>
          </cell>
          <cell r="L146">
            <v>0</v>
          </cell>
          <cell r="M146">
            <v>0</v>
          </cell>
        </row>
        <row r="146">
          <cell r="P146" t="str">
            <v>no recovery</v>
          </cell>
          <cell r="Q146" t="str">
            <v>no</v>
          </cell>
          <cell r="R146" t="str">
            <v>none</v>
          </cell>
          <cell r="S146" t="str">
            <v>R</v>
          </cell>
          <cell r="T146" t="str">
            <v>R (BLY-HQ3)</v>
          </cell>
        </row>
        <row r="146">
          <cell r="V146">
            <v>61</v>
          </cell>
          <cell r="W146">
            <v>0</v>
          </cell>
          <cell r="X146">
            <v>344.98</v>
          </cell>
          <cell r="Y146">
            <v>345.78</v>
          </cell>
        </row>
        <row r="146">
          <cell r="AA146" t="str">
            <v>IBCR0501EC36Q01</v>
          </cell>
        </row>
        <row r="146">
          <cell r="AC146">
            <v>3</v>
          </cell>
          <cell r="AD146" t="str">
            <v>BLY HQ3</v>
          </cell>
          <cell r="AE146" t="str">
            <v>Water-based mud (WBM)</v>
          </cell>
          <cell r="AF146" t="str">
            <v>PureBore by Clear Solutions</v>
          </cell>
        </row>
        <row r="147">
          <cell r="A147">
            <v>146</v>
          </cell>
          <cell r="B147">
            <v>501</v>
          </cell>
          <cell r="C147" t="str">
            <v>M0111</v>
          </cell>
          <cell r="D147" t="str">
            <v>B</v>
          </cell>
          <cell r="E147" t="str">
            <v>501_M0111_B_146R</v>
          </cell>
          <cell r="F147">
            <v>45811.8576388889</v>
          </cell>
          <cell r="G147" t="str">
            <v>WINK</v>
          </cell>
          <cell r="H147">
            <v>345.78</v>
          </cell>
          <cell r="I147">
            <v>0.35</v>
          </cell>
          <cell r="J147">
            <v>346.13</v>
          </cell>
          <cell r="K147">
            <v>1</v>
          </cell>
          <cell r="L147">
            <v>0.04</v>
          </cell>
          <cell r="M147">
            <v>11.43</v>
          </cell>
        </row>
        <row r="147">
          <cell r="P147" t="str">
            <v>potential mechanical/therml alteration</v>
          </cell>
          <cell r="Q147" t="str">
            <v>yes</v>
          </cell>
          <cell r="R147" t="str">
            <v>none</v>
          </cell>
          <cell r="S147" t="str">
            <v>R</v>
          </cell>
          <cell r="T147" t="str">
            <v>R (BLY-HQ3)</v>
          </cell>
        </row>
        <row r="147">
          <cell r="V147">
            <v>61</v>
          </cell>
          <cell r="W147">
            <v>0</v>
          </cell>
          <cell r="X147">
            <v>345.78</v>
          </cell>
          <cell r="Y147">
            <v>346.13</v>
          </cell>
        </row>
        <row r="147">
          <cell r="AA147" t="str">
            <v>IBCR0501EC46Q01</v>
          </cell>
        </row>
        <row r="147">
          <cell r="AC147">
            <v>3</v>
          </cell>
          <cell r="AD147" t="str">
            <v>BLY HQ3</v>
          </cell>
          <cell r="AE147" t="str">
            <v>Water-based mud (WBM)</v>
          </cell>
          <cell r="AF147" t="str">
            <v>PureBore by Clear Solutions</v>
          </cell>
        </row>
        <row r="148">
          <cell r="A148">
            <v>147</v>
          </cell>
          <cell r="B148">
            <v>501</v>
          </cell>
          <cell r="C148" t="str">
            <v>M0111</v>
          </cell>
          <cell r="D148" t="str">
            <v>B</v>
          </cell>
          <cell r="E148" t="str">
            <v>501_M0111_B_147R</v>
          </cell>
          <cell r="F148">
            <v>45811.8888888889</v>
          </cell>
          <cell r="G148" t="str">
            <v>WINK</v>
          </cell>
          <cell r="H148">
            <v>346.13</v>
          </cell>
          <cell r="I148">
            <v>1.35</v>
          </cell>
          <cell r="J148">
            <v>347.48</v>
          </cell>
          <cell r="K148">
            <v>1</v>
          </cell>
          <cell r="L148">
            <v>0.44</v>
          </cell>
          <cell r="M148">
            <v>32.59</v>
          </cell>
        </row>
        <row r="148">
          <cell r="P148" t="str">
            <v>CC stuck in liner</v>
          </cell>
          <cell r="Q148" t="str">
            <v>yes</v>
          </cell>
          <cell r="R148" t="str">
            <v>all</v>
          </cell>
          <cell r="S148" t="str">
            <v>R</v>
          </cell>
          <cell r="T148" t="str">
            <v>R (BLY-HQ3)</v>
          </cell>
        </row>
        <row r="148">
          <cell r="V148">
            <v>61</v>
          </cell>
          <cell r="W148">
            <v>0</v>
          </cell>
          <cell r="X148">
            <v>346.13</v>
          </cell>
          <cell r="Y148">
            <v>347.48</v>
          </cell>
        </row>
        <row r="148">
          <cell r="AA148" t="str">
            <v>IBCR0501EC56Q01</v>
          </cell>
        </row>
        <row r="148">
          <cell r="AC148">
            <v>3</v>
          </cell>
          <cell r="AD148" t="str">
            <v>BLY HQ3</v>
          </cell>
          <cell r="AE148" t="str">
            <v>Water-based mud (WBM)</v>
          </cell>
          <cell r="AF148" t="str">
            <v>PureBore by Clear Solutions</v>
          </cell>
        </row>
        <row r="149">
          <cell r="A149">
            <v>148</v>
          </cell>
          <cell r="B149">
            <v>501</v>
          </cell>
          <cell r="C149" t="str">
            <v>M0111</v>
          </cell>
          <cell r="D149" t="str">
            <v>B</v>
          </cell>
          <cell r="E149" t="str">
            <v>501_M0111_B_148R</v>
          </cell>
          <cell r="F149">
            <v>45811.9513888889</v>
          </cell>
          <cell r="G149" t="str">
            <v>KUHN</v>
          </cell>
          <cell r="H149">
            <v>347.48</v>
          </cell>
          <cell r="I149">
            <v>0.55</v>
          </cell>
          <cell r="J149">
            <v>348.03</v>
          </cell>
          <cell r="K149">
            <v>0</v>
          </cell>
          <cell r="L149">
            <v>0</v>
          </cell>
          <cell r="M149">
            <v>0</v>
          </cell>
        </row>
        <row r="149">
          <cell r="P149" t="str">
            <v>no recovery</v>
          </cell>
          <cell r="Q149" t="str">
            <v>no</v>
          </cell>
          <cell r="R149" t="str">
            <v>none</v>
          </cell>
          <cell r="S149" t="str">
            <v>R</v>
          </cell>
          <cell r="T149" t="str">
            <v>R (BLY-HQ3)</v>
          </cell>
        </row>
        <row r="149">
          <cell r="V149">
            <v>61</v>
          </cell>
          <cell r="W149">
            <v>0</v>
          </cell>
          <cell r="X149">
            <v>347.48</v>
          </cell>
          <cell r="Y149">
            <v>348.03</v>
          </cell>
        </row>
        <row r="149">
          <cell r="AA149" t="str">
            <v>IBCR0501EC66Q01</v>
          </cell>
        </row>
        <row r="149">
          <cell r="AC149">
            <v>3</v>
          </cell>
          <cell r="AD149" t="str">
            <v>BLY HQ3</v>
          </cell>
          <cell r="AE149" t="str">
            <v>Water-based mud (WBM)</v>
          </cell>
          <cell r="AF149" t="str">
            <v>PureBore by Clear Solutions</v>
          </cell>
        </row>
        <row r="150">
          <cell r="A150">
            <v>149</v>
          </cell>
          <cell r="B150">
            <v>501</v>
          </cell>
          <cell r="C150" t="str">
            <v>M0111</v>
          </cell>
          <cell r="D150" t="str">
            <v>B</v>
          </cell>
          <cell r="E150" t="str">
            <v>501_M0111_B_149R</v>
          </cell>
          <cell r="F150">
            <v>45811.9756944444</v>
          </cell>
          <cell r="G150" t="str">
            <v>KUHN</v>
          </cell>
          <cell r="H150">
            <v>348.03</v>
          </cell>
          <cell r="I150">
            <v>1</v>
          </cell>
          <cell r="J150">
            <v>349.03</v>
          </cell>
          <cell r="K150">
            <v>1</v>
          </cell>
          <cell r="L150">
            <v>1.12</v>
          </cell>
          <cell r="M150">
            <v>112</v>
          </cell>
        </row>
        <row r="150">
          <cell r="Q150" t="str">
            <v>yes</v>
          </cell>
          <cell r="R150" t="str">
            <v>all</v>
          </cell>
          <cell r="S150" t="str">
            <v>R</v>
          </cell>
          <cell r="T150" t="str">
            <v>R (BLY-HQ3)</v>
          </cell>
        </row>
        <row r="150">
          <cell r="V150">
            <v>61</v>
          </cell>
          <cell r="W150">
            <v>0</v>
          </cell>
          <cell r="X150">
            <v>348.03</v>
          </cell>
          <cell r="Y150">
            <v>349.03</v>
          </cell>
        </row>
        <row r="150">
          <cell r="AA150" t="str">
            <v>IBCR0501EC76Q01</v>
          </cell>
        </row>
        <row r="150">
          <cell r="AC150">
            <v>3</v>
          </cell>
          <cell r="AD150" t="str">
            <v>BLY HQ3</v>
          </cell>
          <cell r="AE150" t="str">
            <v>Water-based mud (WBM)</v>
          </cell>
          <cell r="AF150" t="str">
            <v>PureBore by Clear Solutions</v>
          </cell>
        </row>
        <row r="151">
          <cell r="A151">
            <v>150</v>
          </cell>
          <cell r="B151">
            <v>501</v>
          </cell>
          <cell r="C151" t="str">
            <v>M0111</v>
          </cell>
          <cell r="D151" t="str">
            <v>B</v>
          </cell>
          <cell r="E151" t="str">
            <v>501_M0111_B_150R</v>
          </cell>
          <cell r="F151">
            <v>45811.9965277778</v>
          </cell>
          <cell r="G151" t="str">
            <v>KUHN</v>
          </cell>
          <cell r="H151">
            <v>349.03</v>
          </cell>
          <cell r="I151">
            <v>1</v>
          </cell>
          <cell r="J151">
            <v>350.03</v>
          </cell>
          <cell r="K151">
            <v>1</v>
          </cell>
          <cell r="L151">
            <v>0.1</v>
          </cell>
          <cell r="M151">
            <v>10</v>
          </cell>
        </row>
        <row r="151">
          <cell r="Q151" t="str">
            <v>yes</v>
          </cell>
          <cell r="R151" t="str">
            <v>all</v>
          </cell>
          <cell r="S151" t="str">
            <v>R</v>
          </cell>
          <cell r="T151" t="str">
            <v>R (BLY-HQ3)</v>
          </cell>
        </row>
        <row r="151">
          <cell r="V151">
            <v>61</v>
          </cell>
          <cell r="W151">
            <v>0</v>
          </cell>
          <cell r="X151">
            <v>349.03</v>
          </cell>
          <cell r="Y151">
            <v>350.03</v>
          </cell>
        </row>
        <row r="151">
          <cell r="AA151" t="str">
            <v>IBCR0501EC86Q01</v>
          </cell>
        </row>
        <row r="151">
          <cell r="AC151">
            <v>3</v>
          </cell>
          <cell r="AD151" t="str">
            <v>BLY HQ3</v>
          </cell>
          <cell r="AE151" t="str">
            <v>Water-based mud (WBM)</v>
          </cell>
          <cell r="AF151" t="str">
            <v>PureBore by Clear Solutions</v>
          </cell>
        </row>
        <row r="152">
          <cell r="A152">
            <v>151</v>
          </cell>
          <cell r="B152">
            <v>501</v>
          </cell>
          <cell r="C152" t="str">
            <v>M0111</v>
          </cell>
          <cell r="D152" t="str">
            <v>B</v>
          </cell>
          <cell r="E152" t="str">
            <v>501_M0111_B_151R</v>
          </cell>
          <cell r="F152">
            <v>45812.0173611111</v>
          </cell>
          <cell r="G152" t="str">
            <v>KUHN</v>
          </cell>
          <cell r="H152">
            <v>350.03</v>
          </cell>
          <cell r="I152">
            <v>1.25</v>
          </cell>
          <cell r="J152">
            <v>351.28</v>
          </cell>
          <cell r="K152">
            <v>1</v>
          </cell>
          <cell r="L152">
            <v>0.64</v>
          </cell>
          <cell r="M152">
            <v>51.2</v>
          </cell>
        </row>
        <row r="152">
          <cell r="P152" t="str">
            <v>1 SQC2 61-64</v>
          </cell>
        </row>
        <row r="152">
          <cell r="X152">
            <v>350.03</v>
          </cell>
          <cell r="Y152">
            <v>351.28</v>
          </cell>
        </row>
        <row r="153">
          <cell r="A153">
            <v>152</v>
          </cell>
          <cell r="B153">
            <v>501</v>
          </cell>
          <cell r="C153" t="str">
            <v>M0111</v>
          </cell>
          <cell r="D153" t="str">
            <v>B</v>
          </cell>
          <cell r="E153" t="str">
            <v>501_M0111_B_152R</v>
          </cell>
          <cell r="F153">
            <v>45812.0381944444</v>
          </cell>
          <cell r="G153" t="str">
            <v>KUHN</v>
          </cell>
          <cell r="H153">
            <v>351.28</v>
          </cell>
          <cell r="I153">
            <v>0.8</v>
          </cell>
          <cell r="J153">
            <v>352.08</v>
          </cell>
          <cell r="K153">
            <v>1</v>
          </cell>
          <cell r="L153">
            <v>0.34</v>
          </cell>
          <cell r="M153">
            <v>42.5</v>
          </cell>
        </row>
        <row r="153">
          <cell r="P153" t="str">
            <v>1 SQC2 61-64</v>
          </cell>
        </row>
        <row r="153">
          <cell r="X153">
            <v>351.28</v>
          </cell>
          <cell r="Y153">
            <v>352.08</v>
          </cell>
        </row>
        <row r="154">
          <cell r="A154">
            <v>153</v>
          </cell>
          <cell r="B154">
            <v>501</v>
          </cell>
          <cell r="C154" t="str">
            <v>M0111</v>
          </cell>
          <cell r="D154" t="str">
            <v>B</v>
          </cell>
          <cell r="E154" t="str">
            <v>501_M0111_B_153R</v>
          </cell>
          <cell r="F154">
            <v>45812.2326388889</v>
          </cell>
          <cell r="G154" t="str">
            <v>GEPR</v>
          </cell>
          <cell r="H154">
            <v>352.08</v>
          </cell>
          <cell r="I154">
            <v>1.5</v>
          </cell>
          <cell r="J154">
            <v>353.58</v>
          </cell>
          <cell r="K154">
            <v>0</v>
          </cell>
          <cell r="L154">
            <v>0</v>
          </cell>
          <cell r="M154">
            <v>0</v>
          </cell>
        </row>
        <row r="154">
          <cell r="P154" t="str">
            <v>no recovery</v>
          </cell>
          <cell r="Q154" t="str">
            <v>no</v>
          </cell>
          <cell r="R154" t="str">
            <v>none</v>
          </cell>
          <cell r="S154" t="str">
            <v>R</v>
          </cell>
          <cell r="T154" t="str">
            <v>R (BLY-HQ3)</v>
          </cell>
        </row>
        <row r="154">
          <cell r="V154">
            <v>61</v>
          </cell>
          <cell r="W154">
            <v>0</v>
          </cell>
          <cell r="X154">
            <v>352.08</v>
          </cell>
          <cell r="Y154">
            <v>353.58</v>
          </cell>
        </row>
        <row r="154">
          <cell r="AA154" t="str">
            <v>IBCR0501ECB6Q01</v>
          </cell>
        </row>
        <row r="154">
          <cell r="AC154">
            <v>3</v>
          </cell>
          <cell r="AD154" t="str">
            <v>BLY HQ3</v>
          </cell>
          <cell r="AE154" t="str">
            <v>Water-based mud (WBM)</v>
          </cell>
          <cell r="AF154" t="str">
            <v>PureBore by Clear Solutions</v>
          </cell>
        </row>
        <row r="155">
          <cell r="A155">
            <v>154</v>
          </cell>
          <cell r="B155">
            <v>501</v>
          </cell>
          <cell r="C155" t="str">
            <v>M0111</v>
          </cell>
          <cell r="D155" t="str">
            <v>B</v>
          </cell>
          <cell r="E155" t="str">
            <v>501_M0111_B_154R</v>
          </cell>
          <cell r="F155">
            <v>45812.2604166667</v>
          </cell>
          <cell r="G155" t="str">
            <v>GEPR</v>
          </cell>
          <cell r="H155">
            <v>353.58</v>
          </cell>
          <cell r="I155">
            <v>1.97</v>
          </cell>
          <cell r="J155">
            <v>355.55</v>
          </cell>
          <cell r="K155">
            <v>1</v>
          </cell>
          <cell r="L155">
            <v>0.23</v>
          </cell>
          <cell r="M155">
            <v>11.68</v>
          </cell>
        </row>
        <row r="155">
          <cell r="Q155" t="str">
            <v>yes</v>
          </cell>
          <cell r="R155" t="str">
            <v>all</v>
          </cell>
          <cell r="S155" t="str">
            <v>R</v>
          </cell>
          <cell r="T155" t="str">
            <v>R (BLY-HQ3)</v>
          </cell>
        </row>
        <row r="155">
          <cell r="V155">
            <v>61</v>
          </cell>
          <cell r="W155">
            <v>0</v>
          </cell>
          <cell r="X155">
            <v>353.58</v>
          </cell>
          <cell r="Y155">
            <v>355.55</v>
          </cell>
        </row>
        <row r="155">
          <cell r="AA155" t="str">
            <v>IBCR0501ECC6Q01</v>
          </cell>
        </row>
        <row r="155">
          <cell r="AC155">
            <v>3</v>
          </cell>
          <cell r="AD155" t="str">
            <v>BLY HQ3</v>
          </cell>
          <cell r="AE155" t="str">
            <v>Water-based mud (WBM)</v>
          </cell>
          <cell r="AF155" t="str">
            <v>PureBore by Clear Solutions</v>
          </cell>
        </row>
        <row r="156">
          <cell r="A156">
            <v>155</v>
          </cell>
          <cell r="B156">
            <v>501</v>
          </cell>
          <cell r="C156" t="str">
            <v>M0111</v>
          </cell>
          <cell r="D156" t="str">
            <v>B</v>
          </cell>
          <cell r="E156" t="str">
            <v>501_M0111_B_155R</v>
          </cell>
          <cell r="F156">
            <v>45812.2881944444</v>
          </cell>
          <cell r="G156" t="str">
            <v>GEPR</v>
          </cell>
          <cell r="H156">
            <v>355.55</v>
          </cell>
          <cell r="I156">
            <v>3.05</v>
          </cell>
          <cell r="J156">
            <v>358.6</v>
          </cell>
          <cell r="K156">
            <v>1</v>
          </cell>
          <cell r="L156">
            <v>0.97</v>
          </cell>
          <cell r="M156">
            <v>31.8</v>
          </cell>
        </row>
        <row r="156">
          <cell r="P156" t="str">
            <v>grey-red transition</v>
          </cell>
          <cell r="Q156" t="str">
            <v>yes</v>
          </cell>
          <cell r="R156" t="str">
            <v>all</v>
          </cell>
          <cell r="S156" t="str">
            <v>R</v>
          </cell>
          <cell r="T156" t="str">
            <v>R (BLY-HQ3)</v>
          </cell>
        </row>
        <row r="156">
          <cell r="V156">
            <v>61</v>
          </cell>
          <cell r="W156">
            <v>0</v>
          </cell>
          <cell r="X156">
            <v>355.55</v>
          </cell>
          <cell r="Y156">
            <v>358.6</v>
          </cell>
        </row>
        <row r="156">
          <cell r="AA156" t="str">
            <v>IBCR0501ECD6Q01</v>
          </cell>
        </row>
        <row r="156">
          <cell r="AC156">
            <v>3</v>
          </cell>
          <cell r="AD156" t="str">
            <v>BLY HQ3</v>
          </cell>
          <cell r="AE156" t="str">
            <v>Water-based mud (WBM)</v>
          </cell>
          <cell r="AF156" t="str">
            <v>PureBore by Clear Solutions</v>
          </cell>
        </row>
        <row r="157">
          <cell r="A157">
            <v>156</v>
          </cell>
          <cell r="B157">
            <v>501</v>
          </cell>
          <cell r="C157" t="str">
            <v>M0111</v>
          </cell>
          <cell r="D157" t="str">
            <v>B</v>
          </cell>
          <cell r="E157" t="str">
            <v>501_M0111_B_156R</v>
          </cell>
          <cell r="F157">
            <v>45812.3159722222</v>
          </cell>
          <cell r="G157" t="str">
            <v>GEPR</v>
          </cell>
          <cell r="H157">
            <v>358.6</v>
          </cell>
          <cell r="I157">
            <v>2.23</v>
          </cell>
          <cell r="J157">
            <v>360.83</v>
          </cell>
          <cell r="K157">
            <v>1</v>
          </cell>
          <cell r="L157">
            <v>0.15</v>
          </cell>
          <cell r="M157">
            <v>6.73</v>
          </cell>
        </row>
        <row r="157">
          <cell r="Q157" t="str">
            <v>yes</v>
          </cell>
          <cell r="R157" t="str">
            <v>all</v>
          </cell>
          <cell r="S157" t="str">
            <v>R</v>
          </cell>
          <cell r="T157" t="str">
            <v>R (BLY-HQ3)</v>
          </cell>
        </row>
        <row r="157">
          <cell r="V157">
            <v>61</v>
          </cell>
          <cell r="W157">
            <v>0</v>
          </cell>
          <cell r="X157">
            <v>358.6</v>
          </cell>
          <cell r="Y157">
            <v>360.83</v>
          </cell>
        </row>
        <row r="157">
          <cell r="AA157" t="str">
            <v>IBCR0501ECE6Q01</v>
          </cell>
        </row>
        <row r="157">
          <cell r="AC157">
            <v>3</v>
          </cell>
          <cell r="AD157" t="str">
            <v>BLY HQ3</v>
          </cell>
          <cell r="AE157" t="str">
            <v>Water-based mud (WBM)</v>
          </cell>
          <cell r="AF157" t="str">
            <v>PureBore by Clear Solutions</v>
          </cell>
        </row>
        <row r="158">
          <cell r="A158">
            <v>157</v>
          </cell>
          <cell r="B158">
            <v>501</v>
          </cell>
          <cell r="C158" t="str">
            <v>M0111</v>
          </cell>
          <cell r="D158" t="str">
            <v>B</v>
          </cell>
          <cell r="E158" t="str">
            <v>501_M0111_B_157R</v>
          </cell>
          <cell r="F158">
            <v>45812.3402777778</v>
          </cell>
          <cell r="G158" t="str">
            <v>GEPR</v>
          </cell>
          <cell r="H158">
            <v>360.83</v>
          </cell>
          <cell r="I158">
            <v>0.9</v>
          </cell>
          <cell r="J158">
            <v>361.73</v>
          </cell>
          <cell r="K158">
            <v>1</v>
          </cell>
          <cell r="L158">
            <v>0.74</v>
          </cell>
          <cell r="M158">
            <v>82.22</v>
          </cell>
        </row>
        <row r="158">
          <cell r="Q158" t="str">
            <v>yes</v>
          </cell>
          <cell r="R158" t="str">
            <v>all</v>
          </cell>
          <cell r="S158" t="str">
            <v>R</v>
          </cell>
          <cell r="T158" t="str">
            <v>R (BLY-HQ3)</v>
          </cell>
        </row>
        <row r="158">
          <cell r="V158">
            <v>61</v>
          </cell>
          <cell r="W158">
            <v>0</v>
          </cell>
          <cell r="X158">
            <v>360.83</v>
          </cell>
          <cell r="Y158">
            <v>361.73</v>
          </cell>
        </row>
        <row r="158">
          <cell r="AA158" t="str">
            <v>IBCR0501ECF6Q01</v>
          </cell>
        </row>
        <row r="158">
          <cell r="AC158">
            <v>3</v>
          </cell>
          <cell r="AD158" t="str">
            <v>BLY HQ3</v>
          </cell>
          <cell r="AE158" t="str">
            <v>Water-based mud (WBM)</v>
          </cell>
          <cell r="AF158" t="str">
            <v>PureBore by Clear Solutions</v>
          </cell>
        </row>
        <row r="159">
          <cell r="A159">
            <v>158</v>
          </cell>
          <cell r="B159">
            <v>501</v>
          </cell>
          <cell r="C159" t="str">
            <v>M0111</v>
          </cell>
          <cell r="D159" t="str">
            <v>B</v>
          </cell>
          <cell r="E159" t="str">
            <v>501_M0111_B_158R</v>
          </cell>
          <cell r="F159">
            <v>45812.3680555556</v>
          </cell>
          <cell r="G159" t="str">
            <v>GEPR</v>
          </cell>
          <cell r="H159">
            <v>361.73</v>
          </cell>
          <cell r="I159">
            <v>3.05</v>
          </cell>
          <cell r="J159">
            <v>364.78</v>
          </cell>
          <cell r="K159">
            <v>2</v>
          </cell>
          <cell r="L159">
            <v>0.99</v>
          </cell>
          <cell r="M159">
            <v>32.46</v>
          </cell>
        </row>
        <row r="159">
          <cell r="Q159" t="str">
            <v>yes</v>
          </cell>
          <cell r="R159" t="str">
            <v>all</v>
          </cell>
          <cell r="S159" t="str">
            <v>R</v>
          </cell>
          <cell r="T159" t="str">
            <v>R (BLY-HQ3)</v>
          </cell>
        </row>
        <row r="159">
          <cell r="V159">
            <v>61</v>
          </cell>
          <cell r="W159">
            <v>0</v>
          </cell>
          <cell r="X159">
            <v>361.73</v>
          </cell>
          <cell r="Y159">
            <v>364.78</v>
          </cell>
        </row>
        <row r="159">
          <cell r="AA159" t="str">
            <v>IBCR0501ECG6Q01</v>
          </cell>
        </row>
        <row r="159">
          <cell r="AC159">
            <v>3</v>
          </cell>
          <cell r="AD159" t="str">
            <v>BLY HQ3</v>
          </cell>
          <cell r="AE159" t="str">
            <v>Water-based mud (WBM)</v>
          </cell>
          <cell r="AF159" t="str">
            <v>PureBore by Clear Solutions</v>
          </cell>
        </row>
        <row r="160">
          <cell r="A160">
            <v>159</v>
          </cell>
          <cell r="B160">
            <v>501</v>
          </cell>
          <cell r="C160" t="str">
            <v>M0111</v>
          </cell>
          <cell r="D160" t="str">
            <v>B</v>
          </cell>
          <cell r="E160" t="str">
            <v>501_M0111_B_159R</v>
          </cell>
          <cell r="F160">
            <v>45812.3854166667</v>
          </cell>
          <cell r="G160" t="str">
            <v>GEPR</v>
          </cell>
          <cell r="H160">
            <v>364.78</v>
          </cell>
          <cell r="I160">
            <v>1.3</v>
          </cell>
          <cell r="J160">
            <v>366.08</v>
          </cell>
          <cell r="K160">
            <v>1</v>
          </cell>
          <cell r="L160">
            <v>0.6</v>
          </cell>
          <cell r="M160">
            <v>46.15</v>
          </cell>
        </row>
        <row r="160">
          <cell r="Q160" t="str">
            <v>yes</v>
          </cell>
          <cell r="R160" t="str">
            <v>all</v>
          </cell>
          <cell r="S160" t="str">
            <v>R</v>
          </cell>
          <cell r="T160" t="str">
            <v>R (BLY-HQ3)</v>
          </cell>
        </row>
        <row r="160">
          <cell r="V160">
            <v>61</v>
          </cell>
          <cell r="W160">
            <v>0</v>
          </cell>
          <cell r="X160">
            <v>364.78</v>
          </cell>
          <cell r="Y160">
            <v>366.08</v>
          </cell>
        </row>
        <row r="160">
          <cell r="AA160" t="str">
            <v>IBCR0501ECH6Q01</v>
          </cell>
        </row>
        <row r="160">
          <cell r="AC160">
            <v>3</v>
          </cell>
          <cell r="AD160" t="str">
            <v>BLY HQ3</v>
          </cell>
          <cell r="AE160" t="str">
            <v>Water-based mud (WBM)</v>
          </cell>
          <cell r="AF160" t="str">
            <v>PureBore by Clear Solutions</v>
          </cell>
        </row>
        <row r="161">
          <cell r="A161">
            <v>160</v>
          </cell>
          <cell r="B161">
            <v>501</v>
          </cell>
          <cell r="C161" t="str">
            <v>M0111</v>
          </cell>
          <cell r="D161" t="str">
            <v>B</v>
          </cell>
          <cell r="E161" t="str">
            <v>501_M0111_B_160R</v>
          </cell>
          <cell r="F161">
            <v>45812.4340277778</v>
          </cell>
          <cell r="G161" t="str">
            <v>GEPR</v>
          </cell>
          <cell r="H161">
            <v>366.08</v>
          </cell>
          <cell r="I161">
            <v>2.75</v>
          </cell>
          <cell r="J161">
            <v>368.83</v>
          </cell>
          <cell r="K161">
            <v>1</v>
          </cell>
          <cell r="L161">
            <v>0.42</v>
          </cell>
          <cell r="M161">
            <v>15.27</v>
          </cell>
        </row>
        <row r="161">
          <cell r="Q161" t="str">
            <v>yes</v>
          </cell>
          <cell r="R161" t="str">
            <v>all</v>
          </cell>
          <cell r="S161" t="str">
            <v>R</v>
          </cell>
          <cell r="T161" t="str">
            <v>R (BLY-HQ3)</v>
          </cell>
        </row>
        <row r="161">
          <cell r="V161">
            <v>61</v>
          </cell>
          <cell r="W161">
            <v>0</v>
          </cell>
          <cell r="X161">
            <v>366.08</v>
          </cell>
          <cell r="Y161">
            <v>368.83</v>
          </cell>
        </row>
        <row r="161">
          <cell r="AA161" t="str">
            <v>IBCR0501ECI6Q01</v>
          </cell>
        </row>
        <row r="161">
          <cell r="AC161">
            <v>3</v>
          </cell>
          <cell r="AD161" t="str">
            <v>BLY HQ3</v>
          </cell>
          <cell r="AE161" t="str">
            <v>Water-based mud (WBM)</v>
          </cell>
          <cell r="AF161" t="str">
            <v>PureBore by Clear Solutions</v>
          </cell>
        </row>
        <row r="162">
          <cell r="A162">
            <v>161</v>
          </cell>
          <cell r="B162">
            <v>501</v>
          </cell>
          <cell r="C162" t="str">
            <v>M0111</v>
          </cell>
          <cell r="D162" t="str">
            <v>B</v>
          </cell>
          <cell r="E162" t="str">
            <v>501_M0111_B_161R</v>
          </cell>
          <cell r="F162">
            <v>45812.4548611111</v>
          </cell>
          <cell r="G162" t="str">
            <v>GEPR</v>
          </cell>
          <cell r="H162">
            <v>368.83</v>
          </cell>
          <cell r="I162">
            <v>2.4</v>
          </cell>
          <cell r="J162">
            <v>371.23</v>
          </cell>
          <cell r="K162">
            <v>1</v>
          </cell>
          <cell r="L162">
            <v>1</v>
          </cell>
          <cell r="M162">
            <v>41.67</v>
          </cell>
        </row>
        <row r="162">
          <cell r="Q162" t="str">
            <v>yes</v>
          </cell>
          <cell r="R162" t="str">
            <v>all</v>
          </cell>
          <cell r="S162" t="str">
            <v>R</v>
          </cell>
          <cell r="T162" t="str">
            <v>R (BLY-HQ3)</v>
          </cell>
        </row>
        <row r="162">
          <cell r="V162">
            <v>61</v>
          </cell>
          <cell r="W162">
            <v>0</v>
          </cell>
          <cell r="X162">
            <v>368.83</v>
          </cell>
          <cell r="Y162">
            <v>371.23</v>
          </cell>
        </row>
        <row r="162">
          <cell r="AA162" t="str">
            <v>IBCR0501ECJ6Q01</v>
          </cell>
        </row>
        <row r="162">
          <cell r="AC162">
            <v>3</v>
          </cell>
          <cell r="AD162" t="str">
            <v>BLY HQ3</v>
          </cell>
          <cell r="AE162" t="str">
            <v>Water-based mud (WBM)</v>
          </cell>
          <cell r="AF162" t="str">
            <v>PureBore by Clear Solutions</v>
          </cell>
        </row>
        <row r="163">
          <cell r="A163">
            <v>162</v>
          </cell>
          <cell r="B163">
            <v>501</v>
          </cell>
          <cell r="C163" t="str">
            <v>M0111</v>
          </cell>
          <cell r="D163" t="str">
            <v>B</v>
          </cell>
          <cell r="E163" t="str">
            <v>501_M0111_B_162R</v>
          </cell>
          <cell r="F163">
            <v>45812.4756944444</v>
          </cell>
          <cell r="G163" t="str">
            <v>GEPR</v>
          </cell>
          <cell r="H163">
            <v>371.23</v>
          </cell>
          <cell r="I163">
            <v>2.7</v>
          </cell>
          <cell r="J163">
            <v>373.93</v>
          </cell>
          <cell r="K163">
            <v>0</v>
          </cell>
          <cell r="L163">
            <v>0</v>
          </cell>
          <cell r="M163">
            <v>0</v>
          </cell>
        </row>
        <row r="163">
          <cell r="P163" t="str">
            <v>no recovery</v>
          </cell>
          <cell r="Q163" t="str">
            <v>no</v>
          </cell>
          <cell r="R163" t="str">
            <v>none</v>
          </cell>
          <cell r="S163" t="str">
            <v>R</v>
          </cell>
          <cell r="T163" t="str">
            <v>R (BLY-HQ3)</v>
          </cell>
        </row>
        <row r="163">
          <cell r="V163">
            <v>61</v>
          </cell>
          <cell r="W163">
            <v>0</v>
          </cell>
          <cell r="X163">
            <v>371.23</v>
          </cell>
          <cell r="Y163">
            <v>373.93</v>
          </cell>
        </row>
        <row r="163">
          <cell r="AA163" t="str">
            <v>IBCR0501ECK6Q01</v>
          </cell>
        </row>
        <row r="163">
          <cell r="AC163">
            <v>3</v>
          </cell>
          <cell r="AD163" t="str">
            <v>BLY HQ3</v>
          </cell>
          <cell r="AE163" t="str">
            <v>Water-based mud (WBM)</v>
          </cell>
          <cell r="AF163" t="str">
            <v>PureBore by Clear Solutions</v>
          </cell>
        </row>
        <row r="164">
          <cell r="A164">
            <v>163</v>
          </cell>
          <cell r="B164">
            <v>501</v>
          </cell>
          <cell r="C164" t="str">
            <v>M0111</v>
          </cell>
          <cell r="D164" t="str">
            <v>B</v>
          </cell>
          <cell r="E164" t="str">
            <v>501_M0111_B_163R</v>
          </cell>
          <cell r="F164">
            <v>45812.5173611111</v>
          </cell>
          <cell r="G164" t="str">
            <v>GEPR</v>
          </cell>
          <cell r="H164">
            <v>373.93</v>
          </cell>
          <cell r="I164">
            <v>1</v>
          </cell>
          <cell r="J164">
            <v>374.93</v>
          </cell>
          <cell r="K164">
            <v>0</v>
          </cell>
          <cell r="L164">
            <v>0</v>
          </cell>
          <cell r="M164">
            <v>0</v>
          </cell>
        </row>
        <row r="164">
          <cell r="P164" t="str">
            <v>no recovery</v>
          </cell>
          <cell r="Q164" t="str">
            <v>no</v>
          </cell>
          <cell r="R164" t="str">
            <v>none</v>
          </cell>
          <cell r="S164" t="str">
            <v>R</v>
          </cell>
          <cell r="T164" t="str">
            <v>R (BLY-HQ3)</v>
          </cell>
        </row>
        <row r="164">
          <cell r="V164">
            <v>61</v>
          </cell>
          <cell r="W164">
            <v>0</v>
          </cell>
          <cell r="X164">
            <v>373.93</v>
          </cell>
          <cell r="Y164">
            <v>374.93</v>
          </cell>
        </row>
        <row r="164">
          <cell r="AA164" t="str">
            <v>IBCR0501ECL6Q01</v>
          </cell>
        </row>
        <row r="164">
          <cell r="AC164">
            <v>3</v>
          </cell>
          <cell r="AD164" t="str">
            <v>BLY HQ3</v>
          </cell>
          <cell r="AE164" t="str">
            <v>Water-based mud (WBM)</v>
          </cell>
          <cell r="AF164" t="str">
            <v>PureBore by Clear Solutions</v>
          </cell>
        </row>
        <row r="165">
          <cell r="A165">
            <v>164</v>
          </cell>
          <cell r="B165">
            <v>501</v>
          </cell>
          <cell r="C165" t="str">
            <v>M0111</v>
          </cell>
          <cell r="D165" t="str">
            <v>B</v>
          </cell>
          <cell r="E165" t="str">
            <v>501_M0111_B_164R</v>
          </cell>
          <cell r="F165">
            <v>45812.6076388889</v>
          </cell>
          <cell r="G165" t="str">
            <v>GEPR</v>
          </cell>
          <cell r="H165">
            <v>374.93</v>
          </cell>
          <cell r="I165">
            <v>3.05</v>
          </cell>
          <cell r="J165">
            <v>377.98</v>
          </cell>
          <cell r="K165">
            <v>0</v>
          </cell>
          <cell r="L165">
            <v>0</v>
          </cell>
          <cell r="M165">
            <v>0</v>
          </cell>
        </row>
        <row r="165">
          <cell r="P165" t="str">
            <v>no recovery</v>
          </cell>
          <cell r="Q165" t="str">
            <v>no</v>
          </cell>
          <cell r="R165" t="str">
            <v>none</v>
          </cell>
          <cell r="S165" t="str">
            <v>R</v>
          </cell>
          <cell r="T165" t="str">
            <v>R (BLY-HQ3)</v>
          </cell>
        </row>
        <row r="165">
          <cell r="V165">
            <v>61</v>
          </cell>
          <cell r="W165">
            <v>0</v>
          </cell>
          <cell r="X165">
            <v>374.93</v>
          </cell>
          <cell r="Y165">
            <v>377.98</v>
          </cell>
        </row>
        <row r="165">
          <cell r="AA165" t="str">
            <v>IBCR0501ECM6Q01</v>
          </cell>
        </row>
        <row r="165">
          <cell r="AC165">
            <v>3</v>
          </cell>
          <cell r="AD165" t="str">
            <v>BLY HQ3</v>
          </cell>
          <cell r="AE165" t="str">
            <v>Water-based mud (WBM)</v>
          </cell>
          <cell r="AF165" t="str">
            <v>PureBore by Clear Solutions</v>
          </cell>
        </row>
        <row r="166">
          <cell r="A166">
            <v>165</v>
          </cell>
          <cell r="B166">
            <v>501</v>
          </cell>
          <cell r="C166" t="str">
            <v>M0111</v>
          </cell>
          <cell r="D166" t="str">
            <v>B</v>
          </cell>
          <cell r="E166" t="str">
            <v>501_M0111_B_165R</v>
          </cell>
          <cell r="F166">
            <v>45812.6458333333</v>
          </cell>
          <cell r="G166" t="str">
            <v>GEPR</v>
          </cell>
          <cell r="H166">
            <v>377.98</v>
          </cell>
          <cell r="I166">
            <v>3.05</v>
          </cell>
          <cell r="J166">
            <v>381.03</v>
          </cell>
          <cell r="K166">
            <v>2</v>
          </cell>
          <cell r="L166">
            <v>1.93</v>
          </cell>
          <cell r="M166">
            <v>63.28</v>
          </cell>
        </row>
        <row r="166">
          <cell r="Q166" t="str">
            <v>yes</v>
          </cell>
          <cell r="R166" t="str">
            <v>all</v>
          </cell>
          <cell r="S166" t="str">
            <v>R</v>
          </cell>
          <cell r="T166" t="str">
            <v>R (BLY-HQ3)</v>
          </cell>
        </row>
        <row r="166">
          <cell r="V166">
            <v>61</v>
          </cell>
          <cell r="W166">
            <v>0</v>
          </cell>
          <cell r="X166">
            <v>377.98</v>
          </cell>
          <cell r="Y166">
            <v>381.03</v>
          </cell>
        </row>
        <row r="166">
          <cell r="AA166" t="str">
            <v>IBCR0501ECN6Q01</v>
          </cell>
        </row>
        <row r="166">
          <cell r="AC166">
            <v>3</v>
          </cell>
          <cell r="AD166" t="str">
            <v>BLY HQ3</v>
          </cell>
          <cell r="AE166" t="str">
            <v>Water-based mud (WBM)</v>
          </cell>
          <cell r="AF166" t="str">
            <v>PureBore by Clear Solutions</v>
          </cell>
        </row>
        <row r="167">
          <cell r="A167">
            <v>166</v>
          </cell>
          <cell r="B167">
            <v>501</v>
          </cell>
          <cell r="C167" t="str">
            <v>M0111</v>
          </cell>
          <cell r="D167" t="str">
            <v>B</v>
          </cell>
          <cell r="E167" t="str">
            <v>501_M0111_B_166R</v>
          </cell>
          <cell r="F167">
            <v>45812.6944444444</v>
          </cell>
          <cell r="G167" t="str">
            <v>WINK</v>
          </cell>
          <cell r="H167">
            <v>381.03</v>
          </cell>
          <cell r="I167">
            <v>1.05</v>
          </cell>
          <cell r="J167">
            <v>382.08</v>
          </cell>
          <cell r="K167">
            <v>1</v>
          </cell>
          <cell r="L167">
            <v>0.9</v>
          </cell>
          <cell r="M167">
            <v>85.71</v>
          </cell>
        </row>
        <row r="167">
          <cell r="Q167" t="str">
            <v>yes</v>
          </cell>
          <cell r="R167" t="str">
            <v>all</v>
          </cell>
          <cell r="S167" t="str">
            <v>R</v>
          </cell>
          <cell r="T167" t="str">
            <v>R (BLY-HQ3)</v>
          </cell>
        </row>
        <row r="167">
          <cell r="V167">
            <v>61</v>
          </cell>
          <cell r="W167">
            <v>0</v>
          </cell>
          <cell r="X167">
            <v>381.03</v>
          </cell>
          <cell r="Y167">
            <v>382.08</v>
          </cell>
        </row>
        <row r="167">
          <cell r="AA167" t="str">
            <v>IBCR0501ECO6Q01</v>
          </cell>
        </row>
        <row r="167">
          <cell r="AC167">
            <v>3</v>
          </cell>
          <cell r="AD167" t="str">
            <v>BLY HQ3</v>
          </cell>
          <cell r="AE167" t="str">
            <v>Water-based mud (WBM)</v>
          </cell>
          <cell r="AF167" t="str">
            <v>PureBore by Clear Solutions</v>
          </cell>
        </row>
        <row r="168">
          <cell r="A168">
            <v>167</v>
          </cell>
          <cell r="B168">
            <v>501</v>
          </cell>
          <cell r="C168" t="str">
            <v>M0111</v>
          </cell>
          <cell r="D168" t="str">
            <v>B</v>
          </cell>
          <cell r="E168" t="str">
            <v>501_M0111_B_167R</v>
          </cell>
          <cell r="F168">
            <v>45812.7222222222</v>
          </cell>
          <cell r="G168" t="str">
            <v>WINK</v>
          </cell>
          <cell r="H168">
            <v>382.08</v>
          </cell>
          <cell r="I168">
            <v>1</v>
          </cell>
          <cell r="J168">
            <v>383.08</v>
          </cell>
          <cell r="K168">
            <v>0</v>
          </cell>
          <cell r="L168">
            <v>0</v>
          </cell>
          <cell r="M168">
            <v>0</v>
          </cell>
        </row>
        <row r="168">
          <cell r="P168" t="str">
            <v>no recovery</v>
          </cell>
          <cell r="Q168" t="str">
            <v>no</v>
          </cell>
          <cell r="R168" t="str">
            <v>none</v>
          </cell>
          <cell r="S168" t="str">
            <v>R</v>
          </cell>
          <cell r="T168" t="str">
            <v>R (BLY-HQ3)</v>
          </cell>
        </row>
        <row r="168">
          <cell r="V168">
            <v>61</v>
          </cell>
          <cell r="W168">
            <v>0</v>
          </cell>
          <cell r="X168">
            <v>382.08</v>
          </cell>
          <cell r="Y168">
            <v>383.08</v>
          </cell>
        </row>
        <row r="168">
          <cell r="AA168" t="str">
            <v>IBCR0501ECP6Q01</v>
          </cell>
        </row>
        <row r="168">
          <cell r="AC168">
            <v>3</v>
          </cell>
          <cell r="AD168" t="str">
            <v>BLY HQ3</v>
          </cell>
          <cell r="AE168" t="str">
            <v>Water-based mud (WBM)</v>
          </cell>
          <cell r="AF168" t="str">
            <v>PureBore by Clear Solutions</v>
          </cell>
        </row>
        <row r="169">
          <cell r="A169">
            <v>168</v>
          </cell>
          <cell r="B169">
            <v>501</v>
          </cell>
          <cell r="C169" t="str">
            <v>M0111</v>
          </cell>
          <cell r="D169" t="str">
            <v>B</v>
          </cell>
          <cell r="E169" t="str">
            <v>501_M0111_B_168R</v>
          </cell>
          <cell r="F169">
            <v>45812.7673611111</v>
          </cell>
          <cell r="G169" t="str">
            <v>WINK</v>
          </cell>
          <cell r="H169">
            <v>383.08</v>
          </cell>
          <cell r="I169">
            <v>1</v>
          </cell>
          <cell r="J169">
            <v>384.08</v>
          </cell>
          <cell r="K169">
            <v>1</v>
          </cell>
          <cell r="L169">
            <v>0.17</v>
          </cell>
          <cell r="M169">
            <v>17</v>
          </cell>
        </row>
        <row r="169">
          <cell r="Q169" t="str">
            <v>yes</v>
          </cell>
          <cell r="R169" t="str">
            <v>all</v>
          </cell>
          <cell r="S169" t="str">
            <v>R</v>
          </cell>
          <cell r="T169" t="str">
            <v>R (BLY-HQ3)</v>
          </cell>
        </row>
        <row r="169">
          <cell r="V169">
            <v>61</v>
          </cell>
          <cell r="W169">
            <v>0</v>
          </cell>
          <cell r="X169">
            <v>383.08</v>
          </cell>
          <cell r="Y169">
            <v>384.08</v>
          </cell>
        </row>
        <row r="169">
          <cell r="AA169" t="str">
            <v>IBCR0501ECQ6Q01</v>
          </cell>
        </row>
        <row r="169">
          <cell r="AC169">
            <v>3</v>
          </cell>
          <cell r="AD169" t="str">
            <v>BLY HQ3</v>
          </cell>
          <cell r="AE169" t="str">
            <v>Water-based mud (WBM)</v>
          </cell>
          <cell r="AF169" t="str">
            <v>PureBore by Clear Solutions</v>
          </cell>
        </row>
        <row r="170">
          <cell r="A170">
            <v>169</v>
          </cell>
          <cell r="B170">
            <v>501</v>
          </cell>
          <cell r="C170" t="str">
            <v>M0111</v>
          </cell>
          <cell r="D170" t="str">
            <v>B</v>
          </cell>
          <cell r="E170" t="str">
            <v>501_M0111_B_169R</v>
          </cell>
          <cell r="F170">
            <v>45812.7986111111</v>
          </cell>
          <cell r="G170" t="str">
            <v>WINK</v>
          </cell>
          <cell r="H170">
            <v>384.08</v>
          </cell>
          <cell r="I170">
            <v>3.05</v>
          </cell>
          <cell r="J170">
            <v>387.13</v>
          </cell>
          <cell r="K170">
            <v>1</v>
          </cell>
          <cell r="L170">
            <v>0.18</v>
          </cell>
          <cell r="M170">
            <v>5.9</v>
          </cell>
        </row>
        <row r="170">
          <cell r="Q170" t="str">
            <v>yes</v>
          </cell>
          <cell r="R170" t="str">
            <v>all</v>
          </cell>
          <cell r="S170" t="str">
            <v>R</v>
          </cell>
          <cell r="T170" t="str">
            <v>R (BLY-HQ3)</v>
          </cell>
        </row>
        <row r="170">
          <cell r="V170">
            <v>61</v>
          </cell>
          <cell r="W170">
            <v>0</v>
          </cell>
          <cell r="X170">
            <v>384.08</v>
          </cell>
          <cell r="Y170">
            <v>387.13</v>
          </cell>
        </row>
        <row r="170">
          <cell r="AA170" t="str">
            <v>IBCR0501ECR6Q01</v>
          </cell>
        </row>
        <row r="170">
          <cell r="AC170">
            <v>3</v>
          </cell>
          <cell r="AD170" t="str">
            <v>BLY HQ3</v>
          </cell>
          <cell r="AE170" t="str">
            <v>Water-based mud (WBM)</v>
          </cell>
          <cell r="AF170" t="str">
            <v>PureBore by Clear Solutions</v>
          </cell>
        </row>
        <row r="171">
          <cell r="A171">
            <v>170</v>
          </cell>
          <cell r="B171">
            <v>501</v>
          </cell>
          <cell r="C171" t="str">
            <v>M0111</v>
          </cell>
          <cell r="D171" t="str">
            <v>B</v>
          </cell>
          <cell r="E171" t="str">
            <v>501_M0111_B_170R</v>
          </cell>
          <cell r="F171">
            <v>45812.8368055556</v>
          </cell>
          <cell r="G171" t="str">
            <v>WINK</v>
          </cell>
          <cell r="H171">
            <v>387.13</v>
          </cell>
          <cell r="I171">
            <v>2.05</v>
          </cell>
          <cell r="J171">
            <v>389.18</v>
          </cell>
          <cell r="K171">
            <v>0</v>
          </cell>
          <cell r="L171">
            <v>0</v>
          </cell>
          <cell r="M171">
            <v>0</v>
          </cell>
        </row>
        <row r="171">
          <cell r="P171" t="str">
            <v>no recovery</v>
          </cell>
          <cell r="Q171" t="str">
            <v>no</v>
          </cell>
          <cell r="R171" t="str">
            <v>none</v>
          </cell>
          <cell r="S171" t="str">
            <v>R</v>
          </cell>
          <cell r="T171" t="str">
            <v>R (BLY-HQ3)</v>
          </cell>
        </row>
        <row r="171">
          <cell r="V171">
            <v>61</v>
          </cell>
          <cell r="W171">
            <v>0</v>
          </cell>
          <cell r="X171">
            <v>387.13</v>
          </cell>
          <cell r="Y171">
            <v>389.18</v>
          </cell>
        </row>
        <row r="171">
          <cell r="AA171" t="str">
            <v>IBCR0501ECS6Q01</v>
          </cell>
        </row>
        <row r="171">
          <cell r="AC171">
            <v>3</v>
          </cell>
          <cell r="AD171" t="str">
            <v>BLY HQ3</v>
          </cell>
          <cell r="AE171" t="str">
            <v>Water-based mud (WBM)</v>
          </cell>
          <cell r="AF171" t="str">
            <v>PureBore by Clear Solutions</v>
          </cell>
        </row>
        <row r="172">
          <cell r="A172">
            <v>171</v>
          </cell>
          <cell r="B172">
            <v>501</v>
          </cell>
          <cell r="C172" t="str">
            <v>M0111</v>
          </cell>
          <cell r="D172" t="str">
            <v>B</v>
          </cell>
          <cell r="E172" t="str">
            <v>501_M0111_B_171R</v>
          </cell>
          <cell r="F172">
            <v>45812.8645833333</v>
          </cell>
          <cell r="G172" t="str">
            <v>WINK</v>
          </cell>
          <cell r="H172">
            <v>389.18</v>
          </cell>
          <cell r="I172">
            <v>1.05</v>
          </cell>
          <cell r="J172">
            <v>390.23</v>
          </cell>
          <cell r="K172">
            <v>1</v>
          </cell>
          <cell r="L172">
            <v>0.12</v>
          </cell>
          <cell r="M172">
            <v>11.43</v>
          </cell>
        </row>
        <row r="172">
          <cell r="Q172" t="str">
            <v>yes</v>
          </cell>
          <cell r="R172" t="str">
            <v>all</v>
          </cell>
          <cell r="S172" t="str">
            <v>R</v>
          </cell>
          <cell r="T172" t="str">
            <v>R (BLY-HQ3)</v>
          </cell>
        </row>
        <row r="172">
          <cell r="V172">
            <v>61</v>
          </cell>
          <cell r="W172">
            <v>0</v>
          </cell>
          <cell r="X172">
            <v>389.18</v>
          </cell>
          <cell r="Y172">
            <v>390.23</v>
          </cell>
        </row>
        <row r="172">
          <cell r="AA172" t="str">
            <v>IBCR0501ECT6Q01</v>
          </cell>
        </row>
        <row r="172">
          <cell r="AC172">
            <v>3</v>
          </cell>
          <cell r="AD172" t="str">
            <v>BLY HQ3</v>
          </cell>
          <cell r="AE172" t="str">
            <v>Water-based mud (WBM)</v>
          </cell>
          <cell r="AF172" t="str">
            <v>PureBore by Clear Solutions</v>
          </cell>
        </row>
        <row r="173">
          <cell r="A173">
            <v>172</v>
          </cell>
          <cell r="B173">
            <v>501</v>
          </cell>
          <cell r="C173" t="str">
            <v>M0111</v>
          </cell>
          <cell r="D173" t="str">
            <v>B</v>
          </cell>
          <cell r="E173" t="str">
            <v>501_M0111_B_172R</v>
          </cell>
          <cell r="F173">
            <v>45812.8958333333</v>
          </cell>
          <cell r="G173" t="str">
            <v>KUHN</v>
          </cell>
          <cell r="H173">
            <v>390.23</v>
          </cell>
          <cell r="I173">
            <v>2.7</v>
          </cell>
          <cell r="J173">
            <v>392.93</v>
          </cell>
          <cell r="K173">
            <v>0</v>
          </cell>
          <cell r="L173">
            <v>0</v>
          </cell>
          <cell r="M173">
            <v>0</v>
          </cell>
        </row>
        <row r="173">
          <cell r="P173" t="str">
            <v>no recovery</v>
          </cell>
          <cell r="Q173" t="str">
            <v>no</v>
          </cell>
          <cell r="R173" t="str">
            <v>none</v>
          </cell>
          <cell r="S173" t="str">
            <v>R</v>
          </cell>
          <cell r="T173" t="str">
            <v>R (BLY-HQ3)</v>
          </cell>
        </row>
        <row r="173">
          <cell r="V173">
            <v>61</v>
          </cell>
          <cell r="W173">
            <v>0</v>
          </cell>
          <cell r="X173">
            <v>390.23</v>
          </cell>
          <cell r="Y173">
            <v>392.93</v>
          </cell>
        </row>
        <row r="173">
          <cell r="AA173" t="str">
            <v>IBCR0501ECU6Q01</v>
          </cell>
        </row>
        <row r="173">
          <cell r="AC173">
            <v>3</v>
          </cell>
          <cell r="AD173" t="str">
            <v>BLY HQ3</v>
          </cell>
          <cell r="AE173" t="str">
            <v>Water-based mud (WBM)</v>
          </cell>
          <cell r="AF173" t="str">
            <v>PureBore by Clear Solutions</v>
          </cell>
        </row>
      </sheetData>
      <sheetData sheetId="7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  <cell r="AA1" t="str">
            <v>IGSN</v>
          </cell>
          <cell r="AB1" t="str">
            <v>Additional Information </v>
          </cell>
          <cell r="AC1" t="str">
            <v>Barrel Length [m]</v>
          </cell>
          <cell r="AD1" t="str">
            <v>Bit Size</v>
          </cell>
          <cell r="AE1" t="str">
            <v>Drilling Fluid Type</v>
          </cell>
          <cell r="AF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C</v>
          </cell>
          <cell r="E2" t="str">
            <v>501_M0111_C_001H</v>
          </cell>
          <cell r="F2">
            <v>45817.5972222222</v>
          </cell>
          <cell r="G2" t="str">
            <v>GEPR</v>
          </cell>
          <cell r="H2">
            <v>45.56</v>
          </cell>
          <cell r="I2">
            <v>2.11</v>
          </cell>
          <cell r="J2">
            <v>47.67</v>
          </cell>
          <cell r="K2">
            <v>2</v>
          </cell>
          <cell r="L2">
            <v>2.11</v>
          </cell>
          <cell r="M2">
            <v>100</v>
          </cell>
        </row>
        <row r="2">
          <cell r="P2" t="str">
            <v>microspheres inserted</v>
          </cell>
        </row>
        <row r="2">
          <cell r="X2">
            <v>45.56</v>
          </cell>
          <cell r="Y2">
            <v>47.67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C</v>
          </cell>
          <cell r="E3" t="str">
            <v>501_M0111_C_002H</v>
          </cell>
          <cell r="F3">
            <v>45817.6423611111</v>
          </cell>
          <cell r="G3" t="str">
            <v>WINK</v>
          </cell>
          <cell r="H3">
            <v>47.67</v>
          </cell>
          <cell r="I3">
            <v>0.89</v>
          </cell>
          <cell r="J3">
            <v>48.56</v>
          </cell>
          <cell r="K3">
            <v>2</v>
          </cell>
          <cell r="L3">
            <v>0.89</v>
          </cell>
          <cell r="M3">
            <v>100</v>
          </cell>
        </row>
        <row r="3"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</row>
        <row r="3">
          <cell r="V3">
            <v>72</v>
          </cell>
        </row>
        <row r="3">
          <cell r="X3">
            <v>47.67</v>
          </cell>
          <cell r="Y3">
            <v>48.56</v>
          </cell>
        </row>
        <row r="3">
          <cell r="AA3" t="str">
            <v>IBCR0501ECX6Q01</v>
          </cell>
        </row>
        <row r="3">
          <cell r="AD3" t="str">
            <v>BLY PQ3</v>
          </cell>
          <cell r="AE3" t="str">
            <v>Water-based mud (WBM)</v>
          </cell>
          <cell r="AF3" t="str">
            <v>PureBore by Clear Solutions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C</v>
          </cell>
          <cell r="E4" t="str">
            <v>501_M0111_C_003H</v>
          </cell>
          <cell r="F4">
            <v>45817.7222222222</v>
          </cell>
          <cell r="G4" t="str">
            <v>KUHN</v>
          </cell>
          <cell r="H4">
            <v>48.56</v>
          </cell>
          <cell r="I4">
            <v>1.44</v>
          </cell>
          <cell r="J4">
            <v>50</v>
          </cell>
          <cell r="K4">
            <v>2</v>
          </cell>
          <cell r="L4">
            <v>1.44</v>
          </cell>
          <cell r="M4">
            <v>100</v>
          </cell>
        </row>
        <row r="4"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</row>
        <row r="4">
          <cell r="X4">
            <v>48.56</v>
          </cell>
          <cell r="Y4">
            <v>50</v>
          </cell>
        </row>
        <row r="4">
          <cell r="AA4" t="str">
            <v>IBCR0501ECY6Q01</v>
          </cell>
        </row>
        <row r="4">
          <cell r="AD4" t="str">
            <v>BLY PQ3</v>
          </cell>
          <cell r="AE4" t="str">
            <v>Water-based mud (WBM)</v>
          </cell>
          <cell r="AF4" t="str">
            <v>PureBore by Clear Solutions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C</v>
          </cell>
          <cell r="E5" t="str">
            <v>501_M0111_C_004H</v>
          </cell>
          <cell r="F5">
            <v>45817.8125</v>
          </cell>
          <cell r="G5" t="str">
            <v>KUHN</v>
          </cell>
          <cell r="H5">
            <v>50</v>
          </cell>
          <cell r="I5">
            <v>1.1</v>
          </cell>
          <cell r="J5">
            <v>51.1</v>
          </cell>
          <cell r="K5">
            <v>1</v>
          </cell>
          <cell r="L5">
            <v>1.1</v>
          </cell>
          <cell r="M5">
            <v>100</v>
          </cell>
        </row>
        <row r="5">
          <cell r="P5" t="str">
            <v>disturbed core</v>
          </cell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</row>
        <row r="5">
          <cell r="V5">
            <v>72</v>
          </cell>
        </row>
        <row r="5">
          <cell r="X5">
            <v>50</v>
          </cell>
          <cell r="Y5">
            <v>51.1</v>
          </cell>
        </row>
        <row r="5">
          <cell r="AA5" t="str">
            <v>IBCR0501ECZ6Q01</v>
          </cell>
        </row>
        <row r="5">
          <cell r="AD5" t="str">
            <v>BLY PQ3</v>
          </cell>
          <cell r="AE5" t="str">
            <v>Water-based mud (WBM)</v>
          </cell>
          <cell r="AF5" t="str">
            <v>PureBore by Clear Solutions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C</v>
          </cell>
          <cell r="E6" t="str">
            <v>501_M0111_C_005H</v>
          </cell>
          <cell r="F6">
            <v>45818.7118055556</v>
          </cell>
          <cell r="G6" t="str">
            <v>KUHN</v>
          </cell>
          <cell r="H6">
            <v>110</v>
          </cell>
          <cell r="I6">
            <v>0.77</v>
          </cell>
          <cell r="J6">
            <v>110.77</v>
          </cell>
          <cell r="K6">
            <v>1</v>
          </cell>
          <cell r="L6">
            <v>0.77</v>
          </cell>
          <cell r="M6">
            <v>100</v>
          </cell>
        </row>
        <row r="6">
          <cell r="P6" t="str">
            <v>disturbed core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</row>
        <row r="6">
          <cell r="V6">
            <v>72</v>
          </cell>
        </row>
        <row r="6">
          <cell r="X6">
            <v>110</v>
          </cell>
          <cell r="Y6">
            <v>110.77</v>
          </cell>
        </row>
        <row r="6">
          <cell r="AA6" t="str">
            <v>IBCR0501EC07Q01</v>
          </cell>
        </row>
        <row r="6">
          <cell r="AD6" t="str">
            <v>BLY PQ3</v>
          </cell>
          <cell r="AE6" t="str">
            <v>Water-based mud (WBM)</v>
          </cell>
          <cell r="AF6" t="str">
            <v>PureBore by Clear Solutions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C</v>
          </cell>
          <cell r="E7" t="str">
            <v>501_M0111_C_006H</v>
          </cell>
          <cell r="F7">
            <v>45818.8055555556</v>
          </cell>
          <cell r="G7" t="str">
            <v>KUHN</v>
          </cell>
          <cell r="H7">
            <v>111.36</v>
          </cell>
          <cell r="I7">
            <v>1.3</v>
          </cell>
          <cell r="J7">
            <v>112.66</v>
          </cell>
          <cell r="K7">
            <v>2</v>
          </cell>
          <cell r="L7">
            <v>1.3</v>
          </cell>
          <cell r="M7">
            <v>100</v>
          </cell>
        </row>
        <row r="7">
          <cell r="P7" t="str">
            <v>second section disturbed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</row>
        <row r="7">
          <cell r="V7">
            <v>72</v>
          </cell>
        </row>
        <row r="7">
          <cell r="X7">
            <v>111.36</v>
          </cell>
          <cell r="Y7">
            <v>112.66</v>
          </cell>
        </row>
        <row r="7">
          <cell r="AA7" t="str">
            <v>IBCR0501EC17Q01</v>
          </cell>
        </row>
        <row r="7">
          <cell r="AD7" t="str">
            <v>BLY PQ3</v>
          </cell>
          <cell r="AE7" t="str">
            <v>Water-based mud (WBM)</v>
          </cell>
          <cell r="AF7" t="str">
            <v>PureBore by Clear Solutions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C</v>
          </cell>
          <cell r="E8" t="str">
            <v>501_M0111_C_007R</v>
          </cell>
          <cell r="F8">
            <v>45819.1076388889</v>
          </cell>
          <cell r="G8" t="str">
            <v>WINK</v>
          </cell>
          <cell r="H8">
            <v>120.36</v>
          </cell>
          <cell r="I8">
            <v>2.93</v>
          </cell>
          <cell r="J8">
            <v>123.29</v>
          </cell>
          <cell r="K8">
            <v>2</v>
          </cell>
          <cell r="L8">
            <v>2.93</v>
          </cell>
          <cell r="M8">
            <v>100</v>
          </cell>
        </row>
        <row r="8">
          <cell r="P8" t="str">
            <v>infill</v>
          </cell>
        </row>
        <row r="8">
          <cell r="X8">
            <v>120.36</v>
          </cell>
          <cell r="Y8">
            <v>123.29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C</v>
          </cell>
          <cell r="E9" t="str">
            <v>501_M0111_C_008R</v>
          </cell>
          <cell r="F9">
            <v>45819.4722222222</v>
          </cell>
          <cell r="G9" t="str">
            <v>HK</v>
          </cell>
          <cell r="H9">
            <v>125</v>
          </cell>
          <cell r="I9">
            <v>1.36</v>
          </cell>
          <cell r="J9">
            <v>126.36</v>
          </cell>
          <cell r="K9">
            <v>2</v>
          </cell>
          <cell r="L9">
            <v>1.45</v>
          </cell>
          <cell r="M9">
            <v>106.62</v>
          </cell>
        </row>
        <row r="9">
          <cell r="Q9" t="str">
            <v>yes</v>
          </cell>
          <cell r="R9" t="str">
            <v>all</v>
          </cell>
          <cell r="S9" t="str">
            <v>R</v>
          </cell>
          <cell r="T9" t="str">
            <v>R (QD-TEC)</v>
          </cell>
        </row>
        <row r="9">
          <cell r="V9">
            <v>72</v>
          </cell>
          <cell r="W9">
            <v>0</v>
          </cell>
          <cell r="X9">
            <v>125</v>
          </cell>
          <cell r="Y9">
            <v>126.36</v>
          </cell>
        </row>
        <row r="9">
          <cell r="AA9" t="str">
            <v>IBCR0501EC37Q01</v>
          </cell>
        </row>
        <row r="9">
          <cell r="AC9">
            <v>3</v>
          </cell>
          <cell r="AD9" t="str">
            <v>BLY PQ3</v>
          </cell>
          <cell r="AE9" t="str">
            <v>Water-based mud (WBM)</v>
          </cell>
          <cell r="AF9" t="str">
            <v>PureBore by Clear Solutions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C</v>
          </cell>
          <cell r="E10" t="str">
            <v>501_M0111_C_009R</v>
          </cell>
          <cell r="F10">
            <v>45819.5347222222</v>
          </cell>
          <cell r="G10" t="str">
            <v>HK</v>
          </cell>
          <cell r="H10">
            <v>126.36</v>
          </cell>
          <cell r="I10">
            <v>3</v>
          </cell>
          <cell r="J10">
            <v>129.36</v>
          </cell>
          <cell r="K10">
            <v>2</v>
          </cell>
          <cell r="L10">
            <v>2.83</v>
          </cell>
          <cell r="M10">
            <v>94.33</v>
          </cell>
        </row>
        <row r="10"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</row>
        <row r="10">
          <cell r="V10">
            <v>72</v>
          </cell>
          <cell r="W10">
            <v>0</v>
          </cell>
          <cell r="X10">
            <v>126.36</v>
          </cell>
          <cell r="Y10">
            <v>129.36</v>
          </cell>
        </row>
        <row r="10">
          <cell r="AA10" t="str">
            <v>IBCR0501EC47Q01</v>
          </cell>
        </row>
        <row r="10">
          <cell r="AC10">
            <v>3</v>
          </cell>
          <cell r="AD10" t="str">
            <v>BLY PQ3</v>
          </cell>
          <cell r="AE10" t="str">
            <v>Water-based mud (WBM)</v>
          </cell>
          <cell r="AF10" t="str">
            <v>PureBore by Clear Solutions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C</v>
          </cell>
          <cell r="E11" t="str">
            <v>501_M0111_C_010R</v>
          </cell>
          <cell r="F11">
            <v>45819.9583333333</v>
          </cell>
          <cell r="G11" t="str">
            <v>WINK</v>
          </cell>
          <cell r="H11">
            <v>150</v>
          </cell>
          <cell r="I11">
            <v>3</v>
          </cell>
          <cell r="J11">
            <v>153</v>
          </cell>
          <cell r="K11">
            <v>3</v>
          </cell>
          <cell r="L11">
            <v>3.12</v>
          </cell>
          <cell r="M11">
            <v>104</v>
          </cell>
        </row>
        <row r="11">
          <cell r="Q11" t="str">
            <v>yes</v>
          </cell>
          <cell r="R11" t="str">
            <v>all</v>
          </cell>
          <cell r="S11" t="str">
            <v>R</v>
          </cell>
          <cell r="T11" t="str">
            <v>R (QD-TEC)</v>
          </cell>
        </row>
        <row r="11">
          <cell r="V11">
            <v>72</v>
          </cell>
          <cell r="W11">
            <v>0</v>
          </cell>
          <cell r="X11">
            <v>150</v>
          </cell>
          <cell r="Y11">
            <v>153</v>
          </cell>
        </row>
        <row r="11">
          <cell r="AA11" t="str">
            <v>IBCR0501EC57Q01</v>
          </cell>
        </row>
        <row r="11">
          <cell r="AC11">
            <v>3</v>
          </cell>
          <cell r="AD11" t="str">
            <v>BLY PQ3</v>
          </cell>
          <cell r="AE11" t="str">
            <v>Water-based mud (WBM)</v>
          </cell>
          <cell r="AF11" t="str">
            <v>PureBore by Clear Solutions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C</v>
          </cell>
          <cell r="E12" t="str">
            <v>501_M0111_C_011R</v>
          </cell>
          <cell r="F12">
            <v>45819.9895833333</v>
          </cell>
          <cell r="G12" t="str">
            <v>WINK</v>
          </cell>
          <cell r="H12">
            <v>153</v>
          </cell>
          <cell r="I12">
            <v>3</v>
          </cell>
          <cell r="J12">
            <v>156</v>
          </cell>
          <cell r="K12">
            <v>3</v>
          </cell>
          <cell r="L12">
            <v>3.12</v>
          </cell>
          <cell r="M12">
            <v>104</v>
          </cell>
        </row>
        <row r="12">
          <cell r="P12" t="str">
            <v>Micospheres inserted</v>
          </cell>
          <cell r="Q12" t="str">
            <v>yes</v>
          </cell>
          <cell r="R12" t="str">
            <v>all</v>
          </cell>
          <cell r="S12" t="str">
            <v>R</v>
          </cell>
          <cell r="T12" t="str">
            <v>R (QD-TEC)</v>
          </cell>
        </row>
        <row r="12">
          <cell r="V12">
            <v>72</v>
          </cell>
          <cell r="W12">
            <v>0</v>
          </cell>
          <cell r="X12">
            <v>153</v>
          </cell>
          <cell r="Y12">
            <v>156</v>
          </cell>
        </row>
        <row r="12">
          <cell r="AA12" t="str">
            <v>IBCR0501EC67Q01</v>
          </cell>
        </row>
        <row r="12">
          <cell r="AC12">
            <v>3</v>
          </cell>
          <cell r="AD12" t="str">
            <v>BLY PQ3</v>
          </cell>
          <cell r="AE12" t="str">
            <v>Water-based mud (WBM)</v>
          </cell>
          <cell r="AF12" t="str">
            <v>PureBore by Clear Solutions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C</v>
          </cell>
          <cell r="E13" t="str">
            <v>501_M0111_C_012R</v>
          </cell>
          <cell r="F13">
            <v>45820.03125</v>
          </cell>
          <cell r="G13" t="str">
            <v>WINK</v>
          </cell>
          <cell r="H13">
            <v>156</v>
          </cell>
          <cell r="I13">
            <v>3</v>
          </cell>
          <cell r="J13">
            <v>159</v>
          </cell>
          <cell r="K13">
            <v>2</v>
          </cell>
          <cell r="L13">
            <v>2.11</v>
          </cell>
          <cell r="M13">
            <v>70.33</v>
          </cell>
        </row>
        <row r="13"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</row>
        <row r="13">
          <cell r="V13">
            <v>72</v>
          </cell>
          <cell r="W13">
            <v>0</v>
          </cell>
          <cell r="X13">
            <v>156</v>
          </cell>
          <cell r="Y13">
            <v>159</v>
          </cell>
        </row>
        <row r="13">
          <cell r="AA13" t="str">
            <v>IBCR0501EC77Q01</v>
          </cell>
        </row>
        <row r="13">
          <cell r="AC13">
            <v>3</v>
          </cell>
          <cell r="AD13" t="str">
            <v>BLY PQ3</v>
          </cell>
          <cell r="AE13" t="str">
            <v>Water-based mud (WBM)</v>
          </cell>
          <cell r="AF13" t="str">
            <v>PureBore by Clear Solutions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C</v>
          </cell>
          <cell r="E14" t="str">
            <v>501_M0111_C_013R</v>
          </cell>
          <cell r="F14">
            <v>45820.0763888889</v>
          </cell>
          <cell r="G14" t="str">
            <v>WINK</v>
          </cell>
          <cell r="H14">
            <v>159</v>
          </cell>
          <cell r="I14">
            <v>2.16</v>
          </cell>
          <cell r="J14">
            <v>161.16</v>
          </cell>
          <cell r="K14">
            <v>1</v>
          </cell>
          <cell r="L14">
            <v>0.83</v>
          </cell>
          <cell r="M14">
            <v>38.43</v>
          </cell>
        </row>
        <row r="14"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</row>
        <row r="14">
          <cell r="V14">
            <v>72</v>
          </cell>
          <cell r="W14">
            <v>0</v>
          </cell>
          <cell r="X14">
            <v>159</v>
          </cell>
          <cell r="Y14">
            <v>161.16</v>
          </cell>
        </row>
        <row r="14">
          <cell r="AA14" t="str">
            <v>IBCR0501EC87Q01</v>
          </cell>
        </row>
        <row r="14">
          <cell r="AC14">
            <v>3</v>
          </cell>
          <cell r="AD14" t="str">
            <v>BLY PQ3</v>
          </cell>
          <cell r="AE14" t="str">
            <v>Water-based mud (WBM)</v>
          </cell>
          <cell r="AF14" t="str">
            <v>PureBore by Clear Solutions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C</v>
          </cell>
          <cell r="E15" t="str">
            <v>501_M0111_C_014R</v>
          </cell>
          <cell r="F15">
            <v>45820.1041666667</v>
          </cell>
          <cell r="G15" t="str">
            <v>WINK</v>
          </cell>
          <cell r="H15">
            <v>161.16</v>
          </cell>
          <cell r="I15">
            <v>1.2</v>
          </cell>
          <cell r="J15">
            <v>162.36</v>
          </cell>
          <cell r="K15">
            <v>1</v>
          </cell>
          <cell r="L15">
            <v>0.98</v>
          </cell>
          <cell r="M15">
            <v>81.67</v>
          </cell>
        </row>
        <row r="15"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</row>
        <row r="15">
          <cell r="V15">
            <v>72</v>
          </cell>
          <cell r="W15">
            <v>0</v>
          </cell>
          <cell r="X15">
            <v>161.16</v>
          </cell>
          <cell r="Y15">
            <v>162.36</v>
          </cell>
        </row>
        <row r="15">
          <cell r="AA15" t="str">
            <v>IBCR0501EC97Q01</v>
          </cell>
        </row>
        <row r="15">
          <cell r="AC15">
            <v>3</v>
          </cell>
          <cell r="AD15" t="str">
            <v>BLY PQ3</v>
          </cell>
          <cell r="AE15" t="str">
            <v>Water-based mud (WBM)</v>
          </cell>
          <cell r="AF15" t="str">
            <v>PureBore by Clear Solutions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C</v>
          </cell>
          <cell r="E16" t="str">
            <v>501_M0111_C_015R</v>
          </cell>
          <cell r="F16">
            <v>45820.1527777778</v>
          </cell>
          <cell r="G16" t="str">
            <v>WINK</v>
          </cell>
          <cell r="H16">
            <v>162.36</v>
          </cell>
          <cell r="I16">
            <v>1.53</v>
          </cell>
          <cell r="J16">
            <v>163.89</v>
          </cell>
          <cell r="K16">
            <v>1</v>
          </cell>
          <cell r="L16">
            <v>0.89</v>
          </cell>
          <cell r="M16">
            <v>58.17</v>
          </cell>
        </row>
        <row r="16"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</row>
        <row r="16">
          <cell r="V16">
            <v>72</v>
          </cell>
          <cell r="W16">
            <v>0</v>
          </cell>
          <cell r="X16">
            <v>162.36</v>
          </cell>
          <cell r="Y16">
            <v>163.89</v>
          </cell>
        </row>
        <row r="16">
          <cell r="AA16" t="str">
            <v>IBCR0501ECA7Q01</v>
          </cell>
        </row>
        <row r="16">
          <cell r="AC16">
            <v>3</v>
          </cell>
          <cell r="AD16" t="str">
            <v>BLY PQ3</v>
          </cell>
          <cell r="AE16" t="str">
            <v>Water-based mud (WBM)</v>
          </cell>
          <cell r="AF16" t="str">
            <v>PureBore by Clear Solutions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C</v>
          </cell>
          <cell r="E17" t="str">
            <v>501_M0111_C_016R</v>
          </cell>
          <cell r="F17">
            <v>45820.1875</v>
          </cell>
          <cell r="G17" t="str">
            <v>HK</v>
          </cell>
          <cell r="H17">
            <v>163.89</v>
          </cell>
          <cell r="I17">
            <v>2.47</v>
          </cell>
          <cell r="J17">
            <v>166.36</v>
          </cell>
          <cell r="K17">
            <v>0</v>
          </cell>
          <cell r="L17">
            <v>0</v>
          </cell>
          <cell r="M17">
            <v>0</v>
          </cell>
        </row>
        <row r="17">
          <cell r="P17" t="str">
            <v>no recovery</v>
          </cell>
          <cell r="Q17" t="str">
            <v>no</v>
          </cell>
          <cell r="R17" t="str">
            <v>none</v>
          </cell>
          <cell r="S17" t="str">
            <v>R</v>
          </cell>
          <cell r="T17" t="str">
            <v>R (QD-TEC)</v>
          </cell>
        </row>
        <row r="17">
          <cell r="V17">
            <v>72</v>
          </cell>
          <cell r="W17">
            <v>0</v>
          </cell>
          <cell r="X17">
            <v>163.89</v>
          </cell>
          <cell r="Y17">
            <v>166.36</v>
          </cell>
        </row>
        <row r="17">
          <cell r="AA17" t="str">
            <v>IBCR0501ECB7Q01</v>
          </cell>
        </row>
        <row r="17">
          <cell r="AC17">
            <v>3</v>
          </cell>
          <cell r="AD17" t="str">
            <v>BLY PQ3</v>
          </cell>
          <cell r="AE17" t="str">
            <v>Water-based mud (WBM)</v>
          </cell>
          <cell r="AF17" t="str">
            <v>PureBore by Clear Solutions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C</v>
          </cell>
          <cell r="E18" t="str">
            <v>501_M0111_C_017R</v>
          </cell>
          <cell r="F18">
            <v>45820.2361111111</v>
          </cell>
          <cell r="G18" t="str">
            <v>HK</v>
          </cell>
          <cell r="H18">
            <v>166.36</v>
          </cell>
          <cell r="I18">
            <v>2</v>
          </cell>
          <cell r="J18">
            <v>168.36</v>
          </cell>
          <cell r="K18">
            <v>1</v>
          </cell>
          <cell r="L18">
            <v>0.17</v>
          </cell>
          <cell r="M18">
            <v>8.5</v>
          </cell>
        </row>
        <row r="18">
          <cell r="P18" t="str">
            <v>stuck in core barrel</v>
          </cell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</row>
        <row r="18">
          <cell r="V18">
            <v>72</v>
          </cell>
          <cell r="W18">
            <v>0</v>
          </cell>
          <cell r="X18">
            <v>166.36</v>
          </cell>
          <cell r="Y18">
            <v>168.36</v>
          </cell>
        </row>
        <row r="18">
          <cell r="AA18" t="str">
            <v>IBCR0501ECC7Q01</v>
          </cell>
        </row>
        <row r="18">
          <cell r="AC18">
            <v>3</v>
          </cell>
          <cell r="AD18" t="str">
            <v>BLY PQ3</v>
          </cell>
          <cell r="AE18" t="str">
            <v>Water-based mud (WBM)</v>
          </cell>
          <cell r="AF18" t="str">
            <v>PureBore by Clear Solutions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C</v>
          </cell>
          <cell r="E19" t="str">
            <v>501_M0111_C_018R</v>
          </cell>
          <cell r="F19">
            <v>45820.2916666667</v>
          </cell>
          <cell r="G19" t="str">
            <v>HK</v>
          </cell>
          <cell r="H19">
            <v>168.36</v>
          </cell>
          <cell r="I19">
            <v>3</v>
          </cell>
          <cell r="J19">
            <v>171.36</v>
          </cell>
          <cell r="K19">
            <v>2</v>
          </cell>
          <cell r="L19">
            <v>2.86</v>
          </cell>
          <cell r="M19">
            <v>95.33</v>
          </cell>
        </row>
        <row r="19"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</row>
        <row r="19">
          <cell r="V19">
            <v>72</v>
          </cell>
          <cell r="W19">
            <v>0</v>
          </cell>
          <cell r="X19">
            <v>168.36</v>
          </cell>
          <cell r="Y19">
            <v>171.36</v>
          </cell>
        </row>
        <row r="19">
          <cell r="AA19" t="str">
            <v>IBCR0501ECD7Q01</v>
          </cell>
        </row>
        <row r="19">
          <cell r="AC19">
            <v>3</v>
          </cell>
          <cell r="AD19" t="str">
            <v>BLY PQ3</v>
          </cell>
          <cell r="AE19" t="str">
            <v>Water-based mud (WBM)</v>
          </cell>
          <cell r="AF19" t="str">
            <v>PureBore by Clear Solutions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C</v>
          </cell>
          <cell r="E20" t="str">
            <v>501_M0111_C_019O</v>
          </cell>
          <cell r="F20">
            <v>45820.3479166667</v>
          </cell>
          <cell r="G20" t="str">
            <v>HK</v>
          </cell>
          <cell r="H20">
            <v>150.36</v>
          </cell>
          <cell r="I20">
            <v>21</v>
          </cell>
          <cell r="J20">
            <v>171.36</v>
          </cell>
          <cell r="K20">
            <v>1</v>
          </cell>
          <cell r="L20">
            <v>21</v>
          </cell>
          <cell r="M20">
            <v>100</v>
          </cell>
        </row>
        <row r="20">
          <cell r="P20" t="str">
            <v>VIRTUAL CORE. Pump test</v>
          </cell>
        </row>
        <row r="20">
          <cell r="X20">
            <v>150.36</v>
          </cell>
          <cell r="Y20">
            <v>171.36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C</v>
          </cell>
          <cell r="E21" t="str">
            <v>501_M0111_C_020R</v>
          </cell>
          <cell r="F21">
            <v>45822.4944444444</v>
          </cell>
          <cell r="G21" t="str">
            <v>HK</v>
          </cell>
          <cell r="H21">
            <v>171.36</v>
          </cell>
          <cell r="I21">
            <v>6</v>
          </cell>
          <cell r="J21">
            <v>177.36</v>
          </cell>
          <cell r="K21">
            <v>3</v>
          </cell>
          <cell r="L21">
            <v>3.32</v>
          </cell>
          <cell r="M21">
            <v>55.33</v>
          </cell>
        </row>
        <row r="21">
          <cell r="P21" t="str">
            <v>core from 6m interval</v>
          </cell>
        </row>
        <row r="21">
          <cell r="X21">
            <v>171.36</v>
          </cell>
          <cell r="Y21">
            <v>177.36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C</v>
          </cell>
          <cell r="E22" t="str">
            <v>501_M0111_C_021R</v>
          </cell>
          <cell r="F22">
            <v>45822.5208333333</v>
          </cell>
          <cell r="G22" t="str">
            <v>HK</v>
          </cell>
          <cell r="H22">
            <v>177.36</v>
          </cell>
          <cell r="I22">
            <v>7.64</v>
          </cell>
          <cell r="J22">
            <v>185</v>
          </cell>
          <cell r="K22">
            <v>3</v>
          </cell>
          <cell r="L22">
            <v>3.36</v>
          </cell>
          <cell r="M22">
            <v>43.98</v>
          </cell>
          <cell r="N22" t="str">
            <v>continuous</v>
          </cell>
        </row>
        <row r="22">
          <cell r="P22" t="str">
            <v>core from 7.64m interval</v>
          </cell>
        </row>
        <row r="22">
          <cell r="X22">
            <v>177.36</v>
          </cell>
          <cell r="Y22">
            <v>185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C</v>
          </cell>
          <cell r="E23" t="str">
            <v>501_M0111_C_022R</v>
          </cell>
          <cell r="F23">
            <v>45822.5451388889</v>
          </cell>
          <cell r="G23" t="str">
            <v>HK</v>
          </cell>
          <cell r="H23">
            <v>185</v>
          </cell>
          <cell r="I23">
            <v>1.36</v>
          </cell>
          <cell r="J23">
            <v>186.36</v>
          </cell>
          <cell r="K23">
            <v>1</v>
          </cell>
          <cell r="L23">
            <v>0.79</v>
          </cell>
          <cell r="M23">
            <v>58.09</v>
          </cell>
          <cell r="N23" t="str">
            <v>continuous</v>
          </cell>
        </row>
        <row r="23">
          <cell r="Q23" t="str">
            <v>yes</v>
          </cell>
          <cell r="R23" t="str">
            <v>all</v>
          </cell>
          <cell r="S23" t="str">
            <v>R</v>
          </cell>
          <cell r="T23" t="str">
            <v>R (QD-TEC)</v>
          </cell>
        </row>
        <row r="23">
          <cell r="V23">
            <v>72</v>
          </cell>
          <cell r="W23">
            <v>0</v>
          </cell>
          <cell r="X23">
            <v>185</v>
          </cell>
          <cell r="Y23">
            <v>186.36</v>
          </cell>
        </row>
        <row r="23">
          <cell r="AA23" t="str">
            <v>IBCR0501ECH7Q01</v>
          </cell>
        </row>
        <row r="23">
          <cell r="AD23" t="str">
            <v>BLY PQ3</v>
          </cell>
          <cell r="AE23" t="str">
            <v>Water-based mud (WBM)</v>
          </cell>
          <cell r="AF23" t="str">
            <v>PureBore by Clear Solutions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C</v>
          </cell>
          <cell r="E24" t="str">
            <v>501_M0111_C_023R</v>
          </cell>
          <cell r="F24">
            <v>45822.5659722222</v>
          </cell>
          <cell r="G24" t="str">
            <v>HK</v>
          </cell>
          <cell r="H24">
            <v>186.36</v>
          </cell>
          <cell r="I24">
            <v>3</v>
          </cell>
          <cell r="J24">
            <v>189.36</v>
          </cell>
          <cell r="K24">
            <v>3</v>
          </cell>
          <cell r="L24">
            <v>3.35</v>
          </cell>
          <cell r="M24">
            <v>111.67</v>
          </cell>
          <cell r="N24" t="str">
            <v>continuous</v>
          </cell>
        </row>
        <row r="24">
          <cell r="Q24" t="str">
            <v>yes</v>
          </cell>
          <cell r="R24" t="str">
            <v>all</v>
          </cell>
          <cell r="S24" t="str">
            <v>R</v>
          </cell>
          <cell r="T24" t="str">
            <v>R (QD-TEC)</v>
          </cell>
        </row>
        <row r="24">
          <cell r="V24">
            <v>72</v>
          </cell>
          <cell r="W24">
            <v>0</v>
          </cell>
          <cell r="X24">
            <v>186.36</v>
          </cell>
          <cell r="Y24">
            <v>189.36</v>
          </cell>
        </row>
        <row r="24">
          <cell r="AA24" t="str">
            <v>IBCR0501ECI7Q01</v>
          </cell>
        </row>
        <row r="24">
          <cell r="AD24" t="str">
            <v>BLY PQ3</v>
          </cell>
          <cell r="AE24" t="str">
            <v>Water-based mud (WBM)</v>
          </cell>
          <cell r="AF24" t="str">
            <v>PureBore by Clear Solutions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C</v>
          </cell>
          <cell r="E25" t="str">
            <v>501_M0111_C_024R</v>
          </cell>
          <cell r="F25">
            <v>45822.5972222222</v>
          </cell>
          <cell r="G25" t="str">
            <v>HK</v>
          </cell>
          <cell r="H25">
            <v>189.36</v>
          </cell>
          <cell r="I25">
            <v>3</v>
          </cell>
          <cell r="J25">
            <v>192.36</v>
          </cell>
          <cell r="K25">
            <v>3</v>
          </cell>
          <cell r="L25">
            <v>3.15</v>
          </cell>
          <cell r="M25">
            <v>105</v>
          </cell>
          <cell r="N25" t="str">
            <v>continuous</v>
          </cell>
        </row>
        <row r="25">
          <cell r="Q25" t="str">
            <v>yes</v>
          </cell>
          <cell r="R25" t="str">
            <v>all</v>
          </cell>
          <cell r="S25" t="str">
            <v>R</v>
          </cell>
          <cell r="T25" t="str">
            <v>R (QD-TEC)</v>
          </cell>
        </row>
        <row r="25">
          <cell r="V25">
            <v>72</v>
          </cell>
          <cell r="W25">
            <v>0</v>
          </cell>
          <cell r="X25">
            <v>189.36</v>
          </cell>
          <cell r="Y25">
            <v>192.36</v>
          </cell>
        </row>
        <row r="25">
          <cell r="AA25" t="str">
            <v>IBCR0501ECJ7Q01</v>
          </cell>
        </row>
        <row r="25">
          <cell r="AD25" t="str">
            <v>BLY PQ3</v>
          </cell>
          <cell r="AE25" t="str">
            <v>Water-based mud (WBM)</v>
          </cell>
          <cell r="AF25" t="str">
            <v>PureBore by Clear Solutions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C</v>
          </cell>
          <cell r="E26" t="str">
            <v>501_M0111_C_025R</v>
          </cell>
          <cell r="F26">
            <v>45822.6215277778</v>
          </cell>
          <cell r="G26" t="str">
            <v>HK</v>
          </cell>
          <cell r="H26">
            <v>192.36</v>
          </cell>
          <cell r="I26">
            <v>3</v>
          </cell>
          <cell r="J26">
            <v>195.36</v>
          </cell>
          <cell r="K26">
            <v>2</v>
          </cell>
          <cell r="L26">
            <v>2.81</v>
          </cell>
          <cell r="M26">
            <v>93.67</v>
          </cell>
          <cell r="N26" t="str">
            <v>continuous</v>
          </cell>
        </row>
        <row r="26">
          <cell r="Q26" t="str">
            <v>yes</v>
          </cell>
          <cell r="R26" t="str">
            <v>all</v>
          </cell>
          <cell r="S26" t="str">
            <v>R</v>
          </cell>
          <cell r="T26" t="str">
            <v>R (QD-TEC)</v>
          </cell>
        </row>
        <row r="26">
          <cell r="V26">
            <v>72</v>
          </cell>
          <cell r="W26">
            <v>0</v>
          </cell>
          <cell r="X26">
            <v>192.36</v>
          </cell>
          <cell r="Y26">
            <v>195.36</v>
          </cell>
        </row>
        <row r="26">
          <cell r="AA26" t="str">
            <v>IBCR0501ECK7Q01</v>
          </cell>
        </row>
        <row r="26">
          <cell r="AD26" t="str">
            <v>BLY PQ3</v>
          </cell>
          <cell r="AE26" t="str">
            <v>Water-based mud (WBM)</v>
          </cell>
          <cell r="AF26" t="str">
            <v>PureBore by Clear Solutions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C</v>
          </cell>
          <cell r="E27" t="str">
            <v>501_M0111_C_026R</v>
          </cell>
          <cell r="F27">
            <v>45822.6770833333</v>
          </cell>
          <cell r="G27" t="str">
            <v>WINK</v>
          </cell>
          <cell r="H27">
            <v>195.36</v>
          </cell>
          <cell r="I27">
            <v>3</v>
          </cell>
          <cell r="J27">
            <v>198.36</v>
          </cell>
          <cell r="K27">
            <v>2</v>
          </cell>
          <cell r="L27">
            <v>2.31</v>
          </cell>
          <cell r="M27">
            <v>77</v>
          </cell>
          <cell r="N27" t="str">
            <v>continuous</v>
          </cell>
        </row>
        <row r="27">
          <cell r="Q27" t="str">
            <v>yes</v>
          </cell>
          <cell r="R27" t="str">
            <v>all</v>
          </cell>
          <cell r="S27" t="str">
            <v>R</v>
          </cell>
          <cell r="T27" t="str">
            <v>R (QD-TEC)</v>
          </cell>
        </row>
        <row r="27">
          <cell r="V27">
            <v>72</v>
          </cell>
          <cell r="W27">
            <v>0</v>
          </cell>
          <cell r="X27">
            <v>195.36</v>
          </cell>
          <cell r="Y27">
            <v>198.36</v>
          </cell>
        </row>
        <row r="27">
          <cell r="AA27" t="str">
            <v>IBCR0501ECL7Q01</v>
          </cell>
        </row>
        <row r="27">
          <cell r="AD27" t="str">
            <v>BLY PQ3</v>
          </cell>
          <cell r="AE27" t="str">
            <v>Water-based mud (WBM)</v>
          </cell>
          <cell r="AF27" t="str">
            <v>PureBore by Clear Solutions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C</v>
          </cell>
          <cell r="E28" t="str">
            <v>501_M0111_C_027R</v>
          </cell>
          <cell r="F28">
            <v>45822.7083333333</v>
          </cell>
          <cell r="G28" t="str">
            <v>WINK</v>
          </cell>
          <cell r="H28">
            <v>198.36</v>
          </cell>
          <cell r="I28">
            <v>3</v>
          </cell>
          <cell r="J28">
            <v>201.36</v>
          </cell>
          <cell r="K28">
            <v>2</v>
          </cell>
          <cell r="L28">
            <v>2.61</v>
          </cell>
          <cell r="M28">
            <v>87</v>
          </cell>
        </row>
        <row r="28">
          <cell r="P28" t="str">
            <v>microspheres</v>
          </cell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</row>
        <row r="28">
          <cell r="V28">
            <v>72</v>
          </cell>
          <cell r="W28">
            <v>0</v>
          </cell>
          <cell r="X28">
            <v>198.36</v>
          </cell>
          <cell r="Y28">
            <v>201.36</v>
          </cell>
        </row>
        <row r="28">
          <cell r="AA28" t="str">
            <v>IBCR0501ECM7Q01</v>
          </cell>
        </row>
        <row r="28">
          <cell r="AD28" t="str">
            <v>BLY PQ3</v>
          </cell>
          <cell r="AE28" t="str">
            <v>Water-based mud (WBM)</v>
          </cell>
          <cell r="AF28" t="str">
            <v>PureBore by Clear Solutions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C</v>
          </cell>
          <cell r="E29" t="str">
            <v>501_M0111_C_028R</v>
          </cell>
          <cell r="F29">
            <v>45822.7604166667</v>
          </cell>
          <cell r="G29" t="str">
            <v>WINK</v>
          </cell>
          <cell r="H29">
            <v>201.36</v>
          </cell>
          <cell r="I29">
            <v>3</v>
          </cell>
          <cell r="J29">
            <v>204.36</v>
          </cell>
          <cell r="K29">
            <v>3</v>
          </cell>
          <cell r="L29">
            <v>3.15</v>
          </cell>
          <cell r="M29">
            <v>105</v>
          </cell>
        </row>
        <row r="29"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</row>
        <row r="29">
          <cell r="V29">
            <v>72</v>
          </cell>
          <cell r="W29">
            <v>0</v>
          </cell>
          <cell r="X29">
            <v>201.36</v>
          </cell>
          <cell r="Y29">
            <v>204.36</v>
          </cell>
        </row>
        <row r="29">
          <cell r="AA29" t="str">
            <v>IBCR0501ECN7Q01</v>
          </cell>
        </row>
        <row r="29">
          <cell r="AD29" t="str">
            <v>BLY PQ3</v>
          </cell>
          <cell r="AE29" t="str">
            <v>Water-based mud (WBM)</v>
          </cell>
          <cell r="AF29" t="str">
            <v>PureBore by Clear Solutions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C</v>
          </cell>
          <cell r="E30" t="str">
            <v>501_M0111_C_029R</v>
          </cell>
          <cell r="F30">
            <v>45822.7881944444</v>
          </cell>
          <cell r="G30" t="str">
            <v>WINK</v>
          </cell>
          <cell r="H30">
            <v>204.36</v>
          </cell>
          <cell r="I30">
            <v>3</v>
          </cell>
          <cell r="J30">
            <v>207.36</v>
          </cell>
          <cell r="K30">
            <v>1</v>
          </cell>
          <cell r="L30">
            <v>0.33</v>
          </cell>
          <cell r="M30">
            <v>11</v>
          </cell>
        </row>
        <row r="30"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</row>
        <row r="30">
          <cell r="V30">
            <v>72</v>
          </cell>
          <cell r="W30">
            <v>0</v>
          </cell>
          <cell r="X30">
            <v>204.36</v>
          </cell>
          <cell r="Y30">
            <v>207.36</v>
          </cell>
        </row>
        <row r="30">
          <cell r="AA30" t="str">
            <v>IBCR0501ECO7Q01</v>
          </cell>
        </row>
        <row r="30">
          <cell r="AD30" t="str">
            <v>BLY PQ3</v>
          </cell>
          <cell r="AE30" t="str">
            <v>Water-based mud (WBM)</v>
          </cell>
          <cell r="AF30" t="str">
            <v>PureBore by Clear Solutions</v>
          </cell>
        </row>
        <row r="31">
          <cell r="A31">
            <v>30</v>
          </cell>
          <cell r="B31">
            <v>501</v>
          </cell>
          <cell r="C31" t="str">
            <v>M0111</v>
          </cell>
          <cell r="D31" t="str">
            <v>C</v>
          </cell>
          <cell r="E31" t="str">
            <v>501_M0111_C_030R</v>
          </cell>
          <cell r="F31">
            <v>45822.8298611111</v>
          </cell>
          <cell r="G31" t="str">
            <v>KUHN</v>
          </cell>
          <cell r="H31">
            <v>207.36</v>
          </cell>
          <cell r="I31">
            <v>3</v>
          </cell>
          <cell r="J31">
            <v>210.36</v>
          </cell>
          <cell r="K31">
            <v>3</v>
          </cell>
          <cell r="L31">
            <v>2.89</v>
          </cell>
          <cell r="M31">
            <v>96.33</v>
          </cell>
        </row>
        <row r="31"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</row>
        <row r="31">
          <cell r="V31">
            <v>72</v>
          </cell>
          <cell r="W31">
            <v>0</v>
          </cell>
          <cell r="X31">
            <v>207.36</v>
          </cell>
          <cell r="Y31">
            <v>210.36</v>
          </cell>
        </row>
        <row r="31">
          <cell r="AA31" t="str">
            <v>IBCR0501ECP7Q01</v>
          </cell>
        </row>
        <row r="31">
          <cell r="AD31" t="str">
            <v>BLY PQ3</v>
          </cell>
          <cell r="AE31" t="str">
            <v>Water-based mud (WBM)</v>
          </cell>
          <cell r="AF31" t="str">
            <v>PureBore by Clear Solutions</v>
          </cell>
        </row>
        <row r="32">
          <cell r="A32">
            <v>31</v>
          </cell>
          <cell r="B32">
            <v>501</v>
          </cell>
          <cell r="C32" t="str">
            <v>M0111</v>
          </cell>
          <cell r="D32" t="str">
            <v>C</v>
          </cell>
          <cell r="E32" t="str">
            <v>501_M0111_C_031R</v>
          </cell>
          <cell r="F32">
            <v>45822.875</v>
          </cell>
          <cell r="G32" t="str">
            <v>KUHN</v>
          </cell>
          <cell r="H32">
            <v>210.36</v>
          </cell>
          <cell r="I32">
            <v>3</v>
          </cell>
          <cell r="J32">
            <v>213.36</v>
          </cell>
          <cell r="K32">
            <v>1</v>
          </cell>
          <cell r="L32">
            <v>1.31</v>
          </cell>
          <cell r="M32">
            <v>43.67</v>
          </cell>
        </row>
        <row r="32">
          <cell r="P32" t="str">
            <v>wood sampled from bottom</v>
          </cell>
        </row>
        <row r="32">
          <cell r="X32">
            <v>210.36</v>
          </cell>
          <cell r="Y32">
            <v>213.36</v>
          </cell>
        </row>
        <row r="33">
          <cell r="A33">
            <v>32</v>
          </cell>
          <cell r="B33">
            <v>501</v>
          </cell>
          <cell r="C33" t="str">
            <v>M0111</v>
          </cell>
          <cell r="D33" t="str">
            <v>C</v>
          </cell>
          <cell r="E33" t="str">
            <v>501_M0111_C_032R</v>
          </cell>
          <cell r="F33">
            <v>45822.9305555556</v>
          </cell>
          <cell r="G33" t="str">
            <v>KUHN</v>
          </cell>
          <cell r="H33">
            <v>213.36</v>
          </cell>
          <cell r="I33">
            <v>3</v>
          </cell>
          <cell r="J33">
            <v>216.36</v>
          </cell>
          <cell r="K33">
            <v>1</v>
          </cell>
          <cell r="L33">
            <v>0.47</v>
          </cell>
          <cell r="M33">
            <v>15.67</v>
          </cell>
        </row>
        <row r="33">
          <cell r="Q33" t="str">
            <v>yes</v>
          </cell>
          <cell r="R33" t="str">
            <v>all</v>
          </cell>
          <cell r="S33" t="str">
            <v>R</v>
          </cell>
          <cell r="T33" t="str">
            <v>R (QD-TEC)</v>
          </cell>
        </row>
        <row r="33">
          <cell r="V33">
            <v>72</v>
          </cell>
          <cell r="W33">
            <v>0</v>
          </cell>
          <cell r="X33">
            <v>213.36</v>
          </cell>
          <cell r="Y33">
            <v>216.36</v>
          </cell>
        </row>
        <row r="33">
          <cell r="AA33" t="str">
            <v>IBCR0501ECR7Q01</v>
          </cell>
        </row>
        <row r="33">
          <cell r="AD33" t="str">
            <v>BLY PQ3</v>
          </cell>
          <cell r="AE33" t="str">
            <v>Water-based mud (WBM)</v>
          </cell>
          <cell r="AF33" t="str">
            <v>PureBore by Clear Solutions</v>
          </cell>
        </row>
        <row r="34">
          <cell r="A34">
            <v>33</v>
          </cell>
          <cell r="B34">
            <v>501</v>
          </cell>
          <cell r="C34" t="str">
            <v>M0111</v>
          </cell>
          <cell r="D34" t="str">
            <v>C</v>
          </cell>
          <cell r="E34" t="str">
            <v>501_M0111_C_033R</v>
          </cell>
          <cell r="F34">
            <v>45821.9583333333</v>
          </cell>
          <cell r="G34" t="str">
            <v>WINK</v>
          </cell>
          <cell r="H34">
            <v>216.36</v>
          </cell>
          <cell r="I34">
            <v>3</v>
          </cell>
          <cell r="J34">
            <v>219.36</v>
          </cell>
          <cell r="K34">
            <v>2</v>
          </cell>
          <cell r="L34">
            <v>2.32</v>
          </cell>
          <cell r="M34">
            <v>77.33</v>
          </cell>
        </row>
        <row r="34">
          <cell r="Q34" t="str">
            <v>yes</v>
          </cell>
          <cell r="R34" t="str">
            <v>all</v>
          </cell>
          <cell r="S34" t="str">
            <v>R</v>
          </cell>
          <cell r="T34" t="str">
            <v>R (QD-TEC)</v>
          </cell>
        </row>
        <row r="34">
          <cell r="V34">
            <v>72</v>
          </cell>
          <cell r="W34">
            <v>0</v>
          </cell>
          <cell r="X34">
            <v>216.36</v>
          </cell>
          <cell r="Y34">
            <v>219.36</v>
          </cell>
        </row>
        <row r="34">
          <cell r="AA34" t="str">
            <v>IBCR0501ECS7Q01</v>
          </cell>
        </row>
        <row r="34">
          <cell r="AD34" t="str">
            <v>BLY PQ3</v>
          </cell>
          <cell r="AE34" t="str">
            <v>Water-based mud (WBM)</v>
          </cell>
          <cell r="AF34" t="str">
            <v>PureBore by Clear Solutions</v>
          </cell>
        </row>
        <row r="35">
          <cell r="A35">
            <v>34</v>
          </cell>
          <cell r="B35">
            <v>501</v>
          </cell>
          <cell r="C35" t="str">
            <v>M0111</v>
          </cell>
          <cell r="D35" t="str">
            <v>C</v>
          </cell>
          <cell r="E35" t="str">
            <v>501_M0111_C_034R</v>
          </cell>
          <cell r="F35">
            <v>45822.9895833333</v>
          </cell>
          <cell r="G35" t="str">
            <v>WINK</v>
          </cell>
          <cell r="H35">
            <v>219.36</v>
          </cell>
          <cell r="I35">
            <v>3</v>
          </cell>
          <cell r="J35">
            <v>222.36</v>
          </cell>
          <cell r="K35">
            <v>2</v>
          </cell>
          <cell r="L35">
            <v>2.38</v>
          </cell>
          <cell r="M35">
            <v>79.33</v>
          </cell>
        </row>
        <row r="35">
          <cell r="Q35" t="str">
            <v>yes</v>
          </cell>
          <cell r="R35" t="str">
            <v>all</v>
          </cell>
          <cell r="S35" t="str">
            <v>R</v>
          </cell>
          <cell r="T35" t="str">
            <v>R (QD-TEC)</v>
          </cell>
        </row>
        <row r="35">
          <cell r="V35">
            <v>72</v>
          </cell>
          <cell r="W35">
            <v>0</v>
          </cell>
          <cell r="X35">
            <v>219.36</v>
          </cell>
          <cell r="Y35">
            <v>222.36</v>
          </cell>
        </row>
        <row r="35">
          <cell r="AA35" t="str">
            <v>IBCR0501ECT7Q01</v>
          </cell>
        </row>
        <row r="35">
          <cell r="AD35" t="str">
            <v>BLY PQ3</v>
          </cell>
          <cell r="AE35" t="str">
            <v>Water-based mud (WBM)</v>
          </cell>
          <cell r="AF35" t="str">
            <v>PureBore by Clear Solutions</v>
          </cell>
        </row>
        <row r="36">
          <cell r="A36">
            <v>35</v>
          </cell>
          <cell r="B36">
            <v>501</v>
          </cell>
          <cell r="C36" t="str">
            <v>M0111</v>
          </cell>
          <cell r="D36" t="str">
            <v>C</v>
          </cell>
          <cell r="E36" t="str">
            <v>501_M0111_C_035R</v>
          </cell>
          <cell r="F36">
            <v>45823.0694444444</v>
          </cell>
          <cell r="G36" t="str">
            <v>KUHN</v>
          </cell>
          <cell r="H36">
            <v>222.36</v>
          </cell>
          <cell r="I36">
            <v>0.8</v>
          </cell>
          <cell r="J36">
            <v>223.16</v>
          </cell>
          <cell r="K36">
            <v>1</v>
          </cell>
          <cell r="L36">
            <v>0.63</v>
          </cell>
          <cell r="M36">
            <v>78.75</v>
          </cell>
        </row>
        <row r="36"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</row>
        <row r="36">
          <cell r="V36">
            <v>72</v>
          </cell>
          <cell r="W36">
            <v>0</v>
          </cell>
          <cell r="X36">
            <v>222.36</v>
          </cell>
          <cell r="Y36">
            <v>223.16</v>
          </cell>
        </row>
        <row r="36">
          <cell r="AA36" t="str">
            <v>IBCR0501ECU7Q01</v>
          </cell>
        </row>
        <row r="36">
          <cell r="AD36" t="str">
            <v>BLY PQ3</v>
          </cell>
          <cell r="AE36" t="str">
            <v>Water-based mud (WBM)</v>
          </cell>
          <cell r="AF36" t="str">
            <v>PureBore by Clear Solutions</v>
          </cell>
        </row>
        <row r="37">
          <cell r="A37">
            <v>36</v>
          </cell>
          <cell r="B37">
            <v>501</v>
          </cell>
          <cell r="C37" t="str">
            <v>M0111</v>
          </cell>
          <cell r="D37" t="str">
            <v>C</v>
          </cell>
          <cell r="E37" t="str">
            <v>501_M0111_C_036R</v>
          </cell>
          <cell r="F37">
            <v>45823.1041666667</v>
          </cell>
          <cell r="G37" t="str">
            <v>WINK</v>
          </cell>
          <cell r="H37">
            <v>223.16</v>
          </cell>
          <cell r="I37">
            <v>2.2</v>
          </cell>
          <cell r="J37">
            <v>225.36</v>
          </cell>
          <cell r="K37">
            <v>1</v>
          </cell>
          <cell r="L37">
            <v>0.5</v>
          </cell>
          <cell r="M37">
            <v>22.73</v>
          </cell>
        </row>
        <row r="37"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</row>
        <row r="37">
          <cell r="V37">
            <v>72</v>
          </cell>
          <cell r="W37">
            <v>0</v>
          </cell>
          <cell r="X37">
            <v>223.16</v>
          </cell>
          <cell r="Y37">
            <v>225.36</v>
          </cell>
        </row>
        <row r="37">
          <cell r="AA37" t="str">
            <v>IBCR0501ECV7Q01</v>
          </cell>
        </row>
        <row r="37">
          <cell r="AD37" t="str">
            <v>BLY PQ3</v>
          </cell>
          <cell r="AE37" t="str">
            <v>Water-based mud (WBM)</v>
          </cell>
          <cell r="AF37" t="str">
            <v>PureBore by Clear Solutions</v>
          </cell>
        </row>
        <row r="38">
          <cell r="A38">
            <v>37</v>
          </cell>
          <cell r="B38">
            <v>501</v>
          </cell>
          <cell r="C38" t="str">
            <v>M0111</v>
          </cell>
          <cell r="D38" t="str">
            <v>C</v>
          </cell>
          <cell r="E38" t="str">
            <v>501_M0111_C_037R</v>
          </cell>
          <cell r="F38">
            <v>45823.1493055556</v>
          </cell>
          <cell r="G38" t="str">
            <v>WINK</v>
          </cell>
          <cell r="H38">
            <v>225.36</v>
          </cell>
          <cell r="I38">
            <v>3</v>
          </cell>
          <cell r="J38">
            <v>228.36</v>
          </cell>
          <cell r="K38">
            <v>1</v>
          </cell>
          <cell r="L38">
            <v>0.03</v>
          </cell>
          <cell r="M38">
            <v>1</v>
          </cell>
          <cell r="N38" t="str">
            <v>discontinuous</v>
          </cell>
        </row>
        <row r="38">
          <cell r="P38" t="str">
            <v>all to PAL</v>
          </cell>
        </row>
        <row r="39">
          <cell r="A39">
            <v>38</v>
          </cell>
          <cell r="B39">
            <v>501</v>
          </cell>
          <cell r="C39" t="str">
            <v>M0111</v>
          </cell>
          <cell r="D39" t="str">
            <v>C</v>
          </cell>
          <cell r="E39" t="str">
            <v>501_M0111_C_038R</v>
          </cell>
          <cell r="F39">
            <v>45823.1840277778</v>
          </cell>
          <cell r="G39" t="str">
            <v>HK</v>
          </cell>
          <cell r="H39">
            <v>228.36</v>
          </cell>
          <cell r="I39">
            <v>1</v>
          </cell>
          <cell r="J39">
            <v>229.36</v>
          </cell>
          <cell r="K39">
            <v>1</v>
          </cell>
          <cell r="L39">
            <v>0.02</v>
          </cell>
          <cell r="M39">
            <v>2</v>
          </cell>
          <cell r="N39" t="str">
            <v>discontinuous</v>
          </cell>
        </row>
        <row r="39">
          <cell r="P39" t="str">
            <v>all to PAL</v>
          </cell>
        </row>
        <row r="40">
          <cell r="A40">
            <v>39</v>
          </cell>
          <cell r="B40">
            <v>501</v>
          </cell>
          <cell r="C40" t="str">
            <v>M0111</v>
          </cell>
          <cell r="D40" t="str">
            <v>C</v>
          </cell>
          <cell r="E40" t="str">
            <v>501_M0111_C_039R</v>
          </cell>
          <cell r="F40">
            <v>45823.2395833333</v>
          </cell>
          <cell r="G40" t="str">
            <v>HK</v>
          </cell>
          <cell r="H40">
            <v>229.36</v>
          </cell>
          <cell r="I40">
            <v>2</v>
          </cell>
          <cell r="J40">
            <v>231.36</v>
          </cell>
          <cell r="K40">
            <v>1</v>
          </cell>
          <cell r="L40">
            <v>0.94</v>
          </cell>
          <cell r="M40">
            <v>47</v>
          </cell>
          <cell r="N40" t="str">
            <v>discontinuous</v>
          </cell>
        </row>
        <row r="40">
          <cell r="Q40" t="str">
            <v>yes</v>
          </cell>
          <cell r="R40" t="str">
            <v>all</v>
          </cell>
          <cell r="S40" t="str">
            <v>R</v>
          </cell>
          <cell r="T40" t="str">
            <v>R (QD-TEC)</v>
          </cell>
        </row>
        <row r="40">
          <cell r="V40">
            <v>72</v>
          </cell>
          <cell r="W40">
            <v>0</v>
          </cell>
          <cell r="X40">
            <v>229.36</v>
          </cell>
          <cell r="Y40">
            <v>231.36</v>
          </cell>
        </row>
        <row r="40">
          <cell r="AA40" t="str">
            <v>IBCR0501ECY7Q01</v>
          </cell>
        </row>
        <row r="40">
          <cell r="AD40" t="str">
            <v>BLY PQ3</v>
          </cell>
          <cell r="AE40" t="str">
            <v>Water-based mud (WBM)</v>
          </cell>
          <cell r="AF40" t="str">
            <v>PureBore by Clear Solutions</v>
          </cell>
        </row>
        <row r="41">
          <cell r="A41">
            <v>40</v>
          </cell>
          <cell r="B41">
            <v>501</v>
          </cell>
          <cell r="C41" t="str">
            <v>M0111</v>
          </cell>
          <cell r="D41" t="str">
            <v>C</v>
          </cell>
          <cell r="E41" t="str">
            <v>501_M0111_C_040O</v>
          </cell>
          <cell r="F41">
            <v>45823.2395833333</v>
          </cell>
          <cell r="G41" t="str">
            <v>HK</v>
          </cell>
          <cell r="H41">
            <v>201</v>
          </cell>
          <cell r="I41">
            <v>30.36</v>
          </cell>
          <cell r="J41">
            <v>231.36</v>
          </cell>
          <cell r="K41">
            <v>1</v>
          </cell>
          <cell r="L41">
            <v>30.36</v>
          </cell>
          <cell r="M41">
            <v>100</v>
          </cell>
        </row>
        <row r="41">
          <cell r="P41" t="str">
            <v>VIRTUAL CORE. Pump test.</v>
          </cell>
          <cell r="Q41" t="str">
            <v>yes</v>
          </cell>
          <cell r="R41" t="str">
            <v>none</v>
          </cell>
          <cell r="S41" t="str">
            <v>O</v>
          </cell>
          <cell r="T41" t="str">
            <v>O (QD-TEC)</v>
          </cell>
        </row>
        <row r="41">
          <cell r="V41">
            <v>72</v>
          </cell>
        </row>
        <row r="41">
          <cell r="X41">
            <v>201</v>
          </cell>
          <cell r="Y41">
            <v>231.36</v>
          </cell>
        </row>
        <row r="41">
          <cell r="AA41" t="str">
            <v>IBCR0501ECZ7Q01</v>
          </cell>
        </row>
      </sheetData>
      <sheetData sheetId="8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M0112</v>
          </cell>
          <cell r="D2" t="str">
            <v>A</v>
          </cell>
          <cell r="E2" t="str">
            <v>501_M0112_A_001H</v>
          </cell>
          <cell r="F2">
            <v>45826.6111111111</v>
          </cell>
          <cell r="G2" t="str">
            <v>HK</v>
          </cell>
          <cell r="H2">
            <v>0</v>
          </cell>
          <cell r="I2">
            <v>2.21</v>
          </cell>
          <cell r="J2">
            <v>2.21</v>
          </cell>
          <cell r="K2">
            <v>2</v>
          </cell>
          <cell r="L2">
            <v>2.21</v>
          </cell>
          <cell r="M2">
            <v>100</v>
          </cell>
        </row>
        <row r="2"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</row>
        <row r="2">
          <cell r="V2">
            <v>72</v>
          </cell>
          <cell r="W2">
            <v>0</v>
          </cell>
          <cell r="X2">
            <v>0</v>
          </cell>
          <cell r="Y2">
            <v>2.21</v>
          </cell>
        </row>
        <row r="3">
          <cell r="A3">
            <v>2</v>
          </cell>
          <cell r="B3">
            <v>501</v>
          </cell>
          <cell r="C3" t="str">
            <v>M0112</v>
          </cell>
          <cell r="D3" t="str">
            <v>A</v>
          </cell>
          <cell r="E3" t="str">
            <v>501_M0112_A_002H</v>
          </cell>
          <cell r="F3">
            <v>45826.6597222222</v>
          </cell>
          <cell r="G3" t="str">
            <v>WINK</v>
          </cell>
          <cell r="H3">
            <v>2.21</v>
          </cell>
          <cell r="I3">
            <v>2.8</v>
          </cell>
          <cell r="J3">
            <v>5.01</v>
          </cell>
          <cell r="K3">
            <v>2</v>
          </cell>
          <cell r="L3">
            <v>2.8</v>
          </cell>
          <cell r="M3">
            <v>100</v>
          </cell>
        </row>
        <row r="3"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</row>
        <row r="3">
          <cell r="V3">
            <v>72</v>
          </cell>
          <cell r="W3">
            <v>0</v>
          </cell>
          <cell r="X3">
            <v>2.21</v>
          </cell>
          <cell r="Y3">
            <v>5.01</v>
          </cell>
        </row>
        <row r="4">
          <cell r="A4">
            <v>3</v>
          </cell>
          <cell r="B4">
            <v>501</v>
          </cell>
          <cell r="C4" t="str">
            <v>M0112</v>
          </cell>
          <cell r="D4" t="str">
            <v>A</v>
          </cell>
          <cell r="E4" t="str">
            <v>501_M0112_A_003H</v>
          </cell>
          <cell r="F4">
            <v>45826.7048611111</v>
          </cell>
          <cell r="G4" t="str">
            <v>WINK</v>
          </cell>
          <cell r="H4">
            <v>5.01</v>
          </cell>
          <cell r="I4">
            <v>2.16</v>
          </cell>
          <cell r="J4">
            <v>7.17</v>
          </cell>
          <cell r="K4">
            <v>2</v>
          </cell>
          <cell r="L4">
            <v>2.16</v>
          </cell>
          <cell r="M4">
            <v>100</v>
          </cell>
        </row>
        <row r="4"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  <cell r="W4">
            <v>0</v>
          </cell>
          <cell r="X4">
            <v>5.01</v>
          </cell>
          <cell r="Y4">
            <v>7.17</v>
          </cell>
        </row>
        <row r="5">
          <cell r="A5">
            <v>4</v>
          </cell>
          <cell r="B5">
            <v>501</v>
          </cell>
          <cell r="C5" t="str">
            <v>M0112</v>
          </cell>
          <cell r="D5" t="str">
            <v>A</v>
          </cell>
          <cell r="E5" t="str">
            <v>501_M0112_A_004H</v>
          </cell>
          <cell r="F5">
            <v>45826.7465277778</v>
          </cell>
          <cell r="G5" t="str">
            <v>WINK</v>
          </cell>
          <cell r="H5">
            <v>7.17</v>
          </cell>
          <cell r="I5">
            <v>2.08</v>
          </cell>
          <cell r="J5">
            <v>9.25</v>
          </cell>
          <cell r="K5">
            <v>2</v>
          </cell>
          <cell r="L5">
            <v>2.08</v>
          </cell>
          <cell r="M5">
            <v>100</v>
          </cell>
        </row>
        <row r="5"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</row>
        <row r="5">
          <cell r="V5">
            <v>72</v>
          </cell>
          <cell r="W5">
            <v>0</v>
          </cell>
          <cell r="X5">
            <v>7.17</v>
          </cell>
          <cell r="Y5">
            <v>9.25</v>
          </cell>
        </row>
        <row r="6">
          <cell r="A6">
            <v>5</v>
          </cell>
          <cell r="B6">
            <v>501</v>
          </cell>
          <cell r="C6" t="str">
            <v>M0112</v>
          </cell>
          <cell r="D6" t="str">
            <v>A</v>
          </cell>
          <cell r="E6" t="str">
            <v>501_M0112_A_005H</v>
          </cell>
          <cell r="F6">
            <v>45826.7951388889</v>
          </cell>
          <cell r="G6" t="str">
            <v>WINK</v>
          </cell>
          <cell r="H6">
            <v>9.25</v>
          </cell>
          <cell r="I6">
            <v>2.2</v>
          </cell>
          <cell r="J6">
            <v>11.45</v>
          </cell>
          <cell r="K6">
            <v>2</v>
          </cell>
          <cell r="L6">
            <v>2.2</v>
          </cell>
          <cell r="M6">
            <v>100</v>
          </cell>
        </row>
        <row r="6"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</row>
        <row r="6">
          <cell r="V6">
            <v>72</v>
          </cell>
          <cell r="W6">
            <v>0</v>
          </cell>
          <cell r="X6">
            <v>9.25</v>
          </cell>
          <cell r="Y6">
            <v>11.45</v>
          </cell>
        </row>
        <row r="7">
          <cell r="A7">
            <v>6</v>
          </cell>
          <cell r="B7">
            <v>501</v>
          </cell>
          <cell r="C7" t="str">
            <v>M0112</v>
          </cell>
          <cell r="D7" t="str">
            <v>A</v>
          </cell>
          <cell r="E7" t="str">
            <v>501_M0112_A_006H</v>
          </cell>
          <cell r="F7">
            <v>45826.8368055556</v>
          </cell>
          <cell r="G7" t="str">
            <v>WINK</v>
          </cell>
          <cell r="H7">
            <v>11.45</v>
          </cell>
          <cell r="I7">
            <v>0.76</v>
          </cell>
          <cell r="J7">
            <v>12.21</v>
          </cell>
          <cell r="K7">
            <v>1</v>
          </cell>
          <cell r="L7">
            <v>0.76</v>
          </cell>
          <cell r="M7">
            <v>100</v>
          </cell>
        </row>
        <row r="7"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</row>
        <row r="7">
          <cell r="V7">
            <v>72</v>
          </cell>
          <cell r="W7">
            <v>0</v>
          </cell>
          <cell r="X7">
            <v>11.45</v>
          </cell>
          <cell r="Y7">
            <v>12.21</v>
          </cell>
        </row>
        <row r="8">
          <cell r="A8">
            <v>7</v>
          </cell>
          <cell r="B8">
            <v>501</v>
          </cell>
          <cell r="C8" t="str">
            <v>M0112</v>
          </cell>
          <cell r="D8" t="str">
            <v>A</v>
          </cell>
          <cell r="E8" t="str">
            <v>501_M0112_A_007H</v>
          </cell>
          <cell r="F8">
            <v>45826.875</v>
          </cell>
          <cell r="G8" t="str">
            <v>WINK</v>
          </cell>
          <cell r="H8">
            <v>12.21</v>
          </cell>
          <cell r="I8">
            <v>2.37</v>
          </cell>
          <cell r="J8">
            <v>14.58</v>
          </cell>
          <cell r="K8">
            <v>2</v>
          </cell>
          <cell r="L8">
            <v>2.37</v>
          </cell>
          <cell r="M8">
            <v>100</v>
          </cell>
        </row>
        <row r="8"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</row>
        <row r="8">
          <cell r="V8">
            <v>72</v>
          </cell>
          <cell r="W8">
            <v>0</v>
          </cell>
          <cell r="X8">
            <v>12.21</v>
          </cell>
          <cell r="Y8">
            <v>14.58</v>
          </cell>
        </row>
        <row r="9">
          <cell r="A9">
            <v>8</v>
          </cell>
          <cell r="B9">
            <v>501</v>
          </cell>
          <cell r="C9" t="str">
            <v>M0112</v>
          </cell>
          <cell r="D9" t="str">
            <v>A</v>
          </cell>
          <cell r="E9" t="str">
            <v>501_M0112_A_008H</v>
          </cell>
          <cell r="F9">
            <v>45826.9201388889</v>
          </cell>
          <cell r="G9" t="str">
            <v>KUHN</v>
          </cell>
          <cell r="H9">
            <v>14.58</v>
          </cell>
          <cell r="I9">
            <v>2.65</v>
          </cell>
          <cell r="J9">
            <v>17.23</v>
          </cell>
          <cell r="K9">
            <v>2</v>
          </cell>
          <cell r="L9">
            <v>2.65</v>
          </cell>
          <cell r="M9">
            <v>100</v>
          </cell>
        </row>
        <row r="9">
          <cell r="Q9" t="str">
            <v>yes</v>
          </cell>
          <cell r="R9" t="str">
            <v>all</v>
          </cell>
          <cell r="S9" t="str">
            <v>H</v>
          </cell>
          <cell r="T9" t="str">
            <v>H (QD-TEC)</v>
          </cell>
        </row>
        <row r="9">
          <cell r="V9">
            <v>72</v>
          </cell>
          <cell r="W9">
            <v>0</v>
          </cell>
          <cell r="X9">
            <v>14.58</v>
          </cell>
          <cell r="Y9">
            <v>17.23</v>
          </cell>
        </row>
        <row r="10">
          <cell r="A10">
            <v>9</v>
          </cell>
          <cell r="B10">
            <v>501</v>
          </cell>
          <cell r="C10" t="str">
            <v>M0112</v>
          </cell>
          <cell r="D10" t="str">
            <v>A</v>
          </cell>
          <cell r="E10" t="str">
            <v>501_M0112_A_009H</v>
          </cell>
          <cell r="F10">
            <v>45826.9548611111</v>
          </cell>
          <cell r="G10" t="str">
            <v>KUHN</v>
          </cell>
          <cell r="H10">
            <v>17.23</v>
          </cell>
          <cell r="I10">
            <v>2.64</v>
          </cell>
          <cell r="J10">
            <v>19.87</v>
          </cell>
          <cell r="K10">
            <v>2</v>
          </cell>
          <cell r="L10">
            <v>2.64</v>
          </cell>
          <cell r="M10">
            <v>100</v>
          </cell>
        </row>
        <row r="10">
          <cell r="Q10" t="str">
            <v>yes</v>
          </cell>
          <cell r="R10" t="str">
            <v>all</v>
          </cell>
          <cell r="S10" t="str">
            <v>H</v>
          </cell>
          <cell r="T10" t="str">
            <v>H (QD-TEC)</v>
          </cell>
        </row>
        <row r="10">
          <cell r="V10">
            <v>72</v>
          </cell>
          <cell r="W10">
            <v>0</v>
          </cell>
          <cell r="X10">
            <v>17.23</v>
          </cell>
          <cell r="Y10">
            <v>19.87</v>
          </cell>
        </row>
        <row r="11">
          <cell r="A11">
            <v>10</v>
          </cell>
          <cell r="B11">
            <v>501</v>
          </cell>
          <cell r="C11" t="str">
            <v>M0112</v>
          </cell>
          <cell r="D11" t="str">
            <v>A</v>
          </cell>
          <cell r="E11" t="str">
            <v>501_M0112_A_010H</v>
          </cell>
          <cell r="F11">
            <v>45827.0069444444</v>
          </cell>
          <cell r="G11" t="str">
            <v>KUHN</v>
          </cell>
          <cell r="H11">
            <v>19.87</v>
          </cell>
          <cell r="I11">
            <v>1.41</v>
          </cell>
          <cell r="J11">
            <v>21.28</v>
          </cell>
          <cell r="K11">
            <v>1</v>
          </cell>
          <cell r="L11">
            <v>1.41</v>
          </cell>
          <cell r="M11">
            <v>100</v>
          </cell>
        </row>
        <row r="11">
          <cell r="Q11" t="str">
            <v>yes</v>
          </cell>
          <cell r="R11" t="str">
            <v>all</v>
          </cell>
          <cell r="S11" t="str">
            <v>H</v>
          </cell>
          <cell r="T11" t="str">
            <v>H (QD-TEC)</v>
          </cell>
        </row>
        <row r="11">
          <cell r="V11">
            <v>72</v>
          </cell>
          <cell r="W11">
            <v>0</v>
          </cell>
          <cell r="X11">
            <v>19.87</v>
          </cell>
          <cell r="Y11">
            <v>21.28</v>
          </cell>
        </row>
        <row r="12">
          <cell r="A12">
            <v>11</v>
          </cell>
          <cell r="B12">
            <v>501</v>
          </cell>
          <cell r="C12" t="str">
            <v>M0112</v>
          </cell>
          <cell r="D12" t="str">
            <v>A</v>
          </cell>
          <cell r="E12" t="str">
            <v>501_M0112_A_011H</v>
          </cell>
          <cell r="F12">
            <v>45827.0451388889</v>
          </cell>
          <cell r="G12" t="str">
            <v>KUHN</v>
          </cell>
          <cell r="H12">
            <v>21.28</v>
          </cell>
          <cell r="I12">
            <v>2.63</v>
          </cell>
          <cell r="J12">
            <v>23.91</v>
          </cell>
          <cell r="K12">
            <v>2</v>
          </cell>
          <cell r="L12">
            <v>2.63</v>
          </cell>
          <cell r="M12">
            <v>100</v>
          </cell>
        </row>
        <row r="12"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</row>
        <row r="12">
          <cell r="V12">
            <v>72</v>
          </cell>
          <cell r="W12">
            <v>0</v>
          </cell>
          <cell r="X12">
            <v>21.28</v>
          </cell>
          <cell r="Y12">
            <v>23.91</v>
          </cell>
        </row>
        <row r="13">
          <cell r="A13">
            <v>12</v>
          </cell>
          <cell r="B13">
            <v>501</v>
          </cell>
          <cell r="C13" t="str">
            <v>M0112</v>
          </cell>
          <cell r="D13" t="str">
            <v>A</v>
          </cell>
          <cell r="E13" t="str">
            <v>501_M0112_A_012H</v>
          </cell>
          <cell r="F13">
            <v>45827.0798611111</v>
          </cell>
          <cell r="G13" t="str">
            <v>KUHN</v>
          </cell>
          <cell r="H13">
            <v>23.91</v>
          </cell>
          <cell r="I13">
            <v>0.01</v>
          </cell>
          <cell r="J13">
            <v>23.92</v>
          </cell>
          <cell r="K13">
            <v>1</v>
          </cell>
          <cell r="L13">
            <v>0.01</v>
          </cell>
          <cell r="M13">
            <v>100</v>
          </cell>
        </row>
        <row r="13">
          <cell r="P13" t="str">
            <v>only CC</v>
          </cell>
        </row>
        <row r="13">
          <cell r="X13">
            <v>23.91</v>
          </cell>
          <cell r="Y13">
            <v>23.92</v>
          </cell>
        </row>
        <row r="14">
          <cell r="A14">
            <v>13</v>
          </cell>
          <cell r="B14">
            <v>501</v>
          </cell>
          <cell r="C14" t="str">
            <v>M0112</v>
          </cell>
          <cell r="D14" t="str">
            <v>A</v>
          </cell>
          <cell r="E14" t="str">
            <v>501_M0112_A_013H</v>
          </cell>
          <cell r="F14">
            <v>45827.1145833333</v>
          </cell>
          <cell r="G14" t="str">
            <v>KUHN</v>
          </cell>
          <cell r="H14">
            <v>23.92</v>
          </cell>
          <cell r="I14">
            <v>0.41</v>
          </cell>
          <cell r="J14">
            <v>24.33</v>
          </cell>
          <cell r="K14">
            <v>1</v>
          </cell>
          <cell r="L14">
            <v>0.41</v>
          </cell>
          <cell r="M14">
            <v>100</v>
          </cell>
        </row>
        <row r="14">
          <cell r="P14" t="str">
            <v>metal piece in sect.1</v>
          </cell>
        </row>
        <row r="14">
          <cell r="X14">
            <v>23.92</v>
          </cell>
          <cell r="Y14">
            <v>24.33</v>
          </cell>
        </row>
        <row r="15">
          <cell r="A15">
            <v>14</v>
          </cell>
          <cell r="B15">
            <v>501</v>
          </cell>
          <cell r="C15" t="str">
            <v>M0112</v>
          </cell>
          <cell r="D15" t="str">
            <v>A</v>
          </cell>
          <cell r="E15" t="str">
            <v>501_M0112_A_014H</v>
          </cell>
          <cell r="F15">
            <v>45827.1423611111</v>
          </cell>
          <cell r="G15" t="str">
            <v>KUHN</v>
          </cell>
          <cell r="H15">
            <v>24.33</v>
          </cell>
          <cell r="I15">
            <v>1.46</v>
          </cell>
          <cell r="J15">
            <v>25.79</v>
          </cell>
          <cell r="K15">
            <v>1</v>
          </cell>
          <cell r="L15">
            <v>1.46</v>
          </cell>
          <cell r="M15">
            <v>100</v>
          </cell>
        </row>
        <row r="15">
          <cell r="P15" t="str">
            <v>Bag in liner</v>
          </cell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</row>
        <row r="15">
          <cell r="V15">
            <v>72</v>
          </cell>
          <cell r="W15">
            <v>0</v>
          </cell>
          <cell r="X15">
            <v>24.33</v>
          </cell>
          <cell r="Y15">
            <v>25.79</v>
          </cell>
        </row>
        <row r="16">
          <cell r="A16">
            <v>15</v>
          </cell>
          <cell r="B16">
            <v>501</v>
          </cell>
          <cell r="C16" t="str">
            <v>M0112</v>
          </cell>
          <cell r="D16" t="str">
            <v>A</v>
          </cell>
          <cell r="E16" t="str">
            <v>501_M0112_A_015H</v>
          </cell>
          <cell r="F16">
            <v>45827.1819444444</v>
          </cell>
          <cell r="G16" t="str">
            <v>HK</v>
          </cell>
          <cell r="H16">
            <v>25.79</v>
          </cell>
          <cell r="I16">
            <v>1.88</v>
          </cell>
          <cell r="J16">
            <v>27.67</v>
          </cell>
          <cell r="K16">
            <v>2</v>
          </cell>
          <cell r="L16">
            <v>1.88</v>
          </cell>
          <cell r="M16">
            <v>100</v>
          </cell>
        </row>
        <row r="16"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</row>
        <row r="16">
          <cell r="V16">
            <v>72</v>
          </cell>
          <cell r="W16">
            <v>0</v>
          </cell>
          <cell r="X16">
            <v>25.79</v>
          </cell>
          <cell r="Y16">
            <v>27.67</v>
          </cell>
        </row>
        <row r="17">
          <cell r="A17">
            <v>16</v>
          </cell>
          <cell r="B17">
            <v>501</v>
          </cell>
          <cell r="C17" t="str">
            <v>M0112</v>
          </cell>
          <cell r="D17" t="str">
            <v>A</v>
          </cell>
          <cell r="E17" t="str">
            <v>501_M0112_A_016H</v>
          </cell>
          <cell r="F17">
            <v>45827.2222222222</v>
          </cell>
          <cell r="G17" t="str">
            <v>HK</v>
          </cell>
          <cell r="H17">
            <v>27.67</v>
          </cell>
          <cell r="I17">
            <v>1.81</v>
          </cell>
          <cell r="J17">
            <v>29.48</v>
          </cell>
          <cell r="K17">
            <v>2</v>
          </cell>
          <cell r="L17">
            <v>1.81</v>
          </cell>
          <cell r="M17">
            <v>100</v>
          </cell>
        </row>
        <row r="17"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</row>
        <row r="17">
          <cell r="V17">
            <v>72</v>
          </cell>
          <cell r="W17">
            <v>0</v>
          </cell>
          <cell r="X17">
            <v>27.67</v>
          </cell>
          <cell r="Y17">
            <v>29.48</v>
          </cell>
        </row>
        <row r="18">
          <cell r="A18">
            <v>17</v>
          </cell>
          <cell r="B18">
            <v>501</v>
          </cell>
          <cell r="C18" t="str">
            <v>M0112</v>
          </cell>
          <cell r="D18" t="str">
            <v>A</v>
          </cell>
          <cell r="E18" t="str">
            <v>501_M0112_A_017H</v>
          </cell>
          <cell r="F18">
            <v>45827.2708333333</v>
          </cell>
          <cell r="G18" t="str">
            <v>HK</v>
          </cell>
          <cell r="H18">
            <v>29.48</v>
          </cell>
          <cell r="I18">
            <v>0.62</v>
          </cell>
          <cell r="J18">
            <v>30.1</v>
          </cell>
          <cell r="K18">
            <v>1</v>
          </cell>
          <cell r="L18">
            <v>0.62</v>
          </cell>
          <cell r="M18">
            <v>100</v>
          </cell>
        </row>
        <row r="18"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</row>
        <row r="18">
          <cell r="V18">
            <v>72</v>
          </cell>
          <cell r="W18">
            <v>0</v>
          </cell>
          <cell r="X18">
            <v>29.48</v>
          </cell>
          <cell r="Y18">
            <v>30.1</v>
          </cell>
        </row>
        <row r="19">
          <cell r="A19">
            <v>18</v>
          </cell>
          <cell r="B19">
            <v>501</v>
          </cell>
          <cell r="C19" t="str">
            <v>M0112</v>
          </cell>
          <cell r="D19" t="str">
            <v>A</v>
          </cell>
          <cell r="E19" t="str">
            <v>501_M0112_A_018R</v>
          </cell>
          <cell r="F19">
            <v>45827.3368055556</v>
          </cell>
          <cell r="G19" t="str">
            <v>HK</v>
          </cell>
          <cell r="H19">
            <v>30.1</v>
          </cell>
          <cell r="I19">
            <v>2.11</v>
          </cell>
          <cell r="J19">
            <v>32.21</v>
          </cell>
          <cell r="K19">
            <v>0</v>
          </cell>
          <cell r="L19">
            <v>0</v>
          </cell>
          <cell r="M19">
            <v>0</v>
          </cell>
          <cell r="N19" t="str">
            <v>discontinuous</v>
          </cell>
        </row>
        <row r="19">
          <cell r="P19" t="str">
            <v>no recovery</v>
          </cell>
          <cell r="Q19" t="str">
            <v>no</v>
          </cell>
          <cell r="R19" t="str">
            <v>none</v>
          </cell>
          <cell r="S19" t="str">
            <v>R</v>
          </cell>
          <cell r="T19" t="str">
            <v>R (QD-TEC)</v>
          </cell>
        </row>
        <row r="19">
          <cell r="V19">
            <v>72</v>
          </cell>
          <cell r="W19">
            <v>0</v>
          </cell>
          <cell r="X19">
            <v>30.1</v>
          </cell>
          <cell r="Y19">
            <v>32.21</v>
          </cell>
        </row>
        <row r="20">
          <cell r="A20">
            <v>19</v>
          </cell>
          <cell r="B20">
            <v>501</v>
          </cell>
          <cell r="C20" t="str">
            <v>M0112</v>
          </cell>
          <cell r="D20" t="str">
            <v>A</v>
          </cell>
          <cell r="E20" t="str">
            <v>501_M0112_A_019H</v>
          </cell>
          <cell r="F20">
            <v>45827.3576388889</v>
          </cell>
          <cell r="G20" t="str">
            <v>HK</v>
          </cell>
          <cell r="H20">
            <v>32.21</v>
          </cell>
          <cell r="I20">
            <v>0.92</v>
          </cell>
          <cell r="J20">
            <v>33.13</v>
          </cell>
          <cell r="K20">
            <v>2</v>
          </cell>
          <cell r="L20">
            <v>0.92</v>
          </cell>
          <cell r="M20">
            <v>100</v>
          </cell>
          <cell r="N20" t="str">
            <v>discontinuous</v>
          </cell>
        </row>
        <row r="20">
          <cell r="P20" t="str">
            <v>liner stuck in core barrel</v>
          </cell>
        </row>
        <row r="20">
          <cell r="X20">
            <v>32.21</v>
          </cell>
          <cell r="Y20">
            <v>33.13</v>
          </cell>
        </row>
        <row r="21">
          <cell r="A21">
            <v>20</v>
          </cell>
          <cell r="B21">
            <v>501</v>
          </cell>
          <cell r="C21" t="str">
            <v>M0112</v>
          </cell>
          <cell r="D21" t="str">
            <v>A</v>
          </cell>
          <cell r="E21" t="str">
            <v>501_M0112_A_020H</v>
          </cell>
          <cell r="F21">
            <v>45827.4131944444</v>
          </cell>
          <cell r="G21" t="str">
            <v>HK</v>
          </cell>
          <cell r="H21">
            <v>33.13</v>
          </cell>
          <cell r="I21">
            <v>1.68</v>
          </cell>
          <cell r="J21">
            <v>34.81</v>
          </cell>
          <cell r="K21">
            <v>2</v>
          </cell>
          <cell r="L21">
            <v>1.68</v>
          </cell>
          <cell r="M21">
            <v>100</v>
          </cell>
          <cell r="N21" t="str">
            <v>discontinuous</v>
          </cell>
        </row>
        <row r="21">
          <cell r="P21" t="str">
            <v>loose sand</v>
          </cell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</row>
        <row r="21">
          <cell r="V21">
            <v>72</v>
          </cell>
          <cell r="W21">
            <v>0</v>
          </cell>
          <cell r="X21">
            <v>33.13</v>
          </cell>
          <cell r="Y21">
            <v>34.81</v>
          </cell>
        </row>
        <row r="22">
          <cell r="A22">
            <v>21</v>
          </cell>
          <cell r="B22">
            <v>501</v>
          </cell>
          <cell r="C22" t="str">
            <v>M0112</v>
          </cell>
          <cell r="D22" t="str">
            <v>A</v>
          </cell>
          <cell r="E22" t="str">
            <v>501_M0112_A_021H</v>
          </cell>
          <cell r="F22">
            <v>45827.4513888889</v>
          </cell>
          <cell r="G22" t="str">
            <v>HK</v>
          </cell>
          <cell r="H22">
            <v>34.81</v>
          </cell>
          <cell r="I22">
            <v>1.98</v>
          </cell>
          <cell r="J22">
            <v>36.79</v>
          </cell>
          <cell r="K22">
            <v>2</v>
          </cell>
          <cell r="L22">
            <v>1.98</v>
          </cell>
          <cell r="M22">
            <v>100</v>
          </cell>
        </row>
        <row r="22">
          <cell r="P22" t="str">
            <v>losse sand</v>
          </cell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</row>
        <row r="22">
          <cell r="V22">
            <v>72</v>
          </cell>
          <cell r="W22">
            <v>0</v>
          </cell>
          <cell r="X22">
            <v>34.81</v>
          </cell>
          <cell r="Y22">
            <v>36.79</v>
          </cell>
        </row>
        <row r="23">
          <cell r="A23">
            <v>22</v>
          </cell>
          <cell r="B23">
            <v>501</v>
          </cell>
          <cell r="C23" t="str">
            <v>M0112</v>
          </cell>
          <cell r="D23" t="str">
            <v>A</v>
          </cell>
          <cell r="E23" t="str">
            <v>501_M0112_A_022H</v>
          </cell>
          <cell r="F23">
            <v>45827.4895833333</v>
          </cell>
          <cell r="G23" t="str">
            <v>HK</v>
          </cell>
          <cell r="H23">
            <v>36.79</v>
          </cell>
          <cell r="I23">
            <v>1.8</v>
          </cell>
          <cell r="J23">
            <v>38.59</v>
          </cell>
          <cell r="K23">
            <v>2</v>
          </cell>
          <cell r="L23">
            <v>1.8</v>
          </cell>
          <cell r="M23">
            <v>100</v>
          </cell>
        </row>
        <row r="23">
          <cell r="P23" t="str">
            <v>loose sand</v>
          </cell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</row>
        <row r="23">
          <cell r="V23">
            <v>72</v>
          </cell>
          <cell r="W23">
            <v>0</v>
          </cell>
          <cell r="X23">
            <v>36.79</v>
          </cell>
          <cell r="Y23">
            <v>38.59</v>
          </cell>
        </row>
        <row r="24">
          <cell r="A24">
            <v>23</v>
          </cell>
          <cell r="B24">
            <v>501</v>
          </cell>
          <cell r="C24" t="str">
            <v>M0112</v>
          </cell>
          <cell r="D24" t="str">
            <v>A</v>
          </cell>
          <cell r="E24" t="str">
            <v>501_M0112_A_023H</v>
          </cell>
          <cell r="F24">
            <v>45827.5138888889</v>
          </cell>
          <cell r="G24" t="str">
            <v>HK</v>
          </cell>
          <cell r="H24">
            <v>38.59</v>
          </cell>
          <cell r="I24">
            <v>2.79</v>
          </cell>
          <cell r="J24">
            <v>41.38</v>
          </cell>
          <cell r="K24">
            <v>2</v>
          </cell>
          <cell r="L24">
            <v>2.89</v>
          </cell>
          <cell r="M24">
            <v>103.58</v>
          </cell>
        </row>
        <row r="24"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</row>
        <row r="24">
          <cell r="V24">
            <v>72</v>
          </cell>
          <cell r="W24">
            <v>0</v>
          </cell>
          <cell r="X24">
            <v>38.59</v>
          </cell>
          <cell r="Y24">
            <v>41.38</v>
          </cell>
        </row>
        <row r="25">
          <cell r="A25">
            <v>24</v>
          </cell>
          <cell r="B25">
            <v>501</v>
          </cell>
          <cell r="C25" t="str">
            <v>M0112</v>
          </cell>
          <cell r="D25" t="str">
            <v>A</v>
          </cell>
          <cell r="E25" t="str">
            <v>501_M0112_A_024H</v>
          </cell>
          <cell r="F25">
            <v>45827.5694444444</v>
          </cell>
          <cell r="G25" t="str">
            <v>HK</v>
          </cell>
          <cell r="H25">
            <v>41.38</v>
          </cell>
          <cell r="I25">
            <v>2.76</v>
          </cell>
          <cell r="J25">
            <v>44.14</v>
          </cell>
          <cell r="K25">
            <v>2</v>
          </cell>
          <cell r="L25">
            <v>2.93</v>
          </cell>
          <cell r="M25">
            <v>106.16</v>
          </cell>
        </row>
        <row r="25"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</row>
        <row r="25">
          <cell r="V25">
            <v>72</v>
          </cell>
          <cell r="W25">
            <v>0</v>
          </cell>
          <cell r="X25">
            <v>41.38</v>
          </cell>
          <cell r="Y25">
            <v>44.14</v>
          </cell>
        </row>
        <row r="26">
          <cell r="A26">
            <v>25</v>
          </cell>
          <cell r="B26">
            <v>501</v>
          </cell>
          <cell r="C26" t="str">
            <v>M0112</v>
          </cell>
          <cell r="D26" t="str">
            <v>A</v>
          </cell>
          <cell r="E26" t="str">
            <v>501_M0112_A_025H</v>
          </cell>
          <cell r="F26">
            <v>45827.6145833333</v>
          </cell>
          <cell r="G26" t="str">
            <v>HK</v>
          </cell>
          <cell r="H26">
            <v>44.14</v>
          </cell>
          <cell r="I26">
            <v>1.22</v>
          </cell>
          <cell r="J26">
            <v>45.36</v>
          </cell>
          <cell r="K26">
            <v>1</v>
          </cell>
          <cell r="L26">
            <v>1.22</v>
          </cell>
          <cell r="M26">
            <v>100</v>
          </cell>
        </row>
        <row r="26">
          <cell r="Q26" t="str">
            <v>yes</v>
          </cell>
          <cell r="R26" t="str">
            <v>all</v>
          </cell>
          <cell r="S26" t="str">
            <v>H</v>
          </cell>
          <cell r="T26" t="str">
            <v>H (QD-TEC)</v>
          </cell>
        </row>
        <row r="26">
          <cell r="V26">
            <v>72</v>
          </cell>
          <cell r="W26">
            <v>0</v>
          </cell>
          <cell r="X26">
            <v>44.14</v>
          </cell>
          <cell r="Y26">
            <v>45.36</v>
          </cell>
        </row>
        <row r="27">
          <cell r="A27">
            <v>26</v>
          </cell>
          <cell r="B27">
            <v>501</v>
          </cell>
          <cell r="C27" t="str">
            <v>M0112</v>
          </cell>
          <cell r="D27" t="str">
            <v>A</v>
          </cell>
          <cell r="E27" t="str">
            <v>501_M0112_A_026H</v>
          </cell>
          <cell r="F27">
            <v>45827.6493055556</v>
          </cell>
          <cell r="G27" t="str">
            <v>HK</v>
          </cell>
          <cell r="H27">
            <v>45.36</v>
          </cell>
          <cell r="I27">
            <v>0</v>
          </cell>
          <cell r="J27">
            <v>45.36</v>
          </cell>
          <cell r="K27">
            <v>0</v>
          </cell>
          <cell r="L27">
            <v>0</v>
          </cell>
          <cell r="M27">
            <v>0</v>
          </cell>
        </row>
        <row r="27">
          <cell r="P27" t="str">
            <v>no recovery</v>
          </cell>
          <cell r="Q27" t="str">
            <v>no</v>
          </cell>
          <cell r="R27" t="str">
            <v>none</v>
          </cell>
          <cell r="S27" t="str">
            <v>H</v>
          </cell>
          <cell r="T27" t="str">
            <v>H (QD-TEC)</v>
          </cell>
        </row>
        <row r="27">
          <cell r="V27">
            <v>72</v>
          </cell>
          <cell r="W27">
            <v>0</v>
          </cell>
          <cell r="X27">
            <v>45.36</v>
          </cell>
          <cell r="Y27">
            <v>45.36</v>
          </cell>
        </row>
        <row r="28">
          <cell r="A28">
            <v>27</v>
          </cell>
          <cell r="B28">
            <v>501</v>
          </cell>
          <cell r="C28" t="str">
            <v>M0112</v>
          </cell>
          <cell r="D28" t="str">
            <v>A</v>
          </cell>
          <cell r="E28" t="str">
            <v>501_M0112_A_027H</v>
          </cell>
          <cell r="F28">
            <v>45827.6736111111</v>
          </cell>
          <cell r="G28" t="str">
            <v>WINK</v>
          </cell>
          <cell r="H28">
            <v>45.36</v>
          </cell>
          <cell r="I28">
            <v>1.07</v>
          </cell>
          <cell r="J28">
            <v>46.43</v>
          </cell>
          <cell r="K28">
            <v>1</v>
          </cell>
          <cell r="L28">
            <v>1.07</v>
          </cell>
          <cell r="M28">
            <v>100</v>
          </cell>
        </row>
        <row r="28">
          <cell r="P28" t="str">
            <v>disturbed core</v>
          </cell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</row>
        <row r="28">
          <cell r="V28">
            <v>72</v>
          </cell>
          <cell r="W28">
            <v>0</v>
          </cell>
          <cell r="X28">
            <v>45.36</v>
          </cell>
          <cell r="Y28">
            <v>46.43</v>
          </cell>
        </row>
        <row r="29">
          <cell r="A29">
            <v>28</v>
          </cell>
          <cell r="B29">
            <v>501</v>
          </cell>
          <cell r="C29" t="str">
            <v>M0112</v>
          </cell>
          <cell r="D29" t="str">
            <v>A</v>
          </cell>
          <cell r="E29" t="str">
            <v>501_M0112_A_028H</v>
          </cell>
          <cell r="F29">
            <v>45827.71875</v>
          </cell>
          <cell r="G29" t="str">
            <v>WINK</v>
          </cell>
          <cell r="H29">
            <v>46.43</v>
          </cell>
          <cell r="I29">
            <v>1</v>
          </cell>
          <cell r="J29">
            <v>47.43</v>
          </cell>
          <cell r="K29">
            <v>1</v>
          </cell>
          <cell r="L29">
            <v>1</v>
          </cell>
          <cell r="M29">
            <v>100</v>
          </cell>
        </row>
        <row r="29"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</row>
        <row r="29">
          <cell r="V29">
            <v>72</v>
          </cell>
          <cell r="W29">
            <v>0</v>
          </cell>
          <cell r="X29">
            <v>46.43</v>
          </cell>
          <cell r="Y29">
            <v>47.43</v>
          </cell>
        </row>
        <row r="30">
          <cell r="A30">
            <v>29</v>
          </cell>
          <cell r="B30">
            <v>501</v>
          </cell>
          <cell r="C30" t="str">
            <v>M0112</v>
          </cell>
          <cell r="D30" t="str">
            <v>A</v>
          </cell>
          <cell r="E30" t="str">
            <v>501_M0112_A_029H</v>
          </cell>
          <cell r="F30">
            <v>45827.7534722222</v>
          </cell>
          <cell r="G30" t="str">
            <v>WINK</v>
          </cell>
          <cell r="H30">
            <v>47.43</v>
          </cell>
          <cell r="I30">
            <v>0.53</v>
          </cell>
          <cell r="J30">
            <v>47.96</v>
          </cell>
          <cell r="K30">
            <v>1</v>
          </cell>
          <cell r="L30">
            <v>0.53</v>
          </cell>
          <cell r="M30">
            <v>100</v>
          </cell>
        </row>
        <row r="30">
          <cell r="P30" t="str">
            <v>disturbed core</v>
          </cell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</row>
        <row r="30">
          <cell r="V30">
            <v>72</v>
          </cell>
          <cell r="W30">
            <v>0</v>
          </cell>
          <cell r="X30">
            <v>47.43</v>
          </cell>
          <cell r="Y30">
            <v>47.96</v>
          </cell>
        </row>
        <row r="31">
          <cell r="A31">
            <v>30</v>
          </cell>
          <cell r="B31">
            <v>501</v>
          </cell>
          <cell r="C31" t="str">
            <v>M0112</v>
          </cell>
          <cell r="D31" t="str">
            <v>A</v>
          </cell>
          <cell r="E31" t="str">
            <v>501_M0112_A_030H</v>
          </cell>
          <cell r="F31">
            <v>45827.7534722222</v>
          </cell>
          <cell r="G31" t="str">
            <v>WINK</v>
          </cell>
          <cell r="H31">
            <v>47.96</v>
          </cell>
          <cell r="I31">
            <v>0.22</v>
          </cell>
          <cell r="J31">
            <v>48.18</v>
          </cell>
          <cell r="K31">
            <v>1</v>
          </cell>
          <cell r="L31">
            <v>0.22</v>
          </cell>
          <cell r="M31">
            <v>100</v>
          </cell>
        </row>
        <row r="31">
          <cell r="Q31" t="str">
            <v>yes</v>
          </cell>
          <cell r="R31" t="str">
            <v>all</v>
          </cell>
          <cell r="S31" t="str">
            <v>H</v>
          </cell>
          <cell r="T31" t="str">
            <v>H (QD-TEC)</v>
          </cell>
        </row>
        <row r="31">
          <cell r="V31">
            <v>72</v>
          </cell>
          <cell r="W31">
            <v>0</v>
          </cell>
          <cell r="X31">
            <v>47.96</v>
          </cell>
          <cell r="Y31">
            <v>48.18</v>
          </cell>
        </row>
        <row r="32">
          <cell r="A32">
            <v>31</v>
          </cell>
          <cell r="B32">
            <v>501</v>
          </cell>
          <cell r="C32" t="str">
            <v>M0112</v>
          </cell>
          <cell r="D32" t="str">
            <v>A</v>
          </cell>
          <cell r="E32" t="str">
            <v>501_M0112_A_031H</v>
          </cell>
          <cell r="F32">
            <v>45827.8194444444</v>
          </cell>
          <cell r="G32" t="str">
            <v>WINK</v>
          </cell>
          <cell r="H32">
            <v>49.96</v>
          </cell>
          <cell r="I32">
            <v>1.49</v>
          </cell>
          <cell r="J32">
            <v>51.45</v>
          </cell>
          <cell r="K32">
            <v>1</v>
          </cell>
          <cell r="L32">
            <v>1.49</v>
          </cell>
          <cell r="M32">
            <v>100</v>
          </cell>
        </row>
        <row r="32">
          <cell r="Q32" t="str">
            <v>yes</v>
          </cell>
          <cell r="R32" t="str">
            <v>all</v>
          </cell>
          <cell r="S32" t="str">
            <v>H</v>
          </cell>
          <cell r="T32" t="str">
            <v>H (QD-TEC)</v>
          </cell>
        </row>
        <row r="32">
          <cell r="V32">
            <v>72</v>
          </cell>
          <cell r="W32">
            <v>0</v>
          </cell>
          <cell r="X32">
            <v>49.96</v>
          </cell>
          <cell r="Y32">
            <v>51.45</v>
          </cell>
        </row>
        <row r="33">
          <cell r="A33">
            <v>32</v>
          </cell>
          <cell r="B33">
            <v>501</v>
          </cell>
          <cell r="C33" t="str">
            <v>M0112</v>
          </cell>
          <cell r="D33" t="str">
            <v>A</v>
          </cell>
          <cell r="E33" t="str">
            <v>501_M0112_A_032H</v>
          </cell>
          <cell r="F33">
            <v>45827.9097222222</v>
          </cell>
          <cell r="G33" t="str">
            <v>WINK</v>
          </cell>
          <cell r="H33">
            <v>51.45</v>
          </cell>
          <cell r="I33">
            <v>2.16</v>
          </cell>
          <cell r="J33">
            <v>53.61</v>
          </cell>
          <cell r="K33">
            <v>2</v>
          </cell>
          <cell r="L33">
            <v>2.16</v>
          </cell>
          <cell r="M33">
            <v>100</v>
          </cell>
        </row>
        <row r="33">
          <cell r="Q33" t="str">
            <v>yes</v>
          </cell>
          <cell r="R33" t="str">
            <v>all</v>
          </cell>
          <cell r="S33" t="str">
            <v>H</v>
          </cell>
          <cell r="T33" t="str">
            <v>H (QD-TEC)</v>
          </cell>
        </row>
        <row r="33">
          <cell r="V33">
            <v>72</v>
          </cell>
          <cell r="W33">
            <v>0</v>
          </cell>
          <cell r="X33">
            <v>51.45</v>
          </cell>
          <cell r="Y33">
            <v>53.61</v>
          </cell>
        </row>
        <row r="34">
          <cell r="A34">
            <v>33</v>
          </cell>
          <cell r="B34">
            <v>501</v>
          </cell>
          <cell r="C34" t="str">
            <v>M0112</v>
          </cell>
          <cell r="D34" t="str">
            <v>A</v>
          </cell>
          <cell r="E34" t="str">
            <v>501_M0112_A_033H</v>
          </cell>
          <cell r="F34">
            <v>45827.9722222222</v>
          </cell>
          <cell r="G34" t="str">
            <v>WINK</v>
          </cell>
          <cell r="H34">
            <v>53.61</v>
          </cell>
          <cell r="I34">
            <v>1.54</v>
          </cell>
          <cell r="J34">
            <v>55.15</v>
          </cell>
          <cell r="K34">
            <v>2</v>
          </cell>
          <cell r="L34">
            <v>1.54</v>
          </cell>
          <cell r="M34">
            <v>100</v>
          </cell>
        </row>
        <row r="34">
          <cell r="Q34" t="str">
            <v>yes</v>
          </cell>
          <cell r="R34" t="str">
            <v>all</v>
          </cell>
          <cell r="S34" t="str">
            <v>H</v>
          </cell>
          <cell r="T34" t="str">
            <v>H (QD-TEC)</v>
          </cell>
        </row>
        <row r="34">
          <cell r="V34">
            <v>72</v>
          </cell>
          <cell r="W34">
            <v>0</v>
          </cell>
          <cell r="X34">
            <v>53.61</v>
          </cell>
          <cell r="Y34">
            <v>55.15</v>
          </cell>
        </row>
        <row r="35">
          <cell r="A35">
            <v>34</v>
          </cell>
          <cell r="B35">
            <v>501</v>
          </cell>
          <cell r="C35" t="str">
            <v>M0112</v>
          </cell>
          <cell r="D35" t="str">
            <v>A</v>
          </cell>
          <cell r="E35" t="str">
            <v>501_M0112_A_034H</v>
          </cell>
          <cell r="F35">
            <v>45828.0104166667</v>
          </cell>
          <cell r="G35" t="str">
            <v>WINK</v>
          </cell>
          <cell r="H35">
            <v>55.15</v>
          </cell>
          <cell r="I35">
            <v>1.15</v>
          </cell>
          <cell r="J35">
            <v>56.3</v>
          </cell>
          <cell r="K35">
            <v>2</v>
          </cell>
          <cell r="L35">
            <v>1.16</v>
          </cell>
          <cell r="M35">
            <v>100.87</v>
          </cell>
        </row>
        <row r="35">
          <cell r="P35" t="str">
            <v>core stuck in barrel</v>
          </cell>
        </row>
        <row r="35">
          <cell r="X35">
            <v>55.15</v>
          </cell>
          <cell r="Y35">
            <v>56.3</v>
          </cell>
        </row>
        <row r="36">
          <cell r="A36">
            <v>35</v>
          </cell>
          <cell r="B36">
            <v>501</v>
          </cell>
          <cell r="C36" t="str">
            <v>M0112</v>
          </cell>
          <cell r="D36" t="str">
            <v>A</v>
          </cell>
          <cell r="E36" t="str">
            <v>501_M0112_A_035R</v>
          </cell>
          <cell r="F36">
            <v>45828.0659722222</v>
          </cell>
          <cell r="G36" t="str">
            <v>WINK</v>
          </cell>
          <cell r="H36">
            <v>56.3</v>
          </cell>
          <cell r="I36">
            <v>0</v>
          </cell>
          <cell r="J36">
            <v>56.3</v>
          </cell>
          <cell r="K36">
            <v>1</v>
          </cell>
          <cell r="L36">
            <v>0.38</v>
          </cell>
          <cell r="M36">
            <v>0</v>
          </cell>
        </row>
        <row r="36">
          <cell r="P36" t="str">
            <v>infill</v>
          </cell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</row>
        <row r="36">
          <cell r="V36">
            <v>72</v>
          </cell>
          <cell r="W36">
            <v>0</v>
          </cell>
          <cell r="X36">
            <v>56.3</v>
          </cell>
          <cell r="Y36">
            <v>56.3</v>
          </cell>
        </row>
        <row r="37">
          <cell r="A37">
            <v>36</v>
          </cell>
          <cell r="B37">
            <v>501</v>
          </cell>
          <cell r="C37" t="str">
            <v>M0112</v>
          </cell>
          <cell r="D37" t="str">
            <v>A</v>
          </cell>
          <cell r="E37" t="str">
            <v>501_M0112_A_036R</v>
          </cell>
          <cell r="F37">
            <v>45828.09375</v>
          </cell>
          <cell r="G37" t="str">
            <v>WINK</v>
          </cell>
          <cell r="H37">
            <v>56.3</v>
          </cell>
          <cell r="I37">
            <v>2.91</v>
          </cell>
          <cell r="J37">
            <v>59.21</v>
          </cell>
          <cell r="K37">
            <v>2</v>
          </cell>
          <cell r="L37">
            <v>3</v>
          </cell>
          <cell r="M37">
            <v>103.09</v>
          </cell>
        </row>
        <row r="37"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</row>
        <row r="37">
          <cell r="V37">
            <v>72</v>
          </cell>
          <cell r="W37">
            <v>0</v>
          </cell>
          <cell r="X37">
            <v>56.3</v>
          </cell>
          <cell r="Y37">
            <v>59.21</v>
          </cell>
        </row>
        <row r="38">
          <cell r="A38">
            <v>37</v>
          </cell>
          <cell r="B38">
            <v>501</v>
          </cell>
          <cell r="C38" t="str">
            <v>M0112</v>
          </cell>
          <cell r="D38" t="str">
            <v>A</v>
          </cell>
          <cell r="E38" t="str">
            <v>501_M0112_A_037R</v>
          </cell>
          <cell r="F38">
            <v>45828.1180555556</v>
          </cell>
          <cell r="G38" t="str">
            <v>WINK</v>
          </cell>
          <cell r="H38">
            <v>59.21</v>
          </cell>
          <cell r="I38">
            <v>0.4</v>
          </cell>
          <cell r="J38">
            <v>59.61</v>
          </cell>
          <cell r="K38">
            <v>1</v>
          </cell>
          <cell r="L38">
            <v>0.31</v>
          </cell>
          <cell r="M38">
            <v>77.5</v>
          </cell>
        </row>
        <row r="38">
          <cell r="Q38" t="str">
            <v>yes</v>
          </cell>
          <cell r="R38" t="str">
            <v>all</v>
          </cell>
          <cell r="S38" t="str">
            <v>R</v>
          </cell>
          <cell r="T38" t="str">
            <v>R (QD-TEC)</v>
          </cell>
        </row>
        <row r="38">
          <cell r="V38">
            <v>72</v>
          </cell>
          <cell r="W38">
            <v>0</v>
          </cell>
          <cell r="X38">
            <v>59.21</v>
          </cell>
          <cell r="Y38">
            <v>59.61</v>
          </cell>
        </row>
        <row r="39">
          <cell r="A39">
            <v>38</v>
          </cell>
          <cell r="B39">
            <v>501</v>
          </cell>
          <cell r="C39" t="str">
            <v>M0112</v>
          </cell>
          <cell r="D39" t="str">
            <v>A</v>
          </cell>
          <cell r="E39" t="str">
            <v>501_M0112_A_038R</v>
          </cell>
          <cell r="F39">
            <v>45829.4618055556</v>
          </cell>
          <cell r="G39" t="str">
            <v>HK</v>
          </cell>
          <cell r="H39">
            <v>59.61</v>
          </cell>
          <cell r="I39">
            <v>0.9</v>
          </cell>
          <cell r="J39">
            <v>60.51</v>
          </cell>
          <cell r="K39">
            <v>1</v>
          </cell>
          <cell r="L39">
            <v>0.5</v>
          </cell>
          <cell r="M39">
            <v>55.56</v>
          </cell>
        </row>
        <row r="39">
          <cell r="P39" t="str">
            <v>liner stuck in core barrel</v>
          </cell>
        </row>
        <row r="39">
          <cell r="X39">
            <v>59.61</v>
          </cell>
          <cell r="Y39">
            <v>60.51</v>
          </cell>
        </row>
        <row r="40">
          <cell r="A40">
            <v>39</v>
          </cell>
          <cell r="B40">
            <v>501</v>
          </cell>
          <cell r="C40" t="str">
            <v>M0112</v>
          </cell>
          <cell r="D40" t="str">
            <v>A</v>
          </cell>
          <cell r="E40" t="str">
            <v>501_M0112_A_039R</v>
          </cell>
          <cell r="F40">
            <v>45829.5729166667</v>
          </cell>
          <cell r="G40" t="str">
            <v>HK</v>
          </cell>
          <cell r="H40">
            <v>60.51</v>
          </cell>
          <cell r="I40">
            <v>1.7</v>
          </cell>
          <cell r="J40">
            <v>62.21</v>
          </cell>
          <cell r="K40">
            <v>1</v>
          </cell>
          <cell r="L40">
            <v>0.76</v>
          </cell>
          <cell r="M40">
            <v>44.71</v>
          </cell>
        </row>
        <row r="40">
          <cell r="P40" t="str">
            <v>liner stuck in core barrel</v>
          </cell>
        </row>
        <row r="40">
          <cell r="X40">
            <v>60.51</v>
          </cell>
          <cell r="Y40">
            <v>62.21</v>
          </cell>
        </row>
        <row r="41">
          <cell r="A41">
            <v>40</v>
          </cell>
          <cell r="B41">
            <v>501</v>
          </cell>
          <cell r="C41" t="str">
            <v>M0112</v>
          </cell>
          <cell r="D41" t="str">
            <v>A</v>
          </cell>
          <cell r="E41" t="str">
            <v>501_M0112_A_040R</v>
          </cell>
          <cell r="F41">
            <v>45829.6215277778</v>
          </cell>
          <cell r="G41" t="str">
            <v>HK</v>
          </cell>
          <cell r="H41">
            <v>62.21</v>
          </cell>
          <cell r="I41">
            <v>3</v>
          </cell>
          <cell r="J41">
            <v>65.21</v>
          </cell>
          <cell r="K41">
            <v>2</v>
          </cell>
          <cell r="L41">
            <v>1.35</v>
          </cell>
          <cell r="M41">
            <v>45</v>
          </cell>
        </row>
        <row r="41">
          <cell r="Q41" t="str">
            <v>yes</v>
          </cell>
          <cell r="R41" t="str">
            <v>all</v>
          </cell>
          <cell r="S41" t="str">
            <v>R</v>
          </cell>
          <cell r="T41" t="str">
            <v>R (QD-TEC)</v>
          </cell>
        </row>
        <row r="41">
          <cell r="V41">
            <v>72</v>
          </cell>
          <cell r="W41">
            <v>0</v>
          </cell>
          <cell r="X41">
            <v>62.21</v>
          </cell>
          <cell r="Y41">
            <v>65.21</v>
          </cell>
        </row>
        <row r="42">
          <cell r="A42">
            <v>41</v>
          </cell>
          <cell r="B42">
            <v>501</v>
          </cell>
          <cell r="C42" t="str">
            <v>M0112</v>
          </cell>
          <cell r="D42" t="str">
            <v>A</v>
          </cell>
          <cell r="E42" t="str">
            <v>501_M0112_A_041H</v>
          </cell>
          <cell r="F42">
            <v>45829.6458333333</v>
          </cell>
          <cell r="G42" t="str">
            <v>KUHN</v>
          </cell>
          <cell r="H42">
            <v>65.21</v>
          </cell>
          <cell r="I42">
            <v>2.38</v>
          </cell>
          <cell r="J42">
            <v>67.59</v>
          </cell>
          <cell r="K42">
            <v>2</v>
          </cell>
          <cell r="L42">
            <v>2.88</v>
          </cell>
          <cell r="M42">
            <v>121.01</v>
          </cell>
        </row>
        <row r="42">
          <cell r="Q42" t="str">
            <v>yes</v>
          </cell>
          <cell r="R42" t="str">
            <v>all</v>
          </cell>
          <cell r="S42" t="str">
            <v>H</v>
          </cell>
          <cell r="T42" t="str">
            <v>H (QD-TEC)</v>
          </cell>
        </row>
        <row r="42">
          <cell r="V42">
            <v>72</v>
          </cell>
          <cell r="W42">
            <v>0</v>
          </cell>
          <cell r="X42">
            <v>65.21</v>
          </cell>
          <cell r="Y42">
            <v>67.59</v>
          </cell>
        </row>
        <row r="43">
          <cell r="A43">
            <v>42</v>
          </cell>
          <cell r="B43">
            <v>501</v>
          </cell>
          <cell r="C43" t="str">
            <v>M0112</v>
          </cell>
          <cell r="D43" t="str">
            <v>A</v>
          </cell>
          <cell r="E43" t="str">
            <v>501_M0112_A_042H</v>
          </cell>
          <cell r="F43">
            <v>45829.7222222222</v>
          </cell>
          <cell r="G43" t="str">
            <v>KUHN</v>
          </cell>
          <cell r="H43">
            <v>67.59</v>
          </cell>
          <cell r="I43">
            <v>0.75</v>
          </cell>
          <cell r="J43">
            <v>68.34</v>
          </cell>
          <cell r="K43">
            <v>1</v>
          </cell>
          <cell r="L43">
            <v>0.75</v>
          </cell>
          <cell r="M43">
            <v>100</v>
          </cell>
        </row>
        <row r="43">
          <cell r="P43" t="str">
            <v>disturbed liner</v>
          </cell>
        </row>
        <row r="43">
          <cell r="X43">
            <v>67.59</v>
          </cell>
        </row>
        <row r="44">
          <cell r="A44">
            <v>43</v>
          </cell>
          <cell r="B44">
            <v>501</v>
          </cell>
          <cell r="C44" t="str">
            <v>M0112</v>
          </cell>
          <cell r="D44" t="str">
            <v>A</v>
          </cell>
          <cell r="E44" t="str">
            <v>501_M0112_A_043H</v>
          </cell>
          <cell r="F44">
            <v>45829.7916666667</v>
          </cell>
          <cell r="G44" t="str">
            <v>KUHN</v>
          </cell>
          <cell r="H44">
            <v>68.34</v>
          </cell>
          <cell r="I44">
            <v>1.08</v>
          </cell>
          <cell r="J44">
            <v>69.42</v>
          </cell>
          <cell r="K44">
            <v>2</v>
          </cell>
          <cell r="L44">
            <v>1.08</v>
          </cell>
          <cell r="M44">
            <v>100</v>
          </cell>
        </row>
        <row r="44">
          <cell r="Q44" t="str">
            <v>yes</v>
          </cell>
          <cell r="R44" t="str">
            <v>all</v>
          </cell>
          <cell r="S44" t="str">
            <v>H</v>
          </cell>
          <cell r="T44" t="str">
            <v>H (QD-TEC)</v>
          </cell>
        </row>
        <row r="44">
          <cell r="V44">
            <v>72</v>
          </cell>
          <cell r="W44">
            <v>0</v>
          </cell>
          <cell r="X44">
            <v>68.34</v>
          </cell>
          <cell r="Y44">
            <v>69.42</v>
          </cell>
        </row>
        <row r="45">
          <cell r="A45">
            <v>44</v>
          </cell>
          <cell r="B45">
            <v>501</v>
          </cell>
          <cell r="C45" t="str">
            <v>M0112</v>
          </cell>
          <cell r="D45" t="str">
            <v>A</v>
          </cell>
          <cell r="E45" t="str">
            <v>501_M0112_A_044H</v>
          </cell>
          <cell r="F45">
            <v>45829.8263888889</v>
          </cell>
          <cell r="G45" t="str">
            <v>KUHN</v>
          </cell>
          <cell r="H45">
            <v>69.42</v>
          </cell>
          <cell r="I45">
            <v>0.66</v>
          </cell>
          <cell r="J45">
            <v>70.08</v>
          </cell>
          <cell r="K45">
            <v>1</v>
          </cell>
          <cell r="L45">
            <v>0.87</v>
          </cell>
          <cell r="M45">
            <v>131.82</v>
          </cell>
        </row>
        <row r="45">
          <cell r="P45" t="str">
            <v>infill first 21 cm</v>
          </cell>
        </row>
        <row r="45">
          <cell r="X45">
            <v>69.42</v>
          </cell>
        </row>
        <row r="46">
          <cell r="A46">
            <v>45</v>
          </cell>
          <cell r="B46">
            <v>501</v>
          </cell>
          <cell r="C46" t="str">
            <v>M0112</v>
          </cell>
          <cell r="D46" t="str">
            <v>A</v>
          </cell>
          <cell r="E46" t="str">
            <v>501_M0112_A_045H</v>
          </cell>
          <cell r="F46">
            <v>45829.875</v>
          </cell>
          <cell r="G46" t="str">
            <v>KUHN</v>
          </cell>
          <cell r="H46">
            <v>70.08</v>
          </cell>
          <cell r="I46">
            <v>1.03</v>
          </cell>
          <cell r="J46">
            <v>71.11</v>
          </cell>
          <cell r="K46">
            <v>1</v>
          </cell>
          <cell r="L46">
            <v>1.03</v>
          </cell>
          <cell r="M46">
            <v>100</v>
          </cell>
        </row>
        <row r="46">
          <cell r="Q46" t="str">
            <v>yes</v>
          </cell>
          <cell r="R46" t="str">
            <v>all</v>
          </cell>
          <cell r="S46" t="str">
            <v>H</v>
          </cell>
          <cell r="T46" t="str">
            <v>H (QD-TEC)</v>
          </cell>
        </row>
        <row r="46">
          <cell r="V46">
            <v>72</v>
          </cell>
          <cell r="W46">
            <v>0</v>
          </cell>
          <cell r="X46">
            <v>70.08</v>
          </cell>
          <cell r="Y46">
            <v>71.11</v>
          </cell>
        </row>
        <row r="47">
          <cell r="A47">
            <v>46</v>
          </cell>
          <cell r="B47">
            <v>501</v>
          </cell>
          <cell r="C47" t="str">
            <v>M0112</v>
          </cell>
          <cell r="D47" t="str">
            <v>A</v>
          </cell>
          <cell r="E47" t="str">
            <v>501_M0112_A_046H</v>
          </cell>
          <cell r="F47">
            <v>45829.90625</v>
          </cell>
          <cell r="G47" t="str">
            <v>KUHN</v>
          </cell>
          <cell r="H47">
            <v>71.11</v>
          </cell>
          <cell r="I47">
            <v>1.07</v>
          </cell>
          <cell r="J47">
            <v>72.18</v>
          </cell>
          <cell r="K47">
            <v>2</v>
          </cell>
          <cell r="L47">
            <v>1.07</v>
          </cell>
          <cell r="M47">
            <v>100</v>
          </cell>
        </row>
        <row r="47">
          <cell r="Q47" t="str">
            <v>yes</v>
          </cell>
          <cell r="R47" t="str">
            <v>all</v>
          </cell>
          <cell r="S47" t="str">
            <v>H</v>
          </cell>
          <cell r="T47" t="str">
            <v>H (QD-TEC)</v>
          </cell>
        </row>
        <row r="47">
          <cell r="V47">
            <v>72</v>
          </cell>
          <cell r="W47">
            <v>0</v>
          </cell>
          <cell r="X47">
            <v>71.11</v>
          </cell>
          <cell r="Y47">
            <v>72.18</v>
          </cell>
        </row>
        <row r="48">
          <cell r="A48">
            <v>47</v>
          </cell>
          <cell r="B48">
            <v>501</v>
          </cell>
          <cell r="C48" t="str">
            <v>M0112</v>
          </cell>
          <cell r="D48" t="str">
            <v>A</v>
          </cell>
          <cell r="E48" t="str">
            <v>501_M0112_A_047H</v>
          </cell>
          <cell r="F48">
            <v>45829.9479166667</v>
          </cell>
          <cell r="G48" t="str">
            <v>KUHN</v>
          </cell>
          <cell r="H48">
            <v>72.18</v>
          </cell>
          <cell r="I48">
            <v>0.68</v>
          </cell>
          <cell r="J48">
            <v>72.86</v>
          </cell>
          <cell r="K48">
            <v>1</v>
          </cell>
          <cell r="L48">
            <v>0.68</v>
          </cell>
          <cell r="M48">
            <v>100</v>
          </cell>
        </row>
        <row r="48">
          <cell r="P48" t="str">
            <v>IWRHX 20-25</v>
          </cell>
        </row>
        <row r="48">
          <cell r="X48">
            <v>72.18</v>
          </cell>
        </row>
        <row r="49">
          <cell r="A49">
            <v>48</v>
          </cell>
          <cell r="B49">
            <v>501</v>
          </cell>
          <cell r="C49" t="str">
            <v>M0112</v>
          </cell>
          <cell r="D49" t="str">
            <v>A</v>
          </cell>
          <cell r="E49" t="str">
            <v>501_M0112_A_048H</v>
          </cell>
          <cell r="F49">
            <v>45829.9826388889</v>
          </cell>
          <cell r="G49" t="str">
            <v>KUHN</v>
          </cell>
          <cell r="H49">
            <v>72.86</v>
          </cell>
          <cell r="I49">
            <v>1.33</v>
          </cell>
          <cell r="J49">
            <v>74.19</v>
          </cell>
          <cell r="K49">
            <v>2</v>
          </cell>
          <cell r="L49">
            <v>1.33</v>
          </cell>
          <cell r="M49">
            <v>100</v>
          </cell>
        </row>
        <row r="49">
          <cell r="P49" t="str">
            <v>IWRHX 20-25</v>
          </cell>
        </row>
        <row r="49">
          <cell r="X49">
            <v>72.86</v>
          </cell>
        </row>
        <row r="50">
          <cell r="A50">
            <v>49</v>
          </cell>
          <cell r="B50">
            <v>501</v>
          </cell>
          <cell r="C50" t="str">
            <v>M0112</v>
          </cell>
          <cell r="D50" t="str">
            <v>A</v>
          </cell>
          <cell r="E50" t="str">
            <v>501_M0112_A_049H</v>
          </cell>
          <cell r="F50">
            <v>45830.0277777778</v>
          </cell>
          <cell r="G50" t="str">
            <v>KUHN</v>
          </cell>
          <cell r="H50">
            <v>74.19</v>
          </cell>
          <cell r="I50">
            <v>1.2</v>
          </cell>
          <cell r="J50">
            <v>75.39</v>
          </cell>
          <cell r="K50">
            <v>1</v>
          </cell>
          <cell r="L50">
            <v>1.2</v>
          </cell>
          <cell r="M50">
            <v>100</v>
          </cell>
        </row>
        <row r="50">
          <cell r="P50" t="str">
            <v>IWRHX 20-25</v>
          </cell>
        </row>
        <row r="50">
          <cell r="X50">
            <v>74.19</v>
          </cell>
        </row>
        <row r="51">
          <cell r="A51">
            <v>50</v>
          </cell>
          <cell r="B51">
            <v>501</v>
          </cell>
          <cell r="C51" t="str">
            <v>M0112</v>
          </cell>
          <cell r="D51" t="str">
            <v>A</v>
          </cell>
          <cell r="E51" t="str">
            <v>501_M0112_A_050R</v>
          </cell>
          <cell r="F51">
            <v>45830.1319444444</v>
          </cell>
          <cell r="G51" t="str">
            <v>KUHN</v>
          </cell>
          <cell r="H51">
            <v>75.39</v>
          </cell>
          <cell r="I51">
            <v>1.85</v>
          </cell>
          <cell r="J51">
            <v>77.24</v>
          </cell>
          <cell r="K51">
            <v>2</v>
          </cell>
          <cell r="L51">
            <v>2.03</v>
          </cell>
          <cell r="M51">
            <v>109.73</v>
          </cell>
        </row>
        <row r="51">
          <cell r="P51" t="str">
            <v>IWSQ1 123-130</v>
          </cell>
        </row>
        <row r="51">
          <cell r="X51">
            <v>75.39</v>
          </cell>
        </row>
        <row r="52">
          <cell r="A52">
            <v>51</v>
          </cell>
          <cell r="B52">
            <v>501</v>
          </cell>
          <cell r="C52" t="str">
            <v>M0112</v>
          </cell>
          <cell r="D52" t="str">
            <v>A</v>
          </cell>
          <cell r="E52" t="str">
            <v>501_M0112_A_051R</v>
          </cell>
          <cell r="F52">
            <v>45830.2881944444</v>
          </cell>
          <cell r="G52" t="str">
            <v>HK</v>
          </cell>
          <cell r="H52">
            <v>77.24</v>
          </cell>
          <cell r="I52">
            <v>2.97</v>
          </cell>
          <cell r="J52">
            <v>80.21</v>
          </cell>
          <cell r="K52">
            <v>3</v>
          </cell>
          <cell r="L52">
            <v>3.1</v>
          </cell>
          <cell r="M52">
            <v>104.38</v>
          </cell>
          <cell r="N52" t="str">
            <v>continuous</v>
          </cell>
        </row>
        <row r="52"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</row>
        <row r="52">
          <cell r="V52">
            <v>72</v>
          </cell>
          <cell r="W52">
            <v>0</v>
          </cell>
          <cell r="X52">
            <v>77.24</v>
          </cell>
          <cell r="Y52">
            <v>80.21</v>
          </cell>
        </row>
        <row r="53">
          <cell r="A53">
            <v>52</v>
          </cell>
          <cell r="B53">
            <v>501</v>
          </cell>
          <cell r="C53" t="str">
            <v>M0112</v>
          </cell>
          <cell r="D53" t="str">
            <v>A</v>
          </cell>
          <cell r="E53" t="str">
            <v>501_M0112_A_052R</v>
          </cell>
          <cell r="F53">
            <v>45830.3541666667</v>
          </cell>
          <cell r="G53" t="str">
            <v>HK</v>
          </cell>
          <cell r="H53">
            <v>80.21</v>
          </cell>
          <cell r="I53">
            <v>3</v>
          </cell>
          <cell r="J53">
            <v>83.21</v>
          </cell>
          <cell r="K53">
            <v>2</v>
          </cell>
          <cell r="L53">
            <v>2.35</v>
          </cell>
          <cell r="M53">
            <v>78.33</v>
          </cell>
          <cell r="N53" t="str">
            <v>continuous</v>
          </cell>
        </row>
        <row r="53">
          <cell r="Q53" t="str">
            <v>yes</v>
          </cell>
          <cell r="R53" t="str">
            <v>all</v>
          </cell>
          <cell r="S53" t="str">
            <v>R</v>
          </cell>
          <cell r="T53" t="str">
            <v>R (QD-TEC)</v>
          </cell>
        </row>
        <row r="53">
          <cell r="V53">
            <v>72</v>
          </cell>
          <cell r="W53">
            <v>0</v>
          </cell>
          <cell r="X53">
            <v>80.21</v>
          </cell>
          <cell r="Y53">
            <v>83.21</v>
          </cell>
        </row>
        <row r="54">
          <cell r="A54">
            <v>53</v>
          </cell>
          <cell r="B54">
            <v>501</v>
          </cell>
          <cell r="C54" t="str">
            <v>M0112</v>
          </cell>
          <cell r="D54" t="str">
            <v>A</v>
          </cell>
          <cell r="E54" t="str">
            <v>501_M0112_A_053R</v>
          </cell>
          <cell r="F54">
            <v>45830.4340277778</v>
          </cell>
          <cell r="G54" t="str">
            <v>HK</v>
          </cell>
          <cell r="H54">
            <v>83.21</v>
          </cell>
          <cell r="I54">
            <v>3</v>
          </cell>
          <cell r="J54">
            <v>86.21</v>
          </cell>
          <cell r="K54">
            <v>1</v>
          </cell>
          <cell r="L54">
            <v>0.72</v>
          </cell>
          <cell r="M54">
            <v>24</v>
          </cell>
        </row>
        <row r="54">
          <cell r="P54" t="str">
            <v>0-30cm pickup of prev. core</v>
          </cell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</row>
        <row r="54">
          <cell r="V54">
            <v>72</v>
          </cell>
          <cell r="W54">
            <v>0</v>
          </cell>
          <cell r="X54">
            <v>83.21</v>
          </cell>
          <cell r="Y54">
            <v>86.21</v>
          </cell>
        </row>
        <row r="55">
          <cell r="A55">
            <v>54</v>
          </cell>
          <cell r="B55">
            <v>501</v>
          </cell>
          <cell r="C55" t="str">
            <v>M0112</v>
          </cell>
          <cell r="D55" t="str">
            <v>A</v>
          </cell>
          <cell r="E55" t="str">
            <v>501_M0112_A_054R</v>
          </cell>
          <cell r="F55">
            <v>45830.4895833333</v>
          </cell>
          <cell r="G55" t="str">
            <v>HK</v>
          </cell>
          <cell r="H55">
            <v>86.21</v>
          </cell>
          <cell r="I55">
            <v>1.5</v>
          </cell>
          <cell r="J55">
            <v>87.71</v>
          </cell>
          <cell r="K55">
            <v>1</v>
          </cell>
          <cell r="L55">
            <v>0.77</v>
          </cell>
          <cell r="M55">
            <v>51.33</v>
          </cell>
        </row>
        <row r="55">
          <cell r="P55" t="str">
            <v>disturbed</v>
          </cell>
        </row>
        <row r="55">
          <cell r="X55">
            <v>86.21</v>
          </cell>
        </row>
        <row r="56">
          <cell r="A56">
            <v>55</v>
          </cell>
          <cell r="B56">
            <v>501</v>
          </cell>
          <cell r="C56" t="str">
            <v>M0112</v>
          </cell>
          <cell r="D56" t="str">
            <v>A</v>
          </cell>
          <cell r="E56" t="str">
            <v>501_M0112_A_055R</v>
          </cell>
          <cell r="F56">
            <v>45830.5347222222</v>
          </cell>
          <cell r="G56" t="str">
            <v>HK</v>
          </cell>
          <cell r="H56">
            <v>87.71</v>
          </cell>
          <cell r="I56">
            <v>1.5</v>
          </cell>
          <cell r="J56">
            <v>89.21</v>
          </cell>
          <cell r="K56">
            <v>2</v>
          </cell>
          <cell r="L56">
            <v>1.53</v>
          </cell>
          <cell r="M56">
            <v>102</v>
          </cell>
          <cell r="N56" t="str">
            <v>continuous</v>
          </cell>
        </row>
        <row r="56">
          <cell r="Q56" t="str">
            <v>yes</v>
          </cell>
          <cell r="R56" t="str">
            <v>all</v>
          </cell>
          <cell r="S56" t="str">
            <v>R</v>
          </cell>
          <cell r="T56" t="str">
            <v>R (QD-TEC)</v>
          </cell>
        </row>
        <row r="56">
          <cell r="V56">
            <v>72</v>
          </cell>
          <cell r="W56">
            <v>0</v>
          </cell>
          <cell r="X56">
            <v>87.71</v>
          </cell>
          <cell r="Y56">
            <v>89.21</v>
          </cell>
        </row>
        <row r="57">
          <cell r="A57">
            <v>56</v>
          </cell>
          <cell r="B57">
            <v>501</v>
          </cell>
          <cell r="C57" t="str">
            <v>M0112</v>
          </cell>
          <cell r="D57" t="str">
            <v>A</v>
          </cell>
          <cell r="E57" t="str">
            <v>501_M0112_A_056R</v>
          </cell>
          <cell r="F57">
            <v>45830.5694444444</v>
          </cell>
          <cell r="G57" t="str">
            <v>HK</v>
          </cell>
          <cell r="H57">
            <v>89.21</v>
          </cell>
          <cell r="I57">
            <v>1.5</v>
          </cell>
          <cell r="J57">
            <v>90.71</v>
          </cell>
          <cell r="K57">
            <v>1</v>
          </cell>
          <cell r="L57">
            <v>1.48</v>
          </cell>
          <cell r="M57">
            <v>98.67</v>
          </cell>
        </row>
        <row r="57">
          <cell r="Q57" t="str">
            <v>yes</v>
          </cell>
          <cell r="R57" t="str">
            <v>all</v>
          </cell>
          <cell r="S57" t="str">
            <v>R</v>
          </cell>
          <cell r="T57" t="str">
            <v>R (QD-TEC)</v>
          </cell>
        </row>
        <row r="57">
          <cell r="V57">
            <v>72</v>
          </cell>
          <cell r="W57">
            <v>0</v>
          </cell>
          <cell r="X57">
            <v>89.21</v>
          </cell>
          <cell r="Y57">
            <v>90.71</v>
          </cell>
        </row>
        <row r="58">
          <cell r="A58">
            <v>57</v>
          </cell>
          <cell r="B58">
            <v>501</v>
          </cell>
          <cell r="C58" t="str">
            <v>M0112</v>
          </cell>
          <cell r="D58" t="str">
            <v>A</v>
          </cell>
          <cell r="E58" t="str">
            <v>501_M0112_A_057R</v>
          </cell>
          <cell r="F58">
            <v>45830.6041666667</v>
          </cell>
          <cell r="G58" t="str">
            <v>HK</v>
          </cell>
          <cell r="H58">
            <v>90.71</v>
          </cell>
          <cell r="I58">
            <v>1.5</v>
          </cell>
          <cell r="J58">
            <v>92.21</v>
          </cell>
          <cell r="K58">
            <v>2</v>
          </cell>
          <cell r="L58">
            <v>1.66</v>
          </cell>
          <cell r="M58">
            <v>110.67</v>
          </cell>
        </row>
        <row r="58">
          <cell r="Q58" t="str">
            <v>yes</v>
          </cell>
          <cell r="R58" t="str">
            <v>all</v>
          </cell>
          <cell r="S58" t="str">
            <v>R</v>
          </cell>
          <cell r="T58" t="str">
            <v>R (QD-TEC)</v>
          </cell>
        </row>
        <row r="58">
          <cell r="V58">
            <v>72</v>
          </cell>
          <cell r="W58">
            <v>0</v>
          </cell>
          <cell r="X58">
            <v>90.71</v>
          </cell>
          <cell r="Y58">
            <v>92.21</v>
          </cell>
        </row>
        <row r="59">
          <cell r="A59">
            <v>58</v>
          </cell>
          <cell r="B59">
            <v>501</v>
          </cell>
          <cell r="C59" t="str">
            <v>M0112</v>
          </cell>
          <cell r="D59" t="str">
            <v>A</v>
          </cell>
          <cell r="E59" t="str">
            <v>501_M0112_A_058R</v>
          </cell>
          <cell r="F59">
            <v>45830.6458333333</v>
          </cell>
          <cell r="G59" t="str">
            <v>KUHN</v>
          </cell>
          <cell r="H59">
            <v>92.21</v>
          </cell>
          <cell r="I59">
            <v>1.5</v>
          </cell>
          <cell r="J59">
            <v>93.71</v>
          </cell>
          <cell r="K59">
            <v>2</v>
          </cell>
          <cell r="L59">
            <v>1.65</v>
          </cell>
          <cell r="M59">
            <v>110</v>
          </cell>
        </row>
        <row r="59">
          <cell r="Q59" t="str">
            <v>yes</v>
          </cell>
          <cell r="R59" t="str">
            <v>all</v>
          </cell>
          <cell r="S59" t="str">
            <v>R</v>
          </cell>
          <cell r="T59" t="str">
            <v>R (QD-TEC)</v>
          </cell>
        </row>
        <row r="59">
          <cell r="V59">
            <v>72</v>
          </cell>
          <cell r="W59">
            <v>0</v>
          </cell>
          <cell r="X59">
            <v>92.21</v>
          </cell>
          <cell r="Y59">
            <v>93.71</v>
          </cell>
        </row>
        <row r="60">
          <cell r="A60">
            <v>59</v>
          </cell>
          <cell r="B60">
            <v>501</v>
          </cell>
          <cell r="C60" t="str">
            <v>M0112</v>
          </cell>
          <cell r="D60" t="str">
            <v>A</v>
          </cell>
          <cell r="E60" t="str">
            <v>501_M0112_A_059R</v>
          </cell>
          <cell r="F60">
            <v>45830.6909722222</v>
          </cell>
          <cell r="G60" t="str">
            <v>KUHN</v>
          </cell>
          <cell r="H60">
            <v>93.71</v>
          </cell>
          <cell r="I60">
            <v>1.5</v>
          </cell>
          <cell r="J60">
            <v>95.21</v>
          </cell>
          <cell r="K60">
            <v>1</v>
          </cell>
          <cell r="L60">
            <v>1.42</v>
          </cell>
          <cell r="M60">
            <v>94.67</v>
          </cell>
        </row>
        <row r="60">
          <cell r="Q60" t="str">
            <v>yes</v>
          </cell>
          <cell r="R60" t="str">
            <v>all</v>
          </cell>
          <cell r="S60" t="str">
            <v>R</v>
          </cell>
          <cell r="T60" t="str">
            <v>R (QD-TEC)</v>
          </cell>
        </row>
        <row r="60">
          <cell r="V60">
            <v>72</v>
          </cell>
          <cell r="W60">
            <v>0</v>
          </cell>
          <cell r="X60">
            <v>93.71</v>
          </cell>
          <cell r="Y60">
            <v>95.21</v>
          </cell>
        </row>
        <row r="61">
          <cell r="A61">
            <v>60</v>
          </cell>
          <cell r="B61">
            <v>501</v>
          </cell>
          <cell r="C61" t="str">
            <v>M0112</v>
          </cell>
          <cell r="D61" t="str">
            <v>A</v>
          </cell>
          <cell r="E61" t="str">
            <v>501_M0112_A_060R</v>
          </cell>
          <cell r="F61">
            <v>45830.7465277778</v>
          </cell>
          <cell r="G61" t="str">
            <v>KUHN</v>
          </cell>
          <cell r="H61">
            <v>95.21</v>
          </cell>
          <cell r="I61">
            <v>1.9</v>
          </cell>
          <cell r="J61">
            <v>97.11</v>
          </cell>
          <cell r="K61">
            <v>1</v>
          </cell>
          <cell r="L61">
            <v>0.67</v>
          </cell>
          <cell r="M61">
            <v>35.26</v>
          </cell>
        </row>
        <row r="61">
          <cell r="P61" t="str">
            <v>PAL from bottom</v>
          </cell>
          <cell r="Q61" t="str">
            <v>yes</v>
          </cell>
          <cell r="R61" t="str">
            <v>all</v>
          </cell>
          <cell r="S61" t="str">
            <v>R</v>
          </cell>
          <cell r="T61" t="str">
            <v>R (QD-TEC)</v>
          </cell>
        </row>
        <row r="61">
          <cell r="V61">
            <v>72</v>
          </cell>
          <cell r="W61">
            <v>0</v>
          </cell>
          <cell r="X61">
            <v>95.21</v>
          </cell>
          <cell r="Y61">
            <v>97.11</v>
          </cell>
        </row>
        <row r="62">
          <cell r="A62">
            <v>61</v>
          </cell>
          <cell r="B62">
            <v>501</v>
          </cell>
          <cell r="C62" t="str">
            <v>M0112</v>
          </cell>
          <cell r="D62" t="str">
            <v>A</v>
          </cell>
          <cell r="E62" t="str">
            <v>501_M0112_A_061R</v>
          </cell>
          <cell r="F62">
            <v>45830.7673611111</v>
          </cell>
          <cell r="G62" t="str">
            <v>KUHN</v>
          </cell>
          <cell r="H62">
            <v>97.11</v>
          </cell>
          <cell r="I62">
            <v>0.3</v>
          </cell>
          <cell r="J62">
            <v>97.41</v>
          </cell>
          <cell r="K62">
            <v>0</v>
          </cell>
          <cell r="L62">
            <v>0</v>
          </cell>
          <cell r="M62">
            <v>0</v>
          </cell>
        </row>
        <row r="62">
          <cell r="P62" t="str">
            <v>gravel</v>
          </cell>
          <cell r="Q62" t="str">
            <v>no</v>
          </cell>
          <cell r="R62" t="str">
            <v>none</v>
          </cell>
          <cell r="S62" t="str">
            <v>R</v>
          </cell>
          <cell r="T62" t="str">
            <v>R (QD-TEC)</v>
          </cell>
        </row>
        <row r="62">
          <cell r="V62">
            <v>72</v>
          </cell>
          <cell r="W62">
            <v>0</v>
          </cell>
          <cell r="X62">
            <v>97.11</v>
          </cell>
          <cell r="Y62">
            <v>97.41</v>
          </cell>
        </row>
        <row r="63">
          <cell r="A63">
            <v>62</v>
          </cell>
          <cell r="B63">
            <v>501</v>
          </cell>
          <cell r="C63" t="str">
            <v>M0112</v>
          </cell>
          <cell r="D63" t="str">
            <v>A</v>
          </cell>
          <cell r="E63" t="str">
            <v>501_M0112_A_062H</v>
          </cell>
          <cell r="F63">
            <v>45830.7847222222</v>
          </cell>
          <cell r="G63" t="str">
            <v>KUHN</v>
          </cell>
          <cell r="H63">
            <v>97.41</v>
          </cell>
          <cell r="I63">
            <v>1.45</v>
          </cell>
          <cell r="J63">
            <v>98.86</v>
          </cell>
          <cell r="K63">
            <v>2</v>
          </cell>
          <cell r="L63">
            <v>1.85</v>
          </cell>
          <cell r="M63">
            <v>127.59</v>
          </cell>
        </row>
        <row r="63">
          <cell r="Q63" t="str">
            <v>yes</v>
          </cell>
          <cell r="R63" t="str">
            <v>all</v>
          </cell>
          <cell r="S63" t="str">
            <v>H</v>
          </cell>
          <cell r="T63" t="str">
            <v>H (QD-TEC)</v>
          </cell>
        </row>
        <row r="63">
          <cell r="V63">
            <v>72</v>
          </cell>
          <cell r="W63">
            <v>0</v>
          </cell>
          <cell r="X63">
            <v>97.41</v>
          </cell>
          <cell r="Y63">
            <v>98.86</v>
          </cell>
        </row>
        <row r="64">
          <cell r="A64">
            <v>63</v>
          </cell>
          <cell r="B64">
            <v>501</v>
          </cell>
          <cell r="C64" t="str">
            <v>M0112</v>
          </cell>
          <cell r="D64" t="str">
            <v>A</v>
          </cell>
          <cell r="E64" t="str">
            <v>501_M0112_A_063R</v>
          </cell>
          <cell r="F64">
            <v>45830.9027777778</v>
          </cell>
          <cell r="G64" t="str">
            <v>KUHN</v>
          </cell>
          <cell r="H64">
            <v>98.86</v>
          </cell>
          <cell r="I64">
            <v>0.6</v>
          </cell>
          <cell r="J64">
            <v>99.46</v>
          </cell>
          <cell r="K64">
            <v>1</v>
          </cell>
          <cell r="L64">
            <v>0.12</v>
          </cell>
          <cell r="M64">
            <v>20</v>
          </cell>
        </row>
        <row r="64">
          <cell r="Q64" t="str">
            <v>yes</v>
          </cell>
          <cell r="R64" t="str">
            <v>all</v>
          </cell>
          <cell r="S64" t="str">
            <v>R</v>
          </cell>
          <cell r="T64" t="str">
            <v>R (QD-TEC)</v>
          </cell>
        </row>
        <row r="64">
          <cell r="V64">
            <v>72</v>
          </cell>
          <cell r="W64">
            <v>0</v>
          </cell>
          <cell r="X64">
            <v>98.86</v>
          </cell>
          <cell r="Y64">
            <v>99.46</v>
          </cell>
        </row>
        <row r="65">
          <cell r="A65">
            <v>64</v>
          </cell>
          <cell r="B65">
            <v>501</v>
          </cell>
          <cell r="C65" t="str">
            <v>M0112</v>
          </cell>
          <cell r="D65" t="str">
            <v>A</v>
          </cell>
          <cell r="E65" t="str">
            <v>501_M0112_A_064R</v>
          </cell>
          <cell r="F65">
            <v>45831.0347222222</v>
          </cell>
          <cell r="G65" t="str">
            <v>KUHN</v>
          </cell>
          <cell r="H65">
            <v>99.46</v>
          </cell>
          <cell r="I65">
            <v>1.75</v>
          </cell>
          <cell r="J65">
            <v>101.21</v>
          </cell>
          <cell r="K65">
            <v>1</v>
          </cell>
          <cell r="L65">
            <v>0.27</v>
          </cell>
          <cell r="M65">
            <v>15.43</v>
          </cell>
        </row>
        <row r="65">
          <cell r="Q65" t="str">
            <v>yes</v>
          </cell>
          <cell r="R65" t="str">
            <v>all</v>
          </cell>
          <cell r="S65" t="str">
            <v>R</v>
          </cell>
          <cell r="T65" t="str">
            <v>R (QD-TEC)</v>
          </cell>
        </row>
        <row r="65">
          <cell r="V65">
            <v>72</v>
          </cell>
          <cell r="W65">
            <v>0</v>
          </cell>
          <cell r="X65">
            <v>99.46</v>
          </cell>
          <cell r="Y65">
            <v>101.21</v>
          </cell>
        </row>
        <row r="66">
          <cell r="A66">
            <v>65</v>
          </cell>
          <cell r="B66">
            <v>501</v>
          </cell>
          <cell r="C66" t="str">
            <v>M0112</v>
          </cell>
          <cell r="D66" t="str">
            <v>A</v>
          </cell>
          <cell r="E66" t="str">
            <v>501_M0112_A_065R</v>
          </cell>
          <cell r="F66">
            <v>45831.0520833333</v>
          </cell>
          <cell r="G66" t="str">
            <v>KUHN</v>
          </cell>
          <cell r="H66">
            <v>101.21</v>
          </cell>
          <cell r="I66">
            <v>1</v>
          </cell>
          <cell r="J66">
            <v>102.21</v>
          </cell>
          <cell r="K66">
            <v>0</v>
          </cell>
          <cell r="L66">
            <v>0</v>
          </cell>
          <cell r="M66">
            <v>0</v>
          </cell>
        </row>
        <row r="66">
          <cell r="Q66" t="str">
            <v>no</v>
          </cell>
          <cell r="R66" t="str">
            <v>none</v>
          </cell>
          <cell r="S66" t="str">
            <v>R</v>
          </cell>
          <cell r="T66" t="str">
            <v>R (QD-TEC)</v>
          </cell>
        </row>
        <row r="66">
          <cell r="V66">
            <v>72</v>
          </cell>
          <cell r="W66">
            <v>0</v>
          </cell>
          <cell r="X66">
            <v>101.21</v>
          </cell>
          <cell r="Y66">
            <v>102.21</v>
          </cell>
        </row>
        <row r="67">
          <cell r="A67">
            <v>66</v>
          </cell>
          <cell r="B67">
            <v>501</v>
          </cell>
          <cell r="C67" t="str">
            <v>M0112</v>
          </cell>
          <cell r="D67" t="str">
            <v>A</v>
          </cell>
          <cell r="E67" t="str">
            <v>501_M0112_A_066H</v>
          </cell>
          <cell r="F67">
            <v>45831.0694444444</v>
          </cell>
          <cell r="G67" t="str">
            <v>KUHN</v>
          </cell>
          <cell r="H67">
            <v>102.21</v>
          </cell>
          <cell r="I67">
            <v>0.12</v>
          </cell>
          <cell r="J67">
            <v>102.33</v>
          </cell>
          <cell r="K67">
            <v>1</v>
          </cell>
          <cell r="L67">
            <v>0.12</v>
          </cell>
          <cell r="M67">
            <v>100</v>
          </cell>
        </row>
        <row r="67">
          <cell r="Q67" t="str">
            <v>yes</v>
          </cell>
          <cell r="R67" t="str">
            <v>all</v>
          </cell>
          <cell r="S67" t="str">
            <v>H</v>
          </cell>
          <cell r="T67" t="str">
            <v>H (QD-TEC)</v>
          </cell>
        </row>
        <row r="67">
          <cell r="V67">
            <v>72</v>
          </cell>
          <cell r="W67">
            <v>0</v>
          </cell>
          <cell r="X67">
            <v>102.21</v>
          </cell>
          <cell r="Y67">
            <v>102.33</v>
          </cell>
        </row>
        <row r="68">
          <cell r="A68">
            <v>67</v>
          </cell>
          <cell r="B68">
            <v>501</v>
          </cell>
          <cell r="C68" t="str">
            <v>M0112</v>
          </cell>
          <cell r="D68" t="str">
            <v>A</v>
          </cell>
          <cell r="E68" t="str">
            <v>501_M0112_A_067H</v>
          </cell>
          <cell r="F68">
            <v>45831.1041666667</v>
          </cell>
          <cell r="G68" t="str">
            <v>KUHN</v>
          </cell>
          <cell r="H68">
            <v>102.33</v>
          </cell>
          <cell r="I68">
            <v>0.91</v>
          </cell>
          <cell r="J68">
            <v>103.24</v>
          </cell>
          <cell r="K68">
            <v>1</v>
          </cell>
          <cell r="L68">
            <v>0.91</v>
          </cell>
          <cell r="M68">
            <v>100</v>
          </cell>
        </row>
        <row r="68">
          <cell r="Q68" t="str">
            <v>yes</v>
          </cell>
          <cell r="R68" t="str">
            <v>all</v>
          </cell>
          <cell r="S68" t="str">
            <v>H</v>
          </cell>
          <cell r="T68" t="str">
            <v>H (QD-TEC)</v>
          </cell>
        </row>
        <row r="68">
          <cell r="V68">
            <v>72</v>
          </cell>
          <cell r="W68">
            <v>0</v>
          </cell>
          <cell r="X68">
            <v>102.33</v>
          </cell>
          <cell r="Y68">
            <v>103.24</v>
          </cell>
        </row>
        <row r="69">
          <cell r="A69">
            <v>68</v>
          </cell>
          <cell r="B69">
            <v>501</v>
          </cell>
          <cell r="C69" t="str">
            <v>M0112</v>
          </cell>
          <cell r="D69" t="str">
            <v>A</v>
          </cell>
          <cell r="E69" t="str">
            <v>501_M0112_A_068H</v>
          </cell>
          <cell r="F69">
            <v>45831.1354166667</v>
          </cell>
          <cell r="G69" t="str">
            <v>KUHN</v>
          </cell>
          <cell r="H69">
            <v>103.24</v>
          </cell>
          <cell r="I69">
            <v>0.14</v>
          </cell>
          <cell r="J69">
            <v>103.38</v>
          </cell>
          <cell r="K69">
            <v>1</v>
          </cell>
          <cell r="L69">
            <v>0.14</v>
          </cell>
          <cell r="M69">
            <v>100</v>
          </cell>
        </row>
        <row r="69">
          <cell r="Q69" t="str">
            <v>yes</v>
          </cell>
          <cell r="R69" t="str">
            <v>all</v>
          </cell>
          <cell r="S69" t="str">
            <v>H</v>
          </cell>
          <cell r="T69" t="str">
            <v>H (QD-TEC)</v>
          </cell>
        </row>
        <row r="69">
          <cell r="V69">
            <v>72</v>
          </cell>
          <cell r="W69">
            <v>0</v>
          </cell>
          <cell r="X69">
            <v>103.24</v>
          </cell>
          <cell r="Y69">
            <v>103.38</v>
          </cell>
        </row>
        <row r="70">
          <cell r="A70">
            <v>69</v>
          </cell>
          <cell r="B70">
            <v>501</v>
          </cell>
          <cell r="C70" t="str">
            <v>M0112</v>
          </cell>
          <cell r="D70" t="str">
            <v>A</v>
          </cell>
          <cell r="E70" t="str">
            <v>501_M0112_A_069R</v>
          </cell>
          <cell r="F70">
            <v>45831.2013888889</v>
          </cell>
          <cell r="G70" t="str">
            <v>HK</v>
          </cell>
          <cell r="H70">
            <v>103.38</v>
          </cell>
          <cell r="I70">
            <v>0.9</v>
          </cell>
          <cell r="J70">
            <v>104.28</v>
          </cell>
          <cell r="K70">
            <v>1</v>
          </cell>
          <cell r="L70">
            <v>0.27</v>
          </cell>
          <cell r="M70">
            <v>30</v>
          </cell>
          <cell r="N70" t="str">
            <v>discontinuous</v>
          </cell>
        </row>
        <row r="70">
          <cell r="P70" t="str">
            <v>liner stuck</v>
          </cell>
        </row>
        <row r="70">
          <cell r="X70">
            <v>103.38</v>
          </cell>
        </row>
        <row r="71">
          <cell r="A71">
            <v>70</v>
          </cell>
          <cell r="B71">
            <v>501</v>
          </cell>
          <cell r="C71" t="str">
            <v>M0112</v>
          </cell>
          <cell r="D71" t="str">
            <v>A</v>
          </cell>
          <cell r="E71" t="str">
            <v>501_M0112_A_070R</v>
          </cell>
          <cell r="F71">
            <v>45831.2430555556</v>
          </cell>
          <cell r="G71" t="str">
            <v>HK</v>
          </cell>
          <cell r="H71">
            <v>104.28</v>
          </cell>
          <cell r="I71">
            <v>2.93</v>
          </cell>
          <cell r="J71">
            <v>107.21</v>
          </cell>
          <cell r="K71">
            <v>1</v>
          </cell>
          <cell r="L71">
            <v>0.63</v>
          </cell>
          <cell r="M71">
            <v>21.5</v>
          </cell>
        </row>
        <row r="71">
          <cell r="P71" t="str">
            <v>metal pieces from basket@20 and 45cm</v>
          </cell>
          <cell r="Q71" t="str">
            <v>yes</v>
          </cell>
          <cell r="R71" t="str">
            <v>all</v>
          </cell>
          <cell r="S71" t="str">
            <v>R</v>
          </cell>
          <cell r="T71" t="str">
            <v>R (QD-TEC)</v>
          </cell>
        </row>
        <row r="71">
          <cell r="V71">
            <v>72</v>
          </cell>
          <cell r="W71">
            <v>0</v>
          </cell>
          <cell r="X71">
            <v>104.28</v>
          </cell>
          <cell r="Y71">
            <v>107.21</v>
          </cell>
        </row>
        <row r="72">
          <cell r="A72">
            <v>71</v>
          </cell>
          <cell r="B72">
            <v>501</v>
          </cell>
          <cell r="C72" t="str">
            <v>M0112</v>
          </cell>
          <cell r="D72" t="str">
            <v>A</v>
          </cell>
          <cell r="E72" t="str">
            <v>501_M0112_A_071R</v>
          </cell>
          <cell r="F72">
            <v>45831.2881944444</v>
          </cell>
          <cell r="G72" t="str">
            <v>HK</v>
          </cell>
          <cell r="H72">
            <v>107.21</v>
          </cell>
          <cell r="I72">
            <v>3</v>
          </cell>
          <cell r="J72">
            <v>110.21</v>
          </cell>
          <cell r="K72">
            <v>1</v>
          </cell>
          <cell r="L72">
            <v>0.26</v>
          </cell>
          <cell r="M72">
            <v>8.67</v>
          </cell>
        </row>
        <row r="72">
          <cell r="Q72" t="str">
            <v>yes</v>
          </cell>
          <cell r="R72" t="str">
            <v>all</v>
          </cell>
          <cell r="S72" t="str">
            <v>R</v>
          </cell>
          <cell r="T72" t="str">
            <v>R (QD-TEC)</v>
          </cell>
        </row>
        <row r="72">
          <cell r="V72">
            <v>72</v>
          </cell>
          <cell r="W72">
            <v>0</v>
          </cell>
          <cell r="X72">
            <v>107.21</v>
          </cell>
          <cell r="Y72">
            <v>110.21</v>
          </cell>
        </row>
        <row r="73">
          <cell r="A73">
            <v>72</v>
          </cell>
          <cell r="B73">
            <v>501</v>
          </cell>
          <cell r="C73" t="str">
            <v>M0112</v>
          </cell>
          <cell r="D73" t="str">
            <v>A</v>
          </cell>
          <cell r="E73" t="str">
            <v>501_M0112_A_072H</v>
          </cell>
          <cell r="F73">
            <v>45831.3159722222</v>
          </cell>
          <cell r="G73" t="str">
            <v>HK</v>
          </cell>
          <cell r="H73">
            <v>110.21</v>
          </cell>
          <cell r="I73">
            <v>0.33</v>
          </cell>
          <cell r="J73">
            <v>110.54</v>
          </cell>
          <cell r="K73">
            <v>1</v>
          </cell>
          <cell r="L73">
            <v>0.33</v>
          </cell>
          <cell r="M73">
            <v>100</v>
          </cell>
        </row>
        <row r="73">
          <cell r="Q73" t="str">
            <v>yes</v>
          </cell>
          <cell r="R73" t="str">
            <v>all</v>
          </cell>
          <cell r="S73" t="str">
            <v>H</v>
          </cell>
          <cell r="T73" t="str">
            <v>H (QD-TEC)</v>
          </cell>
        </row>
        <row r="73">
          <cell r="V73">
            <v>72</v>
          </cell>
          <cell r="W73">
            <v>0</v>
          </cell>
          <cell r="X73">
            <v>110.21</v>
          </cell>
          <cell r="Y73">
            <v>110.54</v>
          </cell>
        </row>
        <row r="74">
          <cell r="A74">
            <v>73</v>
          </cell>
          <cell r="B74">
            <v>501</v>
          </cell>
          <cell r="C74" t="str">
            <v>M0112</v>
          </cell>
          <cell r="D74" t="str">
            <v>A</v>
          </cell>
          <cell r="E74" t="str">
            <v>501_M0112_A_073O</v>
          </cell>
          <cell r="F74">
            <v>45831.4270833333</v>
          </cell>
          <cell r="G74" t="str">
            <v>HK</v>
          </cell>
          <cell r="H74">
            <v>110.54</v>
          </cell>
          <cell r="I74">
            <v>2.67</v>
          </cell>
          <cell r="J74">
            <v>113.21</v>
          </cell>
          <cell r="K74">
            <v>0</v>
          </cell>
          <cell r="L74">
            <v>0</v>
          </cell>
          <cell r="M74">
            <v>0</v>
          </cell>
        </row>
        <row r="74">
          <cell r="P74" t="str">
            <v>open hole drilling</v>
          </cell>
          <cell r="Q74" t="str">
            <v>no</v>
          </cell>
          <cell r="R74" t="str">
            <v>none</v>
          </cell>
          <cell r="S74" t="str">
            <v>O</v>
          </cell>
          <cell r="T74" t="str">
            <v>O (QD-TEC)</v>
          </cell>
        </row>
        <row r="74">
          <cell r="V74">
            <v>72</v>
          </cell>
        </row>
        <row r="74">
          <cell r="X74">
            <v>110.54</v>
          </cell>
          <cell r="Y74">
            <v>113.21</v>
          </cell>
        </row>
        <row r="75">
          <cell r="A75">
            <v>74</v>
          </cell>
          <cell r="B75">
            <v>501</v>
          </cell>
          <cell r="C75" t="str">
            <v>M0112</v>
          </cell>
          <cell r="D75" t="str">
            <v>A</v>
          </cell>
          <cell r="E75" t="str">
            <v>501_M0112_A_074H</v>
          </cell>
          <cell r="F75">
            <v>45831.4479166667</v>
          </cell>
          <cell r="G75" t="str">
            <v>HK</v>
          </cell>
          <cell r="H75">
            <v>113.21</v>
          </cell>
          <cell r="I75">
            <v>0</v>
          </cell>
          <cell r="J75">
            <v>113.21</v>
          </cell>
          <cell r="K75">
            <v>0</v>
          </cell>
          <cell r="L75">
            <v>0</v>
          </cell>
          <cell r="M75">
            <v>0</v>
          </cell>
        </row>
        <row r="75">
          <cell r="P75" t="str">
            <v>no recovery</v>
          </cell>
          <cell r="Q75" t="str">
            <v>no</v>
          </cell>
          <cell r="R75" t="str">
            <v>none</v>
          </cell>
          <cell r="S75" t="str">
            <v>H</v>
          </cell>
          <cell r="T75" t="str">
            <v>H (QD-TEC)</v>
          </cell>
        </row>
        <row r="75">
          <cell r="V75">
            <v>72</v>
          </cell>
          <cell r="W75">
            <v>0</v>
          </cell>
          <cell r="X75">
            <v>113.21</v>
          </cell>
          <cell r="Y75">
            <v>113.21</v>
          </cell>
        </row>
        <row r="76">
          <cell r="A76">
            <v>75</v>
          </cell>
          <cell r="B76">
            <v>501</v>
          </cell>
          <cell r="C76" t="str">
            <v>M0112</v>
          </cell>
          <cell r="D76" t="str">
            <v>A</v>
          </cell>
          <cell r="E76" t="str">
            <v>501_M0112_A_075H</v>
          </cell>
          <cell r="F76">
            <v>45831.4791666667</v>
          </cell>
          <cell r="G76" t="str">
            <v>HK</v>
          </cell>
          <cell r="H76">
            <v>113.21</v>
          </cell>
          <cell r="I76">
            <v>0</v>
          </cell>
          <cell r="J76">
            <v>113.21</v>
          </cell>
          <cell r="K76">
            <v>1</v>
          </cell>
          <cell r="L76">
            <v>0.14</v>
          </cell>
          <cell r="M76">
            <v>0</v>
          </cell>
        </row>
        <row r="76">
          <cell r="P76" t="str">
            <v>loose sand replaced in liner</v>
          </cell>
          <cell r="Q76" t="str">
            <v>yes</v>
          </cell>
          <cell r="R76" t="str">
            <v>all</v>
          </cell>
          <cell r="S76" t="str">
            <v>H</v>
          </cell>
          <cell r="T76" t="str">
            <v>H (QD-TEC)</v>
          </cell>
        </row>
        <row r="76">
          <cell r="V76">
            <v>72</v>
          </cell>
          <cell r="W76">
            <v>0</v>
          </cell>
          <cell r="X76">
            <v>113.21</v>
          </cell>
          <cell r="Y76">
            <v>113.21</v>
          </cell>
        </row>
        <row r="77">
          <cell r="A77">
            <v>76</v>
          </cell>
          <cell r="B77">
            <v>501</v>
          </cell>
          <cell r="C77" t="str">
            <v>M0112</v>
          </cell>
          <cell r="D77" t="str">
            <v>A</v>
          </cell>
          <cell r="E77" t="str">
            <v>501_M0112_A_076O</v>
          </cell>
          <cell r="F77">
            <v>45831.5069444444</v>
          </cell>
          <cell r="G77" t="str">
            <v>HK</v>
          </cell>
          <cell r="H77">
            <v>113.21</v>
          </cell>
          <cell r="I77">
            <v>2</v>
          </cell>
          <cell r="J77">
            <v>115.21</v>
          </cell>
          <cell r="K77">
            <v>0</v>
          </cell>
          <cell r="L77">
            <v>0</v>
          </cell>
          <cell r="M77">
            <v>0</v>
          </cell>
        </row>
        <row r="77">
          <cell r="P77" t="str">
            <v>open hole drilling</v>
          </cell>
          <cell r="Q77" t="str">
            <v>no</v>
          </cell>
          <cell r="R77" t="str">
            <v>none</v>
          </cell>
          <cell r="S77" t="str">
            <v>O</v>
          </cell>
          <cell r="T77" t="str">
            <v>O (QD-TEC)</v>
          </cell>
        </row>
        <row r="77">
          <cell r="V77">
            <v>72</v>
          </cell>
        </row>
        <row r="77">
          <cell r="X77">
            <v>113.21</v>
          </cell>
          <cell r="Y77">
            <v>115.21</v>
          </cell>
        </row>
        <row r="78">
          <cell r="A78">
            <v>77</v>
          </cell>
          <cell r="B78">
            <v>501</v>
          </cell>
          <cell r="C78" t="str">
            <v>M0112</v>
          </cell>
          <cell r="D78" t="str">
            <v>A</v>
          </cell>
          <cell r="E78" t="str">
            <v>501_M0112_A_077H</v>
          </cell>
          <cell r="F78">
            <v>45831.5208333333</v>
          </cell>
          <cell r="G78" t="str">
            <v>HK</v>
          </cell>
          <cell r="H78">
            <v>115.21</v>
          </cell>
          <cell r="I78">
            <v>0</v>
          </cell>
          <cell r="J78">
            <v>115.21</v>
          </cell>
          <cell r="K78">
            <v>1</v>
          </cell>
          <cell r="L78">
            <v>0.02</v>
          </cell>
          <cell r="M78">
            <v>0</v>
          </cell>
        </row>
        <row r="78">
          <cell r="P78" t="str">
            <v>ALL to PAL</v>
          </cell>
          <cell r="Q78" t="str">
            <v>yes</v>
          </cell>
          <cell r="R78" t="str">
            <v>none</v>
          </cell>
          <cell r="S78" t="str">
            <v>H</v>
          </cell>
          <cell r="T78" t="str">
            <v>H (QD-TEC)</v>
          </cell>
        </row>
        <row r="78">
          <cell r="V78">
            <v>72</v>
          </cell>
          <cell r="W78">
            <v>0</v>
          </cell>
          <cell r="X78">
            <v>115.21</v>
          </cell>
          <cell r="Y78">
            <v>115.21</v>
          </cell>
        </row>
        <row r="79">
          <cell r="A79">
            <v>78</v>
          </cell>
          <cell r="B79">
            <v>501</v>
          </cell>
          <cell r="C79" t="str">
            <v>M0112</v>
          </cell>
          <cell r="D79" t="str">
            <v>A</v>
          </cell>
          <cell r="E79" t="str">
            <v>501_M0112_A_078H</v>
          </cell>
          <cell r="F79">
            <v>45831.5555555556</v>
          </cell>
          <cell r="G79" t="str">
            <v>HK</v>
          </cell>
          <cell r="H79">
            <v>115.21</v>
          </cell>
          <cell r="I79">
            <v>1.99</v>
          </cell>
          <cell r="J79">
            <v>117.2</v>
          </cell>
          <cell r="K79">
            <v>2</v>
          </cell>
          <cell r="L79">
            <v>1.99</v>
          </cell>
          <cell r="M79">
            <v>100</v>
          </cell>
        </row>
        <row r="79">
          <cell r="P79" t="str">
            <v>loose sand</v>
          </cell>
        </row>
        <row r="79">
          <cell r="X79">
            <v>115.21</v>
          </cell>
        </row>
        <row r="80">
          <cell r="A80">
            <v>79</v>
          </cell>
          <cell r="B80">
            <v>501</v>
          </cell>
          <cell r="C80" t="str">
            <v>M0112</v>
          </cell>
          <cell r="D80" t="str">
            <v>A</v>
          </cell>
          <cell r="E80" t="str">
            <v>501_M0112_A_079H</v>
          </cell>
          <cell r="F80">
            <v>45831.59375</v>
          </cell>
          <cell r="G80" t="str">
            <v>HK</v>
          </cell>
          <cell r="H80">
            <v>117.2</v>
          </cell>
          <cell r="I80">
            <v>0</v>
          </cell>
          <cell r="J80">
            <v>117.2</v>
          </cell>
          <cell r="K80">
            <v>0</v>
          </cell>
          <cell r="L80">
            <v>0</v>
          </cell>
          <cell r="M80">
            <v>0</v>
          </cell>
        </row>
        <row r="80">
          <cell r="P80" t="str">
            <v>no recovery</v>
          </cell>
          <cell r="Q80" t="str">
            <v>no</v>
          </cell>
          <cell r="R80" t="str">
            <v>none</v>
          </cell>
          <cell r="S80" t="str">
            <v>H</v>
          </cell>
          <cell r="T80" t="str">
            <v>H (QD-TEC)</v>
          </cell>
        </row>
        <row r="80">
          <cell r="V80">
            <v>72</v>
          </cell>
          <cell r="W80">
            <v>0</v>
          </cell>
          <cell r="X80">
            <v>117.2</v>
          </cell>
          <cell r="Y80">
            <v>117.2</v>
          </cell>
        </row>
        <row r="81">
          <cell r="A81">
            <v>80</v>
          </cell>
          <cell r="B81">
            <v>501</v>
          </cell>
          <cell r="C81" t="str">
            <v>M0112</v>
          </cell>
          <cell r="D81" t="str">
            <v>A</v>
          </cell>
          <cell r="E81" t="str">
            <v>501_M0112_A_080H</v>
          </cell>
          <cell r="F81">
            <v>45831.6284722222</v>
          </cell>
          <cell r="G81" t="str">
            <v>HK</v>
          </cell>
          <cell r="H81">
            <v>117.2</v>
          </cell>
          <cell r="I81">
            <v>0</v>
          </cell>
          <cell r="J81">
            <v>117.2</v>
          </cell>
          <cell r="K81">
            <v>1</v>
          </cell>
          <cell r="L81">
            <v>0.02</v>
          </cell>
          <cell r="M81">
            <v>0</v>
          </cell>
        </row>
        <row r="81">
          <cell r="P81" t="str">
            <v>All to PAL</v>
          </cell>
          <cell r="Q81" t="str">
            <v>yes</v>
          </cell>
          <cell r="R81" t="str">
            <v>none</v>
          </cell>
          <cell r="S81" t="str">
            <v>H</v>
          </cell>
          <cell r="T81" t="str">
            <v>H (QD-TEC)</v>
          </cell>
        </row>
        <row r="81">
          <cell r="V81">
            <v>72</v>
          </cell>
          <cell r="W81">
            <v>0</v>
          </cell>
          <cell r="X81">
            <v>117.2</v>
          </cell>
          <cell r="Y81">
            <v>117.2</v>
          </cell>
        </row>
        <row r="82">
          <cell r="A82">
            <v>81</v>
          </cell>
          <cell r="B82">
            <v>501</v>
          </cell>
          <cell r="C82" t="str">
            <v>M0112</v>
          </cell>
          <cell r="D82" t="str">
            <v>A</v>
          </cell>
          <cell r="E82" t="str">
            <v>501_M0112_A_081R</v>
          </cell>
          <cell r="F82">
            <v>45831.6631944444</v>
          </cell>
          <cell r="G82" t="str">
            <v>KUHN</v>
          </cell>
          <cell r="H82">
            <v>117.2</v>
          </cell>
          <cell r="I82">
            <v>2.01</v>
          </cell>
          <cell r="J82">
            <v>119.21</v>
          </cell>
          <cell r="K82">
            <v>1</v>
          </cell>
          <cell r="L82">
            <v>0.16</v>
          </cell>
          <cell r="M82">
            <v>7.96</v>
          </cell>
        </row>
        <row r="82">
          <cell r="Q82" t="str">
            <v>yes</v>
          </cell>
          <cell r="R82" t="str">
            <v>all</v>
          </cell>
          <cell r="S82" t="str">
            <v>R</v>
          </cell>
          <cell r="T82" t="str">
            <v>R (QD-TEC)</v>
          </cell>
        </row>
        <row r="82">
          <cell r="V82">
            <v>72</v>
          </cell>
          <cell r="W82">
            <v>0</v>
          </cell>
          <cell r="X82">
            <v>117.2</v>
          </cell>
          <cell r="Y82">
            <v>119.21</v>
          </cell>
        </row>
        <row r="83">
          <cell r="A83">
            <v>82</v>
          </cell>
          <cell r="B83">
            <v>501</v>
          </cell>
          <cell r="C83" t="str">
            <v>M0112</v>
          </cell>
          <cell r="D83" t="str">
            <v>A</v>
          </cell>
          <cell r="E83" t="str">
            <v>501_M0112_A_082H</v>
          </cell>
          <cell r="F83">
            <v>45831.6909722222</v>
          </cell>
          <cell r="G83" t="str">
            <v>KUHN</v>
          </cell>
          <cell r="H83">
            <v>119.21</v>
          </cell>
          <cell r="I83">
            <v>1.03</v>
          </cell>
          <cell r="J83">
            <v>120.24</v>
          </cell>
          <cell r="K83">
            <v>1</v>
          </cell>
          <cell r="L83">
            <v>1.03</v>
          </cell>
          <cell r="M83">
            <v>100</v>
          </cell>
        </row>
        <row r="83">
          <cell r="Q83" t="str">
            <v>yes</v>
          </cell>
          <cell r="R83" t="str">
            <v>all</v>
          </cell>
          <cell r="S83" t="str">
            <v>H</v>
          </cell>
          <cell r="T83" t="str">
            <v>H (QD-TEC)</v>
          </cell>
        </row>
        <row r="83">
          <cell r="V83">
            <v>72</v>
          </cell>
          <cell r="W83">
            <v>0</v>
          </cell>
          <cell r="X83">
            <v>119.21</v>
          </cell>
          <cell r="Y83">
            <v>120.24</v>
          </cell>
        </row>
        <row r="84">
          <cell r="A84">
            <v>83</v>
          </cell>
          <cell r="B84">
            <v>501</v>
          </cell>
          <cell r="C84" t="str">
            <v>M0112</v>
          </cell>
          <cell r="D84" t="str">
            <v>A</v>
          </cell>
          <cell r="E84" t="str">
            <v>501_M0112_A_083H</v>
          </cell>
          <cell r="F84">
            <v>45831.7222222222</v>
          </cell>
          <cell r="G84" t="str">
            <v>KUHN</v>
          </cell>
          <cell r="H84">
            <v>120.24</v>
          </cell>
          <cell r="I84">
            <v>0.12</v>
          </cell>
          <cell r="J84">
            <v>120.36</v>
          </cell>
          <cell r="K84">
            <v>1</v>
          </cell>
          <cell r="L84">
            <v>0.12</v>
          </cell>
          <cell r="M84">
            <v>100</v>
          </cell>
        </row>
        <row r="84">
          <cell r="Q84" t="str">
            <v>yes</v>
          </cell>
          <cell r="R84" t="str">
            <v>all</v>
          </cell>
          <cell r="S84" t="str">
            <v>H</v>
          </cell>
          <cell r="T84" t="str">
            <v>H (QD-TEC)</v>
          </cell>
        </row>
        <row r="84">
          <cell r="V84">
            <v>72</v>
          </cell>
          <cell r="W84">
            <v>0</v>
          </cell>
          <cell r="X84">
            <v>120.24</v>
          </cell>
          <cell r="Y84">
            <v>120.36</v>
          </cell>
        </row>
        <row r="85">
          <cell r="A85">
            <v>84</v>
          </cell>
          <cell r="B85">
            <v>501</v>
          </cell>
          <cell r="C85" t="str">
            <v>M0112</v>
          </cell>
          <cell r="D85" t="str">
            <v>A</v>
          </cell>
          <cell r="E85" t="str">
            <v>501_M0112_A_084H</v>
          </cell>
          <cell r="F85">
            <v>45831.7465277778</v>
          </cell>
          <cell r="G85" t="str">
            <v>KUHN</v>
          </cell>
          <cell r="H85">
            <v>120.36</v>
          </cell>
          <cell r="I85">
            <v>1.21</v>
          </cell>
          <cell r="J85">
            <v>121.57</v>
          </cell>
          <cell r="K85">
            <v>1</v>
          </cell>
          <cell r="L85">
            <v>1.21</v>
          </cell>
          <cell r="M85">
            <v>100</v>
          </cell>
        </row>
        <row r="85">
          <cell r="Q85" t="str">
            <v>yes</v>
          </cell>
          <cell r="R85" t="str">
            <v>all</v>
          </cell>
          <cell r="S85" t="str">
            <v>H</v>
          </cell>
          <cell r="T85" t="str">
            <v>H (QD-TEC)</v>
          </cell>
        </row>
        <row r="85">
          <cell r="V85">
            <v>72</v>
          </cell>
          <cell r="W85">
            <v>0</v>
          </cell>
          <cell r="X85">
            <v>120.36</v>
          </cell>
          <cell r="Y85">
            <v>121.57</v>
          </cell>
        </row>
        <row r="86">
          <cell r="A86">
            <v>85</v>
          </cell>
          <cell r="B86">
            <v>501</v>
          </cell>
          <cell r="C86" t="str">
            <v>M0112</v>
          </cell>
          <cell r="D86" t="str">
            <v>A</v>
          </cell>
          <cell r="E86" t="str">
            <v>501_M0112_A_085H</v>
          </cell>
          <cell r="F86">
            <v>45831.7777777778</v>
          </cell>
          <cell r="G86" t="str">
            <v>KUHN</v>
          </cell>
          <cell r="H86">
            <v>121.57</v>
          </cell>
          <cell r="I86">
            <v>0.55</v>
          </cell>
          <cell r="J86">
            <v>122.12</v>
          </cell>
          <cell r="K86">
            <v>1</v>
          </cell>
          <cell r="L86">
            <v>0.55</v>
          </cell>
          <cell r="M86">
            <v>100</v>
          </cell>
        </row>
        <row r="86">
          <cell r="Q86" t="str">
            <v>yes</v>
          </cell>
          <cell r="R86" t="str">
            <v>all</v>
          </cell>
          <cell r="S86" t="str">
            <v>H</v>
          </cell>
          <cell r="T86" t="str">
            <v>H (QD-TEC)</v>
          </cell>
        </row>
        <row r="86">
          <cell r="V86">
            <v>72</v>
          </cell>
          <cell r="W86">
            <v>0</v>
          </cell>
          <cell r="X86">
            <v>121.57</v>
          </cell>
          <cell r="Y86">
            <v>122.12</v>
          </cell>
        </row>
        <row r="87">
          <cell r="A87">
            <v>86</v>
          </cell>
          <cell r="B87">
            <v>501</v>
          </cell>
          <cell r="C87" t="str">
            <v>M0112</v>
          </cell>
          <cell r="D87" t="str">
            <v>A</v>
          </cell>
          <cell r="E87" t="str">
            <v>501_M0112_A_086H</v>
          </cell>
          <cell r="F87">
            <v>45831.8159722222</v>
          </cell>
          <cell r="G87" t="str">
            <v>KUHN</v>
          </cell>
          <cell r="H87">
            <v>122.12</v>
          </cell>
          <cell r="I87">
            <v>2.03</v>
          </cell>
          <cell r="J87">
            <v>124.15</v>
          </cell>
          <cell r="K87">
            <v>2</v>
          </cell>
          <cell r="L87">
            <v>2.03</v>
          </cell>
          <cell r="M87">
            <v>100</v>
          </cell>
        </row>
        <row r="87">
          <cell r="Q87" t="str">
            <v>yes</v>
          </cell>
          <cell r="R87" t="str">
            <v>all</v>
          </cell>
          <cell r="S87" t="str">
            <v>H</v>
          </cell>
          <cell r="T87" t="str">
            <v>H (QD-TEC)</v>
          </cell>
        </row>
        <row r="87">
          <cell r="V87">
            <v>72</v>
          </cell>
          <cell r="W87">
            <v>0</v>
          </cell>
          <cell r="X87">
            <v>122.12</v>
          </cell>
          <cell r="Y87">
            <v>124.15</v>
          </cell>
        </row>
        <row r="88">
          <cell r="A88">
            <v>87</v>
          </cell>
          <cell r="B88">
            <v>501</v>
          </cell>
          <cell r="C88" t="str">
            <v>M0112</v>
          </cell>
          <cell r="D88" t="str">
            <v>A</v>
          </cell>
          <cell r="E88" t="str">
            <v>501_M0112_A_087H</v>
          </cell>
          <cell r="F88">
            <v>45831.8472222222</v>
          </cell>
          <cell r="G88" t="str">
            <v>KUHN</v>
          </cell>
          <cell r="H88">
            <v>124.15</v>
          </cell>
          <cell r="I88">
            <v>0.19</v>
          </cell>
          <cell r="J88">
            <v>124.34</v>
          </cell>
          <cell r="K88">
            <v>1</v>
          </cell>
          <cell r="L88">
            <v>0.19</v>
          </cell>
          <cell r="M88">
            <v>100</v>
          </cell>
        </row>
        <row r="88">
          <cell r="Q88" t="str">
            <v>yes</v>
          </cell>
          <cell r="R88" t="str">
            <v>all</v>
          </cell>
          <cell r="S88" t="str">
            <v>H</v>
          </cell>
          <cell r="T88" t="str">
            <v>H (QD-TEC)</v>
          </cell>
        </row>
        <row r="88">
          <cell r="V88">
            <v>72</v>
          </cell>
          <cell r="W88">
            <v>0</v>
          </cell>
          <cell r="X88">
            <v>124.15</v>
          </cell>
          <cell r="Y88">
            <v>124.34</v>
          </cell>
        </row>
        <row r="89">
          <cell r="A89">
            <v>88</v>
          </cell>
          <cell r="B89">
            <v>501</v>
          </cell>
          <cell r="C89" t="str">
            <v>M0112</v>
          </cell>
          <cell r="D89" t="str">
            <v>A</v>
          </cell>
          <cell r="E89" t="str">
            <v>501_M0112_A_088H</v>
          </cell>
          <cell r="F89">
            <v>45831.8784722222</v>
          </cell>
          <cell r="G89" t="str">
            <v>KUHN</v>
          </cell>
          <cell r="H89">
            <v>124.34</v>
          </cell>
          <cell r="I89">
            <v>0.13</v>
          </cell>
          <cell r="J89">
            <v>124.47</v>
          </cell>
          <cell r="K89">
            <v>1</v>
          </cell>
          <cell r="L89">
            <v>0.13</v>
          </cell>
          <cell r="M89">
            <v>100</v>
          </cell>
        </row>
        <row r="89">
          <cell r="Q89" t="str">
            <v>yes</v>
          </cell>
          <cell r="R89" t="str">
            <v>all</v>
          </cell>
          <cell r="S89" t="str">
            <v>H</v>
          </cell>
          <cell r="T89" t="str">
            <v>H (QD-TEC)</v>
          </cell>
        </row>
        <row r="89">
          <cell r="V89">
            <v>72</v>
          </cell>
          <cell r="W89">
            <v>0</v>
          </cell>
          <cell r="X89">
            <v>124.34</v>
          </cell>
          <cell r="Y89">
            <v>124.47</v>
          </cell>
        </row>
        <row r="90">
          <cell r="A90">
            <v>89</v>
          </cell>
          <cell r="B90">
            <v>501</v>
          </cell>
          <cell r="C90" t="str">
            <v>M0112</v>
          </cell>
          <cell r="D90" t="str">
            <v>A</v>
          </cell>
          <cell r="E90" t="str">
            <v>501_M0112_A_089H</v>
          </cell>
          <cell r="F90">
            <v>45831.8993055556</v>
          </cell>
          <cell r="G90" t="str">
            <v>KUHN</v>
          </cell>
          <cell r="H90">
            <v>124.47</v>
          </cell>
          <cell r="I90">
            <v>1.42</v>
          </cell>
          <cell r="J90">
            <v>125.89</v>
          </cell>
          <cell r="K90">
            <v>2</v>
          </cell>
          <cell r="L90">
            <v>1.42</v>
          </cell>
          <cell r="M90">
            <v>100</v>
          </cell>
        </row>
        <row r="90">
          <cell r="Q90" t="str">
            <v>yes</v>
          </cell>
          <cell r="R90" t="str">
            <v>all</v>
          </cell>
          <cell r="S90" t="str">
            <v>H</v>
          </cell>
          <cell r="T90" t="str">
            <v>H (QD-TEC)</v>
          </cell>
        </row>
        <row r="90">
          <cell r="V90">
            <v>72</v>
          </cell>
          <cell r="W90">
            <v>0</v>
          </cell>
          <cell r="X90">
            <v>124.47</v>
          </cell>
          <cell r="Y90">
            <v>125.89</v>
          </cell>
        </row>
        <row r="91">
          <cell r="A91">
            <v>90</v>
          </cell>
          <cell r="B91">
            <v>501</v>
          </cell>
          <cell r="C91" t="str">
            <v>M0112</v>
          </cell>
          <cell r="D91" t="str">
            <v>A</v>
          </cell>
          <cell r="E91" t="str">
            <v>501_M0112_A_090H</v>
          </cell>
          <cell r="F91">
            <v>45831.9722222222</v>
          </cell>
          <cell r="G91" t="str">
            <v>KUHN</v>
          </cell>
          <cell r="H91">
            <v>125.89</v>
          </cell>
          <cell r="I91">
            <v>0.52</v>
          </cell>
          <cell r="J91">
            <v>126.41</v>
          </cell>
          <cell r="K91">
            <v>1</v>
          </cell>
          <cell r="L91">
            <v>0.52</v>
          </cell>
          <cell r="M91">
            <v>100</v>
          </cell>
        </row>
        <row r="91">
          <cell r="Q91" t="str">
            <v>yes</v>
          </cell>
          <cell r="R91" t="str">
            <v>all</v>
          </cell>
          <cell r="S91" t="str">
            <v>H</v>
          </cell>
          <cell r="T91" t="str">
            <v>H (QD-TEC)</v>
          </cell>
        </row>
        <row r="91">
          <cell r="V91">
            <v>72</v>
          </cell>
          <cell r="W91">
            <v>0</v>
          </cell>
          <cell r="X91">
            <v>125.89</v>
          </cell>
          <cell r="Y91">
            <v>126.41</v>
          </cell>
        </row>
        <row r="92">
          <cell r="A92">
            <v>91</v>
          </cell>
          <cell r="B92">
            <v>501</v>
          </cell>
          <cell r="C92" t="str">
            <v>M0112</v>
          </cell>
          <cell r="D92" t="str">
            <v>A</v>
          </cell>
          <cell r="E92" t="str">
            <v>501_M0112_A_091H</v>
          </cell>
          <cell r="F92">
            <v>45832.0555555556</v>
          </cell>
          <cell r="G92" t="str">
            <v>KUHN</v>
          </cell>
          <cell r="H92">
            <v>126.41</v>
          </cell>
          <cell r="I92">
            <v>2.02</v>
          </cell>
          <cell r="J92">
            <v>128.43</v>
          </cell>
          <cell r="K92">
            <v>3</v>
          </cell>
          <cell r="L92">
            <v>2.02</v>
          </cell>
          <cell r="M92">
            <v>100</v>
          </cell>
        </row>
        <row r="92">
          <cell r="Q92" t="str">
            <v>yes</v>
          </cell>
          <cell r="R92" t="str">
            <v>all</v>
          </cell>
          <cell r="S92" t="str">
            <v>H</v>
          </cell>
          <cell r="T92" t="str">
            <v>H (QD-TEC)</v>
          </cell>
        </row>
        <row r="92">
          <cell r="V92">
            <v>72</v>
          </cell>
          <cell r="W92">
            <v>0</v>
          </cell>
          <cell r="X92">
            <v>126.41</v>
          </cell>
          <cell r="Y92">
            <v>128.43</v>
          </cell>
        </row>
        <row r="93">
          <cell r="A93">
            <v>92</v>
          </cell>
          <cell r="B93">
            <v>501</v>
          </cell>
          <cell r="C93" t="str">
            <v>M0112</v>
          </cell>
          <cell r="D93" t="str">
            <v>A</v>
          </cell>
          <cell r="E93" t="str">
            <v>501_M0112_A_092H</v>
          </cell>
          <cell r="F93">
            <v>45832.09375</v>
          </cell>
          <cell r="G93" t="str">
            <v>KUHN</v>
          </cell>
          <cell r="H93">
            <v>128.43</v>
          </cell>
          <cell r="I93">
            <v>2.3</v>
          </cell>
          <cell r="J93">
            <v>130.73</v>
          </cell>
          <cell r="K93">
            <v>2</v>
          </cell>
          <cell r="L93">
            <v>2.3</v>
          </cell>
          <cell r="M93">
            <v>100</v>
          </cell>
        </row>
        <row r="93">
          <cell r="Q93" t="str">
            <v>yes</v>
          </cell>
          <cell r="R93" t="str">
            <v>all</v>
          </cell>
          <cell r="S93" t="str">
            <v>H</v>
          </cell>
          <cell r="T93" t="str">
            <v>H (QD-TEC)</v>
          </cell>
        </row>
        <row r="93">
          <cell r="V93">
            <v>72</v>
          </cell>
          <cell r="W93">
            <v>0</v>
          </cell>
          <cell r="X93">
            <v>128.43</v>
          </cell>
          <cell r="Y93">
            <v>130.73</v>
          </cell>
        </row>
        <row r="94">
          <cell r="A94">
            <v>93</v>
          </cell>
          <cell r="B94">
            <v>501</v>
          </cell>
          <cell r="C94" t="str">
            <v>M0112</v>
          </cell>
          <cell r="D94" t="str">
            <v>A</v>
          </cell>
          <cell r="E94" t="str">
            <v>501_M0112_A_093H</v>
          </cell>
          <cell r="F94">
            <v>45832.1388888889</v>
          </cell>
          <cell r="G94" t="str">
            <v>KUHN</v>
          </cell>
          <cell r="H94">
            <v>130.73</v>
          </cell>
          <cell r="I94">
            <v>2.86</v>
          </cell>
          <cell r="J94">
            <v>133.59</v>
          </cell>
          <cell r="K94">
            <v>2</v>
          </cell>
          <cell r="L94">
            <v>2.86</v>
          </cell>
          <cell r="M94">
            <v>100</v>
          </cell>
        </row>
        <row r="94">
          <cell r="Q94" t="str">
            <v>yes</v>
          </cell>
          <cell r="R94" t="str">
            <v>all</v>
          </cell>
          <cell r="S94" t="str">
            <v>H</v>
          </cell>
          <cell r="T94" t="str">
            <v>H (QD-TEC)</v>
          </cell>
        </row>
        <row r="94">
          <cell r="V94">
            <v>72</v>
          </cell>
          <cell r="W94">
            <v>0</v>
          </cell>
          <cell r="X94">
            <v>130.73</v>
          </cell>
          <cell r="Y94">
            <v>133.59</v>
          </cell>
        </row>
        <row r="95">
          <cell r="A95">
            <v>94</v>
          </cell>
          <cell r="B95">
            <v>501</v>
          </cell>
          <cell r="C95" t="str">
            <v>M0112</v>
          </cell>
          <cell r="D95" t="str">
            <v>A</v>
          </cell>
          <cell r="E95" t="str">
            <v>501_M0112_A_094H</v>
          </cell>
          <cell r="F95">
            <v>45832.2083333333</v>
          </cell>
          <cell r="G95" t="str">
            <v>HK</v>
          </cell>
          <cell r="H95">
            <v>133.59</v>
          </cell>
          <cell r="I95">
            <v>2.65</v>
          </cell>
          <cell r="J95">
            <v>136.24</v>
          </cell>
          <cell r="K95">
            <v>2</v>
          </cell>
          <cell r="L95">
            <v>2.75</v>
          </cell>
          <cell r="M95">
            <v>103.77</v>
          </cell>
        </row>
        <row r="95">
          <cell r="Q95" t="str">
            <v>yes</v>
          </cell>
          <cell r="R95" t="str">
            <v>all</v>
          </cell>
          <cell r="S95" t="str">
            <v>H</v>
          </cell>
          <cell r="T95" t="str">
            <v>H (QD-TEC)</v>
          </cell>
        </row>
        <row r="95">
          <cell r="V95">
            <v>72</v>
          </cell>
          <cell r="W95">
            <v>0</v>
          </cell>
          <cell r="X95">
            <v>133.59</v>
          </cell>
          <cell r="Y95">
            <v>136.24</v>
          </cell>
        </row>
        <row r="96">
          <cell r="A96">
            <v>95</v>
          </cell>
          <cell r="B96">
            <v>501</v>
          </cell>
          <cell r="C96" t="str">
            <v>M0112</v>
          </cell>
          <cell r="D96" t="str">
            <v>A</v>
          </cell>
          <cell r="E96" t="str">
            <v>501_M0112_A_095H</v>
          </cell>
          <cell r="F96">
            <v>45832.28125</v>
          </cell>
          <cell r="G96" t="str">
            <v>HK</v>
          </cell>
          <cell r="H96">
            <v>136.24</v>
          </cell>
          <cell r="I96">
            <v>1.98</v>
          </cell>
          <cell r="J96">
            <v>138.22</v>
          </cell>
          <cell r="K96">
            <v>2</v>
          </cell>
          <cell r="L96">
            <v>1.98</v>
          </cell>
          <cell r="M96">
            <v>100</v>
          </cell>
        </row>
        <row r="96">
          <cell r="Q96" t="str">
            <v>yes</v>
          </cell>
          <cell r="R96" t="str">
            <v>all</v>
          </cell>
          <cell r="S96" t="str">
            <v>H</v>
          </cell>
          <cell r="T96" t="str">
            <v>H (QD-TEC)</v>
          </cell>
        </row>
        <row r="96">
          <cell r="V96">
            <v>72</v>
          </cell>
          <cell r="W96">
            <v>0</v>
          </cell>
          <cell r="X96">
            <v>136.24</v>
          </cell>
          <cell r="Y96">
            <v>138.22</v>
          </cell>
        </row>
        <row r="97">
          <cell r="A97">
            <v>96</v>
          </cell>
          <cell r="B97">
            <v>501</v>
          </cell>
          <cell r="C97" t="str">
            <v>M0112</v>
          </cell>
          <cell r="D97" t="str">
            <v>A</v>
          </cell>
          <cell r="E97" t="str">
            <v>501_M0112_A_096H</v>
          </cell>
          <cell r="F97">
            <v>45832.3402777778</v>
          </cell>
          <cell r="G97" t="str">
            <v>HK</v>
          </cell>
          <cell r="H97">
            <v>138.22</v>
          </cell>
          <cell r="I97">
            <v>0.59</v>
          </cell>
          <cell r="J97">
            <v>138.81</v>
          </cell>
          <cell r="K97">
            <v>2</v>
          </cell>
          <cell r="L97">
            <v>0.94</v>
          </cell>
          <cell r="M97">
            <v>159.32</v>
          </cell>
        </row>
        <row r="97">
          <cell r="Q97" t="str">
            <v>yes</v>
          </cell>
          <cell r="R97" t="str">
            <v>all</v>
          </cell>
          <cell r="S97" t="str">
            <v>H</v>
          </cell>
          <cell r="T97" t="str">
            <v>H (QD-TEC)</v>
          </cell>
        </row>
        <row r="97">
          <cell r="V97">
            <v>72</v>
          </cell>
          <cell r="W97">
            <v>0</v>
          </cell>
          <cell r="X97">
            <v>138.22</v>
          </cell>
          <cell r="Y97">
            <v>138.81</v>
          </cell>
        </row>
        <row r="98">
          <cell r="A98">
            <v>97</v>
          </cell>
          <cell r="B98">
            <v>501</v>
          </cell>
          <cell r="C98" t="str">
            <v>M0112</v>
          </cell>
          <cell r="D98" t="str">
            <v>A</v>
          </cell>
          <cell r="E98" t="str">
            <v>501_M0112_A_097R</v>
          </cell>
          <cell r="F98">
            <v>45832.375</v>
          </cell>
          <cell r="G98" t="str">
            <v>HK</v>
          </cell>
          <cell r="H98">
            <v>138.81</v>
          </cell>
          <cell r="I98">
            <v>1.4</v>
          </cell>
          <cell r="J98">
            <v>140.21</v>
          </cell>
          <cell r="K98">
            <v>0</v>
          </cell>
          <cell r="L98">
            <v>0</v>
          </cell>
          <cell r="M98">
            <v>0</v>
          </cell>
        </row>
        <row r="98">
          <cell r="P98" t="str">
            <v>no recovery</v>
          </cell>
          <cell r="Q98" t="str">
            <v>no</v>
          </cell>
          <cell r="R98" t="str">
            <v>none</v>
          </cell>
          <cell r="S98" t="str">
            <v>R</v>
          </cell>
          <cell r="T98" t="str">
            <v>R (QD-TEC)</v>
          </cell>
        </row>
        <row r="98">
          <cell r="V98">
            <v>72</v>
          </cell>
          <cell r="W98">
            <v>0</v>
          </cell>
          <cell r="X98">
            <v>138.81</v>
          </cell>
          <cell r="Y98">
            <v>140.21</v>
          </cell>
        </row>
        <row r="99">
          <cell r="A99">
            <v>98</v>
          </cell>
          <cell r="B99">
            <v>501</v>
          </cell>
          <cell r="C99" t="str">
            <v>M0112</v>
          </cell>
          <cell r="D99" t="str">
            <v>A</v>
          </cell>
          <cell r="E99" t="str">
            <v>501_M0112_A_098H</v>
          </cell>
          <cell r="F99">
            <v>45832.3993055556</v>
          </cell>
          <cell r="G99" t="str">
            <v>HK</v>
          </cell>
          <cell r="H99">
            <v>140.21</v>
          </cell>
          <cell r="I99">
            <v>1</v>
          </cell>
          <cell r="J99">
            <v>141.21</v>
          </cell>
          <cell r="K99">
            <v>1</v>
          </cell>
          <cell r="L99">
            <v>0.12</v>
          </cell>
          <cell r="M99">
            <v>12</v>
          </cell>
        </row>
        <row r="99">
          <cell r="P99" t="str">
            <v>liner stuck piece reorganized in new liner</v>
          </cell>
          <cell r="Q99" t="str">
            <v>yes</v>
          </cell>
          <cell r="R99" t="str">
            <v>all</v>
          </cell>
          <cell r="S99" t="str">
            <v>H</v>
          </cell>
          <cell r="T99" t="str">
            <v>H (QD-TEC)</v>
          </cell>
        </row>
        <row r="99">
          <cell r="V99">
            <v>72</v>
          </cell>
          <cell r="W99">
            <v>0</v>
          </cell>
          <cell r="X99">
            <v>140.21</v>
          </cell>
          <cell r="Y99">
            <v>141.21</v>
          </cell>
        </row>
        <row r="100">
          <cell r="A100">
            <v>99</v>
          </cell>
          <cell r="B100">
            <v>501</v>
          </cell>
          <cell r="C100" t="str">
            <v>M0112</v>
          </cell>
          <cell r="D100" t="str">
            <v>A</v>
          </cell>
          <cell r="E100" t="str">
            <v>501_M0112_A_099R</v>
          </cell>
          <cell r="F100">
            <v>45832.4652777778</v>
          </cell>
          <cell r="G100" t="str">
            <v>HK</v>
          </cell>
          <cell r="H100">
            <v>141.21</v>
          </cell>
          <cell r="I100">
            <v>1</v>
          </cell>
          <cell r="J100">
            <v>142.21</v>
          </cell>
          <cell r="K100">
            <v>2</v>
          </cell>
          <cell r="L100">
            <v>1.67</v>
          </cell>
          <cell r="M100">
            <v>167</v>
          </cell>
        </row>
        <row r="100">
          <cell r="Q100" t="str">
            <v>yes</v>
          </cell>
          <cell r="R100" t="str">
            <v>all</v>
          </cell>
          <cell r="S100" t="str">
            <v>R</v>
          </cell>
          <cell r="T100" t="str">
            <v>R (QD-TEC)</v>
          </cell>
        </row>
        <row r="100">
          <cell r="V100">
            <v>72</v>
          </cell>
          <cell r="W100">
            <v>0</v>
          </cell>
          <cell r="X100">
            <v>141.21</v>
          </cell>
          <cell r="Y100">
            <v>142.21</v>
          </cell>
        </row>
        <row r="101">
          <cell r="A101">
            <v>100</v>
          </cell>
          <cell r="B101">
            <v>501</v>
          </cell>
          <cell r="C101" t="str">
            <v>M0112</v>
          </cell>
          <cell r="D101" t="str">
            <v>A</v>
          </cell>
          <cell r="E101" t="str">
            <v>501_M0112_A_100R</v>
          </cell>
          <cell r="F101">
            <v>45832.5</v>
          </cell>
          <cell r="G101" t="str">
            <v>HK</v>
          </cell>
          <cell r="H101">
            <v>142.21</v>
          </cell>
          <cell r="I101">
            <v>1</v>
          </cell>
          <cell r="J101">
            <v>143.21</v>
          </cell>
          <cell r="K101">
            <v>1</v>
          </cell>
          <cell r="L101">
            <v>0.97</v>
          </cell>
          <cell r="M101">
            <v>97</v>
          </cell>
        </row>
        <row r="101">
          <cell r="Q101" t="str">
            <v>yes</v>
          </cell>
          <cell r="R101" t="str">
            <v>all</v>
          </cell>
          <cell r="S101" t="str">
            <v>R</v>
          </cell>
          <cell r="T101" t="str">
            <v>R (QD-TEC)</v>
          </cell>
        </row>
        <row r="101">
          <cell r="V101">
            <v>72</v>
          </cell>
          <cell r="W101">
            <v>0</v>
          </cell>
          <cell r="X101">
            <v>142.21</v>
          </cell>
          <cell r="Y101">
            <v>143.21</v>
          </cell>
        </row>
        <row r="102">
          <cell r="A102">
            <v>101</v>
          </cell>
          <cell r="B102">
            <v>501</v>
          </cell>
          <cell r="C102" t="str">
            <v>M0112</v>
          </cell>
          <cell r="D102" t="str">
            <v>A</v>
          </cell>
          <cell r="E102" t="str">
            <v>501_M0112_A_101R</v>
          </cell>
          <cell r="F102">
            <v>45832.5347222222</v>
          </cell>
          <cell r="G102" t="str">
            <v>HK</v>
          </cell>
          <cell r="H102">
            <v>143.21</v>
          </cell>
          <cell r="I102">
            <v>3</v>
          </cell>
          <cell r="J102">
            <v>146.21</v>
          </cell>
          <cell r="K102">
            <v>2</v>
          </cell>
          <cell r="L102">
            <v>1.76</v>
          </cell>
          <cell r="M102">
            <v>58.67</v>
          </cell>
        </row>
        <row r="102">
          <cell r="P102" t="str">
            <v>metal basket 0-10cm</v>
          </cell>
          <cell r="Q102" t="str">
            <v>yes</v>
          </cell>
          <cell r="R102" t="str">
            <v>all</v>
          </cell>
          <cell r="S102" t="str">
            <v>R</v>
          </cell>
          <cell r="T102" t="str">
            <v>R (QD-TEC)</v>
          </cell>
        </row>
        <row r="102">
          <cell r="V102">
            <v>72</v>
          </cell>
          <cell r="W102">
            <v>0</v>
          </cell>
          <cell r="X102">
            <v>143.21</v>
          </cell>
          <cell r="Y102">
            <v>146.21</v>
          </cell>
        </row>
        <row r="103">
          <cell r="A103">
            <v>102</v>
          </cell>
          <cell r="B103">
            <v>501</v>
          </cell>
          <cell r="C103" t="str">
            <v>M0112</v>
          </cell>
          <cell r="D103" t="str">
            <v>A</v>
          </cell>
          <cell r="E103" t="str">
            <v>501_M0112_A_102R</v>
          </cell>
          <cell r="F103">
            <v>45832.5590277778</v>
          </cell>
          <cell r="G103" t="str">
            <v>HK</v>
          </cell>
          <cell r="H103">
            <v>146.21</v>
          </cell>
          <cell r="I103">
            <v>2</v>
          </cell>
          <cell r="J103">
            <v>148.21</v>
          </cell>
          <cell r="K103">
            <v>1</v>
          </cell>
          <cell r="L103">
            <v>1.05</v>
          </cell>
          <cell r="M103">
            <v>52.5</v>
          </cell>
        </row>
        <row r="103">
          <cell r="P103" t="str">
            <v>60-100 metal piece possible</v>
          </cell>
          <cell r="Q103" t="str">
            <v>yes</v>
          </cell>
          <cell r="R103" t="str">
            <v>all</v>
          </cell>
          <cell r="S103" t="str">
            <v>R</v>
          </cell>
          <cell r="T103" t="str">
            <v>R (QD-TEC)</v>
          </cell>
        </row>
        <row r="103">
          <cell r="V103">
            <v>72</v>
          </cell>
          <cell r="W103">
            <v>0</v>
          </cell>
          <cell r="X103">
            <v>146.21</v>
          </cell>
          <cell r="Y103">
            <v>148.21</v>
          </cell>
        </row>
        <row r="104">
          <cell r="A104">
            <v>103</v>
          </cell>
          <cell r="B104">
            <v>501</v>
          </cell>
          <cell r="C104" t="str">
            <v>M0112</v>
          </cell>
          <cell r="D104" t="str">
            <v>A</v>
          </cell>
          <cell r="E104" t="str">
            <v>501_M0112_A_103R</v>
          </cell>
          <cell r="F104">
            <v>45832.5902777778</v>
          </cell>
          <cell r="G104" t="str">
            <v>HK</v>
          </cell>
          <cell r="H104">
            <v>148.21</v>
          </cell>
          <cell r="I104">
            <v>2</v>
          </cell>
          <cell r="J104">
            <v>150.21</v>
          </cell>
          <cell r="K104">
            <v>1</v>
          </cell>
          <cell r="L104">
            <v>0.88</v>
          </cell>
          <cell r="M104">
            <v>44</v>
          </cell>
        </row>
        <row r="104">
          <cell r="Q104" t="str">
            <v>yes</v>
          </cell>
          <cell r="R104" t="str">
            <v>all</v>
          </cell>
          <cell r="S104" t="str">
            <v>R</v>
          </cell>
          <cell r="T104" t="str">
            <v>R (QD-TEC)</v>
          </cell>
        </row>
        <row r="104">
          <cell r="V104">
            <v>72</v>
          </cell>
          <cell r="W104">
            <v>0</v>
          </cell>
          <cell r="X104">
            <v>148.21</v>
          </cell>
          <cell r="Y104">
            <v>150.21</v>
          </cell>
        </row>
        <row r="105">
          <cell r="A105">
            <v>104</v>
          </cell>
          <cell r="B105">
            <v>501</v>
          </cell>
          <cell r="C105" t="str">
            <v>M0112</v>
          </cell>
          <cell r="D105" t="str">
            <v>A</v>
          </cell>
          <cell r="E105" t="str">
            <v>501_M0112_A_104R</v>
          </cell>
          <cell r="F105">
            <v>45832.6145833333</v>
          </cell>
          <cell r="G105" t="str">
            <v>HK</v>
          </cell>
          <cell r="H105">
            <v>150.21</v>
          </cell>
          <cell r="I105">
            <v>1.15</v>
          </cell>
          <cell r="J105">
            <v>151.36</v>
          </cell>
          <cell r="K105">
            <v>1</v>
          </cell>
          <cell r="L105">
            <v>0.41</v>
          </cell>
          <cell r="M105">
            <v>35.65</v>
          </cell>
        </row>
        <row r="105">
          <cell r="Q105" t="str">
            <v>yes</v>
          </cell>
          <cell r="R105" t="str">
            <v>all</v>
          </cell>
          <cell r="S105" t="str">
            <v>R</v>
          </cell>
          <cell r="T105" t="str">
            <v>R (QD-TEC)</v>
          </cell>
        </row>
        <row r="105">
          <cell r="V105">
            <v>72</v>
          </cell>
          <cell r="W105">
            <v>0</v>
          </cell>
          <cell r="X105">
            <v>150.21</v>
          </cell>
          <cell r="Y105">
            <v>151.36</v>
          </cell>
        </row>
        <row r="106">
          <cell r="A106">
            <v>105</v>
          </cell>
          <cell r="B106">
            <v>501</v>
          </cell>
          <cell r="C106" t="str">
            <v>M0112</v>
          </cell>
          <cell r="D106" t="str">
            <v>A</v>
          </cell>
          <cell r="E106" t="str">
            <v>501_M0112_A_105R</v>
          </cell>
          <cell r="F106">
            <v>45832.6354166667</v>
          </cell>
          <cell r="G106" t="str">
            <v>HK</v>
          </cell>
          <cell r="H106">
            <v>151.36</v>
          </cell>
          <cell r="I106">
            <v>2</v>
          </cell>
          <cell r="J106">
            <v>153.36</v>
          </cell>
          <cell r="K106">
            <v>0</v>
          </cell>
          <cell r="L106">
            <v>0</v>
          </cell>
          <cell r="M106">
            <v>0</v>
          </cell>
        </row>
        <row r="106">
          <cell r="P106" t="str">
            <v>no recovery</v>
          </cell>
          <cell r="Q106" t="str">
            <v>no</v>
          </cell>
          <cell r="R106" t="str">
            <v>none</v>
          </cell>
          <cell r="S106" t="str">
            <v>R</v>
          </cell>
          <cell r="T106" t="str">
            <v>R (QD-TEC)</v>
          </cell>
        </row>
        <row r="106">
          <cell r="V106">
            <v>72</v>
          </cell>
          <cell r="W106">
            <v>0</v>
          </cell>
          <cell r="X106">
            <v>151.36</v>
          </cell>
          <cell r="Y106">
            <v>153.36</v>
          </cell>
        </row>
        <row r="107">
          <cell r="A107">
            <v>106</v>
          </cell>
          <cell r="B107">
            <v>501</v>
          </cell>
          <cell r="C107" t="str">
            <v>M0112</v>
          </cell>
          <cell r="D107" t="str">
            <v>A</v>
          </cell>
          <cell r="E107" t="str">
            <v>501_M0112_A_106H</v>
          </cell>
          <cell r="F107">
            <v>45832.6666666667</v>
          </cell>
          <cell r="G107" t="str">
            <v>KUHN</v>
          </cell>
          <cell r="H107">
            <v>153.36</v>
          </cell>
          <cell r="I107">
            <v>0.14</v>
          </cell>
          <cell r="J107">
            <v>153.5</v>
          </cell>
          <cell r="K107">
            <v>1</v>
          </cell>
          <cell r="L107">
            <v>0.14</v>
          </cell>
          <cell r="M107">
            <v>100</v>
          </cell>
        </row>
        <row r="107">
          <cell r="Q107" t="str">
            <v>yes</v>
          </cell>
          <cell r="R107" t="str">
            <v>all</v>
          </cell>
          <cell r="S107" t="str">
            <v>H</v>
          </cell>
          <cell r="T107" t="str">
            <v>H (QD-TEC)</v>
          </cell>
        </row>
        <row r="107">
          <cell r="V107">
            <v>72</v>
          </cell>
          <cell r="W107">
            <v>0</v>
          </cell>
          <cell r="X107">
            <v>153.36</v>
          </cell>
          <cell r="Y107">
            <v>153.5</v>
          </cell>
        </row>
        <row r="108">
          <cell r="A108">
            <v>107</v>
          </cell>
          <cell r="B108">
            <v>501</v>
          </cell>
          <cell r="C108" t="str">
            <v>M0112</v>
          </cell>
          <cell r="D108" t="str">
            <v>A</v>
          </cell>
          <cell r="E108" t="str">
            <v>501_M0112_A_107H</v>
          </cell>
          <cell r="F108">
            <v>45832.6979166667</v>
          </cell>
          <cell r="G108" t="str">
            <v>KUHN</v>
          </cell>
          <cell r="H108">
            <v>153.5</v>
          </cell>
          <cell r="I108">
            <v>0.2</v>
          </cell>
          <cell r="J108">
            <v>153.7</v>
          </cell>
          <cell r="K108">
            <v>1</v>
          </cell>
          <cell r="L108">
            <v>0.2</v>
          </cell>
          <cell r="M108">
            <v>100</v>
          </cell>
        </row>
        <row r="108">
          <cell r="Q108" t="str">
            <v>yes</v>
          </cell>
          <cell r="R108" t="str">
            <v>all</v>
          </cell>
          <cell r="S108" t="str">
            <v>H</v>
          </cell>
          <cell r="T108" t="str">
            <v>H (QD-TEC)</v>
          </cell>
        </row>
        <row r="108">
          <cell r="V108">
            <v>72</v>
          </cell>
          <cell r="W108">
            <v>0</v>
          </cell>
          <cell r="X108">
            <v>153.5</v>
          </cell>
          <cell r="Y108">
            <v>153.7</v>
          </cell>
        </row>
        <row r="109">
          <cell r="A109">
            <v>108</v>
          </cell>
          <cell r="B109">
            <v>501</v>
          </cell>
          <cell r="C109" t="str">
            <v>M0112</v>
          </cell>
          <cell r="D109" t="str">
            <v>A</v>
          </cell>
          <cell r="E109" t="str">
            <v>501_M0112_A_108R</v>
          </cell>
          <cell r="F109">
            <v>45832.7291666667</v>
          </cell>
          <cell r="G109" t="str">
            <v>KUHN</v>
          </cell>
          <cell r="H109">
            <v>153.7</v>
          </cell>
          <cell r="I109">
            <v>1.51</v>
          </cell>
          <cell r="J109">
            <v>155.21</v>
          </cell>
          <cell r="K109">
            <v>1</v>
          </cell>
          <cell r="L109">
            <v>0.1</v>
          </cell>
          <cell r="M109">
            <v>6.62</v>
          </cell>
        </row>
        <row r="109">
          <cell r="Q109" t="str">
            <v>yes</v>
          </cell>
          <cell r="R109" t="str">
            <v>all</v>
          </cell>
          <cell r="S109" t="str">
            <v>R</v>
          </cell>
          <cell r="T109" t="str">
            <v>R (QD-TEC)</v>
          </cell>
        </row>
        <row r="109">
          <cell r="V109">
            <v>72</v>
          </cell>
          <cell r="W109">
            <v>0</v>
          </cell>
          <cell r="X109">
            <v>153.7</v>
          </cell>
          <cell r="Y109">
            <v>155.21</v>
          </cell>
        </row>
        <row r="110">
          <cell r="A110">
            <v>109</v>
          </cell>
          <cell r="B110">
            <v>501</v>
          </cell>
          <cell r="C110" t="str">
            <v>M0112</v>
          </cell>
          <cell r="D110" t="str">
            <v>A</v>
          </cell>
          <cell r="E110" t="str">
            <v>501_M0112_A_109H</v>
          </cell>
          <cell r="F110">
            <v>45832.7673611111</v>
          </cell>
          <cell r="G110" t="str">
            <v>KUHN</v>
          </cell>
          <cell r="H110">
            <v>155.21</v>
          </cell>
          <cell r="I110">
            <v>0.16</v>
          </cell>
          <cell r="J110">
            <v>155.37</v>
          </cell>
          <cell r="K110">
            <v>1</v>
          </cell>
          <cell r="L110">
            <v>0.16</v>
          </cell>
          <cell r="M110">
            <v>100</v>
          </cell>
        </row>
        <row r="110">
          <cell r="Q110" t="str">
            <v>yes</v>
          </cell>
          <cell r="R110" t="str">
            <v>all</v>
          </cell>
          <cell r="S110" t="str">
            <v>H</v>
          </cell>
          <cell r="T110" t="str">
            <v>H (QD-TEC)</v>
          </cell>
        </row>
        <row r="110">
          <cell r="V110">
            <v>72</v>
          </cell>
          <cell r="W110">
            <v>0</v>
          </cell>
          <cell r="X110">
            <v>155.21</v>
          </cell>
          <cell r="Y110">
            <v>155.37</v>
          </cell>
        </row>
        <row r="111">
          <cell r="A111">
            <v>110</v>
          </cell>
          <cell r="B111">
            <v>501</v>
          </cell>
          <cell r="C111" t="str">
            <v>M0112</v>
          </cell>
          <cell r="D111" t="str">
            <v>A</v>
          </cell>
          <cell r="E111" t="str">
            <v>501_M0112_A_110H</v>
          </cell>
          <cell r="F111">
            <v>45832.7951388889</v>
          </cell>
          <cell r="G111" t="str">
            <v>KUHN</v>
          </cell>
          <cell r="H111">
            <v>155.37</v>
          </cell>
          <cell r="I111">
            <v>0.12</v>
          </cell>
          <cell r="J111">
            <v>155.49</v>
          </cell>
          <cell r="K111">
            <v>1</v>
          </cell>
          <cell r="L111">
            <v>0.12</v>
          </cell>
          <cell r="M111">
            <v>100</v>
          </cell>
        </row>
        <row r="111">
          <cell r="Q111" t="str">
            <v>yes</v>
          </cell>
          <cell r="R111" t="str">
            <v>all</v>
          </cell>
          <cell r="S111" t="str">
            <v>H</v>
          </cell>
          <cell r="T111" t="str">
            <v>H (QD-TEC)</v>
          </cell>
        </row>
        <row r="111">
          <cell r="V111">
            <v>72</v>
          </cell>
          <cell r="W111">
            <v>0</v>
          </cell>
          <cell r="X111">
            <v>155.37</v>
          </cell>
          <cell r="Y111">
            <v>155.49</v>
          </cell>
        </row>
        <row r="112">
          <cell r="A112">
            <v>111</v>
          </cell>
          <cell r="B112">
            <v>501</v>
          </cell>
          <cell r="C112" t="str">
            <v>M0112</v>
          </cell>
          <cell r="D112" t="str">
            <v>A</v>
          </cell>
          <cell r="E112" t="str">
            <v>501_M0112_A_111H</v>
          </cell>
          <cell r="F112">
            <v>45832.8194444444</v>
          </cell>
          <cell r="G112" t="str">
            <v>KUHN</v>
          </cell>
          <cell r="H112">
            <v>155.49</v>
          </cell>
          <cell r="I112">
            <v>2.05</v>
          </cell>
          <cell r="J112">
            <v>157.54</v>
          </cell>
          <cell r="K112">
            <v>2</v>
          </cell>
          <cell r="L112">
            <v>2.05</v>
          </cell>
          <cell r="M112">
            <v>100</v>
          </cell>
        </row>
        <row r="112">
          <cell r="Q112" t="str">
            <v>yes</v>
          </cell>
          <cell r="R112" t="str">
            <v>all</v>
          </cell>
          <cell r="S112" t="str">
            <v>H</v>
          </cell>
          <cell r="T112" t="str">
            <v>H (QD-TEC)</v>
          </cell>
        </row>
        <row r="112">
          <cell r="V112">
            <v>72</v>
          </cell>
          <cell r="W112">
            <v>0</v>
          </cell>
          <cell r="X112">
            <v>155.49</v>
          </cell>
          <cell r="Y112">
            <v>157.54</v>
          </cell>
        </row>
        <row r="113">
          <cell r="A113">
            <v>112</v>
          </cell>
          <cell r="B113">
            <v>501</v>
          </cell>
          <cell r="C113" t="str">
            <v>M0112</v>
          </cell>
          <cell r="D113" t="str">
            <v>A</v>
          </cell>
          <cell r="E113" t="str">
            <v>501_M0112_A_112H</v>
          </cell>
          <cell r="F113">
            <v>45832.8506944444</v>
          </cell>
          <cell r="G113" t="str">
            <v>KUHN</v>
          </cell>
          <cell r="H113">
            <v>157.54</v>
          </cell>
          <cell r="I113">
            <v>1.25</v>
          </cell>
          <cell r="J113">
            <v>158.79</v>
          </cell>
          <cell r="K113">
            <v>1</v>
          </cell>
          <cell r="L113">
            <v>1.25</v>
          </cell>
          <cell r="M113">
            <v>100</v>
          </cell>
        </row>
        <row r="113">
          <cell r="P113" t="str">
            <v>highly disturbed</v>
          </cell>
          <cell r="Q113" t="str">
            <v>yes</v>
          </cell>
          <cell r="R113" t="str">
            <v>all</v>
          </cell>
          <cell r="S113" t="str">
            <v>H</v>
          </cell>
          <cell r="T113" t="str">
            <v>H (QD-TEC)</v>
          </cell>
        </row>
        <row r="113">
          <cell r="V113">
            <v>72</v>
          </cell>
          <cell r="W113">
            <v>0</v>
          </cell>
          <cell r="X113">
            <v>157.54</v>
          </cell>
          <cell r="Y113">
            <v>158.79</v>
          </cell>
        </row>
        <row r="114">
          <cell r="A114">
            <v>113</v>
          </cell>
          <cell r="B114">
            <v>501</v>
          </cell>
          <cell r="C114" t="str">
            <v>M0112</v>
          </cell>
          <cell r="D114" t="str">
            <v>A</v>
          </cell>
          <cell r="E114" t="str">
            <v>501_M0112_A_113H</v>
          </cell>
          <cell r="F114">
            <v>45832.8819444444</v>
          </cell>
          <cell r="G114" t="str">
            <v>KUHN</v>
          </cell>
          <cell r="H114">
            <v>158.79</v>
          </cell>
          <cell r="I114">
            <v>1.81</v>
          </cell>
          <cell r="J114">
            <v>160.6</v>
          </cell>
          <cell r="K114">
            <v>2</v>
          </cell>
          <cell r="L114">
            <v>1.81</v>
          </cell>
          <cell r="M114">
            <v>100</v>
          </cell>
        </row>
        <row r="114">
          <cell r="P114" t="str">
            <v>highly disturbed</v>
          </cell>
          <cell r="Q114" t="str">
            <v>yes</v>
          </cell>
          <cell r="R114" t="str">
            <v>all</v>
          </cell>
          <cell r="S114" t="str">
            <v>H</v>
          </cell>
          <cell r="T114" t="str">
            <v>H (QD-TEC)</v>
          </cell>
        </row>
        <row r="114">
          <cell r="V114">
            <v>72</v>
          </cell>
          <cell r="W114">
            <v>0</v>
          </cell>
          <cell r="X114">
            <v>158.79</v>
          </cell>
          <cell r="Y114">
            <v>160.6</v>
          </cell>
        </row>
        <row r="115">
          <cell r="A115">
            <v>114</v>
          </cell>
          <cell r="B115">
            <v>501</v>
          </cell>
          <cell r="C115" t="str">
            <v>M0112</v>
          </cell>
          <cell r="D115" t="str">
            <v>A</v>
          </cell>
          <cell r="E115" t="str">
            <v>501_M0112_A_114H</v>
          </cell>
          <cell r="F115">
            <v>45832.9166666667</v>
          </cell>
          <cell r="G115" t="str">
            <v>KUHN</v>
          </cell>
          <cell r="H115">
            <v>160.6</v>
          </cell>
          <cell r="I115">
            <v>0.18</v>
          </cell>
          <cell r="J115">
            <v>160.78</v>
          </cell>
          <cell r="K115">
            <v>1</v>
          </cell>
          <cell r="L115">
            <v>0.18</v>
          </cell>
          <cell r="M115">
            <v>100</v>
          </cell>
        </row>
        <row r="115">
          <cell r="P115" t="str">
            <v>highly disturbed</v>
          </cell>
          <cell r="Q115" t="str">
            <v>yes</v>
          </cell>
          <cell r="R115" t="str">
            <v>all</v>
          </cell>
          <cell r="S115" t="str">
            <v>H</v>
          </cell>
          <cell r="T115" t="str">
            <v>H (QD-TEC)</v>
          </cell>
        </row>
        <row r="115">
          <cell r="V115">
            <v>72</v>
          </cell>
          <cell r="W115">
            <v>0</v>
          </cell>
          <cell r="X115">
            <v>160.6</v>
          </cell>
          <cell r="Y115">
            <v>160.78</v>
          </cell>
        </row>
        <row r="116">
          <cell r="A116">
            <v>115</v>
          </cell>
          <cell r="B116">
            <v>501</v>
          </cell>
          <cell r="C116" t="str">
            <v>M0112</v>
          </cell>
          <cell r="D116" t="str">
            <v>A</v>
          </cell>
          <cell r="E116" t="str">
            <v>501_M0112_A_115H</v>
          </cell>
          <cell r="F116">
            <v>45832.9409722222</v>
          </cell>
          <cell r="G116" t="str">
            <v>KUHN</v>
          </cell>
          <cell r="H116">
            <v>160.78</v>
          </cell>
          <cell r="I116">
            <v>1.84</v>
          </cell>
          <cell r="J116">
            <v>162.62</v>
          </cell>
          <cell r="K116">
            <v>2</v>
          </cell>
          <cell r="L116">
            <v>1.84</v>
          </cell>
          <cell r="M116">
            <v>100</v>
          </cell>
        </row>
        <row r="116">
          <cell r="P116" t="str">
            <v>disturbed</v>
          </cell>
          <cell r="Q116" t="str">
            <v>yes</v>
          </cell>
          <cell r="R116" t="str">
            <v>all</v>
          </cell>
          <cell r="S116" t="str">
            <v>H</v>
          </cell>
          <cell r="T116" t="str">
            <v>H (QD-TEC)</v>
          </cell>
        </row>
        <row r="116">
          <cell r="V116">
            <v>72</v>
          </cell>
          <cell r="W116">
            <v>0</v>
          </cell>
          <cell r="X116">
            <v>160.78</v>
          </cell>
          <cell r="Y116">
            <v>162.62</v>
          </cell>
        </row>
        <row r="117">
          <cell r="A117">
            <v>116</v>
          </cell>
          <cell r="B117">
            <v>501</v>
          </cell>
          <cell r="C117" t="str">
            <v>M0112</v>
          </cell>
          <cell r="D117" t="str">
            <v>A</v>
          </cell>
          <cell r="E117" t="str">
            <v>501_M0112_A_116H</v>
          </cell>
          <cell r="F117">
            <v>45832.9722222222</v>
          </cell>
          <cell r="G117" t="str">
            <v>KUHN</v>
          </cell>
          <cell r="H117">
            <v>162.62</v>
          </cell>
          <cell r="I117">
            <v>2.16</v>
          </cell>
          <cell r="J117">
            <v>164.78</v>
          </cell>
          <cell r="K117">
            <v>2</v>
          </cell>
          <cell r="L117">
            <v>2.16</v>
          </cell>
          <cell r="M117">
            <v>100</v>
          </cell>
        </row>
        <row r="117">
          <cell r="P117" t="str">
            <v>top of section 1 and bottom of section 2 disturbed</v>
          </cell>
          <cell r="Q117" t="str">
            <v>yes</v>
          </cell>
          <cell r="R117" t="str">
            <v>all</v>
          </cell>
          <cell r="S117" t="str">
            <v>H</v>
          </cell>
          <cell r="T117" t="str">
            <v>H (QD-TEC)</v>
          </cell>
        </row>
        <row r="117">
          <cell r="V117">
            <v>72</v>
          </cell>
          <cell r="W117">
            <v>0</v>
          </cell>
          <cell r="X117">
            <v>162.62</v>
          </cell>
          <cell r="Y117">
            <v>164.78</v>
          </cell>
        </row>
        <row r="118">
          <cell r="A118">
            <v>117</v>
          </cell>
          <cell r="B118">
            <v>501</v>
          </cell>
          <cell r="C118" t="str">
            <v>M0112</v>
          </cell>
          <cell r="D118" t="str">
            <v>A</v>
          </cell>
          <cell r="E118" t="str">
            <v>501_M0112_A_117H</v>
          </cell>
          <cell r="F118">
            <v>45833.0138888889</v>
          </cell>
          <cell r="G118" t="str">
            <v>KUHN</v>
          </cell>
          <cell r="H118">
            <v>164.78</v>
          </cell>
          <cell r="I118">
            <v>2.76</v>
          </cell>
          <cell r="J118">
            <v>167.54</v>
          </cell>
          <cell r="K118">
            <v>2</v>
          </cell>
          <cell r="L118">
            <v>2.76</v>
          </cell>
          <cell r="M118">
            <v>100</v>
          </cell>
        </row>
        <row r="118">
          <cell r="Q118" t="str">
            <v>yes</v>
          </cell>
          <cell r="R118" t="str">
            <v>all</v>
          </cell>
          <cell r="S118" t="str">
            <v>H</v>
          </cell>
          <cell r="T118" t="str">
            <v>H (QD-TEC)</v>
          </cell>
        </row>
        <row r="118">
          <cell r="V118">
            <v>72</v>
          </cell>
          <cell r="W118">
            <v>0</v>
          </cell>
          <cell r="X118">
            <v>164.78</v>
          </cell>
          <cell r="Y118">
            <v>167.54</v>
          </cell>
        </row>
        <row r="119">
          <cell r="A119">
            <v>118</v>
          </cell>
          <cell r="B119">
            <v>501</v>
          </cell>
          <cell r="C119" t="str">
            <v>M0112</v>
          </cell>
          <cell r="D119" t="str">
            <v>A</v>
          </cell>
          <cell r="E119" t="str">
            <v>501_M0112_A_118H</v>
          </cell>
          <cell r="F119">
            <v>45833.0486111111</v>
          </cell>
          <cell r="G119" t="str">
            <v>KUHN</v>
          </cell>
          <cell r="H119">
            <v>167.54</v>
          </cell>
          <cell r="I119">
            <v>2.86</v>
          </cell>
          <cell r="J119">
            <v>170.4</v>
          </cell>
          <cell r="K119">
            <v>2</v>
          </cell>
          <cell r="L119">
            <v>2.86</v>
          </cell>
          <cell r="M119">
            <v>100</v>
          </cell>
        </row>
        <row r="119">
          <cell r="Q119" t="str">
            <v>yes</v>
          </cell>
          <cell r="R119" t="str">
            <v>all</v>
          </cell>
          <cell r="S119" t="str">
            <v>H</v>
          </cell>
          <cell r="T119" t="str">
            <v>H (QD-TEC)</v>
          </cell>
        </row>
        <row r="119">
          <cell r="V119">
            <v>72</v>
          </cell>
          <cell r="W119">
            <v>0</v>
          </cell>
          <cell r="X119">
            <v>167.54</v>
          </cell>
          <cell r="Y119">
            <v>170.4</v>
          </cell>
        </row>
        <row r="120">
          <cell r="A120">
            <v>119</v>
          </cell>
          <cell r="B120">
            <v>501</v>
          </cell>
          <cell r="C120" t="str">
            <v>M0112</v>
          </cell>
          <cell r="D120" t="str">
            <v>A</v>
          </cell>
          <cell r="E120" t="str">
            <v>501_M0112_A_119H</v>
          </cell>
          <cell r="F120">
            <v>45833.0833333333</v>
          </cell>
          <cell r="G120" t="str">
            <v>KUHN</v>
          </cell>
          <cell r="H120">
            <v>170.4</v>
          </cell>
          <cell r="I120">
            <v>2.62</v>
          </cell>
          <cell r="J120">
            <v>173.02</v>
          </cell>
          <cell r="K120">
            <v>2</v>
          </cell>
          <cell r="L120">
            <v>2.62</v>
          </cell>
          <cell r="M120">
            <v>100</v>
          </cell>
        </row>
        <row r="120">
          <cell r="Q120" t="str">
            <v>yes</v>
          </cell>
          <cell r="R120" t="str">
            <v>all</v>
          </cell>
          <cell r="S120" t="str">
            <v>H</v>
          </cell>
          <cell r="T120" t="str">
            <v>H (QD-TEC)</v>
          </cell>
        </row>
        <row r="120">
          <cell r="V120">
            <v>72</v>
          </cell>
          <cell r="W120">
            <v>0</v>
          </cell>
          <cell r="X120">
            <v>170.4</v>
          </cell>
          <cell r="Y120">
            <v>173.02</v>
          </cell>
        </row>
        <row r="121">
          <cell r="A121">
            <v>120</v>
          </cell>
          <cell r="B121">
            <v>501</v>
          </cell>
          <cell r="C121" t="str">
            <v>M0112</v>
          </cell>
          <cell r="D121" t="str">
            <v>A</v>
          </cell>
          <cell r="E121" t="str">
            <v>501_M0112_A_120H</v>
          </cell>
          <cell r="F121">
            <v>45833.1076388889</v>
          </cell>
          <cell r="G121" t="str">
            <v>KUHN</v>
          </cell>
          <cell r="H121">
            <v>173.02</v>
          </cell>
          <cell r="I121">
            <v>2.63</v>
          </cell>
          <cell r="J121">
            <v>175.65</v>
          </cell>
          <cell r="K121">
            <v>2</v>
          </cell>
          <cell r="L121">
            <v>2.63</v>
          </cell>
          <cell r="M121">
            <v>100</v>
          </cell>
        </row>
        <row r="121">
          <cell r="Q121" t="str">
            <v>yes</v>
          </cell>
          <cell r="R121" t="str">
            <v>all</v>
          </cell>
          <cell r="S121" t="str">
            <v>H</v>
          </cell>
          <cell r="T121" t="str">
            <v>H (QD-TEC)</v>
          </cell>
        </row>
        <row r="121">
          <cell r="V121">
            <v>72</v>
          </cell>
          <cell r="W121">
            <v>0</v>
          </cell>
          <cell r="X121">
            <v>173.02</v>
          </cell>
          <cell r="Y121">
            <v>175.65</v>
          </cell>
        </row>
        <row r="122">
          <cell r="A122">
            <v>121</v>
          </cell>
          <cell r="B122">
            <v>501</v>
          </cell>
          <cell r="C122" t="str">
            <v>M0112</v>
          </cell>
          <cell r="D122" t="str">
            <v>A</v>
          </cell>
          <cell r="E122" t="str">
            <v>501_M0112_A_121H</v>
          </cell>
          <cell r="F122">
            <v>45833.1319444444</v>
          </cell>
          <cell r="G122" t="str">
            <v>KUHN</v>
          </cell>
          <cell r="H122">
            <v>175.65</v>
          </cell>
          <cell r="I122">
            <v>2.24</v>
          </cell>
          <cell r="J122">
            <v>177.89</v>
          </cell>
          <cell r="K122">
            <v>2</v>
          </cell>
          <cell r="L122">
            <v>2.24</v>
          </cell>
          <cell r="M122">
            <v>100</v>
          </cell>
        </row>
        <row r="122">
          <cell r="Q122" t="str">
            <v>yes</v>
          </cell>
          <cell r="R122" t="str">
            <v>all</v>
          </cell>
          <cell r="S122" t="str">
            <v>H</v>
          </cell>
          <cell r="T122" t="str">
            <v>H (QD-TEC)</v>
          </cell>
        </row>
        <row r="122">
          <cell r="V122">
            <v>72</v>
          </cell>
          <cell r="W122">
            <v>0</v>
          </cell>
          <cell r="X122">
            <v>175.65</v>
          </cell>
          <cell r="Y122">
            <v>177.89</v>
          </cell>
        </row>
        <row r="123">
          <cell r="A123">
            <v>122</v>
          </cell>
          <cell r="B123">
            <v>501</v>
          </cell>
          <cell r="C123" t="str">
            <v>M0112</v>
          </cell>
          <cell r="D123" t="str">
            <v>A</v>
          </cell>
          <cell r="E123" t="str">
            <v>501_M0112_A_122H</v>
          </cell>
          <cell r="F123">
            <v>45833.15625</v>
          </cell>
          <cell r="G123" t="str">
            <v>KUHN</v>
          </cell>
          <cell r="H123">
            <v>177.89</v>
          </cell>
          <cell r="I123">
            <v>2.36</v>
          </cell>
          <cell r="J123">
            <v>180.25</v>
          </cell>
          <cell r="K123">
            <v>2</v>
          </cell>
          <cell r="L123">
            <v>2.36</v>
          </cell>
          <cell r="M123">
            <v>100</v>
          </cell>
        </row>
        <row r="123">
          <cell r="Q123" t="str">
            <v>yes</v>
          </cell>
          <cell r="R123" t="str">
            <v>all</v>
          </cell>
          <cell r="S123" t="str">
            <v>H</v>
          </cell>
          <cell r="T123" t="str">
            <v>H (QD-TEC)</v>
          </cell>
        </row>
        <row r="123">
          <cell r="V123">
            <v>72</v>
          </cell>
          <cell r="W123">
            <v>0</v>
          </cell>
          <cell r="X123">
            <v>177.89</v>
          </cell>
          <cell r="Y123">
            <v>180.25</v>
          </cell>
        </row>
        <row r="124">
          <cell r="A124">
            <v>123</v>
          </cell>
          <cell r="B124">
            <v>501</v>
          </cell>
          <cell r="C124" t="str">
            <v>M0112</v>
          </cell>
          <cell r="D124" t="str">
            <v>A</v>
          </cell>
          <cell r="E124" t="str">
            <v>501_M0112_A_123H</v>
          </cell>
          <cell r="F124">
            <v>45833.2118055556</v>
          </cell>
          <cell r="G124" t="str">
            <v>HK</v>
          </cell>
          <cell r="H124">
            <v>180.25</v>
          </cell>
          <cell r="I124">
            <v>2.68</v>
          </cell>
          <cell r="J124">
            <v>182.93</v>
          </cell>
          <cell r="K124">
            <v>2</v>
          </cell>
          <cell r="L124">
            <v>2.68</v>
          </cell>
          <cell r="M124">
            <v>100</v>
          </cell>
        </row>
        <row r="124">
          <cell r="P124" t="str">
            <v>loose sand</v>
          </cell>
          <cell r="Q124" t="str">
            <v>yes</v>
          </cell>
          <cell r="R124" t="str">
            <v>all</v>
          </cell>
          <cell r="S124" t="str">
            <v>H</v>
          </cell>
          <cell r="T124" t="str">
            <v>H (QD-TEC)</v>
          </cell>
        </row>
        <row r="124">
          <cell r="V124">
            <v>72</v>
          </cell>
          <cell r="W124">
            <v>0</v>
          </cell>
          <cell r="X124">
            <v>180.25</v>
          </cell>
          <cell r="Y124">
            <v>182.93</v>
          </cell>
        </row>
        <row r="125">
          <cell r="A125">
            <v>124</v>
          </cell>
          <cell r="B125">
            <v>501</v>
          </cell>
          <cell r="C125" t="str">
            <v>M0112</v>
          </cell>
          <cell r="D125" t="str">
            <v>A</v>
          </cell>
          <cell r="E125" t="str">
            <v>501_M0112_A_124H</v>
          </cell>
          <cell r="F125">
            <v>45833.2534722222</v>
          </cell>
          <cell r="G125" t="str">
            <v>HK</v>
          </cell>
          <cell r="H125">
            <v>182.93</v>
          </cell>
          <cell r="I125">
            <v>2.49</v>
          </cell>
          <cell r="J125">
            <v>185.42</v>
          </cell>
          <cell r="K125">
            <v>2</v>
          </cell>
          <cell r="L125">
            <v>2.49</v>
          </cell>
          <cell r="M125">
            <v>100</v>
          </cell>
        </row>
        <row r="125">
          <cell r="P125" t="str">
            <v>loose sand</v>
          </cell>
          <cell r="Q125" t="str">
            <v>yes</v>
          </cell>
          <cell r="R125" t="str">
            <v>all</v>
          </cell>
          <cell r="S125" t="str">
            <v>H</v>
          </cell>
          <cell r="T125" t="str">
            <v>H (QD-TEC)</v>
          </cell>
        </row>
        <row r="125">
          <cell r="V125">
            <v>72</v>
          </cell>
          <cell r="W125">
            <v>0</v>
          </cell>
          <cell r="X125">
            <v>182.93</v>
          </cell>
          <cell r="Y125">
            <v>185.42</v>
          </cell>
        </row>
        <row r="126">
          <cell r="A126">
            <v>125</v>
          </cell>
          <cell r="B126">
            <v>501</v>
          </cell>
          <cell r="C126" t="str">
            <v>M0112</v>
          </cell>
          <cell r="D126" t="str">
            <v>A</v>
          </cell>
          <cell r="E126" t="str">
            <v>501_M0112_A_125H</v>
          </cell>
          <cell r="F126">
            <v>45833.2881944444</v>
          </cell>
          <cell r="G126" t="str">
            <v>HK</v>
          </cell>
          <cell r="H126">
            <v>185.42</v>
          </cell>
          <cell r="I126">
            <v>2.46</v>
          </cell>
          <cell r="J126">
            <v>187.88</v>
          </cell>
          <cell r="K126">
            <v>2</v>
          </cell>
          <cell r="L126">
            <v>2.67</v>
          </cell>
          <cell r="M126">
            <v>108.54</v>
          </cell>
        </row>
        <row r="126">
          <cell r="P126" t="str">
            <v>loose sand</v>
          </cell>
          <cell r="Q126" t="str">
            <v>yes</v>
          </cell>
          <cell r="R126" t="str">
            <v>all</v>
          </cell>
          <cell r="S126" t="str">
            <v>H</v>
          </cell>
          <cell r="T126" t="str">
            <v>H (QD-TEC)</v>
          </cell>
        </row>
        <row r="126">
          <cell r="V126">
            <v>72</v>
          </cell>
          <cell r="W126">
            <v>0</v>
          </cell>
          <cell r="X126">
            <v>185.42</v>
          </cell>
          <cell r="Y126">
            <v>187.88</v>
          </cell>
        </row>
        <row r="127">
          <cell r="A127">
            <v>126</v>
          </cell>
          <cell r="B127">
            <v>501</v>
          </cell>
          <cell r="C127" t="str">
            <v>M0112</v>
          </cell>
          <cell r="D127" t="str">
            <v>A</v>
          </cell>
          <cell r="E127" t="str">
            <v>501_M0112_A_126H</v>
          </cell>
          <cell r="F127">
            <v>45833.2951388889</v>
          </cell>
          <cell r="G127" t="str">
            <v>HK</v>
          </cell>
          <cell r="H127">
            <v>187.88</v>
          </cell>
          <cell r="I127">
            <v>0.75</v>
          </cell>
          <cell r="J127">
            <v>188.63</v>
          </cell>
          <cell r="K127">
            <v>1</v>
          </cell>
          <cell r="L127">
            <v>0.75</v>
          </cell>
          <cell r="M127">
            <v>100</v>
          </cell>
        </row>
        <row r="127">
          <cell r="P127" t="str">
            <v>Liner stuck</v>
          </cell>
        </row>
        <row r="127">
          <cell r="X127">
            <v>187.88</v>
          </cell>
        </row>
        <row r="128">
          <cell r="A128">
            <v>127</v>
          </cell>
          <cell r="B128">
            <v>501</v>
          </cell>
          <cell r="C128" t="str">
            <v>M0112</v>
          </cell>
          <cell r="D128" t="str">
            <v>A</v>
          </cell>
          <cell r="E128" t="str">
            <v>501_M0112_A_127H</v>
          </cell>
          <cell r="F128">
            <v>45833.3784722222</v>
          </cell>
          <cell r="G128" t="str">
            <v>HK</v>
          </cell>
          <cell r="H128">
            <v>188.63</v>
          </cell>
          <cell r="I128">
            <v>2.75</v>
          </cell>
          <cell r="J128">
            <v>191.38</v>
          </cell>
          <cell r="K128">
            <v>2</v>
          </cell>
          <cell r="L128">
            <v>2.75</v>
          </cell>
          <cell r="M128">
            <v>100</v>
          </cell>
        </row>
        <row r="128">
          <cell r="Q128" t="str">
            <v>yes</v>
          </cell>
          <cell r="R128" t="str">
            <v>all</v>
          </cell>
          <cell r="S128" t="str">
            <v>H</v>
          </cell>
          <cell r="T128" t="str">
            <v>H (QD-TEC)</v>
          </cell>
        </row>
        <row r="128">
          <cell r="V128">
            <v>72</v>
          </cell>
          <cell r="W128">
            <v>0</v>
          </cell>
          <cell r="X128">
            <v>188.63</v>
          </cell>
          <cell r="Y128">
            <v>191.38</v>
          </cell>
        </row>
        <row r="129">
          <cell r="A129">
            <v>128</v>
          </cell>
          <cell r="B129">
            <v>501</v>
          </cell>
          <cell r="C129" t="str">
            <v>M0112</v>
          </cell>
          <cell r="D129" t="str">
            <v>A</v>
          </cell>
          <cell r="E129" t="str">
            <v>501_M0112_A_128H</v>
          </cell>
          <cell r="F129">
            <v>45833.4131944444</v>
          </cell>
          <cell r="G129" t="str">
            <v>HK</v>
          </cell>
          <cell r="H129">
            <v>191.38</v>
          </cell>
          <cell r="I129">
            <v>1.5</v>
          </cell>
          <cell r="J129">
            <v>192.88</v>
          </cell>
          <cell r="K129">
            <v>2</v>
          </cell>
          <cell r="L129">
            <v>1.5</v>
          </cell>
          <cell r="M129">
            <v>100</v>
          </cell>
        </row>
        <row r="129">
          <cell r="P129" t="str">
            <v>liner collapse</v>
          </cell>
        </row>
        <row r="129">
          <cell r="X129">
            <v>191.38</v>
          </cell>
        </row>
        <row r="130">
          <cell r="A130">
            <v>129</v>
          </cell>
          <cell r="B130">
            <v>501</v>
          </cell>
          <cell r="C130" t="str">
            <v>M0112</v>
          </cell>
          <cell r="D130" t="str">
            <v>A</v>
          </cell>
          <cell r="E130" t="str">
            <v>501_M0112_A_129H</v>
          </cell>
          <cell r="F130">
            <v>45833.4791666667</v>
          </cell>
          <cell r="G130" t="str">
            <v>HK</v>
          </cell>
          <cell r="H130">
            <v>192.88</v>
          </cell>
          <cell r="I130">
            <v>0.85</v>
          </cell>
          <cell r="J130">
            <v>193.73</v>
          </cell>
          <cell r="K130">
            <v>1</v>
          </cell>
          <cell r="L130">
            <v>0.85</v>
          </cell>
          <cell r="M130">
            <v>100</v>
          </cell>
        </row>
        <row r="130">
          <cell r="P130" t="str">
            <v>65-86cm replaced</v>
          </cell>
          <cell r="Q130" t="str">
            <v>yes</v>
          </cell>
          <cell r="R130" t="str">
            <v>all</v>
          </cell>
          <cell r="S130" t="str">
            <v>H</v>
          </cell>
          <cell r="T130" t="str">
            <v>H (QD-TEC)</v>
          </cell>
        </row>
        <row r="130">
          <cell r="V130">
            <v>72</v>
          </cell>
          <cell r="W130">
            <v>0</v>
          </cell>
          <cell r="X130">
            <v>192.88</v>
          </cell>
          <cell r="Y130">
            <v>193.73</v>
          </cell>
        </row>
        <row r="131">
          <cell r="A131">
            <v>130</v>
          </cell>
          <cell r="B131">
            <v>501</v>
          </cell>
          <cell r="C131" t="str">
            <v>M0112</v>
          </cell>
          <cell r="D131" t="str">
            <v>A</v>
          </cell>
          <cell r="E131" t="str">
            <v>501_M0112_A_130H</v>
          </cell>
          <cell r="F131">
            <v>45833.5208333333</v>
          </cell>
          <cell r="G131" t="str">
            <v>HK</v>
          </cell>
          <cell r="H131">
            <v>193.73</v>
          </cell>
          <cell r="I131">
            <v>0.52</v>
          </cell>
          <cell r="J131">
            <v>194.25</v>
          </cell>
          <cell r="K131">
            <v>1</v>
          </cell>
          <cell r="L131">
            <v>0.52</v>
          </cell>
          <cell r="M131">
            <v>100</v>
          </cell>
        </row>
        <row r="131">
          <cell r="P131" t="str">
            <v>liner collapsed</v>
          </cell>
          <cell r="Q131" t="str">
            <v>yes</v>
          </cell>
          <cell r="R131" t="str">
            <v>all</v>
          </cell>
          <cell r="S131" t="str">
            <v>H</v>
          </cell>
          <cell r="T131" t="str">
            <v>H (QD-TEC)</v>
          </cell>
        </row>
        <row r="131">
          <cell r="V131">
            <v>72</v>
          </cell>
          <cell r="W131">
            <v>0</v>
          </cell>
          <cell r="X131">
            <v>193.73</v>
          </cell>
          <cell r="Y131">
            <v>194.25</v>
          </cell>
        </row>
        <row r="132">
          <cell r="A132">
            <v>131</v>
          </cell>
          <cell r="B132">
            <v>501</v>
          </cell>
          <cell r="C132" t="str">
            <v>M0112</v>
          </cell>
          <cell r="D132" t="str">
            <v>A</v>
          </cell>
          <cell r="E132" t="str">
            <v>501_M0112_A_131R</v>
          </cell>
          <cell r="F132">
            <v>45833.5902777778</v>
          </cell>
          <cell r="G132" t="str">
            <v>HK</v>
          </cell>
          <cell r="H132">
            <v>194.25</v>
          </cell>
          <cell r="I132">
            <v>0.96</v>
          </cell>
          <cell r="J132">
            <v>195.21</v>
          </cell>
          <cell r="K132">
            <v>1</v>
          </cell>
          <cell r="L132">
            <v>0.89</v>
          </cell>
          <cell r="M132">
            <v>92.71</v>
          </cell>
        </row>
        <row r="132">
          <cell r="P132" t="str">
            <v>undersized cor diameter</v>
          </cell>
          <cell r="Q132" t="str">
            <v>yes</v>
          </cell>
          <cell r="R132" t="str">
            <v>all</v>
          </cell>
          <cell r="S132" t="str">
            <v>R</v>
          </cell>
          <cell r="T132" t="str">
            <v>R (QD-TEC)</v>
          </cell>
        </row>
        <row r="132">
          <cell r="V132">
            <v>72</v>
          </cell>
          <cell r="W132">
            <v>0</v>
          </cell>
          <cell r="X132">
            <v>194.25</v>
          </cell>
          <cell r="Y132">
            <v>195.21</v>
          </cell>
        </row>
        <row r="133">
          <cell r="A133">
            <v>132</v>
          </cell>
          <cell r="B133">
            <v>501</v>
          </cell>
          <cell r="C133" t="str">
            <v>M0112</v>
          </cell>
          <cell r="D133" t="str">
            <v>A</v>
          </cell>
          <cell r="E133" t="str">
            <v>501_M0112_A_132R</v>
          </cell>
          <cell r="F133">
            <v>45833.6493055556</v>
          </cell>
          <cell r="G133" t="str">
            <v>HK</v>
          </cell>
          <cell r="H133">
            <v>195.21</v>
          </cell>
          <cell r="I133">
            <v>2</v>
          </cell>
          <cell r="J133">
            <v>197.21</v>
          </cell>
          <cell r="K133">
            <v>2</v>
          </cell>
          <cell r="L133">
            <v>2</v>
          </cell>
          <cell r="M133">
            <v>100</v>
          </cell>
        </row>
        <row r="133">
          <cell r="P133" t="str">
            <v>undersized cor diameter</v>
          </cell>
          <cell r="Q133" t="str">
            <v>yes</v>
          </cell>
          <cell r="R133" t="str">
            <v>all</v>
          </cell>
          <cell r="S133" t="str">
            <v>R</v>
          </cell>
          <cell r="T133" t="str">
            <v>R (QD-TEC)</v>
          </cell>
        </row>
        <row r="133">
          <cell r="V133">
            <v>72</v>
          </cell>
          <cell r="W133">
            <v>0</v>
          </cell>
          <cell r="X133">
            <v>195.21</v>
          </cell>
          <cell r="Y133">
            <v>197.21</v>
          </cell>
        </row>
        <row r="134">
          <cell r="A134">
            <v>133</v>
          </cell>
          <cell r="B134">
            <v>501</v>
          </cell>
          <cell r="C134" t="str">
            <v>M0112</v>
          </cell>
          <cell r="D134" t="str">
            <v>A</v>
          </cell>
          <cell r="E134" t="str">
            <v>501_M0112_A_133R</v>
          </cell>
          <cell r="F134">
            <v>45833.6979166667</v>
          </cell>
          <cell r="G134" t="str">
            <v>KUHN</v>
          </cell>
          <cell r="H134">
            <v>197.21</v>
          </cell>
          <cell r="I134">
            <v>3</v>
          </cell>
          <cell r="J134">
            <v>200.21</v>
          </cell>
          <cell r="K134">
            <v>2</v>
          </cell>
          <cell r="L134">
            <v>1.15</v>
          </cell>
          <cell r="M134">
            <v>38.33</v>
          </cell>
        </row>
        <row r="134">
          <cell r="P134" t="str">
            <v>split to take MBIO sample</v>
          </cell>
        </row>
        <row r="134">
          <cell r="X134">
            <v>197.21</v>
          </cell>
        </row>
        <row r="135">
          <cell r="A135">
            <v>134</v>
          </cell>
          <cell r="B135">
            <v>501</v>
          </cell>
          <cell r="C135" t="str">
            <v>M0112</v>
          </cell>
          <cell r="D135" t="str">
            <v>A</v>
          </cell>
          <cell r="E135" t="str">
            <v>501_M0112_A_134R</v>
          </cell>
          <cell r="F135">
            <v>45833.7361111111</v>
          </cell>
          <cell r="G135" t="str">
            <v>KUHN</v>
          </cell>
          <cell r="H135">
            <v>200.21</v>
          </cell>
          <cell r="I135">
            <v>2</v>
          </cell>
          <cell r="J135">
            <v>202.21</v>
          </cell>
          <cell r="K135">
            <v>1</v>
          </cell>
          <cell r="L135">
            <v>0.34</v>
          </cell>
          <cell r="M135">
            <v>17</v>
          </cell>
        </row>
        <row r="135">
          <cell r="Q135" t="str">
            <v>yes</v>
          </cell>
          <cell r="R135" t="str">
            <v>all</v>
          </cell>
          <cell r="S135" t="str">
            <v>R</v>
          </cell>
          <cell r="T135" t="str">
            <v>R (QD-TEC)</v>
          </cell>
        </row>
        <row r="135">
          <cell r="V135">
            <v>72</v>
          </cell>
          <cell r="W135">
            <v>0</v>
          </cell>
          <cell r="X135">
            <v>200.21</v>
          </cell>
          <cell r="Y135">
            <v>202.21</v>
          </cell>
        </row>
        <row r="136">
          <cell r="A136">
            <v>135</v>
          </cell>
          <cell r="B136">
            <v>501</v>
          </cell>
          <cell r="C136" t="str">
            <v>M0112</v>
          </cell>
          <cell r="D136" t="str">
            <v>A</v>
          </cell>
          <cell r="E136" t="str">
            <v>501_M0112_A_135R</v>
          </cell>
          <cell r="F136">
            <v>45833.7569444444</v>
          </cell>
          <cell r="G136" t="str">
            <v>KUHN</v>
          </cell>
          <cell r="H136">
            <v>202.21</v>
          </cell>
          <cell r="I136">
            <v>1</v>
          </cell>
          <cell r="J136">
            <v>203.21</v>
          </cell>
          <cell r="K136">
            <v>0</v>
          </cell>
          <cell r="L136">
            <v>0</v>
          </cell>
          <cell r="M136">
            <v>0</v>
          </cell>
        </row>
        <row r="136">
          <cell r="P136" t="str">
            <v>no recovery</v>
          </cell>
          <cell r="Q136" t="str">
            <v>no</v>
          </cell>
          <cell r="R136" t="str">
            <v>none</v>
          </cell>
          <cell r="S136" t="str">
            <v>R</v>
          </cell>
          <cell r="T136" t="str">
            <v>R (QD-TEC)</v>
          </cell>
        </row>
        <row r="136">
          <cell r="V136">
            <v>72</v>
          </cell>
          <cell r="W136">
            <v>0</v>
          </cell>
          <cell r="X136">
            <v>202.21</v>
          </cell>
          <cell r="Y136">
            <v>203.21</v>
          </cell>
        </row>
        <row r="137">
          <cell r="A137">
            <v>136</v>
          </cell>
          <cell r="B137">
            <v>501</v>
          </cell>
          <cell r="C137" t="str">
            <v>M0112</v>
          </cell>
          <cell r="D137" t="str">
            <v>A</v>
          </cell>
          <cell r="E137" t="str">
            <v>501_M0112_A_136H</v>
          </cell>
          <cell r="F137">
            <v>45833.7743055556</v>
          </cell>
          <cell r="G137" t="str">
            <v>KUHN</v>
          </cell>
          <cell r="H137">
            <v>203.21</v>
          </cell>
          <cell r="I137">
            <v>2.07</v>
          </cell>
          <cell r="J137">
            <v>205.28</v>
          </cell>
          <cell r="K137">
            <v>2</v>
          </cell>
          <cell r="L137">
            <v>2.07</v>
          </cell>
          <cell r="M137">
            <v>100</v>
          </cell>
        </row>
        <row r="137">
          <cell r="Q137" t="str">
            <v>yes</v>
          </cell>
          <cell r="R137" t="str">
            <v>all</v>
          </cell>
          <cell r="S137" t="str">
            <v>H</v>
          </cell>
          <cell r="T137" t="str">
            <v>H (QD-TEC)</v>
          </cell>
        </row>
        <row r="137">
          <cell r="V137">
            <v>72</v>
          </cell>
          <cell r="W137">
            <v>0</v>
          </cell>
          <cell r="X137">
            <v>203.21</v>
          </cell>
          <cell r="Y137">
            <v>205.28</v>
          </cell>
        </row>
        <row r="138">
          <cell r="A138">
            <v>137</v>
          </cell>
          <cell r="B138">
            <v>501</v>
          </cell>
          <cell r="C138" t="str">
            <v>M0112</v>
          </cell>
          <cell r="D138" t="str">
            <v>A</v>
          </cell>
          <cell r="E138" t="str">
            <v>501_M0112_A_137H</v>
          </cell>
          <cell r="F138">
            <v>45833.8055555556</v>
          </cell>
          <cell r="G138" t="str">
            <v>KUHN</v>
          </cell>
          <cell r="H138">
            <v>205.28</v>
          </cell>
          <cell r="I138">
            <v>2.43</v>
          </cell>
          <cell r="J138">
            <v>207.71</v>
          </cell>
          <cell r="K138">
            <v>2</v>
          </cell>
          <cell r="L138">
            <v>2.43</v>
          </cell>
          <cell r="M138">
            <v>100</v>
          </cell>
        </row>
        <row r="138">
          <cell r="Q138" t="str">
            <v>yes</v>
          </cell>
          <cell r="R138" t="str">
            <v>all</v>
          </cell>
          <cell r="S138" t="str">
            <v>H</v>
          </cell>
          <cell r="T138" t="str">
            <v>H (QD-TEC)</v>
          </cell>
        </row>
        <row r="138">
          <cell r="V138">
            <v>72</v>
          </cell>
          <cell r="W138">
            <v>0</v>
          </cell>
          <cell r="X138">
            <v>205.28</v>
          </cell>
          <cell r="Y138">
            <v>207.71</v>
          </cell>
        </row>
        <row r="139">
          <cell r="A139">
            <v>138</v>
          </cell>
          <cell r="B139">
            <v>501</v>
          </cell>
          <cell r="C139" t="str">
            <v>M0112</v>
          </cell>
          <cell r="D139" t="str">
            <v>A</v>
          </cell>
          <cell r="E139" t="str">
            <v>501_M0112_A_138H</v>
          </cell>
          <cell r="F139">
            <v>45833.8472222222</v>
          </cell>
          <cell r="G139" t="str">
            <v>KUHN</v>
          </cell>
          <cell r="H139">
            <v>207.71</v>
          </cell>
          <cell r="I139">
            <v>0.43</v>
          </cell>
          <cell r="J139">
            <v>208.14</v>
          </cell>
          <cell r="K139">
            <v>1</v>
          </cell>
          <cell r="L139">
            <v>0.43</v>
          </cell>
          <cell r="M139">
            <v>100</v>
          </cell>
        </row>
        <row r="139">
          <cell r="Q139" t="str">
            <v>yes</v>
          </cell>
          <cell r="R139" t="str">
            <v>all</v>
          </cell>
          <cell r="S139" t="str">
            <v>H</v>
          </cell>
          <cell r="T139" t="str">
            <v>H (QD-TEC)</v>
          </cell>
        </row>
        <row r="139">
          <cell r="V139">
            <v>72</v>
          </cell>
          <cell r="W139">
            <v>0</v>
          </cell>
          <cell r="X139">
            <v>207.71</v>
          </cell>
          <cell r="Y139">
            <v>208.14</v>
          </cell>
        </row>
        <row r="140">
          <cell r="A140">
            <v>139</v>
          </cell>
          <cell r="B140">
            <v>501</v>
          </cell>
          <cell r="C140" t="str">
            <v>M0112</v>
          </cell>
          <cell r="D140" t="str">
            <v>A</v>
          </cell>
          <cell r="E140" t="str">
            <v>501_M0112_A_139H</v>
          </cell>
          <cell r="F140">
            <v>45833.875</v>
          </cell>
          <cell r="G140" t="str">
            <v>KUHN</v>
          </cell>
          <cell r="H140">
            <v>208.14</v>
          </cell>
          <cell r="I140">
            <v>2.19</v>
          </cell>
          <cell r="J140">
            <v>210.33</v>
          </cell>
          <cell r="K140">
            <v>2</v>
          </cell>
          <cell r="L140">
            <v>2.19</v>
          </cell>
          <cell r="M140">
            <v>100</v>
          </cell>
        </row>
        <row r="140">
          <cell r="Q140" t="str">
            <v>yes</v>
          </cell>
          <cell r="R140" t="str">
            <v>all</v>
          </cell>
          <cell r="S140" t="str">
            <v>H</v>
          </cell>
          <cell r="T140" t="str">
            <v>H (QD-TEC)</v>
          </cell>
        </row>
        <row r="140">
          <cell r="V140">
            <v>72</v>
          </cell>
          <cell r="W140">
            <v>0</v>
          </cell>
          <cell r="X140">
            <v>208.14</v>
          </cell>
          <cell r="Y140">
            <v>210.33</v>
          </cell>
        </row>
        <row r="141">
          <cell r="A141">
            <v>140</v>
          </cell>
          <cell r="B141">
            <v>501</v>
          </cell>
          <cell r="C141" t="str">
            <v>M0112</v>
          </cell>
          <cell r="D141" t="str">
            <v>A</v>
          </cell>
          <cell r="E141" t="str">
            <v>501_M0112_A_140H</v>
          </cell>
          <cell r="F141">
            <v>45833.8993055556</v>
          </cell>
          <cell r="G141" t="str">
            <v>KUHN</v>
          </cell>
          <cell r="H141">
            <v>210.33</v>
          </cell>
          <cell r="I141">
            <v>2.35</v>
          </cell>
          <cell r="J141">
            <v>212.68</v>
          </cell>
          <cell r="K141">
            <v>2</v>
          </cell>
          <cell r="L141">
            <v>2.35</v>
          </cell>
          <cell r="M141">
            <v>100</v>
          </cell>
        </row>
        <row r="141">
          <cell r="Q141" t="str">
            <v>yes</v>
          </cell>
          <cell r="R141" t="str">
            <v>all</v>
          </cell>
          <cell r="S141" t="str">
            <v>H</v>
          </cell>
          <cell r="T141" t="str">
            <v>H (QD-TEC)</v>
          </cell>
        </row>
        <row r="141">
          <cell r="V141">
            <v>72</v>
          </cell>
          <cell r="W141">
            <v>0</v>
          </cell>
          <cell r="X141">
            <v>210.33</v>
          </cell>
          <cell r="Y141">
            <v>212.68</v>
          </cell>
        </row>
        <row r="142">
          <cell r="A142">
            <v>141</v>
          </cell>
          <cell r="B142">
            <v>501</v>
          </cell>
          <cell r="C142" t="str">
            <v>M0112</v>
          </cell>
          <cell r="D142" t="str">
            <v>A</v>
          </cell>
          <cell r="E142" t="str">
            <v>501_M0112_A_141H</v>
          </cell>
          <cell r="F142">
            <v>45833.9270833333</v>
          </cell>
          <cell r="G142" t="str">
            <v>KUHN</v>
          </cell>
          <cell r="H142">
            <v>212.68</v>
          </cell>
          <cell r="I142">
            <v>2.66</v>
          </cell>
          <cell r="J142">
            <v>215.34</v>
          </cell>
          <cell r="K142">
            <v>2</v>
          </cell>
          <cell r="L142">
            <v>2.66</v>
          </cell>
          <cell r="M142">
            <v>100</v>
          </cell>
        </row>
        <row r="142">
          <cell r="Q142" t="str">
            <v>yes</v>
          </cell>
          <cell r="R142" t="str">
            <v>all</v>
          </cell>
          <cell r="S142" t="str">
            <v>H</v>
          </cell>
          <cell r="T142" t="str">
            <v>H (QD-TEC)</v>
          </cell>
        </row>
        <row r="142">
          <cell r="V142">
            <v>72</v>
          </cell>
          <cell r="W142">
            <v>0</v>
          </cell>
          <cell r="X142">
            <v>212.68</v>
          </cell>
          <cell r="Y142">
            <v>215.34</v>
          </cell>
        </row>
        <row r="143">
          <cell r="A143">
            <v>142</v>
          </cell>
          <cell r="B143">
            <v>501</v>
          </cell>
          <cell r="C143" t="str">
            <v>M0112</v>
          </cell>
          <cell r="D143" t="str">
            <v>A</v>
          </cell>
          <cell r="E143" t="str">
            <v>501_M0112_A_142H</v>
          </cell>
          <cell r="F143">
            <v>45833.96875</v>
          </cell>
          <cell r="G143" t="str">
            <v>KUHN</v>
          </cell>
          <cell r="H143">
            <v>215.34</v>
          </cell>
          <cell r="I143">
            <v>0.77</v>
          </cell>
          <cell r="J143">
            <v>216.11</v>
          </cell>
          <cell r="K143">
            <v>1</v>
          </cell>
          <cell r="L143">
            <v>0.77</v>
          </cell>
          <cell r="M143">
            <v>100</v>
          </cell>
        </row>
        <row r="143">
          <cell r="P143" t="str">
            <v>stuck in liner</v>
          </cell>
        </row>
        <row r="143">
          <cell r="X143">
            <v>215.34</v>
          </cell>
        </row>
        <row r="144">
          <cell r="A144">
            <v>143</v>
          </cell>
          <cell r="B144">
            <v>501</v>
          </cell>
          <cell r="C144" t="str">
            <v>M0112</v>
          </cell>
          <cell r="D144" t="str">
            <v>A</v>
          </cell>
          <cell r="E144" t="str">
            <v>501_M0112_A_143R</v>
          </cell>
          <cell r="F144">
            <v>45834.0243055556</v>
          </cell>
          <cell r="G144" t="str">
            <v>KUHN</v>
          </cell>
          <cell r="H144">
            <v>216.11</v>
          </cell>
          <cell r="I144">
            <v>0.25</v>
          </cell>
          <cell r="J144">
            <v>216.36</v>
          </cell>
          <cell r="K144">
            <v>1</v>
          </cell>
          <cell r="L144">
            <v>0.55</v>
          </cell>
          <cell r="M144">
            <v>220</v>
          </cell>
        </row>
        <row r="144">
          <cell r="P144" t="str">
            <v>stuck in liner</v>
          </cell>
        </row>
        <row r="144">
          <cell r="X144">
            <v>216.11</v>
          </cell>
        </row>
        <row r="145">
          <cell r="A145">
            <v>144</v>
          </cell>
          <cell r="B145">
            <v>501</v>
          </cell>
          <cell r="C145" t="str">
            <v>M0112</v>
          </cell>
          <cell r="D145" t="str">
            <v>A</v>
          </cell>
          <cell r="E145" t="str">
            <v>501_M0112_A_144R</v>
          </cell>
          <cell r="F145">
            <v>45834.0729166667</v>
          </cell>
          <cell r="G145" t="str">
            <v>KUHN</v>
          </cell>
          <cell r="H145">
            <v>216.36</v>
          </cell>
          <cell r="I145">
            <v>1.85</v>
          </cell>
          <cell r="J145">
            <v>218.21</v>
          </cell>
          <cell r="K145">
            <v>2</v>
          </cell>
          <cell r="L145">
            <v>1.82</v>
          </cell>
          <cell r="M145">
            <v>98.38</v>
          </cell>
        </row>
        <row r="145">
          <cell r="Q145" t="str">
            <v>yes</v>
          </cell>
          <cell r="R145" t="str">
            <v>all</v>
          </cell>
          <cell r="S145" t="str">
            <v>R</v>
          </cell>
          <cell r="T145" t="str">
            <v>R (QD-TEC)</v>
          </cell>
        </row>
        <row r="145">
          <cell r="V145">
            <v>72</v>
          </cell>
          <cell r="W145">
            <v>0</v>
          </cell>
          <cell r="X145">
            <v>216.36</v>
          </cell>
          <cell r="Y145">
            <v>218.21</v>
          </cell>
        </row>
        <row r="146">
          <cell r="A146">
            <v>145</v>
          </cell>
          <cell r="B146">
            <v>501</v>
          </cell>
          <cell r="C146" t="str">
            <v>M0112</v>
          </cell>
          <cell r="D146" t="str">
            <v>A</v>
          </cell>
          <cell r="E146" t="str">
            <v>501_M0112_A_145R</v>
          </cell>
          <cell r="F146">
            <v>45834.1076388889</v>
          </cell>
          <cell r="G146" t="str">
            <v>KUHN</v>
          </cell>
          <cell r="H146">
            <v>218.21</v>
          </cell>
          <cell r="I146">
            <v>1.4</v>
          </cell>
          <cell r="J146">
            <v>219.61</v>
          </cell>
          <cell r="K146">
            <v>3</v>
          </cell>
          <cell r="L146">
            <v>1.37</v>
          </cell>
          <cell r="M146">
            <v>97.86</v>
          </cell>
        </row>
        <row r="146">
          <cell r="Q146" t="str">
            <v>yes</v>
          </cell>
          <cell r="R146" t="str">
            <v>all</v>
          </cell>
          <cell r="S146" t="str">
            <v>R</v>
          </cell>
          <cell r="T146" t="str">
            <v>R (QD-TEC)</v>
          </cell>
        </row>
        <row r="146">
          <cell r="V146">
            <v>72</v>
          </cell>
          <cell r="W146">
            <v>0</v>
          </cell>
          <cell r="X146">
            <v>218.21</v>
          </cell>
          <cell r="Y146">
            <v>219.61</v>
          </cell>
        </row>
        <row r="147">
          <cell r="A147">
            <v>146</v>
          </cell>
          <cell r="B147">
            <v>501</v>
          </cell>
          <cell r="C147" t="str">
            <v>M0112</v>
          </cell>
          <cell r="D147" t="str">
            <v>A</v>
          </cell>
          <cell r="E147" t="str">
            <v>501_M0112_A_146R</v>
          </cell>
          <cell r="F147">
            <v>45834.15625</v>
          </cell>
          <cell r="G147" t="str">
            <v>KUHN</v>
          </cell>
          <cell r="H147">
            <v>219.61</v>
          </cell>
          <cell r="I147">
            <v>0.2</v>
          </cell>
          <cell r="J147">
            <v>219.81</v>
          </cell>
          <cell r="K147">
            <v>1</v>
          </cell>
          <cell r="L147">
            <v>0.01</v>
          </cell>
          <cell r="M147">
            <v>5</v>
          </cell>
        </row>
        <row r="147">
          <cell r="P147" t="str">
            <v>all to PAL</v>
          </cell>
          <cell r="Q147" t="str">
            <v>no</v>
          </cell>
          <cell r="R147" t="str">
            <v>none</v>
          </cell>
          <cell r="S147" t="str">
            <v>R</v>
          </cell>
          <cell r="T147" t="str">
            <v>R (QD-TEC)</v>
          </cell>
        </row>
        <row r="147">
          <cell r="V147">
            <v>72</v>
          </cell>
          <cell r="W147">
            <v>0</v>
          </cell>
          <cell r="X147">
            <v>219.61</v>
          </cell>
          <cell r="Y147">
            <v>219.81</v>
          </cell>
        </row>
        <row r="148">
          <cell r="A148">
            <v>147</v>
          </cell>
          <cell r="B148">
            <v>501</v>
          </cell>
          <cell r="C148" t="str">
            <v>M0112</v>
          </cell>
          <cell r="D148" t="str">
            <v>A</v>
          </cell>
          <cell r="E148" t="str">
            <v>501_M0112_A_147R</v>
          </cell>
          <cell r="F148">
            <v>45834.4027777778</v>
          </cell>
          <cell r="G148" t="str">
            <v>HK</v>
          </cell>
          <cell r="H148">
            <v>219.81</v>
          </cell>
          <cell r="I148">
            <v>1.4</v>
          </cell>
          <cell r="J148">
            <v>221.21</v>
          </cell>
          <cell r="K148">
            <v>1</v>
          </cell>
          <cell r="L148">
            <v>0.25</v>
          </cell>
          <cell r="M148">
            <v>17.86</v>
          </cell>
        </row>
        <row r="148">
          <cell r="Q148" t="str">
            <v>yes</v>
          </cell>
          <cell r="R148" t="str">
            <v>all</v>
          </cell>
          <cell r="S148" t="str">
            <v>R</v>
          </cell>
          <cell r="T148" t="str">
            <v>R (QD-TEC)</v>
          </cell>
        </row>
        <row r="148">
          <cell r="V148">
            <v>72</v>
          </cell>
          <cell r="W148">
            <v>0</v>
          </cell>
          <cell r="X148">
            <v>219.81</v>
          </cell>
          <cell r="Y148">
            <v>221.21</v>
          </cell>
        </row>
        <row r="149">
          <cell r="A149">
            <v>148</v>
          </cell>
          <cell r="B149">
            <v>501</v>
          </cell>
          <cell r="C149" t="str">
            <v>M0112</v>
          </cell>
          <cell r="D149" t="str">
            <v>A</v>
          </cell>
          <cell r="E149" t="str">
            <v>501_M0112_A_148R</v>
          </cell>
          <cell r="F149">
            <v>45834.4375</v>
          </cell>
          <cell r="G149" t="str">
            <v>HK</v>
          </cell>
          <cell r="H149">
            <v>221.21</v>
          </cell>
          <cell r="I149">
            <v>2</v>
          </cell>
          <cell r="J149">
            <v>223.21</v>
          </cell>
          <cell r="K149">
            <v>1</v>
          </cell>
          <cell r="L149">
            <v>0.21</v>
          </cell>
          <cell r="M149">
            <v>10.5</v>
          </cell>
        </row>
        <row r="149">
          <cell r="P149" t="str">
            <v>crumpled liner</v>
          </cell>
          <cell r="Q149" t="str">
            <v>yes</v>
          </cell>
          <cell r="R149" t="str">
            <v>all</v>
          </cell>
          <cell r="S149" t="str">
            <v>R</v>
          </cell>
          <cell r="T149" t="str">
            <v>R (QD-TEC)</v>
          </cell>
        </row>
        <row r="149">
          <cell r="V149">
            <v>72</v>
          </cell>
          <cell r="W149">
            <v>0</v>
          </cell>
          <cell r="X149">
            <v>221.21</v>
          </cell>
          <cell r="Y149">
            <v>223.21</v>
          </cell>
        </row>
        <row r="150">
          <cell r="A150">
            <v>149</v>
          </cell>
          <cell r="B150">
            <v>501</v>
          </cell>
          <cell r="C150" t="str">
            <v>M0112</v>
          </cell>
          <cell r="D150" t="str">
            <v>A</v>
          </cell>
          <cell r="E150" t="str">
            <v>501_M0112_A_149R</v>
          </cell>
          <cell r="F150">
            <v>45834.4652777778</v>
          </cell>
          <cell r="G150" t="str">
            <v>HK</v>
          </cell>
          <cell r="H150">
            <v>223.21</v>
          </cell>
          <cell r="I150">
            <v>1</v>
          </cell>
          <cell r="J150">
            <v>224.21</v>
          </cell>
          <cell r="K150">
            <v>1</v>
          </cell>
          <cell r="L150">
            <v>0.02</v>
          </cell>
          <cell r="M150">
            <v>2</v>
          </cell>
        </row>
        <row r="150">
          <cell r="P150" t="str">
            <v>All to PAL</v>
          </cell>
          <cell r="Q150" t="str">
            <v>no</v>
          </cell>
          <cell r="R150" t="str">
            <v>none</v>
          </cell>
          <cell r="S150" t="str">
            <v>R</v>
          </cell>
          <cell r="T150" t="str">
            <v>R (QD-TEC)</v>
          </cell>
        </row>
        <row r="150">
          <cell r="V150">
            <v>72</v>
          </cell>
          <cell r="W150">
            <v>0</v>
          </cell>
          <cell r="X150">
            <v>223.21</v>
          </cell>
          <cell r="Y150">
            <v>224.21</v>
          </cell>
        </row>
        <row r="151">
          <cell r="A151">
            <v>150</v>
          </cell>
          <cell r="B151">
            <v>501</v>
          </cell>
          <cell r="C151" t="str">
            <v>M0112</v>
          </cell>
          <cell r="D151" t="str">
            <v>A</v>
          </cell>
          <cell r="E151" t="str">
            <v>501_M0112_A_150H</v>
          </cell>
          <cell r="F151">
            <v>45834.4965277778</v>
          </cell>
          <cell r="G151" t="str">
            <v>HK</v>
          </cell>
          <cell r="H151">
            <v>224.21</v>
          </cell>
          <cell r="I151">
            <v>0.45</v>
          </cell>
          <cell r="J151">
            <v>224.66</v>
          </cell>
          <cell r="K151">
            <v>1</v>
          </cell>
          <cell r="L151">
            <v>0.45</v>
          </cell>
          <cell r="M151">
            <v>100</v>
          </cell>
        </row>
        <row r="151">
          <cell r="Q151" t="str">
            <v>yes</v>
          </cell>
          <cell r="R151" t="str">
            <v>all</v>
          </cell>
          <cell r="S151" t="str">
            <v>H</v>
          </cell>
          <cell r="T151" t="str">
            <v>H (QD-TEC)</v>
          </cell>
        </row>
        <row r="151">
          <cell r="V151">
            <v>72</v>
          </cell>
          <cell r="W151">
            <v>0</v>
          </cell>
          <cell r="X151">
            <v>224.21</v>
          </cell>
          <cell r="Y151">
            <v>224.66</v>
          </cell>
        </row>
        <row r="152">
          <cell r="A152">
            <v>151</v>
          </cell>
          <cell r="B152">
            <v>501</v>
          </cell>
          <cell r="C152" t="str">
            <v>M0112</v>
          </cell>
          <cell r="D152" t="str">
            <v>A</v>
          </cell>
          <cell r="E152" t="str">
            <v>501_M0112_A_151R</v>
          </cell>
          <cell r="F152">
            <v>45834.5486111111</v>
          </cell>
          <cell r="G152" t="str">
            <v>HK</v>
          </cell>
          <cell r="H152">
            <v>224.66</v>
          </cell>
          <cell r="I152">
            <v>1</v>
          </cell>
          <cell r="J152">
            <v>225.66</v>
          </cell>
          <cell r="K152">
            <v>1</v>
          </cell>
          <cell r="L152">
            <v>1.26</v>
          </cell>
          <cell r="M152">
            <v>126</v>
          </cell>
        </row>
        <row r="152">
          <cell r="Q152" t="str">
            <v>yes</v>
          </cell>
          <cell r="R152" t="str">
            <v>all</v>
          </cell>
          <cell r="S152" t="str">
            <v>R</v>
          </cell>
          <cell r="T152" t="str">
            <v>R (QD-TEC)</v>
          </cell>
        </row>
        <row r="152">
          <cell r="V152">
            <v>72</v>
          </cell>
          <cell r="W152">
            <v>0</v>
          </cell>
          <cell r="X152">
            <v>224.66</v>
          </cell>
          <cell r="Y152">
            <v>225.66</v>
          </cell>
        </row>
        <row r="153">
          <cell r="A153">
            <v>152</v>
          </cell>
          <cell r="B153">
            <v>501</v>
          </cell>
          <cell r="C153" t="str">
            <v>M0112</v>
          </cell>
          <cell r="D153" t="str">
            <v>A</v>
          </cell>
          <cell r="E153" t="str">
            <v>501_M0112_A_152R</v>
          </cell>
          <cell r="F153">
            <v>45834.5833333333</v>
          </cell>
          <cell r="G153" t="str">
            <v>HK</v>
          </cell>
          <cell r="H153">
            <v>225.66</v>
          </cell>
          <cell r="I153">
            <v>1.55</v>
          </cell>
          <cell r="J153">
            <v>227.21</v>
          </cell>
          <cell r="K153">
            <v>1</v>
          </cell>
          <cell r="L153">
            <v>0.28</v>
          </cell>
          <cell r="M153">
            <v>18.06</v>
          </cell>
        </row>
        <row r="153">
          <cell r="Q153" t="str">
            <v>yes</v>
          </cell>
          <cell r="R153" t="str">
            <v>all</v>
          </cell>
          <cell r="S153" t="str">
            <v>R</v>
          </cell>
          <cell r="T153" t="str">
            <v>R (QD-TEC)</v>
          </cell>
        </row>
        <row r="153">
          <cell r="V153">
            <v>72</v>
          </cell>
          <cell r="W153">
            <v>0</v>
          </cell>
          <cell r="X153">
            <v>225.66</v>
          </cell>
          <cell r="Y153">
            <v>227.21</v>
          </cell>
        </row>
        <row r="154">
          <cell r="A154">
            <v>153</v>
          </cell>
          <cell r="B154">
            <v>501</v>
          </cell>
          <cell r="C154" t="str">
            <v>M0112</v>
          </cell>
          <cell r="D154" t="str">
            <v>A</v>
          </cell>
          <cell r="E154" t="str">
            <v>501_M0112_A_153R</v>
          </cell>
          <cell r="F154">
            <v>45834.6111111111</v>
          </cell>
          <cell r="G154" t="str">
            <v>HK</v>
          </cell>
          <cell r="H154">
            <v>227.21</v>
          </cell>
          <cell r="I154">
            <v>1</v>
          </cell>
          <cell r="J154">
            <v>228.21</v>
          </cell>
          <cell r="K154">
            <v>1</v>
          </cell>
          <cell r="L154">
            <v>0.66</v>
          </cell>
          <cell r="M154">
            <v>66</v>
          </cell>
        </row>
        <row r="154">
          <cell r="Q154" t="str">
            <v>yes</v>
          </cell>
          <cell r="R154" t="str">
            <v>all</v>
          </cell>
          <cell r="S154" t="str">
            <v>R</v>
          </cell>
          <cell r="T154" t="str">
            <v>R (QD-TEC)</v>
          </cell>
        </row>
        <row r="154">
          <cell r="V154">
            <v>72</v>
          </cell>
          <cell r="W154">
            <v>0</v>
          </cell>
          <cell r="X154">
            <v>227.21</v>
          </cell>
          <cell r="Y154">
            <v>228.21</v>
          </cell>
        </row>
        <row r="155">
          <cell r="A155">
            <v>154</v>
          </cell>
          <cell r="B155">
            <v>501</v>
          </cell>
          <cell r="C155" t="str">
            <v>M0112</v>
          </cell>
          <cell r="D155" t="str">
            <v>A</v>
          </cell>
          <cell r="E155" t="str">
            <v>501_M0112_A_154H</v>
          </cell>
          <cell r="F155">
            <v>45834.6493055556</v>
          </cell>
          <cell r="G155" t="str">
            <v>KUHN</v>
          </cell>
          <cell r="H155">
            <v>228.21</v>
          </cell>
          <cell r="I155">
            <v>0.63</v>
          </cell>
          <cell r="J155">
            <v>228.84</v>
          </cell>
          <cell r="K155">
            <v>1</v>
          </cell>
          <cell r="L155">
            <v>0.63</v>
          </cell>
          <cell r="M155">
            <v>100</v>
          </cell>
        </row>
        <row r="155">
          <cell r="Q155" t="str">
            <v>yes</v>
          </cell>
          <cell r="R155" t="str">
            <v>all</v>
          </cell>
          <cell r="S155" t="str">
            <v>H</v>
          </cell>
          <cell r="T155" t="str">
            <v>H (QD-TEC)</v>
          </cell>
        </row>
        <row r="155">
          <cell r="V155">
            <v>72</v>
          </cell>
          <cell r="W155">
            <v>0</v>
          </cell>
          <cell r="X155">
            <v>228.21</v>
          </cell>
          <cell r="Y155">
            <v>228.84</v>
          </cell>
        </row>
        <row r="156">
          <cell r="A156">
            <v>155</v>
          </cell>
          <cell r="B156">
            <v>501</v>
          </cell>
          <cell r="C156" t="str">
            <v>M0112</v>
          </cell>
          <cell r="D156" t="str">
            <v>A</v>
          </cell>
          <cell r="E156" t="str">
            <v>501_M0112_A_155H</v>
          </cell>
          <cell r="F156">
            <v>45834.6875</v>
          </cell>
          <cell r="G156" t="str">
            <v>KUHN</v>
          </cell>
          <cell r="H156">
            <v>228.84</v>
          </cell>
          <cell r="I156">
            <v>1.61</v>
          </cell>
          <cell r="J156">
            <v>230.45</v>
          </cell>
          <cell r="K156">
            <v>2</v>
          </cell>
          <cell r="L156">
            <v>1.61</v>
          </cell>
          <cell r="M156">
            <v>100</v>
          </cell>
        </row>
        <row r="156">
          <cell r="P156" t="str">
            <v>Top &amp; Bottom disturbed</v>
          </cell>
          <cell r="Q156" t="str">
            <v>yes</v>
          </cell>
          <cell r="R156" t="str">
            <v>all</v>
          </cell>
          <cell r="S156" t="str">
            <v>H</v>
          </cell>
          <cell r="T156" t="str">
            <v>H (QD-TEC)</v>
          </cell>
        </row>
        <row r="156">
          <cell r="V156">
            <v>72</v>
          </cell>
          <cell r="W156">
            <v>0</v>
          </cell>
          <cell r="X156">
            <v>228.84</v>
          </cell>
          <cell r="Y156">
            <v>230.45</v>
          </cell>
        </row>
        <row r="157">
          <cell r="A157">
            <v>156</v>
          </cell>
          <cell r="B157">
            <v>501</v>
          </cell>
          <cell r="C157" t="str">
            <v>M0112</v>
          </cell>
          <cell r="D157" t="str">
            <v>A</v>
          </cell>
          <cell r="E157" t="str">
            <v>501_M0112_A_156H</v>
          </cell>
          <cell r="F157">
            <v>45834.7326388889</v>
          </cell>
          <cell r="G157" t="str">
            <v>KUHN</v>
          </cell>
          <cell r="H157">
            <v>230.45</v>
          </cell>
          <cell r="I157">
            <v>0.73</v>
          </cell>
          <cell r="J157">
            <v>231.18</v>
          </cell>
          <cell r="K157">
            <v>1</v>
          </cell>
          <cell r="L157">
            <v>0.73</v>
          </cell>
          <cell r="M157">
            <v>100</v>
          </cell>
        </row>
        <row r="157">
          <cell r="Q157" t="str">
            <v>yes</v>
          </cell>
          <cell r="R157" t="str">
            <v>all</v>
          </cell>
          <cell r="S157" t="str">
            <v>H</v>
          </cell>
          <cell r="T157" t="str">
            <v>H (QD-TEC)</v>
          </cell>
        </row>
        <row r="157">
          <cell r="V157">
            <v>72</v>
          </cell>
          <cell r="W157">
            <v>0</v>
          </cell>
          <cell r="X157">
            <v>230.45</v>
          </cell>
          <cell r="Y157">
            <v>231.18</v>
          </cell>
        </row>
        <row r="158">
          <cell r="A158">
            <v>157</v>
          </cell>
          <cell r="B158">
            <v>501</v>
          </cell>
          <cell r="C158" t="str">
            <v>M0112</v>
          </cell>
          <cell r="D158" t="str">
            <v>A</v>
          </cell>
          <cell r="E158" t="str">
            <v>501_M0112_A_157H</v>
          </cell>
          <cell r="F158">
            <v>45834.7881944444</v>
          </cell>
          <cell r="G158" t="str">
            <v>KUHN</v>
          </cell>
          <cell r="H158">
            <v>231.18</v>
          </cell>
          <cell r="I158">
            <v>1.19</v>
          </cell>
          <cell r="J158">
            <v>232.37</v>
          </cell>
          <cell r="K158">
            <v>2</v>
          </cell>
          <cell r="L158">
            <v>1.19</v>
          </cell>
          <cell r="M158">
            <v>100</v>
          </cell>
        </row>
        <row r="158">
          <cell r="Q158" t="str">
            <v>yes</v>
          </cell>
          <cell r="R158" t="str">
            <v>all</v>
          </cell>
          <cell r="S158" t="str">
            <v>H</v>
          </cell>
          <cell r="T158" t="str">
            <v>H (QD-TEC)</v>
          </cell>
        </row>
        <row r="158">
          <cell r="V158">
            <v>72</v>
          </cell>
          <cell r="W158">
            <v>0</v>
          </cell>
          <cell r="X158">
            <v>231.18</v>
          </cell>
          <cell r="Y158">
            <v>232.37</v>
          </cell>
        </row>
        <row r="159">
          <cell r="A159">
            <v>158</v>
          </cell>
          <cell r="B159">
            <v>501</v>
          </cell>
          <cell r="C159" t="str">
            <v>M0112</v>
          </cell>
          <cell r="D159" t="str">
            <v>A</v>
          </cell>
          <cell r="E159" t="str">
            <v>501_M0112_A_158H</v>
          </cell>
          <cell r="F159">
            <v>45834.8229166667</v>
          </cell>
          <cell r="G159" t="str">
            <v>KUHN</v>
          </cell>
          <cell r="H159">
            <v>232.37</v>
          </cell>
          <cell r="I159">
            <v>0.7</v>
          </cell>
          <cell r="J159">
            <v>233.07</v>
          </cell>
          <cell r="K159">
            <v>1</v>
          </cell>
          <cell r="L159">
            <v>0.7</v>
          </cell>
          <cell r="M159">
            <v>100</v>
          </cell>
        </row>
        <row r="159">
          <cell r="P159" t="str">
            <v>stuck in liner</v>
          </cell>
        </row>
        <row r="159">
          <cell r="X159">
            <v>232.37</v>
          </cell>
        </row>
        <row r="160">
          <cell r="A160">
            <v>159</v>
          </cell>
          <cell r="B160">
            <v>501</v>
          </cell>
          <cell r="C160" t="str">
            <v>M0112</v>
          </cell>
          <cell r="D160" t="str">
            <v>A</v>
          </cell>
          <cell r="E160" t="str">
            <v>501_M0112_A_159R</v>
          </cell>
          <cell r="F160">
            <v>45834.8888888889</v>
          </cell>
          <cell r="G160" t="str">
            <v>KUHN</v>
          </cell>
          <cell r="H160">
            <v>233.07</v>
          </cell>
          <cell r="I160">
            <v>2.14</v>
          </cell>
          <cell r="J160">
            <v>235.21</v>
          </cell>
          <cell r="K160">
            <v>2</v>
          </cell>
          <cell r="L160">
            <v>1.76</v>
          </cell>
          <cell r="M160">
            <v>82.24</v>
          </cell>
        </row>
        <row r="160">
          <cell r="Q160" t="str">
            <v>yes</v>
          </cell>
          <cell r="R160" t="str">
            <v>all</v>
          </cell>
          <cell r="S160" t="str">
            <v>R</v>
          </cell>
          <cell r="T160" t="str">
            <v>R (QD-TEC)</v>
          </cell>
        </row>
        <row r="160">
          <cell r="V160">
            <v>72</v>
          </cell>
          <cell r="W160">
            <v>0</v>
          </cell>
          <cell r="X160">
            <v>233.07</v>
          </cell>
          <cell r="Y160">
            <v>235.21</v>
          </cell>
        </row>
        <row r="161">
          <cell r="A161">
            <v>160</v>
          </cell>
          <cell r="B161">
            <v>501</v>
          </cell>
          <cell r="C161" t="str">
            <v>M0112</v>
          </cell>
          <cell r="D161" t="str">
            <v>A</v>
          </cell>
          <cell r="E161" t="str">
            <v>501_M0112_A_160R</v>
          </cell>
          <cell r="F161">
            <v>45834.9201388889</v>
          </cell>
          <cell r="G161" t="str">
            <v>KUHN</v>
          </cell>
          <cell r="H161">
            <v>235.21</v>
          </cell>
          <cell r="I161">
            <v>3</v>
          </cell>
          <cell r="J161">
            <v>238.21</v>
          </cell>
          <cell r="K161">
            <v>2</v>
          </cell>
          <cell r="L161">
            <v>1.82</v>
          </cell>
          <cell r="M161">
            <v>60.67</v>
          </cell>
        </row>
        <row r="161">
          <cell r="Q161" t="str">
            <v>yes</v>
          </cell>
          <cell r="R161" t="str">
            <v>all</v>
          </cell>
          <cell r="S161" t="str">
            <v>R</v>
          </cell>
          <cell r="T161" t="str">
            <v>R (QD-TEC)</v>
          </cell>
        </row>
        <row r="161">
          <cell r="V161">
            <v>72</v>
          </cell>
          <cell r="W161">
            <v>0</v>
          </cell>
          <cell r="X161">
            <v>235.21</v>
          </cell>
          <cell r="Y161">
            <v>238.21</v>
          </cell>
        </row>
        <row r="162">
          <cell r="A162">
            <v>161</v>
          </cell>
          <cell r="B162">
            <v>501</v>
          </cell>
          <cell r="C162" t="str">
            <v>M0112</v>
          </cell>
          <cell r="D162" t="str">
            <v>A</v>
          </cell>
          <cell r="E162" t="str">
            <v>501_M0112_A_161R</v>
          </cell>
          <cell r="F162">
            <v>45834.9548611111</v>
          </cell>
          <cell r="G162" t="str">
            <v>KUHN</v>
          </cell>
          <cell r="H162">
            <v>238.21</v>
          </cell>
          <cell r="I162">
            <v>2</v>
          </cell>
          <cell r="J162">
            <v>240.21</v>
          </cell>
          <cell r="K162">
            <v>2</v>
          </cell>
          <cell r="L162">
            <v>1.15</v>
          </cell>
          <cell r="M162">
            <v>57.5</v>
          </cell>
        </row>
        <row r="162">
          <cell r="Q162" t="str">
            <v>yes</v>
          </cell>
          <cell r="R162" t="str">
            <v>all</v>
          </cell>
          <cell r="S162" t="str">
            <v>R</v>
          </cell>
          <cell r="T162" t="str">
            <v>R (QD-TEC)</v>
          </cell>
        </row>
        <row r="162">
          <cell r="V162">
            <v>72</v>
          </cell>
          <cell r="W162">
            <v>0</v>
          </cell>
          <cell r="X162">
            <v>238.21</v>
          </cell>
          <cell r="Y162">
            <v>240.21</v>
          </cell>
        </row>
        <row r="163">
          <cell r="A163">
            <v>162</v>
          </cell>
          <cell r="B163">
            <v>501</v>
          </cell>
          <cell r="C163" t="str">
            <v>M0112</v>
          </cell>
          <cell r="D163" t="str">
            <v>A</v>
          </cell>
          <cell r="E163" t="str">
            <v>501_M0112_A_162R</v>
          </cell>
          <cell r="F163">
            <v>45834.9756944444</v>
          </cell>
          <cell r="G163" t="str">
            <v>KUHN</v>
          </cell>
          <cell r="H163">
            <v>240.21</v>
          </cell>
          <cell r="I163">
            <v>2</v>
          </cell>
          <cell r="J163">
            <v>242.21</v>
          </cell>
          <cell r="K163">
            <v>1</v>
          </cell>
          <cell r="L163">
            <v>0.62</v>
          </cell>
          <cell r="M163">
            <v>31</v>
          </cell>
        </row>
        <row r="163">
          <cell r="Q163" t="str">
            <v>yes</v>
          </cell>
          <cell r="R163" t="str">
            <v>all</v>
          </cell>
          <cell r="S163" t="str">
            <v>R</v>
          </cell>
          <cell r="T163" t="str">
            <v>R (QD-TEC)</v>
          </cell>
        </row>
        <row r="163">
          <cell r="V163">
            <v>72</v>
          </cell>
          <cell r="W163">
            <v>0</v>
          </cell>
          <cell r="X163">
            <v>240.21</v>
          </cell>
          <cell r="Y163">
            <v>242.21</v>
          </cell>
        </row>
        <row r="164">
          <cell r="A164">
            <v>163</v>
          </cell>
          <cell r="B164">
            <v>501</v>
          </cell>
          <cell r="C164" t="str">
            <v>M0112</v>
          </cell>
          <cell r="D164" t="str">
            <v>A</v>
          </cell>
          <cell r="E164" t="str">
            <v>501_M0112_A_163R</v>
          </cell>
          <cell r="F164">
            <v>45835</v>
          </cell>
          <cell r="G164" t="str">
            <v>KUHN</v>
          </cell>
          <cell r="H164">
            <v>242.21</v>
          </cell>
          <cell r="I164">
            <v>1.5</v>
          </cell>
          <cell r="J164">
            <v>243.71</v>
          </cell>
          <cell r="K164">
            <v>2</v>
          </cell>
          <cell r="L164">
            <v>0.52</v>
          </cell>
          <cell r="M164">
            <v>34.67</v>
          </cell>
        </row>
        <row r="164">
          <cell r="Q164" t="str">
            <v>yes</v>
          </cell>
          <cell r="R164" t="str">
            <v>all</v>
          </cell>
          <cell r="S164" t="str">
            <v>R</v>
          </cell>
          <cell r="T164" t="str">
            <v>R (QD-TEC)</v>
          </cell>
        </row>
        <row r="164">
          <cell r="V164">
            <v>72</v>
          </cell>
          <cell r="W164">
            <v>0</v>
          </cell>
          <cell r="X164">
            <v>242.21</v>
          </cell>
          <cell r="Y164">
            <v>243.71</v>
          </cell>
        </row>
        <row r="165">
          <cell r="A165">
            <v>164</v>
          </cell>
          <cell r="B165">
            <v>501</v>
          </cell>
          <cell r="C165" t="str">
            <v>M0112</v>
          </cell>
          <cell r="D165" t="str">
            <v>A</v>
          </cell>
          <cell r="E165" t="str">
            <v>501_M0112_A_164R</v>
          </cell>
          <cell r="F165">
            <v>45835.0520833333</v>
          </cell>
          <cell r="G165" t="str">
            <v>KUHN</v>
          </cell>
          <cell r="H165">
            <v>243.71</v>
          </cell>
          <cell r="I165">
            <v>1.5</v>
          </cell>
          <cell r="J165">
            <v>245.21</v>
          </cell>
          <cell r="K165">
            <v>2</v>
          </cell>
          <cell r="L165">
            <v>1.38</v>
          </cell>
          <cell r="M165">
            <v>92</v>
          </cell>
        </row>
        <row r="165">
          <cell r="Q165" t="str">
            <v>yes</v>
          </cell>
          <cell r="R165" t="str">
            <v>all</v>
          </cell>
          <cell r="S165" t="str">
            <v>R</v>
          </cell>
          <cell r="T165" t="str">
            <v>R (QD-TEC)</v>
          </cell>
        </row>
        <row r="165">
          <cell r="V165">
            <v>72</v>
          </cell>
          <cell r="W165">
            <v>0</v>
          </cell>
          <cell r="X165">
            <v>243.71</v>
          </cell>
          <cell r="Y165">
            <v>245.21</v>
          </cell>
        </row>
        <row r="166">
          <cell r="A166">
            <v>165</v>
          </cell>
          <cell r="B166">
            <v>501</v>
          </cell>
          <cell r="C166" t="str">
            <v>M0112</v>
          </cell>
          <cell r="D166" t="str">
            <v>A</v>
          </cell>
          <cell r="E166" t="str">
            <v>501_M0112_A_165R</v>
          </cell>
          <cell r="F166">
            <v>45835.09375</v>
          </cell>
          <cell r="G166" t="str">
            <v>KUHN</v>
          </cell>
          <cell r="H166">
            <v>245.21</v>
          </cell>
          <cell r="I166">
            <v>2.35</v>
          </cell>
          <cell r="J166">
            <v>247.56</v>
          </cell>
          <cell r="K166">
            <v>2</v>
          </cell>
          <cell r="L166">
            <v>2.52</v>
          </cell>
          <cell r="M166">
            <v>107.23</v>
          </cell>
        </row>
        <row r="166">
          <cell r="Q166" t="str">
            <v>yes</v>
          </cell>
          <cell r="R166" t="str">
            <v>all</v>
          </cell>
          <cell r="S166" t="str">
            <v>R</v>
          </cell>
          <cell r="T166" t="str">
            <v>R (QD-TEC)</v>
          </cell>
        </row>
        <row r="166">
          <cell r="V166">
            <v>72</v>
          </cell>
          <cell r="W166">
            <v>0</v>
          </cell>
          <cell r="X166">
            <v>245.21</v>
          </cell>
          <cell r="Y166">
            <v>247.56</v>
          </cell>
        </row>
        <row r="167">
          <cell r="A167">
            <v>166</v>
          </cell>
          <cell r="B167">
            <v>501</v>
          </cell>
          <cell r="C167" t="str">
            <v>M0112</v>
          </cell>
          <cell r="D167" t="str">
            <v>A</v>
          </cell>
          <cell r="E167" t="str">
            <v>501_M0112_A_166R</v>
          </cell>
          <cell r="F167">
            <v>45835.1354166667</v>
          </cell>
          <cell r="G167" t="str">
            <v>KUHN</v>
          </cell>
          <cell r="H167">
            <v>247.56</v>
          </cell>
          <cell r="I167">
            <v>1.25</v>
          </cell>
          <cell r="J167">
            <v>248.81</v>
          </cell>
          <cell r="K167">
            <v>1</v>
          </cell>
          <cell r="L167">
            <v>0.55</v>
          </cell>
          <cell r="M167">
            <v>44</v>
          </cell>
        </row>
        <row r="167">
          <cell r="Q167" t="str">
            <v>yes</v>
          </cell>
          <cell r="R167" t="str">
            <v>all</v>
          </cell>
          <cell r="S167" t="str">
            <v>R</v>
          </cell>
          <cell r="T167" t="str">
            <v>R (QD-TEC)</v>
          </cell>
        </row>
        <row r="167">
          <cell r="V167">
            <v>72</v>
          </cell>
          <cell r="W167">
            <v>0</v>
          </cell>
          <cell r="X167">
            <v>247.56</v>
          </cell>
          <cell r="Y167">
            <v>248.81</v>
          </cell>
        </row>
        <row r="168">
          <cell r="A168">
            <v>167</v>
          </cell>
          <cell r="B168">
            <v>501</v>
          </cell>
          <cell r="C168" t="str">
            <v>M0112</v>
          </cell>
          <cell r="D168" t="str">
            <v>A</v>
          </cell>
          <cell r="E168" t="str">
            <v>501_M0112_A_167H</v>
          </cell>
          <cell r="F168">
            <v>45835.1527777778</v>
          </cell>
          <cell r="G168" t="str">
            <v>HK</v>
          </cell>
          <cell r="H168">
            <v>248.81</v>
          </cell>
          <cell r="I168">
            <v>2.83</v>
          </cell>
          <cell r="J168">
            <v>251.64</v>
          </cell>
          <cell r="K168">
            <v>2</v>
          </cell>
          <cell r="L168">
            <v>2.83</v>
          </cell>
          <cell r="M168">
            <v>100</v>
          </cell>
        </row>
        <row r="168">
          <cell r="Q168" t="str">
            <v>yes</v>
          </cell>
          <cell r="R168" t="str">
            <v>all</v>
          </cell>
          <cell r="S168" t="str">
            <v>H</v>
          </cell>
          <cell r="T168" t="str">
            <v>H (QD-TEC)</v>
          </cell>
        </row>
        <row r="168">
          <cell r="V168">
            <v>72</v>
          </cell>
          <cell r="W168">
            <v>0</v>
          </cell>
          <cell r="X168">
            <v>248.81</v>
          </cell>
          <cell r="Y168">
            <v>251.64</v>
          </cell>
        </row>
        <row r="169">
          <cell r="A169">
            <v>168</v>
          </cell>
          <cell r="B169">
            <v>501</v>
          </cell>
          <cell r="C169" t="str">
            <v>M0112</v>
          </cell>
          <cell r="D169" t="str">
            <v>A</v>
          </cell>
          <cell r="E169" t="str">
            <v>501_M0112_A_168H</v>
          </cell>
          <cell r="F169">
            <v>45835.2534722222</v>
          </cell>
          <cell r="G169" t="str">
            <v>HK</v>
          </cell>
          <cell r="H169">
            <v>251.64</v>
          </cell>
          <cell r="I169">
            <v>2.42</v>
          </cell>
          <cell r="J169">
            <v>254.06</v>
          </cell>
          <cell r="K169">
            <v>2</v>
          </cell>
          <cell r="L169">
            <v>2.42</v>
          </cell>
          <cell r="M169">
            <v>100</v>
          </cell>
        </row>
        <row r="169">
          <cell r="Q169" t="str">
            <v>yes</v>
          </cell>
          <cell r="R169" t="str">
            <v>all</v>
          </cell>
          <cell r="S169" t="str">
            <v>H</v>
          </cell>
          <cell r="T169" t="str">
            <v>H (QD-TEC)</v>
          </cell>
        </row>
        <row r="169">
          <cell r="V169">
            <v>72</v>
          </cell>
          <cell r="W169">
            <v>0</v>
          </cell>
          <cell r="X169">
            <v>251.64</v>
          </cell>
          <cell r="Y169">
            <v>254.06</v>
          </cell>
        </row>
        <row r="170">
          <cell r="A170">
            <v>169</v>
          </cell>
          <cell r="B170">
            <v>501</v>
          </cell>
          <cell r="C170" t="str">
            <v>M0112</v>
          </cell>
          <cell r="D170" t="str">
            <v>A</v>
          </cell>
          <cell r="E170" t="str">
            <v>501_M0112_A_169H</v>
          </cell>
          <cell r="F170">
            <v>45835.2951388889</v>
          </cell>
          <cell r="G170" t="str">
            <v>HK</v>
          </cell>
          <cell r="H170">
            <v>254.06</v>
          </cell>
          <cell r="I170">
            <v>2.96</v>
          </cell>
          <cell r="J170">
            <v>257.02</v>
          </cell>
          <cell r="K170">
            <v>2</v>
          </cell>
          <cell r="L170">
            <v>2.96</v>
          </cell>
          <cell r="M170">
            <v>100</v>
          </cell>
        </row>
        <row r="170">
          <cell r="Q170" t="str">
            <v>yes</v>
          </cell>
          <cell r="R170" t="str">
            <v>all</v>
          </cell>
          <cell r="S170" t="str">
            <v>H</v>
          </cell>
          <cell r="T170" t="str">
            <v>H (QD-TEC)</v>
          </cell>
        </row>
        <row r="170">
          <cell r="V170">
            <v>72</v>
          </cell>
          <cell r="W170">
            <v>0</v>
          </cell>
          <cell r="X170">
            <v>254.06</v>
          </cell>
          <cell r="Y170">
            <v>257.02</v>
          </cell>
        </row>
        <row r="171">
          <cell r="A171">
            <v>170</v>
          </cell>
          <cell r="B171">
            <v>501</v>
          </cell>
          <cell r="C171" t="str">
            <v>M0112</v>
          </cell>
          <cell r="D171" t="str">
            <v>A</v>
          </cell>
          <cell r="E171" t="str">
            <v>501_M0112_A_170H</v>
          </cell>
          <cell r="F171">
            <v>45835.3368055556</v>
          </cell>
          <cell r="G171" t="str">
            <v>HK</v>
          </cell>
          <cell r="H171">
            <v>257.02</v>
          </cell>
          <cell r="I171">
            <v>2.5</v>
          </cell>
          <cell r="J171">
            <v>259.52</v>
          </cell>
          <cell r="K171">
            <v>2</v>
          </cell>
          <cell r="L171">
            <v>2.5</v>
          </cell>
          <cell r="M171">
            <v>100</v>
          </cell>
        </row>
        <row r="171">
          <cell r="Q171" t="str">
            <v>yes</v>
          </cell>
          <cell r="R171" t="str">
            <v>all</v>
          </cell>
          <cell r="S171" t="str">
            <v>H</v>
          </cell>
          <cell r="T171" t="str">
            <v>H (QD-TEC)</v>
          </cell>
        </row>
        <row r="171">
          <cell r="V171">
            <v>72</v>
          </cell>
          <cell r="W171">
            <v>0</v>
          </cell>
          <cell r="X171">
            <v>257.02</v>
          </cell>
          <cell r="Y171">
            <v>259.52</v>
          </cell>
        </row>
        <row r="172">
          <cell r="A172">
            <v>171</v>
          </cell>
          <cell r="B172">
            <v>501</v>
          </cell>
          <cell r="C172" t="str">
            <v>M0112</v>
          </cell>
          <cell r="D172" t="str">
            <v>A</v>
          </cell>
          <cell r="E172" t="str">
            <v>501_M0112_A_171H</v>
          </cell>
          <cell r="F172">
            <v>45835.3715277778</v>
          </cell>
          <cell r="G172" t="str">
            <v>HK</v>
          </cell>
          <cell r="H172">
            <v>259.52</v>
          </cell>
          <cell r="I172">
            <v>2.3</v>
          </cell>
          <cell r="J172">
            <v>261.82</v>
          </cell>
          <cell r="K172">
            <v>2</v>
          </cell>
          <cell r="L172">
            <v>2.3</v>
          </cell>
          <cell r="M172">
            <v>100</v>
          </cell>
        </row>
        <row r="172">
          <cell r="Q172" t="str">
            <v>yes</v>
          </cell>
          <cell r="R172" t="str">
            <v>all</v>
          </cell>
          <cell r="S172" t="str">
            <v>H</v>
          </cell>
          <cell r="T172" t="str">
            <v>H (QD-TEC)</v>
          </cell>
        </row>
        <row r="172">
          <cell r="V172">
            <v>72</v>
          </cell>
          <cell r="W172">
            <v>0</v>
          </cell>
          <cell r="X172">
            <v>259.52</v>
          </cell>
          <cell r="Y172">
            <v>261.82</v>
          </cell>
        </row>
        <row r="173">
          <cell r="A173">
            <v>172</v>
          </cell>
          <cell r="B173">
            <v>501</v>
          </cell>
          <cell r="C173" t="str">
            <v>M0112</v>
          </cell>
          <cell r="D173" t="str">
            <v>A</v>
          </cell>
          <cell r="E173" t="str">
            <v>501_M0112_A_172H</v>
          </cell>
          <cell r="F173">
            <v>45835.40625</v>
          </cell>
          <cell r="G173" t="str">
            <v>HK</v>
          </cell>
          <cell r="H173">
            <v>261.82</v>
          </cell>
          <cell r="I173">
            <v>2.04</v>
          </cell>
          <cell r="J173">
            <v>263.86</v>
          </cell>
          <cell r="K173">
            <v>2</v>
          </cell>
          <cell r="L173">
            <v>2.04</v>
          </cell>
          <cell r="M173">
            <v>100</v>
          </cell>
        </row>
        <row r="173">
          <cell r="Q173" t="str">
            <v>yes</v>
          </cell>
          <cell r="R173" t="str">
            <v>all</v>
          </cell>
          <cell r="S173" t="str">
            <v>H</v>
          </cell>
          <cell r="T173" t="str">
            <v>H (QD-TEC)</v>
          </cell>
        </row>
        <row r="173">
          <cell r="V173">
            <v>72</v>
          </cell>
          <cell r="W173">
            <v>0</v>
          </cell>
          <cell r="X173">
            <v>261.82</v>
          </cell>
          <cell r="Y173">
            <v>263.86</v>
          </cell>
        </row>
        <row r="174">
          <cell r="A174">
            <v>173</v>
          </cell>
          <cell r="B174">
            <v>501</v>
          </cell>
          <cell r="C174" t="str">
            <v>M0112</v>
          </cell>
          <cell r="D174" t="str">
            <v>A</v>
          </cell>
          <cell r="E174" t="str">
            <v>501_M0112_A_173H</v>
          </cell>
          <cell r="F174">
            <v>45835.4444444444</v>
          </cell>
          <cell r="G174" t="str">
            <v>HK</v>
          </cell>
          <cell r="H174">
            <v>263.86</v>
          </cell>
          <cell r="I174">
            <v>0.84</v>
          </cell>
          <cell r="J174">
            <v>264.7</v>
          </cell>
          <cell r="K174">
            <v>1</v>
          </cell>
          <cell r="L174">
            <v>0.84</v>
          </cell>
          <cell r="M174">
            <v>100</v>
          </cell>
        </row>
        <row r="174">
          <cell r="Q174" t="str">
            <v>yes</v>
          </cell>
          <cell r="R174" t="str">
            <v>all</v>
          </cell>
          <cell r="S174" t="str">
            <v>H</v>
          </cell>
          <cell r="T174" t="str">
            <v>H (QD-TEC)</v>
          </cell>
        </row>
        <row r="174">
          <cell r="V174">
            <v>72</v>
          </cell>
          <cell r="W174">
            <v>0</v>
          </cell>
          <cell r="X174">
            <v>263.86</v>
          </cell>
          <cell r="Y174">
            <v>264.7</v>
          </cell>
        </row>
        <row r="175">
          <cell r="A175">
            <v>174</v>
          </cell>
          <cell r="B175">
            <v>501</v>
          </cell>
          <cell r="C175" t="str">
            <v>M0112</v>
          </cell>
          <cell r="D175" t="str">
            <v>A</v>
          </cell>
          <cell r="E175" t="str">
            <v>501_M0112_A_174H</v>
          </cell>
          <cell r="F175">
            <v>45835.4826388889</v>
          </cell>
          <cell r="G175" t="str">
            <v>HK</v>
          </cell>
          <cell r="H175">
            <v>264.7</v>
          </cell>
          <cell r="I175">
            <v>1.73</v>
          </cell>
          <cell r="J175">
            <v>266.43</v>
          </cell>
          <cell r="K175">
            <v>2</v>
          </cell>
          <cell r="L175">
            <v>1.73</v>
          </cell>
          <cell r="M175">
            <v>100</v>
          </cell>
        </row>
        <row r="175">
          <cell r="Q175" t="str">
            <v>yes</v>
          </cell>
          <cell r="R175" t="str">
            <v>all</v>
          </cell>
          <cell r="S175" t="str">
            <v>H</v>
          </cell>
          <cell r="T175" t="str">
            <v>H (QD-TEC)</v>
          </cell>
        </row>
        <row r="175">
          <cell r="V175">
            <v>72</v>
          </cell>
          <cell r="W175">
            <v>0</v>
          </cell>
          <cell r="X175">
            <v>264.7</v>
          </cell>
          <cell r="Y175">
            <v>266.43</v>
          </cell>
        </row>
        <row r="176">
          <cell r="A176">
            <v>175</v>
          </cell>
          <cell r="B176">
            <v>501</v>
          </cell>
          <cell r="C176" t="str">
            <v>M0112</v>
          </cell>
          <cell r="D176" t="str">
            <v>A</v>
          </cell>
          <cell r="E176" t="str">
            <v>501_M0112_A_175H</v>
          </cell>
          <cell r="F176">
            <v>45835.5347222222</v>
          </cell>
          <cell r="G176" t="str">
            <v>HK</v>
          </cell>
          <cell r="H176">
            <v>266.43</v>
          </cell>
          <cell r="I176">
            <v>2.91</v>
          </cell>
          <cell r="J176">
            <v>269.34</v>
          </cell>
          <cell r="K176">
            <v>2</v>
          </cell>
          <cell r="L176">
            <v>2.91</v>
          </cell>
          <cell r="M176">
            <v>100</v>
          </cell>
        </row>
        <row r="176">
          <cell r="Q176" t="str">
            <v>yes</v>
          </cell>
          <cell r="R176" t="str">
            <v>all</v>
          </cell>
          <cell r="S176" t="str">
            <v>H</v>
          </cell>
          <cell r="T176" t="str">
            <v>H (QD-TEC)</v>
          </cell>
        </row>
        <row r="176">
          <cell r="V176">
            <v>72</v>
          </cell>
          <cell r="W176">
            <v>0</v>
          </cell>
          <cell r="X176">
            <v>266.43</v>
          </cell>
          <cell r="Y176">
            <v>269.34</v>
          </cell>
        </row>
        <row r="177">
          <cell r="A177">
            <v>176</v>
          </cell>
          <cell r="B177">
            <v>501</v>
          </cell>
          <cell r="C177" t="str">
            <v>M0112</v>
          </cell>
          <cell r="D177" t="str">
            <v>A</v>
          </cell>
          <cell r="E177" t="str">
            <v>501_M0112_A_176H</v>
          </cell>
          <cell r="F177">
            <v>45835.5729166667</v>
          </cell>
          <cell r="G177" t="str">
            <v>HK</v>
          </cell>
          <cell r="H177">
            <v>269.34</v>
          </cell>
          <cell r="I177">
            <v>1.2</v>
          </cell>
          <cell r="J177">
            <v>270.54</v>
          </cell>
          <cell r="K177">
            <v>2</v>
          </cell>
          <cell r="L177">
            <v>1.2</v>
          </cell>
          <cell r="M177">
            <v>100</v>
          </cell>
        </row>
        <row r="177">
          <cell r="Q177" t="str">
            <v>yes</v>
          </cell>
          <cell r="R177" t="str">
            <v>all</v>
          </cell>
          <cell r="S177" t="str">
            <v>H</v>
          </cell>
          <cell r="T177" t="str">
            <v>H (QD-TEC)</v>
          </cell>
        </row>
        <row r="177">
          <cell r="V177">
            <v>72</v>
          </cell>
          <cell r="W177">
            <v>0</v>
          </cell>
          <cell r="X177">
            <v>269.34</v>
          </cell>
          <cell r="Y177">
            <v>270.54</v>
          </cell>
        </row>
        <row r="178">
          <cell r="A178">
            <v>177</v>
          </cell>
          <cell r="B178">
            <v>501</v>
          </cell>
          <cell r="C178" t="str">
            <v>M0112</v>
          </cell>
          <cell r="D178" t="str">
            <v>A</v>
          </cell>
          <cell r="E178" t="str">
            <v>501_M0112_A_177H</v>
          </cell>
          <cell r="F178">
            <v>45835.6145833333</v>
          </cell>
          <cell r="G178" t="str">
            <v>HK</v>
          </cell>
          <cell r="H178">
            <v>270.54</v>
          </cell>
          <cell r="I178">
            <v>2.81</v>
          </cell>
          <cell r="J178">
            <v>273.35</v>
          </cell>
          <cell r="K178">
            <v>3</v>
          </cell>
          <cell r="L178">
            <v>2.81</v>
          </cell>
          <cell r="M178">
            <v>100</v>
          </cell>
        </row>
        <row r="178">
          <cell r="Q178" t="str">
            <v>yes</v>
          </cell>
          <cell r="R178" t="str">
            <v>all</v>
          </cell>
          <cell r="S178" t="str">
            <v>H</v>
          </cell>
          <cell r="T178" t="str">
            <v>H (QD-TEC)</v>
          </cell>
        </row>
        <row r="178">
          <cell r="V178">
            <v>72</v>
          </cell>
          <cell r="W178">
            <v>0</v>
          </cell>
          <cell r="X178">
            <v>270.54</v>
          </cell>
          <cell r="Y178">
            <v>273.35</v>
          </cell>
        </row>
        <row r="179">
          <cell r="A179">
            <v>178</v>
          </cell>
          <cell r="B179">
            <v>501</v>
          </cell>
          <cell r="C179" t="str">
            <v>M0112</v>
          </cell>
          <cell r="D179" t="str">
            <v>A</v>
          </cell>
          <cell r="E179" t="str">
            <v>501_M0112_A_178H</v>
          </cell>
          <cell r="F179">
            <v>45835.6493055556</v>
          </cell>
          <cell r="G179" t="str">
            <v>KUHN</v>
          </cell>
          <cell r="H179">
            <v>273.35</v>
          </cell>
          <cell r="I179">
            <v>2.58</v>
          </cell>
          <cell r="J179">
            <v>275.93</v>
          </cell>
          <cell r="K179">
            <v>2</v>
          </cell>
          <cell r="L179">
            <v>2.58</v>
          </cell>
          <cell r="M179">
            <v>100</v>
          </cell>
        </row>
        <row r="179">
          <cell r="Q179" t="str">
            <v>yes</v>
          </cell>
          <cell r="R179" t="str">
            <v>all</v>
          </cell>
          <cell r="S179" t="str">
            <v>H</v>
          </cell>
          <cell r="T179" t="str">
            <v>H (QD-TEC)</v>
          </cell>
        </row>
        <row r="179">
          <cell r="V179">
            <v>72</v>
          </cell>
          <cell r="W179">
            <v>0</v>
          </cell>
          <cell r="X179">
            <v>273.35</v>
          </cell>
          <cell r="Y179">
            <v>275.93</v>
          </cell>
        </row>
        <row r="180">
          <cell r="A180">
            <v>179</v>
          </cell>
          <cell r="B180">
            <v>501</v>
          </cell>
          <cell r="C180" t="str">
            <v>M0112</v>
          </cell>
          <cell r="D180" t="str">
            <v>A</v>
          </cell>
          <cell r="E180" t="str">
            <v>501_M0112_A_179H</v>
          </cell>
          <cell r="F180">
            <v>45835.6840277778</v>
          </cell>
          <cell r="G180" t="str">
            <v>KUHN</v>
          </cell>
          <cell r="H180">
            <v>275.93</v>
          </cell>
          <cell r="I180">
            <v>1.81</v>
          </cell>
          <cell r="J180">
            <v>277.74</v>
          </cell>
          <cell r="K180">
            <v>2</v>
          </cell>
          <cell r="L180">
            <v>1.81</v>
          </cell>
          <cell r="M180">
            <v>100</v>
          </cell>
        </row>
        <row r="180">
          <cell r="Q180" t="str">
            <v>yes</v>
          </cell>
          <cell r="R180" t="str">
            <v>all</v>
          </cell>
          <cell r="S180" t="str">
            <v>H</v>
          </cell>
          <cell r="T180" t="str">
            <v>H (QD-TEC)</v>
          </cell>
        </row>
        <row r="180">
          <cell r="V180">
            <v>72</v>
          </cell>
          <cell r="W180">
            <v>0</v>
          </cell>
          <cell r="X180">
            <v>275.93</v>
          </cell>
          <cell r="Y180">
            <v>277.74</v>
          </cell>
        </row>
        <row r="181">
          <cell r="A181">
            <v>180</v>
          </cell>
          <cell r="B181">
            <v>501</v>
          </cell>
          <cell r="C181" t="str">
            <v>M0112</v>
          </cell>
          <cell r="D181" t="str">
            <v>A</v>
          </cell>
          <cell r="E181" t="str">
            <v>501_M0112_A_180H</v>
          </cell>
          <cell r="F181">
            <v>45835.7743055556</v>
          </cell>
          <cell r="G181" t="str">
            <v>KUHN</v>
          </cell>
          <cell r="H181">
            <v>277.74</v>
          </cell>
          <cell r="I181">
            <v>0.5</v>
          </cell>
          <cell r="J181">
            <v>278.24</v>
          </cell>
          <cell r="K181">
            <v>1</v>
          </cell>
          <cell r="L181">
            <v>0.5</v>
          </cell>
          <cell r="M181">
            <v>100</v>
          </cell>
        </row>
        <row r="181">
          <cell r="Q181" t="str">
            <v>yes</v>
          </cell>
          <cell r="R181" t="str">
            <v>all</v>
          </cell>
          <cell r="S181" t="str">
            <v>H</v>
          </cell>
          <cell r="T181" t="str">
            <v>H (QD-TEC)</v>
          </cell>
        </row>
        <row r="181">
          <cell r="V181">
            <v>72</v>
          </cell>
          <cell r="W181">
            <v>0</v>
          </cell>
          <cell r="X181">
            <v>277.74</v>
          </cell>
          <cell r="Y181">
            <v>278.24</v>
          </cell>
        </row>
        <row r="182">
          <cell r="A182">
            <v>181</v>
          </cell>
          <cell r="B182">
            <v>501</v>
          </cell>
          <cell r="C182" t="str">
            <v>M0112</v>
          </cell>
          <cell r="D182" t="str">
            <v>A</v>
          </cell>
          <cell r="E182" t="str">
            <v>501_M0112_A_181R</v>
          </cell>
          <cell r="F182">
            <v>45835.8229166667</v>
          </cell>
          <cell r="G182" t="str">
            <v>KUHN</v>
          </cell>
          <cell r="H182">
            <v>278.24</v>
          </cell>
          <cell r="I182">
            <v>1.5</v>
          </cell>
          <cell r="J182">
            <v>279.74</v>
          </cell>
          <cell r="K182">
            <v>1</v>
          </cell>
          <cell r="L182">
            <v>0.21</v>
          </cell>
          <cell r="M182">
            <v>14</v>
          </cell>
        </row>
        <row r="182">
          <cell r="Q182" t="str">
            <v>yes</v>
          </cell>
          <cell r="R182" t="str">
            <v>all</v>
          </cell>
          <cell r="S182" t="str">
            <v>R</v>
          </cell>
          <cell r="T182" t="str">
            <v>R (QD-TEC)</v>
          </cell>
        </row>
        <row r="182">
          <cell r="V182">
            <v>72</v>
          </cell>
          <cell r="W182">
            <v>0</v>
          </cell>
          <cell r="X182">
            <v>278.24</v>
          </cell>
          <cell r="Y182">
            <v>279.74</v>
          </cell>
        </row>
        <row r="183">
          <cell r="A183">
            <v>182</v>
          </cell>
          <cell r="B183">
            <v>501</v>
          </cell>
          <cell r="C183" t="str">
            <v>M0112</v>
          </cell>
          <cell r="D183" t="str">
            <v>A</v>
          </cell>
          <cell r="E183" t="str">
            <v>501_M0112_A_182R</v>
          </cell>
          <cell r="F183">
            <v>45835.84375</v>
          </cell>
          <cell r="G183" t="str">
            <v>KUHN</v>
          </cell>
          <cell r="H183">
            <v>279.74</v>
          </cell>
          <cell r="I183">
            <v>1.47</v>
          </cell>
          <cell r="J183">
            <v>281.21</v>
          </cell>
          <cell r="K183">
            <v>1</v>
          </cell>
          <cell r="L183">
            <v>0.13</v>
          </cell>
          <cell r="M183">
            <v>8.84</v>
          </cell>
        </row>
        <row r="183">
          <cell r="Q183" t="str">
            <v>yes</v>
          </cell>
          <cell r="R183" t="str">
            <v>all</v>
          </cell>
          <cell r="S183" t="str">
            <v>R</v>
          </cell>
          <cell r="T183" t="str">
            <v>R (QD-TEC)</v>
          </cell>
        </row>
        <row r="183">
          <cell r="V183">
            <v>72</v>
          </cell>
          <cell r="W183">
            <v>0</v>
          </cell>
          <cell r="X183">
            <v>279.74</v>
          </cell>
          <cell r="Y183">
            <v>281.21</v>
          </cell>
        </row>
        <row r="184">
          <cell r="A184">
            <v>183</v>
          </cell>
          <cell r="B184">
            <v>501</v>
          </cell>
          <cell r="C184" t="str">
            <v>M0112</v>
          </cell>
          <cell r="D184" t="str">
            <v>A</v>
          </cell>
          <cell r="E184" t="str">
            <v>501_M0112_A_183R</v>
          </cell>
          <cell r="F184">
            <v>45835.8645833333</v>
          </cell>
          <cell r="G184" t="str">
            <v>KUHN</v>
          </cell>
          <cell r="H184">
            <v>281.21</v>
          </cell>
          <cell r="I184">
            <v>1.5</v>
          </cell>
          <cell r="J184">
            <v>282.71</v>
          </cell>
          <cell r="K184">
            <v>1</v>
          </cell>
          <cell r="L184">
            <v>0.08</v>
          </cell>
          <cell r="M184">
            <v>5.33</v>
          </cell>
        </row>
        <row r="184">
          <cell r="Q184" t="str">
            <v>yes</v>
          </cell>
          <cell r="R184" t="str">
            <v>all</v>
          </cell>
          <cell r="S184" t="str">
            <v>R</v>
          </cell>
          <cell r="T184" t="str">
            <v>R (QD-TEC)</v>
          </cell>
        </row>
        <row r="184">
          <cell r="V184">
            <v>72</v>
          </cell>
          <cell r="W184">
            <v>0</v>
          </cell>
          <cell r="X184">
            <v>281.21</v>
          </cell>
          <cell r="Y184">
            <v>282.71</v>
          </cell>
        </row>
        <row r="185">
          <cell r="A185">
            <v>184</v>
          </cell>
          <cell r="B185">
            <v>501</v>
          </cell>
          <cell r="C185" t="str">
            <v>M0112</v>
          </cell>
          <cell r="D185" t="str">
            <v>A</v>
          </cell>
          <cell r="E185" t="str">
            <v>501_M0112_A_184O</v>
          </cell>
          <cell r="F185">
            <v>45835.9097222222</v>
          </cell>
          <cell r="G185" t="str">
            <v>KUHN</v>
          </cell>
          <cell r="H185">
            <v>282.71</v>
          </cell>
          <cell r="I185">
            <v>1.5</v>
          </cell>
          <cell r="J185">
            <v>284.21</v>
          </cell>
          <cell r="K185">
            <v>0</v>
          </cell>
          <cell r="L185">
            <v>0</v>
          </cell>
          <cell r="M185">
            <v>0</v>
          </cell>
        </row>
        <row r="185">
          <cell r="P185" t="str">
            <v>non-coring advance</v>
          </cell>
        </row>
        <row r="185">
          <cell r="X185">
            <v>282.71</v>
          </cell>
        </row>
        <row r="186">
          <cell r="A186">
            <v>185</v>
          </cell>
          <cell r="B186">
            <v>501</v>
          </cell>
          <cell r="C186" t="str">
            <v>M0112</v>
          </cell>
          <cell r="D186" t="str">
            <v>A</v>
          </cell>
          <cell r="E186" t="str">
            <v>501_M0112_A_185R</v>
          </cell>
          <cell r="F186">
            <v>45835.9513888889</v>
          </cell>
          <cell r="G186" t="str">
            <v>KUHN</v>
          </cell>
          <cell r="H186">
            <v>284.21</v>
          </cell>
          <cell r="I186">
            <v>2</v>
          </cell>
          <cell r="J186">
            <v>286.21</v>
          </cell>
          <cell r="K186">
            <v>2</v>
          </cell>
          <cell r="L186">
            <v>1.75</v>
          </cell>
          <cell r="M186">
            <v>87.5</v>
          </cell>
        </row>
        <row r="186">
          <cell r="Q186" t="str">
            <v>yes</v>
          </cell>
          <cell r="R186" t="str">
            <v>all</v>
          </cell>
          <cell r="S186" t="str">
            <v>R</v>
          </cell>
          <cell r="T186" t="str">
            <v>R (QD-TEC)</v>
          </cell>
        </row>
        <row r="186">
          <cell r="V186">
            <v>72</v>
          </cell>
          <cell r="W186">
            <v>0</v>
          </cell>
          <cell r="X186">
            <v>284.21</v>
          </cell>
          <cell r="Y186">
            <v>286.21</v>
          </cell>
        </row>
        <row r="187">
          <cell r="A187">
            <v>186</v>
          </cell>
          <cell r="B187">
            <v>501</v>
          </cell>
          <cell r="C187" t="str">
            <v>M0112</v>
          </cell>
          <cell r="D187" t="str">
            <v>A</v>
          </cell>
          <cell r="E187" t="str">
            <v>501_M0112_A_186R</v>
          </cell>
          <cell r="F187">
            <v>45835.9791666667</v>
          </cell>
          <cell r="G187" t="str">
            <v>KUHN</v>
          </cell>
          <cell r="H187">
            <v>286.21</v>
          </cell>
          <cell r="I187">
            <v>2</v>
          </cell>
          <cell r="J187">
            <v>288.21</v>
          </cell>
          <cell r="K187">
            <v>1</v>
          </cell>
          <cell r="L187">
            <v>0.6</v>
          </cell>
          <cell r="M187">
            <v>30</v>
          </cell>
        </row>
        <row r="187">
          <cell r="Q187" t="str">
            <v>yes</v>
          </cell>
          <cell r="R187" t="str">
            <v>all</v>
          </cell>
          <cell r="S187" t="str">
            <v>R</v>
          </cell>
          <cell r="T187" t="str">
            <v>R (QD-TEC)</v>
          </cell>
        </row>
        <row r="187">
          <cell r="V187">
            <v>72</v>
          </cell>
          <cell r="W187">
            <v>0</v>
          </cell>
          <cell r="X187">
            <v>286.21</v>
          </cell>
          <cell r="Y187">
            <v>288.21</v>
          </cell>
        </row>
        <row r="188">
          <cell r="A188">
            <v>187</v>
          </cell>
          <cell r="B188">
            <v>501</v>
          </cell>
          <cell r="C188" t="str">
            <v>M0112</v>
          </cell>
          <cell r="D188" t="str">
            <v>A</v>
          </cell>
          <cell r="E188" t="str">
            <v>501_M0112_A_187R</v>
          </cell>
          <cell r="F188">
            <v>45836.0034722222</v>
          </cell>
          <cell r="G188" t="str">
            <v>KUHN</v>
          </cell>
          <cell r="H188">
            <v>288.21</v>
          </cell>
          <cell r="I188">
            <v>1</v>
          </cell>
          <cell r="J188">
            <v>289.21</v>
          </cell>
          <cell r="K188">
            <v>1</v>
          </cell>
          <cell r="L188">
            <v>0.14</v>
          </cell>
          <cell r="M188">
            <v>14</v>
          </cell>
        </row>
        <row r="188">
          <cell r="Q188" t="str">
            <v>yes</v>
          </cell>
          <cell r="R188" t="str">
            <v>all</v>
          </cell>
          <cell r="S188" t="str">
            <v>R</v>
          </cell>
          <cell r="T188" t="str">
            <v>R (QD-TEC)</v>
          </cell>
        </row>
        <row r="188">
          <cell r="V188">
            <v>72</v>
          </cell>
          <cell r="W188">
            <v>0</v>
          </cell>
          <cell r="X188">
            <v>288.21</v>
          </cell>
          <cell r="Y188">
            <v>289.21</v>
          </cell>
        </row>
        <row r="189">
          <cell r="A189">
            <v>188</v>
          </cell>
          <cell r="B189">
            <v>501</v>
          </cell>
          <cell r="C189" t="str">
            <v>M0112</v>
          </cell>
          <cell r="D189" t="str">
            <v>A</v>
          </cell>
          <cell r="E189" t="str">
            <v>501_M0112_A_188R</v>
          </cell>
          <cell r="F189">
            <v>45836.03125</v>
          </cell>
          <cell r="G189" t="str">
            <v>KUHN</v>
          </cell>
          <cell r="H189">
            <v>289.21</v>
          </cell>
          <cell r="I189">
            <v>1</v>
          </cell>
          <cell r="J189">
            <v>290.21</v>
          </cell>
          <cell r="K189">
            <v>0</v>
          </cell>
          <cell r="L189">
            <v>0</v>
          </cell>
          <cell r="M189">
            <v>0</v>
          </cell>
        </row>
        <row r="189">
          <cell r="P189" t="str">
            <v>no recovery</v>
          </cell>
          <cell r="Q189" t="str">
            <v>no</v>
          </cell>
          <cell r="R189" t="str">
            <v>none</v>
          </cell>
          <cell r="S189" t="str">
            <v>R</v>
          </cell>
          <cell r="T189" t="str">
            <v>R (QD-TEC)</v>
          </cell>
        </row>
        <row r="189">
          <cell r="V189">
            <v>72</v>
          </cell>
          <cell r="W189">
            <v>0</v>
          </cell>
          <cell r="X189">
            <v>289.21</v>
          </cell>
          <cell r="Y189">
            <v>290.21</v>
          </cell>
        </row>
        <row r="190">
          <cell r="A190">
            <v>189</v>
          </cell>
          <cell r="B190">
            <v>501</v>
          </cell>
          <cell r="C190" t="str">
            <v>M0112</v>
          </cell>
          <cell r="D190" t="str">
            <v>A</v>
          </cell>
          <cell r="E190" t="str">
            <v>501_M0112_A_189R</v>
          </cell>
          <cell r="F190">
            <v>45836.0555555556</v>
          </cell>
          <cell r="G190" t="str">
            <v>KUHN</v>
          </cell>
          <cell r="H190">
            <v>290.21</v>
          </cell>
          <cell r="I190">
            <v>1</v>
          </cell>
          <cell r="J190">
            <v>291.21</v>
          </cell>
          <cell r="K190">
            <v>1</v>
          </cell>
          <cell r="L190">
            <v>0.67</v>
          </cell>
          <cell r="M190">
            <v>67</v>
          </cell>
        </row>
        <row r="190">
          <cell r="Q190" t="str">
            <v>yes</v>
          </cell>
          <cell r="R190" t="str">
            <v>all</v>
          </cell>
          <cell r="S190" t="str">
            <v>R</v>
          </cell>
          <cell r="T190" t="str">
            <v>R (QD-TEC)</v>
          </cell>
        </row>
        <row r="190">
          <cell r="V190">
            <v>72</v>
          </cell>
          <cell r="W190">
            <v>0</v>
          </cell>
          <cell r="X190">
            <v>290.21</v>
          </cell>
          <cell r="Y190">
            <v>291.21</v>
          </cell>
        </row>
        <row r="191">
          <cell r="A191">
            <v>190</v>
          </cell>
          <cell r="B191">
            <v>501</v>
          </cell>
          <cell r="C191" t="str">
            <v>M0112</v>
          </cell>
          <cell r="D191" t="str">
            <v>A</v>
          </cell>
          <cell r="E191" t="str">
            <v>501_M0112_A_190R</v>
          </cell>
          <cell r="F191">
            <v>45836.0833333333</v>
          </cell>
          <cell r="G191" t="str">
            <v>KUHN</v>
          </cell>
          <cell r="H191">
            <v>291.21</v>
          </cell>
          <cell r="I191">
            <v>1</v>
          </cell>
          <cell r="J191">
            <v>292.21</v>
          </cell>
          <cell r="K191">
            <v>1</v>
          </cell>
          <cell r="L191">
            <v>0.15</v>
          </cell>
          <cell r="M191">
            <v>15</v>
          </cell>
        </row>
        <row r="191">
          <cell r="Q191" t="str">
            <v>yes</v>
          </cell>
          <cell r="R191" t="str">
            <v>all</v>
          </cell>
          <cell r="S191" t="str">
            <v>R</v>
          </cell>
          <cell r="T191" t="str">
            <v>R (QD-TEC)</v>
          </cell>
        </row>
        <row r="191">
          <cell r="V191">
            <v>72</v>
          </cell>
          <cell r="W191">
            <v>0</v>
          </cell>
          <cell r="X191">
            <v>291.21</v>
          </cell>
          <cell r="Y191">
            <v>292.21</v>
          </cell>
        </row>
        <row r="192">
          <cell r="A192">
            <v>191</v>
          </cell>
          <cell r="B192">
            <v>501</v>
          </cell>
          <cell r="C192" t="str">
            <v>M0112</v>
          </cell>
          <cell r="D192" t="str">
            <v>A</v>
          </cell>
          <cell r="E192" t="str">
            <v>501_M0112_A_191R</v>
          </cell>
          <cell r="F192">
            <v>45836.1041666667</v>
          </cell>
          <cell r="G192" t="str">
            <v>KUHN</v>
          </cell>
          <cell r="H192">
            <v>292.21</v>
          </cell>
          <cell r="I192">
            <v>0.5</v>
          </cell>
          <cell r="J192">
            <v>292.71</v>
          </cell>
          <cell r="K192">
            <v>1</v>
          </cell>
          <cell r="L192">
            <v>0.14</v>
          </cell>
          <cell r="M192">
            <v>28</v>
          </cell>
        </row>
        <row r="192">
          <cell r="Q192" t="str">
            <v>yes</v>
          </cell>
          <cell r="R192" t="str">
            <v>all</v>
          </cell>
          <cell r="S192" t="str">
            <v>R</v>
          </cell>
          <cell r="T192" t="str">
            <v>R (QD-TEC)</v>
          </cell>
        </row>
        <row r="192">
          <cell r="V192">
            <v>72</v>
          </cell>
          <cell r="W192">
            <v>0</v>
          </cell>
          <cell r="X192">
            <v>292.21</v>
          </cell>
          <cell r="Y192">
            <v>292.71</v>
          </cell>
        </row>
        <row r="193">
          <cell r="A193">
            <v>192</v>
          </cell>
          <cell r="B193">
            <v>501</v>
          </cell>
          <cell r="C193" t="str">
            <v>M0112</v>
          </cell>
          <cell r="D193" t="str">
            <v>A</v>
          </cell>
          <cell r="E193" t="str">
            <v>501_M0112_A_192O</v>
          </cell>
          <cell r="F193">
            <v>45836.1284722222</v>
          </cell>
          <cell r="G193" t="str">
            <v>KUHN</v>
          </cell>
          <cell r="H193">
            <v>292.71</v>
          </cell>
          <cell r="I193">
            <v>1.25</v>
          </cell>
          <cell r="J193">
            <v>293.96</v>
          </cell>
          <cell r="K193">
            <v>0</v>
          </cell>
          <cell r="L193">
            <v>0</v>
          </cell>
          <cell r="M193">
            <v>0</v>
          </cell>
        </row>
        <row r="193">
          <cell r="P193" t="str">
            <v>non-coring drill</v>
          </cell>
        </row>
        <row r="193">
          <cell r="X193">
            <v>292.71</v>
          </cell>
        </row>
        <row r="194">
          <cell r="A194">
            <v>193</v>
          </cell>
          <cell r="B194">
            <v>501</v>
          </cell>
          <cell r="C194" t="str">
            <v>M0112</v>
          </cell>
          <cell r="D194" t="str">
            <v>A</v>
          </cell>
          <cell r="E194" t="str">
            <v>501_M0112_A_193R</v>
          </cell>
          <cell r="F194">
            <v>45836.1701388889</v>
          </cell>
          <cell r="G194" t="str">
            <v>HK</v>
          </cell>
          <cell r="H194">
            <v>293.96</v>
          </cell>
          <cell r="I194">
            <v>0.45</v>
          </cell>
          <cell r="J194">
            <v>294.41</v>
          </cell>
          <cell r="K194">
            <v>0</v>
          </cell>
          <cell r="L194">
            <v>0</v>
          </cell>
          <cell r="M194">
            <v>0</v>
          </cell>
        </row>
        <row r="194">
          <cell r="P194" t="str">
            <v>no recovery</v>
          </cell>
        </row>
        <row r="194">
          <cell r="X194">
            <v>293.96</v>
          </cell>
        </row>
        <row r="195">
          <cell r="A195">
            <v>194</v>
          </cell>
          <cell r="B195">
            <v>501</v>
          </cell>
          <cell r="C195" t="str">
            <v>M0112</v>
          </cell>
          <cell r="D195" t="str">
            <v>A</v>
          </cell>
          <cell r="E195" t="str">
            <v>501_M0112_A_194R</v>
          </cell>
          <cell r="F195">
            <v>45836.2083333333</v>
          </cell>
          <cell r="G195" t="str">
            <v>HK</v>
          </cell>
          <cell r="H195">
            <v>294.41</v>
          </cell>
          <cell r="I195">
            <v>1</v>
          </cell>
          <cell r="J195">
            <v>295.41</v>
          </cell>
          <cell r="K195">
            <v>1</v>
          </cell>
          <cell r="L195">
            <v>0.02</v>
          </cell>
          <cell r="M195">
            <v>2</v>
          </cell>
        </row>
        <row r="195">
          <cell r="P195" t="str">
            <v>All to PAL</v>
          </cell>
          <cell r="Q195" t="str">
            <v>no</v>
          </cell>
          <cell r="R195" t="str">
            <v>none</v>
          </cell>
          <cell r="S195" t="str">
            <v>R</v>
          </cell>
          <cell r="T195" t="str">
            <v>R (QD-TEC)</v>
          </cell>
        </row>
        <row r="195">
          <cell r="V195">
            <v>72</v>
          </cell>
          <cell r="W195">
            <v>0</v>
          </cell>
          <cell r="X195">
            <v>294.41</v>
          </cell>
          <cell r="Y195">
            <v>295.41</v>
          </cell>
        </row>
        <row r="196">
          <cell r="A196">
            <v>195</v>
          </cell>
          <cell r="B196">
            <v>501</v>
          </cell>
          <cell r="C196" t="str">
            <v>M0112</v>
          </cell>
          <cell r="D196" t="str">
            <v>A</v>
          </cell>
          <cell r="E196" t="str">
            <v>501_M0112_A_195R</v>
          </cell>
          <cell r="F196">
            <v>45836.25</v>
          </cell>
          <cell r="G196" t="str">
            <v>HK</v>
          </cell>
          <cell r="H196">
            <v>295.41</v>
          </cell>
          <cell r="I196">
            <v>0.25</v>
          </cell>
          <cell r="J196">
            <v>295.66</v>
          </cell>
          <cell r="K196">
            <v>1</v>
          </cell>
          <cell r="L196">
            <v>0.29</v>
          </cell>
          <cell r="M196">
            <v>116</v>
          </cell>
        </row>
        <row r="196">
          <cell r="P196" t="str">
            <v>liner stuck</v>
          </cell>
        </row>
        <row r="196">
          <cell r="X196">
            <v>295.41</v>
          </cell>
        </row>
        <row r="197">
          <cell r="A197">
            <v>196</v>
          </cell>
          <cell r="B197">
            <v>501</v>
          </cell>
          <cell r="C197" t="str">
            <v>M0112</v>
          </cell>
          <cell r="D197" t="str">
            <v>A</v>
          </cell>
          <cell r="E197" t="str">
            <v>501_M0112_A_196R</v>
          </cell>
          <cell r="F197">
            <v>45836.3020833333</v>
          </cell>
          <cell r="G197" t="str">
            <v>HK</v>
          </cell>
          <cell r="H197">
            <v>295.66</v>
          </cell>
          <cell r="I197">
            <v>1.55</v>
          </cell>
          <cell r="J197">
            <v>297.21</v>
          </cell>
          <cell r="K197">
            <v>1</v>
          </cell>
          <cell r="L197">
            <v>0.84</v>
          </cell>
          <cell r="M197">
            <v>54.19</v>
          </cell>
        </row>
        <row r="197">
          <cell r="Q197" t="str">
            <v>yes</v>
          </cell>
          <cell r="R197" t="str">
            <v>all</v>
          </cell>
          <cell r="S197" t="str">
            <v>R</v>
          </cell>
          <cell r="T197" t="str">
            <v>R (QD-TEC)</v>
          </cell>
        </row>
        <row r="197">
          <cell r="V197">
            <v>72</v>
          </cell>
          <cell r="W197">
            <v>0</v>
          </cell>
          <cell r="X197">
            <v>295.66</v>
          </cell>
          <cell r="Y197">
            <v>297.21</v>
          </cell>
        </row>
        <row r="198">
          <cell r="A198">
            <v>197</v>
          </cell>
          <cell r="B198">
            <v>501</v>
          </cell>
          <cell r="C198" t="str">
            <v>M0112</v>
          </cell>
          <cell r="D198" t="str">
            <v>A</v>
          </cell>
          <cell r="E198" t="str">
            <v>501_M0112_A_197R</v>
          </cell>
          <cell r="F198">
            <v>45836.3298611111</v>
          </cell>
          <cell r="G198" t="str">
            <v>HK</v>
          </cell>
          <cell r="H198">
            <v>297.21</v>
          </cell>
          <cell r="I198">
            <v>1</v>
          </cell>
          <cell r="J198">
            <v>298.21</v>
          </cell>
          <cell r="K198">
            <v>1</v>
          </cell>
          <cell r="L198">
            <v>0.95</v>
          </cell>
          <cell r="M198">
            <v>95</v>
          </cell>
        </row>
        <row r="198">
          <cell r="Q198" t="str">
            <v>yes</v>
          </cell>
          <cell r="R198" t="str">
            <v>all</v>
          </cell>
          <cell r="S198" t="str">
            <v>R</v>
          </cell>
          <cell r="T198" t="str">
            <v>R (QD-TEC)</v>
          </cell>
        </row>
        <row r="198">
          <cell r="V198">
            <v>72</v>
          </cell>
          <cell r="W198">
            <v>0</v>
          </cell>
          <cell r="X198">
            <v>297.21</v>
          </cell>
          <cell r="Y198">
            <v>298.21</v>
          </cell>
        </row>
        <row r="199">
          <cell r="A199">
            <v>198</v>
          </cell>
          <cell r="B199">
            <v>501</v>
          </cell>
          <cell r="C199" t="str">
            <v>M0112</v>
          </cell>
          <cell r="D199" t="str">
            <v>A</v>
          </cell>
          <cell r="E199" t="str">
            <v>501_M0112_A_198R</v>
          </cell>
          <cell r="F199">
            <v>45836.3645833333</v>
          </cell>
          <cell r="G199" t="str">
            <v>HK</v>
          </cell>
          <cell r="H199">
            <v>298.21</v>
          </cell>
          <cell r="I199">
            <v>1</v>
          </cell>
          <cell r="J199">
            <v>299.21</v>
          </cell>
          <cell r="K199">
            <v>1</v>
          </cell>
          <cell r="L199">
            <v>1</v>
          </cell>
          <cell r="M199">
            <v>100</v>
          </cell>
        </row>
        <row r="199">
          <cell r="Q199" t="str">
            <v>yes</v>
          </cell>
          <cell r="R199" t="str">
            <v>all</v>
          </cell>
          <cell r="S199" t="str">
            <v>R</v>
          </cell>
          <cell r="T199" t="str">
            <v>R (QD-TEC)</v>
          </cell>
        </row>
        <row r="199">
          <cell r="V199">
            <v>72</v>
          </cell>
          <cell r="W199">
            <v>0</v>
          </cell>
          <cell r="X199">
            <v>298.21</v>
          </cell>
          <cell r="Y199">
            <v>299.21</v>
          </cell>
        </row>
        <row r="200">
          <cell r="A200">
            <v>199</v>
          </cell>
          <cell r="B200">
            <v>501</v>
          </cell>
          <cell r="C200" t="str">
            <v>M0112</v>
          </cell>
          <cell r="D200" t="str">
            <v>A</v>
          </cell>
          <cell r="E200" t="str">
            <v>501_M0112_A_199R</v>
          </cell>
          <cell r="F200">
            <v>45836.3923611111</v>
          </cell>
          <cell r="G200" t="str">
            <v>HK</v>
          </cell>
          <cell r="H200">
            <v>299.21</v>
          </cell>
          <cell r="I200">
            <v>1</v>
          </cell>
          <cell r="J200">
            <v>300.21</v>
          </cell>
          <cell r="K200">
            <v>1</v>
          </cell>
          <cell r="L200">
            <v>0.3</v>
          </cell>
          <cell r="M200">
            <v>30</v>
          </cell>
        </row>
        <row r="200">
          <cell r="Q200" t="str">
            <v>yes</v>
          </cell>
          <cell r="R200" t="str">
            <v>all</v>
          </cell>
          <cell r="S200" t="str">
            <v>R</v>
          </cell>
          <cell r="T200" t="str">
            <v>R (QD-TEC)</v>
          </cell>
        </row>
        <row r="200">
          <cell r="V200">
            <v>72</v>
          </cell>
          <cell r="W200">
            <v>0</v>
          </cell>
          <cell r="X200">
            <v>299.21</v>
          </cell>
          <cell r="Y200">
            <v>300.21</v>
          </cell>
        </row>
        <row r="201">
          <cell r="A201">
            <v>200</v>
          </cell>
          <cell r="B201">
            <v>501</v>
          </cell>
          <cell r="C201" t="str">
            <v>M0112</v>
          </cell>
          <cell r="D201" t="str">
            <v>A</v>
          </cell>
          <cell r="E201" t="str">
            <v>501_M0112_A_200R</v>
          </cell>
          <cell r="F201">
            <v>45836.4236111111</v>
          </cell>
          <cell r="G201" t="str">
            <v>HK</v>
          </cell>
          <cell r="H201">
            <v>300.21</v>
          </cell>
          <cell r="I201">
            <v>1</v>
          </cell>
          <cell r="J201">
            <v>301.21</v>
          </cell>
          <cell r="K201">
            <v>1</v>
          </cell>
          <cell r="L201">
            <v>0.47</v>
          </cell>
          <cell r="M201">
            <v>47</v>
          </cell>
        </row>
        <row r="201">
          <cell r="P201" t="str">
            <v>metal piece frm basket at 10cm</v>
          </cell>
          <cell r="Q201" t="str">
            <v>yes</v>
          </cell>
          <cell r="R201" t="str">
            <v>all</v>
          </cell>
          <cell r="S201" t="str">
            <v>R</v>
          </cell>
          <cell r="T201" t="str">
            <v>R (QD-TEC)</v>
          </cell>
        </row>
        <row r="201">
          <cell r="V201">
            <v>72</v>
          </cell>
          <cell r="W201">
            <v>0</v>
          </cell>
          <cell r="X201">
            <v>300.21</v>
          </cell>
          <cell r="Y201">
            <v>301.21</v>
          </cell>
        </row>
        <row r="202">
          <cell r="A202">
            <v>201</v>
          </cell>
          <cell r="B202">
            <v>501</v>
          </cell>
          <cell r="C202" t="str">
            <v>M0112</v>
          </cell>
          <cell r="D202" t="str">
            <v>A</v>
          </cell>
          <cell r="E202" t="str">
            <v>501_M0112_A_201R</v>
          </cell>
          <cell r="F202">
            <v>45836.4513888889</v>
          </cell>
          <cell r="G202" t="str">
            <v>HK</v>
          </cell>
          <cell r="H202">
            <v>301.21</v>
          </cell>
          <cell r="I202">
            <v>1</v>
          </cell>
          <cell r="J202">
            <v>302.21</v>
          </cell>
          <cell r="K202">
            <v>1</v>
          </cell>
          <cell r="L202">
            <v>0.07</v>
          </cell>
          <cell r="M202">
            <v>7</v>
          </cell>
        </row>
        <row r="202">
          <cell r="Q202" t="str">
            <v>yes</v>
          </cell>
          <cell r="R202" t="str">
            <v>all</v>
          </cell>
          <cell r="S202" t="str">
            <v>R</v>
          </cell>
          <cell r="T202" t="str">
            <v>R (QD-TEC)</v>
          </cell>
        </row>
        <row r="202">
          <cell r="V202">
            <v>72</v>
          </cell>
          <cell r="W202">
            <v>0</v>
          </cell>
          <cell r="X202">
            <v>301.21</v>
          </cell>
          <cell r="Y202">
            <v>302.21</v>
          </cell>
        </row>
        <row r="203">
          <cell r="A203">
            <v>202</v>
          </cell>
          <cell r="B203">
            <v>501</v>
          </cell>
          <cell r="C203" t="str">
            <v>M0112</v>
          </cell>
          <cell r="D203" t="str">
            <v>A</v>
          </cell>
          <cell r="E203" t="str">
            <v>501_M0112_A_202R</v>
          </cell>
          <cell r="F203">
            <v>45836.4895833333</v>
          </cell>
          <cell r="G203" t="str">
            <v>HK</v>
          </cell>
          <cell r="H203">
            <v>302.21</v>
          </cell>
          <cell r="I203">
            <v>1</v>
          </cell>
          <cell r="J203">
            <v>303.21</v>
          </cell>
          <cell r="K203">
            <v>1</v>
          </cell>
          <cell r="L203">
            <v>0.04</v>
          </cell>
          <cell r="M203">
            <v>4</v>
          </cell>
        </row>
        <row r="203">
          <cell r="P203" t="str">
            <v>All to PAL</v>
          </cell>
          <cell r="Q203" t="str">
            <v>no</v>
          </cell>
          <cell r="R203" t="str">
            <v>none</v>
          </cell>
          <cell r="S203" t="str">
            <v>R</v>
          </cell>
          <cell r="T203" t="str">
            <v>R (QD-TEC)</v>
          </cell>
        </row>
        <row r="203">
          <cell r="V203">
            <v>72</v>
          </cell>
          <cell r="W203">
            <v>0</v>
          </cell>
          <cell r="X203">
            <v>302.21</v>
          </cell>
          <cell r="Y203">
            <v>303.21</v>
          </cell>
        </row>
        <row r="204">
          <cell r="A204">
            <v>203</v>
          </cell>
          <cell r="B204">
            <v>501</v>
          </cell>
          <cell r="C204" t="str">
            <v>M0112</v>
          </cell>
          <cell r="D204" t="str">
            <v>A</v>
          </cell>
          <cell r="E204" t="str">
            <v>501_M0112_A_203R</v>
          </cell>
          <cell r="F204">
            <v>45836.53125</v>
          </cell>
          <cell r="G204" t="str">
            <v>HK</v>
          </cell>
          <cell r="H204">
            <v>303.21</v>
          </cell>
          <cell r="I204">
            <v>1</v>
          </cell>
          <cell r="J204">
            <v>304.21</v>
          </cell>
          <cell r="K204">
            <v>0</v>
          </cell>
          <cell r="L204">
            <v>0</v>
          </cell>
          <cell r="M204">
            <v>0</v>
          </cell>
        </row>
        <row r="204">
          <cell r="P204" t="str">
            <v>no recovery</v>
          </cell>
          <cell r="Q204" t="str">
            <v>no</v>
          </cell>
          <cell r="R204" t="str">
            <v>none</v>
          </cell>
          <cell r="S204" t="str">
            <v>R</v>
          </cell>
          <cell r="T204" t="str">
            <v>R (QD-TEC)</v>
          </cell>
        </row>
        <row r="204">
          <cell r="V204">
            <v>72</v>
          </cell>
          <cell r="W204">
            <v>0</v>
          </cell>
          <cell r="X204">
            <v>303.21</v>
          </cell>
          <cell r="Y204">
            <v>304.21</v>
          </cell>
        </row>
        <row r="205">
          <cell r="A205">
            <v>204</v>
          </cell>
          <cell r="B205">
            <v>501</v>
          </cell>
          <cell r="C205" t="str">
            <v>M0112</v>
          </cell>
          <cell r="D205" t="str">
            <v>A</v>
          </cell>
          <cell r="E205" t="str">
            <v>501_M0112_A_204R</v>
          </cell>
          <cell r="F205">
            <v>45836.5694444444</v>
          </cell>
          <cell r="G205" t="str">
            <v>HK</v>
          </cell>
          <cell r="H205">
            <v>304.21</v>
          </cell>
          <cell r="I205">
            <v>1</v>
          </cell>
          <cell r="J205">
            <v>305.21</v>
          </cell>
          <cell r="K205">
            <v>1</v>
          </cell>
          <cell r="L205">
            <v>1.54</v>
          </cell>
          <cell r="M205">
            <v>154</v>
          </cell>
        </row>
        <row r="205">
          <cell r="Q205" t="str">
            <v>yes</v>
          </cell>
          <cell r="R205" t="str">
            <v>all</v>
          </cell>
          <cell r="S205" t="str">
            <v>R</v>
          </cell>
          <cell r="T205" t="str">
            <v>R (QD-TEC)</v>
          </cell>
        </row>
        <row r="205">
          <cell r="V205">
            <v>72</v>
          </cell>
          <cell r="W205">
            <v>0</v>
          </cell>
          <cell r="X205">
            <v>304.21</v>
          </cell>
          <cell r="Y205">
            <v>305.21</v>
          </cell>
        </row>
        <row r="206">
          <cell r="A206">
            <v>205</v>
          </cell>
          <cell r="B206">
            <v>501</v>
          </cell>
          <cell r="C206" t="str">
            <v>M0112</v>
          </cell>
          <cell r="D206" t="str">
            <v>A</v>
          </cell>
          <cell r="E206" t="str">
            <v>501_M0112_A_205R</v>
          </cell>
          <cell r="F206">
            <v>45836.5972222222</v>
          </cell>
          <cell r="G206" t="str">
            <v>HK</v>
          </cell>
          <cell r="H206">
            <v>305.21</v>
          </cell>
          <cell r="I206">
            <v>1</v>
          </cell>
          <cell r="J206">
            <v>306.21</v>
          </cell>
          <cell r="K206">
            <v>1</v>
          </cell>
          <cell r="L206">
            <v>0.94</v>
          </cell>
          <cell r="M206">
            <v>94</v>
          </cell>
        </row>
        <row r="206">
          <cell r="Q206" t="str">
            <v>yes</v>
          </cell>
          <cell r="R206" t="str">
            <v>all</v>
          </cell>
          <cell r="S206" t="str">
            <v>R</v>
          </cell>
          <cell r="T206" t="str">
            <v>R (QD-TEC)</v>
          </cell>
        </row>
        <row r="206">
          <cell r="V206">
            <v>72</v>
          </cell>
          <cell r="W206">
            <v>0</v>
          </cell>
          <cell r="X206">
            <v>305.21</v>
          </cell>
          <cell r="Y206">
            <v>306.21</v>
          </cell>
        </row>
        <row r="207">
          <cell r="A207">
            <v>206</v>
          </cell>
          <cell r="B207">
            <v>501</v>
          </cell>
          <cell r="C207" t="str">
            <v>M0112</v>
          </cell>
          <cell r="D207" t="str">
            <v>A</v>
          </cell>
          <cell r="E207" t="str">
            <v>501_M0112_A_206R</v>
          </cell>
          <cell r="F207">
            <v>45836.6145833333</v>
          </cell>
          <cell r="G207" t="str">
            <v>HK</v>
          </cell>
          <cell r="H207">
            <v>306.21</v>
          </cell>
          <cell r="I207">
            <v>1</v>
          </cell>
          <cell r="J207">
            <v>307.21</v>
          </cell>
          <cell r="K207">
            <v>1</v>
          </cell>
          <cell r="L207">
            <v>0.51</v>
          </cell>
          <cell r="M207">
            <v>51</v>
          </cell>
        </row>
        <row r="207">
          <cell r="Q207" t="str">
            <v>yes</v>
          </cell>
          <cell r="R207" t="str">
            <v>all</v>
          </cell>
          <cell r="S207" t="str">
            <v>R</v>
          </cell>
          <cell r="T207" t="str">
            <v>R (QD-TEC)</v>
          </cell>
        </row>
        <row r="207">
          <cell r="V207">
            <v>72</v>
          </cell>
          <cell r="W207">
            <v>0</v>
          </cell>
          <cell r="X207">
            <v>306.21</v>
          </cell>
          <cell r="Y207">
            <v>307.21</v>
          </cell>
        </row>
        <row r="208">
          <cell r="A208">
            <v>207</v>
          </cell>
          <cell r="B208">
            <v>501</v>
          </cell>
          <cell r="C208" t="str">
            <v>M0112</v>
          </cell>
          <cell r="D208" t="str">
            <v>A</v>
          </cell>
          <cell r="E208" t="str">
            <v>501_M0112_A_207R</v>
          </cell>
          <cell r="F208">
            <v>45836.6423611111</v>
          </cell>
          <cell r="G208" t="str">
            <v>HK</v>
          </cell>
          <cell r="H208">
            <v>307.21</v>
          </cell>
          <cell r="I208">
            <v>1</v>
          </cell>
          <cell r="J208">
            <v>308.21</v>
          </cell>
          <cell r="K208">
            <v>1</v>
          </cell>
          <cell r="L208">
            <v>0.01</v>
          </cell>
          <cell r="M208">
            <v>1</v>
          </cell>
        </row>
        <row r="208">
          <cell r="P208" t="str">
            <v>liner crumpled</v>
          </cell>
        </row>
        <row r="208">
          <cell r="X208">
            <v>307.21</v>
          </cell>
        </row>
        <row r="209">
          <cell r="A209">
            <v>208</v>
          </cell>
          <cell r="B209">
            <v>501</v>
          </cell>
          <cell r="C209" t="str">
            <v>M0112</v>
          </cell>
          <cell r="D209" t="str">
            <v>A</v>
          </cell>
          <cell r="E209" t="str">
            <v>501_M0112_A_208R</v>
          </cell>
          <cell r="F209">
            <v>45836.6701388889</v>
          </cell>
          <cell r="G209" t="str">
            <v>HK</v>
          </cell>
          <cell r="H209">
            <v>308.21</v>
          </cell>
          <cell r="I209">
            <v>1</v>
          </cell>
          <cell r="J209">
            <v>309.21</v>
          </cell>
          <cell r="K209">
            <v>0</v>
          </cell>
          <cell r="L209">
            <v>0</v>
          </cell>
          <cell r="M209">
            <v>0</v>
          </cell>
        </row>
        <row r="209">
          <cell r="P209" t="str">
            <v>no recovery</v>
          </cell>
          <cell r="Q209" t="str">
            <v>no</v>
          </cell>
          <cell r="R209" t="str">
            <v>none</v>
          </cell>
          <cell r="S209" t="str">
            <v>R</v>
          </cell>
          <cell r="T209" t="str">
            <v>R (QD-TEC)</v>
          </cell>
        </row>
        <row r="209">
          <cell r="V209">
            <v>72</v>
          </cell>
          <cell r="W209">
            <v>0</v>
          </cell>
          <cell r="X209">
            <v>308.21</v>
          </cell>
          <cell r="Y209">
            <v>309.21</v>
          </cell>
        </row>
        <row r="210">
          <cell r="A210">
            <v>209</v>
          </cell>
          <cell r="B210">
            <v>501</v>
          </cell>
          <cell r="C210" t="str">
            <v>M0112</v>
          </cell>
          <cell r="D210" t="str">
            <v>A</v>
          </cell>
          <cell r="E210" t="str">
            <v>501_M0112_A_209R</v>
          </cell>
          <cell r="F210">
            <v>45836.7048611111</v>
          </cell>
          <cell r="G210" t="str">
            <v>KUHN</v>
          </cell>
          <cell r="H210">
            <v>309.21</v>
          </cell>
          <cell r="I210">
            <v>1</v>
          </cell>
          <cell r="J210">
            <v>310.21</v>
          </cell>
          <cell r="K210">
            <v>1</v>
          </cell>
          <cell r="L210">
            <v>0.2</v>
          </cell>
          <cell r="M210">
            <v>20</v>
          </cell>
        </row>
        <row r="210">
          <cell r="Q210" t="str">
            <v>yes</v>
          </cell>
          <cell r="R210" t="str">
            <v>all</v>
          </cell>
          <cell r="S210" t="str">
            <v>R</v>
          </cell>
          <cell r="T210" t="str">
            <v>R (QD-TEC)</v>
          </cell>
        </row>
        <row r="210">
          <cell r="V210">
            <v>72</v>
          </cell>
          <cell r="W210">
            <v>0</v>
          </cell>
          <cell r="X210">
            <v>309.21</v>
          </cell>
          <cell r="Y210">
            <v>310.21</v>
          </cell>
        </row>
        <row r="211">
          <cell r="A211">
            <v>210</v>
          </cell>
          <cell r="B211">
            <v>501</v>
          </cell>
          <cell r="C211" t="str">
            <v>M0112</v>
          </cell>
          <cell r="D211" t="str">
            <v>A</v>
          </cell>
          <cell r="E211" t="str">
            <v>501_M0112_A_210R</v>
          </cell>
          <cell r="F211">
            <v>45836.7430555556</v>
          </cell>
          <cell r="G211" t="str">
            <v>KUHN</v>
          </cell>
          <cell r="H211">
            <v>310.21</v>
          </cell>
          <cell r="I211">
            <v>1</v>
          </cell>
          <cell r="J211">
            <v>311.21</v>
          </cell>
          <cell r="K211">
            <v>1</v>
          </cell>
          <cell r="L211">
            <v>0.28</v>
          </cell>
          <cell r="M211">
            <v>28</v>
          </cell>
        </row>
        <row r="211">
          <cell r="P211" t="str">
            <v>2-3 cm core diameter</v>
          </cell>
          <cell r="Q211" t="str">
            <v>yes</v>
          </cell>
          <cell r="R211" t="str">
            <v>all</v>
          </cell>
          <cell r="S211" t="str">
            <v>R</v>
          </cell>
          <cell r="T211" t="str">
            <v>R (QD-TEC)</v>
          </cell>
        </row>
        <row r="211">
          <cell r="V211">
            <v>72</v>
          </cell>
          <cell r="W211">
            <v>0</v>
          </cell>
          <cell r="X211">
            <v>310.21</v>
          </cell>
          <cell r="Y211">
            <v>311.21</v>
          </cell>
        </row>
        <row r="212">
          <cell r="A212">
            <v>211</v>
          </cell>
          <cell r="B212">
            <v>501</v>
          </cell>
          <cell r="C212" t="str">
            <v>M0112</v>
          </cell>
          <cell r="D212" t="str">
            <v>A</v>
          </cell>
          <cell r="E212" t="str">
            <v>501_M0112_A_211R</v>
          </cell>
          <cell r="F212">
            <v>45836.7916666667</v>
          </cell>
          <cell r="G212" t="str">
            <v>KUHN</v>
          </cell>
          <cell r="H212">
            <v>311.21</v>
          </cell>
          <cell r="I212">
            <v>1</v>
          </cell>
          <cell r="J212">
            <v>312.21</v>
          </cell>
          <cell r="K212">
            <v>1</v>
          </cell>
          <cell r="L212">
            <v>0.08</v>
          </cell>
          <cell r="M212">
            <v>8</v>
          </cell>
        </row>
        <row r="212">
          <cell r="Q212" t="str">
            <v>yes</v>
          </cell>
          <cell r="R212" t="str">
            <v>all</v>
          </cell>
          <cell r="S212" t="str">
            <v>R</v>
          </cell>
          <cell r="T212" t="str">
            <v>R (QD-TEC)</v>
          </cell>
        </row>
        <row r="212">
          <cell r="V212">
            <v>72</v>
          </cell>
          <cell r="W212">
            <v>0</v>
          </cell>
          <cell r="X212">
            <v>311.21</v>
          </cell>
          <cell r="Y212">
            <v>312.21</v>
          </cell>
        </row>
        <row r="213">
          <cell r="A213">
            <v>212</v>
          </cell>
          <cell r="B213">
            <v>501</v>
          </cell>
          <cell r="C213" t="str">
            <v>M0112</v>
          </cell>
          <cell r="D213" t="str">
            <v>A</v>
          </cell>
          <cell r="E213" t="str">
            <v>501_M0112_A_212R</v>
          </cell>
          <cell r="F213">
            <v>45836.8263888889</v>
          </cell>
          <cell r="G213" t="str">
            <v>KUHN</v>
          </cell>
          <cell r="H213">
            <v>312.21</v>
          </cell>
          <cell r="I213">
            <v>1</v>
          </cell>
          <cell r="J213">
            <v>313.21</v>
          </cell>
          <cell r="K213">
            <v>2</v>
          </cell>
          <cell r="L213">
            <v>1.32</v>
          </cell>
          <cell r="M213">
            <v>132</v>
          </cell>
        </row>
        <row r="213">
          <cell r="Q213" t="str">
            <v>yes</v>
          </cell>
          <cell r="R213" t="str">
            <v>all</v>
          </cell>
          <cell r="S213" t="str">
            <v>R</v>
          </cell>
          <cell r="T213" t="str">
            <v>R (QD-TEC)</v>
          </cell>
        </row>
        <row r="213">
          <cell r="V213">
            <v>72</v>
          </cell>
          <cell r="W213">
            <v>0</v>
          </cell>
          <cell r="X213">
            <v>312.21</v>
          </cell>
          <cell r="Y213">
            <v>313.21</v>
          </cell>
        </row>
        <row r="214">
          <cell r="A214">
            <v>213</v>
          </cell>
          <cell r="B214">
            <v>501</v>
          </cell>
          <cell r="C214" t="str">
            <v>M0112</v>
          </cell>
          <cell r="D214" t="str">
            <v>A</v>
          </cell>
          <cell r="E214" t="str">
            <v>501_M0112_A_213R</v>
          </cell>
          <cell r="F214">
            <v>45836.8576388889</v>
          </cell>
          <cell r="G214" t="str">
            <v>KUHN</v>
          </cell>
          <cell r="H214">
            <v>313.21</v>
          </cell>
          <cell r="I214">
            <v>1</v>
          </cell>
          <cell r="J214">
            <v>314.21</v>
          </cell>
          <cell r="K214">
            <v>1</v>
          </cell>
          <cell r="L214">
            <v>0.01</v>
          </cell>
          <cell r="M214">
            <v>1</v>
          </cell>
        </row>
        <row r="214">
          <cell r="P214" t="str">
            <v>all to PAL</v>
          </cell>
          <cell r="Q214" t="str">
            <v>no</v>
          </cell>
          <cell r="R214" t="str">
            <v>none</v>
          </cell>
          <cell r="S214" t="str">
            <v>R</v>
          </cell>
          <cell r="T214" t="str">
            <v>R (QD-TEC)</v>
          </cell>
        </row>
        <row r="214">
          <cell r="V214">
            <v>72</v>
          </cell>
          <cell r="W214">
            <v>0</v>
          </cell>
          <cell r="X214">
            <v>313.21</v>
          </cell>
          <cell r="Y214">
            <v>314.21</v>
          </cell>
        </row>
        <row r="215">
          <cell r="A215">
            <v>214</v>
          </cell>
          <cell r="B215">
            <v>501</v>
          </cell>
          <cell r="C215" t="str">
            <v>M0112</v>
          </cell>
          <cell r="D215" t="str">
            <v>A</v>
          </cell>
          <cell r="E215" t="str">
            <v>501_M0112_A_214R</v>
          </cell>
          <cell r="F215">
            <v>45836.8958333333</v>
          </cell>
          <cell r="G215" t="str">
            <v>KUHN</v>
          </cell>
          <cell r="H215">
            <v>314.21</v>
          </cell>
          <cell r="I215">
            <v>1</v>
          </cell>
          <cell r="J215">
            <v>315.21</v>
          </cell>
          <cell r="K215">
            <v>2</v>
          </cell>
          <cell r="L215">
            <v>2.18</v>
          </cell>
          <cell r="M215">
            <v>218</v>
          </cell>
        </row>
        <row r="215">
          <cell r="Q215" t="str">
            <v>yes</v>
          </cell>
          <cell r="R215" t="str">
            <v>all</v>
          </cell>
          <cell r="S215" t="str">
            <v>R</v>
          </cell>
          <cell r="T215" t="str">
            <v>R (QD-TEC)</v>
          </cell>
        </row>
        <row r="215">
          <cell r="V215">
            <v>72</v>
          </cell>
          <cell r="W215">
            <v>0</v>
          </cell>
          <cell r="X215">
            <v>314.21</v>
          </cell>
          <cell r="Y215">
            <v>315.21</v>
          </cell>
        </row>
        <row r="216">
          <cell r="A216">
            <v>215</v>
          </cell>
          <cell r="B216">
            <v>501</v>
          </cell>
          <cell r="C216" t="str">
            <v>M0112</v>
          </cell>
          <cell r="D216" t="str">
            <v>A</v>
          </cell>
          <cell r="E216" t="str">
            <v>501_M0112_A_215R</v>
          </cell>
          <cell r="F216">
            <v>45836.9895833333</v>
          </cell>
          <cell r="G216" t="str">
            <v>KUHN</v>
          </cell>
          <cell r="H216">
            <v>315.21</v>
          </cell>
          <cell r="I216">
            <v>2</v>
          </cell>
          <cell r="J216">
            <v>317.21</v>
          </cell>
          <cell r="K216">
            <v>2</v>
          </cell>
          <cell r="L216">
            <v>1.81</v>
          </cell>
          <cell r="M216">
            <v>90.5</v>
          </cell>
        </row>
        <row r="216">
          <cell r="P216" t="str">
            <v>possible metal in core from basket</v>
          </cell>
          <cell r="Q216" t="str">
            <v>yes</v>
          </cell>
          <cell r="R216" t="str">
            <v>all</v>
          </cell>
          <cell r="S216" t="str">
            <v>R</v>
          </cell>
          <cell r="T216" t="str">
            <v>R (QD-TEC)</v>
          </cell>
        </row>
        <row r="216">
          <cell r="V216">
            <v>72</v>
          </cell>
          <cell r="W216">
            <v>0</v>
          </cell>
          <cell r="X216">
            <v>315.21</v>
          </cell>
          <cell r="Y216">
            <v>317.21</v>
          </cell>
        </row>
        <row r="217">
          <cell r="A217">
            <v>216</v>
          </cell>
          <cell r="B217">
            <v>501</v>
          </cell>
          <cell r="C217" t="str">
            <v>M0112</v>
          </cell>
          <cell r="D217" t="str">
            <v>A</v>
          </cell>
          <cell r="E217" t="str">
            <v>501_M0112_A_216R</v>
          </cell>
          <cell r="F217">
            <v>45837.0555555556</v>
          </cell>
          <cell r="G217" t="str">
            <v>KUHN</v>
          </cell>
          <cell r="H217">
            <v>317.21</v>
          </cell>
          <cell r="I217">
            <v>3</v>
          </cell>
          <cell r="J217">
            <v>320.21</v>
          </cell>
          <cell r="K217">
            <v>2</v>
          </cell>
          <cell r="L217">
            <v>2.45</v>
          </cell>
          <cell r="M217">
            <v>81.67</v>
          </cell>
        </row>
        <row r="217">
          <cell r="Q217" t="str">
            <v>yes</v>
          </cell>
          <cell r="R217" t="str">
            <v>all</v>
          </cell>
          <cell r="S217" t="str">
            <v>R</v>
          </cell>
          <cell r="T217" t="str">
            <v>R (QD-TEC)</v>
          </cell>
        </row>
        <row r="217">
          <cell r="V217">
            <v>72</v>
          </cell>
          <cell r="W217">
            <v>0</v>
          </cell>
          <cell r="X217">
            <v>317.21</v>
          </cell>
          <cell r="Y217">
            <v>320.21</v>
          </cell>
        </row>
        <row r="218">
          <cell r="A218">
            <v>217</v>
          </cell>
          <cell r="B218">
            <v>501</v>
          </cell>
          <cell r="C218" t="str">
            <v>M0112</v>
          </cell>
          <cell r="D218" t="str">
            <v>A</v>
          </cell>
          <cell r="E218" t="str">
            <v>501_M0112_A_217R</v>
          </cell>
          <cell r="F218">
            <v>45837.1076388889</v>
          </cell>
          <cell r="G218" t="str">
            <v>KUHN</v>
          </cell>
          <cell r="H218">
            <v>320.21</v>
          </cell>
          <cell r="I218">
            <v>2</v>
          </cell>
          <cell r="J218">
            <v>322.21</v>
          </cell>
          <cell r="K218">
            <v>2</v>
          </cell>
          <cell r="L218">
            <v>2.97</v>
          </cell>
          <cell r="M218">
            <v>148.5</v>
          </cell>
        </row>
        <row r="218">
          <cell r="Q218" t="str">
            <v>yes</v>
          </cell>
          <cell r="R218" t="str">
            <v>all</v>
          </cell>
          <cell r="S218" t="str">
            <v>R</v>
          </cell>
          <cell r="T218" t="str">
            <v>R (QD-TEC)</v>
          </cell>
        </row>
        <row r="218">
          <cell r="V218">
            <v>72</v>
          </cell>
          <cell r="W218">
            <v>0</v>
          </cell>
          <cell r="X218">
            <v>320.21</v>
          </cell>
          <cell r="Y218">
            <v>322.21</v>
          </cell>
        </row>
        <row r="219">
          <cell r="A219">
            <v>218</v>
          </cell>
          <cell r="B219">
            <v>501</v>
          </cell>
          <cell r="C219" t="str">
            <v>M0112</v>
          </cell>
          <cell r="D219" t="str">
            <v>A</v>
          </cell>
          <cell r="E219" t="str">
            <v>501_M0112_A_218R</v>
          </cell>
          <cell r="F219">
            <v>45837.1597222222</v>
          </cell>
          <cell r="G219" t="str">
            <v>HK</v>
          </cell>
          <cell r="H219">
            <v>322.21</v>
          </cell>
          <cell r="I219">
            <v>1.8</v>
          </cell>
          <cell r="J219">
            <v>324.01</v>
          </cell>
          <cell r="K219">
            <v>2</v>
          </cell>
          <cell r="L219">
            <v>1.87</v>
          </cell>
          <cell r="M219">
            <v>103.89</v>
          </cell>
        </row>
        <row r="219">
          <cell r="Q219" t="str">
            <v>yes</v>
          </cell>
          <cell r="R219" t="str">
            <v>all</v>
          </cell>
          <cell r="S219" t="str">
            <v>R</v>
          </cell>
          <cell r="T219" t="str">
            <v>R (QD-TEC)</v>
          </cell>
        </row>
        <row r="219">
          <cell r="V219">
            <v>72</v>
          </cell>
          <cell r="W219">
            <v>0</v>
          </cell>
          <cell r="X219">
            <v>322.21</v>
          </cell>
          <cell r="Y219">
            <v>324.01</v>
          </cell>
        </row>
        <row r="220">
          <cell r="A220">
            <v>219</v>
          </cell>
          <cell r="B220">
            <v>501</v>
          </cell>
          <cell r="C220" t="str">
            <v>M0112</v>
          </cell>
          <cell r="D220" t="str">
            <v>A</v>
          </cell>
          <cell r="E220" t="str">
            <v>501_M0112_A_219R</v>
          </cell>
          <cell r="F220">
            <v>45837.3263888889</v>
          </cell>
          <cell r="G220" t="str">
            <v>HK</v>
          </cell>
          <cell r="H220">
            <v>324.01</v>
          </cell>
          <cell r="I220">
            <v>2.2</v>
          </cell>
          <cell r="J220">
            <v>326.21</v>
          </cell>
          <cell r="K220">
            <v>2</v>
          </cell>
          <cell r="L220">
            <v>1.8</v>
          </cell>
          <cell r="M220">
            <v>81.82</v>
          </cell>
        </row>
        <row r="220">
          <cell r="P220" t="str">
            <v>Metal piecce from basket 8-13cm</v>
          </cell>
          <cell r="Q220" t="str">
            <v>yes</v>
          </cell>
          <cell r="R220" t="str">
            <v>all</v>
          </cell>
          <cell r="S220" t="str">
            <v>R</v>
          </cell>
          <cell r="T220" t="str">
            <v>R (QD-TEC)</v>
          </cell>
        </row>
        <row r="220">
          <cell r="V220">
            <v>72</v>
          </cell>
          <cell r="W220">
            <v>0</v>
          </cell>
          <cell r="X220">
            <v>324.01</v>
          </cell>
          <cell r="Y220">
            <v>326.21</v>
          </cell>
        </row>
        <row r="221">
          <cell r="A221">
            <v>220</v>
          </cell>
          <cell r="B221">
            <v>501</v>
          </cell>
          <cell r="C221" t="str">
            <v>M0112</v>
          </cell>
          <cell r="D221" t="str">
            <v>A</v>
          </cell>
          <cell r="E221" t="str">
            <v>501_M0112_A_220R</v>
          </cell>
          <cell r="F221">
            <v>45837.3854166667</v>
          </cell>
          <cell r="G221" t="str">
            <v>HK</v>
          </cell>
          <cell r="H221">
            <v>326.21</v>
          </cell>
          <cell r="I221">
            <v>2</v>
          </cell>
          <cell r="J221">
            <v>328.21</v>
          </cell>
          <cell r="K221">
            <v>0</v>
          </cell>
          <cell r="L221">
            <v>0</v>
          </cell>
          <cell r="M221">
            <v>0</v>
          </cell>
        </row>
        <row r="221">
          <cell r="P221" t="str">
            <v>no recovery</v>
          </cell>
          <cell r="Q221" t="str">
            <v>no</v>
          </cell>
          <cell r="R221" t="str">
            <v>none</v>
          </cell>
          <cell r="S221" t="str">
            <v>R</v>
          </cell>
          <cell r="T221" t="str">
            <v>R (QD-TEC)</v>
          </cell>
        </row>
        <row r="221">
          <cell r="V221">
            <v>72</v>
          </cell>
          <cell r="W221">
            <v>0</v>
          </cell>
          <cell r="X221">
            <v>326.21</v>
          </cell>
          <cell r="Y221">
            <v>328.21</v>
          </cell>
        </row>
        <row r="222">
          <cell r="A222">
            <v>221</v>
          </cell>
          <cell r="B222">
            <v>501</v>
          </cell>
          <cell r="C222" t="str">
            <v>M0112</v>
          </cell>
          <cell r="D222" t="str">
            <v>A</v>
          </cell>
          <cell r="E222" t="str">
            <v>501_M0112_A_221R</v>
          </cell>
          <cell r="F222">
            <v>45837.4131944444</v>
          </cell>
          <cell r="G222" t="str">
            <v>HK</v>
          </cell>
          <cell r="H222">
            <v>328.21</v>
          </cell>
          <cell r="I222">
            <v>0.5</v>
          </cell>
          <cell r="J222">
            <v>328.71</v>
          </cell>
          <cell r="K222">
            <v>1</v>
          </cell>
          <cell r="L222">
            <v>0.28</v>
          </cell>
          <cell r="M222">
            <v>56</v>
          </cell>
        </row>
        <row r="222">
          <cell r="P222" t="str">
            <v>End Of Hole</v>
          </cell>
          <cell r="Q222" t="str">
            <v>yes</v>
          </cell>
          <cell r="R222" t="str">
            <v>all</v>
          </cell>
          <cell r="S222" t="str">
            <v>R</v>
          </cell>
          <cell r="T222" t="str">
            <v>R (QD-TEC)</v>
          </cell>
        </row>
        <row r="222">
          <cell r="V222">
            <v>72</v>
          </cell>
          <cell r="W222">
            <v>0</v>
          </cell>
          <cell r="X222">
            <v>328.21</v>
          </cell>
          <cell r="Y222">
            <v>328.71</v>
          </cell>
        </row>
      </sheetData>
      <sheetData sheetId="9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M0112</v>
          </cell>
          <cell r="D2" t="str">
            <v>B</v>
          </cell>
          <cell r="E2" t="str">
            <v>501_M0112_B_001O</v>
          </cell>
          <cell r="F2">
            <v>45840.9305555556</v>
          </cell>
          <cell r="G2" t="str">
            <v>PFAF</v>
          </cell>
          <cell r="H2">
            <v>0</v>
          </cell>
          <cell r="I2">
            <v>28.22</v>
          </cell>
          <cell r="J2">
            <v>28.22</v>
          </cell>
          <cell r="K2">
            <v>0</v>
          </cell>
          <cell r="L2">
            <v>0</v>
          </cell>
          <cell r="M2">
            <v>0</v>
          </cell>
        </row>
        <row r="2">
          <cell r="P2" t="str">
            <v>open hole drilling</v>
          </cell>
          <cell r="Q2" t="str">
            <v>no</v>
          </cell>
          <cell r="R2" t="str">
            <v>none</v>
          </cell>
          <cell r="S2" t="str">
            <v>O</v>
          </cell>
          <cell r="T2" t="str">
            <v>O (QD-TEC)</v>
          </cell>
        </row>
        <row r="2">
          <cell r="V2">
            <v>72</v>
          </cell>
          <cell r="W2">
            <v>0</v>
          </cell>
          <cell r="X2">
            <v>0</v>
          </cell>
          <cell r="Y2">
            <v>28.22</v>
          </cell>
        </row>
        <row r="3">
          <cell r="A3">
            <v>2</v>
          </cell>
          <cell r="B3">
            <v>501</v>
          </cell>
          <cell r="C3" t="str">
            <v>M0112</v>
          </cell>
          <cell r="D3" t="str">
            <v>B</v>
          </cell>
          <cell r="E3" t="str">
            <v>501_M0112_B_002H</v>
          </cell>
          <cell r="F3">
            <v>45840.9513888889</v>
          </cell>
          <cell r="G3" t="str">
            <v>PFAF</v>
          </cell>
          <cell r="H3">
            <v>28.22</v>
          </cell>
          <cell r="I3">
            <v>2.17</v>
          </cell>
          <cell r="J3">
            <v>30.39</v>
          </cell>
          <cell r="K3">
            <v>2</v>
          </cell>
          <cell r="L3">
            <v>2.17</v>
          </cell>
          <cell r="M3">
            <v>100</v>
          </cell>
        </row>
        <row r="3"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</row>
        <row r="3">
          <cell r="V3">
            <v>72</v>
          </cell>
          <cell r="W3">
            <v>0</v>
          </cell>
          <cell r="X3">
            <v>28.22</v>
          </cell>
          <cell r="Y3">
            <v>30.39</v>
          </cell>
        </row>
        <row r="4">
          <cell r="A4">
            <v>3</v>
          </cell>
          <cell r="B4">
            <v>501</v>
          </cell>
          <cell r="C4" t="str">
            <v>M0112</v>
          </cell>
          <cell r="D4" t="str">
            <v>B</v>
          </cell>
          <cell r="E4" t="str">
            <v>501_M0112_B_003H</v>
          </cell>
          <cell r="F4">
            <v>45840.9756944444</v>
          </cell>
          <cell r="G4" t="str">
            <v>PFAF</v>
          </cell>
          <cell r="H4">
            <v>30.39</v>
          </cell>
          <cell r="I4">
            <v>1.66</v>
          </cell>
          <cell r="J4">
            <v>32.05</v>
          </cell>
          <cell r="K4">
            <v>2</v>
          </cell>
          <cell r="L4">
            <v>2.33</v>
          </cell>
          <cell r="M4">
            <v>140.36</v>
          </cell>
        </row>
        <row r="4">
          <cell r="P4" t="str">
            <v>top 0.67 m was infill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  <cell r="W4">
            <v>0</v>
          </cell>
          <cell r="X4">
            <v>30.39</v>
          </cell>
          <cell r="Y4">
            <v>32.05</v>
          </cell>
        </row>
        <row r="5">
          <cell r="A5">
            <v>4</v>
          </cell>
          <cell r="B5">
            <v>501</v>
          </cell>
          <cell r="C5" t="str">
            <v>M0112</v>
          </cell>
          <cell r="D5" t="str">
            <v>B</v>
          </cell>
          <cell r="E5" t="str">
            <v>501_M0112_B_004O</v>
          </cell>
          <cell r="F5">
            <v>45841.0104166667</v>
          </cell>
          <cell r="G5" t="str">
            <v>PFAF</v>
          </cell>
          <cell r="H5">
            <v>32.05</v>
          </cell>
          <cell r="I5">
            <v>21.95</v>
          </cell>
          <cell r="J5">
            <v>54</v>
          </cell>
          <cell r="K5">
            <v>0</v>
          </cell>
          <cell r="L5">
            <v>0</v>
          </cell>
          <cell r="M5">
            <v>0</v>
          </cell>
        </row>
        <row r="5">
          <cell r="P5" t="str">
            <v>open hole drilling</v>
          </cell>
          <cell r="Q5" t="str">
            <v>no</v>
          </cell>
          <cell r="R5" t="str">
            <v>none</v>
          </cell>
          <cell r="S5" t="str">
            <v>O</v>
          </cell>
          <cell r="T5" t="str">
            <v>O (QD-TEC)</v>
          </cell>
        </row>
        <row r="5">
          <cell r="V5">
            <v>72</v>
          </cell>
          <cell r="W5">
            <v>0</v>
          </cell>
          <cell r="X5">
            <v>32.05</v>
          </cell>
          <cell r="Y5">
            <v>54</v>
          </cell>
        </row>
        <row r="6">
          <cell r="A6">
            <v>5</v>
          </cell>
          <cell r="B6">
            <v>501</v>
          </cell>
          <cell r="C6" t="str">
            <v>M0112</v>
          </cell>
          <cell r="D6" t="str">
            <v>B</v>
          </cell>
          <cell r="E6" t="str">
            <v>501_M0112_B_005H</v>
          </cell>
          <cell r="F6">
            <v>45841.0277777778</v>
          </cell>
          <cell r="G6" t="str">
            <v>PFAF</v>
          </cell>
          <cell r="H6">
            <v>54</v>
          </cell>
          <cell r="I6">
            <v>1.52</v>
          </cell>
          <cell r="J6">
            <v>55.52</v>
          </cell>
          <cell r="K6">
            <v>2</v>
          </cell>
          <cell r="L6">
            <v>1.52</v>
          </cell>
          <cell r="M6">
            <v>100</v>
          </cell>
        </row>
        <row r="6"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</row>
        <row r="6">
          <cell r="V6">
            <v>72</v>
          </cell>
          <cell r="W6">
            <v>0</v>
          </cell>
          <cell r="X6">
            <v>54</v>
          </cell>
          <cell r="Y6">
            <v>55.52</v>
          </cell>
        </row>
        <row r="7">
          <cell r="A7">
            <v>6</v>
          </cell>
          <cell r="B7">
            <v>501</v>
          </cell>
          <cell r="C7" t="str">
            <v>M0112</v>
          </cell>
          <cell r="D7" t="str">
            <v>B</v>
          </cell>
          <cell r="E7" t="str">
            <v>501_M0112_B_006R</v>
          </cell>
          <cell r="F7">
            <v>45841.0902777778</v>
          </cell>
          <cell r="G7" t="str">
            <v>PFAF</v>
          </cell>
          <cell r="H7">
            <v>55.52</v>
          </cell>
          <cell r="I7">
            <v>1.3</v>
          </cell>
          <cell r="J7">
            <v>56.82</v>
          </cell>
          <cell r="K7">
            <v>1</v>
          </cell>
          <cell r="L7">
            <v>0.8</v>
          </cell>
          <cell r="M7">
            <v>61.54</v>
          </cell>
        </row>
        <row r="7">
          <cell r="P7" t="str">
            <v>probably top 72 cm infill</v>
          </cell>
          <cell r="Q7" t="str">
            <v>yes</v>
          </cell>
          <cell r="R7" t="str">
            <v>all</v>
          </cell>
          <cell r="S7" t="str">
            <v>R</v>
          </cell>
          <cell r="T7" t="str">
            <v>R (QD-TEC)</v>
          </cell>
        </row>
        <row r="7">
          <cell r="V7">
            <v>72</v>
          </cell>
          <cell r="W7">
            <v>0</v>
          </cell>
          <cell r="X7">
            <v>55.52</v>
          </cell>
          <cell r="Y7">
            <v>56.82</v>
          </cell>
        </row>
        <row r="8">
          <cell r="A8">
            <v>7</v>
          </cell>
          <cell r="B8">
            <v>501</v>
          </cell>
          <cell r="C8" t="str">
            <v>M0112</v>
          </cell>
          <cell r="D8" t="str">
            <v>B</v>
          </cell>
          <cell r="E8" t="str">
            <v>501_M0112_B_007R</v>
          </cell>
          <cell r="F8">
            <v>45841.1180555556</v>
          </cell>
          <cell r="G8" t="str">
            <v>PFAF</v>
          </cell>
          <cell r="H8">
            <v>56.82</v>
          </cell>
          <cell r="I8">
            <v>1.5</v>
          </cell>
          <cell r="J8">
            <v>58.32</v>
          </cell>
          <cell r="K8">
            <v>1</v>
          </cell>
          <cell r="L8">
            <v>0.58</v>
          </cell>
          <cell r="M8">
            <v>38.67</v>
          </cell>
        </row>
        <row r="8">
          <cell r="Q8" t="str">
            <v>yes</v>
          </cell>
          <cell r="R8" t="str">
            <v>all</v>
          </cell>
          <cell r="S8" t="str">
            <v>R</v>
          </cell>
          <cell r="T8" t="str">
            <v>R (QD-TEC)</v>
          </cell>
        </row>
        <row r="8">
          <cell r="V8">
            <v>72</v>
          </cell>
          <cell r="W8">
            <v>0</v>
          </cell>
          <cell r="X8">
            <v>56.82</v>
          </cell>
          <cell r="Y8">
            <v>58.32</v>
          </cell>
        </row>
        <row r="9">
          <cell r="A9">
            <v>8</v>
          </cell>
          <cell r="B9">
            <v>501</v>
          </cell>
          <cell r="C9" t="str">
            <v>M0112</v>
          </cell>
          <cell r="D9" t="str">
            <v>B</v>
          </cell>
          <cell r="E9" t="str">
            <v>501_M0112_B_008R</v>
          </cell>
          <cell r="F9">
            <v>45841.1423611111</v>
          </cell>
          <cell r="G9" t="str">
            <v>PFAF</v>
          </cell>
          <cell r="H9">
            <v>58.32</v>
          </cell>
          <cell r="I9">
            <v>1.5</v>
          </cell>
          <cell r="J9">
            <v>59.82</v>
          </cell>
          <cell r="K9">
            <v>1</v>
          </cell>
          <cell r="L9">
            <v>0.4</v>
          </cell>
          <cell r="M9">
            <v>26.67</v>
          </cell>
        </row>
        <row r="9">
          <cell r="Q9" t="str">
            <v>yes</v>
          </cell>
          <cell r="R9" t="str">
            <v>all</v>
          </cell>
          <cell r="S9" t="str">
            <v>R</v>
          </cell>
          <cell r="T9" t="str">
            <v>R (QD-TEC)</v>
          </cell>
        </row>
        <row r="9">
          <cell r="V9">
            <v>72</v>
          </cell>
          <cell r="W9">
            <v>0</v>
          </cell>
          <cell r="X9">
            <v>58.32</v>
          </cell>
          <cell r="Y9">
            <v>59.82</v>
          </cell>
        </row>
        <row r="10">
          <cell r="A10">
            <v>9</v>
          </cell>
          <cell r="B10">
            <v>501</v>
          </cell>
          <cell r="C10" t="str">
            <v>M0112</v>
          </cell>
          <cell r="D10" t="str">
            <v>B</v>
          </cell>
          <cell r="E10" t="str">
            <v>501_M0112_B_009R</v>
          </cell>
          <cell r="F10">
            <v>45841.2013888889</v>
          </cell>
          <cell r="G10" t="str">
            <v>HK</v>
          </cell>
          <cell r="H10">
            <v>59.82</v>
          </cell>
          <cell r="I10">
            <v>1.5</v>
          </cell>
          <cell r="J10">
            <v>61.32</v>
          </cell>
          <cell r="K10">
            <v>2</v>
          </cell>
          <cell r="L10">
            <v>1.58</v>
          </cell>
          <cell r="M10">
            <v>105.33</v>
          </cell>
        </row>
        <row r="10"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</row>
        <row r="10">
          <cell r="V10">
            <v>72</v>
          </cell>
          <cell r="W10">
            <v>0</v>
          </cell>
          <cell r="X10">
            <v>59.82</v>
          </cell>
          <cell r="Y10">
            <v>61.32</v>
          </cell>
        </row>
        <row r="11">
          <cell r="A11">
            <v>10</v>
          </cell>
          <cell r="B11">
            <v>501</v>
          </cell>
          <cell r="C11" t="str">
            <v>M0112</v>
          </cell>
          <cell r="D11" t="str">
            <v>B</v>
          </cell>
          <cell r="E11" t="str">
            <v>501_M0112_B_010R</v>
          </cell>
          <cell r="F11">
            <v>45841.25</v>
          </cell>
          <cell r="G11" t="str">
            <v>HK</v>
          </cell>
          <cell r="H11">
            <v>61.32</v>
          </cell>
          <cell r="I11">
            <v>1.9</v>
          </cell>
          <cell r="J11">
            <v>63.22</v>
          </cell>
          <cell r="K11">
            <v>1</v>
          </cell>
          <cell r="L11">
            <v>1.5</v>
          </cell>
          <cell r="M11">
            <v>78.95</v>
          </cell>
        </row>
        <row r="11">
          <cell r="Q11" t="str">
            <v>yes</v>
          </cell>
          <cell r="R11" t="str">
            <v>all</v>
          </cell>
          <cell r="S11" t="str">
            <v>R</v>
          </cell>
          <cell r="T11" t="str">
            <v>R (QD-TEC)</v>
          </cell>
        </row>
        <row r="11">
          <cell r="V11">
            <v>72</v>
          </cell>
          <cell r="W11">
            <v>0</v>
          </cell>
          <cell r="X11">
            <v>61.32</v>
          </cell>
          <cell r="Y11">
            <v>63.22</v>
          </cell>
        </row>
        <row r="12">
          <cell r="A12">
            <v>11</v>
          </cell>
          <cell r="B12">
            <v>501</v>
          </cell>
          <cell r="C12" t="str">
            <v>M0112</v>
          </cell>
          <cell r="D12" t="str">
            <v>B</v>
          </cell>
          <cell r="E12" t="str">
            <v>501_M0112_B_011O</v>
          </cell>
          <cell r="F12">
            <v>45842.4166666667</v>
          </cell>
          <cell r="G12" t="str">
            <v>HK</v>
          </cell>
          <cell r="H12">
            <v>63.22</v>
          </cell>
          <cell r="I12">
            <v>18.78</v>
          </cell>
          <cell r="J12">
            <v>82</v>
          </cell>
          <cell r="K12">
            <v>0</v>
          </cell>
          <cell r="L12">
            <v>0</v>
          </cell>
          <cell r="M12">
            <v>0</v>
          </cell>
        </row>
        <row r="12">
          <cell r="Q12" t="str">
            <v>no</v>
          </cell>
          <cell r="R12" t="str">
            <v>none</v>
          </cell>
          <cell r="S12" t="str">
            <v>O</v>
          </cell>
          <cell r="T12" t="str">
            <v>O (QD-TEC)</v>
          </cell>
        </row>
        <row r="12">
          <cell r="V12">
            <v>72</v>
          </cell>
          <cell r="W12">
            <v>0</v>
          </cell>
          <cell r="X12">
            <v>63.22</v>
          </cell>
          <cell r="Y12">
            <v>82</v>
          </cell>
        </row>
        <row r="13">
          <cell r="A13">
            <v>12</v>
          </cell>
          <cell r="B13">
            <v>501</v>
          </cell>
          <cell r="C13" t="str">
            <v>M0112</v>
          </cell>
          <cell r="D13" t="str">
            <v>B</v>
          </cell>
          <cell r="E13" t="str">
            <v>501_M0112_B_012R</v>
          </cell>
          <cell r="F13">
            <v>45842.46875</v>
          </cell>
          <cell r="G13" t="str">
            <v>HK</v>
          </cell>
          <cell r="H13">
            <v>82</v>
          </cell>
          <cell r="I13">
            <v>1.5</v>
          </cell>
          <cell r="J13">
            <v>83.5</v>
          </cell>
          <cell r="K13">
            <v>1</v>
          </cell>
          <cell r="L13">
            <v>1.48</v>
          </cell>
          <cell r="M13">
            <v>98.67</v>
          </cell>
        </row>
        <row r="13"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</row>
        <row r="13">
          <cell r="V13">
            <v>72</v>
          </cell>
          <cell r="W13">
            <v>0</v>
          </cell>
          <cell r="X13">
            <v>82</v>
          </cell>
          <cell r="Y13">
            <v>83.5</v>
          </cell>
        </row>
        <row r="14">
          <cell r="A14">
            <v>13</v>
          </cell>
          <cell r="B14">
            <v>501</v>
          </cell>
          <cell r="C14" t="str">
            <v>M0112</v>
          </cell>
          <cell r="D14" t="str">
            <v>B</v>
          </cell>
          <cell r="E14" t="str">
            <v>501_M0112_B_013R</v>
          </cell>
          <cell r="F14">
            <v>45842.5243055556</v>
          </cell>
          <cell r="G14" t="str">
            <v>HK</v>
          </cell>
          <cell r="H14">
            <v>83.5</v>
          </cell>
          <cell r="I14">
            <v>3</v>
          </cell>
          <cell r="J14">
            <v>86.5</v>
          </cell>
          <cell r="K14">
            <v>2</v>
          </cell>
          <cell r="L14">
            <v>2.52</v>
          </cell>
          <cell r="M14">
            <v>84</v>
          </cell>
        </row>
        <row r="14"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</row>
        <row r="14">
          <cell r="V14">
            <v>72</v>
          </cell>
          <cell r="W14">
            <v>0</v>
          </cell>
          <cell r="X14">
            <v>83.5</v>
          </cell>
          <cell r="Y14">
            <v>86.5</v>
          </cell>
        </row>
        <row r="15">
          <cell r="A15">
            <v>14</v>
          </cell>
          <cell r="B15">
            <v>501</v>
          </cell>
          <cell r="C15" t="str">
            <v>M0112</v>
          </cell>
          <cell r="D15" t="str">
            <v>B</v>
          </cell>
          <cell r="E15" t="str">
            <v>501_M0112_B_014R</v>
          </cell>
          <cell r="F15">
            <v>45842.5833333333</v>
          </cell>
          <cell r="G15" t="str">
            <v>HK</v>
          </cell>
          <cell r="H15">
            <v>86.5</v>
          </cell>
          <cell r="I15">
            <v>3</v>
          </cell>
          <cell r="J15">
            <v>89.5</v>
          </cell>
          <cell r="K15">
            <v>1</v>
          </cell>
          <cell r="L15">
            <v>1.25</v>
          </cell>
          <cell r="M15">
            <v>41.67</v>
          </cell>
        </row>
        <row r="15"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</row>
        <row r="15">
          <cell r="V15">
            <v>72</v>
          </cell>
          <cell r="W15">
            <v>0</v>
          </cell>
          <cell r="X15">
            <v>86.5</v>
          </cell>
          <cell r="Y15">
            <v>89.5</v>
          </cell>
        </row>
        <row r="16">
          <cell r="A16">
            <v>15</v>
          </cell>
          <cell r="B16">
            <v>501</v>
          </cell>
          <cell r="C16" t="str">
            <v>M0112</v>
          </cell>
          <cell r="D16" t="str">
            <v>B</v>
          </cell>
          <cell r="E16" t="str">
            <v>501_M0112_B_015R</v>
          </cell>
          <cell r="F16">
            <v>45842.6388888889</v>
          </cell>
          <cell r="G16" t="str">
            <v>HK</v>
          </cell>
          <cell r="H16">
            <v>89.5</v>
          </cell>
          <cell r="I16">
            <v>3</v>
          </cell>
          <cell r="J16">
            <v>92.5</v>
          </cell>
          <cell r="K16">
            <v>2</v>
          </cell>
          <cell r="L16">
            <v>2.77</v>
          </cell>
          <cell r="M16">
            <v>92.33</v>
          </cell>
        </row>
        <row r="16"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</row>
        <row r="16">
          <cell r="V16">
            <v>72</v>
          </cell>
          <cell r="W16">
            <v>0</v>
          </cell>
          <cell r="X16">
            <v>89.5</v>
          </cell>
          <cell r="Y16">
            <v>92.5</v>
          </cell>
        </row>
        <row r="17">
          <cell r="A17">
            <v>16</v>
          </cell>
          <cell r="B17">
            <v>501</v>
          </cell>
          <cell r="C17" t="str">
            <v>M0112</v>
          </cell>
          <cell r="D17" t="str">
            <v>B</v>
          </cell>
          <cell r="E17" t="str">
            <v>501_M0112_B_016R</v>
          </cell>
          <cell r="F17">
            <v>45842.7013888889</v>
          </cell>
          <cell r="G17" t="str">
            <v>PFAF</v>
          </cell>
          <cell r="H17">
            <v>92.5</v>
          </cell>
          <cell r="I17">
            <v>3</v>
          </cell>
          <cell r="J17">
            <v>95.5</v>
          </cell>
          <cell r="K17">
            <v>2</v>
          </cell>
          <cell r="L17">
            <v>2.41</v>
          </cell>
          <cell r="M17">
            <v>80.33</v>
          </cell>
        </row>
        <row r="17">
          <cell r="P17" t="str">
            <v>metal pieces in core</v>
          </cell>
          <cell r="Q17" t="str">
            <v>yes</v>
          </cell>
          <cell r="R17" t="str">
            <v>all</v>
          </cell>
          <cell r="S17" t="str">
            <v>R</v>
          </cell>
          <cell r="T17" t="str">
            <v>R (QD-TEC)</v>
          </cell>
        </row>
        <row r="17">
          <cell r="V17">
            <v>72</v>
          </cell>
          <cell r="W17">
            <v>0</v>
          </cell>
          <cell r="X17">
            <v>92.5</v>
          </cell>
          <cell r="Y17">
            <v>95.5</v>
          </cell>
        </row>
        <row r="18">
          <cell r="A18">
            <v>17</v>
          </cell>
          <cell r="B18">
            <v>501</v>
          </cell>
          <cell r="C18" t="str">
            <v>M0112</v>
          </cell>
          <cell r="D18" t="str">
            <v>B</v>
          </cell>
          <cell r="E18" t="str">
            <v>501_M0112_B_017R</v>
          </cell>
          <cell r="F18">
            <v>45842.7361111111</v>
          </cell>
          <cell r="G18" t="str">
            <v>PFAF</v>
          </cell>
          <cell r="H18">
            <v>95.5</v>
          </cell>
          <cell r="I18">
            <v>3</v>
          </cell>
          <cell r="J18">
            <v>98.5</v>
          </cell>
          <cell r="K18">
            <v>1</v>
          </cell>
          <cell r="L18">
            <v>1.41</v>
          </cell>
          <cell r="M18">
            <v>47</v>
          </cell>
        </row>
        <row r="18">
          <cell r="P18" t="str">
            <v>metal pieces in core</v>
          </cell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</row>
        <row r="18">
          <cell r="V18">
            <v>72</v>
          </cell>
          <cell r="W18">
            <v>0</v>
          </cell>
          <cell r="X18">
            <v>95.5</v>
          </cell>
          <cell r="Y18">
            <v>98.5</v>
          </cell>
        </row>
        <row r="19">
          <cell r="A19">
            <v>18</v>
          </cell>
          <cell r="B19">
            <v>501</v>
          </cell>
          <cell r="C19" t="str">
            <v>M0112</v>
          </cell>
          <cell r="D19" t="str">
            <v>B</v>
          </cell>
          <cell r="E19" t="str">
            <v>501_M0112_B_018R</v>
          </cell>
          <cell r="F19">
            <v>45842.7604166667</v>
          </cell>
          <cell r="G19" t="str">
            <v>PFAF</v>
          </cell>
          <cell r="H19">
            <v>98.5</v>
          </cell>
          <cell r="I19">
            <v>3</v>
          </cell>
          <cell r="J19">
            <v>101.5</v>
          </cell>
          <cell r="K19">
            <v>1</v>
          </cell>
          <cell r="L19">
            <v>0.32</v>
          </cell>
          <cell r="M19">
            <v>10.67</v>
          </cell>
        </row>
        <row r="19"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</row>
        <row r="19">
          <cell r="V19">
            <v>72</v>
          </cell>
          <cell r="W19">
            <v>0</v>
          </cell>
          <cell r="X19">
            <v>98.5</v>
          </cell>
          <cell r="Y19">
            <v>101.5</v>
          </cell>
        </row>
        <row r="20">
          <cell r="A20">
            <v>19</v>
          </cell>
          <cell r="B20">
            <v>501</v>
          </cell>
          <cell r="C20" t="str">
            <v>M0112</v>
          </cell>
          <cell r="D20" t="str">
            <v>B</v>
          </cell>
          <cell r="E20" t="str">
            <v>501_M0112_B_019R</v>
          </cell>
          <cell r="F20">
            <v>45842.7847222222</v>
          </cell>
          <cell r="G20" t="str">
            <v>PFAF</v>
          </cell>
          <cell r="H20">
            <v>101.5</v>
          </cell>
          <cell r="I20">
            <v>1.92</v>
          </cell>
          <cell r="J20">
            <v>103.42</v>
          </cell>
          <cell r="K20">
            <v>2</v>
          </cell>
          <cell r="L20">
            <v>1.05</v>
          </cell>
          <cell r="M20">
            <v>54.69</v>
          </cell>
        </row>
        <row r="20">
          <cell r="Q20" t="str">
            <v>yes</v>
          </cell>
          <cell r="R20" t="str">
            <v>all</v>
          </cell>
          <cell r="S20" t="str">
            <v>R</v>
          </cell>
          <cell r="T20" t="str">
            <v>R (QD-TEC)</v>
          </cell>
        </row>
        <row r="20">
          <cell r="V20">
            <v>72</v>
          </cell>
          <cell r="W20">
            <v>0</v>
          </cell>
          <cell r="X20">
            <v>101.5</v>
          </cell>
          <cell r="Y20">
            <v>103.42</v>
          </cell>
        </row>
        <row r="21">
          <cell r="A21">
            <v>20</v>
          </cell>
          <cell r="B21">
            <v>501</v>
          </cell>
          <cell r="C21" t="str">
            <v>M0112</v>
          </cell>
          <cell r="D21" t="str">
            <v>B</v>
          </cell>
          <cell r="E21" t="str">
            <v>501_M0112_B_020R</v>
          </cell>
          <cell r="F21">
            <v>45842.8090277778</v>
          </cell>
          <cell r="G21" t="str">
            <v>PFAF</v>
          </cell>
          <cell r="H21">
            <v>103.42</v>
          </cell>
          <cell r="I21">
            <v>1.4</v>
          </cell>
          <cell r="J21">
            <v>104.82</v>
          </cell>
          <cell r="K21">
            <v>1</v>
          </cell>
          <cell r="L21">
            <v>0.18</v>
          </cell>
          <cell r="M21">
            <v>12.86</v>
          </cell>
        </row>
        <row r="21">
          <cell r="Q21" t="str">
            <v>yes</v>
          </cell>
          <cell r="R21" t="str">
            <v>all</v>
          </cell>
          <cell r="S21" t="str">
            <v>R</v>
          </cell>
          <cell r="T21" t="str">
            <v>R (QD-TEC)</v>
          </cell>
        </row>
        <row r="21">
          <cell r="V21">
            <v>72</v>
          </cell>
          <cell r="W21">
            <v>0</v>
          </cell>
          <cell r="X21">
            <v>103.42</v>
          </cell>
          <cell r="Y21">
            <v>104.82</v>
          </cell>
        </row>
        <row r="22">
          <cell r="A22">
            <v>21</v>
          </cell>
          <cell r="B22">
            <v>501</v>
          </cell>
          <cell r="C22" t="str">
            <v>M0112</v>
          </cell>
          <cell r="D22" t="str">
            <v>B</v>
          </cell>
          <cell r="E22" t="str">
            <v>501_M0112_B_021R</v>
          </cell>
          <cell r="F22">
            <v>45842.8333333333</v>
          </cell>
          <cell r="G22" t="str">
            <v>PFAF</v>
          </cell>
          <cell r="H22">
            <v>104.82</v>
          </cell>
          <cell r="I22">
            <v>3</v>
          </cell>
          <cell r="J22">
            <v>107.82</v>
          </cell>
          <cell r="K22">
            <v>1</v>
          </cell>
          <cell r="L22">
            <v>0.24</v>
          </cell>
          <cell r="M22">
            <v>8</v>
          </cell>
        </row>
        <row r="22">
          <cell r="Q22" t="str">
            <v>yes</v>
          </cell>
          <cell r="R22" t="str">
            <v>all</v>
          </cell>
          <cell r="S22" t="str">
            <v>R</v>
          </cell>
          <cell r="T22" t="str">
            <v>R (QD-TEC)</v>
          </cell>
        </row>
        <row r="22">
          <cell r="V22">
            <v>72</v>
          </cell>
          <cell r="W22">
            <v>0</v>
          </cell>
          <cell r="X22">
            <v>104.82</v>
          </cell>
          <cell r="Y22">
            <v>107.82</v>
          </cell>
        </row>
        <row r="23">
          <cell r="A23">
            <v>22</v>
          </cell>
          <cell r="B23">
            <v>501</v>
          </cell>
          <cell r="C23" t="str">
            <v>M0112</v>
          </cell>
          <cell r="D23" t="str">
            <v>B</v>
          </cell>
          <cell r="E23" t="str">
            <v>501_M0112_B_022R</v>
          </cell>
          <cell r="F23">
            <v>45842.8576388889</v>
          </cell>
          <cell r="G23" t="str">
            <v>PFAF</v>
          </cell>
          <cell r="H23">
            <v>107.82</v>
          </cell>
          <cell r="I23">
            <v>1.15</v>
          </cell>
          <cell r="J23">
            <v>108.97</v>
          </cell>
          <cell r="K23">
            <v>1</v>
          </cell>
          <cell r="L23">
            <v>0.11</v>
          </cell>
          <cell r="M23">
            <v>9.57</v>
          </cell>
        </row>
        <row r="23">
          <cell r="Q23" t="str">
            <v>yes</v>
          </cell>
          <cell r="R23" t="str">
            <v>all</v>
          </cell>
          <cell r="S23" t="str">
            <v>R</v>
          </cell>
          <cell r="T23" t="str">
            <v>R (QD-TEC)</v>
          </cell>
        </row>
        <row r="23">
          <cell r="V23">
            <v>72</v>
          </cell>
          <cell r="W23">
            <v>0</v>
          </cell>
          <cell r="X23">
            <v>107.82</v>
          </cell>
          <cell r="Y23">
            <v>108.97</v>
          </cell>
        </row>
        <row r="24">
          <cell r="A24">
            <v>23</v>
          </cell>
          <cell r="B24">
            <v>501</v>
          </cell>
          <cell r="C24" t="str">
            <v>M0112</v>
          </cell>
          <cell r="D24" t="str">
            <v>B</v>
          </cell>
          <cell r="E24" t="str">
            <v>501_M0112_B_023R</v>
          </cell>
          <cell r="F24">
            <v>45842.8784722222</v>
          </cell>
          <cell r="G24" t="str">
            <v>PFAF</v>
          </cell>
          <cell r="H24">
            <v>108.97</v>
          </cell>
          <cell r="I24">
            <v>1.25</v>
          </cell>
          <cell r="J24">
            <v>110.22</v>
          </cell>
          <cell r="K24">
            <v>0</v>
          </cell>
          <cell r="L24">
            <v>0</v>
          </cell>
          <cell r="M24">
            <v>0</v>
          </cell>
        </row>
        <row r="24">
          <cell r="P24" t="str">
            <v>no recovery - mudsample for ROBIR</v>
          </cell>
          <cell r="Q24" t="str">
            <v>no</v>
          </cell>
          <cell r="R24" t="str">
            <v>none</v>
          </cell>
          <cell r="S24" t="str">
            <v>R</v>
          </cell>
          <cell r="T24" t="str">
            <v>R (QD-TEC)</v>
          </cell>
        </row>
        <row r="24">
          <cell r="V24">
            <v>72</v>
          </cell>
          <cell r="W24">
            <v>0</v>
          </cell>
          <cell r="X24">
            <v>108.97</v>
          </cell>
          <cell r="Y24">
            <v>110.22</v>
          </cell>
        </row>
        <row r="25">
          <cell r="A25">
            <v>24</v>
          </cell>
          <cell r="B25">
            <v>501</v>
          </cell>
          <cell r="C25" t="str">
            <v>M0112</v>
          </cell>
          <cell r="D25" t="str">
            <v>B</v>
          </cell>
          <cell r="E25" t="str">
            <v>501_M0112_B_024R</v>
          </cell>
          <cell r="F25">
            <v>45842.8993055556</v>
          </cell>
          <cell r="G25" t="str">
            <v>PFAF</v>
          </cell>
          <cell r="H25">
            <v>110.22</v>
          </cell>
          <cell r="I25">
            <v>0.6</v>
          </cell>
          <cell r="J25">
            <v>110.82</v>
          </cell>
          <cell r="K25">
            <v>1</v>
          </cell>
          <cell r="L25">
            <v>0.55</v>
          </cell>
          <cell r="M25">
            <v>91.67</v>
          </cell>
        </row>
        <row r="25">
          <cell r="Q25" t="str">
            <v>yes</v>
          </cell>
          <cell r="R25" t="str">
            <v>all</v>
          </cell>
          <cell r="S25" t="str">
            <v>R</v>
          </cell>
          <cell r="T25" t="str">
            <v>R (QD-TEC)</v>
          </cell>
        </row>
        <row r="25">
          <cell r="V25">
            <v>72</v>
          </cell>
          <cell r="W25">
            <v>0</v>
          </cell>
          <cell r="X25">
            <v>110.22</v>
          </cell>
          <cell r="Y25">
            <v>110.82</v>
          </cell>
        </row>
        <row r="26">
          <cell r="A26">
            <v>25</v>
          </cell>
          <cell r="B26">
            <v>501</v>
          </cell>
          <cell r="C26" t="str">
            <v>M0112</v>
          </cell>
          <cell r="D26" t="str">
            <v>B</v>
          </cell>
          <cell r="E26" t="str">
            <v>501_M0112_B_025O</v>
          </cell>
          <cell r="F26">
            <v>45843.2159722222</v>
          </cell>
          <cell r="G26" t="str">
            <v>HK</v>
          </cell>
          <cell r="H26">
            <v>80.82</v>
          </cell>
          <cell r="I26">
            <v>30</v>
          </cell>
          <cell r="J26">
            <v>110.82</v>
          </cell>
          <cell r="K26">
            <v>1</v>
          </cell>
          <cell r="L26">
            <v>30</v>
          </cell>
          <cell r="M26">
            <v>100</v>
          </cell>
        </row>
        <row r="26">
          <cell r="P26" t="str">
            <v>VIRTUAL CORE. Pump test</v>
          </cell>
        </row>
        <row r="26">
          <cell r="X26">
            <v>80.82</v>
          </cell>
          <cell r="Y26">
            <v>110.82</v>
          </cell>
        </row>
        <row r="27">
          <cell r="A27">
            <v>26</v>
          </cell>
          <cell r="B27">
            <v>501</v>
          </cell>
          <cell r="C27" t="str">
            <v>M0112</v>
          </cell>
          <cell r="D27" t="str">
            <v>B</v>
          </cell>
          <cell r="E27" t="str">
            <v>501_M0112_B_026O</v>
          </cell>
          <cell r="F27">
            <v>45844.7361111111</v>
          </cell>
          <cell r="G27" t="str">
            <v>PFAF</v>
          </cell>
          <cell r="H27">
            <v>110.82</v>
          </cell>
          <cell r="I27">
            <v>27.18</v>
          </cell>
          <cell r="J27">
            <v>138</v>
          </cell>
          <cell r="K27">
            <v>0</v>
          </cell>
          <cell r="L27">
            <v>0</v>
          </cell>
          <cell r="M27">
            <v>0</v>
          </cell>
        </row>
        <row r="27">
          <cell r="P27" t="str">
            <v>open hole drilling</v>
          </cell>
        </row>
        <row r="27">
          <cell r="X27">
            <v>110.82</v>
          </cell>
          <cell r="Y27">
            <v>138</v>
          </cell>
        </row>
        <row r="28">
          <cell r="A28">
            <v>27</v>
          </cell>
          <cell r="B28">
            <v>501</v>
          </cell>
          <cell r="C28" t="str">
            <v>M0112</v>
          </cell>
          <cell r="D28" t="str">
            <v>B</v>
          </cell>
          <cell r="E28" t="str">
            <v>501_M0112_B_027R</v>
          </cell>
          <cell r="F28">
            <v>45844.7604166667</v>
          </cell>
          <cell r="G28" t="str">
            <v>PFAF</v>
          </cell>
          <cell r="H28">
            <v>138</v>
          </cell>
          <cell r="I28">
            <v>3</v>
          </cell>
          <cell r="J28">
            <v>141</v>
          </cell>
          <cell r="K28">
            <v>2</v>
          </cell>
          <cell r="L28">
            <v>2.66</v>
          </cell>
          <cell r="M28">
            <v>88.67</v>
          </cell>
        </row>
        <row r="28"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</row>
        <row r="28">
          <cell r="V28">
            <v>72</v>
          </cell>
          <cell r="W28">
            <v>0</v>
          </cell>
          <cell r="X28">
            <v>138</v>
          </cell>
          <cell r="Y28">
            <v>141</v>
          </cell>
        </row>
        <row r="29">
          <cell r="A29">
            <v>28</v>
          </cell>
          <cell r="B29">
            <v>501</v>
          </cell>
          <cell r="C29" t="str">
            <v>M0112</v>
          </cell>
          <cell r="D29" t="str">
            <v>B</v>
          </cell>
          <cell r="E29" t="str">
            <v>501_M0112_B_028R</v>
          </cell>
          <cell r="F29">
            <v>45844.78125</v>
          </cell>
          <cell r="G29" t="str">
            <v>PFAF</v>
          </cell>
          <cell r="H29">
            <v>141</v>
          </cell>
          <cell r="I29">
            <v>3</v>
          </cell>
          <cell r="J29">
            <v>144</v>
          </cell>
          <cell r="K29">
            <v>3</v>
          </cell>
          <cell r="L29">
            <v>3.14</v>
          </cell>
          <cell r="M29">
            <v>104.67</v>
          </cell>
        </row>
        <row r="29"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</row>
        <row r="29">
          <cell r="V29">
            <v>72</v>
          </cell>
          <cell r="W29">
            <v>0</v>
          </cell>
          <cell r="X29">
            <v>141</v>
          </cell>
          <cell r="Y29">
            <v>144</v>
          </cell>
        </row>
        <row r="30">
          <cell r="A30">
            <v>29</v>
          </cell>
          <cell r="B30">
            <v>501</v>
          </cell>
          <cell r="C30" t="str">
            <v>M0112</v>
          </cell>
          <cell r="D30" t="str">
            <v>B</v>
          </cell>
          <cell r="E30" t="str">
            <v>501_M0112_B_029R</v>
          </cell>
          <cell r="F30">
            <v>45844.8090277778</v>
          </cell>
          <cell r="G30" t="str">
            <v>PFAF</v>
          </cell>
          <cell r="H30">
            <v>144</v>
          </cell>
          <cell r="I30">
            <v>3</v>
          </cell>
          <cell r="J30">
            <v>147</v>
          </cell>
          <cell r="K30">
            <v>3</v>
          </cell>
          <cell r="L30">
            <v>3.09</v>
          </cell>
          <cell r="M30">
            <v>103</v>
          </cell>
        </row>
        <row r="30"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</row>
        <row r="30">
          <cell r="V30">
            <v>72</v>
          </cell>
          <cell r="W30">
            <v>0</v>
          </cell>
          <cell r="X30">
            <v>144</v>
          </cell>
          <cell r="Y30">
            <v>147</v>
          </cell>
        </row>
        <row r="31">
          <cell r="A31">
            <v>30</v>
          </cell>
          <cell r="B31">
            <v>501</v>
          </cell>
          <cell r="C31" t="str">
            <v>M0112</v>
          </cell>
          <cell r="D31" t="str">
            <v>B</v>
          </cell>
          <cell r="E31" t="str">
            <v>501_M0112_B_030R</v>
          </cell>
          <cell r="F31">
            <v>45844.8298611111</v>
          </cell>
          <cell r="G31" t="str">
            <v>PFAF</v>
          </cell>
          <cell r="H31">
            <v>147</v>
          </cell>
          <cell r="I31">
            <v>2.37</v>
          </cell>
          <cell r="J31">
            <v>149.37</v>
          </cell>
          <cell r="K31">
            <v>2</v>
          </cell>
          <cell r="L31">
            <v>2.54</v>
          </cell>
          <cell r="M31">
            <v>107.17</v>
          </cell>
        </row>
        <row r="31"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</row>
        <row r="31">
          <cell r="V31">
            <v>72</v>
          </cell>
          <cell r="W31">
            <v>0</v>
          </cell>
          <cell r="X31">
            <v>147</v>
          </cell>
          <cell r="Y31">
            <v>149.37</v>
          </cell>
        </row>
        <row r="32">
          <cell r="A32">
            <v>31</v>
          </cell>
          <cell r="B32">
            <v>501</v>
          </cell>
          <cell r="C32" t="str">
            <v>M0112</v>
          </cell>
          <cell r="D32" t="str">
            <v>B</v>
          </cell>
          <cell r="E32" t="str">
            <v>501_M0112_B_031R</v>
          </cell>
          <cell r="F32">
            <v>45844.8715277778</v>
          </cell>
          <cell r="G32" t="str">
            <v>PFAF</v>
          </cell>
          <cell r="H32">
            <v>149.37</v>
          </cell>
          <cell r="I32">
            <v>1.7</v>
          </cell>
          <cell r="J32">
            <v>151.07</v>
          </cell>
          <cell r="K32">
            <v>2</v>
          </cell>
          <cell r="L32">
            <v>1.55</v>
          </cell>
          <cell r="M32">
            <v>91.18</v>
          </cell>
        </row>
        <row r="32">
          <cell r="Q32" t="str">
            <v>yes</v>
          </cell>
          <cell r="R32" t="str">
            <v>all</v>
          </cell>
          <cell r="S32" t="str">
            <v>R</v>
          </cell>
          <cell r="T32" t="str">
            <v>R (QD-TEC)</v>
          </cell>
        </row>
        <row r="32">
          <cell r="V32">
            <v>72</v>
          </cell>
          <cell r="W32">
            <v>0</v>
          </cell>
          <cell r="X32">
            <v>149.37</v>
          </cell>
          <cell r="Y32">
            <v>151.07</v>
          </cell>
        </row>
        <row r="33">
          <cell r="A33">
            <v>32</v>
          </cell>
          <cell r="B33">
            <v>501</v>
          </cell>
          <cell r="C33" t="str">
            <v>M0112</v>
          </cell>
          <cell r="D33" t="str">
            <v>B</v>
          </cell>
          <cell r="E33" t="str">
            <v>501_M0112_B_032O</v>
          </cell>
          <cell r="F33">
            <v>45844.9375</v>
          </cell>
          <cell r="G33" t="str">
            <v>PFAF</v>
          </cell>
          <cell r="H33">
            <v>151.07</v>
          </cell>
          <cell r="I33">
            <v>20.63</v>
          </cell>
          <cell r="J33">
            <v>171.7</v>
          </cell>
          <cell r="K33">
            <v>0</v>
          </cell>
          <cell r="L33">
            <v>0</v>
          </cell>
          <cell r="M33">
            <v>0</v>
          </cell>
        </row>
        <row r="33">
          <cell r="P33" t="str">
            <v>open hole drilling</v>
          </cell>
        </row>
        <row r="33">
          <cell r="X33">
            <v>151.07</v>
          </cell>
          <cell r="Y33">
            <v>171.7</v>
          </cell>
        </row>
        <row r="34">
          <cell r="A34">
            <v>33</v>
          </cell>
          <cell r="B34">
            <v>501</v>
          </cell>
          <cell r="C34" t="str">
            <v>M0112</v>
          </cell>
          <cell r="D34" t="str">
            <v>B</v>
          </cell>
          <cell r="E34" t="str">
            <v>501_M0112_B_033O</v>
          </cell>
          <cell r="F34">
            <v>45844.9791666667</v>
          </cell>
          <cell r="G34" t="str">
            <v>PFAF</v>
          </cell>
          <cell r="H34">
            <v>141.7</v>
          </cell>
          <cell r="I34">
            <v>30</v>
          </cell>
          <cell r="J34">
            <v>171.7</v>
          </cell>
          <cell r="K34">
            <v>1</v>
          </cell>
          <cell r="L34">
            <v>30</v>
          </cell>
          <cell r="M34">
            <v>100</v>
          </cell>
        </row>
        <row r="34">
          <cell r="P34" t="str">
            <v>VIRTUAL CORE. Pump test</v>
          </cell>
        </row>
        <row r="34">
          <cell r="X34">
            <v>141.7</v>
          </cell>
          <cell r="Y34">
            <v>171.7</v>
          </cell>
        </row>
        <row r="35">
          <cell r="A35">
            <v>34</v>
          </cell>
          <cell r="B35">
            <v>501</v>
          </cell>
          <cell r="C35" t="str">
            <v>M0112</v>
          </cell>
          <cell r="D35" t="str">
            <v>B</v>
          </cell>
          <cell r="E35" t="str">
            <v>501_M0112_B_034O</v>
          </cell>
          <cell r="F35">
            <v>45847.0833333333</v>
          </cell>
          <cell r="G35" t="str">
            <v>HK</v>
          </cell>
          <cell r="H35">
            <v>171.7</v>
          </cell>
          <cell r="I35">
            <v>28.3</v>
          </cell>
          <cell r="J35">
            <v>200</v>
          </cell>
          <cell r="K35">
            <v>0</v>
          </cell>
          <cell r="L35">
            <v>0</v>
          </cell>
          <cell r="M35">
            <v>0</v>
          </cell>
        </row>
        <row r="35">
          <cell r="P35" t="str">
            <v>non-coring assembly</v>
          </cell>
          <cell r="Q35" t="str">
            <v>no</v>
          </cell>
          <cell r="R35" t="str">
            <v>none</v>
          </cell>
          <cell r="S35" t="str">
            <v>O</v>
          </cell>
          <cell r="T35" t="str">
            <v>O (QD-TEC)</v>
          </cell>
        </row>
        <row r="35">
          <cell r="V35">
            <v>72</v>
          </cell>
          <cell r="W35">
            <v>0</v>
          </cell>
          <cell r="X35">
            <v>171.7</v>
          </cell>
          <cell r="Y35">
            <v>200</v>
          </cell>
        </row>
        <row r="36">
          <cell r="A36">
            <v>35</v>
          </cell>
          <cell r="B36">
            <v>501</v>
          </cell>
          <cell r="C36" t="str">
            <v>M0112</v>
          </cell>
          <cell r="D36" t="str">
            <v>B</v>
          </cell>
          <cell r="E36" t="str">
            <v>501_M0112_B_035R</v>
          </cell>
          <cell r="F36">
            <v>45847.5590277778</v>
          </cell>
          <cell r="G36" t="str">
            <v>HK</v>
          </cell>
          <cell r="H36">
            <v>200</v>
          </cell>
          <cell r="I36">
            <v>1.82</v>
          </cell>
          <cell r="J36">
            <v>201.82</v>
          </cell>
          <cell r="K36">
            <v>1</v>
          </cell>
          <cell r="L36">
            <v>0.27</v>
          </cell>
          <cell r="M36">
            <v>14.84</v>
          </cell>
        </row>
        <row r="36"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</row>
        <row r="36">
          <cell r="V36">
            <v>72</v>
          </cell>
          <cell r="W36">
            <v>0</v>
          </cell>
          <cell r="X36">
            <v>200</v>
          </cell>
          <cell r="Y36">
            <v>201.82</v>
          </cell>
        </row>
        <row r="37">
          <cell r="A37">
            <v>36</v>
          </cell>
          <cell r="B37">
            <v>501</v>
          </cell>
          <cell r="C37" t="str">
            <v>M0112</v>
          </cell>
          <cell r="D37" t="str">
            <v>B</v>
          </cell>
          <cell r="E37" t="str">
            <v>501_M0112_B_036R</v>
          </cell>
          <cell r="F37">
            <v>45847.6111111111</v>
          </cell>
          <cell r="G37" t="str">
            <v>HK</v>
          </cell>
          <cell r="H37">
            <v>201.82</v>
          </cell>
          <cell r="I37">
            <v>1.5</v>
          </cell>
          <cell r="J37">
            <v>203.32</v>
          </cell>
          <cell r="K37">
            <v>1</v>
          </cell>
          <cell r="L37">
            <v>0.15</v>
          </cell>
          <cell r="M37">
            <v>10</v>
          </cell>
        </row>
        <row r="37"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</row>
        <row r="37">
          <cell r="V37">
            <v>72</v>
          </cell>
          <cell r="W37">
            <v>0</v>
          </cell>
          <cell r="X37">
            <v>201.82</v>
          </cell>
          <cell r="Y37">
            <v>203.32</v>
          </cell>
        </row>
        <row r="38">
          <cell r="A38">
            <v>37</v>
          </cell>
          <cell r="B38">
            <v>501</v>
          </cell>
          <cell r="C38" t="str">
            <v>M0112</v>
          </cell>
          <cell r="D38" t="str">
            <v>B</v>
          </cell>
          <cell r="E38" t="str">
            <v>501_M0112_B_037R</v>
          </cell>
          <cell r="F38">
            <v>45847.6354166667</v>
          </cell>
          <cell r="G38" t="str">
            <v>HK</v>
          </cell>
          <cell r="H38">
            <v>203.32</v>
          </cell>
          <cell r="I38">
            <v>1.5</v>
          </cell>
          <cell r="J38">
            <v>204.82</v>
          </cell>
          <cell r="K38">
            <v>1</v>
          </cell>
          <cell r="L38">
            <v>0.45</v>
          </cell>
          <cell r="M38">
            <v>30</v>
          </cell>
        </row>
        <row r="38">
          <cell r="Q38" t="str">
            <v>yes</v>
          </cell>
          <cell r="R38" t="str">
            <v>all</v>
          </cell>
          <cell r="S38" t="str">
            <v>R</v>
          </cell>
          <cell r="T38" t="str">
            <v>R (QD-TEC)</v>
          </cell>
        </row>
        <row r="38">
          <cell r="V38">
            <v>72</v>
          </cell>
          <cell r="W38">
            <v>0</v>
          </cell>
          <cell r="X38">
            <v>203.32</v>
          </cell>
          <cell r="Y38">
            <v>204.82</v>
          </cell>
        </row>
        <row r="39">
          <cell r="A39">
            <v>38</v>
          </cell>
          <cell r="B39">
            <v>501</v>
          </cell>
          <cell r="C39" t="str">
            <v>M0112</v>
          </cell>
          <cell r="D39" t="str">
            <v>B</v>
          </cell>
          <cell r="E39" t="str">
            <v>501_M0112_B_038O</v>
          </cell>
          <cell r="F39">
            <v>45847.7361111111</v>
          </cell>
          <cell r="G39" t="str">
            <v>PFAF</v>
          </cell>
          <cell r="H39">
            <v>204.82</v>
          </cell>
          <cell r="I39">
            <v>25.5</v>
          </cell>
          <cell r="J39">
            <v>230.32</v>
          </cell>
          <cell r="K39">
            <v>0</v>
          </cell>
          <cell r="L39">
            <v>0</v>
          </cell>
          <cell r="M39">
            <v>0</v>
          </cell>
        </row>
        <row r="39">
          <cell r="P39" t="str">
            <v>non-coring assembly</v>
          </cell>
        </row>
        <row r="39">
          <cell r="X39">
            <v>204.82</v>
          </cell>
          <cell r="Y39">
            <v>230.32</v>
          </cell>
        </row>
        <row r="40">
          <cell r="A40">
            <v>39</v>
          </cell>
          <cell r="B40">
            <v>501</v>
          </cell>
          <cell r="C40" t="str">
            <v>M0112</v>
          </cell>
          <cell r="D40" t="str">
            <v>B</v>
          </cell>
          <cell r="E40" t="str">
            <v>501_M0112_B_039R</v>
          </cell>
          <cell r="F40">
            <v>45847.75</v>
          </cell>
          <cell r="G40" t="str">
            <v>PFAF</v>
          </cell>
          <cell r="H40">
            <v>230.32</v>
          </cell>
          <cell r="I40">
            <v>1.5</v>
          </cell>
          <cell r="J40">
            <v>231.82</v>
          </cell>
          <cell r="K40">
            <v>1</v>
          </cell>
          <cell r="L40">
            <v>1.07</v>
          </cell>
          <cell r="M40">
            <v>71.33</v>
          </cell>
        </row>
        <row r="40">
          <cell r="Q40" t="str">
            <v>yes</v>
          </cell>
          <cell r="R40" t="str">
            <v>all</v>
          </cell>
          <cell r="S40" t="str">
            <v>R</v>
          </cell>
          <cell r="T40" t="str">
            <v>R (QD-TEC)</v>
          </cell>
        </row>
        <row r="40">
          <cell r="V40">
            <v>72</v>
          </cell>
          <cell r="W40">
            <v>0</v>
          </cell>
          <cell r="X40">
            <v>230.32</v>
          </cell>
          <cell r="Y40">
            <v>231.82</v>
          </cell>
        </row>
        <row r="41">
          <cell r="A41">
            <v>40</v>
          </cell>
          <cell r="B41">
            <v>501</v>
          </cell>
          <cell r="C41" t="str">
            <v>M0112</v>
          </cell>
          <cell r="D41" t="str">
            <v>B</v>
          </cell>
          <cell r="E41" t="str">
            <v>501_M0112_B_040R</v>
          </cell>
          <cell r="F41">
            <v>45847.7951388889</v>
          </cell>
          <cell r="G41" t="str">
            <v>PFAF</v>
          </cell>
          <cell r="H41">
            <v>231.82</v>
          </cell>
          <cell r="I41">
            <v>3</v>
          </cell>
          <cell r="J41">
            <v>234.82</v>
          </cell>
          <cell r="K41">
            <v>2</v>
          </cell>
          <cell r="L41">
            <v>0.97</v>
          </cell>
          <cell r="M41">
            <v>32.33</v>
          </cell>
        </row>
        <row r="41">
          <cell r="Q41" t="str">
            <v>yes</v>
          </cell>
          <cell r="R41" t="str">
            <v>all</v>
          </cell>
          <cell r="S41" t="str">
            <v>R</v>
          </cell>
          <cell r="T41" t="str">
            <v>R (QD-TEC)</v>
          </cell>
        </row>
        <row r="41">
          <cell r="V41">
            <v>72</v>
          </cell>
          <cell r="W41">
            <v>0</v>
          </cell>
          <cell r="X41">
            <v>231.82</v>
          </cell>
          <cell r="Y41">
            <v>234.82</v>
          </cell>
        </row>
        <row r="42">
          <cell r="A42">
            <v>41</v>
          </cell>
          <cell r="B42">
            <v>501</v>
          </cell>
          <cell r="C42" t="str">
            <v>M0112</v>
          </cell>
          <cell r="D42" t="str">
            <v>B</v>
          </cell>
          <cell r="E42" t="str">
            <v>501_M0112_B_041R</v>
          </cell>
          <cell r="F42">
            <v>45847.8159722222</v>
          </cell>
          <cell r="G42" t="str">
            <v>PFAF</v>
          </cell>
          <cell r="H42">
            <v>234.82</v>
          </cell>
          <cell r="I42">
            <v>1.5</v>
          </cell>
          <cell r="J42">
            <v>236.32</v>
          </cell>
          <cell r="K42">
            <v>2</v>
          </cell>
          <cell r="L42">
            <v>1.43</v>
          </cell>
          <cell r="M42">
            <v>95.33</v>
          </cell>
        </row>
        <row r="42">
          <cell r="Q42" t="str">
            <v>yes</v>
          </cell>
          <cell r="R42" t="str">
            <v>all</v>
          </cell>
          <cell r="S42" t="str">
            <v>R</v>
          </cell>
          <cell r="T42" t="str">
            <v>R (QD-TEC)</v>
          </cell>
        </row>
        <row r="42">
          <cell r="V42">
            <v>72</v>
          </cell>
          <cell r="W42">
            <v>0</v>
          </cell>
          <cell r="X42">
            <v>234.82</v>
          </cell>
          <cell r="Y42">
            <v>236.32</v>
          </cell>
        </row>
        <row r="43">
          <cell r="A43">
            <v>42</v>
          </cell>
          <cell r="B43">
            <v>501</v>
          </cell>
          <cell r="C43" t="str">
            <v>M0112</v>
          </cell>
          <cell r="D43" t="str">
            <v>B</v>
          </cell>
          <cell r="E43" t="str">
            <v>501_M0112_B_042R</v>
          </cell>
          <cell r="F43">
            <v>45847.8298611111</v>
          </cell>
          <cell r="G43" t="str">
            <v>PFAF</v>
          </cell>
          <cell r="H43">
            <v>236.32</v>
          </cell>
          <cell r="I43">
            <v>1.5</v>
          </cell>
          <cell r="J43">
            <v>237.82</v>
          </cell>
          <cell r="K43">
            <v>2</v>
          </cell>
          <cell r="L43">
            <v>1.43</v>
          </cell>
          <cell r="M43">
            <v>95.33</v>
          </cell>
        </row>
        <row r="43">
          <cell r="Q43" t="str">
            <v>yes</v>
          </cell>
          <cell r="R43" t="str">
            <v>all</v>
          </cell>
          <cell r="S43" t="str">
            <v>R</v>
          </cell>
          <cell r="T43" t="str">
            <v>R (QD-TEC)</v>
          </cell>
        </row>
        <row r="43">
          <cell r="V43">
            <v>72</v>
          </cell>
          <cell r="W43">
            <v>0</v>
          </cell>
          <cell r="X43">
            <v>236.32</v>
          </cell>
          <cell r="Y43">
            <v>237.82</v>
          </cell>
        </row>
        <row r="44">
          <cell r="A44">
            <v>43</v>
          </cell>
          <cell r="B44">
            <v>501</v>
          </cell>
          <cell r="C44" t="str">
            <v>M0112</v>
          </cell>
          <cell r="D44" t="str">
            <v>B</v>
          </cell>
          <cell r="E44" t="str">
            <v>501_M0112_B_043R</v>
          </cell>
          <cell r="F44">
            <v>45847.8611111111</v>
          </cell>
          <cell r="G44" t="str">
            <v>PFAF</v>
          </cell>
          <cell r="H44">
            <v>237.82</v>
          </cell>
          <cell r="I44">
            <v>1.5</v>
          </cell>
          <cell r="J44">
            <v>239.32</v>
          </cell>
          <cell r="K44">
            <v>1</v>
          </cell>
          <cell r="L44">
            <v>1.08</v>
          </cell>
          <cell r="M44">
            <v>72</v>
          </cell>
        </row>
        <row r="44">
          <cell r="Q44" t="str">
            <v>yes</v>
          </cell>
          <cell r="R44" t="str">
            <v>all</v>
          </cell>
          <cell r="S44" t="str">
            <v>R</v>
          </cell>
          <cell r="T44" t="str">
            <v>R (QD-TEC)</v>
          </cell>
        </row>
        <row r="44">
          <cell r="V44">
            <v>72</v>
          </cell>
          <cell r="W44">
            <v>0</v>
          </cell>
          <cell r="X44">
            <v>237.82</v>
          </cell>
          <cell r="Y44">
            <v>239.32</v>
          </cell>
        </row>
        <row r="45">
          <cell r="A45">
            <v>44</v>
          </cell>
          <cell r="B45">
            <v>501</v>
          </cell>
          <cell r="C45" t="str">
            <v>M0112</v>
          </cell>
          <cell r="D45" t="str">
            <v>B</v>
          </cell>
          <cell r="E45" t="str">
            <v>501_M0112_B_044R</v>
          </cell>
          <cell r="F45">
            <v>45847.8819444444</v>
          </cell>
          <cell r="G45" t="str">
            <v>PFAF</v>
          </cell>
          <cell r="H45">
            <v>239.32</v>
          </cell>
          <cell r="I45">
            <v>1.5</v>
          </cell>
          <cell r="J45">
            <v>240.82</v>
          </cell>
          <cell r="K45">
            <v>1</v>
          </cell>
          <cell r="L45">
            <v>1.12</v>
          </cell>
          <cell r="M45">
            <v>74.67</v>
          </cell>
        </row>
        <row r="45">
          <cell r="Q45" t="str">
            <v>yes</v>
          </cell>
          <cell r="R45" t="str">
            <v>all</v>
          </cell>
          <cell r="S45" t="str">
            <v>R</v>
          </cell>
          <cell r="T45" t="str">
            <v>R (QD-TEC)</v>
          </cell>
        </row>
        <row r="45">
          <cell r="V45">
            <v>72</v>
          </cell>
          <cell r="W45">
            <v>0</v>
          </cell>
          <cell r="X45">
            <v>239.32</v>
          </cell>
          <cell r="Y45">
            <v>240.82</v>
          </cell>
        </row>
        <row r="46">
          <cell r="A46">
            <v>45</v>
          </cell>
          <cell r="B46">
            <v>501</v>
          </cell>
          <cell r="C46" t="str">
            <v>M0112</v>
          </cell>
          <cell r="D46" t="str">
            <v>B</v>
          </cell>
          <cell r="E46" t="str">
            <v>501_M0112_B_045R</v>
          </cell>
          <cell r="F46">
            <v>45847.8993055556</v>
          </cell>
          <cell r="G46" t="str">
            <v>PFAF</v>
          </cell>
          <cell r="H46">
            <v>240.82</v>
          </cell>
          <cell r="I46">
            <v>1.5</v>
          </cell>
          <cell r="J46">
            <v>242.32</v>
          </cell>
          <cell r="K46">
            <v>1</v>
          </cell>
          <cell r="L46">
            <v>1.24</v>
          </cell>
          <cell r="M46">
            <v>82.67</v>
          </cell>
        </row>
        <row r="46">
          <cell r="Q46" t="str">
            <v>yes</v>
          </cell>
          <cell r="R46" t="str">
            <v>all</v>
          </cell>
          <cell r="S46" t="str">
            <v>R</v>
          </cell>
          <cell r="T46" t="str">
            <v>R (QD-TEC)</v>
          </cell>
        </row>
        <row r="46">
          <cell r="V46">
            <v>72</v>
          </cell>
          <cell r="W46">
            <v>0</v>
          </cell>
          <cell r="X46">
            <v>240.82</v>
          </cell>
          <cell r="Y46">
            <v>242.32</v>
          </cell>
        </row>
        <row r="47">
          <cell r="A47">
            <v>46</v>
          </cell>
          <cell r="B47">
            <v>501</v>
          </cell>
          <cell r="C47" t="str">
            <v>M0112</v>
          </cell>
          <cell r="D47" t="str">
            <v>B</v>
          </cell>
          <cell r="E47" t="str">
            <v>501_M0112_B_046R</v>
          </cell>
          <cell r="F47">
            <v>45848.0381944444</v>
          </cell>
          <cell r="G47" t="str">
            <v>PFAF</v>
          </cell>
          <cell r="H47">
            <v>242.32</v>
          </cell>
          <cell r="I47">
            <v>1.5</v>
          </cell>
          <cell r="J47">
            <v>243.82</v>
          </cell>
          <cell r="K47">
            <v>1</v>
          </cell>
          <cell r="L47">
            <v>1.43</v>
          </cell>
          <cell r="M47">
            <v>95.33</v>
          </cell>
        </row>
        <row r="47">
          <cell r="Q47" t="str">
            <v>yes</v>
          </cell>
          <cell r="R47" t="str">
            <v>all</v>
          </cell>
          <cell r="S47" t="str">
            <v>R</v>
          </cell>
          <cell r="T47" t="str">
            <v>R (QD-TEC)</v>
          </cell>
        </row>
        <row r="47">
          <cell r="V47">
            <v>72</v>
          </cell>
          <cell r="W47">
            <v>0</v>
          </cell>
          <cell r="X47">
            <v>242.32</v>
          </cell>
          <cell r="Y47">
            <v>243.82</v>
          </cell>
        </row>
        <row r="48">
          <cell r="A48">
            <v>47</v>
          </cell>
          <cell r="B48">
            <v>501</v>
          </cell>
          <cell r="C48" t="str">
            <v>M0112</v>
          </cell>
          <cell r="D48" t="str">
            <v>B</v>
          </cell>
          <cell r="E48" t="str">
            <v>501_M0112_B_047R</v>
          </cell>
          <cell r="F48">
            <v>45848.0694444444</v>
          </cell>
          <cell r="G48" t="str">
            <v>PFAF</v>
          </cell>
          <cell r="H48">
            <v>243.82</v>
          </cell>
          <cell r="I48">
            <v>1.5</v>
          </cell>
          <cell r="J48">
            <v>245.32</v>
          </cell>
          <cell r="K48">
            <v>1</v>
          </cell>
          <cell r="L48">
            <v>0.11</v>
          </cell>
          <cell r="M48">
            <v>7.33</v>
          </cell>
        </row>
        <row r="48">
          <cell r="P48" t="str">
            <v>heavily disturbed</v>
          </cell>
          <cell r="Q48" t="str">
            <v>yes</v>
          </cell>
          <cell r="R48" t="str">
            <v>all</v>
          </cell>
          <cell r="S48" t="str">
            <v>R</v>
          </cell>
          <cell r="T48" t="str">
            <v>R (QD-TEC)</v>
          </cell>
        </row>
        <row r="48">
          <cell r="V48">
            <v>72</v>
          </cell>
          <cell r="W48">
            <v>0</v>
          </cell>
          <cell r="X48">
            <v>243.82</v>
          </cell>
          <cell r="Y48">
            <v>245.32</v>
          </cell>
        </row>
        <row r="49">
          <cell r="A49">
            <v>48</v>
          </cell>
          <cell r="B49">
            <v>501</v>
          </cell>
          <cell r="C49" t="str">
            <v>M0112</v>
          </cell>
          <cell r="D49" t="str">
            <v>B</v>
          </cell>
          <cell r="E49" t="str">
            <v>501_M0112_B_048R</v>
          </cell>
          <cell r="F49">
            <v>45848.1354166667</v>
          </cell>
          <cell r="G49" t="str">
            <v>PFAF</v>
          </cell>
          <cell r="H49">
            <v>245.32</v>
          </cell>
          <cell r="I49">
            <v>1.5</v>
          </cell>
          <cell r="J49">
            <v>246.82</v>
          </cell>
          <cell r="K49">
            <v>1</v>
          </cell>
          <cell r="L49">
            <v>0.13</v>
          </cell>
          <cell r="M49">
            <v>8.67</v>
          </cell>
        </row>
        <row r="49">
          <cell r="P49" t="str">
            <v>disturbed</v>
          </cell>
          <cell r="Q49" t="str">
            <v>yes</v>
          </cell>
          <cell r="R49" t="str">
            <v>all</v>
          </cell>
          <cell r="S49" t="str">
            <v>R</v>
          </cell>
          <cell r="T49" t="str">
            <v>R (QD-TEC)</v>
          </cell>
        </row>
        <row r="49">
          <cell r="V49">
            <v>72</v>
          </cell>
          <cell r="W49">
            <v>0</v>
          </cell>
          <cell r="X49">
            <v>245.32</v>
          </cell>
          <cell r="Y49">
            <v>246.82</v>
          </cell>
        </row>
        <row r="50">
          <cell r="A50">
            <v>49</v>
          </cell>
          <cell r="B50">
            <v>501</v>
          </cell>
          <cell r="C50" t="str">
            <v>M0112</v>
          </cell>
          <cell r="D50" t="str">
            <v>B</v>
          </cell>
          <cell r="E50" t="str">
            <v>501_M0112_B_049R</v>
          </cell>
          <cell r="F50">
            <v>45848.1944444444</v>
          </cell>
          <cell r="G50" t="str">
            <v>GEPR</v>
          </cell>
          <cell r="H50">
            <v>246.82</v>
          </cell>
          <cell r="I50">
            <v>3</v>
          </cell>
          <cell r="J50">
            <v>249.82</v>
          </cell>
          <cell r="K50">
            <v>3</v>
          </cell>
          <cell r="L50">
            <v>2.03</v>
          </cell>
          <cell r="M50">
            <v>67.67</v>
          </cell>
        </row>
        <row r="50">
          <cell r="Q50" t="str">
            <v>yes</v>
          </cell>
          <cell r="R50" t="str">
            <v>all</v>
          </cell>
          <cell r="S50" t="str">
            <v>R</v>
          </cell>
          <cell r="T50" t="str">
            <v>R (QD-TEC)</v>
          </cell>
        </row>
        <row r="50">
          <cell r="V50">
            <v>72</v>
          </cell>
          <cell r="W50">
            <v>0</v>
          </cell>
          <cell r="X50">
            <v>246.82</v>
          </cell>
          <cell r="Y50">
            <v>249.82</v>
          </cell>
        </row>
        <row r="51">
          <cell r="A51">
            <v>50</v>
          </cell>
          <cell r="B51">
            <v>501</v>
          </cell>
          <cell r="C51" t="str">
            <v>M0112</v>
          </cell>
          <cell r="D51" t="str">
            <v>B</v>
          </cell>
          <cell r="E51" t="str">
            <v>501_M0112_B_050R</v>
          </cell>
          <cell r="F51">
            <v>45848.2291666667</v>
          </cell>
          <cell r="G51" t="str">
            <v>GEPR</v>
          </cell>
          <cell r="H51">
            <v>249.82</v>
          </cell>
          <cell r="I51">
            <v>1</v>
          </cell>
          <cell r="J51">
            <v>250.82</v>
          </cell>
          <cell r="K51">
            <v>1</v>
          </cell>
          <cell r="L51">
            <v>0.42</v>
          </cell>
          <cell r="M51">
            <v>42</v>
          </cell>
        </row>
        <row r="51">
          <cell r="Q51" t="str">
            <v>yes</v>
          </cell>
          <cell r="R51" t="str">
            <v>all</v>
          </cell>
          <cell r="S51" t="str">
            <v>R</v>
          </cell>
          <cell r="T51" t="str">
            <v>R (QD-TEC)</v>
          </cell>
        </row>
        <row r="51">
          <cell r="V51">
            <v>72</v>
          </cell>
          <cell r="W51">
            <v>0</v>
          </cell>
          <cell r="X51">
            <v>249.82</v>
          </cell>
          <cell r="Y51">
            <v>250.82</v>
          </cell>
        </row>
        <row r="52">
          <cell r="A52">
            <v>51</v>
          </cell>
          <cell r="B52">
            <v>501</v>
          </cell>
          <cell r="C52" t="str">
            <v>M0112</v>
          </cell>
          <cell r="D52" t="str">
            <v>B</v>
          </cell>
          <cell r="E52" t="str">
            <v>501_M0112_B_051R</v>
          </cell>
          <cell r="F52">
            <v>45848.2916666667</v>
          </cell>
          <cell r="G52" t="str">
            <v>GEPR</v>
          </cell>
          <cell r="H52">
            <v>250.82</v>
          </cell>
          <cell r="I52">
            <v>2</v>
          </cell>
          <cell r="J52">
            <v>252.82</v>
          </cell>
          <cell r="K52">
            <v>1</v>
          </cell>
          <cell r="L52">
            <v>0.29</v>
          </cell>
          <cell r="M52">
            <v>14.5</v>
          </cell>
        </row>
        <row r="52"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</row>
        <row r="52">
          <cell r="V52">
            <v>72</v>
          </cell>
          <cell r="W52">
            <v>0</v>
          </cell>
          <cell r="X52">
            <v>250.82</v>
          </cell>
          <cell r="Y52">
            <v>252.82</v>
          </cell>
        </row>
        <row r="53">
          <cell r="A53">
            <v>52</v>
          </cell>
          <cell r="B53">
            <v>501</v>
          </cell>
          <cell r="C53" t="str">
            <v>M0112</v>
          </cell>
          <cell r="D53" t="str">
            <v>B</v>
          </cell>
          <cell r="E53" t="str">
            <v>501_M0112_B_052R</v>
          </cell>
          <cell r="F53">
            <v>45848.4722222222</v>
          </cell>
          <cell r="G53" t="str">
            <v>GEPR</v>
          </cell>
          <cell r="H53">
            <v>252.82</v>
          </cell>
          <cell r="I53">
            <v>1.6</v>
          </cell>
          <cell r="J53">
            <v>254.42</v>
          </cell>
          <cell r="K53">
            <v>1</v>
          </cell>
          <cell r="L53">
            <v>0.16</v>
          </cell>
          <cell r="M53">
            <v>10</v>
          </cell>
        </row>
        <row r="53">
          <cell r="Q53" t="str">
            <v>yes</v>
          </cell>
          <cell r="R53" t="str">
            <v>all</v>
          </cell>
          <cell r="S53" t="str">
            <v>R</v>
          </cell>
          <cell r="T53" t="str">
            <v>R (QD-TEC)</v>
          </cell>
        </row>
        <row r="53">
          <cell r="V53">
            <v>72</v>
          </cell>
          <cell r="W53">
            <v>0</v>
          </cell>
          <cell r="X53">
            <v>252.82</v>
          </cell>
          <cell r="Y53">
            <v>254.42</v>
          </cell>
        </row>
        <row r="54">
          <cell r="A54">
            <v>53</v>
          </cell>
          <cell r="B54">
            <v>501</v>
          </cell>
          <cell r="C54" t="str">
            <v>M0112</v>
          </cell>
          <cell r="D54" t="str">
            <v>B</v>
          </cell>
          <cell r="E54" t="str">
            <v>501_M0112_B_053R</v>
          </cell>
          <cell r="F54">
            <v>45848.5347222222</v>
          </cell>
          <cell r="G54" t="str">
            <v>GEPR</v>
          </cell>
          <cell r="H54">
            <v>254.42</v>
          </cell>
          <cell r="I54">
            <v>1.4</v>
          </cell>
          <cell r="J54">
            <v>255.82</v>
          </cell>
          <cell r="K54">
            <v>1</v>
          </cell>
          <cell r="L54">
            <v>0.12</v>
          </cell>
          <cell r="M54">
            <v>8.57</v>
          </cell>
        </row>
        <row r="54"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</row>
        <row r="54">
          <cell r="V54">
            <v>72</v>
          </cell>
          <cell r="W54">
            <v>0</v>
          </cell>
          <cell r="X54">
            <v>254.42</v>
          </cell>
          <cell r="Y54">
            <v>255.82</v>
          </cell>
        </row>
        <row r="55">
          <cell r="A55">
            <v>54</v>
          </cell>
          <cell r="B55">
            <v>501</v>
          </cell>
          <cell r="C55" t="str">
            <v>M0112</v>
          </cell>
          <cell r="D55" t="str">
            <v>B</v>
          </cell>
          <cell r="E55" t="str">
            <v>501_M0112_B_054O</v>
          </cell>
          <cell r="F55">
            <v>45848.7291666667</v>
          </cell>
          <cell r="G55" t="str">
            <v>PFAF</v>
          </cell>
          <cell r="H55">
            <v>235.82</v>
          </cell>
          <cell r="I55">
            <v>20</v>
          </cell>
          <cell r="J55">
            <v>255.82</v>
          </cell>
          <cell r="K55">
            <v>1</v>
          </cell>
          <cell r="L55">
            <v>20</v>
          </cell>
          <cell r="M55">
            <v>100</v>
          </cell>
        </row>
        <row r="55">
          <cell r="P55" t="str">
            <v>VIRTUAL CORE. Pump test</v>
          </cell>
        </row>
        <row r="55">
          <cell r="X55">
            <v>235.82</v>
          </cell>
          <cell r="Y55">
            <v>255.82</v>
          </cell>
        </row>
        <row r="56">
          <cell r="A56">
            <v>55</v>
          </cell>
          <cell r="B56">
            <v>501</v>
          </cell>
          <cell r="C56" t="str">
            <v>M0112</v>
          </cell>
          <cell r="D56" t="str">
            <v>B</v>
          </cell>
          <cell r="E56" t="str">
            <v>501_M0112_B_055O</v>
          </cell>
          <cell r="F56">
            <v>45850.1527777778</v>
          </cell>
          <cell r="G56" t="str">
            <v>PFAF</v>
          </cell>
          <cell r="H56">
            <v>255.82</v>
          </cell>
          <cell r="I56">
            <v>66</v>
          </cell>
          <cell r="J56">
            <v>321.82</v>
          </cell>
          <cell r="K56">
            <v>0</v>
          </cell>
          <cell r="L56">
            <v>0</v>
          </cell>
          <cell r="M56">
            <v>0</v>
          </cell>
        </row>
        <row r="56">
          <cell r="P56" t="str">
            <v>open hole drilling</v>
          </cell>
        </row>
        <row r="56">
          <cell r="X56">
            <v>255.82</v>
          </cell>
          <cell r="Y56">
            <v>321.82</v>
          </cell>
        </row>
        <row r="57">
          <cell r="A57">
            <v>56</v>
          </cell>
          <cell r="B57">
            <v>501</v>
          </cell>
          <cell r="C57" t="str">
            <v>M0112</v>
          </cell>
          <cell r="D57" t="str">
            <v>B</v>
          </cell>
          <cell r="E57" t="str">
            <v>501_M0112_B_056R</v>
          </cell>
          <cell r="F57">
            <v>45850.2118055556</v>
          </cell>
          <cell r="G57" t="str">
            <v>GEPR</v>
          </cell>
          <cell r="H57">
            <v>321.82</v>
          </cell>
          <cell r="I57">
            <v>1.8</v>
          </cell>
          <cell r="J57">
            <v>323.62</v>
          </cell>
          <cell r="K57">
            <v>3</v>
          </cell>
          <cell r="L57">
            <v>1.89</v>
          </cell>
          <cell r="M57">
            <v>105</v>
          </cell>
        </row>
        <row r="57">
          <cell r="Q57" t="str">
            <v>no</v>
          </cell>
          <cell r="R57" t="str">
            <v>all</v>
          </cell>
          <cell r="S57" t="str">
            <v>R</v>
          </cell>
          <cell r="T57" t="str">
            <v>R (QD-TEC)</v>
          </cell>
        </row>
        <row r="57">
          <cell r="V57">
            <v>72</v>
          </cell>
          <cell r="W57">
            <v>0</v>
          </cell>
          <cell r="X57">
            <v>321.82</v>
          </cell>
          <cell r="Y57">
            <v>323.62</v>
          </cell>
        </row>
        <row r="58">
          <cell r="A58">
            <v>57</v>
          </cell>
          <cell r="B58">
            <v>501</v>
          </cell>
          <cell r="C58" t="str">
            <v>M0112</v>
          </cell>
          <cell r="D58" t="str">
            <v>B</v>
          </cell>
          <cell r="E58" t="str">
            <v>501_M0112_B_057R</v>
          </cell>
          <cell r="F58">
            <v>45850.2604166667</v>
          </cell>
          <cell r="G58" t="str">
            <v>GEPR</v>
          </cell>
          <cell r="H58">
            <v>323.62</v>
          </cell>
          <cell r="I58">
            <v>1.2</v>
          </cell>
          <cell r="J58">
            <v>324.82</v>
          </cell>
          <cell r="K58">
            <v>2</v>
          </cell>
          <cell r="L58">
            <v>0.93</v>
          </cell>
          <cell r="M58">
            <v>77.5</v>
          </cell>
        </row>
        <row r="58">
          <cell r="P58" t="str">
            <v>MUD sample from barrel</v>
          </cell>
          <cell r="Q58" t="str">
            <v>no</v>
          </cell>
          <cell r="R58" t="str">
            <v>all</v>
          </cell>
          <cell r="S58" t="str">
            <v>R</v>
          </cell>
          <cell r="T58" t="str">
            <v>R (QD-TEC)</v>
          </cell>
        </row>
        <row r="58">
          <cell r="V58">
            <v>72</v>
          </cell>
          <cell r="W58">
            <v>0</v>
          </cell>
          <cell r="X58">
            <v>323.62</v>
          </cell>
          <cell r="Y58">
            <v>324.82</v>
          </cell>
        </row>
        <row r="59">
          <cell r="A59">
            <v>58</v>
          </cell>
          <cell r="B59">
            <v>501</v>
          </cell>
          <cell r="C59" t="str">
            <v>M0112</v>
          </cell>
          <cell r="D59" t="str">
            <v>B</v>
          </cell>
          <cell r="E59" t="str">
            <v>501_M0112_B_058R</v>
          </cell>
          <cell r="F59">
            <v>45850.2847222222</v>
          </cell>
          <cell r="G59" t="str">
            <v>GEPR</v>
          </cell>
          <cell r="H59">
            <v>324.82</v>
          </cell>
          <cell r="I59">
            <v>3</v>
          </cell>
          <cell r="J59">
            <v>327.82</v>
          </cell>
          <cell r="K59">
            <v>1</v>
          </cell>
          <cell r="L59">
            <v>0.89</v>
          </cell>
          <cell r="M59">
            <v>29.67</v>
          </cell>
        </row>
        <row r="59">
          <cell r="Q59" t="str">
            <v>no</v>
          </cell>
          <cell r="R59" t="str">
            <v>all</v>
          </cell>
          <cell r="S59" t="str">
            <v>R</v>
          </cell>
          <cell r="T59" t="str">
            <v>R (QD-TEC)</v>
          </cell>
        </row>
        <row r="59">
          <cell r="V59">
            <v>72</v>
          </cell>
          <cell r="W59">
            <v>0</v>
          </cell>
          <cell r="X59">
            <v>324.82</v>
          </cell>
          <cell r="Y59">
            <v>327.82</v>
          </cell>
        </row>
        <row r="60">
          <cell r="A60">
            <v>59</v>
          </cell>
          <cell r="B60">
            <v>501</v>
          </cell>
          <cell r="C60" t="str">
            <v>M0112</v>
          </cell>
          <cell r="D60" t="str">
            <v>B</v>
          </cell>
          <cell r="E60" t="str">
            <v>501_M0112_B_059R</v>
          </cell>
          <cell r="F60">
            <v>45850.3263888889</v>
          </cell>
          <cell r="G60" t="str">
            <v>GEPR</v>
          </cell>
          <cell r="H60">
            <v>327.82</v>
          </cell>
          <cell r="I60">
            <v>1.5</v>
          </cell>
          <cell r="J60">
            <v>329.32</v>
          </cell>
          <cell r="K60">
            <v>1</v>
          </cell>
          <cell r="L60">
            <v>0.09</v>
          </cell>
          <cell r="M60">
            <v>6</v>
          </cell>
        </row>
        <row r="60">
          <cell r="Q60" t="str">
            <v>no</v>
          </cell>
          <cell r="R60" t="str">
            <v>all</v>
          </cell>
          <cell r="S60" t="str">
            <v>R</v>
          </cell>
          <cell r="T60" t="str">
            <v>R (QD-TEC)</v>
          </cell>
        </row>
        <row r="60">
          <cell r="V60">
            <v>72</v>
          </cell>
          <cell r="W60">
            <v>0</v>
          </cell>
          <cell r="X60">
            <v>327.82</v>
          </cell>
          <cell r="Y60">
            <v>329.32</v>
          </cell>
        </row>
        <row r="61">
          <cell r="A61">
            <v>60</v>
          </cell>
          <cell r="B61">
            <v>501</v>
          </cell>
          <cell r="C61" t="str">
            <v>M0112</v>
          </cell>
          <cell r="D61" t="str">
            <v>B</v>
          </cell>
          <cell r="E61" t="str">
            <v>501_M0112_B_060R</v>
          </cell>
          <cell r="F61">
            <v>45850.3888888889</v>
          </cell>
          <cell r="G61" t="str">
            <v>GEPR</v>
          </cell>
          <cell r="H61">
            <v>329.32</v>
          </cell>
          <cell r="I61">
            <v>1.5</v>
          </cell>
          <cell r="J61">
            <v>330.82</v>
          </cell>
          <cell r="K61">
            <v>1</v>
          </cell>
          <cell r="L61">
            <v>0.01</v>
          </cell>
          <cell r="M61">
            <v>0.67</v>
          </cell>
        </row>
        <row r="61">
          <cell r="P61" t="str">
            <v>all to PAL</v>
          </cell>
          <cell r="Q61" t="str">
            <v>no</v>
          </cell>
          <cell r="R61" t="str">
            <v>none</v>
          </cell>
          <cell r="S61" t="str">
            <v>R</v>
          </cell>
          <cell r="T61" t="str">
            <v>R (QD-TEC)</v>
          </cell>
        </row>
        <row r="61">
          <cell r="V61">
            <v>72</v>
          </cell>
          <cell r="W61">
            <v>0</v>
          </cell>
          <cell r="X61">
            <v>329.32</v>
          </cell>
          <cell r="Y61">
            <v>330.82</v>
          </cell>
        </row>
        <row r="62">
          <cell r="A62">
            <v>61</v>
          </cell>
          <cell r="B62">
            <v>501</v>
          </cell>
          <cell r="C62" t="str">
            <v>M0112</v>
          </cell>
          <cell r="D62" t="str">
            <v>B</v>
          </cell>
          <cell r="E62" t="str">
            <v>501_M0112_B_061R</v>
          </cell>
          <cell r="F62">
            <v>45850.4270833333</v>
          </cell>
          <cell r="G62" t="str">
            <v>GEPR</v>
          </cell>
          <cell r="H62">
            <v>330.82</v>
          </cell>
          <cell r="I62">
            <v>0.8</v>
          </cell>
          <cell r="J62">
            <v>331.62</v>
          </cell>
          <cell r="K62">
            <v>1</v>
          </cell>
          <cell r="L62">
            <v>0.62</v>
          </cell>
          <cell r="M62">
            <v>77.5</v>
          </cell>
        </row>
        <row r="62">
          <cell r="Q62" t="str">
            <v>no</v>
          </cell>
          <cell r="R62" t="str">
            <v>all</v>
          </cell>
          <cell r="S62" t="str">
            <v>R</v>
          </cell>
          <cell r="T62" t="str">
            <v>R (QD-TEC)</v>
          </cell>
        </row>
        <row r="62">
          <cell r="V62">
            <v>72</v>
          </cell>
          <cell r="W62">
            <v>0</v>
          </cell>
          <cell r="X62">
            <v>330.82</v>
          </cell>
          <cell r="Y62">
            <v>331.62</v>
          </cell>
        </row>
        <row r="63">
          <cell r="A63">
            <v>62</v>
          </cell>
          <cell r="B63">
            <v>501</v>
          </cell>
          <cell r="C63" t="str">
            <v>M0112</v>
          </cell>
          <cell r="D63" t="str">
            <v>B</v>
          </cell>
          <cell r="E63" t="str">
            <v>501_M0112_B_062R</v>
          </cell>
          <cell r="F63">
            <v>45850.4791666667</v>
          </cell>
          <cell r="G63" t="str">
            <v>GEPR</v>
          </cell>
          <cell r="H63">
            <v>331.62</v>
          </cell>
          <cell r="I63">
            <v>2.2</v>
          </cell>
          <cell r="J63">
            <v>333.82</v>
          </cell>
          <cell r="K63">
            <v>0</v>
          </cell>
          <cell r="L63">
            <v>0</v>
          </cell>
          <cell r="M63">
            <v>0</v>
          </cell>
        </row>
        <row r="63">
          <cell r="P63" t="str">
            <v>no recovery</v>
          </cell>
          <cell r="Q63" t="str">
            <v>no</v>
          </cell>
          <cell r="R63" t="str">
            <v>none</v>
          </cell>
          <cell r="S63" t="str">
            <v>R</v>
          </cell>
          <cell r="T63" t="str">
            <v>R (QD-TEC)</v>
          </cell>
        </row>
        <row r="63">
          <cell r="V63">
            <v>72</v>
          </cell>
          <cell r="W63">
            <v>0</v>
          </cell>
          <cell r="X63">
            <v>331.62</v>
          </cell>
          <cell r="Y63">
            <v>333.82</v>
          </cell>
        </row>
        <row r="64">
          <cell r="A64">
            <v>63</v>
          </cell>
          <cell r="B64">
            <v>501</v>
          </cell>
          <cell r="C64" t="str">
            <v>M0112</v>
          </cell>
          <cell r="D64" t="str">
            <v>B</v>
          </cell>
          <cell r="E64" t="str">
            <v>501_M0112_B_063R</v>
          </cell>
          <cell r="F64">
            <v>45850.5173611111</v>
          </cell>
          <cell r="G64" t="str">
            <v>GEPR</v>
          </cell>
          <cell r="H64">
            <v>333.82</v>
          </cell>
          <cell r="I64">
            <v>1.5</v>
          </cell>
          <cell r="J64">
            <v>335.32</v>
          </cell>
          <cell r="K64">
            <v>1</v>
          </cell>
          <cell r="L64">
            <v>0.84</v>
          </cell>
          <cell r="M64">
            <v>56</v>
          </cell>
        </row>
        <row r="64">
          <cell r="Q64" t="str">
            <v>no</v>
          </cell>
          <cell r="R64" t="str">
            <v>all</v>
          </cell>
          <cell r="S64" t="str">
            <v>R</v>
          </cell>
          <cell r="T64" t="str">
            <v>R (QD-TEC)</v>
          </cell>
        </row>
        <row r="64">
          <cell r="V64">
            <v>72</v>
          </cell>
          <cell r="W64">
            <v>0</v>
          </cell>
          <cell r="X64">
            <v>333.82</v>
          </cell>
          <cell r="Y64">
            <v>335.32</v>
          </cell>
        </row>
        <row r="65">
          <cell r="A65">
            <v>64</v>
          </cell>
          <cell r="B65">
            <v>501</v>
          </cell>
          <cell r="C65" t="str">
            <v>M0112</v>
          </cell>
          <cell r="D65" t="str">
            <v>B</v>
          </cell>
          <cell r="E65" t="str">
            <v>501_M0112_B_064R</v>
          </cell>
          <cell r="F65">
            <v>45850.5625</v>
          </cell>
          <cell r="G65" t="str">
            <v>GEPR</v>
          </cell>
          <cell r="H65">
            <v>335.32</v>
          </cell>
          <cell r="I65">
            <v>1.5</v>
          </cell>
          <cell r="J65">
            <v>336.82</v>
          </cell>
          <cell r="K65">
            <v>1</v>
          </cell>
          <cell r="L65">
            <v>0.93</v>
          </cell>
          <cell r="M65">
            <v>62</v>
          </cell>
        </row>
        <row r="65">
          <cell r="Q65" t="str">
            <v>no</v>
          </cell>
          <cell r="R65" t="str">
            <v>all</v>
          </cell>
          <cell r="S65" t="str">
            <v>R</v>
          </cell>
          <cell r="T65" t="str">
            <v>R (QD-TEC)</v>
          </cell>
        </row>
        <row r="65">
          <cell r="V65">
            <v>72</v>
          </cell>
          <cell r="W65">
            <v>0</v>
          </cell>
          <cell r="X65">
            <v>335.32</v>
          </cell>
          <cell r="Y65">
            <v>336.82</v>
          </cell>
        </row>
        <row r="66">
          <cell r="A66">
            <v>65</v>
          </cell>
          <cell r="B66">
            <v>501</v>
          </cell>
          <cell r="C66" t="str">
            <v>M0112</v>
          </cell>
          <cell r="D66" t="str">
            <v>B</v>
          </cell>
          <cell r="E66" t="str">
            <v>501_M0112_B_065R</v>
          </cell>
          <cell r="F66">
            <v>45850.5868055556</v>
          </cell>
          <cell r="G66" t="str">
            <v>GEPR</v>
          </cell>
          <cell r="H66">
            <v>336.82</v>
          </cell>
          <cell r="I66">
            <v>1.5</v>
          </cell>
          <cell r="J66">
            <v>338.32</v>
          </cell>
          <cell r="K66">
            <v>1</v>
          </cell>
          <cell r="L66">
            <v>1</v>
          </cell>
          <cell r="M66">
            <v>66.67</v>
          </cell>
        </row>
        <row r="66">
          <cell r="Q66" t="str">
            <v>no</v>
          </cell>
          <cell r="R66" t="str">
            <v>all</v>
          </cell>
          <cell r="S66" t="str">
            <v>R</v>
          </cell>
          <cell r="T66" t="str">
            <v>R (QD-TEC)</v>
          </cell>
        </row>
        <row r="66">
          <cell r="V66">
            <v>72</v>
          </cell>
          <cell r="W66">
            <v>0</v>
          </cell>
          <cell r="X66">
            <v>336.82</v>
          </cell>
          <cell r="Y66">
            <v>338.32</v>
          </cell>
        </row>
        <row r="67">
          <cell r="A67">
            <v>66</v>
          </cell>
          <cell r="B67">
            <v>501</v>
          </cell>
          <cell r="C67" t="str">
            <v>M0112</v>
          </cell>
          <cell r="D67" t="str">
            <v>B</v>
          </cell>
          <cell r="E67" t="str">
            <v>501_M0112_B_066R</v>
          </cell>
          <cell r="F67">
            <v>45850.6388888889</v>
          </cell>
          <cell r="G67" t="str">
            <v>GEPR</v>
          </cell>
          <cell r="H67">
            <v>338.32</v>
          </cell>
          <cell r="I67">
            <v>1.5</v>
          </cell>
          <cell r="J67">
            <v>339.82</v>
          </cell>
          <cell r="K67">
            <v>0</v>
          </cell>
          <cell r="L67">
            <v>0</v>
          </cell>
          <cell r="M67">
            <v>0</v>
          </cell>
        </row>
        <row r="67">
          <cell r="P67" t="str">
            <v>no recovery</v>
          </cell>
          <cell r="Q67" t="str">
            <v>no</v>
          </cell>
          <cell r="R67" t="str">
            <v>none</v>
          </cell>
          <cell r="S67" t="str">
            <v>R</v>
          </cell>
          <cell r="T67" t="str">
            <v>R (QD-TEC)</v>
          </cell>
        </row>
        <row r="67">
          <cell r="V67">
            <v>72</v>
          </cell>
          <cell r="W67">
            <v>0</v>
          </cell>
          <cell r="X67">
            <v>338.32</v>
          </cell>
          <cell r="Y67">
            <v>339.82</v>
          </cell>
        </row>
      </sheetData>
      <sheetData sheetId="10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M0113</v>
          </cell>
          <cell r="D2" t="str">
            <v>A</v>
          </cell>
          <cell r="E2" t="str">
            <v>501_M0113_A_001H</v>
          </cell>
          <cell r="F2">
            <v>45853.9340277778</v>
          </cell>
          <cell r="G2" t="str">
            <v>PFAF</v>
          </cell>
          <cell r="H2">
            <v>0</v>
          </cell>
          <cell r="I2">
            <v>2.9</v>
          </cell>
          <cell r="J2">
            <v>2.9</v>
          </cell>
          <cell r="K2">
            <v>2</v>
          </cell>
          <cell r="L2">
            <v>2.9</v>
          </cell>
          <cell r="M2">
            <v>100</v>
          </cell>
        </row>
        <row r="2"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</row>
        <row r="2">
          <cell r="V2">
            <v>72</v>
          </cell>
          <cell r="W2">
            <v>0</v>
          </cell>
          <cell r="X2">
            <v>0</v>
          </cell>
          <cell r="Y2">
            <v>2.9</v>
          </cell>
        </row>
        <row r="3">
          <cell r="A3">
            <v>2</v>
          </cell>
          <cell r="B3">
            <v>501</v>
          </cell>
          <cell r="C3" t="str">
            <v>M0113</v>
          </cell>
          <cell r="D3" t="str">
            <v>A</v>
          </cell>
          <cell r="E3" t="str">
            <v>501_M0113_A_002H</v>
          </cell>
          <cell r="F3">
            <v>45853.9652777778</v>
          </cell>
          <cell r="G3" t="str">
            <v>PFAF</v>
          </cell>
          <cell r="H3">
            <v>2.9</v>
          </cell>
          <cell r="I3">
            <v>2.4</v>
          </cell>
          <cell r="J3">
            <v>5.3</v>
          </cell>
          <cell r="K3">
            <v>2</v>
          </cell>
          <cell r="L3">
            <v>2.4</v>
          </cell>
          <cell r="M3">
            <v>100</v>
          </cell>
        </row>
        <row r="3"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</row>
        <row r="3">
          <cell r="V3">
            <v>72</v>
          </cell>
          <cell r="W3">
            <v>0</v>
          </cell>
          <cell r="X3">
            <v>2.9</v>
          </cell>
          <cell r="Y3">
            <v>5.3</v>
          </cell>
        </row>
        <row r="4">
          <cell r="A4">
            <v>3</v>
          </cell>
          <cell r="B4">
            <v>501</v>
          </cell>
          <cell r="C4" t="str">
            <v>M0113</v>
          </cell>
          <cell r="D4" t="str">
            <v>A</v>
          </cell>
          <cell r="E4" t="str">
            <v>501_M0113_A_003H</v>
          </cell>
          <cell r="F4">
            <v>45853.9930555556</v>
          </cell>
          <cell r="G4" t="str">
            <v>PFAF</v>
          </cell>
          <cell r="H4">
            <v>5.3</v>
          </cell>
          <cell r="I4">
            <v>2.7</v>
          </cell>
          <cell r="J4">
            <v>8</v>
          </cell>
          <cell r="K4">
            <v>2</v>
          </cell>
          <cell r="L4">
            <v>2.7</v>
          </cell>
          <cell r="M4">
            <v>100</v>
          </cell>
        </row>
        <row r="4"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  <cell r="W4">
            <v>0</v>
          </cell>
          <cell r="X4">
            <v>5.3</v>
          </cell>
          <cell r="Y4">
            <v>8</v>
          </cell>
        </row>
        <row r="5">
          <cell r="A5">
            <v>4</v>
          </cell>
          <cell r="B5">
            <v>501</v>
          </cell>
          <cell r="C5" t="str">
            <v>M0113</v>
          </cell>
          <cell r="D5" t="str">
            <v>A</v>
          </cell>
          <cell r="E5" t="str">
            <v>501_M0113_A_004H</v>
          </cell>
          <cell r="F5">
            <v>45854.0243055556</v>
          </cell>
          <cell r="G5" t="str">
            <v>PFAF</v>
          </cell>
          <cell r="H5">
            <v>8</v>
          </cell>
          <cell r="I5">
            <v>2.5</v>
          </cell>
          <cell r="J5">
            <v>10.5</v>
          </cell>
          <cell r="K5">
            <v>2</v>
          </cell>
          <cell r="L5">
            <v>2.5</v>
          </cell>
          <cell r="M5">
            <v>100</v>
          </cell>
        </row>
        <row r="5"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</row>
        <row r="5">
          <cell r="V5">
            <v>72</v>
          </cell>
          <cell r="W5">
            <v>0</v>
          </cell>
          <cell r="X5">
            <v>8</v>
          </cell>
          <cell r="Y5">
            <v>10.5</v>
          </cell>
        </row>
        <row r="6">
          <cell r="A6">
            <v>5</v>
          </cell>
          <cell r="B6">
            <v>501</v>
          </cell>
          <cell r="C6" t="str">
            <v>M0113</v>
          </cell>
          <cell r="D6" t="str">
            <v>A</v>
          </cell>
          <cell r="E6" t="str">
            <v>501_M0113_A_005H</v>
          </cell>
          <cell r="F6">
            <v>45854.0590277778</v>
          </cell>
          <cell r="G6" t="str">
            <v>PFAF</v>
          </cell>
          <cell r="H6">
            <v>10.5</v>
          </cell>
          <cell r="I6">
            <v>0.5</v>
          </cell>
          <cell r="J6">
            <v>11</v>
          </cell>
          <cell r="K6">
            <v>1</v>
          </cell>
          <cell r="L6">
            <v>0.5</v>
          </cell>
          <cell r="M6">
            <v>100</v>
          </cell>
        </row>
        <row r="6">
          <cell r="P6" t="str">
            <v>watery</v>
          </cell>
        </row>
        <row r="6">
          <cell r="X6">
            <v>10.5</v>
          </cell>
        </row>
        <row r="7">
          <cell r="A7">
            <v>6</v>
          </cell>
          <cell r="B7">
            <v>501</v>
          </cell>
          <cell r="C7" t="str">
            <v>M0113</v>
          </cell>
          <cell r="D7" t="str">
            <v>A</v>
          </cell>
          <cell r="E7" t="str">
            <v>501_M0113_A_006H</v>
          </cell>
          <cell r="F7">
            <v>45854.0972222222</v>
          </cell>
          <cell r="G7" t="str">
            <v>PFAF</v>
          </cell>
          <cell r="H7">
            <v>11</v>
          </cell>
          <cell r="I7">
            <v>2.77</v>
          </cell>
          <cell r="J7">
            <v>13.77</v>
          </cell>
          <cell r="K7">
            <v>2</v>
          </cell>
          <cell r="L7">
            <v>2.77</v>
          </cell>
          <cell r="M7">
            <v>100</v>
          </cell>
        </row>
        <row r="7"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</row>
        <row r="7">
          <cell r="V7">
            <v>72</v>
          </cell>
          <cell r="W7">
            <v>0</v>
          </cell>
          <cell r="X7">
            <v>11</v>
          </cell>
          <cell r="Y7">
            <v>13.77</v>
          </cell>
        </row>
        <row r="8">
          <cell r="A8">
            <v>7</v>
          </cell>
          <cell r="B8">
            <v>501</v>
          </cell>
          <cell r="C8" t="str">
            <v>M0113</v>
          </cell>
          <cell r="D8" t="str">
            <v>A</v>
          </cell>
          <cell r="E8" t="str">
            <v>501_M0113_A_007H</v>
          </cell>
          <cell r="F8">
            <v>45854.1388888889</v>
          </cell>
          <cell r="G8" t="str">
            <v>PFAF</v>
          </cell>
          <cell r="H8">
            <v>13.77</v>
          </cell>
          <cell r="I8">
            <v>2.11</v>
          </cell>
          <cell r="J8">
            <v>15.88</v>
          </cell>
          <cell r="K8">
            <v>2</v>
          </cell>
          <cell r="L8">
            <v>2.11</v>
          </cell>
          <cell r="M8">
            <v>100</v>
          </cell>
        </row>
        <row r="8"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</row>
        <row r="8">
          <cell r="V8">
            <v>72</v>
          </cell>
          <cell r="W8">
            <v>0</v>
          </cell>
          <cell r="X8">
            <v>13.77</v>
          </cell>
          <cell r="Y8">
            <v>15.88</v>
          </cell>
        </row>
        <row r="9">
          <cell r="A9">
            <v>8</v>
          </cell>
          <cell r="B9">
            <v>501</v>
          </cell>
          <cell r="C9" t="str">
            <v>M0113</v>
          </cell>
          <cell r="D9" t="str">
            <v>A</v>
          </cell>
          <cell r="E9" t="str">
            <v>501_M0113_A_008H</v>
          </cell>
          <cell r="F9">
            <v>45854.1909722222</v>
          </cell>
          <cell r="G9" t="str">
            <v>GEPR</v>
          </cell>
          <cell r="H9">
            <v>15.88</v>
          </cell>
          <cell r="I9">
            <v>1.35</v>
          </cell>
          <cell r="J9">
            <v>17.23</v>
          </cell>
          <cell r="K9">
            <v>1</v>
          </cell>
          <cell r="L9">
            <v>1.35</v>
          </cell>
          <cell r="M9">
            <v>100</v>
          </cell>
        </row>
        <row r="9">
          <cell r="P9" t="str">
            <v>disturbed</v>
          </cell>
          <cell r="Q9" t="str">
            <v>yes</v>
          </cell>
          <cell r="R9" t="str">
            <v>all</v>
          </cell>
          <cell r="S9" t="str">
            <v>H</v>
          </cell>
          <cell r="T9" t="str">
            <v>H (QD-TEC)</v>
          </cell>
        </row>
        <row r="9">
          <cell r="V9">
            <v>72</v>
          </cell>
          <cell r="W9">
            <v>0</v>
          </cell>
          <cell r="X9">
            <v>15.88</v>
          </cell>
          <cell r="Y9">
            <v>17.23</v>
          </cell>
        </row>
        <row r="10">
          <cell r="A10">
            <v>9</v>
          </cell>
          <cell r="B10">
            <v>501</v>
          </cell>
          <cell r="C10" t="str">
            <v>M0113</v>
          </cell>
          <cell r="D10" t="str">
            <v>A</v>
          </cell>
          <cell r="E10" t="str">
            <v>501_M0113_A_009H</v>
          </cell>
          <cell r="F10">
            <v>45854.2256944444</v>
          </cell>
          <cell r="G10" t="str">
            <v>GEPR</v>
          </cell>
          <cell r="H10">
            <v>17.23</v>
          </cell>
          <cell r="I10">
            <v>1.96</v>
          </cell>
          <cell r="J10">
            <v>19.19</v>
          </cell>
          <cell r="K10">
            <v>2</v>
          </cell>
          <cell r="L10">
            <v>1.96</v>
          </cell>
          <cell r="M10">
            <v>100</v>
          </cell>
        </row>
        <row r="10">
          <cell r="P10" t="str">
            <v>disturbed</v>
          </cell>
          <cell r="Q10" t="str">
            <v>yes</v>
          </cell>
          <cell r="R10" t="str">
            <v>all</v>
          </cell>
          <cell r="S10" t="str">
            <v>H</v>
          </cell>
          <cell r="T10" t="str">
            <v>H (QD-TEC)</v>
          </cell>
        </row>
        <row r="10">
          <cell r="V10">
            <v>72</v>
          </cell>
          <cell r="W10">
            <v>0</v>
          </cell>
          <cell r="X10">
            <v>17.23</v>
          </cell>
          <cell r="Y10">
            <v>19.19</v>
          </cell>
        </row>
        <row r="11">
          <cell r="A11">
            <v>10</v>
          </cell>
          <cell r="B11">
            <v>501</v>
          </cell>
          <cell r="C11" t="str">
            <v>M0113</v>
          </cell>
          <cell r="D11" t="str">
            <v>A</v>
          </cell>
          <cell r="E11" t="str">
            <v>501_M0113_A_010H</v>
          </cell>
          <cell r="F11">
            <v>45854.2569444444</v>
          </cell>
          <cell r="G11" t="str">
            <v>GEPR</v>
          </cell>
          <cell r="H11">
            <v>19.19</v>
          </cell>
          <cell r="I11">
            <v>2.19</v>
          </cell>
          <cell r="J11">
            <v>21.38</v>
          </cell>
          <cell r="K11">
            <v>2</v>
          </cell>
          <cell r="L11">
            <v>2.19</v>
          </cell>
          <cell r="M11">
            <v>100</v>
          </cell>
        </row>
        <row r="11">
          <cell r="P11" t="str">
            <v>disturbed</v>
          </cell>
          <cell r="Q11" t="str">
            <v>yes</v>
          </cell>
          <cell r="R11" t="str">
            <v>all</v>
          </cell>
          <cell r="S11" t="str">
            <v>H</v>
          </cell>
          <cell r="T11" t="str">
            <v>H (QD-TEC)</v>
          </cell>
        </row>
        <row r="11">
          <cell r="V11">
            <v>72</v>
          </cell>
          <cell r="W11">
            <v>0</v>
          </cell>
          <cell r="X11">
            <v>19.19</v>
          </cell>
          <cell r="Y11">
            <v>21.38</v>
          </cell>
        </row>
        <row r="12">
          <cell r="A12">
            <v>11</v>
          </cell>
          <cell r="B12">
            <v>501</v>
          </cell>
          <cell r="C12" t="str">
            <v>M0113</v>
          </cell>
          <cell r="D12" t="str">
            <v>A</v>
          </cell>
          <cell r="E12" t="str">
            <v>501_M0113_A_011H</v>
          </cell>
          <cell r="F12">
            <v>45854.2986111111</v>
          </cell>
          <cell r="G12" t="str">
            <v>GEPR</v>
          </cell>
          <cell r="H12">
            <v>21.38</v>
          </cell>
          <cell r="I12">
            <v>1.13</v>
          </cell>
          <cell r="J12">
            <v>22.51</v>
          </cell>
          <cell r="K12">
            <v>2</v>
          </cell>
          <cell r="L12">
            <v>1.13</v>
          </cell>
          <cell r="M12">
            <v>100</v>
          </cell>
        </row>
        <row r="12">
          <cell r="P12" t="str">
            <v>microspheres added</v>
          </cell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</row>
        <row r="12">
          <cell r="V12">
            <v>72</v>
          </cell>
          <cell r="W12">
            <v>0</v>
          </cell>
          <cell r="X12">
            <v>21.38</v>
          </cell>
          <cell r="Y12">
            <v>22.51</v>
          </cell>
        </row>
        <row r="13">
          <cell r="A13">
            <v>12</v>
          </cell>
          <cell r="B13">
            <v>501</v>
          </cell>
          <cell r="C13" t="str">
            <v>M0113</v>
          </cell>
          <cell r="D13" t="str">
            <v>A</v>
          </cell>
          <cell r="E13" t="str">
            <v>501_M0113_A_012H</v>
          </cell>
          <cell r="F13">
            <v>45854.3263888889</v>
          </cell>
          <cell r="G13" t="str">
            <v>GEPR</v>
          </cell>
          <cell r="H13">
            <v>22.51</v>
          </cell>
          <cell r="I13">
            <v>1.51</v>
          </cell>
          <cell r="J13">
            <v>24.02</v>
          </cell>
          <cell r="K13">
            <v>1</v>
          </cell>
          <cell r="L13">
            <v>1.51</v>
          </cell>
          <cell r="M13">
            <v>100</v>
          </cell>
        </row>
        <row r="13">
          <cell r="Q13" t="str">
            <v>yes</v>
          </cell>
          <cell r="R13" t="str">
            <v>all</v>
          </cell>
          <cell r="S13" t="str">
            <v>H</v>
          </cell>
          <cell r="T13" t="str">
            <v>H (QD-TEC)</v>
          </cell>
        </row>
        <row r="13">
          <cell r="V13">
            <v>72</v>
          </cell>
          <cell r="W13">
            <v>0</v>
          </cell>
          <cell r="X13">
            <v>22.51</v>
          </cell>
          <cell r="Y13">
            <v>24.02</v>
          </cell>
        </row>
        <row r="14">
          <cell r="A14">
            <v>13</v>
          </cell>
          <cell r="B14">
            <v>501</v>
          </cell>
          <cell r="C14" t="str">
            <v>M0113</v>
          </cell>
          <cell r="D14" t="str">
            <v>A</v>
          </cell>
          <cell r="E14" t="str">
            <v>501_M0113_A_013H</v>
          </cell>
          <cell r="F14">
            <v>45854.3506944444</v>
          </cell>
          <cell r="G14" t="str">
            <v>GEPR</v>
          </cell>
          <cell r="H14">
            <v>24.02</v>
          </cell>
          <cell r="I14">
            <v>1.37</v>
          </cell>
          <cell r="J14">
            <v>25.39</v>
          </cell>
          <cell r="K14">
            <v>1</v>
          </cell>
          <cell r="L14">
            <v>1.37</v>
          </cell>
          <cell r="M14">
            <v>100</v>
          </cell>
        </row>
        <row r="14">
          <cell r="Q14" t="str">
            <v>yes</v>
          </cell>
          <cell r="R14" t="str">
            <v>all</v>
          </cell>
          <cell r="S14" t="str">
            <v>H</v>
          </cell>
          <cell r="T14" t="str">
            <v>H (QD-TEC)</v>
          </cell>
        </row>
        <row r="14">
          <cell r="V14">
            <v>72</v>
          </cell>
          <cell r="W14">
            <v>0</v>
          </cell>
          <cell r="X14">
            <v>24.02</v>
          </cell>
          <cell r="Y14">
            <v>25.39</v>
          </cell>
        </row>
        <row r="15">
          <cell r="A15">
            <v>14</v>
          </cell>
          <cell r="B15">
            <v>501</v>
          </cell>
          <cell r="C15" t="str">
            <v>M0113</v>
          </cell>
          <cell r="D15" t="str">
            <v>A</v>
          </cell>
          <cell r="E15" t="str">
            <v>501_M0113_A_014H</v>
          </cell>
          <cell r="F15">
            <v>45854.3819444444</v>
          </cell>
          <cell r="G15" t="str">
            <v>GEPR</v>
          </cell>
          <cell r="H15">
            <v>25.39</v>
          </cell>
          <cell r="I15">
            <v>1.34</v>
          </cell>
          <cell r="J15">
            <v>26.73</v>
          </cell>
          <cell r="K15">
            <v>1</v>
          </cell>
          <cell r="L15">
            <v>1.34</v>
          </cell>
          <cell r="M15">
            <v>100</v>
          </cell>
        </row>
        <row r="15"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</row>
        <row r="15">
          <cell r="V15">
            <v>72</v>
          </cell>
          <cell r="W15">
            <v>0</v>
          </cell>
          <cell r="X15">
            <v>25.39</v>
          </cell>
          <cell r="Y15">
            <v>26.73</v>
          </cell>
        </row>
        <row r="16">
          <cell r="A16">
            <v>15</v>
          </cell>
          <cell r="B16">
            <v>501</v>
          </cell>
          <cell r="C16" t="str">
            <v>M0113</v>
          </cell>
          <cell r="D16" t="str">
            <v>A</v>
          </cell>
          <cell r="E16" t="str">
            <v>501_M0113_A_015H</v>
          </cell>
          <cell r="F16">
            <v>45854.4131944444</v>
          </cell>
          <cell r="G16" t="str">
            <v>GEPR</v>
          </cell>
          <cell r="H16">
            <v>26.73</v>
          </cell>
          <cell r="I16">
            <v>2.01</v>
          </cell>
          <cell r="J16">
            <v>28.74</v>
          </cell>
          <cell r="K16">
            <v>2</v>
          </cell>
          <cell r="L16">
            <v>2.01</v>
          </cell>
          <cell r="M16">
            <v>100</v>
          </cell>
        </row>
        <row r="16"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</row>
        <row r="16">
          <cell r="V16">
            <v>72</v>
          </cell>
          <cell r="W16">
            <v>0</v>
          </cell>
          <cell r="X16">
            <v>26.73</v>
          </cell>
          <cell r="Y16">
            <v>28.74</v>
          </cell>
        </row>
        <row r="17">
          <cell r="A17">
            <v>16</v>
          </cell>
          <cell r="B17">
            <v>501</v>
          </cell>
          <cell r="C17" t="str">
            <v>M0113</v>
          </cell>
          <cell r="D17" t="str">
            <v>A</v>
          </cell>
          <cell r="E17" t="str">
            <v>501_M0113_A_016H</v>
          </cell>
          <cell r="F17">
            <v>45854.4513888889</v>
          </cell>
          <cell r="G17" t="str">
            <v>GEPR</v>
          </cell>
          <cell r="H17">
            <v>28.74</v>
          </cell>
          <cell r="I17">
            <v>2.41</v>
          </cell>
          <cell r="J17">
            <v>31.15</v>
          </cell>
          <cell r="K17">
            <v>3</v>
          </cell>
          <cell r="L17">
            <v>2.41</v>
          </cell>
          <cell r="M17">
            <v>100</v>
          </cell>
        </row>
        <row r="17">
          <cell r="P17" t="str">
            <v>MUD sample taken</v>
          </cell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</row>
        <row r="17">
          <cell r="V17">
            <v>72</v>
          </cell>
          <cell r="W17">
            <v>0</v>
          </cell>
          <cell r="X17">
            <v>28.74</v>
          </cell>
          <cell r="Y17">
            <v>31.15</v>
          </cell>
        </row>
        <row r="18">
          <cell r="A18">
            <v>17</v>
          </cell>
          <cell r="B18">
            <v>501</v>
          </cell>
          <cell r="C18" t="str">
            <v>M0113</v>
          </cell>
          <cell r="D18" t="str">
            <v>A</v>
          </cell>
          <cell r="E18" t="str">
            <v>501_M0113_A_017H</v>
          </cell>
          <cell r="F18">
            <v>45854.4965277778</v>
          </cell>
          <cell r="G18" t="str">
            <v>GEPR</v>
          </cell>
          <cell r="H18">
            <v>31.15</v>
          </cell>
          <cell r="I18">
            <v>1.88</v>
          </cell>
          <cell r="J18">
            <v>33.03</v>
          </cell>
          <cell r="K18">
            <v>2</v>
          </cell>
          <cell r="L18">
            <v>1.88</v>
          </cell>
          <cell r="M18">
            <v>100</v>
          </cell>
        </row>
        <row r="18"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</row>
        <row r="18">
          <cell r="V18">
            <v>72</v>
          </cell>
          <cell r="W18">
            <v>0</v>
          </cell>
          <cell r="X18">
            <v>31.15</v>
          </cell>
          <cell r="Y18">
            <v>33.03</v>
          </cell>
        </row>
        <row r="19">
          <cell r="A19">
            <v>18</v>
          </cell>
          <cell r="B19">
            <v>501</v>
          </cell>
          <cell r="C19" t="str">
            <v>M0113</v>
          </cell>
          <cell r="D19" t="str">
            <v>A</v>
          </cell>
          <cell r="E19" t="str">
            <v>501_M0113_A_018H</v>
          </cell>
          <cell r="F19">
            <v>45854.53125</v>
          </cell>
          <cell r="G19" t="str">
            <v>GEPR</v>
          </cell>
          <cell r="H19">
            <v>33.03</v>
          </cell>
          <cell r="I19">
            <v>2.33</v>
          </cell>
          <cell r="J19">
            <v>35.36</v>
          </cell>
          <cell r="K19">
            <v>2</v>
          </cell>
          <cell r="L19">
            <v>2.33</v>
          </cell>
          <cell r="M19">
            <v>100</v>
          </cell>
        </row>
        <row r="19">
          <cell r="Q19" t="str">
            <v>yes</v>
          </cell>
          <cell r="R19" t="str">
            <v>all</v>
          </cell>
          <cell r="S19" t="str">
            <v>H</v>
          </cell>
          <cell r="T19" t="str">
            <v>H (QD-TEC)</v>
          </cell>
        </row>
        <row r="19">
          <cell r="V19">
            <v>72</v>
          </cell>
          <cell r="W19">
            <v>0</v>
          </cell>
          <cell r="X19">
            <v>33.03</v>
          </cell>
          <cell r="Y19">
            <v>35.36</v>
          </cell>
        </row>
        <row r="20">
          <cell r="A20">
            <v>19</v>
          </cell>
          <cell r="B20">
            <v>501</v>
          </cell>
          <cell r="C20" t="str">
            <v>M0113</v>
          </cell>
          <cell r="D20" t="str">
            <v>A</v>
          </cell>
          <cell r="E20" t="str">
            <v>501_M0113_A_019H</v>
          </cell>
          <cell r="F20">
            <v>45854.5659722222</v>
          </cell>
          <cell r="G20" t="str">
            <v>GEPR</v>
          </cell>
          <cell r="H20">
            <v>35.36</v>
          </cell>
          <cell r="I20">
            <v>1.27</v>
          </cell>
          <cell r="J20">
            <v>36.63</v>
          </cell>
          <cell r="K20">
            <v>1</v>
          </cell>
          <cell r="L20">
            <v>1.27</v>
          </cell>
          <cell r="M20">
            <v>100</v>
          </cell>
        </row>
        <row r="20">
          <cell r="P20" t="str">
            <v>many shells</v>
          </cell>
          <cell r="Q20" t="str">
            <v>yes</v>
          </cell>
          <cell r="R20" t="str">
            <v>all</v>
          </cell>
          <cell r="S20" t="str">
            <v>H</v>
          </cell>
          <cell r="T20" t="str">
            <v>H (QD-TEC)</v>
          </cell>
        </row>
        <row r="20">
          <cell r="V20">
            <v>72</v>
          </cell>
          <cell r="W20">
            <v>0</v>
          </cell>
          <cell r="X20">
            <v>35.36</v>
          </cell>
          <cell r="Y20">
            <v>36.63</v>
          </cell>
        </row>
        <row r="21">
          <cell r="A21">
            <v>20</v>
          </cell>
          <cell r="B21">
            <v>501</v>
          </cell>
          <cell r="C21" t="str">
            <v>M0113</v>
          </cell>
          <cell r="D21" t="str">
            <v>A</v>
          </cell>
          <cell r="E21" t="str">
            <v>501_M0113_A_020H</v>
          </cell>
          <cell r="F21">
            <v>45854.59375</v>
          </cell>
          <cell r="G21" t="str">
            <v>GEPR</v>
          </cell>
          <cell r="H21">
            <v>36.63</v>
          </cell>
          <cell r="I21">
            <v>1.74</v>
          </cell>
          <cell r="J21">
            <v>38.37</v>
          </cell>
          <cell r="K21">
            <v>2</v>
          </cell>
          <cell r="L21">
            <v>1.74</v>
          </cell>
          <cell r="M21">
            <v>100</v>
          </cell>
        </row>
        <row r="21"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</row>
        <row r="21">
          <cell r="V21">
            <v>72</v>
          </cell>
          <cell r="W21">
            <v>0</v>
          </cell>
          <cell r="X21">
            <v>36.63</v>
          </cell>
          <cell r="Y21">
            <v>38.37</v>
          </cell>
        </row>
        <row r="22">
          <cell r="A22">
            <v>21</v>
          </cell>
          <cell r="B22">
            <v>501</v>
          </cell>
          <cell r="C22" t="str">
            <v>M0113</v>
          </cell>
          <cell r="D22" t="str">
            <v>A</v>
          </cell>
          <cell r="E22" t="str">
            <v>501_M0113_A_021H</v>
          </cell>
          <cell r="F22">
            <v>45854.6354166667</v>
          </cell>
          <cell r="G22" t="str">
            <v>GEPR</v>
          </cell>
          <cell r="H22">
            <v>38.37</v>
          </cell>
          <cell r="I22">
            <v>1.93</v>
          </cell>
          <cell r="J22">
            <v>40.3</v>
          </cell>
          <cell r="K22">
            <v>2</v>
          </cell>
          <cell r="L22">
            <v>1.93</v>
          </cell>
          <cell r="M22">
            <v>100</v>
          </cell>
        </row>
        <row r="22"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</row>
        <row r="22">
          <cell r="V22">
            <v>72</v>
          </cell>
          <cell r="W22">
            <v>0</v>
          </cell>
          <cell r="X22">
            <v>38.37</v>
          </cell>
          <cell r="Y22">
            <v>40.3</v>
          </cell>
        </row>
        <row r="23">
          <cell r="A23">
            <v>22</v>
          </cell>
          <cell r="B23">
            <v>501</v>
          </cell>
          <cell r="C23" t="str">
            <v>M0113</v>
          </cell>
          <cell r="D23" t="str">
            <v>A</v>
          </cell>
          <cell r="E23" t="str">
            <v>501_M0113_A_022H</v>
          </cell>
          <cell r="F23">
            <v>45854.6909722222</v>
          </cell>
          <cell r="G23" t="str">
            <v>PFAF</v>
          </cell>
          <cell r="H23">
            <v>40.3</v>
          </cell>
          <cell r="I23">
            <v>0.13</v>
          </cell>
          <cell r="J23">
            <v>40.43</v>
          </cell>
          <cell r="K23">
            <v>1</v>
          </cell>
          <cell r="L23">
            <v>0.13</v>
          </cell>
          <cell r="M23">
            <v>100</v>
          </cell>
        </row>
        <row r="23"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</row>
        <row r="23">
          <cell r="V23">
            <v>72</v>
          </cell>
          <cell r="W23">
            <v>0</v>
          </cell>
          <cell r="X23">
            <v>40.3</v>
          </cell>
          <cell r="Y23">
            <v>40.43</v>
          </cell>
        </row>
        <row r="24">
          <cell r="A24">
            <v>23</v>
          </cell>
          <cell r="B24">
            <v>501</v>
          </cell>
          <cell r="C24" t="str">
            <v>M0113</v>
          </cell>
          <cell r="D24" t="str">
            <v>A</v>
          </cell>
          <cell r="E24" t="str">
            <v>501_M0113_A_023H</v>
          </cell>
          <cell r="F24">
            <v>45854.71875</v>
          </cell>
          <cell r="G24" t="str">
            <v>PFAF</v>
          </cell>
          <cell r="H24">
            <v>40.43</v>
          </cell>
          <cell r="I24">
            <v>2.01</v>
          </cell>
          <cell r="J24">
            <v>42.44</v>
          </cell>
          <cell r="K24">
            <v>3</v>
          </cell>
          <cell r="L24">
            <v>2.01</v>
          </cell>
          <cell r="M24">
            <v>100</v>
          </cell>
        </row>
        <row r="24"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</row>
        <row r="24">
          <cell r="V24">
            <v>72</v>
          </cell>
          <cell r="W24">
            <v>0</v>
          </cell>
          <cell r="X24">
            <v>40.43</v>
          </cell>
          <cell r="Y24">
            <v>42.44</v>
          </cell>
        </row>
        <row r="25">
          <cell r="A25">
            <v>24</v>
          </cell>
          <cell r="B25">
            <v>501</v>
          </cell>
          <cell r="C25" t="str">
            <v>M0113</v>
          </cell>
          <cell r="D25" t="str">
            <v>A</v>
          </cell>
          <cell r="E25" t="str">
            <v>501_M0113_A_024H</v>
          </cell>
          <cell r="F25">
            <v>45854.7708333333</v>
          </cell>
          <cell r="G25" t="str">
            <v>PFAF</v>
          </cell>
          <cell r="H25">
            <v>42.44</v>
          </cell>
          <cell r="I25">
            <v>0.13</v>
          </cell>
          <cell r="J25">
            <v>42.57</v>
          </cell>
          <cell r="K25">
            <v>1</v>
          </cell>
          <cell r="L25">
            <v>0.13</v>
          </cell>
          <cell r="M25">
            <v>100</v>
          </cell>
        </row>
        <row r="25"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</row>
        <row r="25">
          <cell r="V25">
            <v>72</v>
          </cell>
          <cell r="W25">
            <v>0</v>
          </cell>
          <cell r="X25">
            <v>42.44</v>
          </cell>
          <cell r="Y25">
            <v>42.57</v>
          </cell>
        </row>
        <row r="26">
          <cell r="A26">
            <v>25</v>
          </cell>
          <cell r="B26">
            <v>501</v>
          </cell>
          <cell r="C26" t="str">
            <v>M0113</v>
          </cell>
          <cell r="D26" t="str">
            <v>A</v>
          </cell>
          <cell r="E26" t="str">
            <v>501_M0113_A_025H</v>
          </cell>
          <cell r="F26">
            <v>45854.7951388889</v>
          </cell>
          <cell r="G26" t="str">
            <v>PFAF</v>
          </cell>
          <cell r="H26">
            <v>42.57</v>
          </cell>
          <cell r="I26">
            <v>1.97</v>
          </cell>
          <cell r="J26">
            <v>44.54</v>
          </cell>
          <cell r="K26">
            <v>2</v>
          </cell>
          <cell r="L26">
            <v>1.97</v>
          </cell>
          <cell r="M26">
            <v>100</v>
          </cell>
        </row>
        <row r="26">
          <cell r="Q26" t="str">
            <v>yes</v>
          </cell>
          <cell r="R26" t="str">
            <v>all</v>
          </cell>
          <cell r="S26" t="str">
            <v>H</v>
          </cell>
          <cell r="T26" t="str">
            <v>H (QD-TEC)</v>
          </cell>
        </row>
        <row r="26">
          <cell r="V26">
            <v>72</v>
          </cell>
          <cell r="W26">
            <v>0</v>
          </cell>
          <cell r="X26">
            <v>42.57</v>
          </cell>
          <cell r="Y26">
            <v>44.54</v>
          </cell>
        </row>
        <row r="27">
          <cell r="A27">
            <v>26</v>
          </cell>
          <cell r="B27">
            <v>501</v>
          </cell>
          <cell r="C27" t="str">
            <v>M0113</v>
          </cell>
          <cell r="D27" t="str">
            <v>A</v>
          </cell>
          <cell r="E27" t="str">
            <v>501_M0113_A_026H</v>
          </cell>
          <cell r="F27">
            <v>45854.8333333333</v>
          </cell>
          <cell r="G27" t="str">
            <v>PFAF</v>
          </cell>
          <cell r="H27">
            <v>44.54</v>
          </cell>
          <cell r="I27">
            <v>1.94</v>
          </cell>
          <cell r="J27">
            <v>46.48</v>
          </cell>
          <cell r="K27">
            <v>2</v>
          </cell>
          <cell r="L27">
            <v>1.94</v>
          </cell>
          <cell r="M27">
            <v>100</v>
          </cell>
        </row>
        <row r="27">
          <cell r="Q27" t="str">
            <v>yes</v>
          </cell>
          <cell r="R27" t="str">
            <v>all</v>
          </cell>
          <cell r="S27" t="str">
            <v>H</v>
          </cell>
          <cell r="T27" t="str">
            <v>H (QD-TEC)</v>
          </cell>
        </row>
        <row r="27">
          <cell r="V27">
            <v>72</v>
          </cell>
          <cell r="W27">
            <v>0</v>
          </cell>
          <cell r="X27">
            <v>44.54</v>
          </cell>
          <cell r="Y27">
            <v>46.48</v>
          </cell>
        </row>
        <row r="28">
          <cell r="A28">
            <v>27</v>
          </cell>
          <cell r="B28">
            <v>501</v>
          </cell>
          <cell r="C28" t="str">
            <v>M0113</v>
          </cell>
          <cell r="D28" t="str">
            <v>A</v>
          </cell>
          <cell r="E28" t="str">
            <v>501_M0113_A_027H</v>
          </cell>
          <cell r="F28">
            <v>45854.8611111111</v>
          </cell>
          <cell r="G28" t="str">
            <v>PFAF</v>
          </cell>
          <cell r="H28">
            <v>46.48</v>
          </cell>
          <cell r="I28">
            <v>1.99</v>
          </cell>
          <cell r="J28">
            <v>48.47</v>
          </cell>
          <cell r="K28">
            <v>2</v>
          </cell>
          <cell r="L28">
            <v>1.99</v>
          </cell>
          <cell r="M28">
            <v>100</v>
          </cell>
        </row>
        <row r="28"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</row>
        <row r="28">
          <cell r="V28">
            <v>72</v>
          </cell>
          <cell r="W28">
            <v>0</v>
          </cell>
          <cell r="X28">
            <v>46.48</v>
          </cell>
          <cell r="Y28">
            <v>48.47</v>
          </cell>
        </row>
        <row r="29">
          <cell r="A29">
            <v>28</v>
          </cell>
          <cell r="B29">
            <v>501</v>
          </cell>
          <cell r="C29" t="str">
            <v>M0113</v>
          </cell>
          <cell r="D29" t="str">
            <v>A</v>
          </cell>
          <cell r="E29" t="str">
            <v>501_M0113_A_028H</v>
          </cell>
          <cell r="F29">
            <v>45854.9027777778</v>
          </cell>
          <cell r="G29" t="str">
            <v>PFAF</v>
          </cell>
          <cell r="H29">
            <v>48.47</v>
          </cell>
          <cell r="I29">
            <v>1.94</v>
          </cell>
          <cell r="J29">
            <v>50.41</v>
          </cell>
          <cell r="K29">
            <v>2</v>
          </cell>
          <cell r="L29">
            <v>1.94</v>
          </cell>
          <cell r="M29">
            <v>100</v>
          </cell>
        </row>
        <row r="29"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</row>
        <row r="29">
          <cell r="V29">
            <v>72</v>
          </cell>
          <cell r="W29">
            <v>0</v>
          </cell>
          <cell r="X29">
            <v>48.47</v>
          </cell>
          <cell r="Y29">
            <v>50.41</v>
          </cell>
        </row>
        <row r="30">
          <cell r="A30">
            <v>29</v>
          </cell>
          <cell r="B30">
            <v>501</v>
          </cell>
          <cell r="C30" t="str">
            <v>M0113</v>
          </cell>
          <cell r="D30" t="str">
            <v>A</v>
          </cell>
          <cell r="E30" t="str">
            <v>501_M0113_A_029H</v>
          </cell>
          <cell r="F30">
            <v>45854.9375</v>
          </cell>
          <cell r="G30" t="str">
            <v>PFAF</v>
          </cell>
          <cell r="H30">
            <v>50.41</v>
          </cell>
          <cell r="I30">
            <v>1.5</v>
          </cell>
          <cell r="J30">
            <v>51.91</v>
          </cell>
          <cell r="K30">
            <v>1</v>
          </cell>
          <cell r="L30">
            <v>1.5</v>
          </cell>
          <cell r="M30">
            <v>100</v>
          </cell>
        </row>
        <row r="30"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</row>
        <row r="30">
          <cell r="V30">
            <v>72</v>
          </cell>
          <cell r="W30">
            <v>0</v>
          </cell>
          <cell r="X30">
            <v>50.41</v>
          </cell>
          <cell r="Y30">
            <v>51.91</v>
          </cell>
        </row>
        <row r="31">
          <cell r="A31">
            <v>30</v>
          </cell>
          <cell r="B31">
            <v>501</v>
          </cell>
          <cell r="C31" t="str">
            <v>M0113</v>
          </cell>
          <cell r="D31" t="str">
            <v>A</v>
          </cell>
          <cell r="E31" t="str">
            <v>501_M0113_A_030H</v>
          </cell>
          <cell r="F31">
            <v>45854.96875</v>
          </cell>
          <cell r="G31" t="str">
            <v>PFAF</v>
          </cell>
          <cell r="H31">
            <v>51.91</v>
          </cell>
          <cell r="I31">
            <v>1.98</v>
          </cell>
          <cell r="J31">
            <v>53.89</v>
          </cell>
          <cell r="K31">
            <v>3</v>
          </cell>
          <cell r="L31">
            <v>1.98</v>
          </cell>
          <cell r="M31">
            <v>100</v>
          </cell>
        </row>
        <row r="31">
          <cell r="Q31" t="str">
            <v>yes</v>
          </cell>
          <cell r="R31" t="str">
            <v>all</v>
          </cell>
          <cell r="S31" t="str">
            <v>H</v>
          </cell>
          <cell r="T31" t="str">
            <v>H (QD-TEC)</v>
          </cell>
        </row>
        <row r="31">
          <cell r="V31">
            <v>72</v>
          </cell>
          <cell r="W31">
            <v>0</v>
          </cell>
          <cell r="X31">
            <v>51.91</v>
          </cell>
          <cell r="Y31">
            <v>53.89</v>
          </cell>
        </row>
        <row r="32">
          <cell r="A32">
            <v>31</v>
          </cell>
          <cell r="B32">
            <v>501</v>
          </cell>
          <cell r="C32" t="str">
            <v>M0113</v>
          </cell>
          <cell r="D32" t="str">
            <v>A</v>
          </cell>
          <cell r="E32" t="str">
            <v>501_M0113_A_031H</v>
          </cell>
          <cell r="F32">
            <v>45855.0173611111</v>
          </cell>
          <cell r="G32" t="str">
            <v>PFAF</v>
          </cell>
          <cell r="H32">
            <v>53.89</v>
          </cell>
          <cell r="I32">
            <v>1.13</v>
          </cell>
          <cell r="J32">
            <v>55.02</v>
          </cell>
          <cell r="K32">
            <v>1</v>
          </cell>
          <cell r="L32">
            <v>1.13</v>
          </cell>
          <cell r="M32">
            <v>100</v>
          </cell>
        </row>
        <row r="32">
          <cell r="P32" t="str">
            <v>transferred into new liner</v>
          </cell>
        </row>
        <row r="32">
          <cell r="X32">
            <v>53.89</v>
          </cell>
        </row>
        <row r="33">
          <cell r="A33">
            <v>32</v>
          </cell>
          <cell r="B33">
            <v>501</v>
          </cell>
          <cell r="C33" t="str">
            <v>M0113</v>
          </cell>
          <cell r="D33" t="str">
            <v>A</v>
          </cell>
          <cell r="E33" t="str">
            <v>501_M0113_A_032H</v>
          </cell>
          <cell r="F33">
            <v>45855.0659722222</v>
          </cell>
          <cell r="G33" t="str">
            <v>PFAF</v>
          </cell>
          <cell r="H33">
            <v>55.02</v>
          </cell>
          <cell r="I33">
            <v>2.5</v>
          </cell>
          <cell r="J33">
            <v>57.52</v>
          </cell>
          <cell r="K33">
            <v>2</v>
          </cell>
          <cell r="L33">
            <v>2.5</v>
          </cell>
          <cell r="M33">
            <v>100</v>
          </cell>
        </row>
        <row r="33">
          <cell r="Q33" t="str">
            <v>yes</v>
          </cell>
          <cell r="R33" t="str">
            <v>all</v>
          </cell>
          <cell r="S33" t="str">
            <v>H</v>
          </cell>
          <cell r="T33" t="str">
            <v>H (QD-TEC)</v>
          </cell>
        </row>
        <row r="33">
          <cell r="V33">
            <v>72</v>
          </cell>
          <cell r="W33">
            <v>0</v>
          </cell>
          <cell r="X33">
            <v>55.02</v>
          </cell>
          <cell r="Y33">
            <v>57.52</v>
          </cell>
        </row>
        <row r="34">
          <cell r="A34">
            <v>33</v>
          </cell>
          <cell r="B34">
            <v>501</v>
          </cell>
          <cell r="C34" t="str">
            <v>M0113</v>
          </cell>
          <cell r="D34" t="str">
            <v>A</v>
          </cell>
          <cell r="E34" t="str">
            <v>501_M0113_A_033H</v>
          </cell>
          <cell r="F34">
            <v>45856.2270833333</v>
          </cell>
          <cell r="G34" t="str">
            <v>GEPR</v>
          </cell>
          <cell r="H34">
            <v>57.52</v>
          </cell>
          <cell r="I34">
            <v>2.42</v>
          </cell>
          <cell r="J34">
            <v>59.94</v>
          </cell>
          <cell r="K34">
            <v>2</v>
          </cell>
          <cell r="L34">
            <v>2.42</v>
          </cell>
          <cell r="M34">
            <v>100</v>
          </cell>
        </row>
        <row r="34">
          <cell r="P34" t="str">
            <v>slushy bottom</v>
          </cell>
          <cell r="Q34" t="str">
            <v>yes</v>
          </cell>
          <cell r="R34" t="str">
            <v>all</v>
          </cell>
          <cell r="S34" t="str">
            <v>H</v>
          </cell>
          <cell r="T34" t="str">
            <v>H (QD-TEC)</v>
          </cell>
        </row>
        <row r="34">
          <cell r="V34">
            <v>72</v>
          </cell>
          <cell r="W34">
            <v>0</v>
          </cell>
          <cell r="X34">
            <v>57.52</v>
          </cell>
          <cell r="Y34">
            <v>59.94</v>
          </cell>
        </row>
        <row r="35">
          <cell r="A35">
            <v>34</v>
          </cell>
          <cell r="B35">
            <v>501</v>
          </cell>
          <cell r="C35" t="str">
            <v>M0113</v>
          </cell>
          <cell r="D35" t="str">
            <v>A</v>
          </cell>
          <cell r="E35" t="str">
            <v>501_M0113_A_034H</v>
          </cell>
          <cell r="F35">
            <v>45856.2777777778</v>
          </cell>
          <cell r="G35" t="str">
            <v>GEPR</v>
          </cell>
          <cell r="H35">
            <v>59.94</v>
          </cell>
          <cell r="I35">
            <v>1.8</v>
          </cell>
          <cell r="J35">
            <v>61.74</v>
          </cell>
          <cell r="K35">
            <v>2</v>
          </cell>
          <cell r="L35">
            <v>1.8</v>
          </cell>
          <cell r="M35">
            <v>100</v>
          </cell>
        </row>
        <row r="35">
          <cell r="Q35" t="str">
            <v>yes</v>
          </cell>
          <cell r="R35" t="str">
            <v>all</v>
          </cell>
          <cell r="S35" t="str">
            <v>H</v>
          </cell>
          <cell r="T35" t="str">
            <v>H (QD-TEC)</v>
          </cell>
        </row>
        <row r="35">
          <cell r="V35">
            <v>72</v>
          </cell>
          <cell r="W35">
            <v>0</v>
          </cell>
          <cell r="X35">
            <v>59.94</v>
          </cell>
          <cell r="Y35">
            <v>61.74</v>
          </cell>
        </row>
        <row r="36">
          <cell r="A36">
            <v>35</v>
          </cell>
          <cell r="B36">
            <v>501</v>
          </cell>
          <cell r="C36" t="str">
            <v>M0113</v>
          </cell>
          <cell r="D36" t="str">
            <v>A</v>
          </cell>
          <cell r="E36" t="str">
            <v>501_M0113_A_035H</v>
          </cell>
          <cell r="F36">
            <v>45856.3159722222</v>
          </cell>
          <cell r="G36" t="str">
            <v>GEPR</v>
          </cell>
          <cell r="H36">
            <v>61.74</v>
          </cell>
          <cell r="I36">
            <v>1.94</v>
          </cell>
          <cell r="J36">
            <v>63.68</v>
          </cell>
          <cell r="K36">
            <v>2</v>
          </cell>
          <cell r="L36">
            <v>1.94</v>
          </cell>
          <cell r="M36">
            <v>100</v>
          </cell>
        </row>
        <row r="36">
          <cell r="Q36" t="str">
            <v>yes</v>
          </cell>
          <cell r="R36" t="str">
            <v>all</v>
          </cell>
          <cell r="S36" t="str">
            <v>H</v>
          </cell>
          <cell r="T36" t="str">
            <v>H (QD-TEC)</v>
          </cell>
        </row>
        <row r="36">
          <cell r="V36">
            <v>72</v>
          </cell>
          <cell r="W36">
            <v>0</v>
          </cell>
          <cell r="X36">
            <v>61.74</v>
          </cell>
          <cell r="Y36">
            <v>63.68</v>
          </cell>
        </row>
        <row r="37">
          <cell r="A37">
            <v>36</v>
          </cell>
          <cell r="B37">
            <v>501</v>
          </cell>
          <cell r="C37" t="str">
            <v>M0113</v>
          </cell>
          <cell r="D37" t="str">
            <v>A</v>
          </cell>
          <cell r="E37" t="str">
            <v>501_M0113_A_036H</v>
          </cell>
          <cell r="F37">
            <v>45856.3506944444</v>
          </cell>
          <cell r="G37" t="str">
            <v>GEPR</v>
          </cell>
          <cell r="H37">
            <v>63.68</v>
          </cell>
          <cell r="I37">
            <v>1.86</v>
          </cell>
          <cell r="J37">
            <v>65.54</v>
          </cell>
          <cell r="K37">
            <v>2</v>
          </cell>
          <cell r="L37">
            <v>1.86</v>
          </cell>
          <cell r="M37">
            <v>100</v>
          </cell>
        </row>
        <row r="37">
          <cell r="Q37" t="str">
            <v>yes</v>
          </cell>
          <cell r="R37" t="str">
            <v>all</v>
          </cell>
          <cell r="S37" t="str">
            <v>H</v>
          </cell>
          <cell r="T37" t="str">
            <v>H (QD-TEC)</v>
          </cell>
        </row>
        <row r="37">
          <cell r="V37">
            <v>72</v>
          </cell>
          <cell r="W37">
            <v>0</v>
          </cell>
          <cell r="X37">
            <v>63.68</v>
          </cell>
          <cell r="Y37">
            <v>65.54</v>
          </cell>
        </row>
        <row r="38">
          <cell r="A38">
            <v>37</v>
          </cell>
          <cell r="B38">
            <v>501</v>
          </cell>
          <cell r="C38" t="str">
            <v>M0113</v>
          </cell>
          <cell r="D38" t="str">
            <v>A</v>
          </cell>
          <cell r="E38" t="str">
            <v>501_M0113_A_037H</v>
          </cell>
          <cell r="F38">
            <v>45856.3888888889</v>
          </cell>
          <cell r="G38" t="str">
            <v>GEPR</v>
          </cell>
          <cell r="H38">
            <v>65.44</v>
          </cell>
          <cell r="I38">
            <v>1.77</v>
          </cell>
          <cell r="J38">
            <v>67.21</v>
          </cell>
          <cell r="K38">
            <v>2</v>
          </cell>
          <cell r="L38">
            <v>1.77</v>
          </cell>
          <cell r="M38">
            <v>100</v>
          </cell>
        </row>
        <row r="38">
          <cell r="P38" t="str">
            <v>10cm above last core</v>
          </cell>
          <cell r="Q38" t="str">
            <v>yes</v>
          </cell>
          <cell r="R38" t="str">
            <v>all</v>
          </cell>
          <cell r="S38" t="str">
            <v>H</v>
          </cell>
          <cell r="T38" t="str">
            <v>H (QD-TEC)</v>
          </cell>
        </row>
        <row r="38">
          <cell r="V38">
            <v>72</v>
          </cell>
          <cell r="W38">
            <v>0</v>
          </cell>
          <cell r="X38">
            <v>65.44</v>
          </cell>
          <cell r="Y38">
            <v>67.21</v>
          </cell>
        </row>
        <row r="39">
          <cell r="A39">
            <v>38</v>
          </cell>
          <cell r="B39">
            <v>501</v>
          </cell>
          <cell r="C39" t="str">
            <v>M0113</v>
          </cell>
          <cell r="D39" t="str">
            <v>A</v>
          </cell>
          <cell r="E39" t="str">
            <v>501_M0113_A_038H</v>
          </cell>
          <cell r="F39">
            <v>45856.4166666667</v>
          </cell>
          <cell r="G39" t="str">
            <v>GEPR</v>
          </cell>
          <cell r="H39">
            <v>67.01</v>
          </cell>
          <cell r="I39">
            <v>1.26</v>
          </cell>
          <cell r="J39">
            <v>68.27</v>
          </cell>
          <cell r="K39">
            <v>4</v>
          </cell>
          <cell r="L39">
            <v>1.26</v>
          </cell>
          <cell r="M39">
            <v>100</v>
          </cell>
        </row>
        <row r="39">
          <cell r="P39" t="str">
            <v>20 cm above last core</v>
          </cell>
          <cell r="Q39" t="str">
            <v>yes</v>
          </cell>
          <cell r="R39" t="str">
            <v>all</v>
          </cell>
          <cell r="S39" t="str">
            <v>H</v>
          </cell>
          <cell r="T39" t="str">
            <v>H (QD-TEC)</v>
          </cell>
        </row>
        <row r="39">
          <cell r="V39">
            <v>72</v>
          </cell>
          <cell r="W39">
            <v>0</v>
          </cell>
          <cell r="X39">
            <v>67.01</v>
          </cell>
          <cell r="Y39">
            <v>68.27</v>
          </cell>
        </row>
        <row r="40">
          <cell r="A40">
            <v>39</v>
          </cell>
          <cell r="B40">
            <v>501</v>
          </cell>
          <cell r="C40" t="str">
            <v>M0113</v>
          </cell>
          <cell r="D40" t="str">
            <v>A</v>
          </cell>
          <cell r="E40" t="str">
            <v>501_M0113_A_039R</v>
          </cell>
          <cell r="F40">
            <v>45856.5173611111</v>
          </cell>
          <cell r="G40" t="str">
            <v>GEPR</v>
          </cell>
          <cell r="H40">
            <v>68.27</v>
          </cell>
          <cell r="I40">
            <v>3</v>
          </cell>
          <cell r="J40">
            <v>71.27</v>
          </cell>
          <cell r="K40">
            <v>1</v>
          </cell>
          <cell r="L40">
            <v>0.53</v>
          </cell>
          <cell r="M40">
            <v>17.67</v>
          </cell>
        </row>
        <row r="40">
          <cell r="P40" t="str">
            <v>microspheres addes</v>
          </cell>
        </row>
        <row r="40">
          <cell r="X40">
            <v>68.27</v>
          </cell>
        </row>
        <row r="41">
          <cell r="A41">
            <v>40</v>
          </cell>
          <cell r="B41">
            <v>501</v>
          </cell>
          <cell r="C41" t="str">
            <v>M0113</v>
          </cell>
          <cell r="D41" t="str">
            <v>A</v>
          </cell>
          <cell r="E41" t="str">
            <v>501_M0113_A_040R</v>
          </cell>
          <cell r="F41">
            <v>45856.5347222222</v>
          </cell>
          <cell r="G41" t="str">
            <v>GEPR</v>
          </cell>
          <cell r="H41">
            <v>71.27</v>
          </cell>
          <cell r="I41">
            <v>2.13</v>
          </cell>
          <cell r="J41">
            <v>73.4</v>
          </cell>
          <cell r="K41">
            <v>0</v>
          </cell>
          <cell r="L41">
            <v>0</v>
          </cell>
          <cell r="M41">
            <v>0</v>
          </cell>
        </row>
        <row r="41">
          <cell r="P41" t="str">
            <v>no recovery</v>
          </cell>
          <cell r="Q41" t="str">
            <v>yes</v>
          </cell>
          <cell r="R41" t="str">
            <v>none</v>
          </cell>
          <cell r="S41" t="str">
            <v>R</v>
          </cell>
          <cell r="T41" t="str">
            <v>R (QD-TEC)</v>
          </cell>
        </row>
        <row r="41">
          <cell r="V41">
            <v>72</v>
          </cell>
          <cell r="W41">
            <v>0</v>
          </cell>
          <cell r="X41">
            <v>71.27</v>
          </cell>
          <cell r="Y41">
            <v>73.4</v>
          </cell>
        </row>
        <row r="42">
          <cell r="A42">
            <v>41</v>
          </cell>
          <cell r="B42">
            <v>501</v>
          </cell>
          <cell r="C42" t="str">
            <v>M0113</v>
          </cell>
          <cell r="D42" t="str">
            <v>A</v>
          </cell>
          <cell r="E42" t="str">
            <v>501_M0113_A_041H</v>
          </cell>
          <cell r="F42">
            <v>45856.6145833333</v>
          </cell>
          <cell r="G42" t="str">
            <v>GEPR</v>
          </cell>
          <cell r="H42">
            <v>68.27</v>
          </cell>
          <cell r="I42">
            <v>1.36</v>
          </cell>
          <cell r="J42">
            <v>69.63</v>
          </cell>
          <cell r="K42">
            <v>1</v>
          </cell>
          <cell r="L42">
            <v>1.36</v>
          </cell>
          <cell r="M42">
            <v>100</v>
          </cell>
        </row>
        <row r="42">
          <cell r="P42" t="str">
            <v>only infill</v>
          </cell>
          <cell r="Q42" t="str">
            <v>yes</v>
          </cell>
          <cell r="R42" t="str">
            <v>all</v>
          </cell>
          <cell r="S42" t="str">
            <v>H</v>
          </cell>
          <cell r="T42" t="str">
            <v>H (QD-TEC)</v>
          </cell>
        </row>
        <row r="42">
          <cell r="V42">
            <v>72</v>
          </cell>
          <cell r="W42">
            <v>0</v>
          </cell>
          <cell r="X42">
            <v>68.27</v>
          </cell>
          <cell r="Y42">
            <v>69.63</v>
          </cell>
        </row>
        <row r="43">
          <cell r="A43">
            <v>42</v>
          </cell>
          <cell r="B43">
            <v>501</v>
          </cell>
          <cell r="C43" t="str">
            <v>M0113</v>
          </cell>
          <cell r="D43" t="str">
            <v>A</v>
          </cell>
          <cell r="E43" t="str">
            <v>501_M0113_A_042H</v>
          </cell>
          <cell r="F43">
            <v>45856.6493055556</v>
          </cell>
          <cell r="G43" t="str">
            <v>GEPR</v>
          </cell>
          <cell r="H43">
            <v>79.4</v>
          </cell>
          <cell r="I43">
            <v>0.36</v>
          </cell>
          <cell r="J43">
            <v>79.76</v>
          </cell>
          <cell r="K43">
            <v>1</v>
          </cell>
          <cell r="L43">
            <v>0.36</v>
          </cell>
          <cell r="M43">
            <v>100</v>
          </cell>
        </row>
        <row r="43">
          <cell r="P43" t="str">
            <v>additional drillrod </v>
          </cell>
          <cell r="Q43" t="str">
            <v>yes</v>
          </cell>
          <cell r="R43" t="str">
            <v>all</v>
          </cell>
          <cell r="S43" t="str">
            <v>H</v>
          </cell>
          <cell r="T43" t="str">
            <v>H (QD-TEC)</v>
          </cell>
        </row>
        <row r="43">
          <cell r="V43">
            <v>72</v>
          </cell>
          <cell r="W43">
            <v>0</v>
          </cell>
          <cell r="X43">
            <v>79.4</v>
          </cell>
          <cell r="Y43">
            <v>79.76</v>
          </cell>
        </row>
        <row r="44">
          <cell r="A44">
            <v>43</v>
          </cell>
          <cell r="B44">
            <v>501</v>
          </cell>
          <cell r="C44" t="str">
            <v>M0113</v>
          </cell>
          <cell r="D44" t="str">
            <v>A</v>
          </cell>
          <cell r="E44" t="str">
            <v>501_M0113_A_043H</v>
          </cell>
          <cell r="F44">
            <v>45856.7256944444</v>
          </cell>
          <cell r="G44" t="str">
            <v>PFAF</v>
          </cell>
          <cell r="H44">
            <v>79.76</v>
          </cell>
          <cell r="I44">
            <v>1.32</v>
          </cell>
          <cell r="J44">
            <v>81.08</v>
          </cell>
          <cell r="K44">
            <v>2</v>
          </cell>
          <cell r="L44">
            <v>1.32</v>
          </cell>
          <cell r="M44">
            <v>100</v>
          </cell>
        </row>
        <row r="44">
          <cell r="Q44" t="str">
            <v>yes</v>
          </cell>
          <cell r="R44" t="str">
            <v>all</v>
          </cell>
          <cell r="S44" t="str">
            <v>H</v>
          </cell>
          <cell r="T44" t="str">
            <v>H (QD-TEC)</v>
          </cell>
        </row>
        <row r="44">
          <cell r="V44">
            <v>72</v>
          </cell>
          <cell r="W44">
            <v>0</v>
          </cell>
          <cell r="X44">
            <v>79.76</v>
          </cell>
          <cell r="Y44">
            <v>81.08</v>
          </cell>
        </row>
        <row r="45">
          <cell r="A45">
            <v>44</v>
          </cell>
          <cell r="B45">
            <v>501</v>
          </cell>
          <cell r="C45" t="str">
            <v>M0113</v>
          </cell>
          <cell r="D45" t="str">
            <v>A</v>
          </cell>
          <cell r="E45" t="str">
            <v>501_M0113_A_044H</v>
          </cell>
          <cell r="F45">
            <v>45856.7569444444</v>
          </cell>
          <cell r="G45" t="str">
            <v>PFAF</v>
          </cell>
          <cell r="H45">
            <v>81.08</v>
          </cell>
          <cell r="I45">
            <v>1.48</v>
          </cell>
          <cell r="J45">
            <v>82.56</v>
          </cell>
          <cell r="K45">
            <v>3</v>
          </cell>
          <cell r="L45">
            <v>1.48</v>
          </cell>
          <cell r="M45">
            <v>100</v>
          </cell>
        </row>
        <row r="45">
          <cell r="Q45" t="str">
            <v>yes</v>
          </cell>
          <cell r="R45" t="str">
            <v>all</v>
          </cell>
          <cell r="S45" t="str">
            <v>H</v>
          </cell>
          <cell r="T45" t="str">
            <v>H (QD-TEC)</v>
          </cell>
        </row>
        <row r="45">
          <cell r="V45">
            <v>72</v>
          </cell>
          <cell r="W45">
            <v>0</v>
          </cell>
          <cell r="X45">
            <v>81.08</v>
          </cell>
          <cell r="Y45">
            <v>82.56</v>
          </cell>
        </row>
        <row r="46">
          <cell r="A46">
            <v>45</v>
          </cell>
          <cell r="B46">
            <v>501</v>
          </cell>
          <cell r="C46" t="str">
            <v>M0113</v>
          </cell>
          <cell r="D46" t="str">
            <v>A</v>
          </cell>
          <cell r="E46" t="str">
            <v>501_M0113_A_045R</v>
          </cell>
          <cell r="F46">
            <v>45856.8055555556</v>
          </cell>
          <cell r="G46" t="str">
            <v>PFAF</v>
          </cell>
          <cell r="H46">
            <v>82.56</v>
          </cell>
          <cell r="I46">
            <v>1.34</v>
          </cell>
          <cell r="J46">
            <v>83.9</v>
          </cell>
          <cell r="K46">
            <v>1</v>
          </cell>
          <cell r="L46">
            <v>1.36</v>
          </cell>
          <cell r="M46">
            <v>101.49</v>
          </cell>
        </row>
        <row r="46">
          <cell r="Q46" t="str">
            <v>yes</v>
          </cell>
          <cell r="R46" t="str">
            <v>all</v>
          </cell>
          <cell r="S46" t="str">
            <v>R</v>
          </cell>
          <cell r="T46" t="str">
            <v>R (QD-TEC)</v>
          </cell>
        </row>
        <row r="46">
          <cell r="V46">
            <v>72</v>
          </cell>
          <cell r="W46">
            <v>0</v>
          </cell>
          <cell r="X46">
            <v>82.56</v>
          </cell>
          <cell r="Y46">
            <v>83.9</v>
          </cell>
        </row>
        <row r="47">
          <cell r="A47">
            <v>46</v>
          </cell>
          <cell r="B47">
            <v>501</v>
          </cell>
          <cell r="C47" t="str">
            <v>M0113</v>
          </cell>
          <cell r="D47" t="str">
            <v>A</v>
          </cell>
          <cell r="E47" t="str">
            <v>501_M0113_A_046H</v>
          </cell>
          <cell r="F47">
            <v>45857.5520833333</v>
          </cell>
          <cell r="G47" t="str">
            <v>GEPR</v>
          </cell>
          <cell r="H47">
            <v>83.49</v>
          </cell>
          <cell r="I47">
            <v>1.84</v>
          </cell>
          <cell r="J47">
            <v>85.33</v>
          </cell>
          <cell r="K47">
            <v>2</v>
          </cell>
          <cell r="L47">
            <v>1.84</v>
          </cell>
          <cell r="M47">
            <v>100</v>
          </cell>
        </row>
        <row r="47">
          <cell r="Q47" t="str">
            <v>yes</v>
          </cell>
          <cell r="R47" t="str">
            <v>all</v>
          </cell>
          <cell r="S47" t="str">
            <v>H</v>
          </cell>
          <cell r="T47" t="str">
            <v>H (QD-TEC)</v>
          </cell>
        </row>
        <row r="47">
          <cell r="V47">
            <v>72</v>
          </cell>
          <cell r="W47">
            <v>0</v>
          </cell>
          <cell r="X47">
            <v>83.49</v>
          </cell>
          <cell r="Y47">
            <v>85.33</v>
          </cell>
        </row>
        <row r="48">
          <cell r="A48">
            <v>47</v>
          </cell>
          <cell r="B48">
            <v>501</v>
          </cell>
          <cell r="C48" t="str">
            <v>M0113</v>
          </cell>
          <cell r="D48" t="str">
            <v>A</v>
          </cell>
          <cell r="E48" t="str">
            <v>501_M0113_A_047H</v>
          </cell>
          <cell r="F48">
            <v>45857.6215277778</v>
          </cell>
          <cell r="G48" t="str">
            <v>GEPR</v>
          </cell>
          <cell r="H48">
            <v>85.33</v>
          </cell>
          <cell r="I48">
            <v>1.01</v>
          </cell>
          <cell r="J48">
            <v>86.34</v>
          </cell>
          <cell r="K48">
            <v>2</v>
          </cell>
          <cell r="L48">
            <v>1.01</v>
          </cell>
          <cell r="M48">
            <v>100</v>
          </cell>
        </row>
        <row r="48">
          <cell r="Q48" t="str">
            <v>yes</v>
          </cell>
          <cell r="R48" t="str">
            <v>all</v>
          </cell>
          <cell r="S48" t="str">
            <v>H</v>
          </cell>
          <cell r="T48" t="str">
            <v>H (QD-TEC)</v>
          </cell>
        </row>
        <row r="48">
          <cell r="V48">
            <v>72</v>
          </cell>
          <cell r="W48">
            <v>0</v>
          </cell>
          <cell r="X48">
            <v>85.33</v>
          </cell>
          <cell r="Y48">
            <v>86.34</v>
          </cell>
        </row>
        <row r="49">
          <cell r="A49">
            <v>48</v>
          </cell>
          <cell r="B49">
            <v>501</v>
          </cell>
          <cell r="C49" t="str">
            <v>M0113</v>
          </cell>
          <cell r="D49" t="str">
            <v>A</v>
          </cell>
          <cell r="E49" t="str">
            <v>501_M0113_A_048H</v>
          </cell>
          <cell r="F49">
            <v>45857.6597222222</v>
          </cell>
          <cell r="G49" t="str">
            <v>PFAF</v>
          </cell>
          <cell r="H49">
            <v>86.34</v>
          </cell>
          <cell r="I49">
            <v>0.93</v>
          </cell>
          <cell r="J49">
            <v>87.27</v>
          </cell>
          <cell r="K49">
            <v>1</v>
          </cell>
          <cell r="L49">
            <v>0.93</v>
          </cell>
          <cell r="M49">
            <v>100</v>
          </cell>
        </row>
        <row r="49">
          <cell r="Q49" t="str">
            <v>yes</v>
          </cell>
          <cell r="R49" t="str">
            <v>all</v>
          </cell>
          <cell r="S49" t="str">
            <v>H</v>
          </cell>
          <cell r="T49" t="str">
            <v>H (QD-TEC)</v>
          </cell>
        </row>
        <row r="49">
          <cell r="V49">
            <v>72</v>
          </cell>
          <cell r="W49">
            <v>0</v>
          </cell>
          <cell r="X49">
            <v>86.34</v>
          </cell>
          <cell r="Y49">
            <v>87.27</v>
          </cell>
        </row>
        <row r="50">
          <cell r="A50">
            <v>49</v>
          </cell>
          <cell r="B50">
            <v>501</v>
          </cell>
          <cell r="C50" t="str">
            <v>M0113</v>
          </cell>
          <cell r="D50" t="str">
            <v>A</v>
          </cell>
          <cell r="E50" t="str">
            <v>501_M0113_A_049R</v>
          </cell>
          <cell r="F50">
            <v>45857.7256944444</v>
          </cell>
          <cell r="G50" t="str">
            <v>PFAF</v>
          </cell>
          <cell r="H50">
            <v>87.27</v>
          </cell>
          <cell r="I50">
            <v>2.22</v>
          </cell>
          <cell r="J50">
            <v>89.49</v>
          </cell>
          <cell r="K50">
            <v>2</v>
          </cell>
          <cell r="L50">
            <v>1.43</v>
          </cell>
          <cell r="M50">
            <v>64.41</v>
          </cell>
        </row>
        <row r="50">
          <cell r="Q50" t="str">
            <v>yes</v>
          </cell>
          <cell r="R50" t="str">
            <v>all</v>
          </cell>
          <cell r="S50" t="str">
            <v>R</v>
          </cell>
          <cell r="T50" t="str">
            <v>R (QD-TEC)</v>
          </cell>
        </row>
        <row r="50">
          <cell r="V50">
            <v>72</v>
          </cell>
          <cell r="W50">
            <v>0</v>
          </cell>
          <cell r="X50">
            <v>87.27</v>
          </cell>
          <cell r="Y50">
            <v>89.49</v>
          </cell>
        </row>
        <row r="51">
          <cell r="A51">
            <v>50</v>
          </cell>
          <cell r="B51">
            <v>501</v>
          </cell>
          <cell r="C51" t="str">
            <v>M0113</v>
          </cell>
          <cell r="D51" t="str">
            <v>A</v>
          </cell>
          <cell r="E51" t="str">
            <v>501_M0113_A_050R</v>
          </cell>
          <cell r="F51">
            <v>45857.7673611111</v>
          </cell>
          <cell r="G51" t="str">
            <v>PFAF</v>
          </cell>
          <cell r="H51">
            <v>89.49</v>
          </cell>
          <cell r="I51">
            <v>1.5</v>
          </cell>
          <cell r="J51">
            <v>90.99</v>
          </cell>
          <cell r="K51">
            <v>1</v>
          </cell>
          <cell r="L51">
            <v>0.91</v>
          </cell>
          <cell r="M51">
            <v>60.67</v>
          </cell>
        </row>
        <row r="51">
          <cell r="Q51" t="str">
            <v>yes</v>
          </cell>
          <cell r="R51" t="str">
            <v>all</v>
          </cell>
          <cell r="S51" t="str">
            <v>R</v>
          </cell>
          <cell r="T51" t="str">
            <v>R (QD-TEC)</v>
          </cell>
        </row>
        <row r="51">
          <cell r="V51">
            <v>72</v>
          </cell>
          <cell r="W51">
            <v>0</v>
          </cell>
          <cell r="X51">
            <v>89.49</v>
          </cell>
          <cell r="Y51">
            <v>90.99</v>
          </cell>
        </row>
        <row r="52">
          <cell r="A52">
            <v>51</v>
          </cell>
          <cell r="B52">
            <v>501</v>
          </cell>
          <cell r="C52" t="str">
            <v>M0113</v>
          </cell>
          <cell r="D52" t="str">
            <v>A</v>
          </cell>
          <cell r="E52" t="str">
            <v>501_M0113_A_051R</v>
          </cell>
          <cell r="F52">
            <v>45857.7986111111</v>
          </cell>
          <cell r="G52" t="str">
            <v>PFAF</v>
          </cell>
          <cell r="H52">
            <v>90.99</v>
          </cell>
          <cell r="I52">
            <v>1.5</v>
          </cell>
          <cell r="J52">
            <v>92.49</v>
          </cell>
          <cell r="K52">
            <v>1</v>
          </cell>
          <cell r="L52">
            <v>1.16</v>
          </cell>
          <cell r="M52">
            <v>77.33</v>
          </cell>
        </row>
        <row r="52"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</row>
        <row r="52">
          <cell r="V52">
            <v>72</v>
          </cell>
          <cell r="W52">
            <v>0</v>
          </cell>
          <cell r="X52">
            <v>90.99</v>
          </cell>
          <cell r="Y52">
            <v>92.49</v>
          </cell>
        </row>
        <row r="53">
          <cell r="A53">
            <v>52</v>
          </cell>
          <cell r="B53">
            <v>501</v>
          </cell>
          <cell r="C53" t="str">
            <v>M0113</v>
          </cell>
          <cell r="D53" t="str">
            <v>A</v>
          </cell>
          <cell r="E53" t="str">
            <v>501_M0113_A_052R</v>
          </cell>
          <cell r="F53">
            <v>45857.8263888889</v>
          </cell>
          <cell r="G53" t="str">
            <v>PFAF</v>
          </cell>
          <cell r="H53">
            <v>92.49</v>
          </cell>
          <cell r="I53">
            <v>1.5</v>
          </cell>
          <cell r="J53">
            <v>93.99</v>
          </cell>
          <cell r="K53">
            <v>0</v>
          </cell>
          <cell r="L53">
            <v>0</v>
          </cell>
          <cell r="M53">
            <v>0</v>
          </cell>
        </row>
        <row r="53">
          <cell r="P53" t="str">
            <v>no recovery</v>
          </cell>
          <cell r="Q53" t="str">
            <v>no</v>
          </cell>
          <cell r="R53" t="str">
            <v>none</v>
          </cell>
          <cell r="S53" t="str">
            <v>R</v>
          </cell>
          <cell r="T53" t="str">
            <v>R (QD-TEC)</v>
          </cell>
        </row>
        <row r="53">
          <cell r="V53">
            <v>72</v>
          </cell>
          <cell r="W53">
            <v>0</v>
          </cell>
          <cell r="X53">
            <v>92.49</v>
          </cell>
          <cell r="Y53">
            <v>93.99</v>
          </cell>
        </row>
        <row r="54">
          <cell r="A54">
            <v>53</v>
          </cell>
          <cell r="B54">
            <v>501</v>
          </cell>
          <cell r="C54" t="str">
            <v>M0113</v>
          </cell>
          <cell r="D54" t="str">
            <v>A</v>
          </cell>
          <cell r="E54" t="str">
            <v>501_M0113_A_053R</v>
          </cell>
          <cell r="F54">
            <v>45857.875</v>
          </cell>
          <cell r="G54" t="str">
            <v>PFAF</v>
          </cell>
          <cell r="H54">
            <v>93.99</v>
          </cell>
          <cell r="I54">
            <v>1.5</v>
          </cell>
          <cell r="J54">
            <v>95.49</v>
          </cell>
          <cell r="K54">
            <v>2</v>
          </cell>
          <cell r="L54">
            <v>2.7</v>
          </cell>
          <cell r="M54">
            <v>180</v>
          </cell>
        </row>
        <row r="54"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</row>
        <row r="54">
          <cell r="V54">
            <v>72</v>
          </cell>
          <cell r="W54">
            <v>0</v>
          </cell>
          <cell r="X54">
            <v>93.99</v>
          </cell>
          <cell r="Y54">
            <v>95.49</v>
          </cell>
        </row>
        <row r="55">
          <cell r="A55">
            <v>54</v>
          </cell>
          <cell r="B55">
            <v>501</v>
          </cell>
          <cell r="C55" t="str">
            <v>M0113</v>
          </cell>
          <cell r="D55" t="str">
            <v>A</v>
          </cell>
          <cell r="E55" t="str">
            <v>501_M0113_A_054R</v>
          </cell>
          <cell r="F55">
            <v>45857.8993055556</v>
          </cell>
          <cell r="G55" t="str">
            <v>PFAF</v>
          </cell>
          <cell r="H55">
            <v>95.49</v>
          </cell>
          <cell r="I55">
            <v>1.5</v>
          </cell>
          <cell r="J55">
            <v>96.99</v>
          </cell>
          <cell r="K55">
            <v>1</v>
          </cell>
          <cell r="L55">
            <v>1.23</v>
          </cell>
          <cell r="M55">
            <v>82</v>
          </cell>
        </row>
        <row r="55">
          <cell r="Q55" t="str">
            <v>yes</v>
          </cell>
          <cell r="R55" t="str">
            <v>all</v>
          </cell>
          <cell r="S55" t="str">
            <v>R</v>
          </cell>
          <cell r="T55" t="str">
            <v>R (QD-TEC)</v>
          </cell>
        </row>
        <row r="55">
          <cell r="V55">
            <v>72</v>
          </cell>
          <cell r="W55">
            <v>0</v>
          </cell>
          <cell r="X55">
            <v>95.49</v>
          </cell>
          <cell r="Y55">
            <v>96.99</v>
          </cell>
        </row>
        <row r="56">
          <cell r="A56">
            <v>55</v>
          </cell>
          <cell r="B56">
            <v>501</v>
          </cell>
          <cell r="C56" t="str">
            <v>M0113</v>
          </cell>
          <cell r="D56" t="str">
            <v>A</v>
          </cell>
          <cell r="E56" t="str">
            <v>501_M0113_A_055H</v>
          </cell>
          <cell r="F56">
            <v>45857.9444444444</v>
          </cell>
          <cell r="G56" t="str">
            <v>PFAF</v>
          </cell>
          <cell r="H56">
            <v>96.99</v>
          </cell>
          <cell r="I56">
            <v>2</v>
          </cell>
          <cell r="J56">
            <v>98.99</v>
          </cell>
          <cell r="K56">
            <v>2</v>
          </cell>
          <cell r="L56">
            <v>2</v>
          </cell>
          <cell r="M56">
            <v>100</v>
          </cell>
        </row>
        <row r="56">
          <cell r="Q56" t="str">
            <v>yes</v>
          </cell>
          <cell r="R56" t="str">
            <v>all</v>
          </cell>
          <cell r="S56" t="str">
            <v>H</v>
          </cell>
          <cell r="T56" t="str">
            <v>H (QD-TEC)</v>
          </cell>
        </row>
        <row r="56">
          <cell r="V56">
            <v>72</v>
          </cell>
          <cell r="W56">
            <v>0</v>
          </cell>
          <cell r="X56">
            <v>96.99</v>
          </cell>
          <cell r="Y56">
            <v>98.99</v>
          </cell>
        </row>
        <row r="57">
          <cell r="A57">
            <v>56</v>
          </cell>
          <cell r="B57">
            <v>501</v>
          </cell>
          <cell r="C57" t="str">
            <v>M0113</v>
          </cell>
          <cell r="D57" t="str">
            <v>A</v>
          </cell>
          <cell r="E57" t="str">
            <v>501_M0113_A_056H</v>
          </cell>
          <cell r="F57">
            <v>45857.9965277778</v>
          </cell>
          <cell r="G57" t="str">
            <v>PFAF</v>
          </cell>
          <cell r="H57">
            <v>98.99</v>
          </cell>
          <cell r="I57">
            <v>2.41</v>
          </cell>
          <cell r="J57">
            <v>101.4</v>
          </cell>
          <cell r="K57">
            <v>2</v>
          </cell>
          <cell r="L57">
            <v>2.41</v>
          </cell>
          <cell r="M57">
            <v>100</v>
          </cell>
        </row>
        <row r="57">
          <cell r="Q57" t="str">
            <v>yes</v>
          </cell>
          <cell r="R57" t="str">
            <v>all</v>
          </cell>
          <cell r="S57" t="str">
            <v>H</v>
          </cell>
          <cell r="T57" t="str">
            <v>H (QD-TEC)</v>
          </cell>
        </row>
        <row r="57">
          <cell r="V57">
            <v>72</v>
          </cell>
          <cell r="W57">
            <v>0</v>
          </cell>
          <cell r="X57">
            <v>98.99</v>
          </cell>
          <cell r="Y57">
            <v>101.4</v>
          </cell>
        </row>
        <row r="58">
          <cell r="A58">
            <v>57</v>
          </cell>
          <cell r="B58">
            <v>501</v>
          </cell>
          <cell r="C58" t="str">
            <v>M0113</v>
          </cell>
          <cell r="D58" t="str">
            <v>A</v>
          </cell>
          <cell r="E58" t="str">
            <v>501_M0113_A_057H</v>
          </cell>
          <cell r="F58">
            <v>45858.0451388889</v>
          </cell>
          <cell r="G58" t="str">
            <v>PFAF</v>
          </cell>
          <cell r="H58">
            <v>101.4</v>
          </cell>
          <cell r="I58">
            <v>1.98</v>
          </cell>
          <cell r="J58">
            <v>103.38</v>
          </cell>
          <cell r="K58">
            <v>2</v>
          </cell>
          <cell r="L58">
            <v>1.98</v>
          </cell>
          <cell r="M58">
            <v>100</v>
          </cell>
        </row>
        <row r="58">
          <cell r="Q58" t="str">
            <v>yes</v>
          </cell>
          <cell r="R58" t="str">
            <v>all</v>
          </cell>
          <cell r="S58" t="str">
            <v>H</v>
          </cell>
          <cell r="T58" t="str">
            <v>H (QD-TEC)</v>
          </cell>
        </row>
        <row r="58">
          <cell r="V58">
            <v>72</v>
          </cell>
          <cell r="W58">
            <v>0</v>
          </cell>
          <cell r="X58">
            <v>101.4</v>
          </cell>
          <cell r="Y58">
            <v>103.38</v>
          </cell>
        </row>
        <row r="59">
          <cell r="A59">
            <v>58</v>
          </cell>
          <cell r="B59">
            <v>501</v>
          </cell>
          <cell r="C59" t="str">
            <v>M0113</v>
          </cell>
          <cell r="D59" t="str">
            <v>A</v>
          </cell>
          <cell r="E59" t="str">
            <v>501_M0113_A_058H</v>
          </cell>
          <cell r="F59">
            <v>45858.0868055556</v>
          </cell>
          <cell r="G59" t="str">
            <v>PFAF</v>
          </cell>
          <cell r="H59">
            <v>103.38</v>
          </cell>
          <cell r="I59">
            <v>1.65</v>
          </cell>
          <cell r="J59">
            <v>105.03</v>
          </cell>
          <cell r="K59">
            <v>2</v>
          </cell>
          <cell r="L59">
            <v>1.65</v>
          </cell>
          <cell r="M59">
            <v>100</v>
          </cell>
        </row>
        <row r="59">
          <cell r="Q59" t="str">
            <v>yes</v>
          </cell>
          <cell r="R59" t="str">
            <v>all</v>
          </cell>
          <cell r="S59" t="str">
            <v>H</v>
          </cell>
          <cell r="T59" t="str">
            <v>H (QD-TEC)</v>
          </cell>
        </row>
        <row r="59">
          <cell r="V59">
            <v>72</v>
          </cell>
          <cell r="W59">
            <v>0</v>
          </cell>
          <cell r="X59">
            <v>103.38</v>
          </cell>
          <cell r="Y59">
            <v>105.03</v>
          </cell>
        </row>
        <row r="60">
          <cell r="A60">
            <v>59</v>
          </cell>
          <cell r="B60">
            <v>501</v>
          </cell>
          <cell r="C60" t="str">
            <v>M0113</v>
          </cell>
          <cell r="D60" t="str">
            <v>A</v>
          </cell>
          <cell r="E60" t="str">
            <v>501_M0113_A_059H</v>
          </cell>
          <cell r="F60">
            <v>45858.1388888889</v>
          </cell>
          <cell r="G60" t="str">
            <v>PFAF</v>
          </cell>
          <cell r="H60">
            <v>104.22</v>
          </cell>
          <cell r="I60">
            <v>0.81</v>
          </cell>
          <cell r="J60">
            <v>105.03</v>
          </cell>
          <cell r="K60">
            <v>2</v>
          </cell>
          <cell r="L60">
            <v>0.81</v>
          </cell>
          <cell r="M60">
            <v>100</v>
          </cell>
        </row>
        <row r="60">
          <cell r="P60" t="str">
            <v>infill only</v>
          </cell>
          <cell r="Q60" t="str">
            <v>yes</v>
          </cell>
          <cell r="R60" t="str">
            <v>all</v>
          </cell>
          <cell r="S60" t="str">
            <v>H</v>
          </cell>
          <cell r="T60" t="str">
            <v>H (QD-TEC)</v>
          </cell>
        </row>
        <row r="60">
          <cell r="V60">
            <v>72</v>
          </cell>
          <cell r="W60">
            <v>0</v>
          </cell>
          <cell r="X60">
            <v>104.22</v>
          </cell>
          <cell r="Y60">
            <v>105.03</v>
          </cell>
        </row>
        <row r="61">
          <cell r="A61">
            <v>60</v>
          </cell>
          <cell r="B61">
            <v>501</v>
          </cell>
          <cell r="C61" t="str">
            <v>M0113</v>
          </cell>
          <cell r="D61" t="str">
            <v>A</v>
          </cell>
          <cell r="E61" t="str">
            <v>501_M0113_A_060H</v>
          </cell>
          <cell r="F61">
            <v>45858.1805555556</v>
          </cell>
          <cell r="G61" t="str">
            <v>GEPR</v>
          </cell>
          <cell r="H61">
            <v>105.03</v>
          </cell>
          <cell r="I61">
            <v>0.87</v>
          </cell>
          <cell r="J61">
            <v>105.9</v>
          </cell>
          <cell r="K61">
            <v>2</v>
          </cell>
          <cell r="L61">
            <v>0.87</v>
          </cell>
          <cell r="M61">
            <v>100</v>
          </cell>
        </row>
        <row r="61">
          <cell r="Q61" t="str">
            <v>yes</v>
          </cell>
          <cell r="R61" t="str">
            <v>all</v>
          </cell>
          <cell r="S61" t="str">
            <v>H</v>
          </cell>
          <cell r="T61" t="str">
            <v>H (QD-TEC)</v>
          </cell>
        </row>
        <row r="61">
          <cell r="V61">
            <v>72</v>
          </cell>
          <cell r="W61">
            <v>0</v>
          </cell>
          <cell r="X61">
            <v>105.03</v>
          </cell>
          <cell r="Y61">
            <v>105.9</v>
          </cell>
        </row>
        <row r="62">
          <cell r="A62">
            <v>61</v>
          </cell>
          <cell r="B62">
            <v>501</v>
          </cell>
          <cell r="C62" t="str">
            <v>M0113</v>
          </cell>
          <cell r="D62" t="str">
            <v>A</v>
          </cell>
          <cell r="E62" t="str">
            <v>501_M0113_A_061R</v>
          </cell>
          <cell r="F62">
            <v>45858.2222222222</v>
          </cell>
          <cell r="G62" t="str">
            <v>GEPR</v>
          </cell>
          <cell r="H62">
            <v>105.9</v>
          </cell>
          <cell r="I62">
            <v>1.59</v>
          </cell>
          <cell r="J62">
            <v>107.49</v>
          </cell>
          <cell r="K62">
            <v>1</v>
          </cell>
          <cell r="L62">
            <v>0.59</v>
          </cell>
          <cell r="M62">
            <v>37.11</v>
          </cell>
        </row>
        <row r="62">
          <cell r="P62" t="str">
            <v>big gravel pieces inside clay</v>
          </cell>
          <cell r="Q62" t="str">
            <v>yes</v>
          </cell>
          <cell r="R62" t="str">
            <v>all</v>
          </cell>
          <cell r="S62" t="str">
            <v>R</v>
          </cell>
          <cell r="T62" t="str">
            <v>R (QD-TEC)</v>
          </cell>
        </row>
        <row r="62">
          <cell r="V62">
            <v>72</v>
          </cell>
          <cell r="W62">
            <v>0</v>
          </cell>
          <cell r="X62">
            <v>105.9</v>
          </cell>
          <cell r="Y62">
            <v>107.49</v>
          </cell>
        </row>
        <row r="63">
          <cell r="A63">
            <v>62</v>
          </cell>
          <cell r="B63">
            <v>501</v>
          </cell>
          <cell r="C63" t="str">
            <v>M0113</v>
          </cell>
          <cell r="D63" t="str">
            <v>A</v>
          </cell>
          <cell r="E63" t="str">
            <v>501_M0113_A_062R</v>
          </cell>
          <cell r="F63">
            <v>45858.25</v>
          </cell>
          <cell r="G63" t="str">
            <v>GEPR</v>
          </cell>
          <cell r="H63">
            <v>107.49</v>
          </cell>
          <cell r="I63">
            <v>1.5</v>
          </cell>
          <cell r="J63">
            <v>108.99</v>
          </cell>
          <cell r="K63">
            <v>1</v>
          </cell>
          <cell r="L63">
            <v>0.47</v>
          </cell>
          <cell r="M63">
            <v>31.33</v>
          </cell>
        </row>
        <row r="63">
          <cell r="Q63" t="str">
            <v>yes</v>
          </cell>
          <cell r="R63" t="str">
            <v>all</v>
          </cell>
          <cell r="S63" t="str">
            <v>R</v>
          </cell>
          <cell r="T63" t="str">
            <v>R (QD-TEC)</v>
          </cell>
        </row>
        <row r="63">
          <cell r="V63">
            <v>72</v>
          </cell>
          <cell r="W63">
            <v>0</v>
          </cell>
          <cell r="X63">
            <v>107.49</v>
          </cell>
          <cell r="Y63">
            <v>108.99</v>
          </cell>
        </row>
        <row r="64">
          <cell r="A64">
            <v>63</v>
          </cell>
          <cell r="B64">
            <v>501</v>
          </cell>
          <cell r="C64" t="str">
            <v>M0113</v>
          </cell>
          <cell r="D64" t="str">
            <v>A</v>
          </cell>
          <cell r="E64" t="str">
            <v>501_M0113_A_063H</v>
          </cell>
          <cell r="F64">
            <v>45858.2708333333</v>
          </cell>
          <cell r="G64" t="str">
            <v>GEPR</v>
          </cell>
          <cell r="H64">
            <v>108.99</v>
          </cell>
          <cell r="I64">
            <v>0.94</v>
          </cell>
          <cell r="J64">
            <v>109.93</v>
          </cell>
          <cell r="K64">
            <v>2</v>
          </cell>
          <cell r="L64">
            <v>0.94</v>
          </cell>
          <cell r="M64">
            <v>100</v>
          </cell>
        </row>
        <row r="64">
          <cell r="Q64" t="str">
            <v>yes</v>
          </cell>
          <cell r="R64" t="str">
            <v>all</v>
          </cell>
          <cell r="S64" t="str">
            <v>H</v>
          </cell>
          <cell r="T64" t="str">
            <v>H (QD-TEC)</v>
          </cell>
        </row>
        <row r="64">
          <cell r="V64">
            <v>72</v>
          </cell>
          <cell r="W64">
            <v>0</v>
          </cell>
          <cell r="X64">
            <v>108.99</v>
          </cell>
          <cell r="Y64">
            <v>109.93</v>
          </cell>
        </row>
        <row r="65">
          <cell r="A65">
            <v>64</v>
          </cell>
          <cell r="B65">
            <v>501</v>
          </cell>
          <cell r="C65" t="str">
            <v>M0113</v>
          </cell>
          <cell r="D65" t="str">
            <v>A</v>
          </cell>
          <cell r="E65" t="str">
            <v>501_M0113_A_064H</v>
          </cell>
          <cell r="F65">
            <v>45858.3229166667</v>
          </cell>
          <cell r="G65" t="str">
            <v>GEPR</v>
          </cell>
          <cell r="H65">
            <v>109.93</v>
          </cell>
          <cell r="I65">
            <v>0.21</v>
          </cell>
          <cell r="J65">
            <v>110.14</v>
          </cell>
          <cell r="K65">
            <v>1</v>
          </cell>
          <cell r="L65">
            <v>0.21</v>
          </cell>
          <cell r="M65">
            <v>100</v>
          </cell>
        </row>
        <row r="65">
          <cell r="P65" t="str">
            <v>stuck in liner</v>
          </cell>
        </row>
        <row r="65">
          <cell r="X65">
            <v>109.93</v>
          </cell>
        </row>
        <row r="66">
          <cell r="A66">
            <v>65</v>
          </cell>
          <cell r="B66">
            <v>501</v>
          </cell>
          <cell r="C66" t="str">
            <v>M0113</v>
          </cell>
          <cell r="D66" t="str">
            <v>A</v>
          </cell>
          <cell r="E66" t="str">
            <v>501_M0113_A_065R</v>
          </cell>
          <cell r="F66">
            <v>45858.3680555556</v>
          </cell>
          <cell r="G66" t="str">
            <v>GEPR</v>
          </cell>
          <cell r="H66">
            <v>109.93</v>
          </cell>
          <cell r="I66">
            <v>2.06</v>
          </cell>
          <cell r="J66">
            <v>111.99</v>
          </cell>
          <cell r="K66">
            <v>2</v>
          </cell>
          <cell r="L66">
            <v>1.38</v>
          </cell>
          <cell r="M66">
            <v>66.99</v>
          </cell>
        </row>
        <row r="66">
          <cell r="Q66" t="str">
            <v>yes</v>
          </cell>
          <cell r="R66" t="str">
            <v>all</v>
          </cell>
          <cell r="S66" t="str">
            <v>R</v>
          </cell>
          <cell r="T66" t="str">
            <v>R (QD-TEC)</v>
          </cell>
        </row>
        <row r="66">
          <cell r="V66">
            <v>72</v>
          </cell>
          <cell r="W66">
            <v>0</v>
          </cell>
          <cell r="X66">
            <v>109.93</v>
          </cell>
          <cell r="Y66">
            <v>111.99</v>
          </cell>
        </row>
        <row r="67">
          <cell r="A67">
            <v>66</v>
          </cell>
          <cell r="B67">
            <v>501</v>
          </cell>
          <cell r="C67" t="str">
            <v>M0113</v>
          </cell>
          <cell r="D67" t="str">
            <v>A</v>
          </cell>
          <cell r="E67" t="str">
            <v>501_M0113_A_066R</v>
          </cell>
          <cell r="F67">
            <v>45858.4027777778</v>
          </cell>
          <cell r="G67" t="str">
            <v>GEPR</v>
          </cell>
          <cell r="H67">
            <v>111.99</v>
          </cell>
          <cell r="I67">
            <v>1.5</v>
          </cell>
          <cell r="J67">
            <v>113.49</v>
          </cell>
          <cell r="K67">
            <v>1</v>
          </cell>
          <cell r="L67">
            <v>0.24</v>
          </cell>
          <cell r="M67">
            <v>16</v>
          </cell>
        </row>
        <row r="67">
          <cell r="Q67" t="str">
            <v>yes</v>
          </cell>
          <cell r="R67" t="str">
            <v>all</v>
          </cell>
          <cell r="S67" t="str">
            <v>R</v>
          </cell>
          <cell r="T67" t="str">
            <v>R (QD-TEC)</v>
          </cell>
        </row>
        <row r="67">
          <cell r="V67">
            <v>72</v>
          </cell>
          <cell r="W67">
            <v>0</v>
          </cell>
          <cell r="X67">
            <v>111.99</v>
          </cell>
          <cell r="Y67">
            <v>113.49</v>
          </cell>
        </row>
        <row r="68">
          <cell r="A68">
            <v>67</v>
          </cell>
          <cell r="B68">
            <v>501</v>
          </cell>
          <cell r="C68" t="str">
            <v>M0113</v>
          </cell>
          <cell r="D68" t="str">
            <v>A</v>
          </cell>
          <cell r="E68" t="str">
            <v>501_M0113_A_067R</v>
          </cell>
          <cell r="F68">
            <v>45858.4444444444</v>
          </cell>
          <cell r="G68" t="str">
            <v>GEPR</v>
          </cell>
          <cell r="H68">
            <v>113.49</v>
          </cell>
          <cell r="I68">
            <v>1.5</v>
          </cell>
          <cell r="J68">
            <v>114.99</v>
          </cell>
          <cell r="K68">
            <v>1</v>
          </cell>
          <cell r="L68">
            <v>1.24</v>
          </cell>
          <cell r="M68">
            <v>82.67</v>
          </cell>
        </row>
        <row r="68">
          <cell r="Q68" t="str">
            <v>yes</v>
          </cell>
          <cell r="R68" t="str">
            <v>all</v>
          </cell>
          <cell r="S68" t="str">
            <v>R</v>
          </cell>
          <cell r="T68" t="str">
            <v>R (QD-TEC)</v>
          </cell>
        </row>
        <row r="68">
          <cell r="V68">
            <v>72</v>
          </cell>
          <cell r="W68">
            <v>0</v>
          </cell>
          <cell r="X68">
            <v>113.49</v>
          </cell>
          <cell r="Y68">
            <v>114.99</v>
          </cell>
        </row>
        <row r="69">
          <cell r="A69">
            <v>68</v>
          </cell>
          <cell r="B69">
            <v>501</v>
          </cell>
          <cell r="C69" t="str">
            <v>M0113</v>
          </cell>
          <cell r="D69" t="str">
            <v>A</v>
          </cell>
          <cell r="E69" t="str">
            <v>501_M0113_A_068R</v>
          </cell>
          <cell r="F69">
            <v>45858.4722222222</v>
          </cell>
          <cell r="G69" t="str">
            <v>GEPR</v>
          </cell>
          <cell r="H69">
            <v>114.99</v>
          </cell>
          <cell r="I69">
            <v>1.5</v>
          </cell>
          <cell r="J69">
            <v>116.49</v>
          </cell>
          <cell r="K69">
            <v>1</v>
          </cell>
          <cell r="L69">
            <v>0.45</v>
          </cell>
          <cell r="M69">
            <v>30</v>
          </cell>
        </row>
        <row r="69">
          <cell r="Q69" t="str">
            <v>yes</v>
          </cell>
          <cell r="R69" t="str">
            <v>all</v>
          </cell>
          <cell r="S69" t="str">
            <v>R</v>
          </cell>
          <cell r="T69" t="str">
            <v>R (QD-TEC)</v>
          </cell>
        </row>
        <row r="69">
          <cell r="V69">
            <v>72</v>
          </cell>
          <cell r="W69">
            <v>0</v>
          </cell>
          <cell r="X69">
            <v>114.99</v>
          </cell>
          <cell r="Y69">
            <v>116.49</v>
          </cell>
        </row>
        <row r="70">
          <cell r="A70">
            <v>69</v>
          </cell>
          <cell r="B70">
            <v>501</v>
          </cell>
          <cell r="C70" t="str">
            <v>M0113</v>
          </cell>
          <cell r="D70" t="str">
            <v>A</v>
          </cell>
          <cell r="E70" t="str">
            <v>501_M0113_A_069R</v>
          </cell>
          <cell r="F70">
            <v>45858.5</v>
          </cell>
          <cell r="G70" t="str">
            <v>GEPR</v>
          </cell>
          <cell r="H70">
            <v>116.49</v>
          </cell>
          <cell r="I70">
            <v>1.5</v>
          </cell>
          <cell r="J70">
            <v>117.99</v>
          </cell>
          <cell r="K70">
            <v>1</v>
          </cell>
          <cell r="L70">
            <v>0.45</v>
          </cell>
          <cell r="M70">
            <v>30</v>
          </cell>
        </row>
        <row r="70">
          <cell r="Q70" t="str">
            <v>yes</v>
          </cell>
          <cell r="R70" t="str">
            <v>all</v>
          </cell>
          <cell r="S70" t="str">
            <v>R</v>
          </cell>
          <cell r="T70" t="str">
            <v>R (QD-TEC)</v>
          </cell>
        </row>
        <row r="70">
          <cell r="V70">
            <v>72</v>
          </cell>
          <cell r="W70">
            <v>0</v>
          </cell>
          <cell r="X70">
            <v>116.49</v>
          </cell>
          <cell r="Y70">
            <v>117.99</v>
          </cell>
        </row>
        <row r="71">
          <cell r="A71">
            <v>70</v>
          </cell>
          <cell r="B71">
            <v>501</v>
          </cell>
          <cell r="C71" t="str">
            <v>M0113</v>
          </cell>
          <cell r="D71" t="str">
            <v>A</v>
          </cell>
          <cell r="E71" t="str">
            <v>501_M0113_A_070R</v>
          </cell>
          <cell r="F71">
            <v>45858.5520833333</v>
          </cell>
          <cell r="G71" t="str">
            <v>GEPR</v>
          </cell>
          <cell r="H71">
            <v>117.99</v>
          </cell>
          <cell r="I71">
            <v>1.5</v>
          </cell>
          <cell r="J71">
            <v>119.49</v>
          </cell>
          <cell r="K71">
            <v>1</v>
          </cell>
          <cell r="L71">
            <v>0.98</v>
          </cell>
          <cell r="M71">
            <v>65.33</v>
          </cell>
        </row>
        <row r="71">
          <cell r="Q71" t="str">
            <v>yes</v>
          </cell>
          <cell r="R71" t="str">
            <v>all</v>
          </cell>
          <cell r="S71" t="str">
            <v>R</v>
          </cell>
          <cell r="T71" t="str">
            <v>R (QD-TEC)</v>
          </cell>
        </row>
        <row r="71">
          <cell r="V71">
            <v>72</v>
          </cell>
          <cell r="W71">
            <v>0</v>
          </cell>
          <cell r="X71">
            <v>117.99</v>
          </cell>
          <cell r="Y71">
            <v>119.49</v>
          </cell>
        </row>
        <row r="72">
          <cell r="A72">
            <v>71</v>
          </cell>
          <cell r="B72">
            <v>501</v>
          </cell>
          <cell r="C72" t="str">
            <v>M0113</v>
          </cell>
          <cell r="D72" t="str">
            <v>A</v>
          </cell>
          <cell r="E72" t="str">
            <v>501_M0113_A_071R</v>
          </cell>
          <cell r="F72">
            <v>45858.5763888889</v>
          </cell>
          <cell r="G72" t="str">
            <v>GEPR</v>
          </cell>
          <cell r="H72">
            <v>119.49</v>
          </cell>
          <cell r="I72">
            <v>1.5</v>
          </cell>
          <cell r="J72">
            <v>120.99</v>
          </cell>
          <cell r="K72">
            <v>1</v>
          </cell>
          <cell r="L72">
            <v>0.36</v>
          </cell>
          <cell r="M72">
            <v>24</v>
          </cell>
        </row>
        <row r="72">
          <cell r="Q72" t="str">
            <v>yes</v>
          </cell>
          <cell r="R72" t="str">
            <v>all</v>
          </cell>
          <cell r="S72" t="str">
            <v>R</v>
          </cell>
          <cell r="T72" t="str">
            <v>R (QD-TEC)</v>
          </cell>
        </row>
        <row r="72">
          <cell r="V72">
            <v>72</v>
          </cell>
          <cell r="W72">
            <v>0</v>
          </cell>
          <cell r="X72">
            <v>119.49</v>
          </cell>
          <cell r="Y72">
            <v>120.99</v>
          </cell>
        </row>
        <row r="73">
          <cell r="A73">
            <v>72</v>
          </cell>
          <cell r="B73">
            <v>501</v>
          </cell>
          <cell r="C73" t="str">
            <v>M0113</v>
          </cell>
          <cell r="D73" t="str">
            <v>A</v>
          </cell>
          <cell r="E73" t="str">
            <v>501_M0113_A_072R</v>
          </cell>
          <cell r="F73">
            <v>45858.6319444444</v>
          </cell>
          <cell r="G73" t="str">
            <v>GEPR</v>
          </cell>
          <cell r="H73">
            <v>120.99</v>
          </cell>
          <cell r="I73">
            <v>1.5</v>
          </cell>
          <cell r="J73">
            <v>122.49</v>
          </cell>
          <cell r="K73">
            <v>1</v>
          </cell>
          <cell r="L73">
            <v>1.12</v>
          </cell>
          <cell r="M73">
            <v>74.67</v>
          </cell>
        </row>
        <row r="73">
          <cell r="P73" t="str">
            <v>core transferred into new liner</v>
          </cell>
          <cell r="Q73" t="str">
            <v>yes</v>
          </cell>
          <cell r="R73" t="str">
            <v>all</v>
          </cell>
          <cell r="S73" t="str">
            <v>R</v>
          </cell>
          <cell r="T73" t="str">
            <v>R (QD-TEC)</v>
          </cell>
        </row>
        <row r="73">
          <cell r="V73">
            <v>72</v>
          </cell>
          <cell r="W73">
            <v>0</v>
          </cell>
          <cell r="X73">
            <v>120.99</v>
          </cell>
          <cell r="Y73">
            <v>122.49</v>
          </cell>
        </row>
        <row r="74">
          <cell r="A74">
            <v>73</v>
          </cell>
          <cell r="B74">
            <v>501</v>
          </cell>
          <cell r="C74" t="str">
            <v>M0113</v>
          </cell>
          <cell r="D74" t="str">
            <v>A</v>
          </cell>
          <cell r="E74" t="str">
            <v>501_M0113_A_073R</v>
          </cell>
          <cell r="F74">
            <v>45858.6770833333</v>
          </cell>
          <cell r="G74" t="str">
            <v>PFAF</v>
          </cell>
          <cell r="H74">
            <v>122.49</v>
          </cell>
          <cell r="I74">
            <v>1.5</v>
          </cell>
          <cell r="J74">
            <v>123.99</v>
          </cell>
          <cell r="K74">
            <v>1</v>
          </cell>
          <cell r="L74">
            <v>0.5</v>
          </cell>
          <cell r="M74">
            <v>33.33</v>
          </cell>
        </row>
        <row r="74">
          <cell r="Q74" t="str">
            <v>yes</v>
          </cell>
          <cell r="R74" t="str">
            <v>all</v>
          </cell>
          <cell r="S74" t="str">
            <v>R</v>
          </cell>
          <cell r="T74" t="str">
            <v>R (QD-TEC)</v>
          </cell>
        </row>
        <row r="74">
          <cell r="V74">
            <v>72</v>
          </cell>
          <cell r="W74">
            <v>0</v>
          </cell>
          <cell r="X74">
            <v>122.49</v>
          </cell>
          <cell r="Y74">
            <v>123.99</v>
          </cell>
        </row>
        <row r="75">
          <cell r="A75">
            <v>74</v>
          </cell>
          <cell r="B75">
            <v>501</v>
          </cell>
          <cell r="C75" t="str">
            <v>M0113</v>
          </cell>
          <cell r="D75" t="str">
            <v>A</v>
          </cell>
          <cell r="E75" t="str">
            <v>501_M0113_A_074R</v>
          </cell>
          <cell r="F75">
            <v>45858.7881944444</v>
          </cell>
          <cell r="G75" t="str">
            <v>PFAF</v>
          </cell>
          <cell r="H75">
            <v>123.99</v>
          </cell>
          <cell r="I75">
            <v>1.5</v>
          </cell>
          <cell r="J75">
            <v>125.49</v>
          </cell>
          <cell r="K75">
            <v>1</v>
          </cell>
          <cell r="L75">
            <v>0.54</v>
          </cell>
          <cell r="M75">
            <v>36</v>
          </cell>
        </row>
        <row r="75">
          <cell r="Q75" t="str">
            <v>yes</v>
          </cell>
          <cell r="R75" t="str">
            <v>all</v>
          </cell>
          <cell r="S75" t="str">
            <v>R</v>
          </cell>
          <cell r="T75" t="str">
            <v>R (QD-TEC)</v>
          </cell>
        </row>
        <row r="75">
          <cell r="V75">
            <v>72</v>
          </cell>
          <cell r="W75">
            <v>0</v>
          </cell>
          <cell r="X75">
            <v>123.99</v>
          </cell>
          <cell r="Y75">
            <v>125.49</v>
          </cell>
        </row>
        <row r="76">
          <cell r="A76">
            <v>75</v>
          </cell>
          <cell r="B76">
            <v>501</v>
          </cell>
          <cell r="C76" t="str">
            <v>M0113</v>
          </cell>
          <cell r="D76" t="str">
            <v>A</v>
          </cell>
          <cell r="E76" t="str">
            <v>501_M0113_A_075R</v>
          </cell>
          <cell r="F76">
            <v>45858.8229166667</v>
          </cell>
          <cell r="G76" t="str">
            <v>PFAF</v>
          </cell>
          <cell r="H76">
            <v>125.49</v>
          </cell>
          <cell r="I76">
            <v>1.5</v>
          </cell>
          <cell r="J76">
            <v>126.99</v>
          </cell>
          <cell r="K76">
            <v>2</v>
          </cell>
          <cell r="L76">
            <v>1.02</v>
          </cell>
          <cell r="M76">
            <v>68</v>
          </cell>
        </row>
        <row r="76">
          <cell r="Q76" t="str">
            <v>yes</v>
          </cell>
          <cell r="R76" t="str">
            <v>all</v>
          </cell>
          <cell r="S76" t="str">
            <v>R</v>
          </cell>
          <cell r="T76" t="str">
            <v>R (QD-TEC)</v>
          </cell>
        </row>
        <row r="76">
          <cell r="V76">
            <v>72</v>
          </cell>
          <cell r="W76">
            <v>0</v>
          </cell>
          <cell r="X76">
            <v>125.49</v>
          </cell>
          <cell r="Y76">
            <v>126.99</v>
          </cell>
        </row>
        <row r="77">
          <cell r="A77">
            <v>76</v>
          </cell>
          <cell r="B77">
            <v>501</v>
          </cell>
          <cell r="C77" t="str">
            <v>M0113</v>
          </cell>
          <cell r="D77" t="str">
            <v>A</v>
          </cell>
          <cell r="E77" t="str">
            <v>501_M0113_A_076R</v>
          </cell>
          <cell r="F77">
            <v>45858.8645833333</v>
          </cell>
          <cell r="G77" t="str">
            <v>PFAF</v>
          </cell>
          <cell r="H77">
            <v>126.99</v>
          </cell>
          <cell r="I77">
            <v>1.5</v>
          </cell>
          <cell r="J77">
            <v>128.49</v>
          </cell>
          <cell r="K77">
            <v>1</v>
          </cell>
          <cell r="L77">
            <v>0.09</v>
          </cell>
          <cell r="M77">
            <v>6</v>
          </cell>
        </row>
        <row r="77">
          <cell r="Q77" t="str">
            <v>yes</v>
          </cell>
          <cell r="R77" t="str">
            <v>all</v>
          </cell>
          <cell r="S77" t="str">
            <v>R</v>
          </cell>
          <cell r="T77" t="str">
            <v>R (QD-TEC)</v>
          </cell>
        </row>
        <row r="77">
          <cell r="V77">
            <v>72</v>
          </cell>
          <cell r="W77">
            <v>0</v>
          </cell>
          <cell r="X77">
            <v>126.99</v>
          </cell>
          <cell r="Y77">
            <v>128.49</v>
          </cell>
        </row>
        <row r="78">
          <cell r="A78">
            <v>77</v>
          </cell>
          <cell r="B78">
            <v>501</v>
          </cell>
          <cell r="C78" t="str">
            <v>M0113</v>
          </cell>
          <cell r="D78" t="str">
            <v>A</v>
          </cell>
          <cell r="E78" t="str">
            <v>501_M0113_A_077R</v>
          </cell>
          <cell r="F78">
            <v>45858.8993055556</v>
          </cell>
          <cell r="G78" t="str">
            <v>PFAF</v>
          </cell>
          <cell r="H78">
            <v>128.49</v>
          </cell>
          <cell r="I78">
            <v>1.5</v>
          </cell>
          <cell r="J78">
            <v>129.99</v>
          </cell>
          <cell r="K78">
            <v>1</v>
          </cell>
          <cell r="L78">
            <v>0.2</v>
          </cell>
          <cell r="M78">
            <v>13.33</v>
          </cell>
        </row>
        <row r="78">
          <cell r="P78" t="str">
            <v>core transferred into new liner</v>
          </cell>
          <cell r="Q78" t="str">
            <v>yes</v>
          </cell>
          <cell r="R78" t="str">
            <v>all</v>
          </cell>
          <cell r="S78" t="str">
            <v>R</v>
          </cell>
          <cell r="T78" t="str">
            <v>R (QD-TEC)</v>
          </cell>
        </row>
        <row r="78">
          <cell r="V78">
            <v>72</v>
          </cell>
          <cell r="W78">
            <v>0</v>
          </cell>
          <cell r="X78">
            <v>128.49</v>
          </cell>
          <cell r="Y78">
            <v>129.99</v>
          </cell>
        </row>
        <row r="79">
          <cell r="A79">
            <v>78</v>
          </cell>
          <cell r="B79">
            <v>501</v>
          </cell>
          <cell r="C79" t="str">
            <v>M0113</v>
          </cell>
          <cell r="D79" t="str">
            <v>A</v>
          </cell>
          <cell r="E79" t="str">
            <v>501_M0113_A_078H</v>
          </cell>
          <cell r="F79">
            <v>45858.9305555556</v>
          </cell>
          <cell r="G79" t="str">
            <v>PFAF</v>
          </cell>
          <cell r="H79">
            <v>129.99</v>
          </cell>
          <cell r="I79">
            <v>2.3</v>
          </cell>
          <cell r="J79">
            <v>132.29</v>
          </cell>
          <cell r="K79">
            <v>2</v>
          </cell>
          <cell r="L79">
            <v>2.3</v>
          </cell>
          <cell r="M79">
            <v>100</v>
          </cell>
        </row>
        <row r="79">
          <cell r="Q79" t="str">
            <v>yes</v>
          </cell>
          <cell r="R79" t="str">
            <v>all</v>
          </cell>
          <cell r="S79" t="str">
            <v>H</v>
          </cell>
          <cell r="T79" t="str">
            <v>H (QD-TEC)</v>
          </cell>
        </row>
        <row r="79">
          <cell r="V79">
            <v>72</v>
          </cell>
          <cell r="W79">
            <v>0</v>
          </cell>
          <cell r="X79">
            <v>129.99</v>
          </cell>
          <cell r="Y79">
            <v>132.29</v>
          </cell>
        </row>
        <row r="80">
          <cell r="A80">
            <v>79</v>
          </cell>
          <cell r="B80">
            <v>501</v>
          </cell>
          <cell r="C80" t="str">
            <v>M0113</v>
          </cell>
          <cell r="D80" t="str">
            <v>A</v>
          </cell>
          <cell r="E80" t="str">
            <v>501_M0113_A_079H</v>
          </cell>
          <cell r="F80">
            <v>45858.9895833333</v>
          </cell>
          <cell r="G80" t="str">
            <v>PFAF</v>
          </cell>
          <cell r="H80">
            <v>131.59</v>
          </cell>
          <cell r="I80">
            <v>0.7</v>
          </cell>
          <cell r="J80">
            <v>132.29</v>
          </cell>
          <cell r="K80">
            <v>1</v>
          </cell>
          <cell r="L80">
            <v>0.16</v>
          </cell>
          <cell r="M80">
            <v>22.86</v>
          </cell>
        </row>
        <row r="80">
          <cell r="P80" t="str">
            <v>stuck in liner</v>
          </cell>
        </row>
        <row r="80">
          <cell r="X80">
            <v>131.59</v>
          </cell>
        </row>
        <row r="81">
          <cell r="A81">
            <v>80</v>
          </cell>
          <cell r="B81">
            <v>501</v>
          </cell>
          <cell r="C81" t="str">
            <v>M0113</v>
          </cell>
          <cell r="D81" t="str">
            <v>A</v>
          </cell>
          <cell r="E81" t="str">
            <v>501_M0113_A_080R</v>
          </cell>
          <cell r="F81">
            <v>45859.0659722222</v>
          </cell>
          <cell r="G81" t="str">
            <v>PFAF</v>
          </cell>
          <cell r="H81">
            <v>132.29</v>
          </cell>
          <cell r="I81">
            <v>2.2</v>
          </cell>
          <cell r="J81">
            <v>134.49</v>
          </cell>
          <cell r="K81">
            <v>1</v>
          </cell>
          <cell r="L81">
            <v>0.62</v>
          </cell>
          <cell r="M81">
            <v>28.18</v>
          </cell>
        </row>
        <row r="81">
          <cell r="Q81" t="str">
            <v>yes</v>
          </cell>
          <cell r="R81" t="str">
            <v>all</v>
          </cell>
          <cell r="S81" t="str">
            <v>R</v>
          </cell>
          <cell r="T81" t="str">
            <v>R (QD-TEC)</v>
          </cell>
        </row>
        <row r="81">
          <cell r="V81">
            <v>72</v>
          </cell>
          <cell r="W81">
            <v>0</v>
          </cell>
          <cell r="X81">
            <v>132.29</v>
          </cell>
          <cell r="Y81">
            <v>134.49</v>
          </cell>
        </row>
        <row r="82">
          <cell r="A82">
            <v>81</v>
          </cell>
          <cell r="B82">
            <v>501</v>
          </cell>
          <cell r="C82" t="str">
            <v>M0113</v>
          </cell>
          <cell r="D82" t="str">
            <v>A</v>
          </cell>
          <cell r="E82" t="str">
            <v>501_M0113_A_081R</v>
          </cell>
          <cell r="F82">
            <v>45859.1284722222</v>
          </cell>
          <cell r="G82" t="str">
            <v>PFAF</v>
          </cell>
          <cell r="H82">
            <v>134.49</v>
          </cell>
          <cell r="I82">
            <v>1.5</v>
          </cell>
          <cell r="J82">
            <v>135.99</v>
          </cell>
          <cell r="K82">
            <v>2</v>
          </cell>
          <cell r="L82">
            <v>0.95</v>
          </cell>
          <cell r="M82">
            <v>63.33</v>
          </cell>
        </row>
        <row r="82">
          <cell r="Q82" t="str">
            <v>yes</v>
          </cell>
          <cell r="R82" t="str">
            <v>all</v>
          </cell>
          <cell r="S82" t="str">
            <v>R</v>
          </cell>
          <cell r="T82" t="str">
            <v>R (QD-TEC)</v>
          </cell>
        </row>
        <row r="82">
          <cell r="V82">
            <v>72</v>
          </cell>
          <cell r="W82">
            <v>0</v>
          </cell>
          <cell r="X82">
            <v>134.49</v>
          </cell>
          <cell r="Y82">
            <v>135.99</v>
          </cell>
        </row>
        <row r="83">
          <cell r="A83">
            <v>82</v>
          </cell>
          <cell r="B83">
            <v>501</v>
          </cell>
          <cell r="C83" t="str">
            <v>M0113</v>
          </cell>
          <cell r="D83" t="str">
            <v>A</v>
          </cell>
          <cell r="E83" t="str">
            <v>501_M0113_A_082R</v>
          </cell>
          <cell r="F83">
            <v>45859.1840277778</v>
          </cell>
          <cell r="G83" t="str">
            <v>GEPR</v>
          </cell>
          <cell r="H83">
            <v>135.99</v>
          </cell>
          <cell r="I83">
            <v>1.5</v>
          </cell>
          <cell r="J83">
            <v>137.49</v>
          </cell>
          <cell r="K83">
            <v>1</v>
          </cell>
          <cell r="L83">
            <v>1.07</v>
          </cell>
          <cell r="M83">
            <v>71.33</v>
          </cell>
        </row>
        <row r="83">
          <cell r="Q83" t="str">
            <v>yes</v>
          </cell>
          <cell r="R83" t="str">
            <v>all</v>
          </cell>
          <cell r="S83" t="str">
            <v>R</v>
          </cell>
          <cell r="T83" t="str">
            <v>R (QD-TEC)</v>
          </cell>
        </row>
        <row r="83">
          <cell r="V83">
            <v>72</v>
          </cell>
          <cell r="W83">
            <v>0</v>
          </cell>
          <cell r="X83">
            <v>135.99</v>
          </cell>
          <cell r="Y83">
            <v>137.49</v>
          </cell>
        </row>
        <row r="84">
          <cell r="A84">
            <v>83</v>
          </cell>
          <cell r="B84">
            <v>501</v>
          </cell>
          <cell r="C84" t="str">
            <v>M0113</v>
          </cell>
          <cell r="D84" t="str">
            <v>A</v>
          </cell>
          <cell r="E84" t="str">
            <v>501_M0113_A_083R</v>
          </cell>
          <cell r="F84">
            <v>45859.2222222222</v>
          </cell>
          <cell r="G84" t="str">
            <v>GEPR</v>
          </cell>
          <cell r="H84">
            <v>137.49</v>
          </cell>
          <cell r="I84">
            <v>1.5</v>
          </cell>
          <cell r="J84">
            <v>138.99</v>
          </cell>
          <cell r="K84">
            <v>2</v>
          </cell>
          <cell r="L84">
            <v>1.53</v>
          </cell>
          <cell r="M84">
            <v>102</v>
          </cell>
        </row>
        <row r="84">
          <cell r="P84" t="str">
            <v>microspheres added</v>
          </cell>
        </row>
        <row r="84">
          <cell r="X84">
            <v>137.49</v>
          </cell>
        </row>
        <row r="85">
          <cell r="A85">
            <v>84</v>
          </cell>
          <cell r="B85">
            <v>501</v>
          </cell>
          <cell r="C85" t="str">
            <v>M0113</v>
          </cell>
          <cell r="D85" t="str">
            <v>A</v>
          </cell>
          <cell r="E85" t="str">
            <v>501_M0113_A_084R</v>
          </cell>
          <cell r="F85">
            <v>45859.2604166667</v>
          </cell>
          <cell r="G85" t="str">
            <v>GEPR</v>
          </cell>
          <cell r="H85">
            <v>138.99</v>
          </cell>
          <cell r="I85">
            <v>1.5</v>
          </cell>
          <cell r="J85">
            <v>140.49</v>
          </cell>
          <cell r="K85">
            <v>2</v>
          </cell>
          <cell r="L85">
            <v>1.31</v>
          </cell>
          <cell r="M85">
            <v>87.33</v>
          </cell>
        </row>
        <row r="85">
          <cell r="P85" t="str">
            <v>microspheres added</v>
          </cell>
        </row>
        <row r="85">
          <cell r="X85">
            <v>138.99</v>
          </cell>
        </row>
        <row r="86">
          <cell r="A86">
            <v>85</v>
          </cell>
          <cell r="B86">
            <v>501</v>
          </cell>
          <cell r="C86" t="str">
            <v>M0113</v>
          </cell>
          <cell r="D86" t="str">
            <v>A</v>
          </cell>
          <cell r="E86" t="str">
            <v>501_M0113_A_085R</v>
          </cell>
          <cell r="F86">
            <v>45859.3194444444</v>
          </cell>
          <cell r="G86" t="str">
            <v>GEPR</v>
          </cell>
          <cell r="H86">
            <v>140.49</v>
          </cell>
          <cell r="I86">
            <v>3</v>
          </cell>
          <cell r="J86">
            <v>143.49</v>
          </cell>
          <cell r="K86">
            <v>2</v>
          </cell>
          <cell r="L86">
            <v>2.75</v>
          </cell>
          <cell r="M86">
            <v>91.67</v>
          </cell>
        </row>
        <row r="86">
          <cell r="Q86" t="str">
            <v>yes</v>
          </cell>
          <cell r="R86" t="str">
            <v>all</v>
          </cell>
          <cell r="S86" t="str">
            <v>R</v>
          </cell>
          <cell r="T86" t="str">
            <v>R (QD-TEC)</v>
          </cell>
        </row>
        <row r="86">
          <cell r="V86">
            <v>72</v>
          </cell>
          <cell r="W86">
            <v>0</v>
          </cell>
          <cell r="X86">
            <v>140.49</v>
          </cell>
          <cell r="Y86">
            <v>143.49</v>
          </cell>
        </row>
        <row r="87">
          <cell r="A87">
            <v>86</v>
          </cell>
          <cell r="B87">
            <v>501</v>
          </cell>
          <cell r="C87" t="str">
            <v>M0113</v>
          </cell>
          <cell r="D87" t="str">
            <v>A</v>
          </cell>
          <cell r="E87" t="str">
            <v>501_M0113_A_086R</v>
          </cell>
          <cell r="F87">
            <v>45859.3715277778</v>
          </cell>
          <cell r="G87" t="str">
            <v>GEPR</v>
          </cell>
          <cell r="H87">
            <v>143.49</v>
          </cell>
          <cell r="I87">
            <v>3</v>
          </cell>
          <cell r="J87">
            <v>146.49</v>
          </cell>
          <cell r="K87">
            <v>2</v>
          </cell>
          <cell r="L87">
            <v>1.67</v>
          </cell>
          <cell r="M87">
            <v>55.67</v>
          </cell>
        </row>
        <row r="87">
          <cell r="Q87" t="str">
            <v>yes</v>
          </cell>
          <cell r="R87" t="str">
            <v>all</v>
          </cell>
          <cell r="S87" t="str">
            <v>R</v>
          </cell>
          <cell r="T87" t="str">
            <v>R (QD-TEC)</v>
          </cell>
        </row>
        <row r="87">
          <cell r="V87">
            <v>72</v>
          </cell>
          <cell r="W87">
            <v>0</v>
          </cell>
          <cell r="X87">
            <v>143.49</v>
          </cell>
          <cell r="Y87">
            <v>146.49</v>
          </cell>
        </row>
        <row r="88">
          <cell r="A88">
            <v>87</v>
          </cell>
          <cell r="B88">
            <v>501</v>
          </cell>
          <cell r="C88" t="str">
            <v>M0113</v>
          </cell>
          <cell r="D88" t="str">
            <v>A</v>
          </cell>
          <cell r="E88" t="str">
            <v>501_M0113_A_087R</v>
          </cell>
          <cell r="F88">
            <v>45859.4201388889</v>
          </cell>
          <cell r="G88" t="str">
            <v>GEPR</v>
          </cell>
          <cell r="H88">
            <v>146.49</v>
          </cell>
          <cell r="I88">
            <v>2</v>
          </cell>
          <cell r="J88">
            <v>148.49</v>
          </cell>
          <cell r="K88">
            <v>2</v>
          </cell>
          <cell r="L88">
            <v>1.51</v>
          </cell>
          <cell r="M88">
            <v>75.5</v>
          </cell>
        </row>
        <row r="88">
          <cell r="Q88" t="str">
            <v>yes</v>
          </cell>
          <cell r="R88" t="str">
            <v>all</v>
          </cell>
          <cell r="S88" t="str">
            <v>R</v>
          </cell>
          <cell r="T88" t="str">
            <v>R (QD-TEC)</v>
          </cell>
        </row>
        <row r="88">
          <cell r="V88">
            <v>72</v>
          </cell>
          <cell r="W88">
            <v>0</v>
          </cell>
          <cell r="X88">
            <v>146.49</v>
          </cell>
          <cell r="Y88">
            <v>148.49</v>
          </cell>
        </row>
        <row r="89">
          <cell r="A89">
            <v>88</v>
          </cell>
          <cell r="B89">
            <v>501</v>
          </cell>
          <cell r="C89" t="str">
            <v>M0113</v>
          </cell>
          <cell r="D89" t="str">
            <v>A</v>
          </cell>
          <cell r="E89" t="str">
            <v>501_M0113_A_088R</v>
          </cell>
          <cell r="F89">
            <v>45859.4722222222</v>
          </cell>
          <cell r="G89" t="str">
            <v>GEPR</v>
          </cell>
          <cell r="H89">
            <v>148.49</v>
          </cell>
          <cell r="I89">
            <v>3</v>
          </cell>
          <cell r="J89">
            <v>151.49</v>
          </cell>
          <cell r="K89">
            <v>2</v>
          </cell>
          <cell r="L89">
            <v>2.05</v>
          </cell>
          <cell r="M89">
            <v>68.33</v>
          </cell>
        </row>
        <row r="89">
          <cell r="Q89" t="str">
            <v>yes</v>
          </cell>
          <cell r="R89" t="str">
            <v>all</v>
          </cell>
          <cell r="S89" t="str">
            <v>R</v>
          </cell>
          <cell r="T89" t="str">
            <v>R (QD-TEC)</v>
          </cell>
        </row>
        <row r="89">
          <cell r="V89">
            <v>72</v>
          </cell>
          <cell r="W89">
            <v>0</v>
          </cell>
          <cell r="X89">
            <v>148.49</v>
          </cell>
          <cell r="Y89">
            <v>151.49</v>
          </cell>
        </row>
        <row r="90">
          <cell r="A90">
            <v>89</v>
          </cell>
          <cell r="B90">
            <v>501</v>
          </cell>
          <cell r="C90" t="str">
            <v>M0113</v>
          </cell>
          <cell r="D90" t="str">
            <v>A</v>
          </cell>
          <cell r="E90" t="str">
            <v>501_M0113_A_089R</v>
          </cell>
          <cell r="F90">
            <v>45859.5104166667</v>
          </cell>
          <cell r="G90" t="str">
            <v>GEPR</v>
          </cell>
          <cell r="H90">
            <v>151.49</v>
          </cell>
          <cell r="I90">
            <v>1.2</v>
          </cell>
          <cell r="J90">
            <v>152.69</v>
          </cell>
          <cell r="K90">
            <v>1</v>
          </cell>
          <cell r="L90">
            <v>0.85</v>
          </cell>
          <cell r="M90">
            <v>70.83</v>
          </cell>
        </row>
        <row r="90">
          <cell r="P90" t="str">
            <v>core slipped out of liner</v>
          </cell>
        </row>
        <row r="90">
          <cell r="X90">
            <v>151.49</v>
          </cell>
        </row>
        <row r="91">
          <cell r="A91">
            <v>90</v>
          </cell>
          <cell r="B91">
            <v>501</v>
          </cell>
          <cell r="C91" t="str">
            <v>M0113</v>
          </cell>
          <cell r="D91" t="str">
            <v>A</v>
          </cell>
          <cell r="E91" t="str">
            <v>501_M0113_A_090R</v>
          </cell>
          <cell r="F91">
            <v>45856.6631944444</v>
          </cell>
          <cell r="G91" t="str">
            <v>PFAF</v>
          </cell>
          <cell r="H91">
            <v>152.69</v>
          </cell>
          <cell r="I91">
            <v>2.8</v>
          </cell>
          <cell r="J91">
            <v>155.49</v>
          </cell>
          <cell r="K91">
            <v>2</v>
          </cell>
          <cell r="L91">
            <v>1.45</v>
          </cell>
          <cell r="M91">
            <v>51.79</v>
          </cell>
        </row>
        <row r="91">
          <cell r="Q91" t="str">
            <v>yes</v>
          </cell>
          <cell r="R91" t="str">
            <v>all</v>
          </cell>
          <cell r="S91" t="str">
            <v>R</v>
          </cell>
          <cell r="T91" t="str">
            <v>R (QD-TEC)</v>
          </cell>
        </row>
        <row r="91">
          <cell r="V91">
            <v>72</v>
          </cell>
          <cell r="W91">
            <v>0</v>
          </cell>
          <cell r="X91">
            <v>152.69</v>
          </cell>
          <cell r="Y91">
            <v>155.49</v>
          </cell>
        </row>
        <row r="92">
          <cell r="A92">
            <v>91</v>
          </cell>
          <cell r="B92">
            <v>501</v>
          </cell>
          <cell r="C92" t="str">
            <v>M0113</v>
          </cell>
          <cell r="D92" t="str">
            <v>A</v>
          </cell>
          <cell r="E92" t="str">
            <v>501_M0113_A_091R</v>
          </cell>
          <cell r="F92">
            <v>45859.7256944444</v>
          </cell>
          <cell r="G92" t="str">
            <v>PFAF</v>
          </cell>
          <cell r="H92">
            <v>155.49</v>
          </cell>
          <cell r="I92">
            <v>3</v>
          </cell>
          <cell r="J92">
            <v>158.49</v>
          </cell>
          <cell r="K92">
            <v>1</v>
          </cell>
          <cell r="L92">
            <v>0.4</v>
          </cell>
          <cell r="M92">
            <v>13.33</v>
          </cell>
        </row>
        <row r="92">
          <cell r="Q92" t="str">
            <v>yes</v>
          </cell>
          <cell r="R92" t="str">
            <v>all</v>
          </cell>
          <cell r="S92" t="str">
            <v>R</v>
          </cell>
          <cell r="T92" t="str">
            <v>R (QD-TEC)</v>
          </cell>
        </row>
        <row r="92">
          <cell r="V92">
            <v>72</v>
          </cell>
          <cell r="W92">
            <v>0</v>
          </cell>
          <cell r="X92">
            <v>155.49</v>
          </cell>
          <cell r="Y92">
            <v>158.49</v>
          </cell>
        </row>
        <row r="93">
          <cell r="A93">
            <v>92</v>
          </cell>
          <cell r="B93">
            <v>501</v>
          </cell>
          <cell r="C93" t="str">
            <v>M0113</v>
          </cell>
          <cell r="D93" t="str">
            <v>A</v>
          </cell>
          <cell r="E93" t="str">
            <v>501_M0113_A_092R</v>
          </cell>
          <cell r="F93">
            <v>45859.7708333333</v>
          </cell>
          <cell r="G93" t="str">
            <v>PFAF</v>
          </cell>
          <cell r="H93">
            <v>158.49</v>
          </cell>
          <cell r="I93">
            <v>3</v>
          </cell>
          <cell r="J93">
            <v>161.49</v>
          </cell>
          <cell r="K93">
            <v>1</v>
          </cell>
          <cell r="L93">
            <v>0.58</v>
          </cell>
          <cell r="M93">
            <v>19.33</v>
          </cell>
        </row>
        <row r="93">
          <cell r="Q93" t="str">
            <v>yes</v>
          </cell>
          <cell r="R93" t="str">
            <v>all</v>
          </cell>
          <cell r="S93" t="str">
            <v>R</v>
          </cell>
          <cell r="T93" t="str">
            <v>R (QD-TEC)</v>
          </cell>
        </row>
        <row r="93">
          <cell r="V93">
            <v>72</v>
          </cell>
          <cell r="W93">
            <v>0</v>
          </cell>
          <cell r="X93">
            <v>158.49</v>
          </cell>
          <cell r="Y93">
            <v>161.49</v>
          </cell>
        </row>
        <row r="94">
          <cell r="A94">
            <v>93</v>
          </cell>
          <cell r="B94">
            <v>501</v>
          </cell>
          <cell r="C94" t="str">
            <v>M0113</v>
          </cell>
          <cell r="D94" t="str">
            <v>A</v>
          </cell>
          <cell r="E94" t="str">
            <v>501_M0113_A_093R</v>
          </cell>
          <cell r="F94">
            <v>45859.9895833333</v>
          </cell>
          <cell r="G94" t="str">
            <v>PFAF</v>
          </cell>
          <cell r="H94">
            <v>161.49</v>
          </cell>
          <cell r="I94">
            <v>1.5</v>
          </cell>
          <cell r="J94">
            <v>162.99</v>
          </cell>
          <cell r="K94">
            <v>1</v>
          </cell>
          <cell r="L94">
            <v>0.52</v>
          </cell>
          <cell r="M94">
            <v>34.67</v>
          </cell>
        </row>
        <row r="94">
          <cell r="Q94" t="str">
            <v>yes</v>
          </cell>
          <cell r="R94" t="str">
            <v>all</v>
          </cell>
          <cell r="S94" t="str">
            <v>R</v>
          </cell>
          <cell r="T94" t="str">
            <v>R (QD-TEC)</v>
          </cell>
        </row>
        <row r="94">
          <cell r="V94">
            <v>72</v>
          </cell>
          <cell r="W94">
            <v>0</v>
          </cell>
          <cell r="X94">
            <v>161.49</v>
          </cell>
          <cell r="Y94">
            <v>162.99</v>
          </cell>
        </row>
        <row r="95">
          <cell r="A95">
            <v>94</v>
          </cell>
          <cell r="B95">
            <v>501</v>
          </cell>
          <cell r="C95" t="str">
            <v>M0113</v>
          </cell>
          <cell r="D95" t="str">
            <v>A</v>
          </cell>
          <cell r="E95" t="str">
            <v>501_M0113_A_094R</v>
          </cell>
          <cell r="F95">
            <v>45860.0243055556</v>
          </cell>
          <cell r="G95" t="str">
            <v>PFAF</v>
          </cell>
          <cell r="H95">
            <v>162.99</v>
          </cell>
          <cell r="I95">
            <v>1.5</v>
          </cell>
          <cell r="J95">
            <v>164.49</v>
          </cell>
          <cell r="K95">
            <v>1</v>
          </cell>
          <cell r="L95">
            <v>0.32</v>
          </cell>
          <cell r="M95">
            <v>21.33</v>
          </cell>
        </row>
        <row r="95">
          <cell r="Q95" t="str">
            <v>yes</v>
          </cell>
          <cell r="R95" t="str">
            <v>all</v>
          </cell>
          <cell r="S95" t="str">
            <v>R</v>
          </cell>
          <cell r="T95" t="str">
            <v>R (QD-TEC)</v>
          </cell>
        </row>
        <row r="95">
          <cell r="V95">
            <v>72</v>
          </cell>
          <cell r="W95">
            <v>0</v>
          </cell>
          <cell r="X95">
            <v>162.99</v>
          </cell>
          <cell r="Y95">
            <v>164.49</v>
          </cell>
        </row>
        <row r="96">
          <cell r="A96">
            <v>95</v>
          </cell>
          <cell r="B96">
            <v>501</v>
          </cell>
          <cell r="C96" t="str">
            <v>M0113</v>
          </cell>
          <cell r="D96" t="str">
            <v>A</v>
          </cell>
          <cell r="E96" t="str">
            <v>501_M0113_A_095R</v>
          </cell>
          <cell r="F96">
            <v>45860.0520833333</v>
          </cell>
          <cell r="G96" t="str">
            <v>PFAF</v>
          </cell>
          <cell r="H96">
            <v>164.49</v>
          </cell>
          <cell r="I96">
            <v>1.5</v>
          </cell>
          <cell r="J96">
            <v>165.99</v>
          </cell>
          <cell r="K96">
            <v>2</v>
          </cell>
          <cell r="L96">
            <v>0.74</v>
          </cell>
          <cell r="M96">
            <v>49.33</v>
          </cell>
        </row>
        <row r="96">
          <cell r="Q96" t="str">
            <v>yes</v>
          </cell>
          <cell r="R96" t="str">
            <v>all</v>
          </cell>
          <cell r="S96" t="str">
            <v>R</v>
          </cell>
          <cell r="T96" t="str">
            <v>R (QD-TEC)</v>
          </cell>
        </row>
        <row r="96">
          <cell r="V96">
            <v>72</v>
          </cell>
          <cell r="W96">
            <v>0</v>
          </cell>
          <cell r="X96">
            <v>164.49</v>
          </cell>
          <cell r="Y96">
            <v>165.99</v>
          </cell>
        </row>
        <row r="97">
          <cell r="A97">
            <v>96</v>
          </cell>
          <cell r="B97">
            <v>501</v>
          </cell>
          <cell r="C97" t="str">
            <v>M0113</v>
          </cell>
          <cell r="D97" t="str">
            <v>A</v>
          </cell>
          <cell r="E97" t="str">
            <v>501_M0113_A_096R</v>
          </cell>
          <cell r="F97">
            <v>45860.1076388889</v>
          </cell>
          <cell r="G97" t="str">
            <v>PFAF</v>
          </cell>
          <cell r="H97">
            <v>165.99</v>
          </cell>
          <cell r="I97">
            <v>1.5</v>
          </cell>
          <cell r="J97">
            <v>167.49</v>
          </cell>
          <cell r="K97">
            <v>2</v>
          </cell>
          <cell r="L97">
            <v>0.49</v>
          </cell>
          <cell r="M97">
            <v>32.67</v>
          </cell>
        </row>
        <row r="97">
          <cell r="P97" t="str">
            <v>core came up with zero recovery due to no core catcher basket</v>
          </cell>
        </row>
        <row r="97">
          <cell r="X97">
            <v>165.99</v>
          </cell>
        </row>
        <row r="98">
          <cell r="A98">
            <v>97</v>
          </cell>
          <cell r="B98">
            <v>501</v>
          </cell>
          <cell r="C98" t="str">
            <v>M0113</v>
          </cell>
          <cell r="D98" t="str">
            <v>A</v>
          </cell>
          <cell r="E98" t="str">
            <v>501_M0113_A_097R</v>
          </cell>
          <cell r="F98">
            <v>45860.1631944444</v>
          </cell>
          <cell r="G98" t="str">
            <v>GEPR</v>
          </cell>
          <cell r="H98">
            <v>167.49</v>
          </cell>
          <cell r="I98">
            <v>1.5</v>
          </cell>
          <cell r="J98">
            <v>168.99</v>
          </cell>
          <cell r="K98">
            <v>1</v>
          </cell>
          <cell r="L98">
            <v>1.45</v>
          </cell>
          <cell r="M98">
            <v>96.67</v>
          </cell>
        </row>
        <row r="98">
          <cell r="Q98" t="str">
            <v>yes</v>
          </cell>
          <cell r="R98" t="str">
            <v>all</v>
          </cell>
          <cell r="S98" t="str">
            <v>R</v>
          </cell>
          <cell r="T98" t="str">
            <v>R (QD-TEC)</v>
          </cell>
        </row>
        <row r="98">
          <cell r="V98">
            <v>72</v>
          </cell>
          <cell r="W98">
            <v>0</v>
          </cell>
          <cell r="X98">
            <v>167.49</v>
          </cell>
          <cell r="Y98">
            <v>168.99</v>
          </cell>
        </row>
        <row r="99">
          <cell r="A99">
            <v>98</v>
          </cell>
          <cell r="B99">
            <v>501</v>
          </cell>
          <cell r="C99" t="str">
            <v>M0113</v>
          </cell>
          <cell r="D99" t="str">
            <v>A</v>
          </cell>
          <cell r="E99" t="str">
            <v>501_M0113_A_098R</v>
          </cell>
          <cell r="F99">
            <v>45860.3090277778</v>
          </cell>
          <cell r="G99" t="str">
            <v>GEPR</v>
          </cell>
          <cell r="H99">
            <v>168.99</v>
          </cell>
          <cell r="I99">
            <v>1.5</v>
          </cell>
          <cell r="J99">
            <v>170.49</v>
          </cell>
          <cell r="K99">
            <v>1</v>
          </cell>
          <cell r="L99">
            <v>0.46</v>
          </cell>
          <cell r="M99">
            <v>30.67</v>
          </cell>
        </row>
        <row r="99">
          <cell r="P99" t="str">
            <v>big rock at bottom stuck in core bit</v>
          </cell>
          <cell r="Q99" t="str">
            <v>yes</v>
          </cell>
          <cell r="R99" t="str">
            <v>all</v>
          </cell>
          <cell r="S99" t="str">
            <v>R</v>
          </cell>
          <cell r="T99" t="str">
            <v>R (QD-TEC)</v>
          </cell>
        </row>
        <row r="99">
          <cell r="V99">
            <v>72</v>
          </cell>
          <cell r="W99">
            <v>0</v>
          </cell>
          <cell r="X99">
            <v>168.99</v>
          </cell>
          <cell r="Y99">
            <v>170.49</v>
          </cell>
        </row>
        <row r="100">
          <cell r="A100">
            <v>99</v>
          </cell>
          <cell r="B100">
            <v>501</v>
          </cell>
          <cell r="C100" t="str">
            <v>M0113</v>
          </cell>
          <cell r="D100" t="str">
            <v>A</v>
          </cell>
          <cell r="E100" t="str">
            <v>501_M0113_A_099R</v>
          </cell>
          <cell r="F100">
            <v>45860.34375</v>
          </cell>
          <cell r="G100" t="str">
            <v>GEPR</v>
          </cell>
          <cell r="H100">
            <v>170.49</v>
          </cell>
          <cell r="I100">
            <v>1.5</v>
          </cell>
          <cell r="J100">
            <v>171.99</v>
          </cell>
          <cell r="K100">
            <v>2</v>
          </cell>
          <cell r="L100">
            <v>1.42</v>
          </cell>
          <cell r="M100">
            <v>94.67</v>
          </cell>
        </row>
        <row r="100">
          <cell r="P100" t="str">
            <v>very big rock at bottom</v>
          </cell>
          <cell r="Q100" t="str">
            <v>yes</v>
          </cell>
          <cell r="R100" t="str">
            <v>all</v>
          </cell>
          <cell r="S100" t="str">
            <v>R</v>
          </cell>
          <cell r="T100" t="str">
            <v>R (QD-TEC)</v>
          </cell>
        </row>
        <row r="100">
          <cell r="V100">
            <v>72</v>
          </cell>
          <cell r="W100">
            <v>0</v>
          </cell>
          <cell r="X100">
            <v>170.49</v>
          </cell>
          <cell r="Y100">
            <v>171.99</v>
          </cell>
        </row>
        <row r="101">
          <cell r="A101">
            <v>100</v>
          </cell>
          <cell r="B101">
            <v>501</v>
          </cell>
          <cell r="C101" t="str">
            <v>M0113</v>
          </cell>
          <cell r="D101" t="str">
            <v>A</v>
          </cell>
          <cell r="E101" t="str">
            <v>501_M0113_A_100R</v>
          </cell>
          <cell r="F101">
            <v>45860.375</v>
          </cell>
          <cell r="G101" t="str">
            <v>GEPR</v>
          </cell>
          <cell r="H101">
            <v>171.99</v>
          </cell>
          <cell r="I101">
            <v>1.5</v>
          </cell>
          <cell r="J101">
            <v>173.49</v>
          </cell>
          <cell r="K101">
            <v>1</v>
          </cell>
          <cell r="L101">
            <v>0.47</v>
          </cell>
          <cell r="M101">
            <v>31.33</v>
          </cell>
        </row>
        <row r="101">
          <cell r="Q101" t="str">
            <v>yes</v>
          </cell>
          <cell r="R101" t="str">
            <v>all</v>
          </cell>
          <cell r="S101" t="str">
            <v>R</v>
          </cell>
          <cell r="T101" t="str">
            <v>R (QD-TEC)</v>
          </cell>
        </row>
        <row r="101">
          <cell r="V101">
            <v>72</v>
          </cell>
          <cell r="W101">
            <v>0</v>
          </cell>
          <cell r="X101">
            <v>171.99</v>
          </cell>
          <cell r="Y101">
            <v>173.49</v>
          </cell>
        </row>
        <row r="102">
          <cell r="A102">
            <v>101</v>
          </cell>
          <cell r="B102">
            <v>501</v>
          </cell>
          <cell r="C102" t="str">
            <v>M0113</v>
          </cell>
          <cell r="D102" t="str">
            <v>A</v>
          </cell>
          <cell r="E102" t="str">
            <v>501_M0113_A_101R</v>
          </cell>
          <cell r="F102">
            <v>45860.4201388889</v>
          </cell>
          <cell r="G102" t="str">
            <v>GEPR</v>
          </cell>
          <cell r="H102">
            <v>173.49</v>
          </cell>
          <cell r="I102">
            <v>1.5</v>
          </cell>
          <cell r="J102">
            <v>174.99</v>
          </cell>
          <cell r="K102">
            <v>1</v>
          </cell>
          <cell r="L102">
            <v>0.47</v>
          </cell>
          <cell r="M102">
            <v>31.33</v>
          </cell>
        </row>
        <row r="102">
          <cell r="Q102" t="str">
            <v>yes</v>
          </cell>
          <cell r="R102" t="str">
            <v>all</v>
          </cell>
          <cell r="S102" t="str">
            <v>R</v>
          </cell>
          <cell r="T102" t="str">
            <v>R (QD-TEC)</v>
          </cell>
        </row>
        <row r="102">
          <cell r="V102">
            <v>72</v>
          </cell>
          <cell r="W102">
            <v>0</v>
          </cell>
          <cell r="X102">
            <v>173.49</v>
          </cell>
          <cell r="Y102">
            <v>174.99</v>
          </cell>
        </row>
        <row r="103">
          <cell r="A103">
            <v>102</v>
          </cell>
          <cell r="B103">
            <v>501</v>
          </cell>
          <cell r="C103" t="str">
            <v>M0113</v>
          </cell>
          <cell r="D103" t="str">
            <v>A</v>
          </cell>
          <cell r="E103" t="str">
            <v>501_M0113_A_102R</v>
          </cell>
          <cell r="F103">
            <v>45860.4513888889</v>
          </cell>
          <cell r="G103" t="str">
            <v>GEPR</v>
          </cell>
          <cell r="H103">
            <v>174.99</v>
          </cell>
          <cell r="I103">
            <v>1.5</v>
          </cell>
          <cell r="J103">
            <v>176.49</v>
          </cell>
          <cell r="K103">
            <v>2</v>
          </cell>
          <cell r="L103">
            <v>1.35</v>
          </cell>
          <cell r="M103">
            <v>90</v>
          </cell>
        </row>
        <row r="103">
          <cell r="Q103" t="str">
            <v>yes</v>
          </cell>
          <cell r="R103" t="str">
            <v>all</v>
          </cell>
          <cell r="S103" t="str">
            <v>R</v>
          </cell>
          <cell r="T103" t="str">
            <v>R (QD-TEC)</v>
          </cell>
        </row>
        <row r="103">
          <cell r="V103">
            <v>72</v>
          </cell>
          <cell r="W103">
            <v>0</v>
          </cell>
          <cell r="X103">
            <v>174.99</v>
          </cell>
          <cell r="Y103">
            <v>176.49</v>
          </cell>
        </row>
        <row r="104">
          <cell r="A104">
            <v>103</v>
          </cell>
          <cell r="B104">
            <v>501</v>
          </cell>
          <cell r="C104" t="str">
            <v>M0113</v>
          </cell>
          <cell r="D104" t="str">
            <v>A</v>
          </cell>
          <cell r="E104" t="str">
            <v>501_M0113_A_103R</v>
          </cell>
          <cell r="F104">
            <v>45860.4895833333</v>
          </cell>
          <cell r="G104" t="str">
            <v>GEPR</v>
          </cell>
          <cell r="H104">
            <v>176.49</v>
          </cell>
          <cell r="I104">
            <v>1.5</v>
          </cell>
          <cell r="J104">
            <v>177.99</v>
          </cell>
          <cell r="K104">
            <v>1</v>
          </cell>
          <cell r="L104">
            <v>0.4</v>
          </cell>
          <cell r="M104">
            <v>26.67</v>
          </cell>
        </row>
        <row r="104">
          <cell r="Q104" t="str">
            <v>yes</v>
          </cell>
          <cell r="R104" t="str">
            <v>all</v>
          </cell>
          <cell r="S104" t="str">
            <v>R</v>
          </cell>
          <cell r="T104" t="str">
            <v>R (QD-TEC)</v>
          </cell>
        </row>
        <row r="104">
          <cell r="V104">
            <v>72</v>
          </cell>
          <cell r="W104">
            <v>0</v>
          </cell>
          <cell r="X104">
            <v>176.49</v>
          </cell>
          <cell r="Y104">
            <v>177.99</v>
          </cell>
        </row>
        <row r="105">
          <cell r="A105">
            <v>104</v>
          </cell>
          <cell r="B105">
            <v>501</v>
          </cell>
          <cell r="C105" t="str">
            <v>M0113</v>
          </cell>
          <cell r="D105" t="str">
            <v>A</v>
          </cell>
          <cell r="E105" t="str">
            <v>501_M0113_A_104R</v>
          </cell>
          <cell r="F105">
            <v>45860.5277777778</v>
          </cell>
          <cell r="G105" t="str">
            <v>GEPR</v>
          </cell>
          <cell r="H105">
            <v>177.99</v>
          </cell>
          <cell r="I105">
            <v>1.5</v>
          </cell>
          <cell r="J105">
            <v>179.49</v>
          </cell>
          <cell r="K105">
            <v>1</v>
          </cell>
          <cell r="L105">
            <v>1.46</v>
          </cell>
          <cell r="M105">
            <v>97.33</v>
          </cell>
        </row>
        <row r="105">
          <cell r="Q105" t="str">
            <v>yes</v>
          </cell>
          <cell r="R105" t="str">
            <v>all</v>
          </cell>
          <cell r="S105" t="str">
            <v>R</v>
          </cell>
          <cell r="T105" t="str">
            <v>R (QD-TEC)</v>
          </cell>
        </row>
        <row r="105">
          <cell r="V105">
            <v>72</v>
          </cell>
          <cell r="W105">
            <v>0</v>
          </cell>
          <cell r="X105">
            <v>177.99</v>
          </cell>
          <cell r="Y105">
            <v>179.49</v>
          </cell>
        </row>
        <row r="106">
          <cell r="A106">
            <v>105</v>
          </cell>
          <cell r="B106">
            <v>501</v>
          </cell>
          <cell r="C106" t="str">
            <v>M0113</v>
          </cell>
          <cell r="D106" t="str">
            <v>A</v>
          </cell>
          <cell r="E106" t="str">
            <v>501_M0113_A_105R</v>
          </cell>
          <cell r="F106">
            <v>45860.5694444444</v>
          </cell>
          <cell r="G106" t="str">
            <v>GEPR</v>
          </cell>
          <cell r="H106">
            <v>179.49</v>
          </cell>
          <cell r="I106">
            <v>3</v>
          </cell>
          <cell r="J106">
            <v>182.49</v>
          </cell>
          <cell r="K106">
            <v>3</v>
          </cell>
          <cell r="L106">
            <v>1.79</v>
          </cell>
          <cell r="M106">
            <v>59.67</v>
          </cell>
        </row>
        <row r="106">
          <cell r="Q106" t="str">
            <v>yes</v>
          </cell>
          <cell r="R106" t="str">
            <v>all</v>
          </cell>
          <cell r="S106" t="str">
            <v>R</v>
          </cell>
          <cell r="T106" t="str">
            <v>R (QD-TEC)</v>
          </cell>
        </row>
        <row r="106">
          <cell r="V106">
            <v>72</v>
          </cell>
          <cell r="W106">
            <v>0</v>
          </cell>
          <cell r="X106">
            <v>179.49</v>
          </cell>
          <cell r="Y106">
            <v>182.49</v>
          </cell>
        </row>
        <row r="107">
          <cell r="A107">
            <v>106</v>
          </cell>
          <cell r="B107">
            <v>501</v>
          </cell>
          <cell r="C107" t="str">
            <v>M0113</v>
          </cell>
          <cell r="D107" t="str">
            <v>A</v>
          </cell>
          <cell r="E107" t="str">
            <v>501_M0113_A_106R</v>
          </cell>
          <cell r="F107">
            <v>45860.6041666667</v>
          </cell>
          <cell r="G107" t="str">
            <v>GEPR</v>
          </cell>
          <cell r="H107">
            <v>182.49</v>
          </cell>
          <cell r="I107">
            <v>3</v>
          </cell>
          <cell r="J107">
            <v>185.49</v>
          </cell>
          <cell r="K107">
            <v>1</v>
          </cell>
          <cell r="L107">
            <v>0.23</v>
          </cell>
          <cell r="M107">
            <v>7.67</v>
          </cell>
        </row>
        <row r="107">
          <cell r="Q107" t="str">
            <v>yes</v>
          </cell>
          <cell r="R107" t="str">
            <v>all</v>
          </cell>
          <cell r="S107" t="str">
            <v>R</v>
          </cell>
          <cell r="T107" t="str">
            <v>R (QD-TEC)</v>
          </cell>
        </row>
        <row r="107">
          <cell r="V107">
            <v>72</v>
          </cell>
          <cell r="W107">
            <v>0</v>
          </cell>
          <cell r="X107">
            <v>182.49</v>
          </cell>
          <cell r="Y107">
            <v>185.49</v>
          </cell>
        </row>
        <row r="108">
          <cell r="A108">
            <v>107</v>
          </cell>
          <cell r="B108">
            <v>501</v>
          </cell>
          <cell r="C108" t="str">
            <v>M0113</v>
          </cell>
          <cell r="D108" t="str">
            <v>A</v>
          </cell>
          <cell r="E108" t="str">
            <v>501_M0113_A_107R</v>
          </cell>
          <cell r="F108">
            <v>45860.6319444444</v>
          </cell>
          <cell r="G108" t="str">
            <v>GEPR</v>
          </cell>
          <cell r="H108">
            <v>185.49</v>
          </cell>
          <cell r="I108">
            <v>1.5</v>
          </cell>
          <cell r="J108">
            <v>186.99</v>
          </cell>
          <cell r="K108">
            <v>2</v>
          </cell>
          <cell r="L108">
            <v>1.58</v>
          </cell>
          <cell r="M108">
            <v>105.33</v>
          </cell>
        </row>
        <row r="108">
          <cell r="Q108" t="str">
            <v>yes</v>
          </cell>
          <cell r="R108" t="str">
            <v>all</v>
          </cell>
          <cell r="S108" t="str">
            <v>R</v>
          </cell>
          <cell r="T108" t="str">
            <v>R (QD-TEC)</v>
          </cell>
        </row>
        <row r="108">
          <cell r="V108">
            <v>72</v>
          </cell>
          <cell r="W108">
            <v>0</v>
          </cell>
          <cell r="X108">
            <v>185.49</v>
          </cell>
          <cell r="Y108">
            <v>186.99</v>
          </cell>
        </row>
        <row r="109">
          <cell r="A109">
            <v>108</v>
          </cell>
          <cell r="B109">
            <v>501</v>
          </cell>
          <cell r="C109" t="str">
            <v>M0113</v>
          </cell>
          <cell r="D109" t="str">
            <v>A</v>
          </cell>
          <cell r="E109" t="str">
            <v>501_M0113_A_108R</v>
          </cell>
          <cell r="F109">
            <v>45860.65625</v>
          </cell>
          <cell r="G109" t="str">
            <v>PFAF</v>
          </cell>
          <cell r="H109">
            <v>186.99</v>
          </cell>
          <cell r="I109">
            <v>1.5</v>
          </cell>
          <cell r="J109">
            <v>188.49</v>
          </cell>
          <cell r="K109">
            <v>1</v>
          </cell>
          <cell r="L109">
            <v>1.04</v>
          </cell>
          <cell r="M109">
            <v>69.33</v>
          </cell>
        </row>
        <row r="109">
          <cell r="Q109" t="str">
            <v>yes</v>
          </cell>
          <cell r="R109" t="str">
            <v>all</v>
          </cell>
          <cell r="S109" t="str">
            <v>R</v>
          </cell>
          <cell r="T109" t="str">
            <v>R (QD-TEC)</v>
          </cell>
        </row>
        <row r="109">
          <cell r="V109">
            <v>72</v>
          </cell>
          <cell r="W109">
            <v>0</v>
          </cell>
          <cell r="X109">
            <v>186.99</v>
          </cell>
          <cell r="Y109">
            <v>188.49</v>
          </cell>
        </row>
        <row r="110">
          <cell r="A110">
            <v>109</v>
          </cell>
          <cell r="B110">
            <v>501</v>
          </cell>
          <cell r="C110" t="str">
            <v>M0113</v>
          </cell>
          <cell r="D110" t="str">
            <v>A</v>
          </cell>
          <cell r="E110" t="str">
            <v>501_M0113_A_109R</v>
          </cell>
          <cell r="F110">
            <v>45860.6979166667</v>
          </cell>
          <cell r="G110" t="str">
            <v>PFAF</v>
          </cell>
          <cell r="H110">
            <v>188.49</v>
          </cell>
          <cell r="I110">
            <v>1.5</v>
          </cell>
          <cell r="J110">
            <v>189.99</v>
          </cell>
          <cell r="K110">
            <v>1</v>
          </cell>
          <cell r="L110">
            <v>0.26</v>
          </cell>
          <cell r="M110">
            <v>17.33</v>
          </cell>
        </row>
        <row r="110">
          <cell r="Q110" t="str">
            <v>yes</v>
          </cell>
          <cell r="R110" t="str">
            <v>all</v>
          </cell>
          <cell r="S110" t="str">
            <v>R</v>
          </cell>
          <cell r="T110" t="str">
            <v>R (QD-TEC)</v>
          </cell>
        </row>
        <row r="110">
          <cell r="V110">
            <v>72</v>
          </cell>
          <cell r="W110">
            <v>0</v>
          </cell>
          <cell r="X110">
            <v>188.49</v>
          </cell>
          <cell r="Y110">
            <v>189.99</v>
          </cell>
        </row>
        <row r="111">
          <cell r="A111">
            <v>110</v>
          </cell>
          <cell r="B111">
            <v>501</v>
          </cell>
          <cell r="C111" t="str">
            <v>M0113</v>
          </cell>
          <cell r="D111" t="str">
            <v>A</v>
          </cell>
          <cell r="E111" t="str">
            <v>501_M0113_A_110R</v>
          </cell>
          <cell r="F111">
            <v>45860.7256944444</v>
          </cell>
          <cell r="G111" t="str">
            <v>PFAF</v>
          </cell>
          <cell r="H111">
            <v>189.99</v>
          </cell>
          <cell r="I111">
            <v>1.5</v>
          </cell>
          <cell r="J111">
            <v>191.49</v>
          </cell>
          <cell r="K111">
            <v>2</v>
          </cell>
          <cell r="L111">
            <v>1.49</v>
          </cell>
          <cell r="M111">
            <v>99.33</v>
          </cell>
        </row>
        <row r="111">
          <cell r="Q111" t="str">
            <v>yes</v>
          </cell>
          <cell r="R111" t="str">
            <v>all</v>
          </cell>
          <cell r="S111" t="str">
            <v>R</v>
          </cell>
          <cell r="T111" t="str">
            <v>R (QD-TEC)</v>
          </cell>
        </row>
        <row r="111">
          <cell r="V111">
            <v>72</v>
          </cell>
          <cell r="W111">
            <v>0</v>
          </cell>
          <cell r="X111">
            <v>189.99</v>
          </cell>
          <cell r="Y111">
            <v>191.49</v>
          </cell>
        </row>
        <row r="112">
          <cell r="A112">
            <v>111</v>
          </cell>
          <cell r="B112">
            <v>501</v>
          </cell>
          <cell r="C112" t="str">
            <v>M0113</v>
          </cell>
          <cell r="D112" t="str">
            <v>A</v>
          </cell>
          <cell r="E112" t="str">
            <v>501_M0113_A_111R</v>
          </cell>
          <cell r="F112">
            <v>45860.7534722222</v>
          </cell>
          <cell r="G112" t="str">
            <v>PFAF</v>
          </cell>
          <cell r="H112">
            <v>191.49</v>
          </cell>
          <cell r="I112">
            <v>1.5</v>
          </cell>
          <cell r="J112">
            <v>192.99</v>
          </cell>
          <cell r="K112">
            <v>1</v>
          </cell>
          <cell r="L112">
            <v>0.25</v>
          </cell>
          <cell r="M112">
            <v>16.67</v>
          </cell>
        </row>
        <row r="112">
          <cell r="Q112" t="str">
            <v>yes</v>
          </cell>
          <cell r="R112" t="str">
            <v>all</v>
          </cell>
          <cell r="S112" t="str">
            <v>R</v>
          </cell>
          <cell r="T112" t="str">
            <v>R (QD-TEC)</v>
          </cell>
        </row>
        <row r="112">
          <cell r="V112">
            <v>72</v>
          </cell>
          <cell r="W112">
            <v>0</v>
          </cell>
          <cell r="X112">
            <v>191.49</v>
          </cell>
          <cell r="Y112">
            <v>192.99</v>
          </cell>
        </row>
        <row r="113">
          <cell r="A113">
            <v>112</v>
          </cell>
          <cell r="B113">
            <v>501</v>
          </cell>
          <cell r="C113" t="str">
            <v>M0113</v>
          </cell>
          <cell r="D113" t="str">
            <v>A</v>
          </cell>
          <cell r="E113" t="str">
            <v>501_M0113_A_112R</v>
          </cell>
          <cell r="F113">
            <v>45860.7847222222</v>
          </cell>
          <cell r="G113" t="str">
            <v>PFAF</v>
          </cell>
          <cell r="H113">
            <v>192.99</v>
          </cell>
          <cell r="I113">
            <v>1.5</v>
          </cell>
          <cell r="J113">
            <v>194.49</v>
          </cell>
          <cell r="K113">
            <v>1</v>
          </cell>
          <cell r="L113">
            <v>0.27</v>
          </cell>
          <cell r="M113">
            <v>18</v>
          </cell>
        </row>
        <row r="113">
          <cell r="Q113" t="str">
            <v>yes</v>
          </cell>
          <cell r="R113" t="str">
            <v>all</v>
          </cell>
          <cell r="S113" t="str">
            <v>R</v>
          </cell>
          <cell r="T113" t="str">
            <v>R (QD-TEC)</v>
          </cell>
        </row>
        <row r="113">
          <cell r="V113">
            <v>72</v>
          </cell>
          <cell r="W113">
            <v>0</v>
          </cell>
          <cell r="X113">
            <v>192.99</v>
          </cell>
          <cell r="Y113">
            <v>194.49</v>
          </cell>
        </row>
        <row r="114">
          <cell r="A114">
            <v>113</v>
          </cell>
          <cell r="B114">
            <v>501</v>
          </cell>
          <cell r="C114" t="str">
            <v>M0113</v>
          </cell>
          <cell r="D114" t="str">
            <v>A</v>
          </cell>
          <cell r="E114" t="str">
            <v>501_M0113_A_113R</v>
          </cell>
          <cell r="F114">
            <v>45860.8125</v>
          </cell>
          <cell r="G114" t="str">
            <v>PFAF</v>
          </cell>
          <cell r="H114">
            <v>194.49</v>
          </cell>
          <cell r="I114">
            <v>1.5</v>
          </cell>
          <cell r="J114">
            <v>195.99</v>
          </cell>
          <cell r="K114">
            <v>0</v>
          </cell>
          <cell r="L114">
            <v>0</v>
          </cell>
          <cell r="M114">
            <v>0</v>
          </cell>
        </row>
        <row r="114">
          <cell r="P114" t="str">
            <v>no recovery</v>
          </cell>
          <cell r="Q114" t="str">
            <v>no</v>
          </cell>
          <cell r="R114" t="str">
            <v>none</v>
          </cell>
          <cell r="S114" t="str">
            <v>R</v>
          </cell>
          <cell r="T114" t="str">
            <v>R (QD-TEC)</v>
          </cell>
        </row>
        <row r="114">
          <cell r="V114">
            <v>72</v>
          </cell>
          <cell r="W114">
            <v>0</v>
          </cell>
          <cell r="X114">
            <v>194.49</v>
          </cell>
          <cell r="Y114">
            <v>195.99</v>
          </cell>
        </row>
        <row r="115">
          <cell r="A115">
            <v>114</v>
          </cell>
          <cell r="B115">
            <v>501</v>
          </cell>
          <cell r="C115" t="str">
            <v>M0113</v>
          </cell>
          <cell r="D115" t="str">
            <v>A</v>
          </cell>
          <cell r="E115" t="str">
            <v>501_M0113_A_114R</v>
          </cell>
          <cell r="F115">
            <v>45860.84375</v>
          </cell>
          <cell r="G115" t="str">
            <v>PFAF</v>
          </cell>
          <cell r="H115">
            <v>195.99</v>
          </cell>
          <cell r="I115">
            <v>1.5</v>
          </cell>
          <cell r="J115">
            <v>197.49</v>
          </cell>
          <cell r="K115">
            <v>1</v>
          </cell>
          <cell r="L115">
            <v>0.43</v>
          </cell>
          <cell r="M115">
            <v>28.67</v>
          </cell>
        </row>
        <row r="115">
          <cell r="Q115" t="str">
            <v>yes</v>
          </cell>
          <cell r="R115" t="str">
            <v>all</v>
          </cell>
          <cell r="S115" t="str">
            <v>R</v>
          </cell>
          <cell r="T115" t="str">
            <v>R (QD-TEC)</v>
          </cell>
        </row>
        <row r="115">
          <cell r="V115">
            <v>72</v>
          </cell>
          <cell r="W115">
            <v>0</v>
          </cell>
          <cell r="X115">
            <v>195.99</v>
          </cell>
          <cell r="Y115">
            <v>197.49</v>
          </cell>
        </row>
        <row r="116">
          <cell r="A116">
            <v>115</v>
          </cell>
          <cell r="B116">
            <v>501</v>
          </cell>
          <cell r="C116" t="str">
            <v>M0113</v>
          </cell>
          <cell r="D116" t="str">
            <v>A</v>
          </cell>
          <cell r="E116" t="str">
            <v>501_M0113_A_115R</v>
          </cell>
          <cell r="F116">
            <v>45860.875</v>
          </cell>
          <cell r="G116" t="str">
            <v>PFAF</v>
          </cell>
          <cell r="H116">
            <v>197.49</v>
          </cell>
          <cell r="I116">
            <v>1.5</v>
          </cell>
          <cell r="J116">
            <v>198.99</v>
          </cell>
          <cell r="K116">
            <v>1</v>
          </cell>
          <cell r="L116">
            <v>0.41</v>
          </cell>
          <cell r="M116">
            <v>27.33</v>
          </cell>
        </row>
        <row r="116">
          <cell r="Q116" t="str">
            <v>yes</v>
          </cell>
          <cell r="R116" t="str">
            <v>all</v>
          </cell>
          <cell r="S116" t="str">
            <v>R</v>
          </cell>
          <cell r="T116" t="str">
            <v>R (QD-TEC)</v>
          </cell>
        </row>
        <row r="116">
          <cell r="V116">
            <v>72</v>
          </cell>
          <cell r="W116">
            <v>0</v>
          </cell>
          <cell r="X116">
            <v>197.49</v>
          </cell>
          <cell r="Y116">
            <v>198.99</v>
          </cell>
        </row>
        <row r="117">
          <cell r="A117">
            <v>116</v>
          </cell>
          <cell r="B117">
            <v>501</v>
          </cell>
          <cell r="C117" t="str">
            <v>M0113</v>
          </cell>
          <cell r="D117" t="str">
            <v>A</v>
          </cell>
          <cell r="E117" t="str">
            <v>501_M0113_A_116R</v>
          </cell>
          <cell r="F117">
            <v>45860.9097222222</v>
          </cell>
          <cell r="G117" t="str">
            <v>PFAF</v>
          </cell>
          <cell r="H117">
            <v>198.99</v>
          </cell>
          <cell r="I117">
            <v>1.5</v>
          </cell>
          <cell r="J117">
            <v>200.49</v>
          </cell>
          <cell r="K117">
            <v>1</v>
          </cell>
          <cell r="L117">
            <v>1.01</v>
          </cell>
          <cell r="M117">
            <v>67.33</v>
          </cell>
        </row>
        <row r="117">
          <cell r="P117" t="str">
            <v>transferred to new liner</v>
          </cell>
        </row>
        <row r="117">
          <cell r="X117">
            <v>198.99</v>
          </cell>
        </row>
        <row r="118">
          <cell r="A118">
            <v>117</v>
          </cell>
          <cell r="B118">
            <v>501</v>
          </cell>
          <cell r="C118" t="str">
            <v>M0113</v>
          </cell>
          <cell r="D118" t="str">
            <v>A</v>
          </cell>
          <cell r="E118" t="str">
            <v>501_M0113_A_117R</v>
          </cell>
          <cell r="F118">
            <v>45860.9513888889</v>
          </cell>
          <cell r="G118" t="str">
            <v>PFAF</v>
          </cell>
          <cell r="H118">
            <v>200.49</v>
          </cell>
          <cell r="I118">
            <v>1.5</v>
          </cell>
          <cell r="J118">
            <v>201.99</v>
          </cell>
          <cell r="K118">
            <v>2</v>
          </cell>
          <cell r="L118">
            <v>0.84</v>
          </cell>
          <cell r="M118">
            <v>56</v>
          </cell>
        </row>
        <row r="118">
          <cell r="Q118" t="str">
            <v>yes</v>
          </cell>
          <cell r="R118" t="str">
            <v>all</v>
          </cell>
          <cell r="S118" t="str">
            <v>R</v>
          </cell>
          <cell r="T118" t="str">
            <v>R (QD-TEC)</v>
          </cell>
        </row>
        <row r="118">
          <cell r="V118">
            <v>72</v>
          </cell>
          <cell r="W118">
            <v>0</v>
          </cell>
          <cell r="X118">
            <v>200.49</v>
          </cell>
          <cell r="Y118">
            <v>201.99</v>
          </cell>
        </row>
        <row r="119">
          <cell r="A119">
            <v>118</v>
          </cell>
          <cell r="B119">
            <v>501</v>
          </cell>
          <cell r="C119" t="str">
            <v>M0113</v>
          </cell>
          <cell r="D119" t="str">
            <v>A</v>
          </cell>
          <cell r="E119" t="str">
            <v>501_M0113_A_118R</v>
          </cell>
          <cell r="F119">
            <v>45860.9930555556</v>
          </cell>
          <cell r="G119" t="str">
            <v>PFAF</v>
          </cell>
          <cell r="H119">
            <v>201.99</v>
          </cell>
          <cell r="I119">
            <v>1.5</v>
          </cell>
          <cell r="J119">
            <v>203.49</v>
          </cell>
          <cell r="K119">
            <v>2</v>
          </cell>
          <cell r="L119">
            <v>0.8</v>
          </cell>
          <cell r="M119">
            <v>53.33</v>
          </cell>
        </row>
        <row r="119">
          <cell r="Q119" t="str">
            <v>yes</v>
          </cell>
          <cell r="R119" t="str">
            <v>all</v>
          </cell>
          <cell r="S119" t="str">
            <v>R</v>
          </cell>
          <cell r="T119" t="str">
            <v>R (QD-TEC)</v>
          </cell>
        </row>
        <row r="119">
          <cell r="V119">
            <v>72</v>
          </cell>
          <cell r="W119">
            <v>0</v>
          </cell>
          <cell r="X119">
            <v>201.99</v>
          </cell>
          <cell r="Y119">
            <v>203.49</v>
          </cell>
        </row>
        <row r="120">
          <cell r="A120">
            <v>119</v>
          </cell>
          <cell r="B120">
            <v>501</v>
          </cell>
          <cell r="C120" t="str">
            <v>M0113</v>
          </cell>
          <cell r="D120" t="str">
            <v>A</v>
          </cell>
          <cell r="E120" t="str">
            <v>501_M0113_A_119R</v>
          </cell>
          <cell r="F120">
            <v>45861.0347222222</v>
          </cell>
          <cell r="G120" t="str">
            <v>PFAF</v>
          </cell>
          <cell r="H120">
            <v>203.49</v>
          </cell>
          <cell r="I120">
            <v>1.5</v>
          </cell>
          <cell r="J120">
            <v>204.99</v>
          </cell>
          <cell r="K120">
            <v>1</v>
          </cell>
          <cell r="L120">
            <v>0.74</v>
          </cell>
          <cell r="M120">
            <v>49.33</v>
          </cell>
        </row>
        <row r="120">
          <cell r="Q120" t="str">
            <v>yes</v>
          </cell>
          <cell r="R120" t="str">
            <v>all</v>
          </cell>
          <cell r="S120" t="str">
            <v>R</v>
          </cell>
          <cell r="T120" t="str">
            <v>R (QD-TEC)</v>
          </cell>
        </row>
        <row r="120">
          <cell r="V120">
            <v>72</v>
          </cell>
          <cell r="W120">
            <v>0</v>
          </cell>
          <cell r="X120">
            <v>203.49</v>
          </cell>
          <cell r="Y120">
            <v>204.99</v>
          </cell>
        </row>
        <row r="121">
          <cell r="A121">
            <v>120</v>
          </cell>
          <cell r="B121">
            <v>501</v>
          </cell>
          <cell r="C121" t="str">
            <v>M0113</v>
          </cell>
          <cell r="D121" t="str">
            <v>A</v>
          </cell>
          <cell r="E121" t="str">
            <v>501_M0113_A_120R</v>
          </cell>
          <cell r="F121">
            <v>45861.0798611111</v>
          </cell>
          <cell r="G121" t="str">
            <v>PFAF</v>
          </cell>
          <cell r="H121">
            <v>204.99</v>
          </cell>
          <cell r="I121">
            <v>1.5</v>
          </cell>
          <cell r="J121">
            <v>206.49</v>
          </cell>
          <cell r="K121">
            <v>1</v>
          </cell>
          <cell r="L121">
            <v>0.6</v>
          </cell>
          <cell r="M121">
            <v>40</v>
          </cell>
        </row>
        <row r="121">
          <cell r="Q121" t="str">
            <v>yes</v>
          </cell>
          <cell r="R121" t="str">
            <v>all</v>
          </cell>
          <cell r="S121" t="str">
            <v>R</v>
          </cell>
          <cell r="T121" t="str">
            <v>R (QD-TEC)</v>
          </cell>
        </row>
        <row r="121">
          <cell r="V121">
            <v>72</v>
          </cell>
          <cell r="W121">
            <v>0</v>
          </cell>
          <cell r="X121">
            <v>204.99</v>
          </cell>
          <cell r="Y121">
            <v>206.49</v>
          </cell>
        </row>
        <row r="122">
          <cell r="A122">
            <v>121</v>
          </cell>
          <cell r="B122">
            <v>501</v>
          </cell>
          <cell r="C122" t="str">
            <v>M0113</v>
          </cell>
          <cell r="D122" t="str">
            <v>A</v>
          </cell>
          <cell r="E122" t="str">
            <v>501_M0113_A_121R</v>
          </cell>
          <cell r="F122">
            <v>45861.1180555556</v>
          </cell>
          <cell r="G122" t="str">
            <v>PFAF</v>
          </cell>
          <cell r="H122">
            <v>206.49</v>
          </cell>
          <cell r="I122">
            <v>1.5</v>
          </cell>
          <cell r="J122">
            <v>207.99</v>
          </cell>
          <cell r="K122">
            <v>1</v>
          </cell>
          <cell r="L122">
            <v>1.49</v>
          </cell>
          <cell r="M122">
            <v>99.33</v>
          </cell>
        </row>
        <row r="122">
          <cell r="P122" t="str">
            <v>metal inside 14-19 &amp; 52 &amp; 138-142</v>
          </cell>
          <cell r="Q122" t="str">
            <v>yes</v>
          </cell>
          <cell r="R122" t="str">
            <v>all</v>
          </cell>
          <cell r="S122" t="str">
            <v>R</v>
          </cell>
          <cell r="T122" t="str">
            <v>R (QD-TEC)</v>
          </cell>
        </row>
        <row r="122">
          <cell r="V122">
            <v>72</v>
          </cell>
          <cell r="W122">
            <v>0</v>
          </cell>
          <cell r="X122">
            <v>206.49</v>
          </cell>
          <cell r="Y122">
            <v>207.99</v>
          </cell>
        </row>
        <row r="123">
          <cell r="A123">
            <v>122</v>
          </cell>
          <cell r="B123">
            <v>501</v>
          </cell>
          <cell r="C123" t="str">
            <v>M0113</v>
          </cell>
          <cell r="D123" t="str">
            <v>A</v>
          </cell>
          <cell r="E123" t="str">
            <v>501_M0113_A_122R</v>
          </cell>
          <cell r="F123">
            <v>45861.1597222222</v>
          </cell>
          <cell r="G123" t="str">
            <v>GEPR</v>
          </cell>
          <cell r="H123">
            <v>207.99</v>
          </cell>
          <cell r="I123">
            <v>1.5</v>
          </cell>
          <cell r="J123">
            <v>209.49</v>
          </cell>
          <cell r="K123">
            <v>1</v>
          </cell>
          <cell r="L123">
            <v>0.32</v>
          </cell>
          <cell r="M123">
            <v>21.33</v>
          </cell>
        </row>
        <row r="123">
          <cell r="P123" t="str">
            <v>microspheres added</v>
          </cell>
          <cell r="Q123" t="str">
            <v>yes</v>
          </cell>
          <cell r="R123" t="str">
            <v>all</v>
          </cell>
          <cell r="S123" t="str">
            <v>R</v>
          </cell>
          <cell r="T123" t="str">
            <v>R (QD-TEC)</v>
          </cell>
        </row>
        <row r="123">
          <cell r="V123">
            <v>72</v>
          </cell>
          <cell r="W123">
            <v>0</v>
          </cell>
          <cell r="X123">
            <v>207.99</v>
          </cell>
          <cell r="Y123">
            <v>209.49</v>
          </cell>
        </row>
        <row r="124">
          <cell r="A124">
            <v>123</v>
          </cell>
          <cell r="B124">
            <v>501</v>
          </cell>
          <cell r="C124" t="str">
            <v>M0113</v>
          </cell>
          <cell r="D124" t="str">
            <v>A</v>
          </cell>
          <cell r="E124" t="str">
            <v>501_M0113_A_123R</v>
          </cell>
          <cell r="F124">
            <v>45861.2013888889</v>
          </cell>
          <cell r="G124" t="str">
            <v>GEPR</v>
          </cell>
          <cell r="H124">
            <v>209.49</v>
          </cell>
          <cell r="I124">
            <v>1.5</v>
          </cell>
          <cell r="J124">
            <v>210.99</v>
          </cell>
          <cell r="K124">
            <v>1</v>
          </cell>
          <cell r="L124">
            <v>0.25</v>
          </cell>
          <cell r="M124">
            <v>16.67</v>
          </cell>
        </row>
        <row r="124">
          <cell r="P124" t="str">
            <v>microspheres added</v>
          </cell>
          <cell r="Q124" t="str">
            <v>yes</v>
          </cell>
          <cell r="R124" t="str">
            <v>all</v>
          </cell>
          <cell r="S124" t="str">
            <v>R</v>
          </cell>
          <cell r="T124" t="str">
            <v>R (QD-TEC)</v>
          </cell>
        </row>
        <row r="124">
          <cell r="V124">
            <v>72</v>
          </cell>
          <cell r="W124">
            <v>0</v>
          </cell>
          <cell r="X124">
            <v>209.49</v>
          </cell>
          <cell r="Y124">
            <v>210.99</v>
          </cell>
        </row>
        <row r="125">
          <cell r="A125">
            <v>124</v>
          </cell>
          <cell r="B125">
            <v>501</v>
          </cell>
          <cell r="C125" t="str">
            <v>M0113</v>
          </cell>
          <cell r="D125" t="str">
            <v>A</v>
          </cell>
          <cell r="E125" t="str">
            <v>501_M0113_A_124R</v>
          </cell>
          <cell r="F125">
            <v>45861.2395833333</v>
          </cell>
          <cell r="G125" t="str">
            <v>GEPR</v>
          </cell>
          <cell r="H125">
            <v>210.99</v>
          </cell>
          <cell r="I125">
            <v>1.5</v>
          </cell>
          <cell r="J125">
            <v>212.49</v>
          </cell>
          <cell r="K125">
            <v>2</v>
          </cell>
          <cell r="L125">
            <v>1.53</v>
          </cell>
          <cell r="M125">
            <v>102</v>
          </cell>
        </row>
        <row r="125">
          <cell r="P125" t="str">
            <v>MUD sample</v>
          </cell>
          <cell r="Q125" t="str">
            <v>yes</v>
          </cell>
          <cell r="R125" t="str">
            <v>all</v>
          </cell>
          <cell r="S125" t="str">
            <v>R</v>
          </cell>
          <cell r="T125" t="str">
            <v>R (QD-TEC)</v>
          </cell>
        </row>
        <row r="125">
          <cell r="V125">
            <v>72</v>
          </cell>
          <cell r="W125">
            <v>0</v>
          </cell>
          <cell r="X125">
            <v>210.99</v>
          </cell>
          <cell r="Y125">
            <v>212.49</v>
          </cell>
        </row>
        <row r="126">
          <cell r="A126">
            <v>125</v>
          </cell>
          <cell r="B126">
            <v>501</v>
          </cell>
          <cell r="C126" t="str">
            <v>M0113</v>
          </cell>
          <cell r="D126" t="str">
            <v>A</v>
          </cell>
          <cell r="E126" t="str">
            <v>501_M0113_A_125R</v>
          </cell>
          <cell r="F126">
            <v>45861.2847222222</v>
          </cell>
          <cell r="G126" t="str">
            <v>GEPR</v>
          </cell>
          <cell r="H126">
            <v>212.49</v>
          </cell>
          <cell r="I126">
            <v>3</v>
          </cell>
          <cell r="J126">
            <v>215.49</v>
          </cell>
          <cell r="K126">
            <v>1</v>
          </cell>
          <cell r="L126">
            <v>0.22</v>
          </cell>
          <cell r="M126">
            <v>7.33</v>
          </cell>
        </row>
        <row r="126">
          <cell r="Q126" t="str">
            <v>yes</v>
          </cell>
          <cell r="R126" t="str">
            <v>all</v>
          </cell>
          <cell r="S126" t="str">
            <v>R</v>
          </cell>
          <cell r="T126" t="str">
            <v>R (QD-TEC)</v>
          </cell>
        </row>
        <row r="126">
          <cell r="V126">
            <v>72</v>
          </cell>
          <cell r="W126">
            <v>0</v>
          </cell>
          <cell r="X126">
            <v>212.49</v>
          </cell>
          <cell r="Y126">
            <v>215.49</v>
          </cell>
        </row>
        <row r="127">
          <cell r="A127">
            <v>126</v>
          </cell>
          <cell r="B127">
            <v>501</v>
          </cell>
          <cell r="C127" t="str">
            <v>M0113</v>
          </cell>
          <cell r="D127" t="str">
            <v>A</v>
          </cell>
          <cell r="E127" t="str">
            <v>501_M0113_A_126R</v>
          </cell>
          <cell r="F127">
            <v>45861.3229166667</v>
          </cell>
          <cell r="G127" t="str">
            <v>GEPR</v>
          </cell>
          <cell r="H127">
            <v>215.49</v>
          </cell>
          <cell r="I127">
            <v>1.5</v>
          </cell>
          <cell r="J127">
            <v>216.99</v>
          </cell>
          <cell r="K127">
            <v>1</v>
          </cell>
          <cell r="L127">
            <v>0.85</v>
          </cell>
          <cell r="M127">
            <v>56.67</v>
          </cell>
        </row>
        <row r="127">
          <cell r="Q127" t="str">
            <v>yes</v>
          </cell>
          <cell r="R127" t="str">
            <v>all</v>
          </cell>
          <cell r="S127" t="str">
            <v>R</v>
          </cell>
          <cell r="T127" t="str">
            <v>R (QD-TEC)</v>
          </cell>
        </row>
        <row r="127">
          <cell r="V127">
            <v>72</v>
          </cell>
          <cell r="W127">
            <v>0</v>
          </cell>
          <cell r="X127">
            <v>215.49</v>
          </cell>
          <cell r="Y127">
            <v>216.99</v>
          </cell>
        </row>
        <row r="128">
          <cell r="A128">
            <v>127</v>
          </cell>
          <cell r="B128">
            <v>501</v>
          </cell>
          <cell r="C128" t="str">
            <v>M0113</v>
          </cell>
          <cell r="D128" t="str">
            <v>A</v>
          </cell>
          <cell r="E128" t="str">
            <v>501_M0113_A_127R</v>
          </cell>
          <cell r="F128">
            <v>45861.3506944444</v>
          </cell>
          <cell r="G128" t="str">
            <v>GEPR</v>
          </cell>
          <cell r="H128">
            <v>216.99</v>
          </cell>
          <cell r="I128">
            <v>0.48</v>
          </cell>
          <cell r="J128">
            <v>217.47</v>
          </cell>
          <cell r="K128">
            <v>1</v>
          </cell>
          <cell r="L128">
            <v>0.26</v>
          </cell>
          <cell r="M128">
            <v>54.17</v>
          </cell>
        </row>
        <row r="128">
          <cell r="Q128" t="str">
            <v>yes</v>
          </cell>
          <cell r="R128" t="str">
            <v>all</v>
          </cell>
          <cell r="S128" t="str">
            <v>R</v>
          </cell>
          <cell r="T128" t="str">
            <v>R (QD-TEC)</v>
          </cell>
        </row>
        <row r="128">
          <cell r="V128">
            <v>72</v>
          </cell>
          <cell r="W128">
            <v>0</v>
          </cell>
          <cell r="X128">
            <v>216.99</v>
          </cell>
          <cell r="Y128">
            <v>217.47</v>
          </cell>
        </row>
        <row r="129">
          <cell r="A129">
            <v>128</v>
          </cell>
          <cell r="B129">
            <v>501</v>
          </cell>
          <cell r="C129" t="str">
            <v>M0113</v>
          </cell>
          <cell r="D129" t="str">
            <v>A</v>
          </cell>
          <cell r="E129" t="str">
            <v>501_M0113_A_128R</v>
          </cell>
          <cell r="F129">
            <v>45861.375</v>
          </cell>
          <cell r="G129" t="str">
            <v>GEPR</v>
          </cell>
          <cell r="H129">
            <v>217.47</v>
          </cell>
          <cell r="I129">
            <v>0.87</v>
          </cell>
          <cell r="J129">
            <v>218.34</v>
          </cell>
          <cell r="K129">
            <v>2</v>
          </cell>
          <cell r="L129">
            <v>0.7</v>
          </cell>
          <cell r="M129">
            <v>80.46</v>
          </cell>
        </row>
        <row r="129">
          <cell r="Q129" t="str">
            <v>yes</v>
          </cell>
          <cell r="R129" t="str">
            <v>all</v>
          </cell>
          <cell r="S129" t="str">
            <v>R</v>
          </cell>
          <cell r="T129" t="str">
            <v>R (QD-TEC)</v>
          </cell>
        </row>
        <row r="129">
          <cell r="V129">
            <v>72</v>
          </cell>
          <cell r="W129">
            <v>0</v>
          </cell>
          <cell r="X129">
            <v>217.47</v>
          </cell>
          <cell r="Y129">
            <v>218.34</v>
          </cell>
        </row>
        <row r="130">
          <cell r="A130">
            <v>129</v>
          </cell>
          <cell r="B130">
            <v>501</v>
          </cell>
          <cell r="C130" t="str">
            <v>M0113</v>
          </cell>
          <cell r="D130" t="str">
            <v>A</v>
          </cell>
          <cell r="E130" t="str">
            <v>501_M0113_A_129R</v>
          </cell>
          <cell r="F130">
            <v>45861.3993055556</v>
          </cell>
          <cell r="G130" t="str">
            <v>GEPR</v>
          </cell>
          <cell r="H130">
            <v>218.34</v>
          </cell>
          <cell r="I130">
            <v>0.4</v>
          </cell>
          <cell r="J130">
            <v>218.74</v>
          </cell>
          <cell r="K130">
            <v>1</v>
          </cell>
          <cell r="L130">
            <v>0.54</v>
          </cell>
          <cell r="M130">
            <v>135</v>
          </cell>
        </row>
        <row r="130">
          <cell r="Q130" t="str">
            <v>yes</v>
          </cell>
          <cell r="R130" t="str">
            <v>all</v>
          </cell>
          <cell r="S130" t="str">
            <v>R</v>
          </cell>
          <cell r="T130" t="str">
            <v>R (QD-TEC)</v>
          </cell>
        </row>
        <row r="130">
          <cell r="V130">
            <v>72</v>
          </cell>
          <cell r="W130">
            <v>0</v>
          </cell>
          <cell r="X130">
            <v>218.34</v>
          </cell>
          <cell r="Y130">
            <v>218.74</v>
          </cell>
        </row>
        <row r="131">
          <cell r="A131">
            <v>130</v>
          </cell>
          <cell r="B131">
            <v>501</v>
          </cell>
          <cell r="C131" t="str">
            <v>M0113</v>
          </cell>
          <cell r="D131" t="str">
            <v>A</v>
          </cell>
          <cell r="E131" t="str">
            <v>501_M0113_A_130R</v>
          </cell>
          <cell r="F131">
            <v>45861.4236111111</v>
          </cell>
          <cell r="G131" t="str">
            <v>GEPR</v>
          </cell>
          <cell r="H131">
            <v>218.74</v>
          </cell>
          <cell r="I131">
            <v>0.2</v>
          </cell>
          <cell r="J131">
            <v>218.94</v>
          </cell>
          <cell r="K131">
            <v>1</v>
          </cell>
          <cell r="L131">
            <v>0.26</v>
          </cell>
          <cell r="M131">
            <v>130</v>
          </cell>
        </row>
        <row r="131">
          <cell r="Q131" t="str">
            <v>yes</v>
          </cell>
          <cell r="R131" t="str">
            <v>all</v>
          </cell>
          <cell r="S131" t="str">
            <v>R</v>
          </cell>
          <cell r="T131" t="str">
            <v>R (QD-TEC)</v>
          </cell>
        </row>
        <row r="131">
          <cell r="V131">
            <v>72</v>
          </cell>
          <cell r="W131">
            <v>0</v>
          </cell>
          <cell r="X131">
            <v>218.74</v>
          </cell>
          <cell r="Y131">
            <v>218.94</v>
          </cell>
        </row>
        <row r="132">
          <cell r="A132">
            <v>131</v>
          </cell>
          <cell r="B132">
            <v>501</v>
          </cell>
          <cell r="C132" t="str">
            <v>M0113</v>
          </cell>
          <cell r="D132" t="str">
            <v>A</v>
          </cell>
          <cell r="E132" t="str">
            <v>501_M0113_A_131R</v>
          </cell>
          <cell r="F132">
            <v>45861.4444444444</v>
          </cell>
          <cell r="G132" t="str">
            <v>GEPR</v>
          </cell>
          <cell r="H132">
            <v>218.94</v>
          </cell>
          <cell r="I132">
            <v>0.5</v>
          </cell>
          <cell r="J132">
            <v>219.44</v>
          </cell>
          <cell r="K132">
            <v>1</v>
          </cell>
          <cell r="L132">
            <v>0.3</v>
          </cell>
          <cell r="M132">
            <v>60</v>
          </cell>
        </row>
        <row r="132">
          <cell r="Q132" t="str">
            <v>yes</v>
          </cell>
          <cell r="R132" t="str">
            <v>all</v>
          </cell>
          <cell r="S132" t="str">
            <v>R</v>
          </cell>
          <cell r="T132" t="str">
            <v>R (QD-TEC)</v>
          </cell>
        </row>
        <row r="132">
          <cell r="V132">
            <v>72</v>
          </cell>
          <cell r="W132">
            <v>0</v>
          </cell>
          <cell r="X132">
            <v>218.94</v>
          </cell>
          <cell r="Y132">
            <v>219.44</v>
          </cell>
        </row>
        <row r="133">
          <cell r="A133">
            <v>132</v>
          </cell>
          <cell r="B133">
            <v>501</v>
          </cell>
          <cell r="C133" t="str">
            <v>M0113</v>
          </cell>
          <cell r="D133" t="str">
            <v>A</v>
          </cell>
          <cell r="E133" t="str">
            <v>501_M0113_A_132R</v>
          </cell>
          <cell r="F133">
            <v>45861.4652777778</v>
          </cell>
          <cell r="G133" t="str">
            <v>GEPR</v>
          </cell>
          <cell r="H133">
            <v>219.44</v>
          </cell>
          <cell r="I133">
            <v>2.05</v>
          </cell>
          <cell r="J133">
            <v>221.49</v>
          </cell>
          <cell r="K133">
            <v>2</v>
          </cell>
          <cell r="L133">
            <v>2.11</v>
          </cell>
          <cell r="M133">
            <v>102.93</v>
          </cell>
        </row>
        <row r="133">
          <cell r="Q133" t="str">
            <v>yes</v>
          </cell>
          <cell r="R133" t="str">
            <v>all</v>
          </cell>
          <cell r="S133" t="str">
            <v>R</v>
          </cell>
          <cell r="T133" t="str">
            <v>R (QD-TEC)</v>
          </cell>
        </row>
        <row r="133">
          <cell r="V133">
            <v>72</v>
          </cell>
          <cell r="W133">
            <v>0</v>
          </cell>
          <cell r="X133">
            <v>219.44</v>
          </cell>
          <cell r="Y133">
            <v>221.49</v>
          </cell>
        </row>
        <row r="134">
          <cell r="A134">
            <v>133</v>
          </cell>
          <cell r="B134">
            <v>501</v>
          </cell>
          <cell r="C134" t="str">
            <v>M0113</v>
          </cell>
          <cell r="D134" t="str">
            <v>A</v>
          </cell>
          <cell r="E134" t="str">
            <v>501_M0113_A_133R</v>
          </cell>
          <cell r="F134">
            <v>45861.5347222222</v>
          </cell>
          <cell r="G134" t="str">
            <v>GEPR</v>
          </cell>
          <cell r="H134">
            <v>221.49</v>
          </cell>
          <cell r="I134">
            <v>1.45</v>
          </cell>
          <cell r="J134">
            <v>222.94</v>
          </cell>
          <cell r="K134">
            <v>1</v>
          </cell>
          <cell r="L134">
            <v>1.25</v>
          </cell>
          <cell r="M134">
            <v>86.21</v>
          </cell>
        </row>
        <row r="134">
          <cell r="Q134" t="str">
            <v>yes</v>
          </cell>
          <cell r="R134" t="str">
            <v>all</v>
          </cell>
          <cell r="S134" t="str">
            <v>R</v>
          </cell>
          <cell r="T134" t="str">
            <v>R (QD-TEC)</v>
          </cell>
        </row>
        <row r="134">
          <cell r="V134">
            <v>72</v>
          </cell>
          <cell r="W134">
            <v>0</v>
          </cell>
          <cell r="X134">
            <v>221.49</v>
          </cell>
          <cell r="Y134">
            <v>222.94</v>
          </cell>
        </row>
        <row r="135">
          <cell r="A135">
            <v>134</v>
          </cell>
          <cell r="B135">
            <v>501</v>
          </cell>
          <cell r="C135" t="str">
            <v>M0113</v>
          </cell>
          <cell r="D135" t="str">
            <v>A</v>
          </cell>
          <cell r="E135" t="str">
            <v>501_M0113_A_134R</v>
          </cell>
          <cell r="F135">
            <v>45861.5798611111</v>
          </cell>
          <cell r="G135" t="str">
            <v>GEPR</v>
          </cell>
          <cell r="H135">
            <v>222.94</v>
          </cell>
          <cell r="I135">
            <v>1.55</v>
          </cell>
          <cell r="J135">
            <v>224.49</v>
          </cell>
          <cell r="K135">
            <v>1</v>
          </cell>
          <cell r="L135">
            <v>0.47</v>
          </cell>
          <cell r="M135">
            <v>30.32</v>
          </cell>
        </row>
        <row r="135">
          <cell r="P135" t="str">
            <v>liner stuck</v>
          </cell>
        </row>
        <row r="135">
          <cell r="X135">
            <v>222.94</v>
          </cell>
        </row>
        <row r="136">
          <cell r="A136">
            <v>135</v>
          </cell>
          <cell r="B136">
            <v>501</v>
          </cell>
          <cell r="C136" t="str">
            <v>M0113</v>
          </cell>
          <cell r="D136" t="str">
            <v>A</v>
          </cell>
          <cell r="E136" t="str">
            <v>501_M0113_A_135R</v>
          </cell>
          <cell r="F136">
            <v>45861.6284722222</v>
          </cell>
          <cell r="G136" t="str">
            <v>GEPR</v>
          </cell>
          <cell r="H136">
            <v>224.49</v>
          </cell>
          <cell r="I136">
            <v>3</v>
          </cell>
          <cell r="J136">
            <v>227.49</v>
          </cell>
          <cell r="K136">
            <v>2</v>
          </cell>
          <cell r="L136">
            <v>2.62</v>
          </cell>
          <cell r="M136">
            <v>87.33</v>
          </cell>
        </row>
        <row r="136">
          <cell r="Q136" t="str">
            <v>yes</v>
          </cell>
          <cell r="R136" t="str">
            <v>all</v>
          </cell>
          <cell r="S136" t="str">
            <v>R</v>
          </cell>
          <cell r="T136" t="str">
            <v>R (QD-TEC)</v>
          </cell>
        </row>
        <row r="136">
          <cell r="V136">
            <v>72</v>
          </cell>
          <cell r="W136">
            <v>0</v>
          </cell>
          <cell r="X136">
            <v>224.49</v>
          </cell>
          <cell r="Y136">
            <v>227.49</v>
          </cell>
        </row>
        <row r="137">
          <cell r="A137">
            <v>136</v>
          </cell>
          <cell r="B137">
            <v>501</v>
          </cell>
          <cell r="C137" t="str">
            <v>M0113</v>
          </cell>
          <cell r="D137" t="str">
            <v>A</v>
          </cell>
          <cell r="E137" t="str">
            <v>501_M0113_A_136R</v>
          </cell>
          <cell r="F137">
            <v>45861.6875</v>
          </cell>
          <cell r="G137" t="str">
            <v>PFAF</v>
          </cell>
          <cell r="H137">
            <v>227.49</v>
          </cell>
          <cell r="I137">
            <v>3</v>
          </cell>
          <cell r="J137">
            <v>230.49</v>
          </cell>
          <cell r="K137">
            <v>3</v>
          </cell>
          <cell r="L137">
            <v>1.86</v>
          </cell>
          <cell r="M137">
            <v>62</v>
          </cell>
        </row>
        <row r="137">
          <cell r="P137" t="str">
            <v>initial core on deck was 11:50 with no recovery</v>
          </cell>
        </row>
        <row r="137">
          <cell r="X137">
            <v>227.49</v>
          </cell>
        </row>
        <row r="138">
          <cell r="A138">
            <v>137</v>
          </cell>
          <cell r="B138">
            <v>501</v>
          </cell>
          <cell r="C138" t="str">
            <v>M0113</v>
          </cell>
          <cell r="D138" t="str">
            <v>A</v>
          </cell>
          <cell r="E138" t="str">
            <v>501_M0113_A_137R</v>
          </cell>
          <cell r="F138">
            <v>45861.8888888889</v>
          </cell>
          <cell r="G138" t="str">
            <v>PFAF</v>
          </cell>
          <cell r="H138">
            <v>230.49</v>
          </cell>
          <cell r="I138">
            <v>1.5</v>
          </cell>
          <cell r="J138">
            <v>231.99</v>
          </cell>
          <cell r="K138">
            <v>1</v>
          </cell>
          <cell r="L138">
            <v>0.09</v>
          </cell>
          <cell r="M138">
            <v>6</v>
          </cell>
        </row>
        <row r="138">
          <cell r="Q138" t="str">
            <v>yes</v>
          </cell>
          <cell r="R138" t="str">
            <v>all</v>
          </cell>
          <cell r="S138" t="str">
            <v>R</v>
          </cell>
          <cell r="T138" t="str">
            <v>R (QD-TEC)</v>
          </cell>
        </row>
        <row r="138">
          <cell r="V138">
            <v>72</v>
          </cell>
          <cell r="W138">
            <v>0</v>
          </cell>
          <cell r="X138">
            <v>230.49</v>
          </cell>
          <cell r="Y138">
            <v>231.99</v>
          </cell>
        </row>
        <row r="139">
          <cell r="A139">
            <v>138</v>
          </cell>
          <cell r="B139">
            <v>501</v>
          </cell>
          <cell r="C139" t="str">
            <v>M0113</v>
          </cell>
          <cell r="D139" t="str">
            <v>A</v>
          </cell>
          <cell r="E139" t="str">
            <v>501_M0113_A_138H</v>
          </cell>
          <cell r="F139">
            <v>45861.90625</v>
          </cell>
          <cell r="G139" t="str">
            <v>PFAF</v>
          </cell>
          <cell r="H139">
            <v>231.59</v>
          </cell>
          <cell r="I139">
            <v>0.58</v>
          </cell>
          <cell r="J139">
            <v>232.17</v>
          </cell>
          <cell r="K139">
            <v>2</v>
          </cell>
          <cell r="L139">
            <v>0.58</v>
          </cell>
          <cell r="M139">
            <v>100</v>
          </cell>
        </row>
        <row r="139">
          <cell r="Q139" t="str">
            <v>yes</v>
          </cell>
          <cell r="R139" t="str">
            <v>all</v>
          </cell>
          <cell r="S139" t="str">
            <v>H</v>
          </cell>
          <cell r="T139" t="str">
            <v>H (QD-TEC)</v>
          </cell>
        </row>
        <row r="139">
          <cell r="V139">
            <v>72</v>
          </cell>
          <cell r="W139">
            <v>0</v>
          </cell>
          <cell r="X139">
            <v>231.59</v>
          </cell>
          <cell r="Y139">
            <v>232.17</v>
          </cell>
        </row>
        <row r="140">
          <cell r="A140">
            <v>139</v>
          </cell>
          <cell r="B140">
            <v>501</v>
          </cell>
          <cell r="C140" t="str">
            <v>M0113</v>
          </cell>
          <cell r="D140" t="str">
            <v>A</v>
          </cell>
          <cell r="E140" t="str">
            <v>501_M0113_A_139H</v>
          </cell>
          <cell r="F140">
            <v>45861.9270833333</v>
          </cell>
          <cell r="G140" t="str">
            <v>PFAF</v>
          </cell>
          <cell r="H140">
            <v>232.17</v>
          </cell>
          <cell r="I140">
            <v>0.69</v>
          </cell>
          <cell r="J140">
            <v>232.86</v>
          </cell>
          <cell r="K140">
            <v>1</v>
          </cell>
          <cell r="L140">
            <v>0.58</v>
          </cell>
          <cell r="M140">
            <v>84.06</v>
          </cell>
        </row>
        <row r="140">
          <cell r="P140" t="str">
            <v>liner dented</v>
          </cell>
          <cell r="Q140" t="str">
            <v>yes</v>
          </cell>
          <cell r="R140" t="str">
            <v>all</v>
          </cell>
          <cell r="S140" t="str">
            <v>H</v>
          </cell>
          <cell r="T140" t="str">
            <v>H (QD-TEC)</v>
          </cell>
        </row>
        <row r="140">
          <cell r="V140">
            <v>72</v>
          </cell>
          <cell r="W140">
            <v>0</v>
          </cell>
          <cell r="X140">
            <v>232.17</v>
          </cell>
          <cell r="Y140">
            <v>232.86</v>
          </cell>
        </row>
        <row r="141">
          <cell r="A141">
            <v>140</v>
          </cell>
          <cell r="B141">
            <v>501</v>
          </cell>
          <cell r="C141" t="str">
            <v>M0113</v>
          </cell>
          <cell r="D141" t="str">
            <v>A</v>
          </cell>
          <cell r="E141" t="str">
            <v>501_M0113_A_140R</v>
          </cell>
          <cell r="F141">
            <v>45861.9722222222</v>
          </cell>
          <cell r="G141" t="str">
            <v>PFAF</v>
          </cell>
          <cell r="H141">
            <v>232.86</v>
          </cell>
          <cell r="I141">
            <v>0.63</v>
          </cell>
          <cell r="J141">
            <v>233.49</v>
          </cell>
          <cell r="K141">
            <v>1</v>
          </cell>
          <cell r="L141">
            <v>1.02</v>
          </cell>
          <cell r="M141">
            <v>161.9</v>
          </cell>
        </row>
        <row r="141">
          <cell r="Q141" t="str">
            <v>yes</v>
          </cell>
          <cell r="R141" t="str">
            <v>all</v>
          </cell>
          <cell r="S141" t="str">
            <v>R</v>
          </cell>
          <cell r="T141" t="str">
            <v>R (QD-TEC)</v>
          </cell>
        </row>
        <row r="141">
          <cell r="V141">
            <v>72</v>
          </cell>
          <cell r="W141">
            <v>0</v>
          </cell>
          <cell r="X141">
            <v>232.86</v>
          </cell>
          <cell r="Y141">
            <v>233.49</v>
          </cell>
        </row>
        <row r="142">
          <cell r="A142">
            <v>141</v>
          </cell>
          <cell r="B142">
            <v>501</v>
          </cell>
          <cell r="C142" t="str">
            <v>M0113</v>
          </cell>
          <cell r="D142" t="str">
            <v>A</v>
          </cell>
          <cell r="E142" t="str">
            <v>501_M0113_A_141R</v>
          </cell>
          <cell r="F142">
            <v>45862.0243055556</v>
          </cell>
          <cell r="G142" t="str">
            <v>PFAF</v>
          </cell>
          <cell r="H142">
            <v>233.49</v>
          </cell>
          <cell r="I142">
            <v>1.5</v>
          </cell>
          <cell r="J142">
            <v>234.99</v>
          </cell>
          <cell r="K142">
            <v>1</v>
          </cell>
          <cell r="L142">
            <v>0.35</v>
          </cell>
          <cell r="M142">
            <v>23.33</v>
          </cell>
        </row>
        <row r="142">
          <cell r="Q142" t="str">
            <v>yes</v>
          </cell>
          <cell r="R142" t="str">
            <v>all</v>
          </cell>
          <cell r="S142" t="str">
            <v>R</v>
          </cell>
          <cell r="T142" t="str">
            <v>R (QD-TEC)</v>
          </cell>
        </row>
        <row r="142">
          <cell r="V142">
            <v>72</v>
          </cell>
          <cell r="W142">
            <v>0</v>
          </cell>
          <cell r="X142">
            <v>233.49</v>
          </cell>
          <cell r="Y142">
            <v>234.99</v>
          </cell>
        </row>
        <row r="143">
          <cell r="A143">
            <v>142</v>
          </cell>
          <cell r="B143">
            <v>501</v>
          </cell>
          <cell r="C143" t="str">
            <v>M0113</v>
          </cell>
          <cell r="D143" t="str">
            <v>A</v>
          </cell>
          <cell r="E143" t="str">
            <v>501_M0113_A_142R</v>
          </cell>
          <cell r="F143">
            <v>45862.0694444444</v>
          </cell>
          <cell r="G143" t="str">
            <v>PFAF</v>
          </cell>
          <cell r="H143">
            <v>234.99</v>
          </cell>
          <cell r="I143">
            <v>1.5</v>
          </cell>
          <cell r="J143">
            <v>236.49</v>
          </cell>
          <cell r="K143">
            <v>2</v>
          </cell>
          <cell r="L143">
            <v>2.88</v>
          </cell>
          <cell r="M143">
            <v>192</v>
          </cell>
        </row>
        <row r="143">
          <cell r="P143" t="str">
            <v>microspheres added</v>
          </cell>
          <cell r="Q143" t="str">
            <v>yes</v>
          </cell>
          <cell r="R143" t="str">
            <v>all</v>
          </cell>
          <cell r="S143" t="str">
            <v>R</v>
          </cell>
          <cell r="T143" t="str">
            <v>R (QD-TEC)</v>
          </cell>
        </row>
        <row r="143">
          <cell r="V143">
            <v>72</v>
          </cell>
          <cell r="W143">
            <v>0</v>
          </cell>
          <cell r="X143">
            <v>234.99</v>
          </cell>
          <cell r="Y143">
            <v>236.49</v>
          </cell>
        </row>
        <row r="144">
          <cell r="A144">
            <v>143</v>
          </cell>
          <cell r="B144">
            <v>501</v>
          </cell>
          <cell r="C144" t="str">
            <v>M0113</v>
          </cell>
          <cell r="D144" t="str">
            <v>A</v>
          </cell>
          <cell r="E144" t="str">
            <v>501_M0113_A_143R</v>
          </cell>
          <cell r="F144">
            <v>45862.0972222222</v>
          </cell>
          <cell r="G144" t="str">
            <v>PFAF</v>
          </cell>
          <cell r="H144">
            <v>236.49</v>
          </cell>
          <cell r="I144">
            <v>0</v>
          </cell>
          <cell r="J144">
            <v>236.49</v>
          </cell>
          <cell r="K144">
            <v>1</v>
          </cell>
          <cell r="L144">
            <v>0.12</v>
          </cell>
          <cell r="M144">
            <v>0</v>
          </cell>
        </row>
        <row r="144">
          <cell r="P144" t="str">
            <v>no drilling advance made</v>
          </cell>
        </row>
        <row r="144">
          <cell r="X144">
            <v>236.49</v>
          </cell>
        </row>
        <row r="145">
          <cell r="A145">
            <v>144</v>
          </cell>
          <cell r="B145">
            <v>501</v>
          </cell>
          <cell r="C145" t="str">
            <v>M0113</v>
          </cell>
          <cell r="D145" t="str">
            <v>A</v>
          </cell>
          <cell r="E145" t="str">
            <v>501_M0113_A_144R</v>
          </cell>
          <cell r="F145">
            <v>45862.1388888889</v>
          </cell>
          <cell r="G145" t="str">
            <v>PFAF</v>
          </cell>
          <cell r="H145">
            <v>236.49</v>
          </cell>
          <cell r="I145">
            <v>1.5</v>
          </cell>
          <cell r="J145">
            <v>237.99</v>
          </cell>
          <cell r="K145">
            <v>2</v>
          </cell>
          <cell r="L145">
            <v>1.49</v>
          </cell>
          <cell r="M145">
            <v>99.33</v>
          </cell>
        </row>
        <row r="145">
          <cell r="Q145" t="str">
            <v>yes</v>
          </cell>
          <cell r="R145" t="str">
            <v>all</v>
          </cell>
          <cell r="S145" t="str">
            <v>R</v>
          </cell>
          <cell r="T145" t="str">
            <v>R (QD-TEC)</v>
          </cell>
        </row>
        <row r="145">
          <cell r="V145">
            <v>72</v>
          </cell>
          <cell r="W145">
            <v>0</v>
          </cell>
          <cell r="X145">
            <v>236.49</v>
          </cell>
          <cell r="Y145">
            <v>237.99</v>
          </cell>
        </row>
        <row r="146">
          <cell r="A146">
            <v>145</v>
          </cell>
          <cell r="B146">
            <v>501</v>
          </cell>
          <cell r="C146" t="str">
            <v>M0113</v>
          </cell>
          <cell r="D146" t="str">
            <v>A</v>
          </cell>
          <cell r="E146" t="str">
            <v>501_M0113_A_145R</v>
          </cell>
          <cell r="F146">
            <v>45862.2013888889</v>
          </cell>
          <cell r="G146" t="str">
            <v>GEPR</v>
          </cell>
          <cell r="H146">
            <v>237.99</v>
          </cell>
          <cell r="I146">
            <v>1.5</v>
          </cell>
          <cell r="J146">
            <v>239.49</v>
          </cell>
          <cell r="K146">
            <v>2</v>
          </cell>
          <cell r="L146">
            <v>1.64</v>
          </cell>
          <cell r="M146">
            <v>109.33</v>
          </cell>
        </row>
        <row r="146">
          <cell r="Q146" t="str">
            <v>yes</v>
          </cell>
          <cell r="R146" t="str">
            <v>all</v>
          </cell>
          <cell r="S146" t="str">
            <v>R</v>
          </cell>
          <cell r="T146" t="str">
            <v>R (QD-TEC)</v>
          </cell>
        </row>
        <row r="146">
          <cell r="V146">
            <v>72</v>
          </cell>
          <cell r="W146">
            <v>0</v>
          </cell>
          <cell r="X146">
            <v>237.99</v>
          </cell>
          <cell r="Y146">
            <v>239.49</v>
          </cell>
        </row>
        <row r="147">
          <cell r="A147">
            <v>146</v>
          </cell>
          <cell r="B147">
            <v>501</v>
          </cell>
          <cell r="C147" t="str">
            <v>M0113</v>
          </cell>
          <cell r="D147" t="str">
            <v>A</v>
          </cell>
          <cell r="E147" t="str">
            <v>501_M0113_A_146R</v>
          </cell>
          <cell r="F147">
            <v>45862.2430555556</v>
          </cell>
          <cell r="G147" t="str">
            <v>GEPR</v>
          </cell>
          <cell r="H147">
            <v>239.49</v>
          </cell>
          <cell r="I147">
            <v>1.5</v>
          </cell>
          <cell r="J147">
            <v>240.99</v>
          </cell>
          <cell r="K147">
            <v>1</v>
          </cell>
          <cell r="L147">
            <v>0.88</v>
          </cell>
          <cell r="M147">
            <v>58.67</v>
          </cell>
        </row>
        <row r="147">
          <cell r="P147" t="str">
            <v>liner stuck</v>
          </cell>
        </row>
        <row r="147">
          <cell r="X147">
            <v>239.49</v>
          </cell>
        </row>
        <row r="148">
          <cell r="A148">
            <v>147</v>
          </cell>
          <cell r="B148">
            <v>501</v>
          </cell>
          <cell r="C148" t="str">
            <v>M0113</v>
          </cell>
          <cell r="D148" t="str">
            <v>A</v>
          </cell>
          <cell r="E148" t="str">
            <v>501_M0113_A_147R</v>
          </cell>
          <cell r="F148">
            <v>45862.2777777778</v>
          </cell>
          <cell r="G148" t="str">
            <v>GEPR</v>
          </cell>
          <cell r="H148">
            <v>240.99</v>
          </cell>
          <cell r="I148">
            <v>1.5</v>
          </cell>
          <cell r="J148">
            <v>242.49</v>
          </cell>
          <cell r="K148">
            <v>0</v>
          </cell>
          <cell r="L148">
            <v>0</v>
          </cell>
          <cell r="M148">
            <v>0</v>
          </cell>
        </row>
        <row r="148">
          <cell r="P148" t="str">
            <v>no recovery</v>
          </cell>
        </row>
        <row r="148">
          <cell r="X148">
            <v>240.99</v>
          </cell>
        </row>
        <row r="149">
          <cell r="A149">
            <v>148</v>
          </cell>
          <cell r="B149">
            <v>501</v>
          </cell>
          <cell r="C149" t="str">
            <v>M0113</v>
          </cell>
          <cell r="D149" t="str">
            <v>A</v>
          </cell>
          <cell r="E149" t="str">
            <v>501_M0113_A_148R</v>
          </cell>
          <cell r="F149">
            <v>45862.3194444444</v>
          </cell>
          <cell r="G149" t="str">
            <v>GEPR</v>
          </cell>
          <cell r="H149">
            <v>242.49</v>
          </cell>
          <cell r="I149">
            <v>1.5</v>
          </cell>
          <cell r="J149">
            <v>243.99</v>
          </cell>
          <cell r="K149">
            <v>3</v>
          </cell>
          <cell r="L149">
            <v>1.97</v>
          </cell>
          <cell r="M149">
            <v>131.33</v>
          </cell>
        </row>
        <row r="149">
          <cell r="Q149" t="str">
            <v>yes</v>
          </cell>
          <cell r="R149" t="str">
            <v>all</v>
          </cell>
          <cell r="S149" t="str">
            <v>R</v>
          </cell>
          <cell r="T149" t="str">
            <v>R (QD-TEC)</v>
          </cell>
        </row>
        <row r="149">
          <cell r="V149">
            <v>72</v>
          </cell>
          <cell r="W149">
            <v>0</v>
          </cell>
          <cell r="X149">
            <v>242.49</v>
          </cell>
          <cell r="Y149">
            <v>243.99</v>
          </cell>
        </row>
        <row r="150">
          <cell r="A150">
            <v>149</v>
          </cell>
          <cell r="B150">
            <v>501</v>
          </cell>
          <cell r="C150" t="str">
            <v>M0113</v>
          </cell>
          <cell r="D150" t="str">
            <v>A</v>
          </cell>
          <cell r="E150" t="str">
            <v>501_M0113_A_149R</v>
          </cell>
          <cell r="F150">
            <v>45862.3194444444</v>
          </cell>
          <cell r="G150" t="str">
            <v>GEPR</v>
          </cell>
          <cell r="H150">
            <v>243.99</v>
          </cell>
          <cell r="I150">
            <v>1.5</v>
          </cell>
          <cell r="J150">
            <v>245.49</v>
          </cell>
          <cell r="K150">
            <v>1</v>
          </cell>
          <cell r="L150">
            <v>1.5</v>
          </cell>
          <cell r="M150">
            <v>100</v>
          </cell>
        </row>
        <row r="150">
          <cell r="P150" t="str">
            <v>greenish sands</v>
          </cell>
          <cell r="Q150" t="str">
            <v>yes</v>
          </cell>
          <cell r="R150" t="str">
            <v>all</v>
          </cell>
          <cell r="S150" t="str">
            <v>R</v>
          </cell>
          <cell r="T150" t="str">
            <v>R (QD-TEC)</v>
          </cell>
        </row>
        <row r="150">
          <cell r="V150">
            <v>72</v>
          </cell>
          <cell r="W150">
            <v>0</v>
          </cell>
          <cell r="X150">
            <v>243.99</v>
          </cell>
          <cell r="Y150">
            <v>245.49</v>
          </cell>
        </row>
        <row r="151">
          <cell r="A151">
            <v>150</v>
          </cell>
          <cell r="B151">
            <v>501</v>
          </cell>
          <cell r="C151" t="str">
            <v>M0113</v>
          </cell>
          <cell r="D151" t="str">
            <v>A</v>
          </cell>
          <cell r="E151" t="str">
            <v>501_M0113_A_150R</v>
          </cell>
          <cell r="F151">
            <v>45862.3784722222</v>
          </cell>
          <cell r="G151" t="str">
            <v>GEPR</v>
          </cell>
          <cell r="H151">
            <v>245.49</v>
          </cell>
          <cell r="I151">
            <v>1.5</v>
          </cell>
          <cell r="J151">
            <v>246.99</v>
          </cell>
          <cell r="K151">
            <v>1</v>
          </cell>
          <cell r="L151">
            <v>0.8</v>
          </cell>
          <cell r="M151">
            <v>53.33</v>
          </cell>
        </row>
        <row r="151">
          <cell r="Q151" t="str">
            <v>yes</v>
          </cell>
          <cell r="R151" t="str">
            <v>all</v>
          </cell>
          <cell r="S151" t="str">
            <v>R</v>
          </cell>
          <cell r="T151" t="str">
            <v>R (QD-TEC)</v>
          </cell>
        </row>
        <row r="151">
          <cell r="V151">
            <v>72</v>
          </cell>
          <cell r="W151">
            <v>0</v>
          </cell>
          <cell r="X151">
            <v>245.49</v>
          </cell>
          <cell r="Y151">
            <v>246.99</v>
          </cell>
        </row>
        <row r="152">
          <cell r="A152">
            <v>151</v>
          </cell>
          <cell r="B152">
            <v>501</v>
          </cell>
          <cell r="C152" t="str">
            <v>M0113</v>
          </cell>
          <cell r="D152" t="str">
            <v>A</v>
          </cell>
          <cell r="E152" t="str">
            <v>501_M0113_A_151R</v>
          </cell>
          <cell r="F152">
            <v>45862.4201388889</v>
          </cell>
          <cell r="G152" t="str">
            <v>GEPR</v>
          </cell>
          <cell r="H152">
            <v>246.99</v>
          </cell>
          <cell r="I152">
            <v>1.5</v>
          </cell>
          <cell r="J152">
            <v>248.49</v>
          </cell>
          <cell r="K152">
            <v>2</v>
          </cell>
          <cell r="L152">
            <v>1.52</v>
          </cell>
          <cell r="M152">
            <v>101.33</v>
          </cell>
        </row>
        <row r="152">
          <cell r="P152" t="str">
            <v>MUD sample</v>
          </cell>
          <cell r="Q152" t="str">
            <v>yes</v>
          </cell>
          <cell r="R152" t="str">
            <v>all</v>
          </cell>
          <cell r="S152" t="str">
            <v>R</v>
          </cell>
          <cell r="T152" t="str">
            <v>R (QD-TEC)</v>
          </cell>
        </row>
        <row r="152">
          <cell r="V152">
            <v>72</v>
          </cell>
          <cell r="W152">
            <v>0</v>
          </cell>
          <cell r="X152">
            <v>246.99</v>
          </cell>
          <cell r="Y152">
            <v>248.49</v>
          </cell>
        </row>
        <row r="153">
          <cell r="A153">
            <v>152</v>
          </cell>
          <cell r="B153">
            <v>501</v>
          </cell>
          <cell r="C153" t="str">
            <v>M0113</v>
          </cell>
          <cell r="D153" t="str">
            <v>A</v>
          </cell>
          <cell r="E153" t="str">
            <v>501_M0113_A_152R</v>
          </cell>
          <cell r="F153">
            <v>45862.4513888889</v>
          </cell>
          <cell r="G153" t="str">
            <v>GEPR</v>
          </cell>
          <cell r="H153">
            <v>248.49</v>
          </cell>
          <cell r="I153">
            <v>1.5</v>
          </cell>
          <cell r="J153">
            <v>249.99</v>
          </cell>
          <cell r="K153">
            <v>1</v>
          </cell>
          <cell r="L153">
            <v>1.38</v>
          </cell>
          <cell r="M153">
            <v>92</v>
          </cell>
        </row>
        <row r="153">
          <cell r="Q153" t="str">
            <v>yes</v>
          </cell>
          <cell r="R153" t="str">
            <v>all</v>
          </cell>
          <cell r="S153" t="str">
            <v>R</v>
          </cell>
          <cell r="T153" t="str">
            <v>R (QD-TEC)</v>
          </cell>
        </row>
        <row r="153">
          <cell r="V153">
            <v>72</v>
          </cell>
          <cell r="W153">
            <v>0</v>
          </cell>
          <cell r="X153">
            <v>248.49</v>
          </cell>
          <cell r="Y153">
            <v>249.99</v>
          </cell>
        </row>
        <row r="154">
          <cell r="A154">
            <v>153</v>
          </cell>
          <cell r="B154">
            <v>501</v>
          </cell>
          <cell r="C154" t="str">
            <v>M0113</v>
          </cell>
          <cell r="D154" t="str">
            <v>A</v>
          </cell>
          <cell r="E154" t="str">
            <v>501_M0113_A_153R</v>
          </cell>
          <cell r="F154">
            <v>45862.4791666667</v>
          </cell>
          <cell r="G154" t="str">
            <v>GEPR</v>
          </cell>
          <cell r="H154">
            <v>249.99</v>
          </cell>
          <cell r="I154">
            <v>0.85</v>
          </cell>
          <cell r="J154">
            <v>250.84</v>
          </cell>
          <cell r="K154">
            <v>1</v>
          </cell>
          <cell r="L154">
            <v>0.19</v>
          </cell>
          <cell r="M154">
            <v>22.35</v>
          </cell>
        </row>
        <row r="154">
          <cell r="Q154" t="str">
            <v>yes</v>
          </cell>
          <cell r="R154" t="str">
            <v>all</v>
          </cell>
          <cell r="S154" t="str">
            <v>R</v>
          </cell>
          <cell r="T154" t="str">
            <v>R (QD-TEC)</v>
          </cell>
        </row>
        <row r="154">
          <cell r="V154">
            <v>72</v>
          </cell>
          <cell r="W154">
            <v>0</v>
          </cell>
          <cell r="X154">
            <v>249.99</v>
          </cell>
          <cell r="Y154">
            <v>250.84</v>
          </cell>
        </row>
        <row r="155">
          <cell r="A155">
            <v>154</v>
          </cell>
          <cell r="B155">
            <v>501</v>
          </cell>
          <cell r="C155" t="str">
            <v>M0113</v>
          </cell>
          <cell r="D155" t="str">
            <v>A</v>
          </cell>
          <cell r="E155" t="str">
            <v>501_M0113_A_154R</v>
          </cell>
          <cell r="F155">
            <v>45862.5034722222</v>
          </cell>
          <cell r="G155" t="str">
            <v>GEPR</v>
          </cell>
          <cell r="H155">
            <v>250.84</v>
          </cell>
          <cell r="I155">
            <v>0.25</v>
          </cell>
          <cell r="J155">
            <v>251.09</v>
          </cell>
          <cell r="K155">
            <v>1</v>
          </cell>
          <cell r="L155">
            <v>0.22</v>
          </cell>
          <cell r="M155">
            <v>88</v>
          </cell>
        </row>
        <row r="155">
          <cell r="P155" t="str">
            <v>big rock at bottom</v>
          </cell>
          <cell r="Q155" t="str">
            <v>yes</v>
          </cell>
          <cell r="R155" t="str">
            <v>all</v>
          </cell>
          <cell r="S155" t="str">
            <v>R</v>
          </cell>
          <cell r="T155" t="str">
            <v>R (QD-TEC)</v>
          </cell>
        </row>
        <row r="155">
          <cell r="V155">
            <v>72</v>
          </cell>
          <cell r="W155">
            <v>0</v>
          </cell>
          <cell r="X155">
            <v>250.84</v>
          </cell>
          <cell r="Y155">
            <v>251.09</v>
          </cell>
        </row>
        <row r="156">
          <cell r="A156">
            <v>155</v>
          </cell>
          <cell r="B156">
            <v>501</v>
          </cell>
          <cell r="C156" t="str">
            <v>M0113</v>
          </cell>
          <cell r="D156" t="str">
            <v>A</v>
          </cell>
          <cell r="E156" t="str">
            <v>501_M0113_A_155R</v>
          </cell>
          <cell r="F156">
            <v>45862.5208333333</v>
          </cell>
          <cell r="G156" t="str">
            <v>GEPR</v>
          </cell>
          <cell r="H156">
            <v>251.09</v>
          </cell>
          <cell r="I156">
            <v>1.9</v>
          </cell>
          <cell r="J156">
            <v>252.99</v>
          </cell>
          <cell r="K156">
            <v>0</v>
          </cell>
          <cell r="L156">
            <v>0</v>
          </cell>
          <cell r="M156">
            <v>0</v>
          </cell>
        </row>
        <row r="156">
          <cell r="P156" t="str">
            <v>no recovery</v>
          </cell>
          <cell r="Q156" t="str">
            <v>yes</v>
          </cell>
          <cell r="R156" t="str">
            <v>none</v>
          </cell>
          <cell r="S156" t="str">
            <v>R</v>
          </cell>
          <cell r="T156" t="str">
            <v>R (QD-TEC)</v>
          </cell>
        </row>
        <row r="156">
          <cell r="V156">
            <v>72</v>
          </cell>
          <cell r="W156">
            <v>0</v>
          </cell>
          <cell r="X156">
            <v>251.09</v>
          </cell>
          <cell r="Y156">
            <v>252.99</v>
          </cell>
        </row>
        <row r="157">
          <cell r="A157">
            <v>156</v>
          </cell>
          <cell r="B157">
            <v>501</v>
          </cell>
          <cell r="C157" t="str">
            <v>M0113</v>
          </cell>
          <cell r="D157" t="str">
            <v>A</v>
          </cell>
          <cell r="E157" t="str">
            <v>501_M0113_A_156H</v>
          </cell>
          <cell r="F157">
            <v>45862.5520833333</v>
          </cell>
          <cell r="G157" t="str">
            <v>GEPR</v>
          </cell>
          <cell r="H157">
            <v>252.99</v>
          </cell>
          <cell r="I157">
            <v>1.16</v>
          </cell>
          <cell r="J157">
            <v>254.15</v>
          </cell>
          <cell r="K157">
            <v>1</v>
          </cell>
          <cell r="L157">
            <v>1.16</v>
          </cell>
          <cell r="M157">
            <v>100</v>
          </cell>
        </row>
        <row r="157">
          <cell r="P157" t="str">
            <v>loose sands</v>
          </cell>
          <cell r="Q157" t="str">
            <v>yes</v>
          </cell>
          <cell r="R157" t="str">
            <v>all</v>
          </cell>
          <cell r="S157" t="str">
            <v>H</v>
          </cell>
          <cell r="T157" t="str">
            <v>H (QD-TEC)</v>
          </cell>
        </row>
        <row r="157">
          <cell r="V157">
            <v>72</v>
          </cell>
          <cell r="W157">
            <v>0</v>
          </cell>
          <cell r="X157">
            <v>252.99</v>
          </cell>
          <cell r="Y157">
            <v>254.15</v>
          </cell>
        </row>
        <row r="158">
          <cell r="A158">
            <v>157</v>
          </cell>
          <cell r="B158">
            <v>501</v>
          </cell>
          <cell r="C158" t="str">
            <v>M0113</v>
          </cell>
          <cell r="D158" t="str">
            <v>A</v>
          </cell>
          <cell r="E158" t="str">
            <v>501_M0113_A_157H</v>
          </cell>
          <cell r="F158">
            <v>45862.5729166667</v>
          </cell>
          <cell r="G158" t="str">
            <v>GEPR</v>
          </cell>
          <cell r="H158">
            <v>254.15</v>
          </cell>
          <cell r="I158">
            <v>2.41</v>
          </cell>
          <cell r="J158">
            <v>256.56</v>
          </cell>
          <cell r="K158">
            <v>2</v>
          </cell>
          <cell r="L158">
            <v>2.41</v>
          </cell>
          <cell r="M158">
            <v>100</v>
          </cell>
        </row>
        <row r="158">
          <cell r="P158" t="str">
            <v>loose sands</v>
          </cell>
          <cell r="Q158" t="str">
            <v>yes</v>
          </cell>
          <cell r="R158" t="str">
            <v>all</v>
          </cell>
          <cell r="S158" t="str">
            <v>H</v>
          </cell>
          <cell r="T158" t="str">
            <v>H (QD-TEC)</v>
          </cell>
        </row>
        <row r="158">
          <cell r="V158">
            <v>72</v>
          </cell>
          <cell r="W158">
            <v>0</v>
          </cell>
          <cell r="X158">
            <v>254.15</v>
          </cell>
          <cell r="Y158">
            <v>256.56</v>
          </cell>
        </row>
        <row r="159">
          <cell r="A159">
            <v>158</v>
          </cell>
          <cell r="B159">
            <v>501</v>
          </cell>
          <cell r="C159" t="str">
            <v>M0113</v>
          </cell>
          <cell r="D159" t="str">
            <v>A</v>
          </cell>
          <cell r="E159" t="str">
            <v>501_M0113_A_158O</v>
          </cell>
          <cell r="F159">
            <v>45862.75</v>
          </cell>
          <cell r="G159" t="str">
            <v>PFAF</v>
          </cell>
          <cell r="H159">
            <v>234.56</v>
          </cell>
          <cell r="I159">
            <v>22</v>
          </cell>
          <cell r="J159">
            <v>256.56</v>
          </cell>
          <cell r="K159">
            <v>1</v>
          </cell>
          <cell r="L159">
            <v>22</v>
          </cell>
          <cell r="M159">
            <v>100</v>
          </cell>
        </row>
        <row r="159">
          <cell r="P159" t="str">
            <v>virtual core for pump test</v>
          </cell>
          <cell r="Q159" t="str">
            <v>yes</v>
          </cell>
          <cell r="R159" t="str">
            <v>none</v>
          </cell>
          <cell r="S159" t="str">
            <v>O</v>
          </cell>
          <cell r="T159" t="str">
            <v>O (QD-TEC)</v>
          </cell>
        </row>
        <row r="159">
          <cell r="V159">
            <v>72</v>
          </cell>
          <cell r="W159">
            <v>0</v>
          </cell>
          <cell r="X159">
            <v>234.56</v>
          </cell>
          <cell r="Y159">
            <v>256.56</v>
          </cell>
        </row>
        <row r="160">
          <cell r="A160">
            <v>159</v>
          </cell>
          <cell r="B160">
            <v>501</v>
          </cell>
          <cell r="C160" t="str">
            <v>M0113</v>
          </cell>
          <cell r="D160" t="str">
            <v>A</v>
          </cell>
          <cell r="E160" t="str">
            <v>501_M0113_A_159H</v>
          </cell>
          <cell r="F160">
            <v>45863.3402777778</v>
          </cell>
          <cell r="G160" t="str">
            <v>GEPR</v>
          </cell>
          <cell r="H160">
            <v>256.56</v>
          </cell>
          <cell r="I160">
            <v>1.73</v>
          </cell>
          <cell r="J160">
            <v>258.29</v>
          </cell>
          <cell r="K160">
            <v>2</v>
          </cell>
          <cell r="L160">
            <v>1.73</v>
          </cell>
          <cell r="M160">
            <v>100</v>
          </cell>
        </row>
        <row r="160">
          <cell r="P160" t="str">
            <v>loose sands</v>
          </cell>
          <cell r="Q160" t="str">
            <v>yes</v>
          </cell>
          <cell r="R160" t="str">
            <v>all</v>
          </cell>
          <cell r="S160" t="str">
            <v>H</v>
          </cell>
          <cell r="T160" t="str">
            <v>H (QD-TEC)</v>
          </cell>
        </row>
        <row r="160">
          <cell r="V160">
            <v>72</v>
          </cell>
          <cell r="W160">
            <v>0</v>
          </cell>
          <cell r="X160">
            <v>256.56</v>
          </cell>
          <cell r="Y160">
            <v>258.29</v>
          </cell>
        </row>
        <row r="161">
          <cell r="A161">
            <v>160</v>
          </cell>
          <cell r="B161">
            <v>501</v>
          </cell>
          <cell r="C161" t="str">
            <v>M0113</v>
          </cell>
          <cell r="D161" t="str">
            <v>A</v>
          </cell>
          <cell r="E161" t="str">
            <v>501_M0113_A_160H</v>
          </cell>
          <cell r="F161">
            <v>45863.3715277778</v>
          </cell>
          <cell r="G161" t="str">
            <v>GEPR</v>
          </cell>
          <cell r="H161">
            <v>258.29</v>
          </cell>
          <cell r="I161">
            <v>1.69</v>
          </cell>
          <cell r="J161">
            <v>259.98</v>
          </cell>
          <cell r="K161">
            <v>2</v>
          </cell>
          <cell r="L161">
            <v>1.69</v>
          </cell>
          <cell r="M161">
            <v>100</v>
          </cell>
        </row>
        <row r="161">
          <cell r="P161" t="str">
            <v>loose sands</v>
          </cell>
          <cell r="Q161" t="str">
            <v>yes</v>
          </cell>
          <cell r="R161" t="str">
            <v>all</v>
          </cell>
          <cell r="S161" t="str">
            <v>H</v>
          </cell>
          <cell r="T161" t="str">
            <v>H (QD-TEC)</v>
          </cell>
        </row>
        <row r="161">
          <cell r="V161">
            <v>72</v>
          </cell>
          <cell r="W161">
            <v>0</v>
          </cell>
          <cell r="X161">
            <v>258.29</v>
          </cell>
          <cell r="Y161">
            <v>259.98</v>
          </cell>
        </row>
        <row r="162">
          <cell r="A162">
            <v>161</v>
          </cell>
          <cell r="B162">
            <v>501</v>
          </cell>
          <cell r="C162" t="str">
            <v>M0113</v>
          </cell>
          <cell r="D162" t="str">
            <v>A</v>
          </cell>
          <cell r="E162" t="str">
            <v>501_M0113_A_161H</v>
          </cell>
          <cell r="F162">
            <v>45863.4166666667</v>
          </cell>
          <cell r="G162" t="str">
            <v>GEPR</v>
          </cell>
          <cell r="H162">
            <v>259.98</v>
          </cell>
          <cell r="I162">
            <v>0.15</v>
          </cell>
          <cell r="J162">
            <v>260.13</v>
          </cell>
          <cell r="K162">
            <v>1</v>
          </cell>
          <cell r="L162">
            <v>0.15</v>
          </cell>
          <cell r="M162">
            <v>100</v>
          </cell>
        </row>
        <row r="162">
          <cell r="P162" t="str">
            <v>loose sands</v>
          </cell>
          <cell r="Q162" t="str">
            <v>yes</v>
          </cell>
          <cell r="R162" t="str">
            <v>all</v>
          </cell>
          <cell r="S162" t="str">
            <v>H</v>
          </cell>
          <cell r="T162" t="str">
            <v>H (QD-TEC)</v>
          </cell>
        </row>
        <row r="162">
          <cell r="V162">
            <v>72</v>
          </cell>
          <cell r="W162">
            <v>0</v>
          </cell>
          <cell r="X162">
            <v>259.98</v>
          </cell>
          <cell r="Y162">
            <v>260.13</v>
          </cell>
        </row>
        <row r="163">
          <cell r="A163">
            <v>162</v>
          </cell>
          <cell r="B163">
            <v>501</v>
          </cell>
          <cell r="C163" t="str">
            <v>M0113</v>
          </cell>
          <cell r="D163" t="str">
            <v>A</v>
          </cell>
          <cell r="E163" t="str">
            <v>501_M0113_A_162R</v>
          </cell>
          <cell r="F163">
            <v>45863.4541666667</v>
          </cell>
          <cell r="G163" t="str">
            <v>GEPR</v>
          </cell>
          <cell r="H163">
            <v>260.13</v>
          </cell>
          <cell r="I163">
            <v>1.5</v>
          </cell>
          <cell r="J163">
            <v>261.63</v>
          </cell>
          <cell r="K163">
            <v>0</v>
          </cell>
          <cell r="L163">
            <v>0</v>
          </cell>
          <cell r="M163">
            <v>0</v>
          </cell>
        </row>
        <row r="163">
          <cell r="P163" t="str">
            <v>no recovery</v>
          </cell>
          <cell r="Q163" t="str">
            <v>yes</v>
          </cell>
          <cell r="R163" t="str">
            <v>none</v>
          </cell>
          <cell r="S163" t="str">
            <v>R</v>
          </cell>
          <cell r="T163" t="str">
            <v>R (QD-TEC)</v>
          </cell>
        </row>
        <row r="163">
          <cell r="V163">
            <v>72</v>
          </cell>
          <cell r="W163">
            <v>0</v>
          </cell>
          <cell r="X163">
            <v>260.13</v>
          </cell>
          <cell r="Y163">
            <v>261.63</v>
          </cell>
        </row>
        <row r="164">
          <cell r="A164">
            <v>163</v>
          </cell>
          <cell r="B164">
            <v>501</v>
          </cell>
          <cell r="C164" t="str">
            <v>M0113</v>
          </cell>
          <cell r="D164" t="str">
            <v>A</v>
          </cell>
          <cell r="E164" t="str">
            <v>501_M0113_A_163H</v>
          </cell>
          <cell r="F164">
            <v>45863.4652777778</v>
          </cell>
          <cell r="G164" t="str">
            <v>GEPR</v>
          </cell>
          <cell r="H164">
            <v>261.63</v>
          </cell>
          <cell r="I164">
            <v>0.86</v>
          </cell>
          <cell r="J164">
            <v>262.49</v>
          </cell>
          <cell r="K164">
            <v>1</v>
          </cell>
          <cell r="L164">
            <v>0.86</v>
          </cell>
          <cell r="M164">
            <v>100</v>
          </cell>
        </row>
        <row r="164">
          <cell r="P164" t="str">
            <v>loose sands</v>
          </cell>
          <cell r="Q164" t="str">
            <v>yes</v>
          </cell>
          <cell r="R164" t="str">
            <v>all</v>
          </cell>
          <cell r="S164" t="str">
            <v>H</v>
          </cell>
          <cell r="T164" t="str">
            <v>H (QD-TEC)</v>
          </cell>
        </row>
        <row r="164">
          <cell r="V164">
            <v>72</v>
          </cell>
          <cell r="W164">
            <v>0</v>
          </cell>
          <cell r="X164">
            <v>261.63</v>
          </cell>
          <cell r="Y164">
            <v>262.49</v>
          </cell>
        </row>
        <row r="165">
          <cell r="A165">
            <v>164</v>
          </cell>
          <cell r="B165">
            <v>501</v>
          </cell>
          <cell r="C165" t="str">
            <v>M0113</v>
          </cell>
          <cell r="D165" t="str">
            <v>A</v>
          </cell>
          <cell r="E165" t="str">
            <v>501_M0113_A_164H</v>
          </cell>
          <cell r="F165">
            <v>45863.4930555556</v>
          </cell>
          <cell r="G165" t="str">
            <v>GEPR</v>
          </cell>
          <cell r="H165">
            <v>262.49</v>
          </cell>
          <cell r="I165">
            <v>0.43</v>
          </cell>
          <cell r="J165">
            <v>262.92</v>
          </cell>
          <cell r="K165">
            <v>1</v>
          </cell>
          <cell r="L165">
            <v>0.43</v>
          </cell>
          <cell r="M165">
            <v>100</v>
          </cell>
        </row>
        <row r="165">
          <cell r="P165" t="str">
            <v>loose sands</v>
          </cell>
          <cell r="Q165" t="str">
            <v>yes</v>
          </cell>
          <cell r="R165" t="str">
            <v>all</v>
          </cell>
          <cell r="S165" t="str">
            <v>H</v>
          </cell>
          <cell r="T165" t="str">
            <v>H (QD-TEC)</v>
          </cell>
        </row>
        <row r="165">
          <cell r="V165">
            <v>72</v>
          </cell>
          <cell r="W165">
            <v>0</v>
          </cell>
          <cell r="X165">
            <v>262.49</v>
          </cell>
          <cell r="Y165">
            <v>262.92</v>
          </cell>
        </row>
        <row r="166">
          <cell r="A166">
            <v>165</v>
          </cell>
          <cell r="B166">
            <v>501</v>
          </cell>
          <cell r="C166" t="str">
            <v>M0113</v>
          </cell>
          <cell r="D166" t="str">
            <v>A</v>
          </cell>
          <cell r="E166" t="str">
            <v>501_M0113_A_165H</v>
          </cell>
          <cell r="F166">
            <v>45863.5208333333</v>
          </cell>
          <cell r="G166" t="str">
            <v>GEPR</v>
          </cell>
          <cell r="H166">
            <v>262.92</v>
          </cell>
          <cell r="I166">
            <v>2.14</v>
          </cell>
          <cell r="J166">
            <v>265.06</v>
          </cell>
          <cell r="K166">
            <v>2</v>
          </cell>
          <cell r="L166">
            <v>2.14</v>
          </cell>
          <cell r="M166">
            <v>100</v>
          </cell>
        </row>
        <row r="166">
          <cell r="P166" t="str">
            <v>loose sands</v>
          </cell>
          <cell r="Q166" t="str">
            <v>yes</v>
          </cell>
          <cell r="R166" t="str">
            <v>all</v>
          </cell>
          <cell r="S166" t="str">
            <v>H</v>
          </cell>
          <cell r="T166" t="str">
            <v>H (QD-TEC)</v>
          </cell>
        </row>
        <row r="166">
          <cell r="V166">
            <v>72</v>
          </cell>
          <cell r="W166">
            <v>0</v>
          </cell>
          <cell r="X166">
            <v>262.92</v>
          </cell>
          <cell r="Y166">
            <v>265.06</v>
          </cell>
        </row>
        <row r="167">
          <cell r="A167">
            <v>166</v>
          </cell>
          <cell r="B167">
            <v>501</v>
          </cell>
          <cell r="C167" t="str">
            <v>M0113</v>
          </cell>
          <cell r="D167" t="str">
            <v>A</v>
          </cell>
          <cell r="E167" t="str">
            <v>501_M0113_A_166H</v>
          </cell>
          <cell r="F167">
            <v>45863.5486111111</v>
          </cell>
          <cell r="G167" t="str">
            <v>GEPR</v>
          </cell>
          <cell r="H167">
            <v>265.06</v>
          </cell>
          <cell r="I167">
            <v>1.72</v>
          </cell>
          <cell r="J167">
            <v>266.78</v>
          </cell>
          <cell r="K167">
            <v>2</v>
          </cell>
          <cell r="L167">
            <v>1.72</v>
          </cell>
          <cell r="M167">
            <v>100</v>
          </cell>
        </row>
        <row r="167">
          <cell r="P167" t="str">
            <v>loose sands</v>
          </cell>
          <cell r="Q167" t="str">
            <v>yes</v>
          </cell>
          <cell r="R167" t="str">
            <v>all</v>
          </cell>
          <cell r="S167" t="str">
            <v>H</v>
          </cell>
          <cell r="T167" t="str">
            <v>H (QD-TEC)</v>
          </cell>
        </row>
        <row r="167">
          <cell r="V167">
            <v>72</v>
          </cell>
          <cell r="W167">
            <v>0</v>
          </cell>
          <cell r="X167">
            <v>265.06</v>
          </cell>
          <cell r="Y167">
            <v>266.78</v>
          </cell>
        </row>
        <row r="168">
          <cell r="A168">
            <v>167</v>
          </cell>
          <cell r="B168">
            <v>501</v>
          </cell>
          <cell r="C168" t="str">
            <v>M0113</v>
          </cell>
          <cell r="D168" t="str">
            <v>A</v>
          </cell>
          <cell r="E168" t="str">
            <v>501_M0113_A_167H</v>
          </cell>
          <cell r="F168">
            <v>45863.5763888889</v>
          </cell>
          <cell r="G168" t="str">
            <v>GEPR</v>
          </cell>
          <cell r="H168">
            <v>266.78</v>
          </cell>
          <cell r="I168">
            <v>2.25</v>
          </cell>
          <cell r="J168">
            <v>269.03</v>
          </cell>
          <cell r="K168">
            <v>2</v>
          </cell>
          <cell r="L168">
            <v>2.25</v>
          </cell>
          <cell r="M168">
            <v>100</v>
          </cell>
        </row>
        <row r="168">
          <cell r="P168" t="str">
            <v>loose sands</v>
          </cell>
          <cell r="Q168" t="str">
            <v>yes</v>
          </cell>
          <cell r="R168" t="str">
            <v>all</v>
          </cell>
          <cell r="S168" t="str">
            <v>H</v>
          </cell>
          <cell r="T168" t="str">
            <v>H (QD-TEC)</v>
          </cell>
        </row>
        <row r="168">
          <cell r="V168">
            <v>72</v>
          </cell>
          <cell r="W168">
            <v>0</v>
          </cell>
          <cell r="X168">
            <v>266.78</v>
          </cell>
          <cell r="Y168">
            <v>269.03</v>
          </cell>
        </row>
        <row r="169">
          <cell r="A169">
            <v>168</v>
          </cell>
          <cell r="B169">
            <v>501</v>
          </cell>
          <cell r="C169" t="str">
            <v>M0113</v>
          </cell>
          <cell r="D169" t="str">
            <v>A</v>
          </cell>
          <cell r="E169" t="str">
            <v>501_M0113_A_168H</v>
          </cell>
          <cell r="F169">
            <v>45863.6076388889</v>
          </cell>
          <cell r="G169" t="str">
            <v>GEPR</v>
          </cell>
          <cell r="H169">
            <v>269.03</v>
          </cell>
          <cell r="I169">
            <v>1.92</v>
          </cell>
          <cell r="J169">
            <v>270.95</v>
          </cell>
          <cell r="K169">
            <v>2</v>
          </cell>
          <cell r="L169">
            <v>1.92</v>
          </cell>
          <cell r="M169">
            <v>100</v>
          </cell>
        </row>
        <row r="169">
          <cell r="P169" t="str">
            <v>loose sands</v>
          </cell>
          <cell r="Q169" t="str">
            <v>yes</v>
          </cell>
          <cell r="R169" t="str">
            <v>all</v>
          </cell>
          <cell r="S169" t="str">
            <v>H</v>
          </cell>
          <cell r="T169" t="str">
            <v>H (QD-TEC)</v>
          </cell>
        </row>
        <row r="169">
          <cell r="V169">
            <v>72</v>
          </cell>
          <cell r="W169">
            <v>0</v>
          </cell>
          <cell r="X169">
            <v>269.03</v>
          </cell>
          <cell r="Y169">
            <v>270.95</v>
          </cell>
        </row>
        <row r="170">
          <cell r="A170">
            <v>169</v>
          </cell>
          <cell r="B170">
            <v>501</v>
          </cell>
          <cell r="C170" t="str">
            <v>M0113</v>
          </cell>
          <cell r="D170" t="str">
            <v>A</v>
          </cell>
          <cell r="E170" t="str">
            <v>501_M0113_A_169H</v>
          </cell>
          <cell r="F170">
            <v>45863.6388888889</v>
          </cell>
          <cell r="G170" t="str">
            <v>GEPR</v>
          </cell>
          <cell r="H170">
            <v>270.95</v>
          </cell>
          <cell r="I170">
            <v>2.01</v>
          </cell>
          <cell r="J170">
            <v>272.96</v>
          </cell>
          <cell r="K170">
            <v>2</v>
          </cell>
          <cell r="L170">
            <v>2.01</v>
          </cell>
          <cell r="M170">
            <v>100</v>
          </cell>
        </row>
        <row r="170">
          <cell r="Q170" t="str">
            <v>yes</v>
          </cell>
          <cell r="R170" t="str">
            <v>all</v>
          </cell>
          <cell r="S170" t="str">
            <v>H</v>
          </cell>
          <cell r="T170" t="str">
            <v>H (QD-TEC)</v>
          </cell>
        </row>
        <row r="170">
          <cell r="V170">
            <v>72</v>
          </cell>
          <cell r="W170">
            <v>0</v>
          </cell>
          <cell r="X170">
            <v>270.95</v>
          </cell>
          <cell r="Y170">
            <v>272.96</v>
          </cell>
        </row>
        <row r="171">
          <cell r="A171">
            <v>170</v>
          </cell>
          <cell r="B171">
            <v>501</v>
          </cell>
          <cell r="C171" t="str">
            <v>M0113</v>
          </cell>
          <cell r="D171" t="str">
            <v>A</v>
          </cell>
          <cell r="E171" t="str">
            <v>501_M0113_A_170O</v>
          </cell>
          <cell r="F171">
            <v>45863.75</v>
          </cell>
          <cell r="G171" t="str">
            <v>PFAF</v>
          </cell>
          <cell r="H171">
            <v>248.96</v>
          </cell>
          <cell r="I171">
            <v>24</v>
          </cell>
          <cell r="J171">
            <v>272.96</v>
          </cell>
          <cell r="K171">
            <v>1</v>
          </cell>
          <cell r="L171">
            <v>24</v>
          </cell>
          <cell r="M171">
            <v>100</v>
          </cell>
        </row>
        <row r="171">
          <cell r="P171" t="str">
            <v>virtual core for pump test</v>
          </cell>
          <cell r="Q171" t="str">
            <v>yes</v>
          </cell>
          <cell r="R171" t="str">
            <v>none</v>
          </cell>
          <cell r="S171" t="str">
            <v>O</v>
          </cell>
          <cell r="T171" t="str">
            <v>O (QD-TEC)</v>
          </cell>
        </row>
        <row r="171">
          <cell r="V171">
            <v>72</v>
          </cell>
          <cell r="W171">
            <v>0</v>
          </cell>
          <cell r="X171">
            <v>248.96</v>
          </cell>
          <cell r="Y171">
            <v>272.96</v>
          </cell>
        </row>
        <row r="172">
          <cell r="A172">
            <v>171</v>
          </cell>
          <cell r="B172">
            <v>501</v>
          </cell>
          <cell r="C172" t="str">
            <v>M0113</v>
          </cell>
          <cell r="D172" t="str">
            <v>A</v>
          </cell>
          <cell r="E172" t="str">
            <v>501_M0113_A_171H</v>
          </cell>
          <cell r="F172">
            <v>45865.9166666667</v>
          </cell>
          <cell r="G172" t="str">
            <v>PFAF</v>
          </cell>
          <cell r="H172">
            <v>272.96</v>
          </cell>
          <cell r="I172">
            <v>1.5</v>
          </cell>
          <cell r="J172">
            <v>274.46</v>
          </cell>
          <cell r="K172">
            <v>1</v>
          </cell>
          <cell r="L172">
            <v>1.5</v>
          </cell>
          <cell r="M172">
            <v>100</v>
          </cell>
        </row>
        <row r="172">
          <cell r="P172" t="str">
            <v>transferred into new liner</v>
          </cell>
          <cell r="Q172" t="str">
            <v>yes</v>
          </cell>
          <cell r="R172" t="str">
            <v>all</v>
          </cell>
          <cell r="S172" t="str">
            <v>H</v>
          </cell>
          <cell r="T172" t="str">
            <v>H (QD-TEC)</v>
          </cell>
        </row>
        <row r="172">
          <cell r="V172">
            <v>72</v>
          </cell>
          <cell r="W172">
            <v>0</v>
          </cell>
          <cell r="X172">
            <v>272.96</v>
          </cell>
          <cell r="Y172">
            <v>274.46</v>
          </cell>
        </row>
        <row r="173">
          <cell r="A173">
            <v>172</v>
          </cell>
          <cell r="B173">
            <v>501</v>
          </cell>
          <cell r="C173" t="str">
            <v>M0113</v>
          </cell>
          <cell r="D173" t="str">
            <v>A</v>
          </cell>
          <cell r="E173" t="str">
            <v>501_M0113_A_172H</v>
          </cell>
          <cell r="F173">
            <v>45865.9618055556</v>
          </cell>
          <cell r="G173" t="str">
            <v>PFAF</v>
          </cell>
          <cell r="H173">
            <v>274.46</v>
          </cell>
          <cell r="I173">
            <v>2.38</v>
          </cell>
          <cell r="J173">
            <v>276.84</v>
          </cell>
          <cell r="K173">
            <v>4</v>
          </cell>
          <cell r="L173">
            <v>2.38</v>
          </cell>
          <cell r="M173">
            <v>100</v>
          </cell>
        </row>
        <row r="173">
          <cell r="Q173" t="str">
            <v>yes</v>
          </cell>
          <cell r="R173" t="str">
            <v>all</v>
          </cell>
          <cell r="S173" t="str">
            <v>H</v>
          </cell>
          <cell r="T173" t="str">
            <v>H (QD-TEC)</v>
          </cell>
        </row>
        <row r="173">
          <cell r="V173">
            <v>72</v>
          </cell>
          <cell r="W173">
            <v>0</v>
          </cell>
          <cell r="X173">
            <v>274.46</v>
          </cell>
          <cell r="Y173">
            <v>276.84</v>
          </cell>
        </row>
        <row r="174">
          <cell r="A174">
            <v>173</v>
          </cell>
          <cell r="B174">
            <v>501</v>
          </cell>
          <cell r="C174" t="str">
            <v>M0113</v>
          </cell>
          <cell r="D174" t="str">
            <v>A</v>
          </cell>
          <cell r="E174" t="str">
            <v>501_M0113_A_173H</v>
          </cell>
          <cell r="F174">
            <v>45866.0138888889</v>
          </cell>
          <cell r="G174" t="str">
            <v>PFAF</v>
          </cell>
          <cell r="H174">
            <v>276.84</v>
          </cell>
          <cell r="I174">
            <v>0.89</v>
          </cell>
          <cell r="J174">
            <v>277.73</v>
          </cell>
          <cell r="K174">
            <v>1</v>
          </cell>
          <cell r="L174">
            <v>0.89</v>
          </cell>
          <cell r="M174">
            <v>100</v>
          </cell>
        </row>
        <row r="174">
          <cell r="P174" t="str">
            <v>30 cm infill</v>
          </cell>
          <cell r="Q174" t="str">
            <v>yes</v>
          </cell>
          <cell r="R174" t="str">
            <v>all</v>
          </cell>
          <cell r="S174" t="str">
            <v>H</v>
          </cell>
          <cell r="T174" t="str">
            <v>H (QD-TEC)</v>
          </cell>
        </row>
        <row r="174">
          <cell r="V174">
            <v>72</v>
          </cell>
          <cell r="W174">
            <v>0</v>
          </cell>
          <cell r="X174">
            <v>276.84</v>
          </cell>
          <cell r="Y174">
            <v>277.73</v>
          </cell>
        </row>
        <row r="175">
          <cell r="A175">
            <v>174</v>
          </cell>
          <cell r="B175">
            <v>501</v>
          </cell>
          <cell r="C175" t="str">
            <v>M0113</v>
          </cell>
          <cell r="D175" t="str">
            <v>A</v>
          </cell>
          <cell r="E175" t="str">
            <v>501_M0113_A_174H</v>
          </cell>
          <cell r="F175">
            <v>45866.0625</v>
          </cell>
          <cell r="G175" t="str">
            <v>PFAF</v>
          </cell>
          <cell r="H175">
            <v>277.73</v>
          </cell>
          <cell r="I175">
            <v>0.01</v>
          </cell>
          <cell r="J175">
            <v>277.74</v>
          </cell>
          <cell r="K175">
            <v>1</v>
          </cell>
          <cell r="L175">
            <v>0.01</v>
          </cell>
          <cell r="M175">
            <v>100</v>
          </cell>
        </row>
        <row r="175">
          <cell r="P175" t="str">
            <v>all rock</v>
          </cell>
          <cell r="Q175" t="str">
            <v>no</v>
          </cell>
          <cell r="R175" t="str">
            <v>none</v>
          </cell>
          <cell r="S175" t="str">
            <v>H</v>
          </cell>
          <cell r="T175" t="str">
            <v>H (QD-TEC)</v>
          </cell>
        </row>
        <row r="175">
          <cell r="V175">
            <v>72</v>
          </cell>
          <cell r="W175">
            <v>0</v>
          </cell>
          <cell r="X175">
            <v>277.73</v>
          </cell>
          <cell r="Y175">
            <v>277.74</v>
          </cell>
        </row>
        <row r="176">
          <cell r="A176">
            <v>175</v>
          </cell>
          <cell r="B176">
            <v>501</v>
          </cell>
          <cell r="C176" t="str">
            <v>M0113</v>
          </cell>
          <cell r="D176" t="str">
            <v>A</v>
          </cell>
          <cell r="E176" t="str">
            <v>501_M0113_A_175R</v>
          </cell>
          <cell r="F176">
            <v>45866.2604166667</v>
          </cell>
          <cell r="G176" t="str">
            <v>GEPR</v>
          </cell>
          <cell r="H176">
            <v>277.74</v>
          </cell>
          <cell r="I176">
            <v>2</v>
          </cell>
          <cell r="J176">
            <v>279.74</v>
          </cell>
          <cell r="K176">
            <v>1</v>
          </cell>
          <cell r="L176">
            <v>1.25</v>
          </cell>
          <cell r="M176">
            <v>62.5</v>
          </cell>
        </row>
        <row r="176">
          <cell r="P176" t="str">
            <v>big rock at TOP</v>
          </cell>
          <cell r="Q176" t="str">
            <v>yes</v>
          </cell>
          <cell r="R176" t="str">
            <v>all</v>
          </cell>
          <cell r="S176" t="str">
            <v>R</v>
          </cell>
          <cell r="T176" t="str">
            <v>R (QD-TEC)</v>
          </cell>
        </row>
        <row r="176">
          <cell r="V176">
            <v>72</v>
          </cell>
          <cell r="W176">
            <v>0</v>
          </cell>
          <cell r="X176">
            <v>277.74</v>
          </cell>
          <cell r="Y176">
            <v>279.74</v>
          </cell>
        </row>
        <row r="177">
          <cell r="A177">
            <v>176</v>
          </cell>
          <cell r="B177">
            <v>501</v>
          </cell>
          <cell r="C177" t="str">
            <v>M0113</v>
          </cell>
          <cell r="D177" t="str">
            <v>A</v>
          </cell>
          <cell r="E177" t="str">
            <v>501_M0113_A_176R</v>
          </cell>
          <cell r="F177">
            <v>45866.2881944444</v>
          </cell>
          <cell r="G177" t="str">
            <v>GEPR</v>
          </cell>
          <cell r="H177">
            <v>279.74</v>
          </cell>
          <cell r="I177">
            <v>1.75</v>
          </cell>
          <cell r="J177">
            <v>281.49</v>
          </cell>
          <cell r="K177">
            <v>1</v>
          </cell>
          <cell r="L177">
            <v>0.39</v>
          </cell>
          <cell r="M177">
            <v>22.29</v>
          </cell>
        </row>
        <row r="177">
          <cell r="Q177" t="str">
            <v>yes</v>
          </cell>
          <cell r="R177" t="str">
            <v>all</v>
          </cell>
          <cell r="S177" t="str">
            <v>R</v>
          </cell>
          <cell r="T177" t="str">
            <v>R (QD-TEC)</v>
          </cell>
        </row>
        <row r="177">
          <cell r="V177">
            <v>72</v>
          </cell>
          <cell r="W177">
            <v>0</v>
          </cell>
          <cell r="X177">
            <v>279.74</v>
          </cell>
          <cell r="Y177">
            <v>281.49</v>
          </cell>
        </row>
        <row r="178">
          <cell r="A178">
            <v>177</v>
          </cell>
          <cell r="B178">
            <v>501</v>
          </cell>
          <cell r="C178" t="str">
            <v>M0113</v>
          </cell>
          <cell r="D178" t="str">
            <v>A</v>
          </cell>
          <cell r="E178" t="str">
            <v>501_M0113_A_177H</v>
          </cell>
          <cell r="F178">
            <v>45866.3020833333</v>
          </cell>
          <cell r="G178" t="str">
            <v>GEPR</v>
          </cell>
          <cell r="H178">
            <v>281.49</v>
          </cell>
          <cell r="I178">
            <v>1.4</v>
          </cell>
          <cell r="J178">
            <v>282.89</v>
          </cell>
          <cell r="K178">
            <v>2</v>
          </cell>
          <cell r="L178">
            <v>1.4</v>
          </cell>
          <cell r="M178">
            <v>100</v>
          </cell>
        </row>
        <row r="178">
          <cell r="Q178" t="str">
            <v>yes</v>
          </cell>
          <cell r="R178" t="str">
            <v>all</v>
          </cell>
          <cell r="S178" t="str">
            <v>H</v>
          </cell>
          <cell r="T178" t="str">
            <v>H (QD-TEC)</v>
          </cell>
        </row>
        <row r="178">
          <cell r="V178">
            <v>72</v>
          </cell>
          <cell r="W178">
            <v>0</v>
          </cell>
          <cell r="X178">
            <v>281.49</v>
          </cell>
          <cell r="Y178">
            <v>282.89</v>
          </cell>
        </row>
        <row r="179">
          <cell r="A179">
            <v>178</v>
          </cell>
          <cell r="B179">
            <v>501</v>
          </cell>
          <cell r="C179" t="str">
            <v>M0113</v>
          </cell>
          <cell r="D179" t="str">
            <v>A</v>
          </cell>
          <cell r="E179" t="str">
            <v>501_M0113_A_178H</v>
          </cell>
          <cell r="F179">
            <v>45866.3368055556</v>
          </cell>
          <cell r="G179" t="str">
            <v>GEPR</v>
          </cell>
          <cell r="H179">
            <v>282.89</v>
          </cell>
          <cell r="I179">
            <v>1.9</v>
          </cell>
          <cell r="J179">
            <v>284.79</v>
          </cell>
          <cell r="K179">
            <v>2</v>
          </cell>
          <cell r="L179">
            <v>1.9</v>
          </cell>
          <cell r="M179">
            <v>100</v>
          </cell>
        </row>
        <row r="179">
          <cell r="P179" t="str">
            <v>liner crashed</v>
          </cell>
        </row>
        <row r="179">
          <cell r="X179">
            <v>282.89</v>
          </cell>
        </row>
        <row r="180">
          <cell r="A180">
            <v>179</v>
          </cell>
          <cell r="B180">
            <v>501</v>
          </cell>
          <cell r="C180" t="str">
            <v>M0113</v>
          </cell>
          <cell r="D180" t="str">
            <v>A</v>
          </cell>
          <cell r="E180" t="str">
            <v>501_M0113_A_179H</v>
          </cell>
          <cell r="F180">
            <v>45866.3784722222</v>
          </cell>
          <cell r="G180" t="str">
            <v>GEPR</v>
          </cell>
          <cell r="H180">
            <v>284.79</v>
          </cell>
          <cell r="I180">
            <v>1.3</v>
          </cell>
          <cell r="J180">
            <v>286.09</v>
          </cell>
          <cell r="K180">
            <v>2</v>
          </cell>
          <cell r="L180">
            <v>1.3</v>
          </cell>
          <cell r="M180">
            <v>100</v>
          </cell>
        </row>
        <row r="180">
          <cell r="P180" t="str">
            <v>loose sands</v>
          </cell>
          <cell r="Q180" t="str">
            <v>yes</v>
          </cell>
          <cell r="R180" t="str">
            <v>all</v>
          </cell>
          <cell r="S180" t="str">
            <v>H</v>
          </cell>
          <cell r="T180" t="str">
            <v>H (QD-TEC)</v>
          </cell>
        </row>
        <row r="180">
          <cell r="V180">
            <v>72</v>
          </cell>
          <cell r="W180">
            <v>0</v>
          </cell>
          <cell r="X180">
            <v>284.79</v>
          </cell>
          <cell r="Y180">
            <v>286.09</v>
          </cell>
        </row>
        <row r="181">
          <cell r="A181">
            <v>180</v>
          </cell>
          <cell r="B181">
            <v>501</v>
          </cell>
          <cell r="C181" t="str">
            <v>M0113</v>
          </cell>
          <cell r="D181" t="str">
            <v>A</v>
          </cell>
          <cell r="E181" t="str">
            <v>501_M0113_A_180H</v>
          </cell>
          <cell r="F181">
            <v>45866.4131944444</v>
          </cell>
          <cell r="G181" t="str">
            <v>GEPR</v>
          </cell>
          <cell r="H181">
            <v>286.09</v>
          </cell>
          <cell r="I181">
            <v>0.9</v>
          </cell>
          <cell r="J181">
            <v>286.99</v>
          </cell>
          <cell r="K181">
            <v>1</v>
          </cell>
          <cell r="L181">
            <v>0.9</v>
          </cell>
          <cell r="M181">
            <v>100</v>
          </cell>
        </row>
        <row r="181">
          <cell r="P181" t="str">
            <v>loose sands</v>
          </cell>
          <cell r="Q181" t="str">
            <v>yes</v>
          </cell>
          <cell r="R181" t="str">
            <v>all</v>
          </cell>
          <cell r="S181" t="str">
            <v>H</v>
          </cell>
          <cell r="T181" t="str">
            <v>H (QD-TEC)</v>
          </cell>
        </row>
        <row r="181">
          <cell r="V181">
            <v>72</v>
          </cell>
          <cell r="W181">
            <v>0</v>
          </cell>
          <cell r="X181">
            <v>286.09</v>
          </cell>
          <cell r="Y181">
            <v>286.99</v>
          </cell>
        </row>
        <row r="182">
          <cell r="A182">
            <v>181</v>
          </cell>
          <cell r="B182">
            <v>501</v>
          </cell>
          <cell r="C182" t="str">
            <v>M0113</v>
          </cell>
          <cell r="D182" t="str">
            <v>A</v>
          </cell>
          <cell r="E182" t="str">
            <v>501_M0113_A_181H</v>
          </cell>
          <cell r="F182">
            <v>45866.4375</v>
          </cell>
          <cell r="G182" t="str">
            <v>GEPR</v>
          </cell>
          <cell r="H182">
            <v>286.99</v>
          </cell>
          <cell r="I182">
            <v>1.41</v>
          </cell>
          <cell r="J182">
            <v>288.4</v>
          </cell>
          <cell r="K182">
            <v>1</v>
          </cell>
          <cell r="L182">
            <v>1.41</v>
          </cell>
          <cell r="M182">
            <v>100</v>
          </cell>
        </row>
        <row r="182">
          <cell r="P182" t="str">
            <v>loose sands</v>
          </cell>
          <cell r="Q182" t="str">
            <v>yes</v>
          </cell>
          <cell r="R182" t="str">
            <v>all</v>
          </cell>
          <cell r="S182" t="str">
            <v>H</v>
          </cell>
          <cell r="T182" t="str">
            <v>H (QD-TEC)</v>
          </cell>
        </row>
        <row r="182">
          <cell r="V182">
            <v>72</v>
          </cell>
          <cell r="W182">
            <v>0</v>
          </cell>
          <cell r="X182">
            <v>286.99</v>
          </cell>
          <cell r="Y182">
            <v>288.4</v>
          </cell>
        </row>
        <row r="183">
          <cell r="A183">
            <v>182</v>
          </cell>
          <cell r="B183">
            <v>501</v>
          </cell>
          <cell r="C183" t="str">
            <v>M0113</v>
          </cell>
          <cell r="D183" t="str">
            <v>A</v>
          </cell>
          <cell r="E183" t="str">
            <v>501_M0113_A_182H</v>
          </cell>
          <cell r="F183">
            <v>45866.46875</v>
          </cell>
          <cell r="G183" t="str">
            <v>GEPR</v>
          </cell>
          <cell r="H183">
            <v>288.4</v>
          </cell>
          <cell r="I183">
            <v>2.26</v>
          </cell>
          <cell r="J183">
            <v>290.66</v>
          </cell>
          <cell r="K183">
            <v>2</v>
          </cell>
          <cell r="L183">
            <v>2.26</v>
          </cell>
          <cell r="M183">
            <v>100</v>
          </cell>
        </row>
        <row r="183">
          <cell r="P183" t="str">
            <v>loose sands</v>
          </cell>
          <cell r="Q183" t="str">
            <v>yes</v>
          </cell>
          <cell r="R183" t="str">
            <v>all</v>
          </cell>
          <cell r="S183" t="str">
            <v>H</v>
          </cell>
          <cell r="T183" t="str">
            <v>H (QD-TEC)</v>
          </cell>
        </row>
        <row r="183">
          <cell r="V183">
            <v>72</v>
          </cell>
          <cell r="W183">
            <v>0</v>
          </cell>
          <cell r="X183">
            <v>288.4</v>
          </cell>
          <cell r="Y183">
            <v>290.66</v>
          </cell>
        </row>
        <row r="184">
          <cell r="A184">
            <v>183</v>
          </cell>
          <cell r="B184">
            <v>501</v>
          </cell>
          <cell r="C184" t="str">
            <v>M0113</v>
          </cell>
          <cell r="D184" t="str">
            <v>A</v>
          </cell>
          <cell r="E184" t="str">
            <v>501_M0113_A_183H</v>
          </cell>
          <cell r="F184">
            <v>45866.4965277778</v>
          </cell>
          <cell r="G184" t="str">
            <v>GEPR</v>
          </cell>
          <cell r="H184">
            <v>290.66</v>
          </cell>
          <cell r="I184">
            <v>0.23</v>
          </cell>
          <cell r="J184">
            <v>290.89</v>
          </cell>
          <cell r="K184">
            <v>1</v>
          </cell>
          <cell r="L184">
            <v>0.23</v>
          </cell>
          <cell r="M184">
            <v>100</v>
          </cell>
        </row>
        <row r="184">
          <cell r="P184" t="str">
            <v>loose sands</v>
          </cell>
          <cell r="Q184" t="str">
            <v>yes</v>
          </cell>
          <cell r="R184" t="str">
            <v>all</v>
          </cell>
          <cell r="S184" t="str">
            <v>H</v>
          </cell>
          <cell r="T184" t="str">
            <v>H (QD-TEC)</v>
          </cell>
        </row>
        <row r="184">
          <cell r="V184">
            <v>72</v>
          </cell>
          <cell r="W184">
            <v>0</v>
          </cell>
          <cell r="X184">
            <v>290.66</v>
          </cell>
          <cell r="Y184">
            <v>290.89</v>
          </cell>
        </row>
        <row r="185">
          <cell r="A185">
            <v>184</v>
          </cell>
          <cell r="B185">
            <v>501</v>
          </cell>
          <cell r="C185" t="str">
            <v>M0113</v>
          </cell>
          <cell r="D185" t="str">
            <v>A</v>
          </cell>
          <cell r="E185" t="str">
            <v>501_M0113_A_184H</v>
          </cell>
          <cell r="F185">
            <v>45866.5243055556</v>
          </cell>
          <cell r="G185" t="str">
            <v>GEPR</v>
          </cell>
          <cell r="H185">
            <v>290.89</v>
          </cell>
          <cell r="I185">
            <v>1.3</v>
          </cell>
          <cell r="J185">
            <v>292.19</v>
          </cell>
          <cell r="K185">
            <v>1</v>
          </cell>
          <cell r="L185">
            <v>1.3</v>
          </cell>
          <cell r="M185">
            <v>100</v>
          </cell>
        </row>
        <row r="185">
          <cell r="P185" t="str">
            <v>loose sands</v>
          </cell>
          <cell r="Q185" t="str">
            <v>yes</v>
          </cell>
          <cell r="R185" t="str">
            <v>all</v>
          </cell>
          <cell r="S185" t="str">
            <v>H</v>
          </cell>
          <cell r="T185" t="str">
            <v>H (QD-TEC)</v>
          </cell>
        </row>
        <row r="185">
          <cell r="V185">
            <v>72</v>
          </cell>
          <cell r="W185">
            <v>0</v>
          </cell>
          <cell r="X185">
            <v>290.89</v>
          </cell>
          <cell r="Y185">
            <v>292.19</v>
          </cell>
        </row>
        <row r="186">
          <cell r="A186">
            <v>185</v>
          </cell>
          <cell r="B186">
            <v>501</v>
          </cell>
          <cell r="C186" t="str">
            <v>M0113</v>
          </cell>
          <cell r="D186" t="str">
            <v>A</v>
          </cell>
          <cell r="E186" t="str">
            <v>501_M0113_A_185H</v>
          </cell>
          <cell r="F186">
            <v>45866.5451388889</v>
          </cell>
          <cell r="G186" t="str">
            <v>GEPR</v>
          </cell>
          <cell r="H186">
            <v>292.19</v>
          </cell>
          <cell r="I186">
            <v>1.65</v>
          </cell>
          <cell r="J186">
            <v>293.84</v>
          </cell>
          <cell r="K186">
            <v>2</v>
          </cell>
          <cell r="L186">
            <v>1.65</v>
          </cell>
          <cell r="M186">
            <v>100</v>
          </cell>
        </row>
        <row r="186">
          <cell r="P186" t="str">
            <v>loose sands</v>
          </cell>
          <cell r="Q186" t="str">
            <v>yes</v>
          </cell>
          <cell r="R186" t="str">
            <v>all</v>
          </cell>
          <cell r="S186" t="str">
            <v>H</v>
          </cell>
          <cell r="T186" t="str">
            <v>H (QD-TEC)</v>
          </cell>
        </row>
        <row r="186">
          <cell r="V186">
            <v>72</v>
          </cell>
          <cell r="W186">
            <v>0</v>
          </cell>
          <cell r="X186">
            <v>292.19</v>
          </cell>
          <cell r="Y186">
            <v>293.84</v>
          </cell>
        </row>
        <row r="187">
          <cell r="A187">
            <v>186</v>
          </cell>
          <cell r="B187">
            <v>501</v>
          </cell>
          <cell r="C187" t="str">
            <v>M0113</v>
          </cell>
          <cell r="D187" t="str">
            <v>A</v>
          </cell>
          <cell r="E187" t="str">
            <v>501_M0113_A_186H</v>
          </cell>
          <cell r="F187">
            <v>45866.5763888889</v>
          </cell>
          <cell r="G187" t="str">
            <v>GEPR</v>
          </cell>
          <cell r="H187">
            <v>293.84</v>
          </cell>
          <cell r="I187">
            <v>0.05</v>
          </cell>
          <cell r="J187">
            <v>293.89</v>
          </cell>
          <cell r="K187">
            <v>1</v>
          </cell>
          <cell r="L187">
            <v>0.05</v>
          </cell>
          <cell r="M187">
            <v>100</v>
          </cell>
        </row>
        <row r="187">
          <cell r="P187" t="str">
            <v>All to PAL</v>
          </cell>
          <cell r="Q187" t="str">
            <v>no</v>
          </cell>
          <cell r="R187" t="str">
            <v>none</v>
          </cell>
          <cell r="S187" t="str">
            <v>H</v>
          </cell>
          <cell r="T187" t="str">
            <v>H (QD-TEC)</v>
          </cell>
        </row>
        <row r="187">
          <cell r="V187">
            <v>72</v>
          </cell>
          <cell r="W187">
            <v>0</v>
          </cell>
          <cell r="X187">
            <v>293.84</v>
          </cell>
          <cell r="Y187">
            <v>293.89</v>
          </cell>
        </row>
        <row r="188">
          <cell r="A188">
            <v>187</v>
          </cell>
          <cell r="B188">
            <v>501</v>
          </cell>
          <cell r="C188" t="str">
            <v>M0113</v>
          </cell>
          <cell r="D188" t="str">
            <v>A</v>
          </cell>
          <cell r="E188" t="str">
            <v>501_M0113_A_187H</v>
          </cell>
          <cell r="F188">
            <v>45866.6041666667</v>
          </cell>
          <cell r="G188" t="str">
            <v>GEPR</v>
          </cell>
          <cell r="H188">
            <v>293.89</v>
          </cell>
          <cell r="I188">
            <v>0.58</v>
          </cell>
          <cell r="J188">
            <v>294.47</v>
          </cell>
          <cell r="K188">
            <v>1</v>
          </cell>
          <cell r="L188">
            <v>0.58</v>
          </cell>
          <cell r="M188">
            <v>100</v>
          </cell>
        </row>
        <row r="188">
          <cell r="P188" t="str">
            <v>loose sands</v>
          </cell>
          <cell r="Q188" t="str">
            <v>yes</v>
          </cell>
          <cell r="R188" t="str">
            <v>all</v>
          </cell>
          <cell r="S188" t="str">
            <v>H</v>
          </cell>
          <cell r="T188" t="str">
            <v>H (QD-TEC)</v>
          </cell>
        </row>
        <row r="188">
          <cell r="V188">
            <v>72</v>
          </cell>
          <cell r="W188">
            <v>0</v>
          </cell>
          <cell r="X188">
            <v>293.89</v>
          </cell>
          <cell r="Y188">
            <v>294.47</v>
          </cell>
        </row>
        <row r="189">
          <cell r="A189">
            <v>188</v>
          </cell>
          <cell r="B189">
            <v>501</v>
          </cell>
          <cell r="C189" t="str">
            <v>M0113</v>
          </cell>
          <cell r="D189" t="str">
            <v>A</v>
          </cell>
          <cell r="E189" t="str">
            <v>501_M0113_A_188H</v>
          </cell>
          <cell r="F189">
            <v>45866.6319444444</v>
          </cell>
          <cell r="G189" t="str">
            <v>GEPR</v>
          </cell>
          <cell r="H189">
            <v>294.47</v>
          </cell>
          <cell r="I189">
            <v>0.94</v>
          </cell>
          <cell r="J189">
            <v>295.41</v>
          </cell>
          <cell r="K189">
            <v>1</v>
          </cell>
          <cell r="L189">
            <v>0.94</v>
          </cell>
          <cell r="M189">
            <v>100</v>
          </cell>
        </row>
        <row r="189">
          <cell r="P189" t="str">
            <v>liner stuck</v>
          </cell>
        </row>
        <row r="189">
          <cell r="X189">
            <v>294.47</v>
          </cell>
        </row>
        <row r="190">
          <cell r="A190">
            <v>189</v>
          </cell>
          <cell r="B190">
            <v>501</v>
          </cell>
          <cell r="C190" t="str">
            <v>M0113</v>
          </cell>
          <cell r="D190" t="str">
            <v>A</v>
          </cell>
          <cell r="E190" t="str">
            <v>501_M0113_A_189R</v>
          </cell>
          <cell r="F190">
            <v>45866.71875</v>
          </cell>
          <cell r="G190" t="str">
            <v>PFAF</v>
          </cell>
          <cell r="H190">
            <v>295.41</v>
          </cell>
          <cell r="I190">
            <v>1.08</v>
          </cell>
          <cell r="J190">
            <v>296.49</v>
          </cell>
          <cell r="K190">
            <v>1</v>
          </cell>
          <cell r="L190">
            <v>0.38</v>
          </cell>
          <cell r="M190">
            <v>35.19</v>
          </cell>
        </row>
        <row r="190">
          <cell r="Q190" t="str">
            <v>yes</v>
          </cell>
          <cell r="R190" t="str">
            <v>all</v>
          </cell>
          <cell r="S190" t="str">
            <v>R</v>
          </cell>
          <cell r="T190" t="str">
            <v>R (QD-TEC)</v>
          </cell>
        </row>
        <row r="190">
          <cell r="V190">
            <v>72</v>
          </cell>
          <cell r="W190">
            <v>0</v>
          </cell>
          <cell r="X190">
            <v>295.41</v>
          </cell>
          <cell r="Y190">
            <v>296.49</v>
          </cell>
        </row>
        <row r="191">
          <cell r="A191">
            <v>190</v>
          </cell>
          <cell r="B191">
            <v>501</v>
          </cell>
          <cell r="C191" t="str">
            <v>M0113</v>
          </cell>
          <cell r="D191" t="str">
            <v>A</v>
          </cell>
          <cell r="E191" t="str">
            <v>501_M0113_A_190R</v>
          </cell>
          <cell r="F191">
            <v>45866.75</v>
          </cell>
          <cell r="G191" t="str">
            <v>PFAF</v>
          </cell>
          <cell r="H191">
            <v>296.49</v>
          </cell>
          <cell r="I191">
            <v>1.5</v>
          </cell>
          <cell r="J191">
            <v>297.99</v>
          </cell>
          <cell r="K191">
            <v>1</v>
          </cell>
          <cell r="L191">
            <v>0.27</v>
          </cell>
          <cell r="M191">
            <v>18</v>
          </cell>
        </row>
        <row r="191">
          <cell r="Q191" t="str">
            <v>yes</v>
          </cell>
          <cell r="R191" t="str">
            <v>all</v>
          </cell>
          <cell r="S191" t="str">
            <v>R</v>
          </cell>
          <cell r="T191" t="str">
            <v>R (QD-TEC)</v>
          </cell>
        </row>
        <row r="191">
          <cell r="V191">
            <v>72</v>
          </cell>
          <cell r="W191">
            <v>0</v>
          </cell>
          <cell r="X191">
            <v>296.49</v>
          </cell>
          <cell r="Y191">
            <v>297.99</v>
          </cell>
        </row>
        <row r="192">
          <cell r="A192">
            <v>191</v>
          </cell>
          <cell r="B192">
            <v>501</v>
          </cell>
          <cell r="C192" t="str">
            <v>M0113</v>
          </cell>
          <cell r="D192" t="str">
            <v>A</v>
          </cell>
          <cell r="E192" t="str">
            <v>501_M0113_A_191H</v>
          </cell>
          <cell r="F192">
            <v>45866.7881944444</v>
          </cell>
          <cell r="G192" t="str">
            <v>PFAF</v>
          </cell>
          <cell r="H192">
            <v>297.99</v>
          </cell>
          <cell r="I192">
            <v>1.84</v>
          </cell>
          <cell r="J192">
            <v>299.83</v>
          </cell>
          <cell r="K192">
            <v>2</v>
          </cell>
          <cell r="L192">
            <v>1.84</v>
          </cell>
          <cell r="M192">
            <v>100</v>
          </cell>
        </row>
        <row r="192">
          <cell r="Q192" t="str">
            <v>yes</v>
          </cell>
          <cell r="R192" t="str">
            <v>all</v>
          </cell>
          <cell r="S192" t="str">
            <v>H</v>
          </cell>
          <cell r="T192" t="str">
            <v>H (QD-TEC)</v>
          </cell>
        </row>
        <row r="192">
          <cell r="V192">
            <v>72</v>
          </cell>
          <cell r="W192">
            <v>0</v>
          </cell>
          <cell r="X192">
            <v>297.99</v>
          </cell>
          <cell r="Y192">
            <v>299.83</v>
          </cell>
        </row>
        <row r="193">
          <cell r="A193">
            <v>192</v>
          </cell>
          <cell r="B193">
            <v>501</v>
          </cell>
          <cell r="C193" t="str">
            <v>M0113</v>
          </cell>
          <cell r="D193" t="str">
            <v>A</v>
          </cell>
          <cell r="E193" t="str">
            <v>501_M0113_A_192H</v>
          </cell>
          <cell r="F193">
            <v>45866.8229166667</v>
          </cell>
          <cell r="G193" t="str">
            <v>PFAF</v>
          </cell>
          <cell r="H193">
            <v>299.83</v>
          </cell>
          <cell r="I193">
            <v>1.14</v>
          </cell>
          <cell r="J193">
            <v>300.97</v>
          </cell>
          <cell r="K193">
            <v>1</v>
          </cell>
          <cell r="L193">
            <v>1.14</v>
          </cell>
          <cell r="M193">
            <v>100</v>
          </cell>
        </row>
        <row r="193">
          <cell r="Q193" t="str">
            <v>yes</v>
          </cell>
          <cell r="R193" t="str">
            <v>all</v>
          </cell>
          <cell r="S193" t="str">
            <v>H</v>
          </cell>
          <cell r="T193" t="str">
            <v>H (QD-TEC)</v>
          </cell>
        </row>
        <row r="193">
          <cell r="V193">
            <v>72</v>
          </cell>
          <cell r="W193">
            <v>0</v>
          </cell>
          <cell r="X193">
            <v>299.83</v>
          </cell>
          <cell r="Y193">
            <v>300.97</v>
          </cell>
        </row>
        <row r="194">
          <cell r="A194">
            <v>193</v>
          </cell>
          <cell r="B194">
            <v>501</v>
          </cell>
          <cell r="C194" t="str">
            <v>M0113</v>
          </cell>
          <cell r="D194" t="str">
            <v>A</v>
          </cell>
          <cell r="E194" t="str">
            <v>501_M0113_A_193H</v>
          </cell>
          <cell r="F194">
            <v>45866.8576388889</v>
          </cell>
          <cell r="G194" t="str">
            <v>PFAF</v>
          </cell>
          <cell r="H194">
            <v>300.97</v>
          </cell>
          <cell r="I194">
            <v>0.85</v>
          </cell>
          <cell r="J194">
            <v>301.82</v>
          </cell>
          <cell r="K194">
            <v>2</v>
          </cell>
          <cell r="L194">
            <v>0.85</v>
          </cell>
          <cell r="M194">
            <v>100</v>
          </cell>
        </row>
        <row r="194">
          <cell r="Q194" t="str">
            <v>yes</v>
          </cell>
          <cell r="R194" t="str">
            <v>all</v>
          </cell>
          <cell r="S194" t="str">
            <v>H</v>
          </cell>
          <cell r="T194" t="str">
            <v>H (QD-TEC)</v>
          </cell>
        </row>
        <row r="194">
          <cell r="V194">
            <v>72</v>
          </cell>
          <cell r="W194">
            <v>0</v>
          </cell>
          <cell r="X194">
            <v>300.97</v>
          </cell>
          <cell r="Y194">
            <v>301.82</v>
          </cell>
        </row>
        <row r="195">
          <cell r="A195">
            <v>194</v>
          </cell>
          <cell r="B195">
            <v>501</v>
          </cell>
          <cell r="C195" t="str">
            <v>M0113</v>
          </cell>
          <cell r="D195" t="str">
            <v>A</v>
          </cell>
          <cell r="E195" t="str">
            <v>501_M0113_A_194H</v>
          </cell>
          <cell r="F195">
            <v>45866.8958333333</v>
          </cell>
          <cell r="G195" t="str">
            <v>PFAF</v>
          </cell>
          <cell r="H195">
            <v>301.82</v>
          </cell>
          <cell r="I195">
            <v>0.87</v>
          </cell>
          <cell r="J195">
            <v>302.69</v>
          </cell>
          <cell r="K195">
            <v>3</v>
          </cell>
          <cell r="L195">
            <v>0.87</v>
          </cell>
          <cell r="M195">
            <v>100</v>
          </cell>
        </row>
        <row r="195">
          <cell r="Q195" t="str">
            <v>yes</v>
          </cell>
          <cell r="R195" t="str">
            <v>all</v>
          </cell>
          <cell r="S195" t="str">
            <v>H</v>
          </cell>
          <cell r="T195" t="str">
            <v>H (QD-TEC)</v>
          </cell>
        </row>
        <row r="195">
          <cell r="V195">
            <v>72</v>
          </cell>
          <cell r="W195">
            <v>0</v>
          </cell>
          <cell r="X195">
            <v>301.82</v>
          </cell>
          <cell r="Y195">
            <v>302.69</v>
          </cell>
        </row>
        <row r="196">
          <cell r="A196">
            <v>195</v>
          </cell>
          <cell r="B196">
            <v>501</v>
          </cell>
          <cell r="C196" t="str">
            <v>M0113</v>
          </cell>
          <cell r="D196" t="str">
            <v>A</v>
          </cell>
          <cell r="E196" t="str">
            <v>501_M0113_A_195H</v>
          </cell>
          <cell r="F196">
            <v>45866.9375</v>
          </cell>
          <cell r="G196" t="str">
            <v>PFAF</v>
          </cell>
          <cell r="H196">
            <v>302.69</v>
          </cell>
          <cell r="I196">
            <v>0.57</v>
          </cell>
          <cell r="J196">
            <v>303.26</v>
          </cell>
          <cell r="K196">
            <v>1</v>
          </cell>
          <cell r="L196">
            <v>0.57</v>
          </cell>
          <cell r="M196">
            <v>100</v>
          </cell>
        </row>
        <row r="196">
          <cell r="Q196" t="str">
            <v>yes</v>
          </cell>
          <cell r="R196" t="str">
            <v>all</v>
          </cell>
          <cell r="S196" t="str">
            <v>H</v>
          </cell>
          <cell r="T196" t="str">
            <v>H (QD-TEC)</v>
          </cell>
        </row>
        <row r="196">
          <cell r="V196">
            <v>72</v>
          </cell>
          <cell r="W196">
            <v>0</v>
          </cell>
          <cell r="X196">
            <v>302.69</v>
          </cell>
          <cell r="Y196">
            <v>303.26</v>
          </cell>
        </row>
        <row r="197">
          <cell r="A197">
            <v>196</v>
          </cell>
          <cell r="B197">
            <v>501</v>
          </cell>
          <cell r="C197" t="str">
            <v>M0113</v>
          </cell>
          <cell r="D197" t="str">
            <v>A</v>
          </cell>
          <cell r="E197" t="str">
            <v>501_M0113_A_196H</v>
          </cell>
          <cell r="F197">
            <v>45866.9791666667</v>
          </cell>
          <cell r="G197" t="str">
            <v>PFAF</v>
          </cell>
          <cell r="H197">
            <v>303.26</v>
          </cell>
          <cell r="I197">
            <v>1.53</v>
          </cell>
          <cell r="J197">
            <v>304.79</v>
          </cell>
          <cell r="K197">
            <v>2</v>
          </cell>
          <cell r="L197">
            <v>1.53</v>
          </cell>
          <cell r="M197">
            <v>100</v>
          </cell>
        </row>
        <row r="197">
          <cell r="Q197" t="str">
            <v>yes</v>
          </cell>
          <cell r="R197" t="str">
            <v>all</v>
          </cell>
          <cell r="S197" t="str">
            <v>H</v>
          </cell>
          <cell r="T197" t="str">
            <v>H (QD-TEC)</v>
          </cell>
        </row>
        <row r="197">
          <cell r="V197">
            <v>72</v>
          </cell>
          <cell r="W197">
            <v>0</v>
          </cell>
          <cell r="X197">
            <v>303.26</v>
          </cell>
          <cell r="Y197">
            <v>304.79</v>
          </cell>
        </row>
        <row r="198">
          <cell r="A198">
            <v>197</v>
          </cell>
          <cell r="B198">
            <v>501</v>
          </cell>
          <cell r="C198" t="str">
            <v>M0113</v>
          </cell>
          <cell r="D198" t="str">
            <v>A</v>
          </cell>
          <cell r="E198" t="str">
            <v>501_M0113_A_197H</v>
          </cell>
          <cell r="F198">
            <v>45867.0173611111</v>
          </cell>
          <cell r="G198" t="str">
            <v>PFAF</v>
          </cell>
          <cell r="H198">
            <v>304.79</v>
          </cell>
          <cell r="I198">
            <v>0.62</v>
          </cell>
          <cell r="J198">
            <v>305.41</v>
          </cell>
          <cell r="K198">
            <v>2</v>
          </cell>
          <cell r="L198">
            <v>0.62</v>
          </cell>
          <cell r="M198">
            <v>100</v>
          </cell>
        </row>
        <row r="198">
          <cell r="Q198" t="str">
            <v>yes</v>
          </cell>
          <cell r="R198" t="str">
            <v>all</v>
          </cell>
          <cell r="S198" t="str">
            <v>H</v>
          </cell>
          <cell r="T198" t="str">
            <v>H (QD-TEC)</v>
          </cell>
        </row>
        <row r="198">
          <cell r="V198">
            <v>72</v>
          </cell>
          <cell r="W198">
            <v>0</v>
          </cell>
          <cell r="X198">
            <v>304.79</v>
          </cell>
          <cell r="Y198">
            <v>305.41</v>
          </cell>
        </row>
        <row r="199">
          <cell r="A199">
            <v>198</v>
          </cell>
          <cell r="B199">
            <v>501</v>
          </cell>
          <cell r="C199" t="str">
            <v>M0113</v>
          </cell>
          <cell r="D199" t="str">
            <v>A</v>
          </cell>
          <cell r="E199" t="str">
            <v>501_M0113_A_198H</v>
          </cell>
          <cell r="F199">
            <v>45867.0625</v>
          </cell>
          <cell r="G199" t="str">
            <v>PFAF</v>
          </cell>
          <cell r="H199">
            <v>305.41</v>
          </cell>
          <cell r="I199">
            <v>0.63</v>
          </cell>
          <cell r="J199">
            <v>306.04</v>
          </cell>
          <cell r="K199">
            <v>2</v>
          </cell>
          <cell r="L199">
            <v>0.63</v>
          </cell>
          <cell r="M199">
            <v>100</v>
          </cell>
        </row>
        <row r="199">
          <cell r="Q199" t="str">
            <v>yes</v>
          </cell>
          <cell r="R199" t="str">
            <v>all</v>
          </cell>
          <cell r="S199" t="str">
            <v>H</v>
          </cell>
          <cell r="T199" t="str">
            <v>H (QD-TEC)</v>
          </cell>
        </row>
        <row r="199">
          <cell r="V199">
            <v>72</v>
          </cell>
          <cell r="W199">
            <v>0</v>
          </cell>
          <cell r="X199">
            <v>305.41</v>
          </cell>
          <cell r="Y199">
            <v>306.04</v>
          </cell>
        </row>
        <row r="200">
          <cell r="A200">
            <v>199</v>
          </cell>
          <cell r="B200">
            <v>501</v>
          </cell>
          <cell r="C200" t="str">
            <v>M0113</v>
          </cell>
          <cell r="D200" t="str">
            <v>A</v>
          </cell>
          <cell r="E200" t="str">
            <v>501_M0113_A_199H</v>
          </cell>
          <cell r="F200">
            <v>45867.1111111111</v>
          </cell>
          <cell r="G200" t="str">
            <v>PFAF</v>
          </cell>
          <cell r="H200">
            <v>306.04</v>
          </cell>
          <cell r="I200">
            <v>0.42</v>
          </cell>
          <cell r="J200">
            <v>306.46</v>
          </cell>
          <cell r="K200">
            <v>1</v>
          </cell>
          <cell r="L200">
            <v>0.42</v>
          </cell>
          <cell r="M200">
            <v>100</v>
          </cell>
        </row>
        <row r="200">
          <cell r="P200" t="str">
            <v>core fell out of liner at rig floor</v>
          </cell>
        </row>
        <row r="200">
          <cell r="X200">
            <v>306.04</v>
          </cell>
        </row>
        <row r="201">
          <cell r="A201">
            <v>200</v>
          </cell>
          <cell r="B201">
            <v>501</v>
          </cell>
          <cell r="C201" t="str">
            <v>M0113</v>
          </cell>
          <cell r="D201" t="str">
            <v>A</v>
          </cell>
          <cell r="E201" t="str">
            <v>501_M0113_A_200R</v>
          </cell>
          <cell r="F201">
            <v>45867.15625</v>
          </cell>
          <cell r="G201" t="str">
            <v>PFAF</v>
          </cell>
          <cell r="H201">
            <v>306.46</v>
          </cell>
          <cell r="I201">
            <v>2.03</v>
          </cell>
          <cell r="J201">
            <v>308.49</v>
          </cell>
          <cell r="K201">
            <v>3</v>
          </cell>
          <cell r="L201">
            <v>1.07</v>
          </cell>
          <cell r="M201">
            <v>52.71</v>
          </cell>
        </row>
        <row r="201">
          <cell r="Q201" t="str">
            <v>yes</v>
          </cell>
          <cell r="R201" t="str">
            <v>all</v>
          </cell>
          <cell r="S201" t="str">
            <v>R</v>
          </cell>
          <cell r="T201" t="str">
            <v>R (QD-TEC)</v>
          </cell>
        </row>
        <row r="201">
          <cell r="V201">
            <v>72</v>
          </cell>
          <cell r="W201">
            <v>0</v>
          </cell>
          <cell r="X201">
            <v>306.46</v>
          </cell>
          <cell r="Y201">
            <v>308.49</v>
          </cell>
        </row>
        <row r="202">
          <cell r="A202">
            <v>201</v>
          </cell>
          <cell r="B202">
            <v>501</v>
          </cell>
          <cell r="C202" t="str">
            <v>M0113</v>
          </cell>
          <cell r="D202" t="str">
            <v>A</v>
          </cell>
          <cell r="E202" t="str">
            <v>501_M0113_A_201R</v>
          </cell>
          <cell r="F202">
            <v>45867.2118055556</v>
          </cell>
          <cell r="G202" t="str">
            <v>GEPR</v>
          </cell>
          <cell r="H202">
            <v>308.49</v>
          </cell>
          <cell r="I202">
            <v>3</v>
          </cell>
          <cell r="J202">
            <v>311.49</v>
          </cell>
          <cell r="K202">
            <v>2</v>
          </cell>
          <cell r="L202">
            <v>0.8</v>
          </cell>
          <cell r="M202">
            <v>26.67</v>
          </cell>
        </row>
        <row r="202">
          <cell r="Q202" t="str">
            <v>yes</v>
          </cell>
          <cell r="R202" t="str">
            <v>all</v>
          </cell>
          <cell r="S202" t="str">
            <v>R</v>
          </cell>
          <cell r="T202" t="str">
            <v>R (QD-TEC)</v>
          </cell>
        </row>
        <row r="202">
          <cell r="V202">
            <v>72</v>
          </cell>
          <cell r="W202">
            <v>0</v>
          </cell>
          <cell r="X202">
            <v>308.49</v>
          </cell>
          <cell r="Y202">
            <v>311.49</v>
          </cell>
        </row>
        <row r="203">
          <cell r="A203">
            <v>202</v>
          </cell>
          <cell r="B203">
            <v>501</v>
          </cell>
          <cell r="C203" t="str">
            <v>M0113</v>
          </cell>
          <cell r="D203" t="str">
            <v>A</v>
          </cell>
          <cell r="E203" t="str">
            <v>501_M0113_A_202R</v>
          </cell>
          <cell r="F203">
            <v>45867.2395833333</v>
          </cell>
          <cell r="G203" t="str">
            <v>GEPR</v>
          </cell>
          <cell r="H203">
            <v>311.49</v>
          </cell>
          <cell r="I203">
            <v>1.5</v>
          </cell>
          <cell r="J203">
            <v>312.99</v>
          </cell>
          <cell r="K203">
            <v>1</v>
          </cell>
          <cell r="L203">
            <v>0.5</v>
          </cell>
          <cell r="M203">
            <v>33.33</v>
          </cell>
        </row>
        <row r="203">
          <cell r="Q203" t="str">
            <v>yes</v>
          </cell>
          <cell r="R203" t="str">
            <v>all</v>
          </cell>
          <cell r="S203" t="str">
            <v>R</v>
          </cell>
          <cell r="T203" t="str">
            <v>R (QD-TEC)</v>
          </cell>
        </row>
        <row r="203">
          <cell r="V203">
            <v>72</v>
          </cell>
          <cell r="W203">
            <v>0</v>
          </cell>
          <cell r="X203">
            <v>311.49</v>
          </cell>
          <cell r="Y203">
            <v>312.99</v>
          </cell>
        </row>
        <row r="204">
          <cell r="A204">
            <v>203</v>
          </cell>
          <cell r="B204">
            <v>501</v>
          </cell>
          <cell r="C204" t="str">
            <v>M0113</v>
          </cell>
          <cell r="D204" t="str">
            <v>A</v>
          </cell>
          <cell r="E204" t="str">
            <v>501_M0113_A_203R</v>
          </cell>
          <cell r="F204">
            <v>45867.2638888889</v>
          </cell>
          <cell r="G204" t="str">
            <v>GEPR</v>
          </cell>
          <cell r="H204">
            <v>312.99</v>
          </cell>
          <cell r="I204">
            <v>1.5</v>
          </cell>
          <cell r="J204">
            <v>314.49</v>
          </cell>
          <cell r="K204">
            <v>2</v>
          </cell>
          <cell r="L204">
            <v>1.56</v>
          </cell>
          <cell r="M204">
            <v>104</v>
          </cell>
        </row>
        <row r="204">
          <cell r="Q204" t="str">
            <v>yes</v>
          </cell>
          <cell r="R204" t="str">
            <v>all</v>
          </cell>
          <cell r="S204" t="str">
            <v>R</v>
          </cell>
          <cell r="T204" t="str">
            <v>R (QD-TEC)</v>
          </cell>
        </row>
        <row r="204">
          <cell r="V204">
            <v>72</v>
          </cell>
          <cell r="W204">
            <v>0</v>
          </cell>
          <cell r="X204">
            <v>312.99</v>
          </cell>
          <cell r="Y204">
            <v>314.49</v>
          </cell>
        </row>
        <row r="205">
          <cell r="A205">
            <v>204</v>
          </cell>
          <cell r="B205">
            <v>501</v>
          </cell>
          <cell r="C205" t="str">
            <v>M0113</v>
          </cell>
          <cell r="D205" t="str">
            <v>A</v>
          </cell>
          <cell r="E205" t="str">
            <v>501_M0113_A_204R</v>
          </cell>
          <cell r="F205">
            <v>45867.2881944444</v>
          </cell>
          <cell r="G205" t="str">
            <v>GEPR</v>
          </cell>
          <cell r="H205">
            <v>314.49</v>
          </cell>
          <cell r="I205">
            <v>1.5</v>
          </cell>
          <cell r="J205">
            <v>315.99</v>
          </cell>
          <cell r="K205">
            <v>2</v>
          </cell>
          <cell r="L205">
            <v>0.5</v>
          </cell>
          <cell r="M205">
            <v>33.33</v>
          </cell>
        </row>
        <row r="205">
          <cell r="Q205" t="str">
            <v>yes</v>
          </cell>
          <cell r="R205" t="str">
            <v>all</v>
          </cell>
          <cell r="S205" t="str">
            <v>R</v>
          </cell>
          <cell r="T205" t="str">
            <v>R (QD-TEC)</v>
          </cell>
        </row>
        <row r="205">
          <cell r="V205">
            <v>72</v>
          </cell>
          <cell r="W205">
            <v>0</v>
          </cell>
          <cell r="X205">
            <v>314.49</v>
          </cell>
          <cell r="Y205">
            <v>315.99</v>
          </cell>
        </row>
        <row r="206">
          <cell r="A206">
            <v>205</v>
          </cell>
          <cell r="B206">
            <v>501</v>
          </cell>
          <cell r="C206" t="str">
            <v>M0113</v>
          </cell>
          <cell r="D206" t="str">
            <v>A</v>
          </cell>
          <cell r="E206" t="str">
            <v>501_M0113_A_205R</v>
          </cell>
          <cell r="F206">
            <v>45867.3263888889</v>
          </cell>
          <cell r="G206" t="str">
            <v>GEPR</v>
          </cell>
          <cell r="H206">
            <v>315.99</v>
          </cell>
          <cell r="I206">
            <v>1.5</v>
          </cell>
          <cell r="J206">
            <v>317.49</v>
          </cell>
          <cell r="K206">
            <v>3</v>
          </cell>
          <cell r="L206">
            <v>1.57</v>
          </cell>
          <cell r="M206">
            <v>104.67</v>
          </cell>
        </row>
        <row r="206">
          <cell r="Q206" t="str">
            <v>yes</v>
          </cell>
          <cell r="R206" t="str">
            <v>all</v>
          </cell>
          <cell r="S206" t="str">
            <v>R</v>
          </cell>
          <cell r="T206" t="str">
            <v>R (QD-TEC)</v>
          </cell>
        </row>
        <row r="206">
          <cell r="V206">
            <v>72</v>
          </cell>
          <cell r="W206">
            <v>0</v>
          </cell>
          <cell r="X206">
            <v>315.99</v>
          </cell>
          <cell r="Y206">
            <v>317.49</v>
          </cell>
        </row>
        <row r="207">
          <cell r="A207">
            <v>206</v>
          </cell>
          <cell r="B207">
            <v>501</v>
          </cell>
          <cell r="C207" t="str">
            <v>M0113</v>
          </cell>
          <cell r="D207" t="str">
            <v>A</v>
          </cell>
          <cell r="E207" t="str">
            <v>501_M0113_A_206R</v>
          </cell>
          <cell r="F207">
            <v>45867.3611111111</v>
          </cell>
          <cell r="G207" t="str">
            <v>GEPR</v>
          </cell>
          <cell r="H207">
            <v>317.49</v>
          </cell>
          <cell r="I207">
            <v>1.5</v>
          </cell>
          <cell r="J207">
            <v>318.99</v>
          </cell>
          <cell r="K207">
            <v>1</v>
          </cell>
          <cell r="L207">
            <v>1.43</v>
          </cell>
          <cell r="M207">
            <v>95.33</v>
          </cell>
        </row>
        <row r="207">
          <cell r="Q207" t="str">
            <v>yes</v>
          </cell>
          <cell r="R207" t="str">
            <v>all</v>
          </cell>
          <cell r="S207" t="str">
            <v>R</v>
          </cell>
          <cell r="T207" t="str">
            <v>R (QD-TEC)</v>
          </cell>
        </row>
        <row r="207">
          <cell r="V207">
            <v>72</v>
          </cell>
          <cell r="W207">
            <v>0</v>
          </cell>
          <cell r="X207">
            <v>317.49</v>
          </cell>
          <cell r="Y207">
            <v>318.99</v>
          </cell>
        </row>
        <row r="208">
          <cell r="A208">
            <v>207</v>
          </cell>
          <cell r="B208">
            <v>501</v>
          </cell>
          <cell r="C208" t="str">
            <v>M0113</v>
          </cell>
          <cell r="D208" t="str">
            <v>A</v>
          </cell>
          <cell r="E208" t="str">
            <v>501_M0113_A_207R</v>
          </cell>
          <cell r="F208">
            <v>45867.4097222222</v>
          </cell>
          <cell r="G208" t="str">
            <v>GEPR</v>
          </cell>
          <cell r="H208">
            <v>318.99</v>
          </cell>
          <cell r="I208">
            <v>1.5</v>
          </cell>
          <cell r="J208">
            <v>320.49</v>
          </cell>
          <cell r="K208">
            <v>2</v>
          </cell>
          <cell r="L208">
            <v>1.57</v>
          </cell>
          <cell r="M208">
            <v>104.67</v>
          </cell>
        </row>
        <row r="208">
          <cell r="Q208" t="str">
            <v>yes</v>
          </cell>
          <cell r="R208" t="str">
            <v>all</v>
          </cell>
          <cell r="S208" t="str">
            <v>R</v>
          </cell>
          <cell r="T208" t="str">
            <v>R (QD-TEC)</v>
          </cell>
        </row>
        <row r="208">
          <cell r="V208">
            <v>72</v>
          </cell>
          <cell r="W208">
            <v>0</v>
          </cell>
          <cell r="X208">
            <v>318.99</v>
          </cell>
          <cell r="Y208">
            <v>320.49</v>
          </cell>
        </row>
        <row r="209">
          <cell r="A209">
            <v>208</v>
          </cell>
          <cell r="B209">
            <v>501</v>
          </cell>
          <cell r="C209" t="str">
            <v>M0113</v>
          </cell>
          <cell r="D209" t="str">
            <v>A</v>
          </cell>
          <cell r="E209" t="str">
            <v>501_M0113_A_208R</v>
          </cell>
          <cell r="F209">
            <v>45867.4513888889</v>
          </cell>
          <cell r="G209" t="str">
            <v>GEPR</v>
          </cell>
          <cell r="H209">
            <v>320.49</v>
          </cell>
          <cell r="I209">
            <v>1.5</v>
          </cell>
          <cell r="J209">
            <v>321.99</v>
          </cell>
          <cell r="K209">
            <v>1</v>
          </cell>
          <cell r="L209">
            <v>1.28</v>
          </cell>
          <cell r="M209">
            <v>85.33</v>
          </cell>
        </row>
        <row r="209">
          <cell r="Q209" t="str">
            <v>yes</v>
          </cell>
          <cell r="R209" t="str">
            <v>all</v>
          </cell>
          <cell r="S209" t="str">
            <v>R</v>
          </cell>
          <cell r="T209" t="str">
            <v>R (QD-TEC)</v>
          </cell>
        </row>
        <row r="209">
          <cell r="V209">
            <v>72</v>
          </cell>
          <cell r="W209">
            <v>0</v>
          </cell>
          <cell r="X209">
            <v>320.49</v>
          </cell>
          <cell r="Y209">
            <v>321.99</v>
          </cell>
        </row>
        <row r="210">
          <cell r="A210">
            <v>209</v>
          </cell>
          <cell r="B210">
            <v>501</v>
          </cell>
          <cell r="C210" t="str">
            <v>M0113</v>
          </cell>
          <cell r="D210" t="str">
            <v>A</v>
          </cell>
          <cell r="E210" t="str">
            <v>501_M0113_A_209R</v>
          </cell>
          <cell r="F210">
            <v>45867.4722222222</v>
          </cell>
          <cell r="G210" t="str">
            <v>GEPR</v>
          </cell>
          <cell r="H210">
            <v>321.99</v>
          </cell>
          <cell r="I210">
            <v>1.5</v>
          </cell>
          <cell r="J210">
            <v>323.49</v>
          </cell>
          <cell r="K210">
            <v>2</v>
          </cell>
          <cell r="L210">
            <v>1.9</v>
          </cell>
          <cell r="M210">
            <v>126.67</v>
          </cell>
        </row>
        <row r="210">
          <cell r="P210" t="str">
            <v>top probably from previous core</v>
          </cell>
          <cell r="Q210" t="str">
            <v>yes</v>
          </cell>
          <cell r="R210" t="str">
            <v>all</v>
          </cell>
          <cell r="S210" t="str">
            <v>R</v>
          </cell>
          <cell r="T210" t="str">
            <v>R (QD-TEC)</v>
          </cell>
        </row>
        <row r="210">
          <cell r="V210">
            <v>72</v>
          </cell>
          <cell r="W210">
            <v>0</v>
          </cell>
          <cell r="X210">
            <v>321.99</v>
          </cell>
          <cell r="Y210">
            <v>323.49</v>
          </cell>
        </row>
        <row r="211">
          <cell r="A211">
            <v>210</v>
          </cell>
          <cell r="B211">
            <v>501</v>
          </cell>
          <cell r="C211" t="str">
            <v>M0113</v>
          </cell>
          <cell r="D211" t="str">
            <v>A</v>
          </cell>
          <cell r="E211" t="str">
            <v>501_M0113_A_210R</v>
          </cell>
          <cell r="F211">
            <v>45867.5138888889</v>
          </cell>
          <cell r="G211" t="str">
            <v>GEPR</v>
          </cell>
          <cell r="H211">
            <v>323.49</v>
          </cell>
          <cell r="I211">
            <v>1.51</v>
          </cell>
          <cell r="J211">
            <v>325</v>
          </cell>
          <cell r="K211">
            <v>2</v>
          </cell>
          <cell r="L211">
            <v>1.61</v>
          </cell>
          <cell r="M211">
            <v>106.62</v>
          </cell>
        </row>
        <row r="211">
          <cell r="Q211" t="str">
            <v>yes</v>
          </cell>
          <cell r="R211" t="str">
            <v>all</v>
          </cell>
          <cell r="S211" t="str">
            <v>R</v>
          </cell>
          <cell r="T211" t="str">
            <v>R (QD-TEC)</v>
          </cell>
        </row>
        <row r="211">
          <cell r="V211">
            <v>72</v>
          </cell>
          <cell r="W211">
            <v>0</v>
          </cell>
          <cell r="X211">
            <v>323.49</v>
          </cell>
          <cell r="Y211">
            <v>325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29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12" ySplit="1" topLeftCell="AA111" activePane="bottomRight" state="frozen"/>
      <selection pane="topLeft" activeCell="A1" activeCellId="0" sqref="A1"/>
      <selection pane="topRight" activeCell="AA1" activeCellId="0" sqref="AA1"/>
      <selection pane="bottomLeft" activeCell="A111" activeCellId="0" sqref="A111"/>
      <selection pane="bottomRight" activeCell="AM133" activeCellId="0" sqref="AM133"/>
    </sheetView>
  </sheetViews>
  <sheetFormatPr defaultColWidth="8.6328125" defaultRowHeight="14.25" customHeight="true" zeroHeight="false" outlineLevelRow="0" outlineLevelCol="0"/>
  <cols>
    <col collapsed="false" customWidth="true" hidden="false" outlineLevel="0" max="1" min="1" style="1" width="5.63"/>
    <col collapsed="false" customWidth="true" hidden="false" outlineLevel="0" max="2" min="2" style="2" width="7.36"/>
    <col collapsed="false" customWidth="true" hidden="false" outlineLevel="0" max="3" min="3" style="2" width="5"/>
    <col collapsed="false" customWidth="true" hidden="false" outlineLevel="0" max="4" min="4" style="2" width="4.09"/>
    <col collapsed="false" customWidth="true" hidden="false" outlineLevel="0" max="5" min="5" style="2" width="4.63"/>
    <col collapsed="false" customWidth="true" hidden="false" outlineLevel="0" max="6" min="6" style="2" width="6.09"/>
    <col collapsed="false" customWidth="true" hidden="false" outlineLevel="0" max="7" min="7" style="2" width="8.09"/>
    <col collapsed="false" customWidth="false" hidden="false" outlineLevel="0" max="8" min="8" style="2" width="8.63"/>
    <col collapsed="false" customWidth="true" hidden="false" outlineLevel="0" max="9" min="9" style="3" width="13.54"/>
    <col collapsed="false" customWidth="true" hidden="false" outlineLevel="0" max="10" min="10" style="3" width="24.54"/>
    <col collapsed="false" customWidth="false" hidden="false" outlineLevel="0" max="11" min="11" style="3" width="8.63"/>
    <col collapsed="false" customWidth="true" hidden="false" outlineLevel="0" max="12" min="12" style="4" width="9.36"/>
    <col collapsed="false" customWidth="false" hidden="false" outlineLevel="0" max="13" min="13" style="5" width="8.63"/>
    <col collapsed="false" customWidth="false" hidden="false" outlineLevel="0" max="14" min="14" style="4" width="8.63"/>
    <col collapsed="false" customWidth="true" hidden="false" outlineLevel="0" max="15" min="15" style="2" width="9.63"/>
    <col collapsed="false" customWidth="true" hidden="false" outlineLevel="0" max="16" min="16" style="6" width="16"/>
    <col collapsed="false" customWidth="true" hidden="false" outlineLevel="0" max="17" min="17" style="2" width="9.45"/>
    <col collapsed="false" customWidth="true" hidden="false" outlineLevel="0" max="18" min="18" style="3" width="7.63"/>
    <col collapsed="false" customWidth="true" hidden="false" outlineLevel="0" max="19" min="19" style="3" width="11"/>
    <col collapsed="false" customWidth="true" hidden="false" outlineLevel="0" max="20" min="20" style="2" width="10"/>
    <col collapsed="false" customWidth="true" hidden="false" outlineLevel="0" max="21" min="21" style="3" width="10"/>
    <col collapsed="false" customWidth="true" hidden="false" outlineLevel="0" max="22" min="22" style="7" width="9.63"/>
    <col collapsed="false" customWidth="true" hidden="false" outlineLevel="0" max="31" min="23" style="7" width="9.09"/>
    <col collapsed="false" customWidth="false" hidden="false" outlineLevel="0" max="32" min="32" style="7" width="8.63"/>
    <col collapsed="false" customWidth="false" hidden="false" outlineLevel="0" max="38" min="33" style="8" width="8.63"/>
    <col collapsed="false" customWidth="true" hidden="false" outlineLevel="0" max="39" min="39" style="9" width="11"/>
    <col collapsed="false" customWidth="false" hidden="false" outlineLevel="0" max="16384" min="40" style="9" width="8.63"/>
  </cols>
  <sheetData>
    <row r="1" s="11" customFormat="true" ht="28.35" hidden="false" customHeight="false" outlineLevel="0" collapsed="false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1" t="s">
        <v>8</v>
      </c>
      <c r="J1" s="11" t="s">
        <v>9</v>
      </c>
      <c r="K1" s="12" t="s">
        <v>10</v>
      </c>
      <c r="L1" s="12" t="s">
        <v>11</v>
      </c>
      <c r="M1" s="10" t="s">
        <v>12</v>
      </c>
      <c r="N1" s="13" t="s">
        <v>13</v>
      </c>
      <c r="O1" s="14" t="s">
        <v>14</v>
      </c>
      <c r="P1" s="15" t="s">
        <v>15</v>
      </c>
      <c r="Q1" s="14" t="s">
        <v>16</v>
      </c>
      <c r="R1" s="16" t="s">
        <v>17</v>
      </c>
      <c r="S1" s="16" t="s">
        <v>18</v>
      </c>
      <c r="T1" s="10" t="s">
        <v>19</v>
      </c>
      <c r="V1" s="11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7" t="s">
        <v>30</v>
      </c>
      <c r="AG1" s="18" t="s">
        <v>31</v>
      </c>
      <c r="AH1" s="18" t="s">
        <v>32</v>
      </c>
      <c r="AI1" s="18" t="s">
        <v>33</v>
      </c>
      <c r="AJ1" s="18" t="s">
        <v>34</v>
      </c>
      <c r="AK1" s="18" t="s">
        <v>35</v>
      </c>
      <c r="AL1" s="18" t="s">
        <v>36</v>
      </c>
      <c r="AM1" s="19" t="s">
        <v>37</v>
      </c>
    </row>
    <row r="2" s="23" customFormat="true" ht="14.25" hidden="false" customHeight="false" outlineLevel="0" collapsed="false">
      <c r="A2" s="20" t="n">
        <v>501</v>
      </c>
      <c r="B2" s="21" t="s">
        <v>38</v>
      </c>
      <c r="C2" s="21" t="s">
        <v>39</v>
      </c>
      <c r="D2" s="21" t="n">
        <v>1</v>
      </c>
      <c r="E2" s="21" t="s">
        <v>40</v>
      </c>
      <c r="F2" s="21" t="n">
        <v>2</v>
      </c>
      <c r="G2" s="21" t="n">
        <v>48</v>
      </c>
      <c r="H2" s="21" t="n">
        <v>50</v>
      </c>
      <c r="I2" s="22" t="str">
        <f aca="false">_xlfn.CONCAT(B2, "-", C2,"-", D2,"-", F2)</f>
        <v>M0111-B-1-2</v>
      </c>
      <c r="J2" s="23" t="str">
        <f aca="false">_xlfn.CONCAT(A2, "-", I2, ",",G2, "-",H2)</f>
        <v>501-M0111-B-1-2,48-50</v>
      </c>
      <c r="K2" s="22" t="n">
        <f aca="false">VLOOKUP(I2, 'Depth vlookup'!$G$2:$I$997,2,FALSE())+(G2/100)</f>
        <v>63.98</v>
      </c>
      <c r="L2" s="24" t="n">
        <f aca="false">K2+2/100</f>
        <v>64</v>
      </c>
      <c r="M2" s="21" t="n">
        <v>205</v>
      </c>
      <c r="N2" s="24" t="n">
        <f aca="false">VLOOKUP(M2,  Beakers!$A$2:$B$151, 2, 0)</f>
        <v>9.6086</v>
      </c>
      <c r="O2" s="21" t="n">
        <v>19.5805</v>
      </c>
      <c r="P2" s="25" t="n">
        <v>46039.7173611111</v>
      </c>
      <c r="Q2" s="21" t="n">
        <v>17.8237</v>
      </c>
      <c r="R2" s="22" t="s">
        <v>41</v>
      </c>
      <c r="S2" s="22" t="n">
        <v>2</v>
      </c>
      <c r="T2" s="21" t="n">
        <v>7.4395</v>
      </c>
      <c r="U2" s="22"/>
      <c r="V2" s="26" t="n">
        <f aca="false">O2-N2</f>
        <v>9.9719</v>
      </c>
      <c r="W2" s="26" t="n">
        <f aca="false">Q2-N2</f>
        <v>8.2151</v>
      </c>
      <c r="X2" s="26" t="n">
        <f aca="false">(V2-W2)/(1-35/1000)</f>
        <v>1.82051813471503</v>
      </c>
      <c r="Y2" s="26" t="n">
        <f aca="false">X2-(V2-W2)</f>
        <v>0.063718134715026</v>
      </c>
      <c r="Z2" s="26" t="n">
        <f aca="false">W2-Y2</f>
        <v>8.15138186528497</v>
      </c>
      <c r="AA2" s="26" t="n">
        <f aca="false">X2/1.024</f>
        <v>1.77784974093264</v>
      </c>
      <c r="AB2" s="26" t="n">
        <f aca="false">Y2/2.22</f>
        <v>0.0287018624842459</v>
      </c>
      <c r="AC2" s="26" t="n">
        <f aca="false">T2-VLOOKUP(M2, Beakers!$A$2:$C$151, 3, 0)</f>
        <v>3.13071076233184</v>
      </c>
      <c r="AD2" s="26" t="n">
        <f aca="false">AC2-AB2+AA2</f>
        <v>4.87985864078024</v>
      </c>
      <c r="AE2" s="26" t="n">
        <f aca="false">AC2-AB2</f>
        <v>3.10200889984759</v>
      </c>
      <c r="AF2" s="26" t="n">
        <f aca="false">X2/V2</f>
        <v>0.182564820617438</v>
      </c>
      <c r="AG2" s="26" t="n">
        <f aca="false">X2/Z2</f>
        <v>0.223338590290836</v>
      </c>
      <c r="AH2" s="26" t="n">
        <f aca="false">V2/AD2</f>
        <v>2.04348132477985</v>
      </c>
      <c r="AI2" s="26" t="n">
        <f aca="false">Z2/AD2</f>
        <v>1.67041352328633</v>
      </c>
      <c r="AJ2" s="26" t="n">
        <f aca="false">Z2/AE2</f>
        <v>2.62777513813241</v>
      </c>
      <c r="AK2" s="26" t="n">
        <f aca="false">AA2/AD2</f>
        <v>0.364324024896013</v>
      </c>
      <c r="AL2" s="26" t="n">
        <f aca="false">AA2/AE2</f>
        <v>0.573128510695115</v>
      </c>
      <c r="AM2" s="23" t="s">
        <v>42</v>
      </c>
    </row>
    <row r="3" s="23" customFormat="true" ht="14.25" hidden="false" customHeight="false" outlineLevel="0" collapsed="false">
      <c r="A3" s="20" t="n">
        <v>501</v>
      </c>
      <c r="B3" s="21" t="s">
        <v>38</v>
      </c>
      <c r="C3" s="21" t="s">
        <v>39</v>
      </c>
      <c r="D3" s="21" t="n">
        <v>2</v>
      </c>
      <c r="E3" s="21" t="s">
        <v>40</v>
      </c>
      <c r="F3" s="21" t="n">
        <v>2</v>
      </c>
      <c r="G3" s="21" t="n">
        <v>77</v>
      </c>
      <c r="H3" s="21" t="n">
        <v>79</v>
      </c>
      <c r="I3" s="22" t="str">
        <f aca="false">_xlfn.CONCAT(B3, "-", C3,"-", D3,"-", F3)</f>
        <v>M0111-B-2-2</v>
      </c>
      <c r="J3" s="23" t="str">
        <f aca="false">_xlfn.CONCAT(A3, "-", I3, ",",G3, "-",H3)</f>
        <v>501-M0111-B-2-2,77-79</v>
      </c>
      <c r="K3" s="22" t="n">
        <f aca="false">VLOOKUP(I3, 'Depth vlookup'!$G$2:$I$997,2,FALSE())+(G3/100)</f>
        <v>65.91</v>
      </c>
      <c r="L3" s="24" t="n">
        <f aca="false">K3+2/100</f>
        <v>65.93</v>
      </c>
      <c r="M3" s="21" t="n">
        <v>207</v>
      </c>
      <c r="N3" s="24" t="n">
        <f aca="false">VLOOKUP(M3,  Beakers!$A$2:$B$151, 2, 0)</f>
        <v>9.772</v>
      </c>
      <c r="O3" s="21" t="n">
        <v>18.2302</v>
      </c>
      <c r="P3" s="25" t="n">
        <v>46039.7173611111</v>
      </c>
      <c r="Q3" s="21" t="n">
        <v>16.9118</v>
      </c>
      <c r="R3" s="22" t="s">
        <v>41</v>
      </c>
      <c r="S3" s="22" t="n">
        <v>3</v>
      </c>
      <c r="T3" s="21" t="n">
        <v>7.0698</v>
      </c>
      <c r="U3" s="22"/>
      <c r="V3" s="26" t="n">
        <f aca="false">O3-N3</f>
        <v>8.4582</v>
      </c>
      <c r="W3" s="26" t="n">
        <f aca="false">Q3-N3</f>
        <v>7.1398</v>
      </c>
      <c r="X3" s="26" t="n">
        <f aca="false">(V3-W3)/(1-35/1000)</f>
        <v>1.36621761658031</v>
      </c>
      <c r="Y3" s="26" t="n">
        <f aca="false">X3-(V3-W3)</f>
        <v>0.047817616580311</v>
      </c>
      <c r="Z3" s="26" t="n">
        <f aca="false">W3-Y3</f>
        <v>7.09198238341969</v>
      </c>
      <c r="AA3" s="26" t="n">
        <f aca="false">X3/1.024</f>
        <v>1.33419689119171</v>
      </c>
      <c r="AB3" s="26" t="n">
        <f aca="false">Y3/2.22</f>
        <v>0.021539466928068</v>
      </c>
      <c r="AC3" s="26" t="n">
        <f aca="false">T3-VLOOKUP(M3, Beakers!$A$2:$C$151, 3, 0)</f>
        <v>2.68773721973094</v>
      </c>
      <c r="AD3" s="26" t="n">
        <f aca="false">AC3-AB3+AA3</f>
        <v>4.00039464399458</v>
      </c>
      <c r="AE3" s="26" t="n">
        <f aca="false">AC3-AB3</f>
        <v>2.66619775280287</v>
      </c>
      <c r="AF3" s="26" t="n">
        <f aca="false">X3/V3</f>
        <v>0.161525811234106</v>
      </c>
      <c r="AG3" s="26" t="n">
        <f aca="false">X3/Z3</f>
        <v>0.192642556441537</v>
      </c>
      <c r="AH3" s="26" t="n">
        <f aca="false">V3/AD3</f>
        <v>2.1143413969663</v>
      </c>
      <c r="AI3" s="26" t="n">
        <f aca="false">Z3/AD3</f>
        <v>1.77282068759546</v>
      </c>
      <c r="AJ3" s="26" t="n">
        <f aca="false">Z3/AE3</f>
        <v>2.65996112852625</v>
      </c>
      <c r="AK3" s="26" t="n">
        <f aca="false">AA3/AD3</f>
        <v>0.333516317744954</v>
      </c>
      <c r="AL3" s="26" t="n">
        <f aca="false">AA3/AE3</f>
        <v>0.500411827963293</v>
      </c>
      <c r="AM3" s="23" t="s">
        <v>42</v>
      </c>
    </row>
    <row r="4" s="23" customFormat="true" ht="14.25" hidden="false" customHeight="false" outlineLevel="0" collapsed="false">
      <c r="A4" s="20" t="n">
        <v>501</v>
      </c>
      <c r="B4" s="21" t="s">
        <v>38</v>
      </c>
      <c r="C4" s="21" t="s">
        <v>39</v>
      </c>
      <c r="D4" s="21" t="n">
        <v>3</v>
      </c>
      <c r="E4" s="21" t="s">
        <v>40</v>
      </c>
      <c r="F4" s="21" t="n">
        <v>2</v>
      </c>
      <c r="G4" s="21" t="n">
        <v>38</v>
      </c>
      <c r="H4" s="21" t="n">
        <v>40</v>
      </c>
      <c r="I4" s="22" t="str">
        <f aca="false">_xlfn.CONCAT(B4, "-", C4,"-", D4,"-", F4)</f>
        <v>M0111-B-3-2</v>
      </c>
      <c r="J4" s="23" t="str">
        <f aca="false">_xlfn.CONCAT(A4, "-", I4, ",",G4, "-",H4)</f>
        <v>501-M0111-B-3-2,38-40</v>
      </c>
      <c r="K4" s="22" t="n">
        <f aca="false">VLOOKUP(I4, 'Depth vlookup'!$G$2:$I$997,2,FALSE())+(G4/100)</f>
        <v>67.94</v>
      </c>
      <c r="L4" s="24" t="n">
        <f aca="false">K4+2/100</f>
        <v>67.96</v>
      </c>
      <c r="M4" s="21" t="n">
        <v>208</v>
      </c>
      <c r="N4" s="24" t="n">
        <f aca="false">VLOOKUP(M4,  Beakers!$A$2:$B$151, 2, 0)</f>
        <v>10.0436</v>
      </c>
      <c r="O4" s="21" t="n">
        <v>21.2829</v>
      </c>
      <c r="P4" s="25" t="n">
        <v>46039.7173611111</v>
      </c>
      <c r="Q4" s="21" t="n">
        <v>19.1576</v>
      </c>
      <c r="R4" s="22" t="s">
        <v>43</v>
      </c>
      <c r="S4" s="22" t="n">
        <v>2</v>
      </c>
      <c r="T4" s="21" t="n">
        <v>7.9654</v>
      </c>
      <c r="U4" s="22"/>
      <c r="V4" s="26" t="n">
        <f aca="false">O4-N4</f>
        <v>11.2393</v>
      </c>
      <c r="W4" s="26" t="n">
        <f aca="false">Q4-N4</f>
        <v>9.114</v>
      </c>
      <c r="X4" s="26" t="n">
        <f aca="false">(V4-W4)/(1-35/1000)</f>
        <v>2.20238341968912</v>
      </c>
      <c r="Y4" s="26" t="n">
        <f aca="false">X4-(V4-W4)</f>
        <v>0.0770834196891195</v>
      </c>
      <c r="Z4" s="26" t="n">
        <f aca="false">W4-Y4</f>
        <v>9.03691658031088</v>
      </c>
      <c r="AA4" s="26" t="n">
        <f aca="false">X4/1.024</f>
        <v>2.15076505829016</v>
      </c>
      <c r="AB4" s="26" t="n">
        <f aca="false">Y4/2.22</f>
        <v>0.034722261121225</v>
      </c>
      <c r="AC4" s="26" t="n">
        <f aca="false">T4-VLOOKUP(M4, Beakers!$A$2:$C$151, 3, 0)</f>
        <v>3.46154349775785</v>
      </c>
      <c r="AD4" s="26" t="n">
        <f aca="false">AC4-AB4+AA4</f>
        <v>5.57758629492678</v>
      </c>
      <c r="AE4" s="26" t="n">
        <f aca="false">AC4-AB4</f>
        <v>3.42682123663662</v>
      </c>
      <c r="AF4" s="26" t="n">
        <f aca="false">X4/V4</f>
        <v>0.195953788909374</v>
      </c>
      <c r="AG4" s="26" t="n">
        <f aca="false">X4/Z4</f>
        <v>0.243709610475718</v>
      </c>
      <c r="AH4" s="26" t="n">
        <f aca="false">V4/AD4</f>
        <v>2.01508312121015</v>
      </c>
      <c r="AI4" s="26" t="n">
        <f aca="false">Z4/AD4</f>
        <v>1.62021994864169</v>
      </c>
      <c r="AJ4" s="26" t="n">
        <f aca="false">Z4/AE4</f>
        <v>2.63711351023974</v>
      </c>
      <c r="AK4" s="26" t="n">
        <f aca="false">AA4/AD4</f>
        <v>0.385608566961382</v>
      </c>
      <c r="AL4" s="26" t="n">
        <f aca="false">AA4/AE4</f>
        <v>0.627626861680449</v>
      </c>
      <c r="AM4" s="23" t="s">
        <v>42</v>
      </c>
    </row>
    <row r="5" s="23" customFormat="true" ht="14.25" hidden="false" customHeight="false" outlineLevel="0" collapsed="false">
      <c r="A5" s="20" t="n">
        <v>501</v>
      </c>
      <c r="B5" s="21" t="s">
        <v>38</v>
      </c>
      <c r="C5" s="21" t="s">
        <v>39</v>
      </c>
      <c r="D5" s="21" t="n">
        <v>4</v>
      </c>
      <c r="E5" s="21" t="s">
        <v>40</v>
      </c>
      <c r="F5" s="21" t="n">
        <v>1</v>
      </c>
      <c r="G5" s="21" t="n">
        <v>100</v>
      </c>
      <c r="H5" s="21" t="n">
        <v>102</v>
      </c>
      <c r="I5" s="22" t="str">
        <f aca="false">_xlfn.CONCAT(B5, "-", C5,"-", D5,"-", F5)</f>
        <v>M0111-B-4-1</v>
      </c>
      <c r="J5" s="23" t="str">
        <f aca="false">_xlfn.CONCAT(A5, "-", I5, ",",G5, "-",H5)</f>
        <v>501-M0111-B-4-1,100-102</v>
      </c>
      <c r="K5" s="22" t="n">
        <f aca="false">VLOOKUP(I5, 'Depth vlookup'!$G$2:$I$997,2,FALSE())+(G5/100)</f>
        <v>69.2</v>
      </c>
      <c r="L5" s="24" t="n">
        <f aca="false">K5+2/100</f>
        <v>69.22</v>
      </c>
      <c r="M5" s="21" t="n">
        <v>209</v>
      </c>
      <c r="N5" s="24" t="n">
        <f aca="false">VLOOKUP(M5,  Beakers!$A$2:$B$151, 2, 0)</f>
        <v>9.6794</v>
      </c>
      <c r="O5" s="21" t="n">
        <v>20.4012</v>
      </c>
      <c r="P5" s="25" t="n">
        <v>46039.8333333333</v>
      </c>
      <c r="Q5" s="21" t="n">
        <v>18.6339</v>
      </c>
      <c r="R5" s="22" t="s">
        <v>43</v>
      </c>
      <c r="S5" s="22" t="n">
        <v>3</v>
      </c>
      <c r="T5" s="21" t="n">
        <v>7.7068</v>
      </c>
      <c r="U5" s="22"/>
      <c r="V5" s="26" t="n">
        <f aca="false">O5-N5</f>
        <v>10.7218</v>
      </c>
      <c r="W5" s="26" t="n">
        <f aca="false">Q5-N5</f>
        <v>8.9545</v>
      </c>
      <c r="X5" s="26" t="n">
        <f aca="false">(V5-W5)/(1-35/1000)</f>
        <v>1.83139896373057</v>
      </c>
      <c r="Y5" s="26" t="n">
        <f aca="false">X5-(V5-W5)</f>
        <v>0.06409896373057</v>
      </c>
      <c r="Z5" s="26" t="n">
        <f aca="false">W5-Y5</f>
        <v>8.89040103626943</v>
      </c>
      <c r="AA5" s="26" t="n">
        <f aca="false">X5/1.024</f>
        <v>1.78847555051813</v>
      </c>
      <c r="AB5" s="26" t="n">
        <f aca="false">Y5/2.22</f>
        <v>0.0288734070858423</v>
      </c>
      <c r="AC5" s="26" t="n">
        <f aca="false">T5-VLOOKUP(M5, Beakers!$A$2:$C$151, 3, 0)</f>
        <v>3.36626188340807</v>
      </c>
      <c r="AD5" s="26" t="n">
        <f aca="false">AC5-AB5+AA5</f>
        <v>5.12586402684036</v>
      </c>
      <c r="AE5" s="26" t="n">
        <f aca="false">AC5-AB5</f>
        <v>3.33738847632223</v>
      </c>
      <c r="AF5" s="26" t="n">
        <f aca="false">X5/V5</f>
        <v>0.170810774658226</v>
      </c>
      <c r="AG5" s="26" t="n">
        <f aca="false">X5/Z5</f>
        <v>0.205997339856679</v>
      </c>
      <c r="AH5" s="26" t="n">
        <f aca="false">V5/AD5</f>
        <v>2.0917058946273</v>
      </c>
      <c r="AI5" s="26" t="n">
        <f aca="false">Z5/AD5</f>
        <v>1.73441999040883</v>
      </c>
      <c r="AJ5" s="26" t="n">
        <f aca="false">Z5/AE5</f>
        <v>2.66387958709157</v>
      </c>
      <c r="AK5" s="26" t="n">
        <f aca="false">AA5/AD5</f>
        <v>0.348912015838346</v>
      </c>
      <c r="AL5" s="26" t="n">
        <f aca="false">AA5/AE5</f>
        <v>0.535890731093138</v>
      </c>
      <c r="AM5" s="23" t="s">
        <v>42</v>
      </c>
    </row>
    <row r="6" s="23" customFormat="true" ht="14.25" hidden="false" customHeight="false" outlineLevel="0" collapsed="false">
      <c r="A6" s="20" t="n">
        <v>501</v>
      </c>
      <c r="B6" s="21" t="s">
        <v>38</v>
      </c>
      <c r="C6" s="21" t="s">
        <v>39</v>
      </c>
      <c r="D6" s="21" t="n">
        <v>5</v>
      </c>
      <c r="E6" s="21" t="s">
        <v>40</v>
      </c>
      <c r="F6" s="21" t="n">
        <v>2</v>
      </c>
      <c r="G6" s="21" t="n">
        <v>52</v>
      </c>
      <c r="H6" s="21" t="n">
        <v>54</v>
      </c>
      <c r="I6" s="22" t="str">
        <f aca="false">_xlfn.CONCAT(B6, "-", C6,"-", D6,"-", F6)</f>
        <v>M0111-B-5-2</v>
      </c>
      <c r="J6" s="23" t="str">
        <f aca="false">_xlfn.CONCAT(A6, "-", I6, ",",G6, "-",H6)</f>
        <v>501-M0111-B-5-2,52-54</v>
      </c>
      <c r="K6" s="22" t="n">
        <f aca="false">VLOOKUP(I6, 'Depth vlookup'!$G$2:$I$997,2,FALSE())+(G6/100)</f>
        <v>71.06</v>
      </c>
      <c r="L6" s="24" t="n">
        <f aca="false">K6+2/100</f>
        <v>71.08</v>
      </c>
      <c r="M6" s="21" t="n">
        <v>230</v>
      </c>
      <c r="N6" s="24" t="n">
        <f aca="false">VLOOKUP(M6,  Beakers!$A$2:$B$151, 2, 0)</f>
        <v>9.805</v>
      </c>
      <c r="O6" s="21" t="n">
        <v>20.1659</v>
      </c>
      <c r="P6" s="25" t="n">
        <v>46039.8333333333</v>
      </c>
      <c r="Q6" s="21" t="n">
        <v>19.0773</v>
      </c>
      <c r="R6" s="22" t="s">
        <v>43</v>
      </c>
      <c r="S6" s="22" t="n">
        <v>5</v>
      </c>
      <c r="T6" s="21" t="n">
        <v>7.8788</v>
      </c>
      <c r="U6" s="22"/>
      <c r="V6" s="26" t="n">
        <f aca="false">O6-N6</f>
        <v>10.3609</v>
      </c>
      <c r="W6" s="26" t="n">
        <f aca="false">Q6-N6</f>
        <v>9.2723</v>
      </c>
      <c r="X6" s="26" t="n">
        <f aca="false">(V6-W6)/(1-35/1000)</f>
        <v>1.1280829015544</v>
      </c>
      <c r="Y6" s="26" t="n">
        <f aca="false">X6-(V6-W6)</f>
        <v>0.0394829015544043</v>
      </c>
      <c r="Z6" s="26" t="n">
        <f aca="false">W6-Y6</f>
        <v>9.2328170984456</v>
      </c>
      <c r="AA6" s="26" t="n">
        <f aca="false">X6/1.024</f>
        <v>1.10164345854922</v>
      </c>
      <c r="AB6" s="26" t="n">
        <f aca="false">Y6/2.22</f>
        <v>0.0177850907902722</v>
      </c>
      <c r="AC6" s="26" t="n">
        <f aca="false">T6-VLOOKUP(M6, Beakers!$A$2:$C$151, 3, 0)</f>
        <v>3.48193901345292</v>
      </c>
      <c r="AD6" s="26" t="n">
        <f aca="false">AC6-AB6+AA6</f>
        <v>4.56579738121187</v>
      </c>
      <c r="AE6" s="26" t="n">
        <f aca="false">AC6-AB6</f>
        <v>3.46415392266264</v>
      </c>
      <c r="AF6" s="26" t="n">
        <f aca="false">X6/V6</f>
        <v>0.108878852373288</v>
      </c>
      <c r="AG6" s="26" t="n">
        <f aca="false">X6/Z6</f>
        <v>0.122181874667952</v>
      </c>
      <c r="AH6" s="26" t="n">
        <f aca="false">V6/AD6</f>
        <v>2.26924217939123</v>
      </c>
      <c r="AI6" s="26" t="n">
        <f aca="false">Z6/AD6</f>
        <v>2.02216969514206</v>
      </c>
      <c r="AJ6" s="26" t="n">
        <f aca="false">Z6/AE6</f>
        <v>2.66524447370659</v>
      </c>
      <c r="AK6" s="26" t="n">
        <f aca="false">AA6/AD6</f>
        <v>0.241281722899587</v>
      </c>
      <c r="AL6" s="26" t="n">
        <f aca="false">AA6/AE6</f>
        <v>0.318012271724482</v>
      </c>
      <c r="AM6" s="23" t="s">
        <v>42</v>
      </c>
    </row>
    <row r="7" s="23" customFormat="true" ht="14.25" hidden="false" customHeight="false" outlineLevel="0" collapsed="false">
      <c r="A7" s="20" t="n">
        <v>501</v>
      </c>
      <c r="B7" s="21" t="s">
        <v>38</v>
      </c>
      <c r="C7" s="21" t="s">
        <v>39</v>
      </c>
      <c r="D7" s="21" t="n">
        <v>6</v>
      </c>
      <c r="E7" s="21" t="s">
        <v>40</v>
      </c>
      <c r="F7" s="21" t="n">
        <v>1</v>
      </c>
      <c r="G7" s="21" t="n">
        <v>60</v>
      </c>
      <c r="H7" s="21" t="n">
        <v>62</v>
      </c>
      <c r="I7" s="22" t="str">
        <f aca="false">_xlfn.CONCAT(B7, "-", C7,"-", D7,"-", F7)</f>
        <v>M0111-B-6-1</v>
      </c>
      <c r="J7" s="23" t="str">
        <f aca="false">_xlfn.CONCAT(A7, "-", I7, ",",G7, "-",H7)</f>
        <v>501-M0111-B-6-1,60-62</v>
      </c>
      <c r="K7" s="22" t="n">
        <f aca="false">VLOOKUP(I7, 'Depth vlookup'!$G$2:$I$997,2,FALSE())+(G7/100)</f>
        <v>72.14</v>
      </c>
      <c r="L7" s="24" t="n">
        <f aca="false">K7+2/100</f>
        <v>72.16</v>
      </c>
      <c r="M7" s="21" t="n">
        <v>231</v>
      </c>
      <c r="N7" s="24" t="n">
        <f aca="false">VLOOKUP(M7,  Beakers!$A$2:$B$151, 2, 0)</f>
        <v>9.8868</v>
      </c>
      <c r="O7" s="21" t="n">
        <v>19.6347</v>
      </c>
      <c r="P7" s="25" t="n">
        <v>46039.8333333333</v>
      </c>
      <c r="Q7" s="21" t="n">
        <v>17.6806</v>
      </c>
      <c r="R7" s="22" t="s">
        <v>43</v>
      </c>
      <c r="S7" s="22" t="n">
        <v>2</v>
      </c>
      <c r="T7" s="21" t="n">
        <v>7.3865</v>
      </c>
      <c r="U7" s="22"/>
      <c r="V7" s="26" t="n">
        <f aca="false">O7-N7</f>
        <v>9.7479</v>
      </c>
      <c r="W7" s="26" t="n">
        <f aca="false">Q7-N7</f>
        <v>7.7938</v>
      </c>
      <c r="X7" s="26" t="n">
        <f aca="false">(V7-W7)/(1-35/1000)</f>
        <v>2.02497409326425</v>
      </c>
      <c r="Y7" s="26" t="n">
        <f aca="false">X7-(V7-W7)</f>
        <v>0.0708740932642487</v>
      </c>
      <c r="Z7" s="26" t="n">
        <f aca="false">W7-Y7</f>
        <v>7.72292590673575</v>
      </c>
      <c r="AA7" s="26" t="n">
        <f aca="false">X7/1.024</f>
        <v>1.97751376295337</v>
      </c>
      <c r="AB7" s="26" t="n">
        <f aca="false">Y7/2.22</f>
        <v>0.031925267236148</v>
      </c>
      <c r="AC7" s="26" t="n">
        <f aca="false">T7-VLOOKUP(M7, Beakers!$A$2:$C$151, 3, 0)</f>
        <v>2.95295739910314</v>
      </c>
      <c r="AD7" s="26" t="n">
        <f aca="false">AC7-AB7+AA7</f>
        <v>4.89854589482036</v>
      </c>
      <c r="AE7" s="26" t="n">
        <f aca="false">AC7-AB7</f>
        <v>2.92103213186699</v>
      </c>
      <c r="AF7" s="26" t="n">
        <f aca="false">X7/V7</f>
        <v>0.207734393383626</v>
      </c>
      <c r="AG7" s="26" t="n">
        <f aca="false">X7/Z7</f>
        <v>0.262202967854206</v>
      </c>
      <c r="AH7" s="26" t="n">
        <f aca="false">V7/AD7</f>
        <v>1.9899578791958</v>
      </c>
      <c r="AI7" s="26" t="n">
        <f aca="false">Z7/AD7</f>
        <v>1.57657518630209</v>
      </c>
      <c r="AJ7" s="26" t="n">
        <f aca="false">Z7/AE7</f>
        <v>2.64390309934715</v>
      </c>
      <c r="AK7" s="26" t="n">
        <f aca="false">AA7/AD7</f>
        <v>0.40369403602901</v>
      </c>
      <c r="AL7" s="26" t="n">
        <f aca="false">AA7/AE7</f>
        <v>0.676991444695075</v>
      </c>
      <c r="AM7" s="23" t="s">
        <v>42</v>
      </c>
    </row>
    <row r="8" s="23" customFormat="true" ht="14.25" hidden="false" customHeight="false" outlineLevel="0" collapsed="false">
      <c r="A8" s="20" t="n">
        <v>501</v>
      </c>
      <c r="B8" s="21" t="s">
        <v>38</v>
      </c>
      <c r="C8" s="21" t="s">
        <v>39</v>
      </c>
      <c r="D8" s="21" t="n">
        <v>12</v>
      </c>
      <c r="E8" s="21" t="s">
        <v>44</v>
      </c>
      <c r="F8" s="21" t="n">
        <v>1</v>
      </c>
      <c r="G8" s="21" t="n">
        <v>11</v>
      </c>
      <c r="H8" s="21" t="n">
        <v>13</v>
      </c>
      <c r="I8" s="22" t="str">
        <f aca="false">_xlfn.CONCAT(B8, "-", C8,"-", D8,"-", F8)</f>
        <v>M0111-B-12-1</v>
      </c>
      <c r="J8" s="23" t="str">
        <f aca="false">_xlfn.CONCAT(A8, "-", I8, ",",G8, "-",H8)</f>
        <v>501-M0111-B-12-1,11-13</v>
      </c>
      <c r="K8" s="22" t="n">
        <f aca="false">VLOOKUP(I8, 'Depth vlookup'!$G$2:$I$997,2,FALSE())+(G8/100)</f>
        <v>76.8</v>
      </c>
      <c r="L8" s="24" t="n">
        <f aca="false">K8+2/100</f>
        <v>76.82</v>
      </c>
      <c r="M8" s="21" t="n">
        <v>232</v>
      </c>
      <c r="N8" s="24" t="n">
        <f aca="false">VLOOKUP(M8,  Beakers!$A$2:$B$151, 2, 0)</f>
        <v>9.8775</v>
      </c>
      <c r="O8" s="21" t="n">
        <v>19.427</v>
      </c>
      <c r="P8" s="25" t="n">
        <v>46039.8333333333</v>
      </c>
      <c r="Q8" s="21" t="n">
        <v>17.1978</v>
      </c>
      <c r="R8" s="22" t="s">
        <v>43</v>
      </c>
      <c r="S8" s="22" t="n">
        <v>3</v>
      </c>
      <c r="T8" s="21" t="n">
        <v>7.1758</v>
      </c>
      <c r="U8" s="22"/>
      <c r="V8" s="26" t="n">
        <f aca="false">O8-N8</f>
        <v>9.5495</v>
      </c>
      <c r="W8" s="26" t="n">
        <f aca="false">Q8-N8</f>
        <v>7.3203</v>
      </c>
      <c r="X8" s="26" t="n">
        <f aca="false">(V8-W8)/(1-35/1000)</f>
        <v>2.3100518134715</v>
      </c>
      <c r="Y8" s="26" t="n">
        <f aca="false">X8-(V8-W8)</f>
        <v>0.0808518134715026</v>
      </c>
      <c r="Z8" s="26" t="n">
        <f aca="false">W8-Y8</f>
        <v>7.2394481865285</v>
      </c>
      <c r="AA8" s="26" t="n">
        <f aca="false">X8/1.024</f>
        <v>2.25590997409326</v>
      </c>
      <c r="AB8" s="26" t="n">
        <f aca="false">Y8/2.22</f>
        <v>0.0364197357979742</v>
      </c>
      <c r="AC8" s="26" t="n">
        <f aca="false">T8-VLOOKUP(M8, Beakers!$A$2:$C$151, 3, 0)</f>
        <v>2.74642780269058</v>
      </c>
      <c r="AD8" s="26" t="n">
        <f aca="false">AC8-AB8+AA8</f>
        <v>4.96591804098587</v>
      </c>
      <c r="AE8" s="26" t="n">
        <f aca="false">AC8-AB8</f>
        <v>2.71000806689261</v>
      </c>
      <c r="AF8" s="26" t="n">
        <f aca="false">X8/V8</f>
        <v>0.241902907322007</v>
      </c>
      <c r="AG8" s="26" t="n">
        <f aca="false">X8/Z8</f>
        <v>0.319092250396951</v>
      </c>
      <c r="AH8" s="26" t="n">
        <f aca="false">V8/AD8</f>
        <v>1.92300797580303</v>
      </c>
      <c r="AI8" s="26" t="n">
        <f aca="false">Z8/AD8</f>
        <v>1.45782675565287</v>
      </c>
      <c r="AJ8" s="26" t="n">
        <f aca="false">Z8/AE8</f>
        <v>2.67137514274247</v>
      </c>
      <c r="AK8" s="26" t="n">
        <f aca="false">AA8/AD8</f>
        <v>0.454278535302891</v>
      </c>
      <c r="AL8" s="26" t="n">
        <f aca="false">AA8/AE8</f>
        <v>0.832436626906417</v>
      </c>
      <c r="AM8" s="23" t="s">
        <v>42</v>
      </c>
    </row>
    <row r="9" s="23" customFormat="true" ht="14.25" hidden="false" customHeight="false" outlineLevel="0" collapsed="false">
      <c r="A9" s="20" t="n">
        <v>501</v>
      </c>
      <c r="B9" s="21" t="s">
        <v>38</v>
      </c>
      <c r="C9" s="21" t="s">
        <v>39</v>
      </c>
      <c r="D9" s="21" t="n">
        <v>9</v>
      </c>
      <c r="E9" s="21" t="s">
        <v>44</v>
      </c>
      <c r="F9" s="21" t="n">
        <v>1</v>
      </c>
      <c r="G9" s="21" t="n">
        <v>100</v>
      </c>
      <c r="H9" s="21" t="n">
        <v>102</v>
      </c>
      <c r="I9" s="22" t="str">
        <f aca="false">_xlfn.CONCAT(B9, "-", C9,"-", D9,"-", F9)</f>
        <v>M0111-B-9-1</v>
      </c>
      <c r="J9" s="23" t="str">
        <f aca="false">_xlfn.CONCAT(A9, "-", I9, ",",G9, "-",H9)</f>
        <v>501-M0111-B-9-1,100-102</v>
      </c>
      <c r="K9" s="22" t="n">
        <f aca="false">VLOOKUP(I9, 'Depth vlookup'!$G$2:$I$997,2,FALSE())+(G9/100)</f>
        <v>73.76</v>
      </c>
      <c r="L9" s="24" t="n">
        <f aca="false">K9+2/100</f>
        <v>73.78</v>
      </c>
      <c r="M9" s="21" t="n">
        <v>233</v>
      </c>
      <c r="N9" s="24" t="n">
        <f aca="false">VLOOKUP(M9,  Beakers!$A$2:$B$151, 2, 0)</f>
        <v>9.9605</v>
      </c>
      <c r="O9" s="21" t="n">
        <v>21.9857</v>
      </c>
      <c r="P9" s="25" t="n">
        <v>46039.8902777778</v>
      </c>
      <c r="Q9" s="21" t="n">
        <v>19.6592</v>
      </c>
      <c r="R9" s="22" t="s">
        <v>43</v>
      </c>
      <c r="S9" s="22" t="n">
        <v>5</v>
      </c>
      <c r="T9" s="21" t="n">
        <v>8.1061</v>
      </c>
      <c r="U9" s="22"/>
      <c r="V9" s="26" t="n">
        <f aca="false">O9-N9</f>
        <v>12.0252</v>
      </c>
      <c r="W9" s="26" t="n">
        <f aca="false">Q9-N9</f>
        <v>9.6987</v>
      </c>
      <c r="X9" s="26" t="n">
        <f aca="false">(V9-W9)/(1-35/1000)</f>
        <v>2.41088082901555</v>
      </c>
      <c r="Y9" s="26" t="n">
        <f aca="false">X9-(V9-W9)</f>
        <v>0.0843808290155441</v>
      </c>
      <c r="Z9" s="26" t="n">
        <f aca="false">W9-Y9</f>
        <v>9.61431917098446</v>
      </c>
      <c r="AA9" s="26" t="n">
        <f aca="false">X9/1.024</f>
        <v>2.3543758095855</v>
      </c>
      <c r="AB9" s="26" t="n">
        <f aca="false">Y9/2.22</f>
        <v>0.0380093824394343</v>
      </c>
      <c r="AC9" s="26" t="n">
        <f aca="false">T9-VLOOKUP(M9, Beakers!$A$2:$C$151, 3, 0)</f>
        <v>3.63950807174888</v>
      </c>
      <c r="AD9" s="26" t="n">
        <f aca="false">AC9-AB9+AA9</f>
        <v>5.95587449889494</v>
      </c>
      <c r="AE9" s="26" t="n">
        <f aca="false">AC9-AB9</f>
        <v>3.60149868930945</v>
      </c>
      <c r="AF9" s="26" t="n">
        <f aca="false">X9/V9</f>
        <v>0.200485715748224</v>
      </c>
      <c r="AG9" s="26" t="n">
        <f aca="false">X9/Z9</f>
        <v>0.250759391917367</v>
      </c>
      <c r="AH9" s="26" t="n">
        <f aca="false">V9/AD9</f>
        <v>2.0190485884535</v>
      </c>
      <c r="AI9" s="26" t="n">
        <f aca="false">Z9/AD9</f>
        <v>1.61425818706696</v>
      </c>
      <c r="AJ9" s="26" t="n">
        <f aca="false">Z9/AE9</f>
        <v>2.66953288072081</v>
      </c>
      <c r="AK9" s="26" t="n">
        <f aca="false">AA9/AD9</f>
        <v>0.395303126354044</v>
      </c>
      <c r="AL9" s="26" t="n">
        <f aca="false">AA9/AE9</f>
        <v>0.653721134641569</v>
      </c>
      <c r="AM9" s="23" t="s">
        <v>42</v>
      </c>
    </row>
    <row r="10" s="23" customFormat="true" ht="14.25" hidden="false" customHeight="false" outlineLevel="0" collapsed="false">
      <c r="A10" s="20" t="n">
        <v>501</v>
      </c>
      <c r="B10" s="21" t="s">
        <v>38</v>
      </c>
      <c r="C10" s="21" t="s">
        <v>39</v>
      </c>
      <c r="D10" s="21" t="n">
        <v>13</v>
      </c>
      <c r="E10" s="21" t="s">
        <v>44</v>
      </c>
      <c r="F10" s="21" t="n">
        <v>1</v>
      </c>
      <c r="G10" s="21" t="n">
        <v>18</v>
      </c>
      <c r="H10" s="21" t="n">
        <v>20</v>
      </c>
      <c r="I10" s="22" t="str">
        <f aca="false">_xlfn.CONCAT(B10, "-", C10,"-", D10,"-", F10)</f>
        <v>M0111-B-13-1</v>
      </c>
      <c r="J10" s="23" t="str">
        <f aca="false">_xlfn.CONCAT(A10, "-", I10, ",",G10, "-",H10)</f>
        <v>501-M0111-B-13-1,18-20</v>
      </c>
      <c r="K10" s="22" t="n">
        <f aca="false">VLOOKUP(I10, 'Depth vlookup'!$G$2:$I$997,2,FALSE())+(G10/100)</f>
        <v>79.78</v>
      </c>
      <c r="L10" s="24" t="n">
        <f aca="false">K10+2/100</f>
        <v>79.8</v>
      </c>
      <c r="M10" s="21" t="n">
        <v>234</v>
      </c>
      <c r="N10" s="24" t="n">
        <f aca="false">VLOOKUP(M10,  Beakers!$A$2:$B$151, 2, 0)</f>
        <v>10.0063</v>
      </c>
      <c r="O10" s="21" t="n">
        <v>21.0657</v>
      </c>
      <c r="P10" s="25" t="n">
        <v>46039.8902777778</v>
      </c>
      <c r="Q10" s="21" t="n">
        <v>18.7771</v>
      </c>
      <c r="R10" s="22" t="s">
        <v>43</v>
      </c>
      <c r="S10" s="22" t="n">
        <v>3</v>
      </c>
      <c r="T10" s="21" t="n">
        <v>7.7415</v>
      </c>
      <c r="U10" s="22"/>
      <c r="V10" s="26" t="n">
        <f aca="false">O10-N10</f>
        <v>11.0594</v>
      </c>
      <c r="W10" s="26" t="n">
        <f aca="false">Q10-N10</f>
        <v>8.7708</v>
      </c>
      <c r="X10" s="26" t="n">
        <f aca="false">(V10-W10)/(1-35/1000)</f>
        <v>2.37160621761658</v>
      </c>
      <c r="Y10" s="26" t="n">
        <f aca="false">X10-(V10-W10)</f>
        <v>0.0830062176165805</v>
      </c>
      <c r="Z10" s="26" t="n">
        <f aca="false">W10-Y10</f>
        <v>8.68779378238342</v>
      </c>
      <c r="AA10" s="26" t="n">
        <f aca="false">X10/1.024</f>
        <v>2.31602169689119</v>
      </c>
      <c r="AB10" s="26" t="n">
        <f aca="false">Y10/2.22</f>
        <v>0.0373901881155768</v>
      </c>
      <c r="AC10" s="26" t="n">
        <f aca="false">T10-VLOOKUP(M10, Beakers!$A$2:$C$151, 3, 0)</f>
        <v>3.25436995515695</v>
      </c>
      <c r="AD10" s="26" t="n">
        <f aca="false">AC10-AB10+AA10</f>
        <v>5.53300146393257</v>
      </c>
      <c r="AE10" s="26" t="n">
        <f aca="false">AC10-AB10</f>
        <v>3.21697976704137</v>
      </c>
      <c r="AF10" s="26" t="n">
        <f aca="false">X10/V10</f>
        <v>0.214442575331083</v>
      </c>
      <c r="AG10" s="26" t="n">
        <f aca="false">X10/Z10</f>
        <v>0.272981412430113</v>
      </c>
      <c r="AH10" s="26" t="n">
        <f aca="false">V10/AD10</f>
        <v>1.99880662820927</v>
      </c>
      <c r="AI10" s="26" t="n">
        <f aca="false">Z10/AD10</f>
        <v>1.57017738726723</v>
      </c>
      <c r="AJ10" s="26" t="n">
        <f aca="false">Z10/AE10</f>
        <v>2.70060566478897</v>
      </c>
      <c r="AK10" s="26" t="n">
        <f aca="false">AA10/AD10</f>
        <v>0.418583243107455</v>
      </c>
      <c r="AL10" s="26" t="n">
        <f aca="false">AA10/AE10</f>
        <v>0.71993666874107</v>
      </c>
      <c r="AM10" s="23" t="s">
        <v>45</v>
      </c>
    </row>
    <row r="11" s="23" customFormat="true" ht="14.25" hidden="false" customHeight="false" outlineLevel="0" collapsed="false">
      <c r="A11" s="20" t="n">
        <v>501</v>
      </c>
      <c r="B11" s="21" t="s">
        <v>38</v>
      </c>
      <c r="C11" s="21" t="s">
        <v>39</v>
      </c>
      <c r="D11" s="21" t="n">
        <v>14</v>
      </c>
      <c r="E11" s="21" t="s">
        <v>44</v>
      </c>
      <c r="F11" s="21" t="n">
        <v>1</v>
      </c>
      <c r="G11" s="21" t="n">
        <v>20</v>
      </c>
      <c r="H11" s="21" t="n">
        <v>22</v>
      </c>
      <c r="I11" s="22" t="str">
        <f aca="false">_xlfn.CONCAT(B11, "-", C11,"-", D11,"-", F11)</f>
        <v>M0111-B-14-1</v>
      </c>
      <c r="J11" s="23" t="str">
        <f aca="false">_xlfn.CONCAT(A11, "-", I11, ",",G11, "-",H11)</f>
        <v>501-M0111-B-14-1,20-22</v>
      </c>
      <c r="K11" s="22" t="n">
        <f aca="false">VLOOKUP(I11, 'Depth vlookup'!$G$2:$I$997,2,FALSE())+(G11/100)</f>
        <v>82.8</v>
      </c>
      <c r="L11" s="24" t="n">
        <f aca="false">K11+2/100</f>
        <v>82.82</v>
      </c>
      <c r="M11" s="21" t="n">
        <v>235</v>
      </c>
      <c r="N11" s="24" t="n">
        <f aca="false">VLOOKUP(M11,  Beakers!$A$2:$B$151, 2, 0)</f>
        <v>9.9943</v>
      </c>
      <c r="O11" s="21" t="n">
        <v>21.2468</v>
      </c>
      <c r="P11" s="25" t="n">
        <v>46039.8902777778</v>
      </c>
      <c r="Q11" s="21" t="n">
        <v>18.8448</v>
      </c>
      <c r="R11" s="22" t="s">
        <v>43</v>
      </c>
      <c r="S11" s="22" t="n">
        <v>5</v>
      </c>
      <c r="T11" s="21" t="n">
        <v>7.7628</v>
      </c>
      <c r="U11" s="22"/>
      <c r="V11" s="26" t="n">
        <f aca="false">O11-N11</f>
        <v>11.2525</v>
      </c>
      <c r="W11" s="26" t="n">
        <f aca="false">Q11-N11</f>
        <v>8.8505</v>
      </c>
      <c r="X11" s="26" t="n">
        <f aca="false">(V11-W11)/(1-35/1000)</f>
        <v>2.48911917098446</v>
      </c>
      <c r="Y11" s="26" t="n">
        <f aca="false">X11-(V11-W11)</f>
        <v>0.0871191709844559</v>
      </c>
      <c r="Z11" s="26" t="n">
        <f aca="false">W11-Y11</f>
        <v>8.76338082901554</v>
      </c>
      <c r="AA11" s="26" t="n">
        <f aca="false">X11/1.024</f>
        <v>2.43078044041451</v>
      </c>
      <c r="AB11" s="26" t="n">
        <f aca="false">Y11/2.22</f>
        <v>0.039242869812818</v>
      </c>
      <c r="AC11" s="26" t="n">
        <f aca="false">T11-VLOOKUP(M11, Beakers!$A$2:$C$151, 3, 0)</f>
        <v>3.28105112107623</v>
      </c>
      <c r="AD11" s="26" t="n">
        <f aca="false">AC11-AB11+AA11</f>
        <v>5.67258869167792</v>
      </c>
      <c r="AE11" s="26" t="n">
        <f aca="false">AC11-AB11</f>
        <v>3.24180825126342</v>
      </c>
      <c r="AF11" s="26" t="n">
        <f aca="false">X11/V11</f>
        <v>0.221205880558494</v>
      </c>
      <c r="AG11" s="26" t="n">
        <f aca="false">X11/Z11</f>
        <v>0.2840364032501</v>
      </c>
      <c r="AH11" s="26" t="n">
        <f aca="false">V11/AD11</f>
        <v>1.98366224163373</v>
      </c>
      <c r="AI11" s="26" t="n">
        <f aca="false">Z11/AD11</f>
        <v>1.54486448874251</v>
      </c>
      <c r="AJ11" s="26" t="n">
        <f aca="false">Z11/AE11</f>
        <v>2.7032384859901</v>
      </c>
      <c r="AK11" s="26" t="n">
        <f aca="false">AA11/AD11</f>
        <v>0.428513430557839</v>
      </c>
      <c r="AL11" s="26" t="n">
        <f aca="false">AA11/AE11</f>
        <v>0.749822399109254</v>
      </c>
      <c r="AM11" s="23" t="s">
        <v>45</v>
      </c>
    </row>
    <row r="12" s="23" customFormat="true" ht="14.25" hidden="false" customHeight="false" outlineLevel="0" collapsed="false">
      <c r="A12" s="20" t="n">
        <v>501</v>
      </c>
      <c r="B12" s="21" t="s">
        <v>38</v>
      </c>
      <c r="C12" s="21" t="s">
        <v>39</v>
      </c>
      <c r="D12" s="21" t="n">
        <v>15</v>
      </c>
      <c r="E12" s="21" t="s">
        <v>44</v>
      </c>
      <c r="F12" s="21" t="n">
        <v>1</v>
      </c>
      <c r="G12" s="21" t="n">
        <v>38</v>
      </c>
      <c r="H12" s="21" t="n">
        <v>40</v>
      </c>
      <c r="I12" s="22" t="str">
        <f aca="false">_xlfn.CONCAT(B12, "-", C12,"-", D12,"-", F12)</f>
        <v>M0111-B-15-1</v>
      </c>
      <c r="J12" s="23" t="str">
        <f aca="false">_xlfn.CONCAT(A12, "-", I12, ",",G12, "-",H12)</f>
        <v>501-M0111-B-15-1,38-40</v>
      </c>
      <c r="K12" s="22" t="n">
        <f aca="false">VLOOKUP(I12, 'Depth vlookup'!$G$2:$I$997,2,FALSE())+(G12/100)</f>
        <v>84.98</v>
      </c>
      <c r="L12" s="24" t="n">
        <f aca="false">K12+2/100</f>
        <v>85</v>
      </c>
      <c r="M12" s="21" t="n">
        <v>236</v>
      </c>
      <c r="N12" s="24" t="n">
        <f aca="false">VLOOKUP(M12,  Beakers!$A$2:$B$151, 2, 0)</f>
        <v>9.8712</v>
      </c>
      <c r="O12" s="21" t="n">
        <v>19.1161</v>
      </c>
      <c r="P12" s="25" t="n">
        <v>46039.8902777778</v>
      </c>
      <c r="Q12" s="21" t="n">
        <v>16.8369</v>
      </c>
      <c r="R12" s="22" t="s">
        <v>43</v>
      </c>
      <c r="S12" s="22" t="n">
        <v>1</v>
      </c>
      <c r="T12" s="21" t="n">
        <v>7.015</v>
      </c>
      <c r="U12" s="22"/>
      <c r="V12" s="26" t="n">
        <f aca="false">O12-N12</f>
        <v>9.2449</v>
      </c>
      <c r="W12" s="26" t="n">
        <f aca="false">Q12-N12</f>
        <v>6.9657</v>
      </c>
      <c r="X12" s="26" t="n">
        <f aca="false">(V12-W12)/(1-35/1000)</f>
        <v>2.36186528497409</v>
      </c>
      <c r="Y12" s="26" t="n">
        <f aca="false">X12-(V12-W12)</f>
        <v>0.0826652849740932</v>
      </c>
      <c r="Z12" s="26" t="n">
        <f aca="false">W12-Y12</f>
        <v>6.88303471502591</v>
      </c>
      <c r="AA12" s="26" t="n">
        <f aca="false">X12/1.024</f>
        <v>2.30650906735751</v>
      </c>
      <c r="AB12" s="26" t="n">
        <f aca="false">Y12/2.22</f>
        <v>0.0372366148531951</v>
      </c>
      <c r="AC12" s="26" t="n">
        <f aca="false">T12-VLOOKUP(M12, Beakers!$A$2:$C$151, 3, 0)</f>
        <v>2.58845291479821</v>
      </c>
      <c r="AD12" s="26" t="n">
        <f aca="false">AC12-AB12+AA12</f>
        <v>4.85772536730252</v>
      </c>
      <c r="AE12" s="26" t="n">
        <f aca="false">AC12-AB12</f>
        <v>2.55121629994501</v>
      </c>
      <c r="AF12" s="26" t="n">
        <f aca="false">X12/V12</f>
        <v>0.255477645509859</v>
      </c>
      <c r="AG12" s="26" t="n">
        <f aca="false">X12/Z12</f>
        <v>0.343143015074159</v>
      </c>
      <c r="AH12" s="26" t="n">
        <f aca="false">V12/AD12</f>
        <v>1.90313352463844</v>
      </c>
      <c r="AI12" s="26" t="n">
        <f aca="false">Z12/AD12</f>
        <v>1.41692545267293</v>
      </c>
      <c r="AJ12" s="26" t="n">
        <f aca="false">Z12/AE12</f>
        <v>2.69794243442795</v>
      </c>
      <c r="AK12" s="26" t="n">
        <f aca="false">AA12/AD12</f>
        <v>0.474812570278815</v>
      </c>
      <c r="AL12" s="26" t="n">
        <f aca="false">AA12/AE12</f>
        <v>0.904082130318479</v>
      </c>
      <c r="AM12" s="23" t="s">
        <v>45</v>
      </c>
    </row>
    <row r="13" s="23" customFormat="true" ht="14.25" hidden="false" customHeight="false" outlineLevel="0" collapsed="false">
      <c r="A13" s="20" t="n">
        <v>501</v>
      </c>
      <c r="B13" s="21" t="s">
        <v>38</v>
      </c>
      <c r="C13" s="21" t="s">
        <v>39</v>
      </c>
      <c r="D13" s="21" t="n">
        <v>16</v>
      </c>
      <c r="E13" s="21" t="s">
        <v>44</v>
      </c>
      <c r="F13" s="21" t="n">
        <v>1</v>
      </c>
      <c r="G13" s="21" t="n">
        <v>18</v>
      </c>
      <c r="H13" s="21" t="n">
        <v>20</v>
      </c>
      <c r="I13" s="22" t="str">
        <f aca="false">_xlfn.CONCAT(B13, "-", C13,"-", D13,"-", F13)</f>
        <v>M0111-B-16-1</v>
      </c>
      <c r="J13" s="23" t="str">
        <f aca="false">_xlfn.CONCAT(A13, "-", I13, ",",G13, "-",H13)</f>
        <v>501-M0111-B-16-1,18-20</v>
      </c>
      <c r="K13" s="22" t="n">
        <f aca="false">VLOOKUP(I13, 'Depth vlookup'!$G$2:$I$997,2,FALSE())+(G13/100)</f>
        <v>86.78</v>
      </c>
      <c r="L13" s="24" t="n">
        <f aca="false">K13+2/100</f>
        <v>86.8</v>
      </c>
      <c r="M13" s="21" t="n">
        <v>237</v>
      </c>
      <c r="N13" s="24" t="n">
        <f aca="false">VLOOKUP(M13,  Beakers!$A$2:$B$151, 2, 0)</f>
        <v>9.8347</v>
      </c>
      <c r="O13" s="21" t="n">
        <v>19.4148</v>
      </c>
      <c r="P13" s="25" t="n">
        <v>46041.4583333333</v>
      </c>
      <c r="Q13" s="21" t="n">
        <v>16.824</v>
      </c>
      <c r="R13" s="22" t="s">
        <v>41</v>
      </c>
      <c r="S13" s="22" t="n">
        <v>1</v>
      </c>
      <c r="T13" s="21" t="n">
        <v>7.1437</v>
      </c>
      <c r="U13" s="22"/>
      <c r="V13" s="26" t="n">
        <f aca="false">O13-N13</f>
        <v>9.5801</v>
      </c>
      <c r="W13" s="26" t="n">
        <f aca="false">Q13-N13</f>
        <v>6.9893</v>
      </c>
      <c r="X13" s="26" t="n">
        <f aca="false">(V13-W13)/(1-35/1000)</f>
        <v>2.68476683937824</v>
      </c>
      <c r="Y13" s="26" t="n">
        <f aca="false">X13-(V13-W13)</f>
        <v>0.0939668393782385</v>
      </c>
      <c r="Z13" s="26" t="n">
        <f aca="false">W13-Y13</f>
        <v>6.89533316062176</v>
      </c>
      <c r="AA13" s="26" t="n">
        <f aca="false">X13/1.024</f>
        <v>2.62184261658031</v>
      </c>
      <c r="AB13" s="26" t="n">
        <f aca="false">Y13/2.22</f>
        <v>0.0423274051253326</v>
      </c>
      <c r="AC13" s="26" t="n">
        <f aca="false">T13-VLOOKUP(M13, Beakers!$A$2:$C$151, 3, 0)</f>
        <v>2.73352062780269</v>
      </c>
      <c r="AD13" s="26" t="n">
        <f aca="false">AC13-AB13+AA13</f>
        <v>5.31303583925767</v>
      </c>
      <c r="AE13" s="26" t="n">
        <f aca="false">AC13-AB13</f>
        <v>2.69119322267736</v>
      </c>
      <c r="AF13" s="26" t="n">
        <f aca="false">X13/V13</f>
        <v>0.28024413517377</v>
      </c>
      <c r="AG13" s="26" t="n">
        <f aca="false">X13/Z13</f>
        <v>0.389359988391938</v>
      </c>
      <c r="AH13" s="26" t="n">
        <f aca="false">V13/AD13</f>
        <v>1.80313107041614</v>
      </c>
      <c r="AI13" s="26" t="n">
        <f aca="false">Z13/AD13</f>
        <v>1.29781416298242</v>
      </c>
      <c r="AJ13" s="26" t="n">
        <f aca="false">Z13/AE13</f>
        <v>2.56218435098535</v>
      </c>
      <c r="AK13" s="26" t="n">
        <f aca="false">AA13/AD13</f>
        <v>0.493473542415748</v>
      </c>
      <c r="AL13" s="26" t="n">
        <f aca="false">AA13/AE13</f>
        <v>0.97423053628678</v>
      </c>
      <c r="AM13" s="23" t="s">
        <v>45</v>
      </c>
    </row>
    <row r="14" s="23" customFormat="true" ht="14.25" hidden="false" customHeight="false" outlineLevel="0" collapsed="false">
      <c r="A14" s="20" t="n">
        <v>501</v>
      </c>
      <c r="B14" s="21" t="s">
        <v>38</v>
      </c>
      <c r="C14" s="21" t="s">
        <v>39</v>
      </c>
      <c r="D14" s="21" t="n">
        <v>17</v>
      </c>
      <c r="E14" s="21" t="s">
        <v>44</v>
      </c>
      <c r="F14" s="21" t="n">
        <v>1</v>
      </c>
      <c r="G14" s="21" t="n">
        <v>38</v>
      </c>
      <c r="H14" s="21" t="n">
        <v>40</v>
      </c>
      <c r="I14" s="22" t="str">
        <f aca="false">_xlfn.CONCAT(B14, "-", C14,"-", D14,"-", F14)</f>
        <v>M0111-B-17-1</v>
      </c>
      <c r="J14" s="23" t="str">
        <f aca="false">_xlfn.CONCAT(A14, "-", I14, ",",G14, "-",H14)</f>
        <v>501-M0111-B-17-1,38-40</v>
      </c>
      <c r="K14" s="22" t="n">
        <f aca="false">VLOOKUP(I14, 'Depth vlookup'!$G$2:$I$997,2,FALSE())+(G14/100)</f>
        <v>88.78</v>
      </c>
      <c r="L14" s="24" t="n">
        <f aca="false">K14+2/100</f>
        <v>88.8</v>
      </c>
      <c r="M14" s="21" t="n">
        <v>238</v>
      </c>
      <c r="N14" s="27" t="n">
        <f aca="false">VLOOKUP(M14,  Beakers!$A$2:$B$151, 2, 0)</f>
        <v>9.924</v>
      </c>
      <c r="O14" s="21" t="n">
        <v>18.6296</v>
      </c>
      <c r="P14" s="25" t="n">
        <v>46041.4583333333</v>
      </c>
      <c r="Q14" s="21" t="n">
        <v>15.9044</v>
      </c>
      <c r="R14" s="22" t="s">
        <v>41</v>
      </c>
      <c r="S14" s="22" t="n">
        <v>2</v>
      </c>
      <c r="T14" s="21" t="n">
        <v>6.846</v>
      </c>
      <c r="U14" s="22"/>
      <c r="V14" s="26" t="n">
        <f aca="false">O14-N14</f>
        <v>8.7056</v>
      </c>
      <c r="W14" s="26" t="n">
        <f aca="false">Q14-N14</f>
        <v>5.9804</v>
      </c>
      <c r="X14" s="26" t="n">
        <f aca="false">(V14-W14)/(1-35/1000)</f>
        <v>2.8240414507772</v>
      </c>
      <c r="Y14" s="26" t="n">
        <f aca="false">X14-(V14-W14)</f>
        <v>0.098841450777202</v>
      </c>
      <c r="Z14" s="26" t="n">
        <f aca="false">W14-Y14</f>
        <v>5.8815585492228</v>
      </c>
      <c r="AA14" s="26" t="n">
        <f aca="false">X14/1.024</f>
        <v>2.75785297927461</v>
      </c>
      <c r="AB14" s="26" t="n">
        <f aca="false">Y14/2.22</f>
        <v>0.0445231760257667</v>
      </c>
      <c r="AC14" s="26" t="n">
        <f aca="false">T14-VLOOKUP(M14, Beakers!$A$2:$C$151, 3, 0)</f>
        <v>2.39577578475336</v>
      </c>
      <c r="AD14" s="26" t="n">
        <f aca="false">AC14-AB14+AA14</f>
        <v>5.10910558800221</v>
      </c>
      <c r="AE14" s="26" t="n">
        <f aca="false">AC14-AB14</f>
        <v>2.3512526087276</v>
      </c>
      <c r="AF14" s="26" t="n">
        <f aca="false">X14/V14</f>
        <v>0.324393660491776</v>
      </c>
      <c r="AG14" s="26" t="n">
        <f aca="false">X14/Z14</f>
        <v>0.480151889527713</v>
      </c>
      <c r="AH14" s="26" t="n">
        <f aca="false">V14/AD14</f>
        <v>1.70393816491941</v>
      </c>
      <c r="AI14" s="26" t="n">
        <f aca="false">Z14/AD14</f>
        <v>1.15119142634957</v>
      </c>
      <c r="AJ14" s="26" t="n">
        <f aca="false">Z14/AE14</f>
        <v>2.50145753263222</v>
      </c>
      <c r="AK14" s="26" t="n">
        <f aca="false">AA14/AD14</f>
        <v>0.539791736884617</v>
      </c>
      <c r="AL14" s="26" t="n">
        <f aca="false">AA14/AE14</f>
        <v>1.17292925865888</v>
      </c>
      <c r="AM14" s="23" t="s">
        <v>45</v>
      </c>
    </row>
    <row r="15" s="23" customFormat="true" ht="14.25" hidden="false" customHeight="false" outlineLevel="0" collapsed="false">
      <c r="A15" s="20" t="n">
        <v>501</v>
      </c>
      <c r="B15" s="21" t="s">
        <v>38</v>
      </c>
      <c r="C15" s="21" t="s">
        <v>39</v>
      </c>
      <c r="D15" s="21" t="n">
        <v>18</v>
      </c>
      <c r="E15" s="21" t="s">
        <v>44</v>
      </c>
      <c r="F15" s="21" t="n">
        <v>1</v>
      </c>
      <c r="G15" s="21" t="n">
        <v>16</v>
      </c>
      <c r="H15" s="21" t="n">
        <v>18</v>
      </c>
      <c r="I15" s="22" t="str">
        <f aca="false">_xlfn.CONCAT(B15, "-", C15,"-", D15,"-", F15)</f>
        <v>M0111-B-18-1</v>
      </c>
      <c r="J15" s="23" t="str">
        <f aca="false">_xlfn.CONCAT(A15, "-", I15, ",",G15, "-",H15)</f>
        <v>501-M0111-B-18-1,16-18</v>
      </c>
      <c r="K15" s="22" t="n">
        <f aca="false">VLOOKUP(I15, 'Depth vlookup'!$G$2:$I$997,2,FALSE())+(G15/100)</f>
        <v>91.26</v>
      </c>
      <c r="L15" s="24" t="n">
        <f aca="false">K15+2/100</f>
        <v>91.28</v>
      </c>
      <c r="M15" s="21" t="n">
        <v>239</v>
      </c>
      <c r="N15" s="24" t="n">
        <f aca="false">VLOOKUP(M15,  Beakers!$A$2:$B$151, 2, 0)</f>
        <v>10.0279</v>
      </c>
      <c r="O15" s="21" t="n">
        <v>19.1233</v>
      </c>
      <c r="P15" s="25" t="n">
        <v>46041.4583333333</v>
      </c>
      <c r="Q15" s="21" t="n">
        <v>16.8035</v>
      </c>
      <c r="R15" s="22" t="s">
        <v>41</v>
      </c>
      <c r="S15" s="22" t="n">
        <v>5</v>
      </c>
      <c r="T15" s="21" t="n">
        <v>7.0113</v>
      </c>
      <c r="U15" s="22"/>
      <c r="V15" s="26" t="n">
        <f aca="false">O15-N15</f>
        <v>9.0954</v>
      </c>
      <c r="W15" s="26" t="n">
        <f aca="false">Q15-N15</f>
        <v>6.7756</v>
      </c>
      <c r="X15" s="26" t="n">
        <f aca="false">(V15-W15)/(1-35/1000)</f>
        <v>2.4039378238342</v>
      </c>
      <c r="Y15" s="26" t="n">
        <f aca="false">X15-(V15-W15)</f>
        <v>0.084137823834197</v>
      </c>
      <c r="Z15" s="26" t="n">
        <f aca="false">W15-Y15</f>
        <v>6.6914621761658</v>
      </c>
      <c r="AA15" s="26" t="n">
        <f aca="false">X15/1.024</f>
        <v>2.34759553108808</v>
      </c>
      <c r="AB15" s="26" t="n">
        <f aca="false">Y15/2.22</f>
        <v>0.0378999206460347</v>
      </c>
      <c r="AC15" s="26" t="n">
        <f aca="false">T15-VLOOKUP(M15, Beakers!$A$2:$C$151, 3, 0)</f>
        <v>2.51448385650224</v>
      </c>
      <c r="AD15" s="26" t="n">
        <f aca="false">AC15-AB15+AA15</f>
        <v>4.82417946694429</v>
      </c>
      <c r="AE15" s="26" t="n">
        <f aca="false">AC15-AB15</f>
        <v>2.47658393585621</v>
      </c>
      <c r="AF15" s="26" t="n">
        <f aca="false">X15/V15</f>
        <v>0.264302595139763</v>
      </c>
      <c r="AG15" s="26" t="n">
        <f aca="false">X15/Z15</f>
        <v>0.359254488861454</v>
      </c>
      <c r="AH15" s="26" t="n">
        <f aca="false">V15/AD15</f>
        <v>1.88537761961853</v>
      </c>
      <c r="AI15" s="26" t="n">
        <f aca="false">Z15/AD15</f>
        <v>1.38706742193492</v>
      </c>
      <c r="AJ15" s="26" t="n">
        <f aca="false">Z15/AE15</f>
        <v>2.7018919404613</v>
      </c>
      <c r="AK15" s="26" t="n">
        <f aca="false">AA15/AD15</f>
        <v>0.486631052425396</v>
      </c>
      <c r="AL15" s="26" t="n">
        <f aca="false">AA15/AE15</f>
        <v>0.947916804716118</v>
      </c>
      <c r="AM15" s="23" t="s">
        <v>45</v>
      </c>
    </row>
    <row r="16" s="23" customFormat="true" ht="14.25" hidden="false" customHeight="false" outlineLevel="0" collapsed="false">
      <c r="A16" s="20" t="n">
        <v>501</v>
      </c>
      <c r="B16" s="21" t="s">
        <v>38</v>
      </c>
      <c r="C16" s="21" t="s">
        <v>39</v>
      </c>
      <c r="D16" s="21" t="n">
        <v>19</v>
      </c>
      <c r="E16" s="21" t="s">
        <v>44</v>
      </c>
      <c r="F16" s="21" t="n">
        <v>1</v>
      </c>
      <c r="G16" s="21" t="n">
        <v>18</v>
      </c>
      <c r="H16" s="21" t="n">
        <v>20</v>
      </c>
      <c r="I16" s="22" t="str">
        <f aca="false">_xlfn.CONCAT(B16, "-", C16,"-", D16,"-", F16)</f>
        <v>M0111-B-19-1</v>
      </c>
      <c r="J16" s="23" t="str">
        <f aca="false">_xlfn.CONCAT(A16, "-", I16, ",",G16, "-",H16)</f>
        <v>501-M0111-B-19-1,18-20</v>
      </c>
      <c r="K16" s="22" t="n">
        <f aca="false">VLOOKUP(I16, 'Depth vlookup'!$G$2:$I$997,2,FALSE())+(G16/100)</f>
        <v>94.28</v>
      </c>
      <c r="L16" s="24" t="n">
        <f aca="false">K16+2/100</f>
        <v>94.3</v>
      </c>
      <c r="M16" s="21" t="n">
        <v>240</v>
      </c>
      <c r="N16" s="24" t="n">
        <f aca="false">VLOOKUP(M16,  Beakers!$A$2:$B$151, 2, 0)</f>
        <v>9.859</v>
      </c>
      <c r="O16" s="21" t="n">
        <v>20.2288</v>
      </c>
      <c r="P16" s="25" t="n">
        <v>46041.4583333333</v>
      </c>
      <c r="Q16" s="21" t="n">
        <v>18.8989</v>
      </c>
      <c r="R16" s="22" t="s">
        <v>41</v>
      </c>
      <c r="S16" s="22" t="n">
        <v>1</v>
      </c>
      <c r="T16" s="21" t="n">
        <v>7.7998</v>
      </c>
      <c r="U16" s="22"/>
      <c r="V16" s="26" t="n">
        <f aca="false">O16-N16</f>
        <v>10.3698</v>
      </c>
      <c r="W16" s="26" t="n">
        <f aca="false">Q16-N16</f>
        <v>9.0399</v>
      </c>
      <c r="X16" s="26" t="n">
        <f aca="false">(V16-W16)/(1-35/1000)</f>
        <v>1.37813471502591</v>
      </c>
      <c r="Y16" s="26" t="n">
        <f aca="false">X16-(V16-W16)</f>
        <v>0.0482347150259068</v>
      </c>
      <c r="Z16" s="26" t="n">
        <f aca="false">W16-Y16</f>
        <v>8.99166528497409</v>
      </c>
      <c r="AA16" s="26" t="n">
        <f aca="false">X16/1.024</f>
        <v>1.34583468264249</v>
      </c>
      <c r="AB16" s="26" t="n">
        <f aca="false">Y16/2.22</f>
        <v>0.0217273491107688</v>
      </c>
      <c r="AC16" s="26" t="n">
        <f aca="false">T16-VLOOKUP(M16, Beakers!$A$2:$C$151, 3, 0)</f>
        <v>3.37872376681614</v>
      </c>
      <c r="AD16" s="26" t="n">
        <f aca="false">AC16-AB16+AA16</f>
        <v>4.70283110034786</v>
      </c>
      <c r="AE16" s="26" t="n">
        <f aca="false">AC16-AB16</f>
        <v>3.35699641770538</v>
      </c>
      <c r="AF16" s="26" t="n">
        <f aca="false">X16/V16</f>
        <v>0.132898871243988</v>
      </c>
      <c r="AG16" s="26" t="n">
        <f aca="false">X16/Z16</f>
        <v>0.153268017808547</v>
      </c>
      <c r="AH16" s="26" t="n">
        <f aca="false">V16/AD16</f>
        <v>2.20501221046041</v>
      </c>
      <c r="AI16" s="26" t="n">
        <f aca="false">Z16/AD16</f>
        <v>1.91196857661101</v>
      </c>
      <c r="AJ16" s="26" t="n">
        <f aca="false">Z16/AE16</f>
        <v>2.67848521897447</v>
      </c>
      <c r="AK16" s="26" t="n">
        <f aca="false">AA16/AD16</f>
        <v>0.286175423681054</v>
      </c>
      <c r="AL16" s="26" t="n">
        <f aca="false">AA16/AE16</f>
        <v>0.400904414298545</v>
      </c>
      <c r="AM16" s="23" t="s">
        <v>42</v>
      </c>
    </row>
    <row r="17" s="23" customFormat="true" ht="14.25" hidden="false" customHeight="false" outlineLevel="0" collapsed="false">
      <c r="A17" s="20" t="n">
        <v>501</v>
      </c>
      <c r="B17" s="21" t="s">
        <v>38</v>
      </c>
      <c r="C17" s="21" t="s">
        <v>39</v>
      </c>
      <c r="D17" s="21" t="n">
        <v>21</v>
      </c>
      <c r="E17" s="21" t="s">
        <v>44</v>
      </c>
      <c r="F17" s="21" t="n">
        <v>1</v>
      </c>
      <c r="G17" s="21" t="n">
        <v>19</v>
      </c>
      <c r="H17" s="21" t="n">
        <v>21</v>
      </c>
      <c r="I17" s="22" t="str">
        <f aca="false">_xlfn.CONCAT(B17, "-", C17,"-", D17,"-", F17)</f>
        <v>M0111-B-21-1</v>
      </c>
      <c r="J17" s="23" t="str">
        <f aca="false">_xlfn.CONCAT(A17, "-", I17, ",",G17, "-",H17)</f>
        <v>501-M0111-B-21-1,19-21</v>
      </c>
      <c r="K17" s="22" t="n">
        <f aca="false">VLOOKUP(I17, 'Depth vlookup'!$G$2:$I$997,2,FALSE())+(G17/100)</f>
        <v>96.64</v>
      </c>
      <c r="L17" s="28" t="n">
        <f aca="false">K17+2/100</f>
        <v>96.66</v>
      </c>
      <c r="M17" s="21" t="n">
        <v>242</v>
      </c>
      <c r="N17" s="24" t="n">
        <f aca="false">VLOOKUP(M17,  Beakers!$A$2:$B$151, 2, 0)</f>
        <v>9.9348</v>
      </c>
      <c r="O17" s="21" t="n">
        <v>19.3845</v>
      </c>
      <c r="P17" s="25" t="n">
        <v>46041.5763888889</v>
      </c>
      <c r="Q17" s="21" t="n">
        <v>17.93</v>
      </c>
      <c r="R17" s="22" t="s">
        <v>41</v>
      </c>
      <c r="S17" s="22" t="n">
        <v>2</v>
      </c>
      <c r="T17" s="21" t="n">
        <v>7.4396</v>
      </c>
      <c r="U17" s="22"/>
      <c r="V17" s="26" t="n">
        <f aca="false">O17-N17</f>
        <v>9.4497</v>
      </c>
      <c r="W17" s="26" t="n">
        <f aca="false">Q17-N17</f>
        <v>7.9952</v>
      </c>
      <c r="X17" s="26" t="n">
        <f aca="false">(V17-W17)/(1-35/1000)</f>
        <v>1.50725388601036</v>
      </c>
      <c r="Y17" s="26" t="n">
        <f aca="false">X17-(V17-W17)</f>
        <v>0.0527538860103627</v>
      </c>
      <c r="Z17" s="26" t="n">
        <f aca="false">W17-Y17</f>
        <v>7.94244611398964</v>
      </c>
      <c r="AA17" s="26" t="n">
        <f aca="false">X17/1.024</f>
        <v>1.47192762305699</v>
      </c>
      <c r="AB17" s="26" t="n">
        <f aca="false">Y17/2.22</f>
        <v>0.0237630117163796</v>
      </c>
      <c r="AC17" s="26" t="n">
        <f aca="false">T17-VLOOKUP(M17, Beakers!$A$2:$C$151, 3, 0)</f>
        <v>2.98453273542601</v>
      </c>
      <c r="AD17" s="26" t="n">
        <f aca="false">AC17-AB17+AA17</f>
        <v>4.43269734676662</v>
      </c>
      <c r="AE17" s="26" t="n">
        <f aca="false">AC17-AB17</f>
        <v>2.96076972370963</v>
      </c>
      <c r="AF17" s="26" t="n">
        <f aca="false">X17/V17</f>
        <v>0.159502829297265</v>
      </c>
      <c r="AG17" s="26" t="n">
        <f aca="false">X17/Z17</f>
        <v>0.189772000260162</v>
      </c>
      <c r="AH17" s="26" t="n">
        <f aca="false">V17/AD17</f>
        <v>2.13181709933185</v>
      </c>
      <c r="AI17" s="26" t="n">
        <f aca="false">Z17/AD17</f>
        <v>1.79178624044413</v>
      </c>
      <c r="AJ17" s="26" t="n">
        <f aca="false">Z17/AE17</f>
        <v>2.68256124425588</v>
      </c>
      <c r="AK17" s="29" t="n">
        <f aca="false">AA17/AD17</f>
        <v>0.332061385632537</v>
      </c>
      <c r="AL17" s="26" t="n">
        <f aca="false">AA17/AE17</f>
        <v>0.497143567522291</v>
      </c>
      <c r="AM17" s="23" t="s">
        <v>42</v>
      </c>
    </row>
    <row r="18" s="23" customFormat="true" ht="14.25" hidden="false" customHeight="false" outlineLevel="0" collapsed="false">
      <c r="A18" s="20" t="n">
        <v>501</v>
      </c>
      <c r="B18" s="21" t="s">
        <v>38</v>
      </c>
      <c r="C18" s="21" t="s">
        <v>39</v>
      </c>
      <c r="D18" s="21" t="n">
        <v>22</v>
      </c>
      <c r="E18" s="21" t="s">
        <v>44</v>
      </c>
      <c r="F18" s="21" t="n">
        <v>1</v>
      </c>
      <c r="G18" s="21" t="n">
        <v>18</v>
      </c>
      <c r="H18" s="21" t="n">
        <v>20</v>
      </c>
      <c r="I18" s="22" t="str">
        <f aca="false">_xlfn.CONCAT(B18, "-", C18,"-", D18,"-", F18)</f>
        <v>M0111-B-22-1</v>
      </c>
      <c r="J18" s="23" t="str">
        <f aca="false">_xlfn.CONCAT(A18, "-", I18, ",",G18, "-",H18)</f>
        <v>501-M0111-B-22-1,18-20</v>
      </c>
      <c r="K18" s="22" t="n">
        <f aca="false">VLOOKUP(I18, 'Depth vlookup'!$G$2:$I$997,2,FALSE())+(G18/100)</f>
        <v>98.94</v>
      </c>
      <c r="L18" s="28" t="n">
        <f aca="false">K18+2/100</f>
        <v>98.96</v>
      </c>
      <c r="M18" s="21" t="n">
        <v>241</v>
      </c>
      <c r="N18" s="24" t="n">
        <f aca="false">VLOOKUP(M18,  Beakers!$A$2:$B$151, 2, 0)</f>
        <v>9.8089</v>
      </c>
      <c r="O18" s="21" t="n">
        <v>19.0448</v>
      </c>
      <c r="P18" s="25" t="n">
        <v>46041.5763888889</v>
      </c>
      <c r="Q18" s="21" t="n">
        <v>17.2137</v>
      </c>
      <c r="R18" s="22" t="s">
        <v>41</v>
      </c>
      <c r="S18" s="22" t="n">
        <v>3</v>
      </c>
      <c r="T18" s="21" t="n">
        <v>7.1576</v>
      </c>
      <c r="U18" s="22"/>
      <c r="V18" s="26" t="n">
        <f aca="false">O18-N18</f>
        <v>9.2359</v>
      </c>
      <c r="W18" s="26" t="n">
        <f aca="false">Q18-N18</f>
        <v>7.4048</v>
      </c>
      <c r="X18" s="26" t="n">
        <f aca="false">(V18-W18)/(1-35/1000)</f>
        <v>1.89751295336788</v>
      </c>
      <c r="Y18" s="26" t="n">
        <f aca="false">X18-(V18-W18)</f>
        <v>0.0664129533678757</v>
      </c>
      <c r="Z18" s="26" t="n">
        <f aca="false">W18-Y18</f>
        <v>7.33838704663212</v>
      </c>
      <c r="AA18" s="26" t="n">
        <f aca="false">X18/1.024</f>
        <v>1.85303999352332</v>
      </c>
      <c r="AB18" s="26" t="n">
        <f aca="false">Y18/2.22</f>
        <v>0.0299157447603044</v>
      </c>
      <c r="AC18" s="26" t="n">
        <f aca="false">T18-VLOOKUP(M18, Beakers!$A$2:$C$151, 3, 0)</f>
        <v>2.75899013452915</v>
      </c>
      <c r="AD18" s="26" t="n">
        <f aca="false">AC18-AB18+AA18</f>
        <v>4.58211438329216</v>
      </c>
      <c r="AE18" s="26" t="n">
        <f aca="false">AC18-AB18</f>
        <v>2.72907438976884</v>
      </c>
      <c r="AF18" s="26" t="n">
        <f aca="false">X18/V18</f>
        <v>0.205449707485776</v>
      </c>
      <c r="AG18" s="26" t="n">
        <f aca="false">X18/Z18</f>
        <v>0.258573572272768</v>
      </c>
      <c r="AH18" s="26" t="n">
        <f aca="false">V18/AD18</f>
        <v>2.01564151992299</v>
      </c>
      <c r="AI18" s="26" t="n">
        <f aca="false">Z18/AD18</f>
        <v>1.60152855925863</v>
      </c>
      <c r="AJ18" s="26" t="n">
        <f aca="false">Z18/AE18</f>
        <v>2.68896556068363</v>
      </c>
      <c r="AK18" s="29" t="n">
        <f aca="false">AA18/AD18</f>
        <v>0.404407188148791</v>
      </c>
      <c r="AL18" s="26" t="n">
        <f aca="false">AA18/AE18</f>
        <v>0.678999444086341</v>
      </c>
      <c r="AM18" s="23" t="s">
        <v>42</v>
      </c>
    </row>
    <row r="19" s="23" customFormat="true" ht="14.25" hidden="false" customHeight="false" outlineLevel="0" collapsed="false">
      <c r="A19" s="20" t="n">
        <v>501</v>
      </c>
      <c r="B19" s="21" t="s">
        <v>38</v>
      </c>
      <c r="C19" s="21" t="s">
        <v>39</v>
      </c>
      <c r="D19" s="21" t="n">
        <v>23</v>
      </c>
      <c r="E19" s="21" t="s">
        <v>44</v>
      </c>
      <c r="F19" s="21" t="n">
        <v>1</v>
      </c>
      <c r="G19" s="21" t="n">
        <v>18</v>
      </c>
      <c r="H19" s="21" t="n">
        <v>20</v>
      </c>
      <c r="I19" s="22" t="str">
        <f aca="false">_xlfn.CONCAT(B19, "-", C19,"-", D19,"-", F19)</f>
        <v>M0111-B-23-1</v>
      </c>
      <c r="J19" s="23" t="str">
        <f aca="false">_xlfn.CONCAT(A19, "-", I19, ",",G19, "-",H19)</f>
        <v>501-M0111-B-23-1,18-20</v>
      </c>
      <c r="K19" s="22" t="n">
        <f aca="false">VLOOKUP(I19, 'Depth vlookup'!$G$2:$I$997,2,FALSE())+(G19/100)</f>
        <v>100.67</v>
      </c>
      <c r="L19" s="28" t="n">
        <f aca="false">K19+2/100</f>
        <v>100.69</v>
      </c>
      <c r="M19" s="21" t="n">
        <v>243</v>
      </c>
      <c r="N19" s="24" t="n">
        <f aca="false">VLOOKUP(M19,  Beakers!$A$2:$B$151, 2, 0)</f>
        <v>9.8368</v>
      </c>
      <c r="O19" s="21" t="n">
        <v>20.9594</v>
      </c>
      <c r="P19" s="25" t="n">
        <v>46041.5763888889</v>
      </c>
      <c r="Q19" s="21" t="n">
        <v>17.701</v>
      </c>
      <c r="R19" s="22" t="s">
        <v>41</v>
      </c>
      <c r="S19" s="22" t="n">
        <v>2</v>
      </c>
      <c r="T19" s="21" t="n">
        <v>7.731</v>
      </c>
      <c r="U19" s="22"/>
      <c r="V19" s="26" t="n">
        <f aca="false">O19-N19</f>
        <v>11.1226</v>
      </c>
      <c r="W19" s="26" t="n">
        <f aca="false">Q19-N19</f>
        <v>7.8642</v>
      </c>
      <c r="X19" s="26" t="n">
        <f aca="false">(V19-W19)/(1-35/1000)</f>
        <v>3.37658031088083</v>
      </c>
      <c r="Y19" s="26" t="n">
        <f aca="false">X19-(V19-W19)</f>
        <v>0.118180310880829</v>
      </c>
      <c r="Z19" s="26" t="n">
        <f aca="false">W19-Y19</f>
        <v>7.74601968911917</v>
      </c>
      <c r="AA19" s="26" t="n">
        <f aca="false">X19/1.024</f>
        <v>3.29744170984456</v>
      </c>
      <c r="AB19" s="26" t="n">
        <f aca="false">Y19/2.22</f>
        <v>0.0532343742706438</v>
      </c>
      <c r="AC19" s="26" t="n">
        <f aca="false">T19-VLOOKUP(M19, Beakers!$A$2:$C$151, 3, 0)</f>
        <v>3.31987892376682</v>
      </c>
      <c r="AD19" s="26" t="n">
        <f aca="false">AC19-AB19+AA19</f>
        <v>6.56408625934073</v>
      </c>
      <c r="AE19" s="26" t="n">
        <f aca="false">AC19-AB19</f>
        <v>3.26664454949617</v>
      </c>
      <c r="AF19" s="26" t="n">
        <f aca="false">X19/V19</f>
        <v>0.303578327988135</v>
      </c>
      <c r="AG19" s="26" t="n">
        <f aca="false">X19/Z19</f>
        <v>0.435911661265709</v>
      </c>
      <c r="AH19" s="26" t="n">
        <f aca="false">V19/AD19</f>
        <v>1.69446280267455</v>
      </c>
      <c r="AI19" s="26" t="n">
        <f aca="false">Z19/AD19</f>
        <v>1.18006061820052</v>
      </c>
      <c r="AJ19" s="26" t="n">
        <f aca="false">Z19/AE19</f>
        <v>2.37124657175017</v>
      </c>
      <c r="AK19" s="29" t="n">
        <f aca="false">AA19/AD19</f>
        <v>0.502345883275419</v>
      </c>
      <c r="AL19" s="26" t="n">
        <f aca="false">AA19/AE19</f>
        <v>1.00942776597874</v>
      </c>
      <c r="AM19" s="23" t="s">
        <v>45</v>
      </c>
    </row>
    <row r="20" s="23" customFormat="true" ht="14.25" hidden="false" customHeight="false" outlineLevel="0" collapsed="false">
      <c r="A20" s="20" t="n">
        <v>501</v>
      </c>
      <c r="B20" s="21" t="s">
        <v>38</v>
      </c>
      <c r="C20" s="21" t="s">
        <v>39</v>
      </c>
      <c r="D20" s="21" t="n">
        <v>26</v>
      </c>
      <c r="E20" s="21" t="s">
        <v>44</v>
      </c>
      <c r="F20" s="21" t="n">
        <v>1</v>
      </c>
      <c r="G20" s="21" t="n">
        <v>19</v>
      </c>
      <c r="H20" s="21" t="n">
        <v>21</v>
      </c>
      <c r="I20" s="22" t="str">
        <f aca="false">_xlfn.CONCAT(B20, "-", C20,"-", D20,"-", F20)</f>
        <v>M0111-B-26-1</v>
      </c>
      <c r="J20" s="23" t="str">
        <f aca="false">_xlfn.CONCAT(A20, "-", I20, ",",G20, "-",H20)</f>
        <v>501-M0111-B-26-1,19-21</v>
      </c>
      <c r="K20" s="22" t="n">
        <f aca="false">VLOOKUP(I20, 'Depth vlookup'!$G$2:$I$997,2,FALSE())+(G20/100)</f>
        <v>106.79</v>
      </c>
      <c r="L20" s="28" t="n">
        <f aca="false">K20+2/100</f>
        <v>106.81</v>
      </c>
      <c r="M20" s="21" t="n">
        <v>245</v>
      </c>
      <c r="N20" s="24" t="n">
        <f aca="false">VLOOKUP(M20,  Beakers!$A$2:$B$151, 2, 0)</f>
        <v>9.8492</v>
      </c>
      <c r="O20" s="21" t="n">
        <v>20.6822</v>
      </c>
      <c r="P20" s="25" t="n">
        <v>46041.5763888889</v>
      </c>
      <c r="Q20" s="21" t="n">
        <v>17.9435</v>
      </c>
      <c r="R20" s="22" t="s">
        <v>41</v>
      </c>
      <c r="S20" s="22" t="n">
        <v>3</v>
      </c>
      <c r="T20" s="21" t="n">
        <v>7.4161</v>
      </c>
      <c r="U20" s="22"/>
      <c r="V20" s="26" t="n">
        <f aca="false">O20-N20</f>
        <v>10.833</v>
      </c>
      <c r="W20" s="26" t="n">
        <f aca="false">Q20-N20</f>
        <v>8.0943</v>
      </c>
      <c r="X20" s="26" t="n">
        <f aca="false">(V20-W20)/(1-35/1000)</f>
        <v>2.8380310880829</v>
      </c>
      <c r="Y20" s="26" t="n">
        <f aca="false">X20-(V20-W20)</f>
        <v>0.0993310880829017</v>
      </c>
      <c r="Z20" s="26" t="n">
        <f aca="false">W20-Y20</f>
        <v>7.9949689119171</v>
      </c>
      <c r="AA20" s="26" t="n">
        <f aca="false">X20/1.024</f>
        <v>2.77151473445596</v>
      </c>
      <c r="AB20" s="26" t="n">
        <f aca="false">Y20/2.22</f>
        <v>0.0447437333706764</v>
      </c>
      <c r="AC20" s="26" t="n">
        <f aca="false">T20-VLOOKUP(M20, Beakers!$A$2:$C$151, 3, 0)</f>
        <v>2.99941838565022</v>
      </c>
      <c r="AD20" s="26" t="n">
        <f aca="false">AC20-AB20+AA20</f>
        <v>5.72618938673551</v>
      </c>
      <c r="AE20" s="26" t="n">
        <f aca="false">AC20-AB20</f>
        <v>2.95467465227955</v>
      </c>
      <c r="AF20" s="26" t="n">
        <f aca="false">X20/V20</f>
        <v>0.261980161366464</v>
      </c>
      <c r="AG20" s="26" t="n">
        <f aca="false">X20/Z20</f>
        <v>0.354977126159003</v>
      </c>
      <c r="AH20" s="26" t="n">
        <f aca="false">V20/AD20</f>
        <v>1.89183403977071</v>
      </c>
      <c r="AI20" s="26" t="n">
        <f aca="false">Z20/AD20</f>
        <v>1.39621105275301</v>
      </c>
      <c r="AJ20" s="26" t="n">
        <f aca="false">Z20/AE20</f>
        <v>2.70587115429069</v>
      </c>
      <c r="AK20" s="26" t="n">
        <f aca="false">AA20/AD20</f>
        <v>0.484006823259473</v>
      </c>
      <c r="AL20" s="26" t="n">
        <f aca="false">AA20/AE20</f>
        <v>0.938010123151028</v>
      </c>
      <c r="AM20" s="23" t="s">
        <v>45</v>
      </c>
    </row>
    <row r="21" s="23" customFormat="true" ht="14.25" hidden="false" customHeight="false" outlineLevel="0" collapsed="false">
      <c r="A21" s="20" t="n">
        <v>501</v>
      </c>
      <c r="B21" s="21" t="s">
        <v>38</v>
      </c>
      <c r="C21" s="21" t="s">
        <v>39</v>
      </c>
      <c r="D21" s="21" t="n">
        <v>24</v>
      </c>
      <c r="E21" s="21" t="s">
        <v>44</v>
      </c>
      <c r="F21" s="21" t="n">
        <v>2</v>
      </c>
      <c r="G21" s="21" t="n">
        <v>88</v>
      </c>
      <c r="H21" s="21" t="n">
        <v>90</v>
      </c>
      <c r="I21" s="22" t="str">
        <f aca="false">_xlfn.CONCAT(B21, "-", C21,"-", D21,"-", F21)</f>
        <v>M0111-B-24-2</v>
      </c>
      <c r="J21" s="23" t="str">
        <f aca="false">_xlfn.CONCAT(A21, "-", I21, ",",G21, "-",H21)</f>
        <v>501-M0111-B-24-2,88-90</v>
      </c>
      <c r="K21" s="22" t="n">
        <f aca="false">VLOOKUP(I21, 'Depth vlookup'!$G$2:$I$997,2,FALSE())+(G21/100)</f>
        <v>103.79</v>
      </c>
      <c r="L21" s="28" t="n">
        <f aca="false">K21+2/100</f>
        <v>103.81</v>
      </c>
      <c r="M21" s="21" t="n">
        <v>246</v>
      </c>
      <c r="N21" s="24" t="n">
        <f aca="false">VLOOKUP(M21,  Beakers!$A$2:$B$151, 2, 0)</f>
        <v>9.7553</v>
      </c>
      <c r="O21" s="21" t="n">
        <v>19.7868</v>
      </c>
      <c r="P21" s="25" t="n">
        <v>46041.6590277778</v>
      </c>
      <c r="Q21" s="21" t="n">
        <v>17.5724</v>
      </c>
      <c r="R21" s="22" t="s">
        <v>41</v>
      </c>
      <c r="S21" s="22" t="n">
        <v>5</v>
      </c>
      <c r="T21" s="21" t="n">
        <v>7.3013</v>
      </c>
      <c r="U21" s="22"/>
      <c r="V21" s="26" t="n">
        <f aca="false">O21-N21</f>
        <v>10.0315</v>
      </c>
      <c r="W21" s="26" t="n">
        <f aca="false">Q21-N21</f>
        <v>7.8171</v>
      </c>
      <c r="X21" s="26" t="n">
        <f aca="false">(V21-W21)/(1-35/1000)</f>
        <v>2.29471502590674</v>
      </c>
      <c r="Y21" s="26" t="n">
        <f aca="false">X21-(V21-W21)</f>
        <v>0.080315025906736</v>
      </c>
      <c r="Z21" s="26" t="n">
        <f aca="false">W21-Y21</f>
        <v>7.73678497409326</v>
      </c>
      <c r="AA21" s="26" t="n">
        <f aca="false">X21/1.024</f>
        <v>2.24093264248705</v>
      </c>
      <c r="AB21" s="26" t="n">
        <f aca="false">Y21/2.22</f>
        <v>0.0361779395976288</v>
      </c>
      <c r="AC21" s="26" t="n">
        <f aca="false">T21-VLOOKUP(M21, Beakers!$A$2:$C$151, 3, 0)</f>
        <v>2.92672600896861</v>
      </c>
      <c r="AD21" s="26" t="n">
        <f aca="false">AC21-AB21+AA21</f>
        <v>5.13148071185803</v>
      </c>
      <c r="AE21" s="26" t="n">
        <f aca="false">AC21-AB21</f>
        <v>2.89054806937098</v>
      </c>
      <c r="AF21" s="26" t="n">
        <f aca="false">X21/V21</f>
        <v>0.228750937138687</v>
      </c>
      <c r="AG21" s="26" t="n">
        <f aca="false">X21/Z21</f>
        <v>0.296598009843963</v>
      </c>
      <c r="AH21" s="26" t="n">
        <f aca="false">V21/AD21</f>
        <v>1.95489383343463</v>
      </c>
      <c r="AI21" s="26" t="n">
        <f aca="false">Z21/AD21</f>
        <v>1.50771003702982</v>
      </c>
      <c r="AJ21" s="26" t="n">
        <f aca="false">Z21/AE21</f>
        <v>2.67658063052966</v>
      </c>
      <c r="AK21" s="26" t="n">
        <f aca="false">AA21/AD21</f>
        <v>0.436702926176574</v>
      </c>
      <c r="AL21" s="26" t="n">
        <f aca="false">AA21/AE21</f>
        <v>0.775262195509761</v>
      </c>
      <c r="AM21" s="23" t="s">
        <v>45</v>
      </c>
    </row>
    <row r="22" s="23" customFormat="true" ht="14.25" hidden="false" customHeight="false" outlineLevel="0" collapsed="false">
      <c r="A22" s="20" t="n">
        <v>501</v>
      </c>
      <c r="B22" s="21" t="s">
        <v>38</v>
      </c>
      <c r="C22" s="21" t="s">
        <v>39</v>
      </c>
      <c r="D22" s="21" t="n">
        <v>27</v>
      </c>
      <c r="E22" s="21" t="s">
        <v>44</v>
      </c>
      <c r="F22" s="21" t="n">
        <v>1</v>
      </c>
      <c r="G22" s="21" t="n">
        <v>20</v>
      </c>
      <c r="H22" s="21" t="n">
        <v>22</v>
      </c>
      <c r="I22" s="22" t="str">
        <f aca="false">_xlfn.CONCAT(B22, "-", C22,"-", D22,"-", F22)</f>
        <v>M0111-B-27-1</v>
      </c>
      <c r="J22" s="23" t="str">
        <f aca="false">_xlfn.CONCAT(A22, "-", I22, ",",G22, "-",H22)</f>
        <v>501-M0111-B-27-1,20-22</v>
      </c>
      <c r="K22" s="22" t="n">
        <f aca="false">VLOOKUP(I22, 'Depth vlookup'!$G$2:$I$997,2,FALSE())+(G22/100)</f>
        <v>109.8</v>
      </c>
      <c r="L22" s="28" t="n">
        <f aca="false">K22+2/100</f>
        <v>109.82</v>
      </c>
      <c r="M22" s="21" t="n">
        <v>247</v>
      </c>
      <c r="N22" s="24" t="n">
        <f aca="false">VLOOKUP(M22,  Beakers!$A$2:$B$151, 2, 0)</f>
        <v>9.8389</v>
      </c>
      <c r="O22" s="21" t="n">
        <v>20.2407</v>
      </c>
      <c r="P22" s="25" t="n">
        <v>46041.6590277778</v>
      </c>
      <c r="Q22" s="21" t="n">
        <v>17.0829</v>
      </c>
      <c r="R22" s="22" t="s">
        <v>41</v>
      </c>
      <c r="S22" s="22" t="n">
        <v>1</v>
      </c>
      <c r="T22" s="21" t="n">
        <v>7.0951</v>
      </c>
      <c r="U22" s="22"/>
      <c r="V22" s="26" t="n">
        <f aca="false">O22-N22</f>
        <v>10.4018</v>
      </c>
      <c r="W22" s="26" t="n">
        <f aca="false">Q22-N22</f>
        <v>7.244</v>
      </c>
      <c r="X22" s="26" t="n">
        <f aca="false">(V22-W22)/(1-35/1000)</f>
        <v>3.27233160621762</v>
      </c>
      <c r="Y22" s="26" t="n">
        <f aca="false">X22-(V22-W22)</f>
        <v>0.114531606217617</v>
      </c>
      <c r="Z22" s="26" t="n">
        <f aca="false">W22-Y22</f>
        <v>7.12946839378238</v>
      </c>
      <c r="AA22" s="26" t="n">
        <f aca="false">X22/1.024</f>
        <v>3.19563633419689</v>
      </c>
      <c r="AB22" s="26" t="n">
        <f aca="false">Y22/2.22</f>
        <v>0.0515908136115392</v>
      </c>
      <c r="AC22" s="26" t="n">
        <f aca="false">T22-VLOOKUP(M22, Beakers!$A$2:$C$151, 3, 0)</f>
        <v>2.68303721973094</v>
      </c>
      <c r="AD22" s="26" t="n">
        <f aca="false">AC22-AB22+AA22</f>
        <v>5.8270827403163</v>
      </c>
      <c r="AE22" s="26" t="n">
        <f aca="false">AC22-AB22</f>
        <v>2.6314464061194</v>
      </c>
      <c r="AF22" s="26" t="n">
        <f aca="false">X22/V22</f>
        <v>0.314592821071124</v>
      </c>
      <c r="AG22" s="26" t="n">
        <f aca="false">X22/Z22</f>
        <v>0.458986761070632</v>
      </c>
      <c r="AH22" s="26" t="n">
        <f aca="false">V22/AD22</f>
        <v>1.78507847984245</v>
      </c>
      <c r="AI22" s="26" t="n">
        <f aca="false">Z22/AD22</f>
        <v>1.22350560503546</v>
      </c>
      <c r="AJ22" s="26" t="n">
        <f aca="false">Z22/AE22</f>
        <v>2.70933444709452</v>
      </c>
      <c r="AK22" s="29" t="n">
        <f aca="false">AA22/AD22</f>
        <v>0.548411010553702</v>
      </c>
      <c r="AL22" s="26" t="n">
        <f aca="false">AA22/AE22</f>
        <v>1.21440297121973</v>
      </c>
      <c r="AM22" s="23" t="s">
        <v>45</v>
      </c>
    </row>
    <row r="23" s="23" customFormat="true" ht="14.25" hidden="false" customHeight="false" outlineLevel="0" collapsed="false">
      <c r="A23" s="20" t="n">
        <v>501</v>
      </c>
      <c r="B23" s="21" t="s">
        <v>38</v>
      </c>
      <c r="C23" s="21" t="s">
        <v>39</v>
      </c>
      <c r="D23" s="21" t="n">
        <v>28</v>
      </c>
      <c r="E23" s="21" t="s">
        <v>44</v>
      </c>
      <c r="F23" s="21" t="n">
        <v>1</v>
      </c>
      <c r="G23" s="21" t="n">
        <v>24</v>
      </c>
      <c r="H23" s="21" t="n">
        <v>26</v>
      </c>
      <c r="I23" s="22" t="str">
        <f aca="false">_xlfn.CONCAT(B23, "-", C23,"-", D23,"-", F23)</f>
        <v>M0111-B-28-1</v>
      </c>
      <c r="J23" s="23" t="str">
        <f aca="false">_xlfn.CONCAT(A23, "-", I23, ",",G23, "-",H23)</f>
        <v>501-M0111-B-28-1,24-26</v>
      </c>
      <c r="K23" s="22" t="n">
        <f aca="false">VLOOKUP(I23, 'Depth vlookup'!$G$2:$I$997,2,FALSE())+(G23/100)</f>
        <v>112.54</v>
      </c>
      <c r="L23" s="28" t="n">
        <f aca="false">K23+2/100</f>
        <v>112.56</v>
      </c>
      <c r="M23" s="21" t="n">
        <v>248</v>
      </c>
      <c r="N23" s="24" t="n">
        <f aca="false">VLOOKUP(M23,  Beakers!$A$2:$B$151, 2, 0)</f>
        <v>9.6745</v>
      </c>
      <c r="O23" s="21" t="n">
        <v>19.6971</v>
      </c>
      <c r="P23" s="25" t="n">
        <v>46041.6590277778</v>
      </c>
      <c r="Q23" s="21" t="n">
        <v>17.3764</v>
      </c>
      <c r="R23" s="22" t="s">
        <v>41</v>
      </c>
      <c r="S23" s="22" t="n">
        <v>5</v>
      </c>
      <c r="T23" s="21" t="n">
        <v>7.2108</v>
      </c>
      <c r="U23" s="22"/>
      <c r="V23" s="26" t="n">
        <f aca="false">O23-N23</f>
        <v>10.0226</v>
      </c>
      <c r="W23" s="26" t="n">
        <f aca="false">Q23-N23</f>
        <v>7.7019</v>
      </c>
      <c r="X23" s="26" t="n">
        <f aca="false">(V23-W23)/(1-35/1000)</f>
        <v>2.40487046632124</v>
      </c>
      <c r="Y23" s="26" t="n">
        <f aca="false">X23-(V23-W23)</f>
        <v>0.0841704663212437</v>
      </c>
      <c r="Z23" s="26" t="n">
        <f aca="false">W23-Y23</f>
        <v>7.61772953367876</v>
      </c>
      <c r="AA23" s="26" t="n">
        <f aca="false">X23/1.024</f>
        <v>2.34850631476684</v>
      </c>
      <c r="AB23" s="26" t="n">
        <f aca="false">Y23/2.22</f>
        <v>0.0379146244690287</v>
      </c>
      <c r="AC23" s="26" t="n">
        <f aca="false">T23-VLOOKUP(M23, Beakers!$A$2:$C$151, 3, 0)</f>
        <v>2.87245919282511</v>
      </c>
      <c r="AD23" s="26" t="n">
        <f aca="false">AC23-AB23+AA23</f>
        <v>5.18305088312292</v>
      </c>
      <c r="AE23" s="26" t="n">
        <f aca="false">AC23-AB23</f>
        <v>2.83454456835608</v>
      </c>
      <c r="AF23" s="26" t="n">
        <f aca="false">X23/V23</f>
        <v>0.23994477144865</v>
      </c>
      <c r="AG23" s="26" t="n">
        <f aca="false">X23/Z23</f>
        <v>0.31569386333409</v>
      </c>
      <c r="AH23" s="26" t="n">
        <f aca="false">V23/AD23</f>
        <v>1.93372595137656</v>
      </c>
      <c r="AI23" s="26" t="n">
        <f aca="false">Z23/AD23</f>
        <v>1.46973851992919</v>
      </c>
      <c r="AJ23" s="26" t="n">
        <f aca="false">Z23/AE23</f>
        <v>2.6874615480457</v>
      </c>
      <c r="AK23" s="26" t="n">
        <f aca="false">AA23/AD23</f>
        <v>0.453112726022825</v>
      </c>
      <c r="AL23" s="26" t="n">
        <f aca="false">AA23/AE23</f>
        <v>0.828530389320664</v>
      </c>
      <c r="AM23" s="23" t="s">
        <v>45</v>
      </c>
    </row>
    <row r="24" s="23" customFormat="true" ht="14.25" hidden="false" customHeight="false" outlineLevel="0" collapsed="false">
      <c r="A24" s="20" t="n">
        <v>501</v>
      </c>
      <c r="B24" s="21" t="s">
        <v>38</v>
      </c>
      <c r="C24" s="21" t="s">
        <v>39</v>
      </c>
      <c r="D24" s="21" t="n">
        <v>29</v>
      </c>
      <c r="E24" s="21" t="s">
        <v>44</v>
      </c>
      <c r="F24" s="21" t="n">
        <v>1</v>
      </c>
      <c r="G24" s="21" t="n">
        <v>22</v>
      </c>
      <c r="H24" s="21" t="n">
        <v>24</v>
      </c>
      <c r="I24" s="22" t="str">
        <f aca="false">_xlfn.CONCAT(B24, "-", C24,"-", D24,"-", F24)</f>
        <v>M0111-B-29-1</v>
      </c>
      <c r="J24" s="23" t="str">
        <f aca="false">_xlfn.CONCAT(A24, "-", I24, ",",G24, "-",H24)</f>
        <v>501-M0111-B-29-1,22-24</v>
      </c>
      <c r="K24" s="22" t="n">
        <f aca="false">VLOOKUP(I24, 'Depth vlookup'!$G$2:$I$997,2,FALSE())+(G24/100)</f>
        <v>115.52</v>
      </c>
      <c r="L24" s="28" t="n">
        <f aca="false">K24+2/100</f>
        <v>115.54</v>
      </c>
      <c r="M24" s="21" t="n">
        <v>249</v>
      </c>
      <c r="N24" s="24" t="n">
        <f aca="false">VLOOKUP(M24,  Beakers!$A$2:$B$151, 2, 0)</f>
        <v>9.9565</v>
      </c>
      <c r="O24" s="21" t="n">
        <v>19.1213</v>
      </c>
      <c r="P24" s="25" t="n">
        <v>46041.6590277778</v>
      </c>
      <c r="Q24" s="21" t="n">
        <v>16.951</v>
      </c>
      <c r="R24" s="22" t="s">
        <v>41</v>
      </c>
      <c r="S24" s="22" t="n">
        <v>3</v>
      </c>
      <c r="T24" s="21" t="n">
        <v>7.0659</v>
      </c>
      <c r="U24" s="22"/>
      <c r="V24" s="26" t="n">
        <f aca="false">O24-N24</f>
        <v>9.1648</v>
      </c>
      <c r="W24" s="26" t="n">
        <f aca="false">Q24-N24</f>
        <v>6.9945</v>
      </c>
      <c r="X24" s="26" t="n">
        <f aca="false">(V24-W24)/(1-35/1000)</f>
        <v>2.24901554404145</v>
      </c>
      <c r="Y24" s="26" t="n">
        <f aca="false">X24-(V24-W24)</f>
        <v>0.0787155440414509</v>
      </c>
      <c r="Z24" s="26" t="n">
        <f aca="false">W24-Y24</f>
        <v>6.91578445595855</v>
      </c>
      <c r="AA24" s="26" t="n">
        <f aca="false">X24/1.024</f>
        <v>2.19630424222798</v>
      </c>
      <c r="AB24" s="26" t="n">
        <f aca="false">Y24/2.22</f>
        <v>0.0354574522709238</v>
      </c>
      <c r="AC24" s="26" t="n">
        <f aca="false">T24-VLOOKUP(M24, Beakers!$A$2:$C$151, 3, 0)</f>
        <v>2.60110179372197</v>
      </c>
      <c r="AD24" s="26" t="n">
        <f aca="false">AC24-AB24+AA24</f>
        <v>4.76194858367903</v>
      </c>
      <c r="AE24" s="26" t="n">
        <f aca="false">AC24-AB24</f>
        <v>2.56564434145105</v>
      </c>
      <c r="AF24" s="26" t="n">
        <f aca="false">X24/V24</f>
        <v>0.245397122036646</v>
      </c>
      <c r="AG24" s="26" t="n">
        <f aca="false">X24/Z24</f>
        <v>0.325200352666245</v>
      </c>
      <c r="AH24" s="26" t="n">
        <f aca="false">V24/AD24</f>
        <v>1.92459028881815</v>
      </c>
      <c r="AI24" s="26" t="n">
        <f aca="false">Z24/AD24</f>
        <v>1.4523013708425</v>
      </c>
      <c r="AJ24" s="26" t="n">
        <f aca="false">Z24/AE24</f>
        <v>2.69553513097111</v>
      </c>
      <c r="AK24" s="26" t="n">
        <f aca="false">AA24/AD24</f>
        <v>0.461219646460597</v>
      </c>
      <c r="AL24" s="26" t="n">
        <f aca="false">AA24/AE24</f>
        <v>0.856043921109431</v>
      </c>
      <c r="AM24" s="23" t="s">
        <v>45</v>
      </c>
    </row>
    <row r="25" s="23" customFormat="true" ht="14.25" hidden="false" customHeight="false" outlineLevel="0" collapsed="false">
      <c r="A25" s="20" t="n">
        <v>501</v>
      </c>
      <c r="B25" s="21" t="s">
        <v>38</v>
      </c>
      <c r="C25" s="21" t="s">
        <v>39</v>
      </c>
      <c r="D25" s="21" t="n">
        <v>30</v>
      </c>
      <c r="E25" s="21" t="s">
        <v>44</v>
      </c>
      <c r="F25" s="21" t="n">
        <v>1</v>
      </c>
      <c r="G25" s="21" t="n">
        <v>18</v>
      </c>
      <c r="H25" s="21" t="n">
        <v>20</v>
      </c>
      <c r="I25" s="22" t="str">
        <f aca="false">_xlfn.CONCAT(B25, "-", C25,"-", D25,"-", F25)</f>
        <v>M0111-B-30-1</v>
      </c>
      <c r="J25" s="23" t="str">
        <f aca="false">_xlfn.CONCAT(A25, "-", I25, ",",G25, "-",H25)</f>
        <v>501-M0111-B-30-1,18-20</v>
      </c>
      <c r="K25" s="22" t="n">
        <f aca="false">VLOOKUP(I25, 'Depth vlookup'!$G$2:$I$997,2,FALSE())+(G25/100)</f>
        <v>118.48</v>
      </c>
      <c r="L25" s="28" t="n">
        <f aca="false">K25+2/100</f>
        <v>118.5</v>
      </c>
      <c r="M25" s="21" t="n">
        <v>1</v>
      </c>
      <c r="N25" s="24" t="n">
        <f aca="false">VLOOKUP(M25,  Beakers!$A$2:$B$151, 2, 0)</f>
        <v>9.8663</v>
      </c>
      <c r="O25" s="21" t="n">
        <v>18.7526</v>
      </c>
      <c r="P25" s="25" t="n">
        <v>46041.7534722222</v>
      </c>
      <c r="Q25" s="21" t="n">
        <v>16.6469</v>
      </c>
      <c r="R25" s="22" t="s">
        <v>41</v>
      </c>
      <c r="S25" s="22" t="n">
        <v>5</v>
      </c>
      <c r="T25" s="21" t="n">
        <v>6.9597</v>
      </c>
      <c r="U25" s="22"/>
      <c r="V25" s="26" t="n">
        <f aca="false">O25-N25</f>
        <v>8.8863</v>
      </c>
      <c r="W25" s="26" t="n">
        <f aca="false">Q25-N25</f>
        <v>6.7806</v>
      </c>
      <c r="X25" s="26" t="n">
        <f aca="false">(V25-W25)/(1-35/1000)</f>
        <v>2.18207253886011</v>
      </c>
      <c r="Y25" s="26" t="n">
        <f aca="false">X25-(V25-W25)</f>
        <v>0.0763725388601038</v>
      </c>
      <c r="Z25" s="26" t="n">
        <f aca="false">W25-Y25</f>
        <v>6.70422746113989</v>
      </c>
      <c r="AA25" s="26" t="n">
        <f aca="false">X25/1.024</f>
        <v>2.13093021373057</v>
      </c>
      <c r="AB25" s="26" t="n">
        <f aca="false">Y25/2.22</f>
        <v>0.0344020445315783</v>
      </c>
      <c r="AC25" s="26" t="n">
        <f aca="false">T25-VLOOKUP(M25, Beakers!$A$2:$C$151, 3, 0)</f>
        <v>2.53535022421525</v>
      </c>
      <c r="AD25" s="26" t="n">
        <f aca="false">AC25-AB25+AA25</f>
        <v>4.63187839341424</v>
      </c>
      <c r="AE25" s="26" t="n">
        <f aca="false">AC25-AB25</f>
        <v>2.50094817968367</v>
      </c>
      <c r="AF25" s="26" t="n">
        <f aca="false">X25/V25</f>
        <v>0.245554678421852</v>
      </c>
      <c r="AG25" s="26" t="n">
        <f aca="false">X25/Z25</f>
        <v>0.325477104037442</v>
      </c>
      <c r="AH25" s="26" t="n">
        <f aca="false">V25/AD25</f>
        <v>1.91850891695146</v>
      </c>
      <c r="AI25" s="26" t="n">
        <f aca="false">Z25/AD25</f>
        <v>1.44741007679998</v>
      </c>
      <c r="AJ25" s="26" t="n">
        <f aca="false">Z25/AE25</f>
        <v>2.68067428009959</v>
      </c>
      <c r="AK25" s="26" t="n">
        <f aca="false">AA25/AD25</f>
        <v>0.460057461085421</v>
      </c>
      <c r="AL25" s="26" t="n">
        <f aca="false">AA25/AE25</f>
        <v>0.852048927299287</v>
      </c>
      <c r="AM25" s="23" t="s">
        <v>45</v>
      </c>
    </row>
    <row r="26" s="23" customFormat="true" ht="14.25" hidden="false" customHeight="false" outlineLevel="0" collapsed="false">
      <c r="A26" s="20" t="n">
        <v>501</v>
      </c>
      <c r="B26" s="21" t="s">
        <v>38</v>
      </c>
      <c r="C26" s="21" t="s">
        <v>39</v>
      </c>
      <c r="D26" s="21" t="n">
        <v>31</v>
      </c>
      <c r="E26" s="21" t="s">
        <v>44</v>
      </c>
      <c r="F26" s="21" t="n">
        <v>1</v>
      </c>
      <c r="G26" s="21" t="n">
        <v>13</v>
      </c>
      <c r="H26" s="21" t="n">
        <v>15</v>
      </c>
      <c r="I26" s="22" t="str">
        <f aca="false">_xlfn.CONCAT(B26, "-", C26,"-", D26,"-", F26)</f>
        <v>M0111-B-31-1</v>
      </c>
      <c r="J26" s="23" t="str">
        <f aca="false">_xlfn.CONCAT(A26, "-", I26, ",",G26, "-",H26)</f>
        <v>501-M0111-B-31-1,13-15</v>
      </c>
      <c r="K26" s="22" t="n">
        <f aca="false">VLOOKUP(I26, 'Depth vlookup'!$G$2:$I$997,2,FALSE())+(G26/100)</f>
        <v>121.43</v>
      </c>
      <c r="L26" s="28" t="n">
        <f aca="false">K26+2/100</f>
        <v>121.45</v>
      </c>
      <c r="M26" s="21" t="n">
        <v>2</v>
      </c>
      <c r="N26" s="24" t="n">
        <f aca="false">VLOOKUP(M26,  Beakers!$A$2:$B$151, 2, 0)</f>
        <v>9.4933</v>
      </c>
      <c r="O26" s="21" t="n">
        <v>17.0763</v>
      </c>
      <c r="P26" s="25" t="n">
        <v>46041.7534722222</v>
      </c>
      <c r="Q26" s="21" t="n">
        <v>15.0303</v>
      </c>
      <c r="R26" s="22" t="s">
        <v>41</v>
      </c>
      <c r="S26" s="22" t="n">
        <v>1</v>
      </c>
      <c r="T26" s="21" t="n">
        <v>6.3129</v>
      </c>
      <c r="U26" s="22"/>
      <c r="V26" s="26" t="n">
        <f aca="false">O26-N26</f>
        <v>7.583</v>
      </c>
      <c r="W26" s="26" t="n">
        <f aca="false">Q26-N26</f>
        <v>5.537</v>
      </c>
      <c r="X26" s="26" t="n">
        <f aca="false">(V26-W26)/(1-35/1000)</f>
        <v>2.12020725388601</v>
      </c>
      <c r="Y26" s="26" t="n">
        <f aca="false">X26-(V26-W26)</f>
        <v>0.0742072538860104</v>
      </c>
      <c r="Z26" s="26" t="n">
        <f aca="false">W26-Y26</f>
        <v>5.46279274611399</v>
      </c>
      <c r="AA26" s="26" t="n">
        <f aca="false">X26/1.024</f>
        <v>2.07051489637306</v>
      </c>
      <c r="AB26" s="26" t="n">
        <f aca="false">Y26/2.22</f>
        <v>0.0334266909396443</v>
      </c>
      <c r="AC26" s="26" t="n">
        <f aca="false">T26-VLOOKUP(M26, Beakers!$A$2:$C$151, 3, 0)</f>
        <v>2.05581479820628</v>
      </c>
      <c r="AD26" s="26" t="n">
        <f aca="false">AC26-AB26+AA26</f>
        <v>4.09290300363969</v>
      </c>
      <c r="AE26" s="26" t="n">
        <f aca="false">AC26-AB26</f>
        <v>2.02238810726663</v>
      </c>
      <c r="AF26" s="26" t="n">
        <f aca="false">X26/V26</f>
        <v>0.279600059855731</v>
      </c>
      <c r="AG26" s="26" t="n">
        <f aca="false">X26/Z26</f>
        <v>0.388117827716279</v>
      </c>
      <c r="AH26" s="26" t="n">
        <f aca="false">V26/AD26</f>
        <v>1.85271920523322</v>
      </c>
      <c r="AI26" s="26" t="n">
        <f aca="false">Z26/AD26</f>
        <v>1.33469880455415</v>
      </c>
      <c r="AJ26" s="26" t="n">
        <f aca="false">Z26/AE26</f>
        <v>2.70115944930929</v>
      </c>
      <c r="AK26" s="26" t="n">
        <f aca="false">AA26/AD26</f>
        <v>0.505879297538156</v>
      </c>
      <c r="AL26" s="26" t="n">
        <f aca="false">AA26/AE26</f>
        <v>1.02379700955197</v>
      </c>
      <c r="AM26" s="23" t="s">
        <v>45</v>
      </c>
    </row>
    <row r="27" s="23" customFormat="true" ht="14.25" hidden="false" customHeight="false" outlineLevel="0" collapsed="false">
      <c r="A27" s="20" t="n">
        <v>501</v>
      </c>
      <c r="B27" s="21" t="s">
        <v>38</v>
      </c>
      <c r="C27" s="21" t="s">
        <v>39</v>
      </c>
      <c r="D27" s="21" t="n">
        <v>32</v>
      </c>
      <c r="E27" s="21" t="s">
        <v>44</v>
      </c>
      <c r="F27" s="21" t="n">
        <v>1</v>
      </c>
      <c r="G27" s="21" t="n">
        <v>18</v>
      </c>
      <c r="H27" s="21" t="n">
        <v>20</v>
      </c>
      <c r="I27" s="22" t="str">
        <f aca="false">_xlfn.CONCAT(B27, "-", C27,"-", D27,"-", F27)</f>
        <v>M0111-B-32-1</v>
      </c>
      <c r="J27" s="23" t="str">
        <f aca="false">_xlfn.CONCAT(A27, "-", I27, ",",G27, "-",H27)</f>
        <v>501-M0111-B-32-1,18-20</v>
      </c>
      <c r="K27" s="22" t="n">
        <f aca="false">VLOOKUP(I27, 'Depth vlookup'!$G$2:$I$997,2,FALSE())+(G27/100)</f>
        <v>124.48</v>
      </c>
      <c r="L27" s="28" t="n">
        <f aca="false">K27+2/100</f>
        <v>124.5</v>
      </c>
      <c r="M27" s="21" t="n">
        <v>3</v>
      </c>
      <c r="N27" s="24" t="n">
        <f aca="false">VLOOKUP(M27,  Beakers!$A$2:$B$151, 2, 0)</f>
        <v>9.7539</v>
      </c>
      <c r="O27" s="30" t="n">
        <v>19.704</v>
      </c>
      <c r="P27" s="25" t="n">
        <v>46041.7534722222</v>
      </c>
      <c r="Q27" s="21" t="n">
        <v>17.4597</v>
      </c>
      <c r="R27" s="22" t="s">
        <v>41</v>
      </c>
      <c r="S27" s="22" t="n">
        <v>2</v>
      </c>
      <c r="T27" s="21" t="n">
        <v>7.2326</v>
      </c>
      <c r="U27" s="22"/>
      <c r="V27" s="26" t="n">
        <f aca="false">O27-N27</f>
        <v>9.9501</v>
      </c>
      <c r="W27" s="26" t="n">
        <f aca="false">Q27-N27</f>
        <v>7.7058</v>
      </c>
      <c r="X27" s="26" t="n">
        <f aca="false">(V27-W27)/(1-35/1000)</f>
        <v>2.32569948186528</v>
      </c>
      <c r="Y27" s="26" t="n">
        <f aca="false">X27-(V27-W27)</f>
        <v>0.0813994818652852</v>
      </c>
      <c r="Z27" s="26" t="n">
        <f aca="false">W27-Y27</f>
        <v>7.62440051813472</v>
      </c>
      <c r="AA27" s="26" t="n">
        <f aca="false">X27/1.024</f>
        <v>2.27119090025907</v>
      </c>
      <c r="AB27" s="26" t="n">
        <f aca="false">Y27/2.22</f>
        <v>0.036666433272651</v>
      </c>
      <c r="AC27" s="26" t="n">
        <f aca="false">T27-VLOOKUP(M27, Beakers!$A$2:$C$151, 3, 0)</f>
        <v>2.85865381165919</v>
      </c>
      <c r="AD27" s="26" t="n">
        <f aca="false">AC27-AB27+AA27</f>
        <v>5.09317827864561</v>
      </c>
      <c r="AE27" s="26" t="n">
        <f aca="false">AC27-AB27</f>
        <v>2.82198737838654</v>
      </c>
      <c r="AF27" s="26" t="n">
        <f aca="false">X27/V27</f>
        <v>0.233736292285031</v>
      </c>
      <c r="AG27" s="26" t="n">
        <f aca="false">X27/Z27</f>
        <v>0.305033750041539</v>
      </c>
      <c r="AH27" s="26" t="n">
        <f aca="false">V27/AD27</f>
        <v>1.95361313812992</v>
      </c>
      <c r="AI27" s="26" t="n">
        <f aca="false">Z27/AD27</f>
        <v>1.49698284666411</v>
      </c>
      <c r="AJ27" s="26" t="n">
        <f aca="false">Z27/AE27</f>
        <v>2.70178406059843</v>
      </c>
      <c r="AK27" s="26" t="n">
        <f aca="false">AA27/AD27</f>
        <v>0.445928019009582</v>
      </c>
      <c r="AL27" s="26" t="n">
        <f aca="false">AA27/AE27</f>
        <v>0.804819652155074</v>
      </c>
      <c r="AM27" s="23" t="s">
        <v>45</v>
      </c>
    </row>
    <row r="28" s="23" customFormat="true" ht="14.25" hidden="false" customHeight="false" outlineLevel="0" collapsed="false">
      <c r="A28" s="20" t="n">
        <v>501</v>
      </c>
      <c r="B28" s="21" t="s">
        <v>38</v>
      </c>
      <c r="C28" s="21" t="s">
        <v>39</v>
      </c>
      <c r="D28" s="21" t="n">
        <v>33</v>
      </c>
      <c r="E28" s="21" t="s">
        <v>44</v>
      </c>
      <c r="F28" s="21" t="n">
        <v>2</v>
      </c>
      <c r="G28" s="21" t="n">
        <v>8</v>
      </c>
      <c r="H28" s="21" t="n">
        <v>10</v>
      </c>
      <c r="I28" s="22" t="str">
        <f aca="false">_xlfn.CONCAT(B28, "-", C28,"-", D28,"-", F28)</f>
        <v>M0111-B-33-2</v>
      </c>
      <c r="J28" s="23" t="str">
        <f aca="false">_xlfn.CONCAT(A28, "-", I28, ",",G28, "-",H28)</f>
        <v>501-M0111-B-33-2,8-10</v>
      </c>
      <c r="K28" s="22" t="n">
        <f aca="false">VLOOKUP(I28, 'Depth vlookup'!$G$2:$I$997,2,FALSE())+(G28/100)</f>
        <v>127.39</v>
      </c>
      <c r="L28" s="28" t="n">
        <f aca="false">K28+2/100</f>
        <v>127.41</v>
      </c>
      <c r="M28" s="21" t="n">
        <v>4</v>
      </c>
      <c r="N28" s="24" t="n">
        <f aca="false">VLOOKUP(M28,  Beakers!$A$2:$B$151, 2, 0)</f>
        <v>9.4749</v>
      </c>
      <c r="O28" s="21" t="n">
        <v>19.4338</v>
      </c>
      <c r="P28" s="25" t="n">
        <v>46041.7777777778</v>
      </c>
      <c r="Q28" s="21" t="n">
        <v>16.8188</v>
      </c>
      <c r="R28" s="22" t="s">
        <v>41</v>
      </c>
      <c r="S28" s="22" t="n">
        <v>1</v>
      </c>
      <c r="T28" s="21" t="n">
        <v>6.9241</v>
      </c>
      <c r="U28" s="22"/>
      <c r="V28" s="26" t="n">
        <f aca="false">O28-N28</f>
        <v>9.9589</v>
      </c>
      <c r="W28" s="26" t="n">
        <f aca="false">Q28-N28</f>
        <v>7.3439</v>
      </c>
      <c r="X28" s="26" t="n">
        <f aca="false">(V28-W28)/(1-35/1000)</f>
        <v>2.70984455958549</v>
      </c>
      <c r="Y28" s="26" t="n">
        <f aca="false">X28-(V28-W28)</f>
        <v>0.0948445595854923</v>
      </c>
      <c r="Z28" s="26" t="n">
        <f aca="false">W28-Y28</f>
        <v>7.24905544041451</v>
      </c>
      <c r="AA28" s="26" t="n">
        <f aca="false">X28/1.024</f>
        <v>2.64633257772021</v>
      </c>
      <c r="AB28" s="26" t="n">
        <f aca="false">Y28/2.22</f>
        <v>0.0427227745880596</v>
      </c>
      <c r="AC28" s="26" t="n">
        <f aca="false">T28-VLOOKUP(M28, Beakers!$A$2:$C$151, 3, 0)</f>
        <v>2.67526591928251</v>
      </c>
      <c r="AD28" s="26" t="n">
        <f aca="false">AC28-AB28+AA28</f>
        <v>5.27887572241466</v>
      </c>
      <c r="AE28" s="26" t="n">
        <f aca="false">AC28-AB28</f>
        <v>2.63254314469445</v>
      </c>
      <c r="AF28" s="26" t="n">
        <f aca="false">X28/V28</f>
        <v>0.272102798460221</v>
      </c>
      <c r="AG28" s="26" t="n">
        <f aca="false">X28/Z28</f>
        <v>0.373820366233886</v>
      </c>
      <c r="AH28" s="26" t="n">
        <f aca="false">V28/AD28</f>
        <v>1.88655701018182</v>
      </c>
      <c r="AI28" s="26" t="n">
        <f aca="false">Z28/AD28</f>
        <v>1.3732195682566</v>
      </c>
      <c r="AJ28" s="26" t="n">
        <f aca="false">Z28/AE28</f>
        <v>2.75363215035014</v>
      </c>
      <c r="AK28" s="26" t="n">
        <f aca="false">AA28/AD28</f>
        <v>0.501306095630099</v>
      </c>
      <c r="AL28" s="26" t="n">
        <f aca="false">AA28/AE28</f>
        <v>1.00523806534892</v>
      </c>
      <c r="AM28" s="23" t="s">
        <v>45</v>
      </c>
    </row>
    <row r="29" s="23" customFormat="true" ht="14.25" hidden="false" customHeight="false" outlineLevel="0" collapsed="false">
      <c r="A29" s="20" t="n">
        <v>501</v>
      </c>
      <c r="B29" s="21" t="s">
        <v>38</v>
      </c>
      <c r="C29" s="21" t="s">
        <v>39</v>
      </c>
      <c r="D29" s="21" t="n">
        <v>34</v>
      </c>
      <c r="E29" s="21" t="s">
        <v>44</v>
      </c>
      <c r="F29" s="21" t="n">
        <v>1</v>
      </c>
      <c r="G29" s="21" t="n">
        <v>18</v>
      </c>
      <c r="H29" s="21" t="n">
        <v>20</v>
      </c>
      <c r="I29" s="22" t="str">
        <f aca="false">_xlfn.CONCAT(B29, "-", C29,"-", D29,"-", F29)</f>
        <v>M0111-B-34-1</v>
      </c>
      <c r="J29" s="23" t="str">
        <f aca="false">_xlfn.CONCAT(A29, "-", I29, ",",G29, "-",H29)</f>
        <v>501-M0111-B-34-1,18-20</v>
      </c>
      <c r="K29" s="22" t="n">
        <f aca="false">VLOOKUP(I29, 'Depth vlookup'!$G$2:$I$997,2,FALSE())+(G29/100)</f>
        <v>121.7</v>
      </c>
      <c r="L29" s="28" t="n">
        <f aca="false">K29+2/100</f>
        <v>121.72</v>
      </c>
      <c r="M29" s="21" t="n">
        <v>6</v>
      </c>
      <c r="N29" s="24" t="n">
        <f aca="false">VLOOKUP(M29,  Beakers!$A$2:$B$151, 2, 0)</f>
        <v>9.8908</v>
      </c>
      <c r="O29" s="21" t="n">
        <v>21.1915</v>
      </c>
      <c r="P29" s="25" t="n">
        <v>46041.7777777778</v>
      </c>
      <c r="Q29" s="21" t="n">
        <v>17.5418</v>
      </c>
      <c r="R29" s="22" t="s">
        <v>41</v>
      </c>
      <c r="S29" s="22" t="n">
        <v>2</v>
      </c>
      <c r="T29" s="21" t="n">
        <v>7.2672</v>
      </c>
      <c r="U29" s="22"/>
      <c r="V29" s="26" t="n">
        <f aca="false">O29-N29</f>
        <v>11.3007</v>
      </c>
      <c r="W29" s="26" t="n">
        <f aca="false">Q29-N29</f>
        <v>7.651</v>
      </c>
      <c r="X29" s="26" t="n">
        <f aca="false">(V29-W29)/(1-35/1000)</f>
        <v>3.78207253886011</v>
      </c>
      <c r="Y29" s="26" t="n">
        <f aca="false">X29-(V29-W29)</f>
        <v>0.132372538860104</v>
      </c>
      <c r="Z29" s="26" t="n">
        <f aca="false">W29-Y29</f>
        <v>7.5186274611399</v>
      </c>
      <c r="AA29" s="26" t="n">
        <f aca="false">X29/1.024</f>
        <v>3.69343021373057</v>
      </c>
      <c r="AB29" s="26" t="n">
        <f aca="false">Y29/2.22</f>
        <v>0.0596272697568035</v>
      </c>
      <c r="AC29" s="26" t="n">
        <f aca="false">T29-VLOOKUP(M29, Beakers!$A$2:$C$151, 3, 0)</f>
        <v>2.83186367713004</v>
      </c>
      <c r="AD29" s="26" t="n">
        <f aca="false">AC29-AB29+AA29</f>
        <v>6.46566662110381</v>
      </c>
      <c r="AE29" s="26" t="n">
        <f aca="false">AC29-AB29</f>
        <v>2.77223640737324</v>
      </c>
      <c r="AF29" s="26" t="n">
        <f aca="false">X29/V29</f>
        <v>0.334675952716213</v>
      </c>
      <c r="AG29" s="26" t="n">
        <f aca="false">X29/Z29</f>
        <v>0.503026989754152</v>
      </c>
      <c r="AH29" s="26" t="n">
        <f aca="false">V29/AD29</f>
        <v>1.74780121868869</v>
      </c>
      <c r="AI29" s="26" t="n">
        <f aca="false">Z29/AD29</f>
        <v>1.16285418066549</v>
      </c>
      <c r="AJ29" s="26" t="n">
        <f aca="false">Z29/AE29</f>
        <v>2.71211626870739</v>
      </c>
      <c r="AK29" s="26" t="n">
        <f aca="false">AA29/AD29</f>
        <v>0.571237341819525</v>
      </c>
      <c r="AL29" s="26" t="n">
        <f aca="false">AA29/AE29</f>
        <v>1.33229265870229</v>
      </c>
      <c r="AM29" s="23" t="s">
        <v>45</v>
      </c>
    </row>
    <row r="30" s="23" customFormat="true" ht="14.25" hidden="false" customHeight="false" outlineLevel="0" collapsed="false">
      <c r="A30" s="20" t="n">
        <v>501</v>
      </c>
      <c r="B30" s="21" t="s">
        <v>38</v>
      </c>
      <c r="C30" s="21" t="s">
        <v>39</v>
      </c>
      <c r="D30" s="21" t="n">
        <v>35</v>
      </c>
      <c r="E30" s="21" t="s">
        <v>44</v>
      </c>
      <c r="F30" s="21" t="n">
        <v>2</v>
      </c>
      <c r="G30" s="21" t="n">
        <v>18</v>
      </c>
      <c r="H30" s="21" t="n">
        <v>20</v>
      </c>
      <c r="I30" s="22" t="str">
        <f aca="false">_xlfn.CONCAT(B30, "-", C30,"-", D30,"-", F30)</f>
        <v>M0111-B-35-2</v>
      </c>
      <c r="J30" s="23" t="str">
        <f aca="false">_xlfn.CONCAT(A30, "-", I30, ",",G30, "-",H30)</f>
        <v>501-M0111-B-35-2,18-20</v>
      </c>
      <c r="K30" s="22" t="n">
        <f aca="false">VLOOKUP(I30, 'Depth vlookup'!$G$2:$I$997,2,FALSE())+(G30/100)</f>
        <v>124.2</v>
      </c>
      <c r="L30" s="28" t="n">
        <f aca="false">K30+2/100</f>
        <v>124.22</v>
      </c>
      <c r="M30" s="21" t="n">
        <v>7</v>
      </c>
      <c r="N30" s="24" t="n">
        <f aca="false">VLOOKUP(M30,  Beakers!$A$2:$B$151, 2, 0)</f>
        <v>9.8834</v>
      </c>
      <c r="O30" s="21" t="n">
        <v>20.5182</v>
      </c>
      <c r="P30" s="25" t="n">
        <v>46041.7777777778</v>
      </c>
      <c r="Q30" s="21" t="n">
        <v>18.2603</v>
      </c>
      <c r="R30" s="22" t="s">
        <v>41</v>
      </c>
      <c r="S30" s="22" t="n">
        <v>3</v>
      </c>
      <c r="T30" s="21" t="n">
        <v>7.5216</v>
      </c>
      <c r="U30" s="22"/>
      <c r="V30" s="26" t="n">
        <f aca="false">O30-N30</f>
        <v>10.6348</v>
      </c>
      <c r="W30" s="26" t="n">
        <f aca="false">Q30-N30</f>
        <v>8.3769</v>
      </c>
      <c r="X30" s="26" t="n">
        <f aca="false">(V30-W30)/(1-35/1000)</f>
        <v>2.33979274611399</v>
      </c>
      <c r="Y30" s="26" t="n">
        <f aca="false">X30-(V30-W30)</f>
        <v>0.0818927461139896</v>
      </c>
      <c r="Z30" s="26" t="n">
        <f aca="false">W30-Y30</f>
        <v>8.29500725388601</v>
      </c>
      <c r="AA30" s="26" t="n">
        <f aca="false">X30/1.024</f>
        <v>2.28495385362694</v>
      </c>
      <c r="AB30" s="26" t="n">
        <f aca="false">Y30/2.22</f>
        <v>0.036888624375671</v>
      </c>
      <c r="AC30" s="26" t="n">
        <f aca="false">T30-VLOOKUP(M30, Beakers!$A$2:$C$151, 3, 0)</f>
        <v>3.08958206278027</v>
      </c>
      <c r="AD30" s="26" t="n">
        <f aca="false">AC30-AB30+AA30</f>
        <v>5.33764729203154</v>
      </c>
      <c r="AE30" s="26" t="n">
        <f aca="false">AC30-AB30</f>
        <v>3.0526934384046</v>
      </c>
      <c r="AF30" s="26" t="n">
        <f aca="false">X30/V30</f>
        <v>0.220012858362545</v>
      </c>
      <c r="AG30" s="26" t="n">
        <f aca="false">X30/Z30</f>
        <v>0.282072417117882</v>
      </c>
      <c r="AH30" s="26" t="n">
        <f aca="false">V30/AD30</f>
        <v>1.99241340203885</v>
      </c>
      <c r="AI30" s="26" t="n">
        <f aca="false">Z30/AD30</f>
        <v>1.55405683441644</v>
      </c>
      <c r="AJ30" s="26" t="n">
        <f aca="false">Z30/AE30</f>
        <v>2.71727489879271</v>
      </c>
      <c r="AK30" s="26" t="n">
        <f aca="false">AA30/AD30</f>
        <v>0.428082585568758</v>
      </c>
      <c r="AL30" s="26" t="n">
        <f aca="false">AA30/AE30</f>
        <v>0.748504197925982</v>
      </c>
      <c r="AM30" s="23" t="s">
        <v>45</v>
      </c>
    </row>
    <row r="31" s="23" customFormat="true" ht="14.25" hidden="false" customHeight="false" outlineLevel="0" collapsed="false">
      <c r="A31" s="20" t="n">
        <v>501</v>
      </c>
      <c r="B31" s="21" t="s">
        <v>38</v>
      </c>
      <c r="C31" s="21" t="s">
        <v>39</v>
      </c>
      <c r="D31" s="21" t="n">
        <v>36</v>
      </c>
      <c r="E31" s="21" t="s">
        <v>44</v>
      </c>
      <c r="F31" s="21" t="n">
        <v>2</v>
      </c>
      <c r="G31" s="21" t="n">
        <v>18</v>
      </c>
      <c r="H31" s="21" t="n">
        <v>20</v>
      </c>
      <c r="I31" s="22" t="str">
        <f aca="false">_xlfn.CONCAT(B31, "-", C31,"-", D31,"-", F31)</f>
        <v>M0111-B-36-2</v>
      </c>
      <c r="J31" s="23" t="str">
        <f aca="false">_xlfn.CONCAT(A31, "-", I31, ",",G31, "-",H31)</f>
        <v>501-M0111-B-36-2,18-20</v>
      </c>
      <c r="K31" s="22" t="n">
        <f aca="false">VLOOKUP(I31, 'Depth vlookup'!$G$2:$I$997,2,FALSE())+(G31/100)</f>
        <v>126.75</v>
      </c>
      <c r="L31" s="28" t="n">
        <f aca="false">K31+2/100</f>
        <v>126.77</v>
      </c>
      <c r="M31" s="21" t="n">
        <v>8</v>
      </c>
      <c r="N31" s="24" t="n">
        <f aca="false">VLOOKUP(M31,  Beakers!$A$2:$B$151, 2, 0)</f>
        <v>9.5216</v>
      </c>
      <c r="O31" s="21" t="n">
        <v>19.7586</v>
      </c>
      <c r="P31" s="25" t="n">
        <v>46041.8875</v>
      </c>
      <c r="Q31" s="21" t="n">
        <v>17.4596</v>
      </c>
      <c r="R31" s="22" t="s">
        <v>43</v>
      </c>
      <c r="S31" s="22" t="n">
        <v>2</v>
      </c>
      <c r="T31" s="21" t="n">
        <v>7.208</v>
      </c>
      <c r="U31" s="22"/>
      <c r="V31" s="26" t="n">
        <f aca="false">O31-N31</f>
        <v>10.237</v>
      </c>
      <c r="W31" s="26" t="n">
        <f aca="false">Q31-N31</f>
        <v>7.938</v>
      </c>
      <c r="X31" s="26" t="n">
        <f aca="false">(V31-W31)/(1-35/1000)</f>
        <v>2.38238341968912</v>
      </c>
      <c r="Y31" s="26" t="n">
        <f aca="false">X31-(V31-W31)</f>
        <v>0.0833834196891194</v>
      </c>
      <c r="Z31" s="26" t="n">
        <f aca="false">W31-Y31</f>
        <v>7.85461658031088</v>
      </c>
      <c r="AA31" s="26" t="n">
        <f aca="false">X31/1.024</f>
        <v>2.32654630829016</v>
      </c>
      <c r="AB31" s="26" t="n">
        <f aca="false">Y31/2.22</f>
        <v>0.0375600989590628</v>
      </c>
      <c r="AC31" s="26" t="n">
        <f aca="false">T31-VLOOKUP(M31, Beakers!$A$2:$C$151, 3, 0)</f>
        <v>2.93822421524664</v>
      </c>
      <c r="AD31" s="26" t="n">
        <f aca="false">AC31-AB31+AA31</f>
        <v>5.22721042457773</v>
      </c>
      <c r="AE31" s="26" t="n">
        <f aca="false">AC31-AB31</f>
        <v>2.90066411628757</v>
      </c>
      <c r="AF31" s="26" t="n">
        <f aca="false">X31/V31</f>
        <v>0.232722811340151</v>
      </c>
      <c r="AG31" s="26" t="n">
        <f aca="false">X31/Z31</f>
        <v>0.303309957313643</v>
      </c>
      <c r="AH31" s="26" t="n">
        <f aca="false">V31/AD31</f>
        <v>1.95840595049834</v>
      </c>
      <c r="AI31" s="26" t="n">
        <f aca="false">Z31/AD31</f>
        <v>1.50264021195309</v>
      </c>
      <c r="AJ31" s="26" t="n">
        <f aca="false">Z31/AE31</f>
        <v>2.70786835890659</v>
      </c>
      <c r="AK31" s="26" t="n">
        <f aca="false">AA31/AD31</f>
        <v>0.4450837290481</v>
      </c>
      <c r="AL31" s="26" t="n">
        <f aca="false">AA31/AE31</f>
        <v>0.802073668311448</v>
      </c>
      <c r="AM31" s="23" t="s">
        <v>45</v>
      </c>
    </row>
    <row r="32" s="23" customFormat="true" ht="14.25" hidden="false" customHeight="false" outlineLevel="0" collapsed="false">
      <c r="A32" s="20" t="n">
        <v>501</v>
      </c>
      <c r="B32" s="21" t="s">
        <v>38</v>
      </c>
      <c r="C32" s="21" t="s">
        <v>39</v>
      </c>
      <c r="D32" s="21" t="n">
        <v>37</v>
      </c>
      <c r="E32" s="21" t="s">
        <v>44</v>
      </c>
      <c r="F32" s="21" t="n">
        <v>1</v>
      </c>
      <c r="G32" s="21" t="n">
        <v>18</v>
      </c>
      <c r="H32" s="21" t="n">
        <v>20</v>
      </c>
      <c r="I32" s="22" t="str">
        <f aca="false">_xlfn.CONCAT(B32, "-", C32,"-", D32,"-", F32)</f>
        <v>M0111-B-37-1</v>
      </c>
      <c r="J32" s="23" t="str">
        <f aca="false">_xlfn.CONCAT(A32, "-", I32, ",",G32, "-",H32)</f>
        <v>501-M0111-B-37-1,18-20</v>
      </c>
      <c r="K32" s="22" t="n">
        <f aca="false">VLOOKUP(I32, 'Depth vlookup'!$G$2:$I$997,2,FALSE())+(G32/100)</f>
        <v>127.82</v>
      </c>
      <c r="L32" s="28" t="n">
        <f aca="false">K32+2/100</f>
        <v>127.84</v>
      </c>
      <c r="M32" s="21" t="n">
        <v>9</v>
      </c>
      <c r="N32" s="24" t="n">
        <f aca="false">VLOOKUP(M32,  Beakers!$A$2:$B$151, 2, 0)</f>
        <v>9.5977</v>
      </c>
      <c r="O32" s="21" t="n">
        <v>20.5186</v>
      </c>
      <c r="P32" s="25" t="n">
        <v>46041.8875</v>
      </c>
      <c r="Q32" s="21" t="n">
        <v>18.296</v>
      </c>
      <c r="R32" s="22" t="s">
        <v>43</v>
      </c>
      <c r="S32" s="22" t="n">
        <v>3</v>
      </c>
      <c r="T32" s="21" t="n">
        <v>7.55429</v>
      </c>
      <c r="U32" s="22"/>
      <c r="V32" s="26" t="n">
        <f aca="false">O32-N32</f>
        <v>10.9209</v>
      </c>
      <c r="W32" s="26" t="n">
        <f aca="false">Q32-N32</f>
        <v>8.6983</v>
      </c>
      <c r="X32" s="26" t="n">
        <f aca="false">(V32-W32)/(1-35/1000)</f>
        <v>2.30321243523316</v>
      </c>
      <c r="Y32" s="26" t="n">
        <f aca="false">X32-(V32-W32)</f>
        <v>0.0806124352331605</v>
      </c>
      <c r="Z32" s="26" t="n">
        <f aca="false">W32-Y32</f>
        <v>8.61768756476684</v>
      </c>
      <c r="AA32" s="26" t="n">
        <f aca="false">X32/1.024</f>
        <v>2.24923089378238</v>
      </c>
      <c r="AB32" s="26" t="n">
        <f aca="false">Y32/2.22</f>
        <v>0.0363119077626849</v>
      </c>
      <c r="AC32" s="26" t="n">
        <f aca="false">T32-VLOOKUP(M32, Beakers!$A$2:$C$151, 3, 0)</f>
        <v>3.25038865470852</v>
      </c>
      <c r="AD32" s="26" t="n">
        <f aca="false">AC32-AB32+AA32</f>
        <v>5.46330764072822</v>
      </c>
      <c r="AE32" s="26" t="n">
        <f aca="false">AC32-AB32</f>
        <v>3.21407674694584</v>
      </c>
      <c r="AF32" s="26" t="n">
        <f aca="false">X32/V32</f>
        <v>0.210899507845797</v>
      </c>
      <c r="AG32" s="26" t="n">
        <f aca="false">X32/Z32</f>
        <v>0.267265715764607</v>
      </c>
      <c r="AH32" s="26" t="n">
        <f aca="false">V32/AD32</f>
        <v>1.99895387888944</v>
      </c>
      <c r="AI32" s="26" t="n">
        <f aca="false">Z32/AD32</f>
        <v>1.57737548962521</v>
      </c>
      <c r="AJ32" s="26" t="n">
        <f aca="false">Z32/AE32</f>
        <v>2.68123266594544</v>
      </c>
      <c r="AK32" s="26" t="n">
        <f aca="false">AA32/AD32</f>
        <v>0.411697645765849</v>
      </c>
      <c r="AL32" s="26" t="n">
        <f aca="false">AA32/AE32</f>
        <v>0.699806218354838</v>
      </c>
      <c r="AM32" s="23" t="s">
        <v>45</v>
      </c>
    </row>
    <row r="33" s="23" customFormat="true" ht="14.25" hidden="false" customHeight="false" outlineLevel="0" collapsed="false">
      <c r="A33" s="20" t="n">
        <v>501</v>
      </c>
      <c r="B33" s="21" t="s">
        <v>38</v>
      </c>
      <c r="C33" s="21" t="s">
        <v>39</v>
      </c>
      <c r="D33" s="21" t="n">
        <v>38</v>
      </c>
      <c r="E33" s="21" t="s">
        <v>44</v>
      </c>
      <c r="F33" s="21" t="n">
        <v>1</v>
      </c>
      <c r="G33" s="21" t="n">
        <v>18</v>
      </c>
      <c r="H33" s="21" t="n">
        <v>20</v>
      </c>
      <c r="I33" s="22" t="str">
        <f aca="false">_xlfn.CONCAT(B33, "-", C33,"-", D33,"-", F33)</f>
        <v>M0111-B-38-1</v>
      </c>
      <c r="J33" s="23" t="str">
        <f aca="false">_xlfn.CONCAT(A33, "-", I33, ",",G33, "-",H33)</f>
        <v>501-M0111-B-38-1,18-20</v>
      </c>
      <c r="K33" s="22" t="n">
        <f aca="false">VLOOKUP(I33, 'Depth vlookup'!$G$2:$I$997,2,FALSE())+(G33/100)</f>
        <v>129.57</v>
      </c>
      <c r="L33" s="28" t="n">
        <f aca="false">K33+2/100</f>
        <v>129.59</v>
      </c>
      <c r="M33" s="21" t="n">
        <v>10</v>
      </c>
      <c r="N33" s="24" t="n">
        <f aca="false">VLOOKUP(M33,  Beakers!$A$2:$B$151, 2, 0)</f>
        <v>9.9909</v>
      </c>
      <c r="O33" s="21" t="n">
        <v>20.1644</v>
      </c>
      <c r="P33" s="25" t="n">
        <v>46041.8875</v>
      </c>
      <c r="Q33" s="21" t="n">
        <v>18.3598</v>
      </c>
      <c r="R33" s="22" t="s">
        <v>43</v>
      </c>
      <c r="S33" s="22" t="n">
        <v>5</v>
      </c>
      <c r="T33" s="21" t="n">
        <v>7.6149</v>
      </c>
      <c r="U33" s="22"/>
      <c r="V33" s="26" t="n">
        <f aca="false">O33-N33</f>
        <v>10.1735</v>
      </c>
      <c r="W33" s="26" t="n">
        <f aca="false">Q33-N33</f>
        <v>8.3689</v>
      </c>
      <c r="X33" s="26" t="n">
        <f aca="false">(V33-W33)/(1-35/1000)</f>
        <v>1.8700518134715</v>
      </c>
      <c r="Y33" s="26" t="n">
        <f aca="false">X33-(V33-W33)</f>
        <v>0.0654518134715028</v>
      </c>
      <c r="Z33" s="26" t="n">
        <f aca="false">W33-Y33</f>
        <v>8.3034481865285</v>
      </c>
      <c r="AA33" s="26" t="n">
        <f aca="false">X33/1.024</f>
        <v>1.82622247409327</v>
      </c>
      <c r="AB33" s="26" t="n">
        <f aca="false">Y33/2.22</f>
        <v>0.0294827988610373</v>
      </c>
      <c r="AC33" s="26" t="n">
        <f aca="false">T33-VLOOKUP(M33, Beakers!$A$2:$C$151, 3, 0)</f>
        <v>3.13467578475336</v>
      </c>
      <c r="AD33" s="26" t="n">
        <f aca="false">AC33-AB33+AA33</f>
        <v>4.93141545998559</v>
      </c>
      <c r="AE33" s="26" t="n">
        <f aca="false">AC33-AB33</f>
        <v>3.10519298589233</v>
      </c>
      <c r="AF33" s="26" t="n">
        <f aca="false">X33/V33</f>
        <v>0.183815974194869</v>
      </c>
      <c r="AG33" s="26" t="n">
        <f aca="false">X33/Z33</f>
        <v>0.225213883613494</v>
      </c>
      <c r="AH33" s="26" t="n">
        <f aca="false">V33/AD33</f>
        <v>2.06299795313326</v>
      </c>
      <c r="AI33" s="26" t="n">
        <f aca="false">Z33/AD33</f>
        <v>1.68378597461605</v>
      </c>
      <c r="AJ33" s="26" t="n">
        <f aca="false">Z33/AE33</f>
        <v>2.6740522164816</v>
      </c>
      <c r="AK33" s="26" t="n">
        <f aca="false">AA33/AD33</f>
        <v>0.370324197770715</v>
      </c>
      <c r="AL33" s="26" t="n">
        <f aca="false">AA33/AE33</f>
        <v>0.588118832674895</v>
      </c>
      <c r="AM33" s="23" t="s">
        <v>45</v>
      </c>
    </row>
    <row r="34" s="23" customFormat="true" ht="14.25" hidden="false" customHeight="false" outlineLevel="0" collapsed="false">
      <c r="A34" s="20" t="n">
        <v>501</v>
      </c>
      <c r="B34" s="21" t="s">
        <v>38</v>
      </c>
      <c r="C34" s="21" t="s">
        <v>39</v>
      </c>
      <c r="D34" s="21" t="n">
        <v>39</v>
      </c>
      <c r="E34" s="21" t="s">
        <v>44</v>
      </c>
      <c r="F34" s="21" t="n">
        <v>1</v>
      </c>
      <c r="G34" s="21" t="n">
        <v>18</v>
      </c>
      <c r="H34" s="21" t="n">
        <v>20</v>
      </c>
      <c r="I34" s="22" t="str">
        <f aca="false">_xlfn.CONCAT(B34, "-", C34,"-", D34,"-", F34)</f>
        <v>M0111-B-39-1</v>
      </c>
      <c r="J34" s="23" t="str">
        <f aca="false">_xlfn.CONCAT(A34, "-", I34, ",",G34, "-",H34)</f>
        <v>501-M0111-B-39-1,18-20</v>
      </c>
      <c r="K34" s="22" t="n">
        <f aca="false">VLOOKUP(I34, 'Depth vlookup'!$G$2:$I$997,2,FALSE())+(G34/100)</f>
        <v>131.85</v>
      </c>
      <c r="L34" s="28" t="n">
        <f aca="false">K34+2/100</f>
        <v>131.87</v>
      </c>
      <c r="M34" s="21" t="n">
        <v>250</v>
      </c>
      <c r="N34" s="24" t="n">
        <f aca="false">VLOOKUP(M34,  Beakers!$A$2:$B$151, 2, 0)</f>
        <v>9.8892</v>
      </c>
      <c r="O34" s="21" t="n">
        <v>20.2565</v>
      </c>
      <c r="P34" s="25" t="n">
        <v>46042.34375</v>
      </c>
      <c r="Q34" s="21" t="n">
        <v>17.891</v>
      </c>
      <c r="R34" s="22" t="s">
        <v>43</v>
      </c>
      <c r="S34" s="22" t="n">
        <v>3</v>
      </c>
      <c r="T34" s="21" t="n">
        <v>7.3926</v>
      </c>
      <c r="U34" s="22"/>
      <c r="V34" s="26" t="n">
        <f aca="false">O34-N34</f>
        <v>10.3673</v>
      </c>
      <c r="W34" s="26" t="n">
        <f aca="false">Q34-N34</f>
        <v>8.0018</v>
      </c>
      <c r="X34" s="26" t="n">
        <f aca="false">(V34-W34)/(1-35/1000)</f>
        <v>2.45129533678757</v>
      </c>
      <c r="Y34" s="26" t="n">
        <f aca="false">X34-(V34-W34)</f>
        <v>0.085795336787565</v>
      </c>
      <c r="Z34" s="26" t="n">
        <f aca="false">W34-Y34</f>
        <v>7.91600466321243</v>
      </c>
      <c r="AA34" s="26" t="n">
        <f aca="false">X34/1.024</f>
        <v>2.39384310233161</v>
      </c>
      <c r="AB34" s="26" t="n">
        <f aca="false">Y34/2.22</f>
        <v>0.0386465481025068</v>
      </c>
      <c r="AC34" s="26" t="n">
        <f aca="false">T34-VLOOKUP(M34, Beakers!$A$2:$C$151, 3, 0)</f>
        <v>2.95798116591928</v>
      </c>
      <c r="AD34" s="26" t="n">
        <f aca="false">AC34-AB34+AA34</f>
        <v>5.31317772014838</v>
      </c>
      <c r="AE34" s="26" t="n">
        <f aca="false">AC34-AB34</f>
        <v>2.91933461781678</v>
      </c>
      <c r="AF34" s="26" t="n">
        <f aca="false">X34/V34</f>
        <v>0.236444912058836</v>
      </c>
      <c r="AG34" s="26" t="n">
        <f aca="false">X34/Z34</f>
        <v>0.309663200197357</v>
      </c>
      <c r="AH34" s="26" t="n">
        <f aca="false">V34/AD34</f>
        <v>1.951242842995</v>
      </c>
      <c r="AI34" s="26" t="n">
        <f aca="false">Z34/AD34</f>
        <v>1.48988140057761</v>
      </c>
      <c r="AJ34" s="26" t="n">
        <f aca="false">Z34/AE34</f>
        <v>2.71157839012385</v>
      </c>
      <c r="AK34" s="26" t="n">
        <f aca="false">AA34/AD34</f>
        <v>0.450548283610727</v>
      </c>
      <c r="AL34" s="26" t="n">
        <f aca="false">AA34/AE34</f>
        <v>0.81999613464038</v>
      </c>
      <c r="AM34" s="23" t="s">
        <v>45</v>
      </c>
    </row>
    <row r="35" s="23" customFormat="true" ht="14.25" hidden="false" customHeight="false" outlineLevel="0" collapsed="false">
      <c r="A35" s="20" t="n">
        <v>501</v>
      </c>
      <c r="B35" s="21" t="s">
        <v>38</v>
      </c>
      <c r="C35" s="21" t="s">
        <v>39</v>
      </c>
      <c r="D35" s="21" t="n">
        <v>40</v>
      </c>
      <c r="E35" s="21" t="s">
        <v>44</v>
      </c>
      <c r="F35" s="21" t="n">
        <v>1</v>
      </c>
      <c r="G35" s="21" t="n">
        <v>10</v>
      </c>
      <c r="H35" s="21" t="n">
        <v>12</v>
      </c>
      <c r="I35" s="22" t="str">
        <f aca="false">_xlfn.CONCAT(B35, "-", C35,"-", D35,"-", F35)</f>
        <v>M0111-B-40-1</v>
      </c>
      <c r="J35" s="23" t="str">
        <f aca="false">_xlfn.CONCAT(A35, "-", I35, ",",G35, "-",H35)</f>
        <v>501-M0111-B-40-1,10-12</v>
      </c>
      <c r="K35" s="22" t="n">
        <f aca="false">VLOOKUP(I35, 'Depth vlookup'!$G$2:$I$997,2,FALSE())+(G35/100)</f>
        <v>134.82</v>
      </c>
      <c r="L35" s="28" t="n">
        <f aca="false">K35+2/100</f>
        <v>134.84</v>
      </c>
      <c r="M35" s="21" t="n">
        <v>251</v>
      </c>
      <c r="N35" s="24" t="n">
        <f aca="false">VLOOKUP(M35,  Beakers!$A$2:$B$151, 2, 0)</f>
        <v>9.814</v>
      </c>
      <c r="O35" s="21" t="n">
        <v>20.9053</v>
      </c>
      <c r="P35" s="25" t="n">
        <v>46042.3451388889</v>
      </c>
      <c r="Q35" s="21" t="n">
        <v>19.4221</v>
      </c>
      <c r="R35" s="22" t="s">
        <v>43</v>
      </c>
      <c r="S35" s="22" t="n">
        <v>5</v>
      </c>
      <c r="T35" s="21" t="n">
        <v>8.0018</v>
      </c>
      <c r="U35" s="22"/>
      <c r="V35" s="26" t="n">
        <f aca="false">O35-N35</f>
        <v>11.0913</v>
      </c>
      <c r="W35" s="26" t="n">
        <f aca="false">Q35-N35</f>
        <v>9.6081</v>
      </c>
      <c r="X35" s="26" t="n">
        <f aca="false">(V35-W35)/(1-35/1000)</f>
        <v>1.53699481865285</v>
      </c>
      <c r="Y35" s="26" t="n">
        <f aca="false">X35-(V35-W35)</f>
        <v>0.0537948186528499</v>
      </c>
      <c r="Z35" s="26" t="n">
        <f aca="false">W35-Y35</f>
        <v>9.55430518134715</v>
      </c>
      <c r="AA35" s="26" t="n">
        <f aca="false">X35/1.024</f>
        <v>1.50097150259067</v>
      </c>
      <c r="AB35" s="26" t="n">
        <f aca="false">Y35/2.22</f>
        <v>0.0242319002940765</v>
      </c>
      <c r="AC35" s="26" t="n">
        <f aca="false">T35-VLOOKUP(M35, Beakers!$A$2:$C$151, 3, 0)</f>
        <v>3.60090313901345</v>
      </c>
      <c r="AD35" s="26" t="n">
        <f aca="false">AC35-AB35+AA35</f>
        <v>5.07764274131005</v>
      </c>
      <c r="AE35" s="26" t="n">
        <f aca="false">AC35-AB35</f>
        <v>3.57667123871938</v>
      </c>
      <c r="AF35" s="26" t="n">
        <f aca="false">X35/V35</f>
        <v>0.138576615784701</v>
      </c>
      <c r="AG35" s="26" t="n">
        <f aca="false">X35/Z35</f>
        <v>0.160869345230203</v>
      </c>
      <c r="AH35" s="26" t="n">
        <f aca="false">V35/AD35</f>
        <v>2.18434036521806</v>
      </c>
      <c r="AI35" s="26" t="n">
        <f aca="false">Z35/AD35</f>
        <v>1.88164186968422</v>
      </c>
      <c r="AJ35" s="26" t="n">
        <f aca="false">Z35/AE35</f>
        <v>2.67128414765011</v>
      </c>
      <c r="AK35" s="26" t="n">
        <f aca="false">AA35/AD35</f>
        <v>0.295603999544761</v>
      </c>
      <c r="AL35" s="26" t="n">
        <f aca="false">AA35/AE35</f>
        <v>0.419655988043255</v>
      </c>
      <c r="AM35" s="23" t="s">
        <v>42</v>
      </c>
    </row>
    <row r="36" s="23" customFormat="true" ht="14.25" hidden="false" customHeight="false" outlineLevel="0" collapsed="false">
      <c r="A36" s="20" t="n">
        <v>501</v>
      </c>
      <c r="B36" s="21" t="s">
        <v>38</v>
      </c>
      <c r="C36" s="21" t="s">
        <v>39</v>
      </c>
      <c r="D36" s="21" t="n">
        <v>41</v>
      </c>
      <c r="E36" s="21" t="s">
        <v>44</v>
      </c>
      <c r="F36" s="21" t="n">
        <v>1</v>
      </c>
      <c r="G36" s="21" t="n">
        <v>38</v>
      </c>
      <c r="H36" s="21" t="n">
        <v>40</v>
      </c>
      <c r="I36" s="22" t="str">
        <f aca="false">_xlfn.CONCAT(B36, "-", C36,"-", D36,"-", F36)</f>
        <v>M0111-B-41-1</v>
      </c>
      <c r="J36" s="23" t="str">
        <f aca="false">_xlfn.CONCAT(A36, "-", I36, ",",G36, "-",H36)</f>
        <v>501-M0111-B-41-1,38-40</v>
      </c>
      <c r="K36" s="22" t="n">
        <f aca="false">VLOOKUP(I36, 'Depth vlookup'!$G$2:$I$997,2,FALSE())+(G36/100)</f>
        <v>138.15</v>
      </c>
      <c r="L36" s="28" t="n">
        <f aca="false">K36+2/100</f>
        <v>138.17</v>
      </c>
      <c r="M36" s="21" t="n">
        <v>252</v>
      </c>
      <c r="N36" s="24" t="n">
        <f aca="false">VLOOKUP(M36,  Beakers!$A$2:$B$151, 2, 0)</f>
        <v>9.814</v>
      </c>
      <c r="O36" s="21" t="n">
        <v>17.2802</v>
      </c>
      <c r="P36" s="25" t="n">
        <v>46042.3458333333</v>
      </c>
      <c r="Q36" s="21" t="n">
        <v>15.8291</v>
      </c>
      <c r="R36" s="22" t="s">
        <v>43</v>
      </c>
      <c r="S36" s="22" t="n">
        <v>1</v>
      </c>
      <c r="T36" s="21" t="n">
        <v>6.5994</v>
      </c>
      <c r="U36" s="22"/>
      <c r="V36" s="26" t="n">
        <f aca="false">O36-N36</f>
        <v>7.4662</v>
      </c>
      <c r="W36" s="26" t="n">
        <f aca="false">Q36-N36</f>
        <v>6.0151</v>
      </c>
      <c r="X36" s="26" t="n">
        <f aca="false">(V36-W36)/(1-35/1000)</f>
        <v>1.50373056994819</v>
      </c>
      <c r="Y36" s="26" t="n">
        <f aca="false">X36-(V36-W36)</f>
        <v>0.0526305699481866</v>
      </c>
      <c r="Z36" s="26" t="n">
        <f aca="false">W36-Y36</f>
        <v>5.96246943005181</v>
      </c>
      <c r="AA36" s="26" t="n">
        <f aca="false">X36/1.024</f>
        <v>1.46848688471503</v>
      </c>
      <c r="AB36" s="26" t="n">
        <f aca="false">Y36/2.22</f>
        <v>0.0237074639406246</v>
      </c>
      <c r="AC36" s="26" t="n">
        <f aca="false">T36-VLOOKUP(M36, Beakers!$A$2:$C$151, 3, 0)</f>
        <v>2.19850313901345</v>
      </c>
      <c r="AD36" s="26" t="n">
        <f aca="false">AC36-AB36+AA36</f>
        <v>3.64328255978785</v>
      </c>
      <c r="AE36" s="26" t="n">
        <f aca="false">AC36-AB36</f>
        <v>2.17479567507283</v>
      </c>
      <c r="AF36" s="26" t="n">
        <f aca="false">X36/V36</f>
        <v>0.201405074863811</v>
      </c>
      <c r="AG36" s="26" t="n">
        <f aca="false">X36/Z36</f>
        <v>0.252199292187418</v>
      </c>
      <c r="AH36" s="26" t="n">
        <f aca="false">V36/AD36</f>
        <v>2.04930577781888</v>
      </c>
      <c r="AI36" s="26" t="n">
        <f aca="false">Z36/AD36</f>
        <v>1.63656519421843</v>
      </c>
      <c r="AJ36" s="26" t="n">
        <f aca="false">Z36/AE36</f>
        <v>2.74162281008405</v>
      </c>
      <c r="AK36" s="26" t="n">
        <f aca="false">AA36/AD36</f>
        <v>0.403066976172316</v>
      </c>
      <c r="AL36" s="26" t="n">
        <f aca="false">AA36/AE36</f>
        <v>0.675229816550859</v>
      </c>
      <c r="AM36" s="23" t="s">
        <v>42</v>
      </c>
    </row>
    <row r="37" s="23" customFormat="true" ht="14.25" hidden="false" customHeight="false" outlineLevel="0" collapsed="false">
      <c r="A37" s="20" t="n">
        <v>501</v>
      </c>
      <c r="B37" s="21" t="s">
        <v>38</v>
      </c>
      <c r="C37" s="21" t="s">
        <v>39</v>
      </c>
      <c r="D37" s="21" t="n">
        <v>42</v>
      </c>
      <c r="E37" s="21" t="s">
        <v>44</v>
      </c>
      <c r="F37" s="21" t="n">
        <v>1</v>
      </c>
      <c r="G37" s="21" t="n">
        <v>38</v>
      </c>
      <c r="H37" s="21" t="n">
        <v>40</v>
      </c>
      <c r="I37" s="22" t="str">
        <f aca="false">_xlfn.CONCAT(B37, "-", C37,"-", D37,"-", F37)</f>
        <v>M0111-B-42-1</v>
      </c>
      <c r="J37" s="23" t="str">
        <f aca="false">_xlfn.CONCAT(A37, "-", I37, ",",G37, "-",H37)</f>
        <v>501-M0111-B-42-1,38-40</v>
      </c>
      <c r="K37" s="22" t="n">
        <f aca="false">VLOOKUP(I37, 'Depth vlookup'!$G$2:$I$997,2,FALSE())+(G37/100)</f>
        <v>141.2</v>
      </c>
      <c r="L37" s="28" t="n">
        <f aca="false">K37+2/100</f>
        <v>141.22</v>
      </c>
      <c r="M37" s="21" t="n">
        <v>253</v>
      </c>
      <c r="N37" s="24" t="n">
        <f aca="false">VLOOKUP(M37,  Beakers!$A$2:$B$151, 2, 0)</f>
        <v>9.8927</v>
      </c>
      <c r="O37" s="21" t="n">
        <v>19.083</v>
      </c>
      <c r="P37" s="25" t="n">
        <v>46042.4444444444</v>
      </c>
      <c r="Q37" s="21" t="n">
        <v>17.4568</v>
      </c>
      <c r="R37" s="22" t="s">
        <v>43</v>
      </c>
      <c r="S37" s="22" t="n">
        <v>5</v>
      </c>
      <c r="T37" s="21" t="n">
        <v>7.2183</v>
      </c>
      <c r="U37" s="22"/>
      <c r="V37" s="26" t="n">
        <f aca="false">O37-N37</f>
        <v>9.1903</v>
      </c>
      <c r="W37" s="26" t="n">
        <f aca="false">Q37-N37</f>
        <v>7.5641</v>
      </c>
      <c r="X37" s="26" t="n">
        <f aca="false">(V37-W37)/(1-35/1000)</f>
        <v>1.68518134715026</v>
      </c>
      <c r="Y37" s="26" t="n">
        <f aca="false">X37-(V37-W37)</f>
        <v>0.0589813471502589</v>
      </c>
      <c r="Z37" s="26" t="n">
        <f aca="false">W37-Y37</f>
        <v>7.50511865284974</v>
      </c>
      <c r="AA37" s="26" t="n">
        <f aca="false">X37/1.024</f>
        <v>1.64568490932642</v>
      </c>
      <c r="AB37" s="26" t="n">
        <f aca="false">Y37/2.22</f>
        <v>0.0265681743920085</v>
      </c>
      <c r="AC37" s="26" t="n">
        <f aca="false">T37-VLOOKUP(M37, Beakers!$A$2:$C$151, 3, 0)</f>
        <v>2.78211165919283</v>
      </c>
      <c r="AD37" s="26" t="n">
        <f aca="false">AC37-AB37+AA37</f>
        <v>4.40122839412724</v>
      </c>
      <c r="AE37" s="26" t="n">
        <f aca="false">AC37-AB37</f>
        <v>2.75554348480082</v>
      </c>
      <c r="AF37" s="26" t="n">
        <f aca="false">X37/V37</f>
        <v>0.183365216276972</v>
      </c>
      <c r="AG37" s="26" t="n">
        <f aca="false">X37/Z37</f>
        <v>0.224537602281662</v>
      </c>
      <c r="AH37" s="26" t="n">
        <f aca="false">V37/AD37</f>
        <v>2.08812158266157</v>
      </c>
      <c r="AI37" s="26" t="n">
        <f aca="false">Z37/AD37</f>
        <v>1.70523271704422</v>
      </c>
      <c r="AJ37" s="26" t="n">
        <f aca="false">Z37/AE37</f>
        <v>2.72364370014369</v>
      </c>
      <c r="AK37" s="26" t="n">
        <f aca="false">AA37/AD37</f>
        <v>0.373914907829445</v>
      </c>
      <c r="AL37" s="26" t="n">
        <f aca="false">AA37/AE37</f>
        <v>0.597226978417791</v>
      </c>
      <c r="AM37" s="23" t="s">
        <v>42</v>
      </c>
    </row>
    <row r="38" s="23" customFormat="true" ht="14.25" hidden="false" customHeight="false" outlineLevel="0" collapsed="false">
      <c r="A38" s="20" t="n">
        <v>501</v>
      </c>
      <c r="B38" s="21" t="s">
        <v>38</v>
      </c>
      <c r="C38" s="21" t="s">
        <v>39</v>
      </c>
      <c r="D38" s="21" t="n">
        <v>43</v>
      </c>
      <c r="E38" s="21" t="s">
        <v>44</v>
      </c>
      <c r="F38" s="21" t="n">
        <v>1</v>
      </c>
      <c r="G38" s="21" t="n">
        <v>68</v>
      </c>
      <c r="H38" s="21" t="n">
        <v>70</v>
      </c>
      <c r="I38" s="22" t="str">
        <f aca="false">_xlfn.CONCAT(B38, "-", C38,"-", D38,"-", F38)</f>
        <v>M0111-B-43-1</v>
      </c>
      <c r="J38" s="23" t="str">
        <f aca="false">_xlfn.CONCAT(A38, "-", I38, ",",G38, "-",H38)</f>
        <v>501-M0111-B-43-1,68-70</v>
      </c>
      <c r="K38" s="22" t="n">
        <f aca="false">VLOOKUP(I38, 'Depth vlookup'!$G$2:$I$997,2,FALSE())+(G38/100)</f>
        <v>144.55</v>
      </c>
      <c r="L38" s="28" t="n">
        <f aca="false">K38+2/100</f>
        <v>144.57</v>
      </c>
      <c r="M38" s="21" t="n">
        <v>254</v>
      </c>
      <c r="N38" s="24" t="n">
        <f aca="false">VLOOKUP(M38,  Beakers!$A$2:$B$151, 2, 0)</f>
        <v>9.8201</v>
      </c>
      <c r="O38" s="21" t="n">
        <v>16.8636</v>
      </c>
      <c r="P38" s="25" t="n">
        <v>46042.4444444444</v>
      </c>
      <c r="Q38" s="21" t="n">
        <v>15.0301</v>
      </c>
      <c r="R38" s="22" t="s">
        <v>43</v>
      </c>
      <c r="S38" s="22" t="n">
        <v>1</v>
      </c>
      <c r="T38" s="21" t="n">
        <v>6.3774</v>
      </c>
      <c r="U38" s="22"/>
      <c r="V38" s="26" t="n">
        <f aca="false">O38-N38</f>
        <v>7.0435</v>
      </c>
      <c r="W38" s="26" t="n">
        <f aca="false">Q38-N38</f>
        <v>5.21</v>
      </c>
      <c r="X38" s="26" t="n">
        <f aca="false">(V38-W38)/(1-35/1000)</f>
        <v>1.9</v>
      </c>
      <c r="Y38" s="26" t="n">
        <f aca="false">X38-(V38-W38)</f>
        <v>0.0665000000000002</v>
      </c>
      <c r="Z38" s="26" t="n">
        <f aca="false">W38-Y38</f>
        <v>5.1435</v>
      </c>
      <c r="AA38" s="26" t="n">
        <f aca="false">X38/1.024</f>
        <v>1.85546875</v>
      </c>
      <c r="AB38" s="26" t="n">
        <f aca="false">Y38/2.22</f>
        <v>0.0299549549549551</v>
      </c>
      <c r="AC38" s="26" t="n">
        <f aca="false">T38-VLOOKUP(M38, Beakers!$A$2:$C$151, 3, 0)</f>
        <v>1.97376771300448</v>
      </c>
      <c r="AD38" s="26" t="n">
        <f aca="false">AC38-AB38+AA38</f>
        <v>3.79928150804953</v>
      </c>
      <c r="AE38" s="26" t="n">
        <f aca="false">AC38-AB38</f>
        <v>1.94381275804953</v>
      </c>
      <c r="AF38" s="26" t="n">
        <f aca="false">X38/V38</f>
        <v>0.269752253851069</v>
      </c>
      <c r="AG38" s="26" t="n">
        <f aca="false">X38/Z38</f>
        <v>0.369398269660738</v>
      </c>
      <c r="AH38" s="26" t="n">
        <f aca="false">V38/AD38</f>
        <v>1.85390316171017</v>
      </c>
      <c r="AI38" s="26" t="n">
        <f aca="false">Z38/AD38</f>
        <v>1.35380860541723</v>
      </c>
      <c r="AJ38" s="26" t="n">
        <f aca="false">Z38/AE38</f>
        <v>2.64608819892772</v>
      </c>
      <c r="AK38" s="26" t="n">
        <f aca="false">AA38/AD38</f>
        <v>0.488373590129824</v>
      </c>
      <c r="AL38" s="26" t="n">
        <f aca="false">AA38/AE38</f>
        <v>0.954551173880465</v>
      </c>
      <c r="AM38" s="23" t="s">
        <v>42</v>
      </c>
    </row>
    <row r="39" s="23" customFormat="true" ht="14.25" hidden="false" customHeight="false" outlineLevel="0" collapsed="false">
      <c r="A39" s="20" t="n">
        <v>501</v>
      </c>
      <c r="B39" s="21" t="s">
        <v>38</v>
      </c>
      <c r="C39" s="21" t="s">
        <v>39</v>
      </c>
      <c r="D39" s="21" t="n">
        <v>44</v>
      </c>
      <c r="E39" s="21" t="s">
        <v>44</v>
      </c>
      <c r="F39" s="21" t="n">
        <v>1</v>
      </c>
      <c r="G39" s="21" t="n">
        <v>84.5</v>
      </c>
      <c r="H39" s="21" t="n">
        <v>86.5</v>
      </c>
      <c r="I39" s="22" t="str">
        <f aca="false">_xlfn.CONCAT(B39, "-", C39,"-", D39,"-", F39)</f>
        <v>M0111-B-44-1</v>
      </c>
      <c r="J39" s="23" t="str">
        <f aca="false">_xlfn.CONCAT(A39, "-", I39, ",",G39, "-",H39)</f>
        <v>501-M0111-B-44-1,84.5-86.5</v>
      </c>
      <c r="K39" s="22" t="n">
        <f aca="false">VLOOKUP(I39, 'Depth vlookup'!$G$2:$I$997,2,FALSE())+(G39/100)</f>
        <v>146.955</v>
      </c>
      <c r="L39" s="28" t="n">
        <f aca="false">K39+2/100</f>
        <v>146.975</v>
      </c>
      <c r="M39" s="21" t="n">
        <v>255</v>
      </c>
      <c r="N39" s="24" t="n">
        <f aca="false">VLOOKUP(M39,  Beakers!$A$2:$B$151, 2, 0)</f>
        <v>9.9283</v>
      </c>
      <c r="O39" s="21" t="n">
        <v>18.5571</v>
      </c>
      <c r="P39" s="25" t="n">
        <v>46042.4444444444</v>
      </c>
      <c r="Q39" s="21" t="n">
        <v>15.7507</v>
      </c>
      <c r="R39" s="22" t="s">
        <v>43</v>
      </c>
      <c r="S39" s="22" t="n">
        <v>2</v>
      </c>
      <c r="T39" s="21" t="n">
        <v>6.7044</v>
      </c>
      <c r="U39" s="22"/>
      <c r="V39" s="26" t="n">
        <f aca="false">O39-N39</f>
        <v>8.6288</v>
      </c>
      <c r="W39" s="26" t="n">
        <f aca="false">Q39-N39</f>
        <v>5.8224</v>
      </c>
      <c r="X39" s="26" t="n">
        <f aca="false">(V39-W39)/(1-35/1000)</f>
        <v>2.90818652849741</v>
      </c>
      <c r="Y39" s="26" t="n">
        <f aca="false">X39-(V39-W39)</f>
        <v>0.10178652849741</v>
      </c>
      <c r="Z39" s="26" t="n">
        <f aca="false">W39-Y39</f>
        <v>5.72061347150259</v>
      </c>
      <c r="AA39" s="26" t="n">
        <f aca="false">X39/1.024</f>
        <v>2.84002590673575</v>
      </c>
      <c r="AB39" s="26" t="n">
        <f aca="false">Y39/2.22</f>
        <v>0.0458497876114457</v>
      </c>
      <c r="AC39" s="26" t="n">
        <f aca="false">T39-VLOOKUP(M39, Beakers!$A$2:$C$151, 3, 0)</f>
        <v>2.25224753363229</v>
      </c>
      <c r="AD39" s="26" t="n">
        <f aca="false">AC39-AB39+AA39</f>
        <v>5.04642365275659</v>
      </c>
      <c r="AE39" s="26" t="n">
        <f aca="false">AC39-AB39</f>
        <v>2.20639774602084</v>
      </c>
      <c r="AF39" s="26" t="n">
        <f aca="false">X39/V39</f>
        <v>0.337032557076002</v>
      </c>
      <c r="AG39" s="26" t="n">
        <f aca="false">X39/Z39</f>
        <v>0.508369695485393</v>
      </c>
      <c r="AH39" s="26" t="n">
        <f aca="false">V39/AD39</f>
        <v>1.70988418605849</v>
      </c>
      <c r="AI39" s="26" t="n">
        <f aca="false">Z39/AD39</f>
        <v>1.13359754652738</v>
      </c>
      <c r="AJ39" s="26" t="n">
        <f aca="false">Z39/AE39</f>
        <v>2.59273899360145</v>
      </c>
      <c r="AK39" s="26" t="n">
        <f aca="false">AA39/AD39</f>
        <v>0.5627799214171</v>
      </c>
      <c r="AL39" s="26" t="n">
        <f aca="false">AA39/AE39</f>
        <v>1.28717766860378</v>
      </c>
      <c r="AM39" s="23" t="s">
        <v>42</v>
      </c>
    </row>
    <row r="40" s="23" customFormat="true" ht="14.25" hidden="false" customHeight="false" outlineLevel="0" collapsed="false">
      <c r="A40" s="20" t="n">
        <v>501</v>
      </c>
      <c r="B40" s="21" t="s">
        <v>38</v>
      </c>
      <c r="C40" s="21" t="s">
        <v>39</v>
      </c>
      <c r="D40" s="21" t="n">
        <v>45</v>
      </c>
      <c r="E40" s="21" t="s">
        <v>44</v>
      </c>
      <c r="F40" s="21" t="n">
        <v>1</v>
      </c>
      <c r="G40" s="21" t="n">
        <v>54</v>
      </c>
      <c r="H40" s="21" t="n">
        <v>56</v>
      </c>
      <c r="I40" s="22" t="str">
        <f aca="false">_xlfn.CONCAT(B40, "-", C40,"-", D40,"-", F40)</f>
        <v>M0111-B-45-1</v>
      </c>
      <c r="J40" s="23" t="str">
        <f aca="false">_xlfn.CONCAT(A40, "-", I40, ",",G40, "-",H40)</f>
        <v>501-M0111-B-45-1,54-56</v>
      </c>
      <c r="K40" s="22" t="n">
        <f aca="false">VLOOKUP(I40, 'Depth vlookup'!$G$2:$I$997,2,FALSE())+(G40/100)</f>
        <v>149.7</v>
      </c>
      <c r="L40" s="28" t="n">
        <f aca="false">K40+2/100</f>
        <v>149.72</v>
      </c>
      <c r="M40" s="21" t="n">
        <v>256</v>
      </c>
      <c r="N40" s="24" t="n">
        <f aca="false">VLOOKUP(M40,  Beakers!$A$2:$B$151, 2, 0)</f>
        <v>9.8771</v>
      </c>
      <c r="O40" s="21" t="n">
        <v>17.6804</v>
      </c>
      <c r="P40" s="25" t="n">
        <v>46042.5763888889</v>
      </c>
      <c r="Q40" s="21" t="n">
        <v>15.1035</v>
      </c>
      <c r="R40" s="22" t="s">
        <v>41</v>
      </c>
      <c r="S40" s="22" t="n">
        <v>1</v>
      </c>
      <c r="T40" s="21" t="n">
        <v>6.4616</v>
      </c>
      <c r="U40" s="22"/>
      <c r="V40" s="26" t="n">
        <f aca="false">O40-N40</f>
        <v>7.8033</v>
      </c>
      <c r="W40" s="26" t="n">
        <f aca="false">Q40-N40</f>
        <v>5.2264</v>
      </c>
      <c r="X40" s="26" t="n">
        <f aca="false">(V40-W40)/(1-35/1000)</f>
        <v>2.67036269430052</v>
      </c>
      <c r="Y40" s="26" t="n">
        <f aca="false">X40-(V40-W40)</f>
        <v>0.0934626943005181</v>
      </c>
      <c r="Z40" s="26" t="n">
        <f aca="false">W40-Y40</f>
        <v>5.13293730569948</v>
      </c>
      <c r="AA40" s="26" t="n">
        <f aca="false">X40/1.024</f>
        <v>2.60777606865285</v>
      </c>
      <c r="AB40" s="26" t="n">
        <f aca="false">Y40/2.22</f>
        <v>0.0421003127479811</v>
      </c>
      <c r="AC40" s="26" t="n">
        <f aca="false">T40-VLOOKUP(M40, Beakers!$A$2:$C$151, 3, 0)</f>
        <v>2.03240717488789</v>
      </c>
      <c r="AD40" s="26" t="n">
        <f aca="false">AC40-AB40+AA40</f>
        <v>4.59808293079276</v>
      </c>
      <c r="AE40" s="26" t="n">
        <f aca="false">AC40-AB40</f>
        <v>1.99030686213991</v>
      </c>
      <c r="AF40" s="26" t="n">
        <f aca="false">X40/V40</f>
        <v>0.342209410672474</v>
      </c>
      <c r="AG40" s="26" t="n">
        <f aca="false">X40/Z40</f>
        <v>0.52024066051526</v>
      </c>
      <c r="AH40" s="26" t="n">
        <f aca="false">V40/AD40</f>
        <v>1.69707682907203</v>
      </c>
      <c r="AI40" s="26" t="n">
        <f aca="false">Z40/AD40</f>
        <v>1.11632116752938</v>
      </c>
      <c r="AJ40" s="26" t="n">
        <f aca="false">Z40/AE40</f>
        <v>2.57896779805136</v>
      </c>
      <c r="AK40" s="26" t="n">
        <f aca="false">AA40/AD40</f>
        <v>0.567144200725244</v>
      </c>
      <c r="AL40" s="26" t="n">
        <f aca="false">AA40/AE40</f>
        <v>1.31023819404866</v>
      </c>
      <c r="AM40" s="23" t="s">
        <v>42</v>
      </c>
    </row>
    <row r="41" s="23" customFormat="true" ht="14.25" hidden="false" customHeight="false" outlineLevel="0" collapsed="false">
      <c r="A41" s="20" t="n">
        <v>501</v>
      </c>
      <c r="B41" s="21" t="s">
        <v>38</v>
      </c>
      <c r="C41" s="21" t="s">
        <v>39</v>
      </c>
      <c r="D41" s="21" t="n">
        <v>46</v>
      </c>
      <c r="E41" s="21" t="s">
        <v>44</v>
      </c>
      <c r="F41" s="21" t="n">
        <v>1</v>
      </c>
      <c r="G41" s="21" t="n">
        <v>38</v>
      </c>
      <c r="H41" s="21" t="n">
        <v>40</v>
      </c>
      <c r="I41" s="22" t="str">
        <f aca="false">_xlfn.CONCAT(B41, "-", C41,"-", D41,"-", F41)</f>
        <v>M0111-B-46-1</v>
      </c>
      <c r="J41" s="23" t="str">
        <f aca="false">_xlfn.CONCAT(A41, "-", I41, ",",G41, "-",H41)</f>
        <v>501-M0111-B-46-1,38-40</v>
      </c>
      <c r="K41" s="22" t="n">
        <f aca="false">VLOOKUP(I41, 'Depth vlookup'!$G$2:$I$997,2,FALSE())+(G41/100)</f>
        <v>149.92</v>
      </c>
      <c r="L41" s="28" t="n">
        <f aca="false">K41+2/100</f>
        <v>149.94</v>
      </c>
      <c r="M41" s="21" t="n">
        <v>257</v>
      </c>
      <c r="N41" s="24" t="n">
        <f aca="false">VLOOKUP(M41,  Beakers!$A$2:$B$151, 2, 0)</f>
        <v>9.7717</v>
      </c>
      <c r="O41" s="21" t="n">
        <v>16.5039</v>
      </c>
      <c r="P41" s="25" t="n">
        <v>46042.5819444444</v>
      </c>
      <c r="Q41" s="21" t="n">
        <v>14.2983</v>
      </c>
      <c r="R41" s="22" t="s">
        <v>41</v>
      </c>
      <c r="S41" s="22" t="n">
        <v>2</v>
      </c>
      <c r="T41" s="21" t="n">
        <v>6.1404</v>
      </c>
      <c r="U41" s="22"/>
      <c r="V41" s="26" t="n">
        <f aca="false">O41-N41</f>
        <v>6.7322</v>
      </c>
      <c r="W41" s="26" t="n">
        <f aca="false">Q41-N41</f>
        <v>4.5266</v>
      </c>
      <c r="X41" s="26" t="n">
        <f aca="false">(V41-W41)/(1-35/1000)</f>
        <v>2.28559585492228</v>
      </c>
      <c r="Y41" s="26" t="n">
        <f aca="false">X41-(V41-W41)</f>
        <v>0.0799958549222799</v>
      </c>
      <c r="Z41" s="26" t="n">
        <f aca="false">W41-Y41</f>
        <v>4.44660414507772</v>
      </c>
      <c r="AA41" s="26" t="n">
        <f aca="false">X41/1.024</f>
        <v>2.23202720207254</v>
      </c>
      <c r="AB41" s="26" t="n">
        <f aca="false">Y41/2.22</f>
        <v>0.0360341688839099</v>
      </c>
      <c r="AC41" s="26" t="n">
        <f aca="false">T41-VLOOKUP(M41, Beakers!$A$2:$C$151, 3, 0)</f>
        <v>1.75847174887892</v>
      </c>
      <c r="AD41" s="26" t="n">
        <f aca="false">AC41-AB41+AA41</f>
        <v>3.95446478206755</v>
      </c>
      <c r="AE41" s="26" t="n">
        <f aca="false">AC41-AB41</f>
        <v>1.72243757999501</v>
      </c>
      <c r="AF41" s="26" t="n">
        <f aca="false">X41/V41</f>
        <v>0.339502072862108</v>
      </c>
      <c r="AG41" s="26" t="n">
        <f aca="false">X41/Z41</f>
        <v>0.514009293463278</v>
      </c>
      <c r="AH41" s="26" t="n">
        <f aca="false">V41/AD41</f>
        <v>1.70243013176618</v>
      </c>
      <c r="AI41" s="26" t="n">
        <f aca="false">Z41/AD41</f>
        <v>1.12445157312865</v>
      </c>
      <c r="AJ41" s="26" t="n">
        <f aca="false">Z41/AE41</f>
        <v>2.58157636405645</v>
      </c>
      <c r="AK41" s="26" t="n">
        <f aca="false">AA41/AD41</f>
        <v>0.564432186169464</v>
      </c>
      <c r="AL41" s="26" t="n">
        <f aca="false">AA41/AE41</f>
        <v>1.29585375284195</v>
      </c>
      <c r="AM41" s="23" t="s">
        <v>42</v>
      </c>
    </row>
    <row r="42" s="23" customFormat="true" ht="14.25" hidden="false" customHeight="false" outlineLevel="0" collapsed="false">
      <c r="A42" s="20" t="n">
        <v>501</v>
      </c>
      <c r="B42" s="21" t="s">
        <v>38</v>
      </c>
      <c r="C42" s="21" t="s">
        <v>39</v>
      </c>
      <c r="D42" s="21" t="n">
        <v>47</v>
      </c>
      <c r="E42" s="21" t="s">
        <v>44</v>
      </c>
      <c r="F42" s="21" t="n">
        <v>1</v>
      </c>
      <c r="G42" s="21" t="n">
        <v>38</v>
      </c>
      <c r="H42" s="21" t="n">
        <v>40</v>
      </c>
      <c r="I42" s="22" t="str">
        <f aca="false">_xlfn.CONCAT(B42, "-", C42,"-", D42,"-", F42)</f>
        <v>M0111-B-47-1</v>
      </c>
      <c r="J42" s="23" t="str">
        <f aca="false">_xlfn.CONCAT(A42, "-", I42, ",",G42, "-",H42)</f>
        <v>501-M0111-B-47-1,38-40</v>
      </c>
      <c r="K42" s="22" t="n">
        <f aca="false">VLOOKUP(I42, 'Depth vlookup'!$G$2:$I$997,2,FALSE())+(G42/100)</f>
        <v>152.59</v>
      </c>
      <c r="L42" s="28" t="n">
        <f aca="false">K42+2/100</f>
        <v>152.61</v>
      </c>
      <c r="M42" s="21" t="n">
        <v>258</v>
      </c>
      <c r="N42" s="24" t="n">
        <f aca="false">VLOOKUP(M42,  Beakers!$A$2:$B$151, 2, 0)</f>
        <v>9.8593</v>
      </c>
      <c r="O42" s="21" t="n">
        <v>17.6902</v>
      </c>
      <c r="P42" s="25" t="n">
        <v>46042.5819444444</v>
      </c>
      <c r="Q42" s="21" t="n">
        <v>15.0194</v>
      </c>
      <c r="R42" s="22" t="s">
        <v>41</v>
      </c>
      <c r="S42" s="22" t="n">
        <v>3</v>
      </c>
      <c r="T42" s="21" t="n">
        <v>6.439</v>
      </c>
      <c r="U42" s="22"/>
      <c r="V42" s="26" t="n">
        <f aca="false">O42-N42</f>
        <v>7.8309</v>
      </c>
      <c r="W42" s="26" t="n">
        <f aca="false">Q42-N42</f>
        <v>5.1601</v>
      </c>
      <c r="X42" s="26" t="n">
        <f aca="false">(V42-W42)/(1-35/1000)</f>
        <v>2.76766839378239</v>
      </c>
      <c r="Y42" s="26" t="n">
        <f aca="false">X42-(V42-W42)</f>
        <v>0.0968683937823838</v>
      </c>
      <c r="Z42" s="26" t="n">
        <f aca="false">W42-Y42</f>
        <v>5.06323160621762</v>
      </c>
      <c r="AA42" s="26" t="n">
        <f aca="false">X42/1.024</f>
        <v>2.70280116580311</v>
      </c>
      <c r="AB42" s="26" t="n">
        <f aca="false">Y42/2.22</f>
        <v>0.0436344116136864</v>
      </c>
      <c r="AC42" s="26" t="n">
        <f aca="false">T42-VLOOKUP(M42, Beakers!$A$2:$C$151, 3, 0)</f>
        <v>2.01778923766816</v>
      </c>
      <c r="AD42" s="26" t="n">
        <f aca="false">AC42-AB42+AA42</f>
        <v>4.67695599185759</v>
      </c>
      <c r="AE42" s="26" t="n">
        <f aca="false">AC42-AB42</f>
        <v>1.97415482605448</v>
      </c>
      <c r="AF42" s="26" t="n">
        <f aca="false">X42/V42</f>
        <v>0.353429158051103</v>
      </c>
      <c r="AG42" s="26" t="n">
        <f aca="false">X42/Z42</f>
        <v>0.546620934816354</v>
      </c>
      <c r="AH42" s="26" t="n">
        <f aca="false">V42/AD42</f>
        <v>1.67435828210343</v>
      </c>
      <c r="AI42" s="26" t="n">
        <f aca="false">Z42/AD42</f>
        <v>1.08259124418372</v>
      </c>
      <c r="AJ42" s="26" t="n">
        <f aca="false">Z42/AE42</f>
        <v>2.56475912597845</v>
      </c>
      <c r="AK42" s="26" t="n">
        <f aca="false">AA42/AD42</f>
        <v>0.577897497968463</v>
      </c>
      <c r="AL42" s="26" t="n">
        <f aca="false">AA42/AE42</f>
        <v>1.36909280373156</v>
      </c>
      <c r="AM42" s="23" t="s">
        <v>42</v>
      </c>
    </row>
    <row r="43" s="23" customFormat="true" ht="14.25" hidden="false" customHeight="false" outlineLevel="0" collapsed="false">
      <c r="A43" s="20" t="n">
        <v>501</v>
      </c>
      <c r="B43" s="21" t="s">
        <v>38</v>
      </c>
      <c r="C43" s="21" t="s">
        <v>39</v>
      </c>
      <c r="D43" s="21" t="n">
        <v>48</v>
      </c>
      <c r="E43" s="21" t="s">
        <v>44</v>
      </c>
      <c r="F43" s="21" t="n">
        <v>1</v>
      </c>
      <c r="G43" s="21" t="n">
        <v>38</v>
      </c>
      <c r="H43" s="21" t="n">
        <v>40</v>
      </c>
      <c r="I43" s="22" t="str">
        <f aca="false">_xlfn.CONCAT(B43, "-", C43,"-", D43,"-", F43)</f>
        <v>M0111-B-48-1</v>
      </c>
      <c r="J43" s="23" t="str">
        <f aca="false">_xlfn.CONCAT(A43, "-", I43, ",",G43, "-",H43)</f>
        <v>501-M0111-B-48-1,38-40</v>
      </c>
      <c r="K43" s="22" t="n">
        <f aca="false">VLOOKUP(I43, 'Depth vlookup'!$G$2:$I$997,2,FALSE())+(G43/100)</f>
        <v>155.64</v>
      </c>
      <c r="L43" s="28" t="n">
        <f aca="false">K43+2/100</f>
        <v>155.66</v>
      </c>
      <c r="M43" s="21" t="n">
        <v>259</v>
      </c>
      <c r="N43" s="24" t="n">
        <f aca="false">VLOOKUP(M43,  Beakers!$A$2:$B$151, 2, 0)</f>
        <v>9.9797</v>
      </c>
      <c r="O43" s="21" t="n">
        <v>17.8816</v>
      </c>
      <c r="P43" s="25" t="n">
        <v>46042.6444444444</v>
      </c>
      <c r="Q43" s="21" t="n">
        <v>16.2625</v>
      </c>
      <c r="R43" s="22" t="s">
        <v>41</v>
      </c>
      <c r="S43" s="22" t="n">
        <v>2</v>
      </c>
      <c r="T43" s="21" t="n">
        <v>6.8599</v>
      </c>
      <c r="U43" s="22"/>
      <c r="V43" s="26" t="n">
        <f aca="false">O43-N43</f>
        <v>7.9019</v>
      </c>
      <c r="W43" s="26" t="n">
        <f aca="false">Q43-N43</f>
        <v>6.2828</v>
      </c>
      <c r="X43" s="26" t="n">
        <f aca="false">(V43-W43)/(1-35/1000)</f>
        <v>1.67782383419689</v>
      </c>
      <c r="Y43" s="26" t="n">
        <f aca="false">X43-(V43-W43)</f>
        <v>0.0587238341968912</v>
      </c>
      <c r="Z43" s="26" t="n">
        <f aca="false">W43-Y43</f>
        <v>6.22407616580311</v>
      </c>
      <c r="AA43" s="26" t="n">
        <f aca="false">X43/1.024</f>
        <v>1.6384998380829</v>
      </c>
      <c r="AB43" s="26" t="n">
        <f aca="false">Y43/2.22</f>
        <v>0.0264521775661672</v>
      </c>
      <c r="AC43" s="26" t="n">
        <f aca="false">T43-VLOOKUP(M43, Beakers!$A$2:$C$151, 3, 0)</f>
        <v>2.38469820627803</v>
      </c>
      <c r="AD43" s="26" t="n">
        <f aca="false">AC43-AB43+AA43</f>
        <v>3.99674586679476</v>
      </c>
      <c r="AE43" s="26" t="n">
        <f aca="false">AC43-AB43</f>
        <v>2.35824602871186</v>
      </c>
      <c r="AF43" s="26" t="n">
        <f aca="false">X43/V43</f>
        <v>0.212331696705462</v>
      </c>
      <c r="AG43" s="26" t="n">
        <f aca="false">X43/Z43</f>
        <v>0.269569939297232</v>
      </c>
      <c r="AH43" s="26" t="n">
        <f aca="false">V43/AD43</f>
        <v>1.97708342320424</v>
      </c>
      <c r="AI43" s="26" t="n">
        <f aca="false">Z43/AD43</f>
        <v>1.55728594542704</v>
      </c>
      <c r="AJ43" s="26" t="n">
        <f aca="false">Z43/AE43</f>
        <v>2.63928194515094</v>
      </c>
      <c r="AK43" s="26" t="n">
        <f aca="false">AA43/AD43</f>
        <v>0.409958474391797</v>
      </c>
      <c r="AL43" s="26" t="n">
        <f aca="false">AA43/AE43</f>
        <v>0.694795970451775</v>
      </c>
      <c r="AM43" s="23" t="s">
        <v>42</v>
      </c>
    </row>
    <row r="44" s="23" customFormat="true" ht="14.25" hidden="false" customHeight="false" outlineLevel="0" collapsed="false">
      <c r="A44" s="20" t="n">
        <v>501</v>
      </c>
      <c r="B44" s="21" t="s">
        <v>38</v>
      </c>
      <c r="C44" s="21" t="s">
        <v>39</v>
      </c>
      <c r="D44" s="21" t="n">
        <v>49</v>
      </c>
      <c r="E44" s="21" t="s">
        <v>44</v>
      </c>
      <c r="F44" s="21" t="n">
        <v>1</v>
      </c>
      <c r="G44" s="21" t="n">
        <v>8</v>
      </c>
      <c r="H44" s="21" t="n">
        <v>10</v>
      </c>
      <c r="I44" s="22" t="str">
        <f aca="false">_xlfn.CONCAT(B44, "-", C44,"-", D44,"-", F44)</f>
        <v>M0111-B-49-1</v>
      </c>
      <c r="J44" s="23" t="str">
        <f aca="false">_xlfn.CONCAT(A44, "-", I44, ",",G44, "-",H44)</f>
        <v>501-M0111-B-49-1,8-10</v>
      </c>
      <c r="K44" s="22" t="n">
        <f aca="false">VLOOKUP(I44, 'Depth vlookup'!$G$2:$I$997,2,FALSE())+(G44/100)</f>
        <v>158.39</v>
      </c>
      <c r="L44" s="28" t="n">
        <f aca="false">K44+2/100</f>
        <v>158.41</v>
      </c>
      <c r="M44" s="21" t="n">
        <v>181</v>
      </c>
      <c r="N44" s="24" t="n">
        <f aca="false">VLOOKUP(M44,  Beakers!$A$2:$B$151, 2, 0)</f>
        <v>9.5058</v>
      </c>
      <c r="O44" s="21" t="n">
        <v>18.8274</v>
      </c>
      <c r="P44" s="25" t="n">
        <v>46042.6444444444</v>
      </c>
      <c r="Q44" s="21" t="n">
        <v>17.0225</v>
      </c>
      <c r="R44" s="22" t="s">
        <v>41</v>
      </c>
      <c r="S44" s="22" t="n">
        <v>3</v>
      </c>
      <c r="T44" s="21" t="n">
        <v>7.1178</v>
      </c>
      <c r="U44" s="22"/>
      <c r="V44" s="26" t="n">
        <f aca="false">O44-N44</f>
        <v>9.3216</v>
      </c>
      <c r="W44" s="26" t="n">
        <f aca="false">Q44-N44</f>
        <v>7.5167</v>
      </c>
      <c r="X44" s="26" t="n">
        <f aca="false">(V44-W44)/(1-35/1000)</f>
        <v>1.87036269430052</v>
      </c>
      <c r="Y44" s="26" t="n">
        <f aca="false">X44-(V44-W44)</f>
        <v>0.0654626943005181</v>
      </c>
      <c r="Z44" s="26" t="n">
        <f aca="false">W44-Y44</f>
        <v>7.45123730569948</v>
      </c>
      <c r="AA44" s="26" t="n">
        <f aca="false">X44/1.024</f>
        <v>1.82652606865285</v>
      </c>
      <c r="AB44" s="26" t="n">
        <f aca="false">Y44/2.22</f>
        <v>0.0294877001353685</v>
      </c>
      <c r="AC44" s="26" t="n">
        <f aca="false">T44-VLOOKUP(M44, Beakers!$A$2:$C$151, 3, 0)</f>
        <v>2.85510941704036</v>
      </c>
      <c r="AD44" s="26" t="n">
        <f aca="false">AC44-AB44+AA44</f>
        <v>4.65214778555784</v>
      </c>
      <c r="AE44" s="26" t="n">
        <f aca="false">AC44-AB44</f>
        <v>2.82562171690499</v>
      </c>
      <c r="AF44" s="26" t="n">
        <f aca="false">X44/V44</f>
        <v>0.200648246470619</v>
      </c>
      <c r="AG44" s="26" t="n">
        <f aca="false">X44/Z44</f>
        <v>0.251013706524938</v>
      </c>
      <c r="AH44" s="26" t="n">
        <f aca="false">V44/AD44</f>
        <v>2.00371966448229</v>
      </c>
      <c r="AI44" s="26" t="n">
        <f aca="false">Z44/AD44</f>
        <v>1.60167682738523</v>
      </c>
      <c r="AJ44" s="26" t="n">
        <f aca="false">Z44/AE44</f>
        <v>2.63702577776798</v>
      </c>
      <c r="AK44" s="26" t="n">
        <f aca="false">AA44/AD44</f>
        <v>0.392619958102606</v>
      </c>
      <c r="AL44" s="26" t="n">
        <f aca="false">AA44/AE44</f>
        <v>0.646415639335301</v>
      </c>
      <c r="AM44" s="23" t="s">
        <v>42</v>
      </c>
    </row>
    <row r="45" s="23" customFormat="true" ht="14.25" hidden="false" customHeight="false" outlineLevel="0" collapsed="false">
      <c r="A45" s="20" t="n">
        <v>501</v>
      </c>
      <c r="B45" s="21" t="s">
        <v>38</v>
      </c>
      <c r="C45" s="21" t="s">
        <v>39</v>
      </c>
      <c r="D45" s="21" t="n">
        <v>51</v>
      </c>
      <c r="E45" s="21" t="s">
        <v>44</v>
      </c>
      <c r="F45" s="21" t="n">
        <v>1</v>
      </c>
      <c r="G45" s="21" t="n">
        <v>30</v>
      </c>
      <c r="H45" s="21" t="n">
        <v>32</v>
      </c>
      <c r="I45" s="22" t="str">
        <f aca="false">_xlfn.CONCAT(B45, "-", C45,"-", D45,"-", F45)</f>
        <v>M0111-B-51-1</v>
      </c>
      <c r="J45" s="23" t="str">
        <f aca="false">_xlfn.CONCAT(A45, "-", I45, ",",G45, "-",H45)</f>
        <v>501-M0111-B-51-1,30-32</v>
      </c>
      <c r="K45" s="22" t="n">
        <f aca="false">VLOOKUP(I45, 'Depth vlookup'!$G$2:$I$997,2,FALSE())+(G45/100)</f>
        <v>161.66</v>
      </c>
      <c r="L45" s="28" t="n">
        <f aca="false">K45+2/100</f>
        <v>161.68</v>
      </c>
      <c r="M45" s="21" t="n">
        <v>182</v>
      </c>
      <c r="N45" s="24" t="n">
        <f aca="false">VLOOKUP(M45,  Beakers!$A$2:$B$151, 2, 0)</f>
        <v>9.7033</v>
      </c>
      <c r="O45" s="21" t="n">
        <v>17.2998</v>
      </c>
      <c r="P45" s="25" t="n">
        <v>46042.6444444444</v>
      </c>
      <c r="Q45" s="21" t="n">
        <v>15.775</v>
      </c>
      <c r="R45" s="22" t="s">
        <v>41</v>
      </c>
      <c r="S45" s="22" t="n">
        <v>5</v>
      </c>
      <c r="T45" s="21" t="n">
        <v>6.6498</v>
      </c>
      <c r="U45" s="22"/>
      <c r="V45" s="26" t="n">
        <f aca="false">O45-N45</f>
        <v>7.5965</v>
      </c>
      <c r="W45" s="26" t="n">
        <f aca="false">Q45-N45</f>
        <v>6.0717</v>
      </c>
      <c r="X45" s="26" t="n">
        <f aca="false">(V45-W45)/(1-35/1000)</f>
        <v>1.58010362694301</v>
      </c>
      <c r="Y45" s="26" t="n">
        <f aca="false">X45-(V45-W45)</f>
        <v>0.0553036269430052</v>
      </c>
      <c r="Z45" s="26" t="n">
        <f aca="false">W45-Y45</f>
        <v>6.01639637305699</v>
      </c>
      <c r="AA45" s="26" t="n">
        <f aca="false">X45/1.024</f>
        <v>1.54306994818653</v>
      </c>
      <c r="AB45" s="26" t="n">
        <f aca="false">Y45/2.22</f>
        <v>0.0249115436680203</v>
      </c>
      <c r="AC45" s="26" t="n">
        <f aca="false">T45-VLOOKUP(M45, Beakers!$A$2:$C$151, 3, 0)</f>
        <v>2.29854439461883</v>
      </c>
      <c r="AD45" s="26" t="n">
        <f aca="false">AC45-AB45+AA45</f>
        <v>3.81670279913734</v>
      </c>
      <c r="AE45" s="26" t="n">
        <f aca="false">AC45-AB45</f>
        <v>2.27363285095081</v>
      </c>
      <c r="AF45" s="26" t="n">
        <f aca="false">X45/V45</f>
        <v>0.208004163357205</v>
      </c>
      <c r="AG45" s="26" t="n">
        <f aca="false">X45/Z45</f>
        <v>0.262632899989623</v>
      </c>
      <c r="AH45" s="26" t="n">
        <f aca="false">V45/AD45</f>
        <v>1.99033050247375</v>
      </c>
      <c r="AI45" s="26" t="n">
        <f aca="false">Z45/AD45</f>
        <v>1.57633347150237</v>
      </c>
      <c r="AJ45" s="26" t="n">
        <f aca="false">Z45/AE45</f>
        <v>2.64616002998945</v>
      </c>
      <c r="AK45" s="26" t="n">
        <f aca="false">AA45/AD45</f>
        <v>0.404293975557986</v>
      </c>
      <c r="AL45" s="26" t="n">
        <f aca="false">AA45/AE45</f>
        <v>0.678680354016362</v>
      </c>
      <c r="AM45" s="23" t="s">
        <v>42</v>
      </c>
    </row>
    <row r="46" s="23" customFormat="true" ht="14.25" hidden="false" customHeight="false" outlineLevel="0" collapsed="false">
      <c r="A46" s="20" t="n">
        <v>501</v>
      </c>
      <c r="B46" s="21" t="s">
        <v>38</v>
      </c>
      <c r="C46" s="21" t="s">
        <v>39</v>
      </c>
      <c r="D46" s="21" t="n">
        <v>52</v>
      </c>
      <c r="E46" s="21" t="s">
        <v>44</v>
      </c>
      <c r="F46" s="21" t="n">
        <v>1</v>
      </c>
      <c r="G46" s="21" t="n">
        <v>12</v>
      </c>
      <c r="H46" s="21" t="n">
        <v>14</v>
      </c>
      <c r="I46" s="22" t="str">
        <f aca="false">_xlfn.CONCAT(B46, "-", C46,"-", D46,"-", F46)</f>
        <v>M0111-B-52-1</v>
      </c>
      <c r="J46" s="23" t="str">
        <f aca="false">_xlfn.CONCAT(A46, "-", I46, ",",G46, "-",H46)</f>
        <v>501-M0111-B-52-1,12-14</v>
      </c>
      <c r="K46" s="22" t="n">
        <f aca="false">VLOOKUP(I46, 'Depth vlookup'!$G$2:$I$997,2,FALSE())+(G46/100)</f>
        <v>162.18</v>
      </c>
      <c r="L46" s="28" t="n">
        <f aca="false">K46+2/100</f>
        <v>162.2</v>
      </c>
      <c r="M46" s="21" t="n">
        <v>183</v>
      </c>
      <c r="N46" s="24" t="n">
        <f aca="false">VLOOKUP(M46,  Beakers!$A$2:$B$151, 2, 0)</f>
        <v>9.6636</v>
      </c>
      <c r="O46" s="21" t="n">
        <v>18.1313</v>
      </c>
      <c r="P46" s="25" t="n">
        <v>46042.6805555556</v>
      </c>
      <c r="Q46" s="21" t="n">
        <v>16.7728</v>
      </c>
      <c r="R46" s="22" t="s">
        <v>41</v>
      </c>
      <c r="S46" s="22" t="n">
        <v>3</v>
      </c>
      <c r="T46" s="21" t="n">
        <v>7.0352</v>
      </c>
      <c r="U46" s="22"/>
      <c r="V46" s="26" t="n">
        <f aca="false">O46-N46</f>
        <v>8.4677</v>
      </c>
      <c r="W46" s="26" t="n">
        <f aca="false">Q46-N46</f>
        <v>7.1092</v>
      </c>
      <c r="X46" s="26" t="n">
        <f aca="false">(V46-W46)/(1-35/1000)</f>
        <v>1.40777202072539</v>
      </c>
      <c r="Y46" s="26" t="n">
        <f aca="false">X46-(V46-W46)</f>
        <v>0.0492720207253887</v>
      </c>
      <c r="Z46" s="26" t="n">
        <f aca="false">W46-Y46</f>
        <v>7.05992797927461</v>
      </c>
      <c r="AA46" s="26" t="n">
        <f aca="false">X46/1.024</f>
        <v>1.37477736398964</v>
      </c>
      <c r="AB46" s="26" t="n">
        <f aca="false">Y46/2.22</f>
        <v>0.0221946039303553</v>
      </c>
      <c r="AC46" s="26" t="n">
        <f aca="false">T46-VLOOKUP(M46, Beakers!$A$2:$C$151, 3, 0)</f>
        <v>2.70174708520179</v>
      </c>
      <c r="AD46" s="26" t="n">
        <f aca="false">AC46-AB46+AA46</f>
        <v>4.05432984526107</v>
      </c>
      <c r="AE46" s="26" t="n">
        <f aca="false">AC46-AB46</f>
        <v>2.67955248127144</v>
      </c>
      <c r="AF46" s="26" t="n">
        <f aca="false">X46/V46</f>
        <v>0.166251995314594</v>
      </c>
      <c r="AG46" s="26" t="n">
        <f aca="false">X46/Z46</f>
        <v>0.19940317023886</v>
      </c>
      <c r="AH46" s="26" t="n">
        <f aca="false">V46/AD46</f>
        <v>2.08855725192106</v>
      </c>
      <c r="AI46" s="26" t="n">
        <f aca="false">Z46/AD46</f>
        <v>1.74133044146042</v>
      </c>
      <c r="AJ46" s="26" t="n">
        <f aca="false">Z46/AE46</f>
        <v>2.63474144605098</v>
      </c>
      <c r="AK46" s="26" t="n">
        <f aca="false">AA46/AD46</f>
        <v>0.33908868209047</v>
      </c>
      <c r="AL46" s="26" t="n">
        <f aca="false">AA46/AE46</f>
        <v>0.513062301857701</v>
      </c>
      <c r="AM46" s="23" t="s">
        <v>42</v>
      </c>
    </row>
    <row r="47" s="23" customFormat="true" ht="14.25" hidden="false" customHeight="false" outlineLevel="0" collapsed="false">
      <c r="A47" s="20" t="n">
        <v>501</v>
      </c>
      <c r="B47" s="21" t="s">
        <v>38</v>
      </c>
      <c r="C47" s="21" t="s">
        <v>39</v>
      </c>
      <c r="D47" s="21" t="n">
        <v>53</v>
      </c>
      <c r="E47" s="21" t="s">
        <v>44</v>
      </c>
      <c r="F47" s="21" t="n">
        <v>1</v>
      </c>
      <c r="G47" s="21" t="n">
        <v>8</v>
      </c>
      <c r="H47" s="21" t="n">
        <v>10</v>
      </c>
      <c r="I47" s="22" t="str">
        <f aca="false">_xlfn.CONCAT(B47, "-", C47,"-", D47,"-", F47)</f>
        <v>M0111-B-53-1</v>
      </c>
      <c r="J47" s="23" t="str">
        <f aca="false">_xlfn.CONCAT(A47, "-", I47, ",",G47, "-",H47)</f>
        <v>501-M0111-B-53-1,8-10</v>
      </c>
      <c r="K47" s="22" t="n">
        <f aca="false">VLOOKUP(I47, 'Depth vlookup'!$G$2:$I$997,2,FALSE())+(G47/100)</f>
        <v>163.92</v>
      </c>
      <c r="L47" s="28" t="n">
        <f aca="false">K47+2/100</f>
        <v>163.94</v>
      </c>
      <c r="M47" s="21" t="n">
        <v>184</v>
      </c>
      <c r="N47" s="24" t="n">
        <f aca="false">VLOOKUP(M47,  Beakers!$A$2:$B$151, 2, 0)</f>
        <v>9.8976</v>
      </c>
      <c r="O47" s="21" t="n">
        <v>17.8058</v>
      </c>
      <c r="P47" s="25" t="n">
        <v>46042.6805555556</v>
      </c>
      <c r="Q47" s="21" t="n">
        <v>16.0081</v>
      </c>
      <c r="R47" s="22" t="s">
        <v>41</v>
      </c>
      <c r="S47" s="22" t="n">
        <v>5</v>
      </c>
      <c r="T47" s="21" t="n">
        <v>6.6954</v>
      </c>
      <c r="U47" s="22"/>
      <c r="V47" s="26" t="n">
        <f aca="false">O47-N47</f>
        <v>7.9082</v>
      </c>
      <c r="W47" s="26" t="n">
        <f aca="false">Q47-N47</f>
        <v>6.1105</v>
      </c>
      <c r="X47" s="26" t="n">
        <f aca="false">(V47-W47)/(1-35/1000)</f>
        <v>1.86290155440415</v>
      </c>
      <c r="Y47" s="26" t="n">
        <f aca="false">X47-(V47-W47)</f>
        <v>0.0652015544041453</v>
      </c>
      <c r="Z47" s="26" t="n">
        <f aca="false">W47-Y47</f>
        <v>6.04529844559585</v>
      </c>
      <c r="AA47" s="26" t="n">
        <f aca="false">X47/1.024</f>
        <v>1.8192397992228</v>
      </c>
      <c r="AB47" s="26" t="n">
        <f aca="false">Y47/2.22</f>
        <v>0.0293700695514168</v>
      </c>
      <c r="AC47" s="26" t="n">
        <f aca="false">T47-VLOOKUP(M47, Beakers!$A$2:$C$151, 3, 0)</f>
        <v>2.25701434977579</v>
      </c>
      <c r="AD47" s="26" t="n">
        <f aca="false">AC47-AB47+AA47</f>
        <v>4.04688407944717</v>
      </c>
      <c r="AE47" s="26" t="n">
        <f aca="false">AC47-AB47</f>
        <v>2.22764428022437</v>
      </c>
      <c r="AF47" s="26" t="n">
        <f aca="false">X47/V47</f>
        <v>0.23556581199314</v>
      </c>
      <c r="AG47" s="26" t="n">
        <f aca="false">X47/Z47</f>
        <v>0.308157086233074</v>
      </c>
      <c r="AH47" s="26" t="n">
        <f aca="false">V47/AD47</f>
        <v>1.95414542268785</v>
      </c>
      <c r="AI47" s="26" t="n">
        <f aca="false">Z47/AD47</f>
        <v>1.49381556943971</v>
      </c>
      <c r="AJ47" s="26" t="n">
        <f aca="false">Z47/AE47</f>
        <v>2.71376291953892</v>
      </c>
      <c r="AK47" s="26" t="n">
        <f aca="false">AA47/AD47</f>
        <v>0.449540872312636</v>
      </c>
      <c r="AL47" s="26" t="n">
        <f aca="false">AA47/AE47</f>
        <v>0.816665306652805</v>
      </c>
      <c r="AM47" s="23" t="s">
        <v>42</v>
      </c>
    </row>
    <row r="48" s="23" customFormat="true" ht="14.25" hidden="false" customHeight="false" outlineLevel="0" collapsed="false">
      <c r="A48" s="20" t="n">
        <v>501</v>
      </c>
      <c r="B48" s="21" t="s">
        <v>38</v>
      </c>
      <c r="C48" s="21" t="s">
        <v>39</v>
      </c>
      <c r="D48" s="21" t="n">
        <v>54</v>
      </c>
      <c r="E48" s="21" t="s">
        <v>44</v>
      </c>
      <c r="F48" s="21" t="n">
        <v>1</v>
      </c>
      <c r="G48" s="21" t="n">
        <v>28</v>
      </c>
      <c r="H48" s="21" t="n">
        <v>30</v>
      </c>
      <c r="I48" s="22" t="str">
        <f aca="false">_xlfn.CONCAT(B48, "-", C48,"-", D48,"-", F48)</f>
        <v>M0111-B-54-1</v>
      </c>
      <c r="J48" s="23" t="str">
        <f aca="false">_xlfn.CONCAT(A48, "-", I48, ",",G48, "-",H48)</f>
        <v>501-M0111-B-54-1,28-30</v>
      </c>
      <c r="K48" s="22" t="n">
        <f aca="false">VLOOKUP(I48, 'Depth vlookup'!$G$2:$I$997,2,FALSE())+(G48/100)</f>
        <v>165.74</v>
      </c>
      <c r="L48" s="28" t="n">
        <f aca="false">K48+2/100</f>
        <v>165.76</v>
      </c>
      <c r="M48" s="21" t="n">
        <v>185</v>
      </c>
      <c r="N48" s="24" t="n">
        <f aca="false">VLOOKUP(M48,  Beakers!$A$2:$B$151, 2, 0)</f>
        <v>9.8465</v>
      </c>
      <c r="O48" s="21" t="n">
        <v>21.4006</v>
      </c>
      <c r="P48" s="25" t="n">
        <v>46042.6805555556</v>
      </c>
      <c r="Q48" s="21" t="n">
        <v>19.4111</v>
      </c>
      <c r="R48" s="22" t="s">
        <v>41</v>
      </c>
      <c r="S48" s="22" t="n">
        <v>1</v>
      </c>
      <c r="T48" s="21" t="n">
        <v>8.0068</v>
      </c>
      <c r="U48" s="22"/>
      <c r="V48" s="26" t="n">
        <f aca="false">O48-N48</f>
        <v>11.5541</v>
      </c>
      <c r="W48" s="26" t="n">
        <f aca="false">Q48-N48</f>
        <v>9.5646</v>
      </c>
      <c r="X48" s="26" t="n">
        <f aca="false">(V48-W48)/(1-35/1000)</f>
        <v>2.06165803108808</v>
      </c>
      <c r="Y48" s="26" t="n">
        <f aca="false">X48-(V48-W48)</f>
        <v>0.0721580310880832</v>
      </c>
      <c r="Z48" s="26" t="n">
        <f aca="false">W48-Y48</f>
        <v>9.49244196891192</v>
      </c>
      <c r="AA48" s="26" t="n">
        <f aca="false">X48/1.024</f>
        <v>2.01333792098446</v>
      </c>
      <c r="AB48" s="26" t="n">
        <f aca="false">Y48/2.22</f>
        <v>0.0325036176072447</v>
      </c>
      <c r="AC48" s="26" t="n">
        <f aca="false">T48-VLOOKUP(M48, Beakers!$A$2:$C$151, 3, 0)</f>
        <v>3.59132914798206</v>
      </c>
      <c r="AD48" s="26" t="n">
        <f aca="false">AC48-AB48+AA48</f>
        <v>5.57216345135927</v>
      </c>
      <c r="AE48" s="26" t="n">
        <f aca="false">AC48-AB48</f>
        <v>3.55882553037482</v>
      </c>
      <c r="AF48" s="26" t="n">
        <f aca="false">X48/V48</f>
        <v>0.17843519019985</v>
      </c>
      <c r="AG48" s="26" t="n">
        <f aca="false">X48/Z48</f>
        <v>0.217189426897745</v>
      </c>
      <c r="AH48" s="26" t="n">
        <f aca="false">V48/AD48</f>
        <v>2.07353931751257</v>
      </c>
      <c r="AI48" s="26" t="n">
        <f aca="false">Z48/AD48</f>
        <v>1.70354693500535</v>
      </c>
      <c r="AJ48" s="26" t="n">
        <f aca="false">Z48/AE48</f>
        <v>2.66729624363242</v>
      </c>
      <c r="AK48" s="26" t="n">
        <f aca="false">AA48/AD48</f>
        <v>0.361320686042209</v>
      </c>
      <c r="AL48" s="26" t="n">
        <f aca="false">AA48/AE48</f>
        <v>0.565730998555698</v>
      </c>
      <c r="AM48" s="23" t="s">
        <v>42</v>
      </c>
    </row>
    <row r="49" s="23" customFormat="true" ht="14.25" hidden="false" customHeight="false" outlineLevel="0" collapsed="false">
      <c r="A49" s="20" t="n">
        <v>501</v>
      </c>
      <c r="B49" s="21" t="s">
        <v>38</v>
      </c>
      <c r="C49" s="21" t="s">
        <v>39</v>
      </c>
      <c r="D49" s="21" t="n">
        <v>55</v>
      </c>
      <c r="E49" s="21" t="s">
        <v>44</v>
      </c>
      <c r="F49" s="21" t="n">
        <v>1</v>
      </c>
      <c r="G49" s="21" t="n">
        <v>28</v>
      </c>
      <c r="H49" s="21" t="n">
        <v>30</v>
      </c>
      <c r="I49" s="22" t="str">
        <f aca="false">_xlfn.CONCAT(B49, "-", C49,"-", D49,"-", F49)</f>
        <v>M0111-B-55-1</v>
      </c>
      <c r="J49" s="23" t="str">
        <f aca="false">_xlfn.CONCAT(A49, "-", I49, ",",G49, "-",H49)</f>
        <v>501-M0111-B-55-1,28-30</v>
      </c>
      <c r="K49" s="22" t="n">
        <f aca="false">VLOOKUP(I49, 'Depth vlookup'!$G$2:$I$997,2,FALSE())+(G49/100)</f>
        <v>166.09</v>
      </c>
      <c r="L49" s="28" t="n">
        <f aca="false">K49+2/100</f>
        <v>166.11</v>
      </c>
      <c r="M49" s="21" t="n">
        <v>186</v>
      </c>
      <c r="N49" s="24" t="n">
        <f aca="false">VLOOKUP(M49,  Beakers!$A$2:$B$151, 2, 0)</f>
        <v>9.8185</v>
      </c>
      <c r="O49" s="21" t="n">
        <v>20.2442</v>
      </c>
      <c r="P49" s="25" t="n">
        <v>46042.725</v>
      </c>
      <c r="Q49" s="21" t="n">
        <v>18.0976</v>
      </c>
      <c r="R49" s="22" t="s">
        <v>41</v>
      </c>
      <c r="S49" s="22" t="n">
        <v>5</v>
      </c>
      <c r="T49" s="21" t="n">
        <v>7.525</v>
      </c>
      <c r="U49" s="22"/>
      <c r="V49" s="26" t="n">
        <f aca="false">O49-N49</f>
        <v>10.4257</v>
      </c>
      <c r="W49" s="26" t="n">
        <f aca="false">Q49-N49</f>
        <v>8.2791</v>
      </c>
      <c r="X49" s="26" t="n">
        <f aca="false">(V49-W49)/(1-35/1000)</f>
        <v>2.22445595854922</v>
      </c>
      <c r="Y49" s="26" t="n">
        <f aca="false">X49-(V49-W49)</f>
        <v>0.0778559585492227</v>
      </c>
      <c r="Z49" s="26" t="n">
        <f aca="false">W49-Y49</f>
        <v>8.20124404145078</v>
      </c>
      <c r="AA49" s="26" t="n">
        <f aca="false">X49/1.024</f>
        <v>2.17232027202072</v>
      </c>
      <c r="AB49" s="26" t="n">
        <f aca="false">Y49/2.22</f>
        <v>0.035070251598749</v>
      </c>
      <c r="AC49" s="26" t="n">
        <f aca="false">T49-VLOOKUP(M49, Beakers!$A$2:$C$151, 3, 0)</f>
        <v>3.12208520179372</v>
      </c>
      <c r="AD49" s="26" t="n">
        <f aca="false">AC49-AB49+AA49</f>
        <v>5.2593352222157</v>
      </c>
      <c r="AE49" s="26" t="n">
        <f aca="false">AC49-AB49</f>
        <v>3.08701495019497</v>
      </c>
      <c r="AF49" s="26" t="n">
        <f aca="false">X49/V49</f>
        <v>0.213362743849259</v>
      </c>
      <c r="AG49" s="26" t="n">
        <f aca="false">X49/Z49</f>
        <v>0.271233967347681</v>
      </c>
      <c r="AH49" s="26" t="n">
        <f aca="false">V49/AD49</f>
        <v>1.98232277645306</v>
      </c>
      <c r="AI49" s="26" t="n">
        <f aca="false">Z49/AD49</f>
        <v>1.55936894967415</v>
      </c>
      <c r="AJ49" s="26" t="n">
        <f aca="false">Z49/AE49</f>
        <v>2.65669074292394</v>
      </c>
      <c r="AK49" s="26" t="n">
        <f aca="false">AA49/AD49</f>
        <v>0.413040846463776</v>
      </c>
      <c r="AL49" s="26" t="n">
        <f aca="false">AA49/AE49</f>
        <v>0.703696064667106</v>
      </c>
      <c r="AM49" s="23" t="s">
        <v>42</v>
      </c>
    </row>
    <row r="50" s="23" customFormat="true" ht="14.25" hidden="false" customHeight="false" outlineLevel="0" collapsed="false">
      <c r="A50" s="20" t="n">
        <v>501</v>
      </c>
      <c r="B50" s="21" t="s">
        <v>38</v>
      </c>
      <c r="C50" s="21" t="s">
        <v>39</v>
      </c>
      <c r="D50" s="21" t="n">
        <v>56</v>
      </c>
      <c r="E50" s="21" t="s">
        <v>44</v>
      </c>
      <c r="F50" s="21" t="n">
        <v>1</v>
      </c>
      <c r="G50" s="21" t="n">
        <v>18</v>
      </c>
      <c r="H50" s="21" t="n">
        <v>20</v>
      </c>
      <c r="I50" s="22" t="str">
        <f aca="false">_xlfn.CONCAT(B50, "-", C50,"-", D50,"-", F50)</f>
        <v>M0111-B-56-1</v>
      </c>
      <c r="J50" s="23" t="str">
        <f aca="false">_xlfn.CONCAT(A50, "-", I50, ",",G50, "-",H50)</f>
        <v>501-M0111-B-56-1,18-20</v>
      </c>
      <c r="K50" s="22" t="n">
        <f aca="false">VLOOKUP(I50, 'Depth vlookup'!$G$2:$I$997,2,FALSE())+(G50/100)</f>
        <v>166.39</v>
      </c>
      <c r="L50" s="28" t="n">
        <f aca="false">K50+2/100</f>
        <v>166.41</v>
      </c>
      <c r="M50" s="21" t="n">
        <v>187</v>
      </c>
      <c r="N50" s="24" t="n">
        <f aca="false">VLOOKUP(M50,  Beakers!$A$2:$B$151, 2, 0)</f>
        <v>9.7688</v>
      </c>
      <c r="O50" s="21" t="n">
        <v>19.1062</v>
      </c>
      <c r="P50" s="25" t="n">
        <v>46042.725</v>
      </c>
      <c r="Q50" s="21" t="n">
        <v>17.0897</v>
      </c>
      <c r="R50" s="22" t="s">
        <v>41</v>
      </c>
      <c r="S50" s="22" t="n">
        <v>1</v>
      </c>
      <c r="T50" s="21" t="n">
        <v>7.1503</v>
      </c>
      <c r="U50" s="22"/>
      <c r="V50" s="26" t="n">
        <f aca="false">O50-N50</f>
        <v>9.3374</v>
      </c>
      <c r="W50" s="26" t="n">
        <f aca="false">Q50-N50</f>
        <v>7.3209</v>
      </c>
      <c r="X50" s="26" t="n">
        <f aca="false">(V50-W50)/(1-35/1000)</f>
        <v>2.08963730569948</v>
      </c>
      <c r="Y50" s="26" t="n">
        <f aca="false">X50-(V50-W50)</f>
        <v>0.0731373056994817</v>
      </c>
      <c r="Z50" s="26" t="n">
        <f aca="false">W50-Y50</f>
        <v>7.24776269430052</v>
      </c>
      <c r="AA50" s="26" t="n">
        <f aca="false">X50/1.024</f>
        <v>2.04066143134715</v>
      </c>
      <c r="AB50" s="26" t="n">
        <f aca="false">Y50/2.22</f>
        <v>0.0329447322970638</v>
      </c>
      <c r="AC50" s="26" t="n">
        <f aca="false">T50-VLOOKUP(M50, Beakers!$A$2:$C$151, 3, 0)</f>
        <v>2.76967219730942</v>
      </c>
      <c r="AD50" s="26" t="n">
        <f aca="false">AC50-AB50+AA50</f>
        <v>4.7773888963595</v>
      </c>
      <c r="AE50" s="26" t="n">
        <f aca="false">AC50-AB50</f>
        <v>2.73672746501235</v>
      </c>
      <c r="AF50" s="26" t="n">
        <f aca="false">X50/V50</f>
        <v>0.22379220186556</v>
      </c>
      <c r="AG50" s="26" t="n">
        <f aca="false">X50/Z50</f>
        <v>0.288314807456752</v>
      </c>
      <c r="AH50" s="26" t="n">
        <f aca="false">V50/AD50</f>
        <v>1.95449861892452</v>
      </c>
      <c r="AI50" s="26" t="n">
        <f aca="false">Z50/AD50</f>
        <v>1.51709706945221</v>
      </c>
      <c r="AJ50" s="26" t="n">
        <f aca="false">Z50/AE50</f>
        <v>2.64833191721113</v>
      </c>
      <c r="AK50" s="26" t="n">
        <f aca="false">AA50/AD50</f>
        <v>0.427149950656558</v>
      </c>
      <c r="AL50" s="26" t="n">
        <f aca="false">AA50/AE50</f>
        <v>0.745657526164353</v>
      </c>
      <c r="AM50" s="23" t="s">
        <v>42</v>
      </c>
    </row>
    <row r="51" s="23" customFormat="true" ht="14.25" hidden="false" customHeight="false" outlineLevel="0" collapsed="false">
      <c r="A51" s="20" t="n">
        <v>501</v>
      </c>
      <c r="B51" s="21" t="s">
        <v>38</v>
      </c>
      <c r="C51" s="21" t="s">
        <v>39</v>
      </c>
      <c r="D51" s="21" t="n">
        <v>57</v>
      </c>
      <c r="E51" s="21" t="s">
        <v>44</v>
      </c>
      <c r="F51" s="21" t="n">
        <v>1</v>
      </c>
      <c r="G51" s="21" t="n">
        <v>45</v>
      </c>
      <c r="H51" s="21" t="n">
        <v>47</v>
      </c>
      <c r="I51" s="22" t="str">
        <f aca="false">_xlfn.CONCAT(B51, "-", C51,"-", D51,"-", F51)</f>
        <v>M0111-B-57-1</v>
      </c>
      <c r="J51" s="23" t="str">
        <f aca="false">_xlfn.CONCAT(A51, "-", I51, ",",G51, "-",H51)</f>
        <v>501-M0111-B-57-1,45-47</v>
      </c>
      <c r="K51" s="22" t="n">
        <f aca="false">VLOOKUP(I51, 'Depth vlookup'!$G$2:$I$997,2,FALSE())+(G51/100)</f>
        <v>167.91</v>
      </c>
      <c r="L51" s="28" t="n">
        <f aca="false">K51+2/100</f>
        <v>167.93</v>
      </c>
      <c r="M51" s="21" t="n">
        <v>188</v>
      </c>
      <c r="N51" s="24" t="n">
        <f aca="false">VLOOKUP(M51,  Beakers!$A$2:$B$151, 2, 0)</f>
        <v>9.8792</v>
      </c>
      <c r="O51" s="21" t="n">
        <v>19.2907</v>
      </c>
      <c r="P51" s="25" t="n">
        <v>46042.725</v>
      </c>
      <c r="Q51" s="21" t="n">
        <v>17.4452</v>
      </c>
      <c r="R51" s="22" t="s">
        <v>41</v>
      </c>
      <c r="S51" s="22" t="n">
        <v>2</v>
      </c>
      <c r="T51" s="21" t="n">
        <v>7.2579</v>
      </c>
      <c r="U51" s="22"/>
      <c r="V51" s="26" t="n">
        <f aca="false">O51-N51</f>
        <v>9.4115</v>
      </c>
      <c r="W51" s="26" t="n">
        <f aca="false">Q51-N51</f>
        <v>7.566</v>
      </c>
      <c r="X51" s="26" t="n">
        <f aca="false">(V51-W51)/(1-35/1000)</f>
        <v>1.91243523316062</v>
      </c>
      <c r="Y51" s="26" t="n">
        <f aca="false">X51-(V51-W51)</f>
        <v>0.0669352331606219</v>
      </c>
      <c r="Z51" s="26" t="n">
        <f aca="false">W51-Y51</f>
        <v>7.49906476683938</v>
      </c>
      <c r="AA51" s="26" t="n">
        <f aca="false">X51/1.024</f>
        <v>1.86761253238342</v>
      </c>
      <c r="AB51" s="26" t="n">
        <f aca="false">Y51/2.22</f>
        <v>0.0301510059282081</v>
      </c>
      <c r="AC51" s="26" t="n">
        <f aca="false">T51-VLOOKUP(M51, Beakers!$A$2:$C$151, 3, 0)</f>
        <v>2.82776547085202</v>
      </c>
      <c r="AD51" s="26" t="n">
        <f aca="false">AC51-AB51+AA51</f>
        <v>4.66522699730723</v>
      </c>
      <c r="AE51" s="26" t="n">
        <f aca="false">AC51-AB51</f>
        <v>2.79761446492381</v>
      </c>
      <c r="AF51" s="26" t="n">
        <f aca="false">X51/V51</f>
        <v>0.203201958578401</v>
      </c>
      <c r="AG51" s="26" t="n">
        <f aca="false">X51/Z51</f>
        <v>0.255023165237531</v>
      </c>
      <c r="AH51" s="26" t="n">
        <f aca="false">V51/AD51</f>
        <v>2.01737236053729</v>
      </c>
      <c r="AI51" s="26" t="n">
        <f aca="false">Z51/AD51</f>
        <v>1.60743834569418</v>
      </c>
      <c r="AJ51" s="26" t="n">
        <f aca="false">Z51/AE51</f>
        <v>2.68052115860203</v>
      </c>
      <c r="AK51" s="26" t="n">
        <f aca="false">AA51/AD51</f>
        <v>0.400326186370225</v>
      </c>
      <c r="AL51" s="26" t="n">
        <f aca="false">AA51/AE51</f>
        <v>0.667573232766468</v>
      </c>
      <c r="AM51" s="23" t="s">
        <v>42</v>
      </c>
    </row>
    <row r="52" s="23" customFormat="true" ht="14.25" hidden="false" customHeight="false" outlineLevel="0" collapsed="false">
      <c r="A52" s="20" t="n">
        <v>501</v>
      </c>
      <c r="B52" s="21" t="s">
        <v>38</v>
      </c>
      <c r="C52" s="21" t="s">
        <v>39</v>
      </c>
      <c r="D52" s="21" t="n">
        <v>58</v>
      </c>
      <c r="E52" s="21" t="s">
        <v>44</v>
      </c>
      <c r="F52" s="21" t="n">
        <v>1</v>
      </c>
      <c r="G52" s="21" t="n">
        <v>38</v>
      </c>
      <c r="H52" s="21" t="n">
        <v>40</v>
      </c>
      <c r="I52" s="22" t="str">
        <f aca="false">_xlfn.CONCAT(B52, "-", C52,"-", D52,"-", F52)</f>
        <v>M0111-B-58-1</v>
      </c>
      <c r="J52" s="23" t="str">
        <f aca="false">_xlfn.CONCAT(A52, "-", I52, ",",G52, "-",H52)</f>
        <v>501-M0111-B-58-1,38-40</v>
      </c>
      <c r="K52" s="22" t="n">
        <f aca="false">VLOOKUP(I52, 'Depth vlookup'!$G$2:$I$997,2,FALSE())+(G52/100)</f>
        <v>168.89</v>
      </c>
      <c r="L52" s="28" t="n">
        <f aca="false">K52+2/100</f>
        <v>168.91</v>
      </c>
      <c r="M52" s="21" t="n">
        <v>189</v>
      </c>
      <c r="N52" s="24" t="n">
        <f aca="false">VLOOKUP(M52,  Beakers!$A$2:$B$151, 2, 0)</f>
        <v>9.7583</v>
      </c>
      <c r="O52" s="21" t="n">
        <v>19.4551</v>
      </c>
      <c r="P52" s="25" t="n">
        <v>46042.8236111111</v>
      </c>
      <c r="Q52" s="21" t="n">
        <v>15.9447</v>
      </c>
      <c r="R52" s="22" t="s">
        <v>41</v>
      </c>
      <c r="S52" s="22" t="n">
        <v>1</v>
      </c>
      <c r="T52" s="21" t="n">
        <v>6.6996</v>
      </c>
      <c r="U52" s="22"/>
      <c r="V52" s="26" t="n">
        <f aca="false">O52-N52</f>
        <v>9.6968</v>
      </c>
      <c r="W52" s="26" t="n">
        <f aca="false">Q52-N52</f>
        <v>6.1864</v>
      </c>
      <c r="X52" s="26" t="n">
        <f aca="false">(V52-W52)/(1-35/1000)</f>
        <v>3.63772020725389</v>
      </c>
      <c r="Y52" s="26" t="n">
        <f aca="false">X52-(V52-W52)</f>
        <v>0.127320207253886</v>
      </c>
      <c r="Z52" s="26" t="n">
        <f aca="false">W52-Y52</f>
        <v>6.05907979274611</v>
      </c>
      <c r="AA52" s="26" t="n">
        <f aca="false">X52/1.024</f>
        <v>3.55246113989638</v>
      </c>
      <c r="AB52" s="26" t="n">
        <f aca="false">Y52/2.22</f>
        <v>0.0573514447089577</v>
      </c>
      <c r="AC52" s="26" t="n">
        <f aca="false">T52-VLOOKUP(M52, Beakers!$A$2:$C$151, 3, 0)</f>
        <v>2.32368071748879</v>
      </c>
      <c r="AD52" s="26" t="n">
        <f aca="false">AC52-AB52+AA52</f>
        <v>5.81879041267621</v>
      </c>
      <c r="AE52" s="26" t="n">
        <f aca="false">AC52-AB52</f>
        <v>2.26632927277983</v>
      </c>
      <c r="AF52" s="26" t="n">
        <f aca="false">X52/V52</f>
        <v>0.375146461436132</v>
      </c>
      <c r="AG52" s="26" t="n">
        <f aca="false">X52/Z52</f>
        <v>0.600375029160194</v>
      </c>
      <c r="AH52" s="26" t="n">
        <f aca="false">V52/AD52</f>
        <v>1.66646318432016</v>
      </c>
      <c r="AI52" s="26" t="n">
        <f aca="false">Z52/AD52</f>
        <v>1.04129541760886</v>
      </c>
      <c r="AJ52" s="26" t="n">
        <f aca="false">Z52/AE52</f>
        <v>2.67352139228832</v>
      </c>
      <c r="AK52" s="26" t="n">
        <f aca="false">AA52/AD52</f>
        <v>0.610515397179001</v>
      </c>
      <c r="AL52" s="26" t="n">
        <f aca="false">AA52/AE52</f>
        <v>1.56749558970264</v>
      </c>
      <c r="AM52" s="23" t="s">
        <v>42</v>
      </c>
    </row>
    <row r="53" s="23" customFormat="true" ht="14.25" hidden="false" customHeight="false" outlineLevel="0" collapsed="false">
      <c r="A53" s="20" t="n">
        <v>501</v>
      </c>
      <c r="B53" s="21" t="s">
        <v>38</v>
      </c>
      <c r="C53" s="21" t="s">
        <v>39</v>
      </c>
      <c r="D53" s="21" t="n">
        <v>59</v>
      </c>
      <c r="E53" s="21" t="s">
        <v>44</v>
      </c>
      <c r="F53" s="21" t="n">
        <v>1</v>
      </c>
      <c r="G53" s="21" t="n">
        <v>42</v>
      </c>
      <c r="H53" s="21" t="n">
        <v>44</v>
      </c>
      <c r="I53" s="22" t="str">
        <f aca="false">_xlfn.CONCAT(B53, "-", C53,"-", D53,"-", F53)</f>
        <v>M0111-B-59-1</v>
      </c>
      <c r="J53" s="23" t="str">
        <f aca="false">_xlfn.CONCAT(A53, "-", I53, ",",G53, "-",H53)</f>
        <v>501-M0111-B-59-1,42-44</v>
      </c>
      <c r="K53" s="22" t="n">
        <f aca="false">VLOOKUP(I53, 'Depth vlookup'!$G$2:$I$997,2,FALSE())+(G53/100)</f>
        <v>169.93</v>
      </c>
      <c r="L53" s="28" t="n">
        <f aca="false">K53+2/100</f>
        <v>169.95</v>
      </c>
      <c r="M53" s="21" t="n">
        <v>190</v>
      </c>
      <c r="N53" s="24" t="n">
        <f aca="false">VLOOKUP(M53,  Beakers!$A$2:$B$151, 2, 0)</f>
        <v>9.7571</v>
      </c>
      <c r="O53" s="21" t="n">
        <v>19.1791</v>
      </c>
      <c r="P53" s="25" t="n">
        <v>46042.8236111111</v>
      </c>
      <c r="Q53" s="21" t="n">
        <v>17.1705</v>
      </c>
      <c r="R53" s="22" t="s">
        <v>41</v>
      </c>
      <c r="S53" s="22" t="n">
        <v>2</v>
      </c>
      <c r="T53" s="21" t="n">
        <v>7.1298</v>
      </c>
      <c r="U53" s="22"/>
      <c r="V53" s="26" t="n">
        <f aca="false">O53-N53</f>
        <v>9.422</v>
      </c>
      <c r="W53" s="26" t="n">
        <f aca="false">Q53-N53</f>
        <v>7.4134</v>
      </c>
      <c r="X53" s="26" t="n">
        <f aca="false">(V53-W53)/(1-35/1000)</f>
        <v>2.08145077720207</v>
      </c>
      <c r="Y53" s="26" t="n">
        <f aca="false">X53-(V53-W53)</f>
        <v>0.0728507772020723</v>
      </c>
      <c r="Z53" s="26" t="n">
        <f aca="false">W53-Y53</f>
        <v>7.34054922279793</v>
      </c>
      <c r="AA53" s="26" t="n">
        <f aca="false">X53/1.024</f>
        <v>2.0326667746114</v>
      </c>
      <c r="AB53" s="26" t="n">
        <f aca="false">Y53/2.22</f>
        <v>0.0328156654063389</v>
      </c>
      <c r="AC53" s="26" t="n">
        <f aca="false">T53-VLOOKUP(M53, Beakers!$A$2:$C$151, 3, 0)</f>
        <v>2.75441883408072</v>
      </c>
      <c r="AD53" s="26" t="n">
        <f aca="false">AC53-AB53+AA53</f>
        <v>4.75426994328578</v>
      </c>
      <c r="AE53" s="26" t="n">
        <f aca="false">AC53-AB53</f>
        <v>2.72160316867438</v>
      </c>
      <c r="AF53" s="26" t="n">
        <f aca="false">X53/V53</f>
        <v>0.220913901210154</v>
      </c>
      <c r="AG53" s="26" t="n">
        <f aca="false">X53/Z53</f>
        <v>0.283555182865282</v>
      </c>
      <c r="AH53" s="26" t="n">
        <f aca="false">V53/AD53</f>
        <v>1.98179743943783</v>
      </c>
      <c r="AI53" s="26" t="n">
        <f aca="false">Z53/AD53</f>
        <v>1.54399083568333</v>
      </c>
      <c r="AJ53" s="26" t="n">
        <f aca="false">Z53/AE53</f>
        <v>2.69714163596206</v>
      </c>
      <c r="AK53" s="26" t="n">
        <f aca="false">AA53/AD53</f>
        <v>0.427545511479009</v>
      </c>
      <c r="AL53" s="26" t="n">
        <f aca="false">AA53/AE53</f>
        <v>0.746863759569127</v>
      </c>
      <c r="AM53" s="23" t="s">
        <v>42</v>
      </c>
    </row>
    <row r="54" s="23" customFormat="true" ht="14.25" hidden="false" customHeight="false" outlineLevel="0" collapsed="false">
      <c r="A54" s="20" t="n">
        <v>501</v>
      </c>
      <c r="B54" s="21" t="s">
        <v>38</v>
      </c>
      <c r="C54" s="21" t="s">
        <v>39</v>
      </c>
      <c r="D54" s="21" t="n">
        <v>60</v>
      </c>
      <c r="E54" s="21" t="s">
        <v>44</v>
      </c>
      <c r="F54" s="21" t="n">
        <v>1</v>
      </c>
      <c r="G54" s="21" t="n">
        <v>38</v>
      </c>
      <c r="H54" s="21" t="n">
        <v>40</v>
      </c>
      <c r="I54" s="22" t="str">
        <f aca="false">_xlfn.CONCAT(B54, "-", C54,"-", D54,"-", F54)</f>
        <v>M0111-B-60-1</v>
      </c>
      <c r="J54" s="23" t="str">
        <f aca="false">_xlfn.CONCAT(A54, "-", I54, ",",G54, "-",H54)</f>
        <v>501-M0111-B-60-1,38-40</v>
      </c>
      <c r="K54" s="22" t="n">
        <f aca="false">VLOOKUP(I54, 'Depth vlookup'!$G$2:$I$997,2,FALSE())+(G54/100)</f>
        <v>172.94</v>
      </c>
      <c r="L54" s="28" t="n">
        <f aca="false">K54+2/100</f>
        <v>172.96</v>
      </c>
      <c r="M54" s="21" t="n">
        <v>171</v>
      </c>
      <c r="N54" s="24" t="n">
        <f aca="false">VLOOKUP(M54,  Beakers!$A$2:$B$151, 2, 0)</f>
        <v>9.4852</v>
      </c>
      <c r="O54" s="21" t="n">
        <v>19.1805</v>
      </c>
      <c r="P54" s="25" t="n">
        <v>46042.8236111111</v>
      </c>
      <c r="Q54" s="21" t="n">
        <v>15.8697</v>
      </c>
      <c r="R54" s="22" t="s">
        <v>41</v>
      </c>
      <c r="S54" s="22" t="n">
        <v>3</v>
      </c>
      <c r="T54" s="21" t="n">
        <v>6.6997</v>
      </c>
      <c r="U54" s="22"/>
      <c r="V54" s="26" t="n">
        <f aca="false">O54-N54</f>
        <v>9.6953</v>
      </c>
      <c r="W54" s="26" t="n">
        <f aca="false">Q54-N54</f>
        <v>6.3845</v>
      </c>
      <c r="X54" s="26" t="n">
        <f aca="false">(V54-W54)/(1-35/1000)</f>
        <v>3.43088082901554</v>
      </c>
      <c r="Y54" s="26" t="n">
        <f aca="false">X54-(V54-W54)</f>
        <v>0.120080829015544</v>
      </c>
      <c r="Z54" s="26" t="n">
        <f aca="false">W54-Y54</f>
        <v>6.26441917098446</v>
      </c>
      <c r="AA54" s="26" t="n">
        <f aca="false">X54/1.024</f>
        <v>3.35046955958549</v>
      </c>
      <c r="AB54" s="26" t="n">
        <f aca="false">Y54/2.22</f>
        <v>0.0540904635205153</v>
      </c>
      <c r="AC54" s="26" t="n">
        <f aca="false">T54-VLOOKUP(M54, Beakers!$A$2:$C$151, 3, 0)</f>
        <v>2.44624708520179</v>
      </c>
      <c r="AD54" s="26" t="n">
        <f aca="false">AC54-AB54+AA54</f>
        <v>5.74262618126677</v>
      </c>
      <c r="AE54" s="26" t="n">
        <f aca="false">AC54-AB54</f>
        <v>2.39215662168128</v>
      </c>
      <c r="AF54" s="26" t="n">
        <f aca="false">X54/V54</f>
        <v>0.353870517571972</v>
      </c>
      <c r="AG54" s="26" t="n">
        <f aca="false">X54/Z54</f>
        <v>0.547677403981314</v>
      </c>
      <c r="AH54" s="26" t="n">
        <f aca="false">V54/AD54</f>
        <v>1.68830421726342</v>
      </c>
      <c r="AI54" s="26" t="n">
        <f aca="false">Z54/AD54</f>
        <v>1.09086313008147</v>
      </c>
      <c r="AJ54" s="26" t="n">
        <f aca="false">Z54/AE54</f>
        <v>2.61873286816046</v>
      </c>
      <c r="AK54" s="26" t="n">
        <f aca="false">AA54/AD54</f>
        <v>0.583438561701122</v>
      </c>
      <c r="AL54" s="26" t="n">
        <f aca="false">AA54/AE54</f>
        <v>1.40060626851041</v>
      </c>
      <c r="AM54" s="23" t="s">
        <v>45</v>
      </c>
    </row>
    <row r="55" s="23" customFormat="true" ht="14.25" hidden="false" customHeight="false" outlineLevel="0" collapsed="false">
      <c r="A55" s="20" t="n">
        <v>501</v>
      </c>
      <c r="B55" s="21" t="s">
        <v>38</v>
      </c>
      <c r="C55" s="21" t="s">
        <v>39</v>
      </c>
      <c r="D55" s="21" t="n">
        <v>61</v>
      </c>
      <c r="E55" s="21" t="s">
        <v>44</v>
      </c>
      <c r="F55" s="21" t="n">
        <v>1</v>
      </c>
      <c r="G55" s="21" t="n">
        <v>54</v>
      </c>
      <c r="H55" s="21" t="n">
        <v>56</v>
      </c>
      <c r="I55" s="22" t="str">
        <f aca="false">_xlfn.CONCAT(B55, "-", C55,"-", D55,"-", F55)</f>
        <v>M0111-B-61-1</v>
      </c>
      <c r="J55" s="23" t="str">
        <f aca="false">_xlfn.CONCAT(A55, "-", I55, ",",G55, "-",H55)</f>
        <v>501-M0111-B-61-1,54-56</v>
      </c>
      <c r="K55" s="22" t="n">
        <f aca="false">VLOOKUP(I55, 'Depth vlookup'!$G$2:$I$997,2,FALSE())+(G55/100)</f>
        <v>176.15</v>
      </c>
      <c r="L55" s="28" t="n">
        <f aca="false">K55+2/100</f>
        <v>176.17</v>
      </c>
      <c r="M55" s="21" t="n">
        <v>172</v>
      </c>
      <c r="N55" s="24" t="n">
        <f aca="false">VLOOKUP(M55,  Beakers!$A$2:$B$151, 2, 0)</f>
        <v>9.5744</v>
      </c>
      <c r="O55" s="21" t="n">
        <v>19.9414</v>
      </c>
      <c r="P55" s="25" t="n">
        <v>46042.8951388889</v>
      </c>
      <c r="Q55" s="21" t="n">
        <v>17.1052</v>
      </c>
      <c r="R55" s="22" t="s">
        <v>43</v>
      </c>
      <c r="S55" s="22" t="n">
        <v>2</v>
      </c>
      <c r="T55" s="21" t="n">
        <v>7.254</v>
      </c>
      <c r="U55" s="22"/>
      <c r="V55" s="26" t="n">
        <f aca="false">O55-N55</f>
        <v>10.367</v>
      </c>
      <c r="W55" s="26" t="n">
        <f aca="false">Q55-N55</f>
        <v>7.5308</v>
      </c>
      <c r="X55" s="26" t="n">
        <f aca="false">(V55-W55)/(1-35/1000)</f>
        <v>2.93906735751296</v>
      </c>
      <c r="Y55" s="26" t="n">
        <f aca="false">X55-(V55-W55)</f>
        <v>0.102867357512954</v>
      </c>
      <c r="Z55" s="26" t="n">
        <f aca="false">W55-Y55</f>
        <v>7.42793264248705</v>
      </c>
      <c r="AA55" s="26" t="n">
        <f aca="false">X55/1.024</f>
        <v>2.87018296632125</v>
      </c>
      <c r="AB55" s="26" t="n">
        <f aca="false">Y55/2.22</f>
        <v>0.0463366475283575</v>
      </c>
      <c r="AC55" s="26" t="n">
        <f aca="false">T55-VLOOKUP(M55, Beakers!$A$2:$C$151, 3, 0)</f>
        <v>2.96054708520179</v>
      </c>
      <c r="AD55" s="26" t="n">
        <f aca="false">AC55-AB55+AA55</f>
        <v>5.78439340399468</v>
      </c>
      <c r="AE55" s="26" t="n">
        <f aca="false">AC55-AB55</f>
        <v>2.91421043767344</v>
      </c>
      <c r="AF55" s="26" t="n">
        <f aca="false">X55/V55</f>
        <v>0.283502204833892</v>
      </c>
      <c r="AG55" s="26" t="n">
        <f aca="false">X55/Z55</f>
        <v>0.395677707240071</v>
      </c>
      <c r="AH55" s="26" t="n">
        <f aca="false">V55/AD55</f>
        <v>1.79223632902295</v>
      </c>
      <c r="AI55" s="26" t="n">
        <f aca="false">Z55/AD55</f>
        <v>1.28413337816154</v>
      </c>
      <c r="AJ55" s="26" t="n">
        <f aca="false">Z55/AE55</f>
        <v>2.54886625429053</v>
      </c>
      <c r="AK55" s="26" t="n">
        <f aca="false">AA55/AD55</f>
        <v>0.496194287950593</v>
      </c>
      <c r="AL55" s="26" t="n">
        <f aca="false">AA55/AE55</f>
        <v>0.984892144100843</v>
      </c>
      <c r="AM55" s="23" t="s">
        <v>45</v>
      </c>
    </row>
    <row r="56" s="23" customFormat="true" ht="14.25" hidden="false" customHeight="false" outlineLevel="0" collapsed="false">
      <c r="A56" s="20" t="n">
        <v>501</v>
      </c>
      <c r="B56" s="21" t="s">
        <v>38</v>
      </c>
      <c r="C56" s="21" t="s">
        <v>39</v>
      </c>
      <c r="D56" s="21" t="n">
        <v>62</v>
      </c>
      <c r="E56" s="21" t="s">
        <v>44</v>
      </c>
      <c r="F56" s="21" t="n">
        <v>1</v>
      </c>
      <c r="G56" s="21" t="n">
        <v>38</v>
      </c>
      <c r="H56" s="21" t="n">
        <v>40</v>
      </c>
      <c r="I56" s="22" t="str">
        <f aca="false">_xlfn.CONCAT(B56, "-", C56,"-", D56,"-", F56)</f>
        <v>M0111-B-62-1</v>
      </c>
      <c r="J56" s="23" t="str">
        <f aca="false">_xlfn.CONCAT(A56, "-", I56, ",",G56, "-",H56)</f>
        <v>501-M0111-B-62-1,38-40</v>
      </c>
      <c r="K56" s="22" t="n">
        <f aca="false">VLOOKUP(I56, 'Depth vlookup'!$G$2:$I$997,2,FALSE())+(G56/100)</f>
        <v>179.04</v>
      </c>
      <c r="L56" s="28" t="n">
        <f aca="false">K56+2/100</f>
        <v>179.06</v>
      </c>
      <c r="M56" s="21" t="n">
        <v>173</v>
      </c>
      <c r="N56" s="24" t="n">
        <f aca="false">VLOOKUP(M56,  Beakers!$A$2:$B$151, 2, 0)</f>
        <v>9.5055</v>
      </c>
      <c r="O56" s="21" t="n">
        <v>17.5158</v>
      </c>
      <c r="P56" s="25" t="n">
        <v>46042.8951388889</v>
      </c>
      <c r="Q56" s="21" t="n">
        <v>15.1427</v>
      </c>
      <c r="R56" s="22" t="s">
        <v>43</v>
      </c>
      <c r="S56" s="22" t="n">
        <v>3</v>
      </c>
      <c r="T56" s="21" t="n">
        <v>6.5244</v>
      </c>
      <c r="U56" s="22"/>
      <c r="V56" s="26" t="n">
        <f aca="false">O56-N56</f>
        <v>8.0103</v>
      </c>
      <c r="W56" s="26" t="n">
        <f aca="false">Q56-N56</f>
        <v>5.6372</v>
      </c>
      <c r="X56" s="26" t="n">
        <f aca="false">(V56-W56)/(1-35/1000)</f>
        <v>2.45917098445596</v>
      </c>
      <c r="Y56" s="26" t="n">
        <f aca="false">X56-(V56-W56)</f>
        <v>0.0860709844559584</v>
      </c>
      <c r="Z56" s="26" t="n">
        <f aca="false">W56-Y56</f>
        <v>5.55112901554404</v>
      </c>
      <c r="AA56" s="26" t="n">
        <f aca="false">X56/1.024</f>
        <v>2.40153416450777</v>
      </c>
      <c r="AB56" s="26" t="n">
        <f aca="false">Y56/2.22</f>
        <v>0.0387707137189002</v>
      </c>
      <c r="AC56" s="26" t="n">
        <f aca="false">T56-VLOOKUP(M56, Beakers!$A$2:$C$151, 3, 0)</f>
        <v>2.26184394618834</v>
      </c>
      <c r="AD56" s="26" t="n">
        <f aca="false">AC56-AB56+AA56</f>
        <v>4.62460739697721</v>
      </c>
      <c r="AE56" s="26" t="n">
        <f aca="false">AC56-AB56</f>
        <v>2.22307323246944</v>
      </c>
      <c r="AF56" s="26" t="n">
        <f aca="false">X56/V56</f>
        <v>0.307001109128991</v>
      </c>
      <c r="AG56" s="26" t="n">
        <f aca="false">X56/Z56</f>
        <v>0.443003752492491</v>
      </c>
      <c r="AH56" s="26" t="n">
        <f aca="false">V56/AD56</f>
        <v>1.73210379009379</v>
      </c>
      <c r="AI56" s="26" t="n">
        <f aca="false">Z56/AD56</f>
        <v>1.20034600540847</v>
      </c>
      <c r="AJ56" s="26" t="n">
        <f aca="false">Z56/AE56</f>
        <v>2.49705179949368</v>
      </c>
      <c r="AK56" s="26" t="n">
        <f aca="false">AA56/AD56</f>
        <v>0.51929471160676</v>
      </c>
      <c r="AL56" s="26" t="n">
        <f aca="false">AA56/AE56</f>
        <v>1.08027667709358</v>
      </c>
      <c r="AM56" s="23" t="s">
        <v>45</v>
      </c>
    </row>
    <row r="57" s="23" customFormat="true" ht="14.25" hidden="false" customHeight="false" outlineLevel="0" collapsed="false">
      <c r="A57" s="20" t="n">
        <v>501</v>
      </c>
      <c r="B57" s="21" t="s">
        <v>38</v>
      </c>
      <c r="C57" s="21" t="s">
        <v>39</v>
      </c>
      <c r="D57" s="21" t="n">
        <v>63</v>
      </c>
      <c r="E57" s="21" t="s">
        <v>44</v>
      </c>
      <c r="F57" s="21" t="n">
        <v>1</v>
      </c>
      <c r="G57" s="21" t="n">
        <v>35</v>
      </c>
      <c r="H57" s="21" t="n">
        <v>37</v>
      </c>
      <c r="I57" s="22" t="str">
        <f aca="false">_xlfn.CONCAT(B57, "-", C57,"-", D57,"-", F57)</f>
        <v>M0111-B-63-1</v>
      </c>
      <c r="J57" s="23" t="str">
        <f aca="false">_xlfn.CONCAT(A57, "-", I57, ",",G57, "-",H57)</f>
        <v>501-M0111-B-63-1,35-37</v>
      </c>
      <c r="K57" s="22" t="n">
        <f aca="false">VLOOKUP(I57, 'Depth vlookup'!$G$2:$I$997,2,FALSE())+(G57/100)</f>
        <v>182.06</v>
      </c>
      <c r="L57" s="28" t="n">
        <f aca="false">K57+2/100</f>
        <v>182.08</v>
      </c>
      <c r="M57" s="21" t="n">
        <v>174</v>
      </c>
      <c r="N57" s="24" t="n">
        <f aca="false">VLOOKUP(M57,  Beakers!$A$2:$B$151, 2, 0)</f>
        <v>9.8544</v>
      </c>
      <c r="O57" s="21" t="n">
        <v>19.4189</v>
      </c>
      <c r="P57" s="25" t="n">
        <v>46042.8951388889</v>
      </c>
      <c r="Q57" s="21" t="n">
        <v>16.9624</v>
      </c>
      <c r="R57" s="22" t="s">
        <v>43</v>
      </c>
      <c r="S57" s="22" t="n">
        <v>5</v>
      </c>
      <c r="T57" s="21" t="n">
        <v>7.2059</v>
      </c>
      <c r="U57" s="22"/>
      <c r="V57" s="26" t="n">
        <f aca="false">O57-N57</f>
        <v>9.5645</v>
      </c>
      <c r="W57" s="26" t="n">
        <f aca="false">Q57-N57</f>
        <v>7.108</v>
      </c>
      <c r="X57" s="26" t="n">
        <f aca="false">(V57-W57)/(1-35/1000)</f>
        <v>2.54559585492228</v>
      </c>
      <c r="Y57" s="26" t="n">
        <f aca="false">X57-(V57-W57)</f>
        <v>0.08909585492228</v>
      </c>
      <c r="Z57" s="26" t="n">
        <f aca="false">W57-Y57</f>
        <v>7.01890414507772</v>
      </c>
      <c r="AA57" s="26" t="n">
        <f aca="false">X57/1.024</f>
        <v>2.48593345207254</v>
      </c>
      <c r="AB57" s="26" t="n">
        <f aca="false">Y57/2.22</f>
        <v>0.040133267983009</v>
      </c>
      <c r="AC57" s="26" t="n">
        <f aca="false">T57-VLOOKUP(M57, Beakers!$A$2:$C$151, 3, 0)</f>
        <v>2.7868865470852</v>
      </c>
      <c r="AD57" s="26" t="n">
        <f aca="false">AC57-AB57+AA57</f>
        <v>5.23268673117473</v>
      </c>
      <c r="AE57" s="26" t="n">
        <f aca="false">AC57-AB57</f>
        <v>2.74675327910219</v>
      </c>
      <c r="AF57" s="26" t="n">
        <f aca="false">X57/V57</f>
        <v>0.266150437024652</v>
      </c>
      <c r="AG57" s="26" t="n">
        <f aca="false">X57/Z57</f>
        <v>0.362677107751568</v>
      </c>
      <c r="AH57" s="26" t="n">
        <f aca="false">V57/AD57</f>
        <v>1.8278373025883</v>
      </c>
      <c r="AI57" s="26" t="n">
        <f aca="false">Z57/AD57</f>
        <v>1.34135760569446</v>
      </c>
      <c r="AJ57" s="26" t="n">
        <f aca="false">Z57/AE57</f>
        <v>2.55534568702579</v>
      </c>
      <c r="AK57" s="26" t="n">
        <f aca="false">AA57/AD57</f>
        <v>0.475077828997887</v>
      </c>
      <c r="AL57" s="26" t="n">
        <f aca="false">AA57/AE57</f>
        <v>0.905044319410114</v>
      </c>
      <c r="AM57" s="23" t="s">
        <v>45</v>
      </c>
    </row>
    <row r="58" customFormat="false" ht="14.25" hidden="false" customHeight="false" outlineLevel="0" collapsed="false">
      <c r="A58" s="20" t="n">
        <v>501</v>
      </c>
      <c r="B58" s="21" t="s">
        <v>38</v>
      </c>
      <c r="C58" s="21" t="s">
        <v>39</v>
      </c>
      <c r="D58" s="21" t="n">
        <v>64</v>
      </c>
      <c r="E58" s="21" t="s">
        <v>44</v>
      </c>
      <c r="F58" s="21" t="n">
        <v>1</v>
      </c>
      <c r="G58" s="2" t="n">
        <v>41</v>
      </c>
      <c r="H58" s="2" t="n">
        <v>43</v>
      </c>
      <c r="I58" s="3" t="str">
        <f aca="false">_xlfn.CONCAT(B58, "-", C58,"-", D58,"-", F58)</f>
        <v>M0111-B-64-1</v>
      </c>
      <c r="J58" s="9" t="str">
        <f aca="false">_xlfn.CONCAT(A58, "-", I58, ",",G58, "-",H58)</f>
        <v>501-M0111-B-64-1,41-43</v>
      </c>
      <c r="K58" s="3" t="n">
        <f aca="false">VLOOKUP(I58, 'Depth vlookup'!$G$2:$I$997,2,FALSE())+(G58/100)</f>
        <v>185.17</v>
      </c>
      <c r="L58" s="28" t="n">
        <f aca="false">K58+2/100</f>
        <v>185.19</v>
      </c>
      <c r="M58" s="2" t="n">
        <v>175</v>
      </c>
      <c r="N58" s="4" t="n">
        <f aca="false">VLOOKUP(M58,  Beakers!$A$2:$B$151, 2, 0)</f>
        <v>9.6489</v>
      </c>
      <c r="O58" s="2" t="n">
        <v>19.4331</v>
      </c>
      <c r="P58" s="6" t="n">
        <v>46043.4770833333</v>
      </c>
      <c r="Q58" s="2" t="n">
        <v>16.5608</v>
      </c>
      <c r="R58" s="3" t="s">
        <v>43</v>
      </c>
      <c r="S58" s="3" t="n">
        <v>3</v>
      </c>
      <c r="T58" s="2" t="n">
        <v>7.1118</v>
      </c>
      <c r="V58" s="31" t="n">
        <f aca="false">O58-N58</f>
        <v>9.7842</v>
      </c>
      <c r="W58" s="31" t="n">
        <f aca="false">Q58-N58</f>
        <v>6.9119</v>
      </c>
      <c r="X58" s="31" t="n">
        <f aca="false">(V58-W58)/(1-35/1000)</f>
        <v>2.97647668393782</v>
      </c>
      <c r="Y58" s="31" t="n">
        <f aca="false">X58-(V58-W58)</f>
        <v>0.104176683937824</v>
      </c>
      <c r="Z58" s="31" t="n">
        <f aca="false">W58-Y58</f>
        <v>6.80772331606218</v>
      </c>
      <c r="AA58" s="31" t="n">
        <f aca="false">X58/1.024</f>
        <v>2.90671551165803</v>
      </c>
      <c r="AB58" s="31" t="n">
        <f aca="false">Y58/2.22</f>
        <v>0.046926434206227</v>
      </c>
      <c r="AC58" s="31" t="n">
        <f aca="false">T58-VLOOKUP(M58, Beakers!$A$2:$C$151, 3, 0)</f>
        <v>2.78493901345292</v>
      </c>
      <c r="AD58" s="31" t="n">
        <f aca="false">AC58-AB58+AA58</f>
        <v>5.64472809090472</v>
      </c>
      <c r="AE58" s="31" t="n">
        <f aca="false">AC58-AB58</f>
        <v>2.73801257924669</v>
      </c>
      <c r="AF58" s="31" t="n">
        <f aca="false">X58/V58</f>
        <v>0.304212575779095</v>
      </c>
      <c r="AG58" s="26" t="n">
        <f aca="false">X58/Z58</f>
        <v>0.437220572245513</v>
      </c>
      <c r="AH58" s="26" t="n">
        <f aca="false">V58/AD58</f>
        <v>1.73333415577008</v>
      </c>
      <c r="AI58" s="26" t="n">
        <f aca="false">Z58/AD58</f>
        <v>1.20603210755738</v>
      </c>
      <c r="AJ58" s="26" t="n">
        <f aca="false">Z58/AE58</f>
        <v>2.4863740099891</v>
      </c>
      <c r="AK58" s="26" t="n">
        <f aca="false">AA58/AD58</f>
        <v>0.514943406457715</v>
      </c>
      <c r="AL58" s="26" t="n">
        <f aca="false">AA58/AE58</f>
        <v>1.06161510494512</v>
      </c>
      <c r="AM58" s="9" t="s">
        <v>45</v>
      </c>
    </row>
    <row r="59" customFormat="false" ht="14.25" hidden="false" customHeight="false" outlineLevel="0" collapsed="false">
      <c r="A59" s="20" t="n">
        <v>501</v>
      </c>
      <c r="B59" s="21" t="s">
        <v>38</v>
      </c>
      <c r="C59" s="21" t="s">
        <v>39</v>
      </c>
      <c r="D59" s="2" t="n">
        <v>65</v>
      </c>
      <c r="E59" s="21" t="s">
        <v>44</v>
      </c>
      <c r="F59" s="21" t="n">
        <v>1</v>
      </c>
      <c r="G59" s="2" t="n">
        <v>41</v>
      </c>
      <c r="H59" s="2" t="n">
        <v>43</v>
      </c>
      <c r="I59" s="3" t="str">
        <f aca="false">_xlfn.CONCAT(B59, "-", C59,"-", D59,"-", F59)</f>
        <v>M0111-B-65-1</v>
      </c>
      <c r="J59" s="9" t="str">
        <f aca="false">_xlfn.CONCAT(A59, "-", I59, ",",G59, "-",H59)</f>
        <v>501-M0111-B-65-1,41-43</v>
      </c>
      <c r="K59" s="3" t="n">
        <f aca="false">VLOOKUP(I59, 'Depth vlookup'!$G$2:$I$997,2,FALSE())+(G59/100)</f>
        <v>188.22</v>
      </c>
      <c r="L59" s="28" t="n">
        <f aca="false">K59+2/100</f>
        <v>188.24</v>
      </c>
      <c r="M59" s="2" t="n">
        <v>176</v>
      </c>
      <c r="N59" s="4" t="n">
        <f aca="false">VLOOKUP(M59,  Beakers!$A$2:$B$151, 2, 0)</f>
        <v>9.7192</v>
      </c>
      <c r="O59" s="2" t="n">
        <v>19.2531</v>
      </c>
      <c r="P59" s="6" t="n">
        <v>46043.4784722222</v>
      </c>
      <c r="Q59" s="2" t="n">
        <v>16.748</v>
      </c>
      <c r="R59" s="3" t="s">
        <v>43</v>
      </c>
      <c r="S59" s="3" t="n">
        <v>5</v>
      </c>
      <c r="T59" s="2" t="n">
        <v>7.0226</v>
      </c>
      <c r="V59" s="31" t="n">
        <f aca="false">O59-N59</f>
        <v>9.5339</v>
      </c>
      <c r="W59" s="31" t="n">
        <f aca="false">Q59-N59</f>
        <v>7.0288</v>
      </c>
      <c r="X59" s="31" t="n">
        <f aca="false">(V59-W59)/(1-35/1000)</f>
        <v>2.5959585492228</v>
      </c>
      <c r="Y59" s="31" t="n">
        <f aca="false">X59-(V59-W59)</f>
        <v>0.0908585492227978</v>
      </c>
      <c r="Z59" s="31" t="n">
        <f aca="false">W59-Y59</f>
        <v>6.9379414507772</v>
      </c>
      <c r="AA59" s="31" t="n">
        <f aca="false">X59/1.024</f>
        <v>2.53511577072539</v>
      </c>
      <c r="AB59" s="31" t="n">
        <f aca="false">Y59/2.22</f>
        <v>0.0409272744246837</v>
      </c>
      <c r="AC59" s="31" t="n">
        <f aca="false">T59-VLOOKUP(M59, Beakers!$A$2:$C$151, 3, 0)</f>
        <v>2.66421434977578</v>
      </c>
      <c r="AD59" s="31" t="n">
        <f aca="false">AC59-AB59+AA59</f>
        <v>5.15840284607649</v>
      </c>
      <c r="AE59" s="31" t="n">
        <f aca="false">AC59-AB59</f>
        <v>2.6232870753511</v>
      </c>
      <c r="AF59" s="31" t="n">
        <f aca="false">X59/V59</f>
        <v>0.272287159422985</v>
      </c>
      <c r="AG59" s="26" t="n">
        <f aca="false">X59/Z59</f>
        <v>0.374168414023153</v>
      </c>
      <c r="AH59" s="26" t="n">
        <f aca="false">V59/AD59</f>
        <v>1.84822711302037</v>
      </c>
      <c r="AI59" s="26" t="n">
        <f aca="false">Z59/AD59</f>
        <v>1.34497860244751</v>
      </c>
      <c r="AJ59" s="26" t="n">
        <f aca="false">Z59/AE59</f>
        <v>2.64475112768534</v>
      </c>
      <c r="AK59" s="26" t="n">
        <f aca="false">AA59/AD59</f>
        <v>0.491453623606309</v>
      </c>
      <c r="AL59" s="26" t="n">
        <f aca="false">AA59/AE59</f>
        <v>0.966388998957001</v>
      </c>
      <c r="AM59" s="9" t="s">
        <v>42</v>
      </c>
    </row>
    <row r="60" customFormat="false" ht="14.25" hidden="false" customHeight="false" outlineLevel="0" collapsed="false">
      <c r="A60" s="20" t="n">
        <v>501</v>
      </c>
      <c r="B60" s="21" t="s">
        <v>38</v>
      </c>
      <c r="C60" s="21" t="s">
        <v>39</v>
      </c>
      <c r="D60" s="2" t="n">
        <v>66</v>
      </c>
      <c r="E60" s="21" t="s">
        <v>44</v>
      </c>
      <c r="F60" s="21" t="n">
        <v>1</v>
      </c>
      <c r="G60" s="2" t="n">
        <v>41</v>
      </c>
      <c r="H60" s="2" t="n">
        <v>43</v>
      </c>
      <c r="I60" s="3" t="str">
        <f aca="false">_xlfn.CONCAT(B60, "-", C60,"-", D60,"-", F60)</f>
        <v>M0111-B-66-1</v>
      </c>
      <c r="J60" s="9" t="str">
        <f aca="false">_xlfn.CONCAT(A60, "-", I60, ",",G60, "-",H60)</f>
        <v>501-M0111-B-66-1,41-43</v>
      </c>
      <c r="K60" s="3" t="n">
        <f aca="false">VLOOKUP(I60, 'Depth vlookup'!$G$2:$I$997,2,FALSE())+(G60/100)</f>
        <v>191.27</v>
      </c>
      <c r="L60" s="28" t="n">
        <f aca="false">K60+2/100</f>
        <v>191.29</v>
      </c>
      <c r="M60" s="2" t="n">
        <v>171</v>
      </c>
      <c r="N60" s="4" t="n">
        <f aca="false">VLOOKUP(M60,  Beakers!$A$2:$B$151, 2, 0)</f>
        <v>9.4852</v>
      </c>
      <c r="O60" s="2" t="n">
        <v>16.8875</v>
      </c>
      <c r="P60" s="6" t="n">
        <v>46043.4784722222</v>
      </c>
      <c r="Q60" s="2" t="n">
        <v>14.8664</v>
      </c>
      <c r="R60" s="3" t="s">
        <v>43</v>
      </c>
      <c r="S60" s="3" t="n">
        <v>1</v>
      </c>
      <c r="T60" s="2" t="n">
        <v>6.3713</v>
      </c>
      <c r="V60" s="31" t="n">
        <f aca="false">O60-N60</f>
        <v>7.4023</v>
      </c>
      <c r="W60" s="31" t="n">
        <f aca="false">Q60-N60</f>
        <v>5.3812</v>
      </c>
      <c r="X60" s="31" t="n">
        <f aca="false">(V60-W60)/(1-35/1000)</f>
        <v>2.09440414507772</v>
      </c>
      <c r="Y60" s="31" t="n">
        <f aca="false">X60-(V60-W60)</f>
        <v>0.0733041450777203</v>
      </c>
      <c r="Z60" s="31" t="n">
        <f aca="false">W60-Y60</f>
        <v>5.30789585492228</v>
      </c>
      <c r="AA60" s="31" t="n">
        <f aca="false">X60/1.024</f>
        <v>2.04531654792746</v>
      </c>
      <c r="AB60" s="31" t="n">
        <f aca="false">Y60/2.22</f>
        <v>0.0330198851701443</v>
      </c>
      <c r="AC60" s="31" t="n">
        <f aca="false">T60-VLOOKUP(M60, Beakers!$A$2:$C$151, 3, 0)</f>
        <v>2.11784708520179</v>
      </c>
      <c r="AD60" s="31" t="n">
        <f aca="false">AC60-AB60+AA60</f>
        <v>4.13014374795911</v>
      </c>
      <c r="AE60" s="31" t="n">
        <f aca="false">AC60-AB60</f>
        <v>2.08482720003165</v>
      </c>
      <c r="AF60" s="31" t="n">
        <f aca="false">X60/V60</f>
        <v>0.282939646471734</v>
      </c>
      <c r="AG60" s="26" t="n">
        <f aca="false">X60/Z60</f>
        <v>0.394582750363399</v>
      </c>
      <c r="AH60" s="26" t="n">
        <f aca="false">V60/AD60</f>
        <v>1.7922620740883</v>
      </c>
      <c r="AI60" s="26" t="n">
        <f aca="false">Z60/AD60</f>
        <v>1.28516007646106</v>
      </c>
      <c r="AJ60" s="26" t="n">
        <f aca="false">Z60/AE60</f>
        <v>2.54596441126713</v>
      </c>
      <c r="AK60" s="26" t="n">
        <f aca="false">AA60/AD60</f>
        <v>0.495216794557851</v>
      </c>
      <c r="AL60" s="26" t="n">
        <f aca="false">AA60/AE60</f>
        <v>0.98104847629406</v>
      </c>
      <c r="AM60" s="23" t="s">
        <v>42</v>
      </c>
    </row>
    <row r="61" s="23" customFormat="true" ht="14.25" hidden="false" customHeight="false" outlineLevel="0" collapsed="false">
      <c r="A61" s="20" t="n">
        <v>501</v>
      </c>
      <c r="B61" s="21" t="s">
        <v>38</v>
      </c>
      <c r="C61" s="21" t="s">
        <v>39</v>
      </c>
      <c r="D61" s="21" t="n">
        <v>67</v>
      </c>
      <c r="E61" s="21" t="s">
        <v>44</v>
      </c>
      <c r="F61" s="21" t="n">
        <v>1</v>
      </c>
      <c r="G61" s="21" t="n">
        <v>44</v>
      </c>
      <c r="H61" s="21" t="n">
        <v>46</v>
      </c>
      <c r="I61" s="22" t="str">
        <f aca="false">_xlfn.CONCAT(B61, "-", C61,"-", D61,"-", F61)</f>
        <v>M0111-B-67-1</v>
      </c>
      <c r="J61" s="23" t="str">
        <f aca="false">_xlfn.CONCAT(A61, "-", I61, ",",G61, "-",H61)</f>
        <v>501-M0111-B-67-1,44-46</v>
      </c>
      <c r="K61" s="22" t="n">
        <f aca="false">VLOOKUP(I61, 'Depth vlookup'!$G$2:$I$997,2,FALSE())+(G61/100)</f>
        <v>194.35</v>
      </c>
      <c r="L61" s="28" t="n">
        <f aca="false">K61+2/100</f>
        <v>194.37</v>
      </c>
      <c r="M61" s="21" t="n">
        <v>178</v>
      </c>
      <c r="N61" s="24" t="n">
        <f aca="false">VLOOKUP(M61,  Beakers!$A$2:$B$151, 2, 0)</f>
        <v>9.6099</v>
      </c>
      <c r="O61" s="21" t="n">
        <v>20.1562</v>
      </c>
      <c r="P61" s="25" t="n">
        <v>46043.5756944444</v>
      </c>
      <c r="Q61" s="21" t="n">
        <v>17.7965</v>
      </c>
      <c r="R61" s="22" t="s">
        <v>41</v>
      </c>
      <c r="S61" s="22" t="n">
        <v>5</v>
      </c>
      <c r="T61" s="21" t="n">
        <v>7.337</v>
      </c>
      <c r="U61" s="22"/>
      <c r="V61" s="26" t="n">
        <f aca="false">O61-N61</f>
        <v>10.5463</v>
      </c>
      <c r="W61" s="26" t="n">
        <f aca="false">Q61-N61</f>
        <v>8.1866</v>
      </c>
      <c r="X61" s="26" t="n">
        <f aca="false">(V61-W61)/(1-35/1000)</f>
        <v>2.44528497409326</v>
      </c>
      <c r="Y61" s="26" t="n">
        <f aca="false">X61-(V61-W61)</f>
        <v>0.0855849740932642</v>
      </c>
      <c r="Z61" s="26" t="n">
        <f aca="false">W61-Y61</f>
        <v>8.10101502590674</v>
      </c>
      <c r="AA61" s="26" t="n">
        <f aca="false">X61/1.024</f>
        <v>2.38797360751295</v>
      </c>
      <c r="AB61" s="26" t="n">
        <f aca="false">Y61/2.22</f>
        <v>0.038551790132101</v>
      </c>
      <c r="AC61" s="26" t="n">
        <f aca="false">T61-VLOOKUP(M61, Beakers!$A$2:$C$151, 3, 0)</f>
        <v>3.02762780269058</v>
      </c>
      <c r="AD61" s="26" t="n">
        <f aca="false">AC61-AB61+AA61</f>
        <v>5.37704962007143</v>
      </c>
      <c r="AE61" s="26" t="n">
        <f aca="false">AC61-AB61</f>
        <v>2.98907601255848</v>
      </c>
      <c r="AF61" s="26" t="n">
        <f aca="false">X61/V61</f>
        <v>0.23186188275445</v>
      </c>
      <c r="AG61" s="26" t="n">
        <f aca="false">X61/Z61</f>
        <v>0.301849208558845</v>
      </c>
      <c r="AH61" s="26" t="n">
        <f aca="false">V61/AD61</f>
        <v>1.96135441276807</v>
      </c>
      <c r="AI61" s="26" t="n">
        <f aca="false">Z61/AD61</f>
        <v>1.50659108587492</v>
      </c>
      <c r="AJ61" s="26" t="n">
        <f aca="false">Z61/AE61</f>
        <v>2.71020709806999</v>
      </c>
      <c r="AK61" s="26" t="n">
        <f aca="false">AA61/AD61</f>
        <v>0.444104811419097</v>
      </c>
      <c r="AL61" s="26" t="n">
        <f aca="false">AA61/AE61</f>
        <v>0.798900261311514</v>
      </c>
      <c r="AM61" s="23" t="s">
        <v>42</v>
      </c>
    </row>
    <row r="62" s="23" customFormat="true" ht="14.25" hidden="false" customHeight="false" outlineLevel="0" collapsed="false">
      <c r="A62" s="20" t="n">
        <v>501</v>
      </c>
      <c r="B62" s="21" t="s">
        <v>38</v>
      </c>
      <c r="C62" s="21" t="s">
        <v>39</v>
      </c>
      <c r="D62" s="21" t="n">
        <v>68</v>
      </c>
      <c r="E62" s="21" t="s">
        <v>44</v>
      </c>
      <c r="F62" s="21" t="n">
        <v>1</v>
      </c>
      <c r="G62" s="21" t="n">
        <v>139</v>
      </c>
      <c r="H62" s="21" t="n">
        <v>141</v>
      </c>
      <c r="I62" s="22" t="str">
        <f aca="false">_xlfn.CONCAT(B62, "-", C62,"-", D62,"-", F62)</f>
        <v>M0111-B-68-1</v>
      </c>
      <c r="J62" s="23" t="str">
        <f aca="false">_xlfn.CONCAT(A62, "-", I62, ",",G62, "-",H62)</f>
        <v>501-M0111-B-68-1,139-141</v>
      </c>
      <c r="K62" s="22" t="n">
        <f aca="false">VLOOKUP(I62, 'Depth vlookup'!$G$2:$I$997,2,FALSE())+(G62/100)</f>
        <v>198.35</v>
      </c>
      <c r="L62" s="28" t="n">
        <f aca="false">K62+2/100</f>
        <v>198.37</v>
      </c>
      <c r="M62" s="21" t="n">
        <v>179</v>
      </c>
      <c r="N62" s="24" t="n">
        <f aca="false">VLOOKUP(M62,  Beakers!$A$2:$B$151, 2, 0)</f>
        <v>9.5829</v>
      </c>
      <c r="O62" s="21" t="n">
        <v>18.3818</v>
      </c>
      <c r="P62" s="25" t="n">
        <v>46043.5756944444</v>
      </c>
      <c r="Q62" s="21" t="n">
        <v>16.2688</v>
      </c>
      <c r="R62" s="22" t="s">
        <v>41</v>
      </c>
      <c r="S62" s="22" t="n">
        <v>1</v>
      </c>
      <c r="T62" s="21" t="n">
        <v>6.775</v>
      </c>
      <c r="U62" s="22"/>
      <c r="V62" s="26" t="n">
        <f aca="false">O62-N62</f>
        <v>8.7989</v>
      </c>
      <c r="W62" s="26" t="n">
        <f aca="false">Q62-N62</f>
        <v>6.6859</v>
      </c>
      <c r="X62" s="26" t="n">
        <f aca="false">(V62-W62)/(1-35/1000)</f>
        <v>2.18963730569948</v>
      </c>
      <c r="Y62" s="26" t="n">
        <f aca="false">X62-(V62-W62)</f>
        <v>0.076637305699482</v>
      </c>
      <c r="Z62" s="26" t="n">
        <f aca="false">W62-Y62</f>
        <v>6.60926269430052</v>
      </c>
      <c r="AA62" s="26" t="n">
        <f aca="false">X62/1.024</f>
        <v>2.13831768134715</v>
      </c>
      <c r="AB62" s="26" t="n">
        <f aca="false">Y62/2.22</f>
        <v>0.0345213088736405</v>
      </c>
      <c r="AC62" s="26" t="n">
        <f aca="false">T62-VLOOKUP(M62, Beakers!$A$2:$C$151, 3, 0)</f>
        <v>2.47773542600897</v>
      </c>
      <c r="AD62" s="26" t="n">
        <f aca="false">AC62-AB62+AA62</f>
        <v>4.58153179848248</v>
      </c>
      <c r="AE62" s="26" t="n">
        <f aca="false">AC62-AB62</f>
        <v>2.44321411713533</v>
      </c>
      <c r="AF62" s="26" t="n">
        <f aca="false">X62/V62</f>
        <v>0.248853527793188</v>
      </c>
      <c r="AG62" s="26" t="n">
        <f aca="false">X62/Z62</f>
        <v>0.331298271377186</v>
      </c>
      <c r="AH62" s="26" t="n">
        <f aca="false">V62/AD62</f>
        <v>1.92051488170712</v>
      </c>
      <c r="AI62" s="26" t="n">
        <f aca="false">Z62/AD62</f>
        <v>1.44258797821499</v>
      </c>
      <c r="AJ62" s="26" t="n">
        <f aca="false">Z62/AE62</f>
        <v>2.70515082896209</v>
      </c>
      <c r="AK62" s="26" t="n">
        <f aca="false">AA62/AD62</f>
        <v>0.466725491691538</v>
      </c>
      <c r="AL62" s="26" t="n">
        <f aca="false">AA62/AE62</f>
        <v>0.875206829540724</v>
      </c>
      <c r="AM62" s="23" t="s">
        <v>42</v>
      </c>
    </row>
    <row r="63" s="23" customFormat="true" ht="14.25" hidden="false" customHeight="false" outlineLevel="0" collapsed="false">
      <c r="A63" s="20" t="n">
        <v>501</v>
      </c>
      <c r="B63" s="21" t="s">
        <v>38</v>
      </c>
      <c r="C63" s="21" t="s">
        <v>39</v>
      </c>
      <c r="D63" s="21" t="n">
        <v>69</v>
      </c>
      <c r="E63" s="21" t="s">
        <v>44</v>
      </c>
      <c r="F63" s="21" t="n">
        <v>1</v>
      </c>
      <c r="G63" s="21" t="n">
        <v>123</v>
      </c>
      <c r="H63" s="21" t="n">
        <v>125</v>
      </c>
      <c r="I63" s="22" t="str">
        <f aca="false">_xlfn.CONCAT(B63, "-", C63,"-", D63,"-", F63)</f>
        <v>M0111-B-69-1</v>
      </c>
      <c r="J63" s="23" t="str">
        <f aca="false">_xlfn.CONCAT(A63, "-", I63, ",",G63, "-",H63)</f>
        <v>501-M0111-B-69-1,123-125</v>
      </c>
      <c r="K63" s="22" t="n">
        <f aca="false">VLOOKUP(I63, 'Depth vlookup'!$G$2:$I$997,2,FALSE())+(G63/100)</f>
        <v>201.24</v>
      </c>
      <c r="L63" s="28" t="n">
        <f aca="false">K63+2/100</f>
        <v>201.26</v>
      </c>
      <c r="M63" s="21" t="n">
        <v>180</v>
      </c>
      <c r="N63" s="24" t="n">
        <f aca="false">VLOOKUP(M63,  Beakers!$A$2:$B$151, 2, 0)</f>
        <v>9.5632</v>
      </c>
      <c r="O63" s="21" t="n">
        <v>19.0797</v>
      </c>
      <c r="P63" s="25" t="n">
        <v>46043.5770833333</v>
      </c>
      <c r="Q63" s="21" t="n">
        <v>16.4704</v>
      </c>
      <c r="R63" s="22" t="s">
        <v>41</v>
      </c>
      <c r="S63" s="22" t="n">
        <v>2</v>
      </c>
      <c r="T63" s="21" t="n">
        <v>6.9318</v>
      </c>
      <c r="U63" s="22"/>
      <c r="V63" s="26" t="n">
        <f aca="false">O63-N63</f>
        <v>9.5165</v>
      </c>
      <c r="W63" s="26" t="n">
        <f aca="false">Q63-N63</f>
        <v>6.9072</v>
      </c>
      <c r="X63" s="26" t="n">
        <f aca="false">(V63-W63)/(1-35/1000)</f>
        <v>2.70393782383419</v>
      </c>
      <c r="Y63" s="26" t="n">
        <f aca="false">X63-(V63-W63)</f>
        <v>0.0946378238341969</v>
      </c>
      <c r="Z63" s="26" t="n">
        <f aca="false">W63-Y63</f>
        <v>6.8125621761658</v>
      </c>
      <c r="AA63" s="26" t="n">
        <f aca="false">X63/1.024</f>
        <v>2.64056428108808</v>
      </c>
      <c r="AB63" s="26" t="n">
        <f aca="false">Y63/2.22</f>
        <v>0.0426296503757644</v>
      </c>
      <c r="AC63" s="26" t="n">
        <f aca="false">T63-VLOOKUP(M63, Beakers!$A$2:$C$151, 3, 0)</f>
        <v>2.64336950672646</v>
      </c>
      <c r="AD63" s="26" t="n">
        <f aca="false">AC63-AB63+AA63</f>
        <v>5.24130413743877</v>
      </c>
      <c r="AE63" s="26" t="n">
        <f aca="false">AC63-AB63</f>
        <v>2.60073985635069</v>
      </c>
      <c r="AF63" s="26" t="n">
        <f aca="false">X63/V63</f>
        <v>0.28413154246143</v>
      </c>
      <c r="AG63" s="26" t="n">
        <f aca="false">X63/Z63</f>
        <v>0.396904681955652</v>
      </c>
      <c r="AH63" s="26" t="n">
        <f aca="false">V63/AD63</f>
        <v>1.81567406707491</v>
      </c>
      <c r="AI63" s="26" t="n">
        <f aca="false">Z63/AD63</f>
        <v>1.2997837937897</v>
      </c>
      <c r="AJ63" s="26" t="n">
        <f aca="false">Z63/AE63</f>
        <v>2.61947082463106</v>
      </c>
      <c r="AK63" s="26" t="n">
        <f aca="false">AA63/AD63</f>
        <v>0.503799095005089</v>
      </c>
      <c r="AL63" s="26" t="n">
        <f aca="false">AA63/AE63</f>
        <v>1.01531272904521</v>
      </c>
      <c r="AM63" s="23" t="s">
        <v>42</v>
      </c>
    </row>
    <row r="64" s="23" customFormat="true" ht="14.25" hidden="false" customHeight="false" outlineLevel="0" collapsed="false">
      <c r="A64" s="20" t="n">
        <v>501</v>
      </c>
      <c r="B64" s="21" t="s">
        <v>38</v>
      </c>
      <c r="C64" s="21" t="s">
        <v>39</v>
      </c>
      <c r="D64" s="21" t="n">
        <v>70</v>
      </c>
      <c r="E64" s="21" t="s">
        <v>44</v>
      </c>
      <c r="F64" s="21" t="n">
        <v>1</v>
      </c>
      <c r="G64" s="21" t="n">
        <v>116</v>
      </c>
      <c r="H64" s="21" t="n">
        <v>118</v>
      </c>
      <c r="I64" s="22" t="str">
        <f aca="false">_xlfn.CONCAT(B64, "-", C64,"-", D64,"-", F64)</f>
        <v>M0111-B-70-1</v>
      </c>
      <c r="J64" s="23" t="str">
        <f aca="false">_xlfn.CONCAT(A64, "-", I64, ",",G64, "-",H64)</f>
        <v>501-M0111-B-70-1,116-118</v>
      </c>
      <c r="K64" s="22" t="n">
        <f aca="false">VLOOKUP(I64, 'Depth vlookup'!$G$2:$I$997,2,FALSE())+(G64/100)</f>
        <v>204.22</v>
      </c>
      <c r="L64" s="28" t="n">
        <f aca="false">K64+2/100</f>
        <v>204.24</v>
      </c>
      <c r="M64" s="21" t="n">
        <v>191</v>
      </c>
      <c r="N64" s="24" t="n">
        <f aca="false">VLOOKUP(M64,  Beakers!$A$2:$B$151, 2, 0)</f>
        <v>9.535</v>
      </c>
      <c r="O64" s="21" t="n">
        <v>16.8458</v>
      </c>
      <c r="P64" s="25" t="n">
        <v>46043.7222222222</v>
      </c>
      <c r="Q64" s="21" t="n">
        <v>14.8705</v>
      </c>
      <c r="R64" s="22" t="s">
        <v>41</v>
      </c>
      <c r="S64" s="22" t="n">
        <v>1</v>
      </c>
      <c r="T64" s="21" t="n">
        <v>6.4536</v>
      </c>
      <c r="U64" s="22"/>
      <c r="V64" s="26" t="n">
        <f aca="false">O64-N64</f>
        <v>7.3108</v>
      </c>
      <c r="W64" s="26" t="n">
        <f aca="false">Q64-N64</f>
        <v>5.3355</v>
      </c>
      <c r="X64" s="26" t="n">
        <f aca="false">(V64-W64)/(1-35/1000)</f>
        <v>2.04694300518135</v>
      </c>
      <c r="Y64" s="26" t="n">
        <f aca="false">X64-(V64-W64)</f>
        <v>0.0716430051813473</v>
      </c>
      <c r="Z64" s="26" t="n">
        <f aca="false">W64-Y64</f>
        <v>5.26385699481865</v>
      </c>
      <c r="AA64" s="26" t="n">
        <f aca="false">X64/1.024</f>
        <v>1.99896777849741</v>
      </c>
      <c r="AB64" s="26" t="n">
        <f aca="false">Y64/2.22</f>
        <v>0.0322716239555618</v>
      </c>
      <c r="AC64" s="26" t="n">
        <f aca="false">T64-VLOOKUP(M64, Beakers!$A$2:$C$151, 3, 0)</f>
        <v>2.17781524663677</v>
      </c>
      <c r="AD64" s="26" t="n">
        <f aca="false">AC64-AB64+AA64</f>
        <v>4.14451140117862</v>
      </c>
      <c r="AE64" s="26" t="n">
        <f aca="false">AC64-AB64</f>
        <v>2.14554362268121</v>
      </c>
      <c r="AF64" s="26" t="n">
        <f aca="false">X64/V64</f>
        <v>0.279988921209902</v>
      </c>
      <c r="AG64" s="26" t="n">
        <f aca="false">X64/Z64</f>
        <v>0.388867518094851</v>
      </c>
      <c r="AH64" s="26" t="n">
        <f aca="false">V64/AD64</f>
        <v>1.76397150166385</v>
      </c>
      <c r="AI64" s="26" t="n">
        <f aca="false">Z64/AD64</f>
        <v>1.27007902386798</v>
      </c>
      <c r="AJ64" s="26" t="n">
        <f aca="false">Z64/AE64</f>
        <v>2.45339080463002</v>
      </c>
      <c r="AK64" s="26" t="n">
        <f aca="false">AA64/AD64</f>
        <v>0.482316872847531</v>
      </c>
      <c r="AL64" s="26" t="n">
        <f aca="false">AA64/AE64</f>
        <v>0.931683587024612</v>
      </c>
      <c r="AM64" s="23" t="s">
        <v>45</v>
      </c>
    </row>
    <row r="65" s="23" customFormat="true" ht="14.25" hidden="false" customHeight="false" outlineLevel="0" collapsed="false">
      <c r="A65" s="20" t="n">
        <v>501</v>
      </c>
      <c r="B65" s="21" t="s">
        <v>38</v>
      </c>
      <c r="C65" s="21" t="s">
        <v>39</v>
      </c>
      <c r="D65" s="21" t="n">
        <v>72</v>
      </c>
      <c r="E65" s="21" t="s">
        <v>44</v>
      </c>
      <c r="F65" s="21" t="n">
        <v>1</v>
      </c>
      <c r="G65" s="21" t="n">
        <v>38</v>
      </c>
      <c r="H65" s="21" t="n">
        <v>40</v>
      </c>
      <c r="I65" s="22" t="str">
        <f aca="false">_xlfn.CONCAT(B65, "-", C65,"-", D65,"-", F65)</f>
        <v>M0111-B-72-1</v>
      </c>
      <c r="J65" s="23" t="str">
        <f aca="false">_xlfn.CONCAT(A65, "-", I65, ",",G65, "-",H65)</f>
        <v>501-M0111-B-72-1,38-40</v>
      </c>
      <c r="K65" s="22" t="n">
        <f aca="false">VLOOKUP(I65, 'Depth vlookup'!$G$2:$I$997,2,FALSE())+(G65/100)</f>
        <v>207.71</v>
      </c>
      <c r="L65" s="28" t="n">
        <f aca="false">K65+2/100</f>
        <v>207.73</v>
      </c>
      <c r="M65" s="21" t="n">
        <v>210</v>
      </c>
      <c r="N65" s="24" t="n">
        <f aca="false">VLOOKUP(M65,  Beakers!$A$2:$B$151, 2, 0)</f>
        <v>9.752</v>
      </c>
      <c r="O65" s="21" t="n">
        <v>21.6517</v>
      </c>
      <c r="P65" s="25" t="n">
        <v>46043.7222222222</v>
      </c>
      <c r="Q65" s="21" t="n">
        <v>19.2001</v>
      </c>
      <c r="R65" s="22" t="s">
        <v>41</v>
      </c>
      <c r="S65" s="22" t="n">
        <v>2</v>
      </c>
      <c r="T65" s="21" t="n">
        <v>7.9516</v>
      </c>
      <c r="U65" s="22"/>
      <c r="V65" s="26" t="n">
        <f aca="false">O65-N65</f>
        <v>11.8997</v>
      </c>
      <c r="W65" s="26" t="n">
        <f aca="false">Q65-N65</f>
        <v>9.4481</v>
      </c>
      <c r="X65" s="26" t="n">
        <f aca="false">(V65-W65)/(1-35/1000)</f>
        <v>2.54051813471503</v>
      </c>
      <c r="Y65" s="26" t="n">
        <f aca="false">X65-(V65-W65)</f>
        <v>0.0889181347150263</v>
      </c>
      <c r="Z65" s="26" t="n">
        <f aca="false">W65-Y65</f>
        <v>9.35918186528497</v>
      </c>
      <c r="AA65" s="26" t="n">
        <f aca="false">X65/1.024</f>
        <v>2.48097474093265</v>
      </c>
      <c r="AB65" s="26" t="n">
        <f aca="false">Y65/2.22</f>
        <v>0.0400532138355974</v>
      </c>
      <c r="AC65" s="26" t="n">
        <f aca="false">T65-VLOOKUP(M65, Beakers!$A$2:$C$151, 3, 0)</f>
        <v>3.57850582959641</v>
      </c>
      <c r="AD65" s="26" t="n">
        <f aca="false">AC65-AB65+AA65</f>
        <v>6.01942735669346</v>
      </c>
      <c r="AE65" s="26" t="n">
        <f aca="false">AC65-AB65</f>
        <v>3.53845261576081</v>
      </c>
      <c r="AF65" s="26" t="n">
        <f aca="false">X65/V65</f>
        <v>0.213494301092887</v>
      </c>
      <c r="AG65" s="26" t="n">
        <f aca="false">X65/Z65</f>
        <v>0.271446604124481</v>
      </c>
      <c r="AH65" s="26" t="n">
        <f aca="false">V65/AD65</f>
        <v>1.97688240007877</v>
      </c>
      <c r="AI65" s="26" t="n">
        <f aca="false">Z65/AD65</f>
        <v>1.55482927373113</v>
      </c>
      <c r="AJ65" s="26" t="n">
        <f aca="false">Z65/AE65</f>
        <v>2.64499284902043</v>
      </c>
      <c r="AK65" s="26" t="n">
        <f aca="false">AA65/AD65</f>
        <v>0.412161256198874</v>
      </c>
      <c r="AL65" s="26" t="n">
        <f aca="false">AA65/AE65</f>
        <v>0.701146803515752</v>
      </c>
      <c r="AM65" s="23" t="s">
        <v>42</v>
      </c>
    </row>
    <row r="66" s="23" customFormat="true" ht="14.25" hidden="false" customHeight="false" outlineLevel="0" collapsed="false">
      <c r="A66" s="20" t="n">
        <v>501</v>
      </c>
      <c r="B66" s="21" t="s">
        <v>38</v>
      </c>
      <c r="C66" s="21" t="s">
        <v>39</v>
      </c>
      <c r="D66" s="21" t="n">
        <v>75</v>
      </c>
      <c r="E66" s="21" t="s">
        <v>44</v>
      </c>
      <c r="F66" s="21" t="n">
        <v>1</v>
      </c>
      <c r="G66" s="21" t="n">
        <v>38</v>
      </c>
      <c r="H66" s="21" t="n">
        <v>40</v>
      </c>
      <c r="I66" s="22" t="str">
        <f aca="false">_xlfn.CONCAT(B66, "-", C66,"-", D66,"-", F66)</f>
        <v>M0111-B-75-1</v>
      </c>
      <c r="J66" s="23" t="str">
        <f aca="false">_xlfn.CONCAT(A66, "-", I66, ",",G66, "-",H66)</f>
        <v>501-M0111-B-75-1,38-40</v>
      </c>
      <c r="K66" s="22" t="n">
        <f aca="false">VLOOKUP(I66, 'Depth vlookup'!$G$2:$I$997,2,FALSE())+(G66/100)</f>
        <v>215.71</v>
      </c>
      <c r="L66" s="28" t="n">
        <f aca="false">K66+2/100</f>
        <v>215.73</v>
      </c>
      <c r="M66" s="21" t="n">
        <v>211</v>
      </c>
      <c r="N66" s="24" t="n">
        <f aca="false">VLOOKUP(M66,  Beakers!$A$2:$B$151, 2, 0)</f>
        <v>9.7985</v>
      </c>
      <c r="O66" s="21" t="n">
        <v>19.6673</v>
      </c>
      <c r="P66" s="25" t="n">
        <v>46043.7222222222</v>
      </c>
      <c r="Q66" s="21" t="n">
        <v>18.0356</v>
      </c>
      <c r="R66" s="22" t="s">
        <v>41</v>
      </c>
      <c r="S66" s="22" t="n">
        <v>3</v>
      </c>
      <c r="T66" s="21" t="n">
        <v>7.5088</v>
      </c>
      <c r="U66" s="22"/>
      <c r="V66" s="26" t="n">
        <f aca="false">O66-N66</f>
        <v>9.8688</v>
      </c>
      <c r="W66" s="26" t="n">
        <f aca="false">Q66-N66</f>
        <v>8.2371</v>
      </c>
      <c r="X66" s="26" t="n">
        <f aca="false">(V66-W66)/(1-35/1000)</f>
        <v>1.69088082901555</v>
      </c>
      <c r="Y66" s="26" t="n">
        <f aca="false">X66-(V66-W66)</f>
        <v>0.0591808290155442</v>
      </c>
      <c r="Z66" s="26" t="n">
        <f aca="false">W66-Y66</f>
        <v>8.17791917098445</v>
      </c>
      <c r="AA66" s="26" t="n">
        <f aca="false">X66/1.024</f>
        <v>1.65125080958549</v>
      </c>
      <c r="AB66" s="26" t="n">
        <f aca="false">Y66/2.22</f>
        <v>0.026658031088083</v>
      </c>
      <c r="AC66" s="26" t="n">
        <f aca="false">T66-VLOOKUP(M66, Beakers!$A$2:$C$151, 3, 0)</f>
        <v>3.11485381165919</v>
      </c>
      <c r="AD66" s="26" t="n">
        <f aca="false">AC66-AB66+AA66</f>
        <v>4.7394465901566</v>
      </c>
      <c r="AE66" s="26" t="n">
        <f aca="false">AC66-AB66</f>
        <v>3.08819578057111</v>
      </c>
      <c r="AF66" s="26" t="n">
        <f aca="false">X66/V66</f>
        <v>0.171336011370739</v>
      </c>
      <c r="AG66" s="26" t="n">
        <f aca="false">X66/Z66</f>
        <v>0.206761743869376</v>
      </c>
      <c r="AH66" s="26" t="n">
        <f aca="false">V66/AD66</f>
        <v>2.08226842781531</v>
      </c>
      <c r="AI66" s="26" t="n">
        <f aca="false">Z66/AD66</f>
        <v>1.72550086079021</v>
      </c>
      <c r="AJ66" s="26" t="n">
        <f aca="false">Z66/AE66</f>
        <v>2.64812199486656</v>
      </c>
      <c r="AK66" s="26" t="n">
        <f aca="false">AA66/AD66</f>
        <v>0.348405827172943</v>
      </c>
      <c r="AL66" s="26" t="n">
        <f aca="false">AA66/AE66</f>
        <v>0.534697579724082</v>
      </c>
      <c r="AM66" s="23" t="s">
        <v>42</v>
      </c>
    </row>
    <row r="67" s="23" customFormat="true" ht="14.25" hidden="false" customHeight="false" outlineLevel="0" collapsed="false">
      <c r="A67" s="20" t="n">
        <v>501</v>
      </c>
      <c r="B67" s="21" t="s">
        <v>38</v>
      </c>
      <c r="C67" s="21" t="s">
        <v>39</v>
      </c>
      <c r="D67" s="21" t="n">
        <v>73</v>
      </c>
      <c r="E67" s="21" t="s">
        <v>44</v>
      </c>
      <c r="F67" s="21" t="n">
        <v>1</v>
      </c>
      <c r="G67" s="21" t="n">
        <v>38</v>
      </c>
      <c r="H67" s="21" t="n">
        <v>40</v>
      </c>
      <c r="I67" s="22" t="str">
        <f aca="false">_xlfn.CONCAT(B67, "-", C67,"-", D67,"-", F67)</f>
        <v>M0111-B-73-1</v>
      </c>
      <c r="J67" s="23" t="str">
        <f aca="false">_xlfn.CONCAT(A67, "-", I67, ",",G67, "-",H67)</f>
        <v>501-M0111-B-73-1,38-40</v>
      </c>
      <c r="K67" s="22" t="n">
        <f aca="false">VLOOKUP(I67, 'Depth vlookup'!$G$2:$I$997,2,FALSE())+(G67/100)</f>
        <v>210.21</v>
      </c>
      <c r="L67" s="28" t="n">
        <f aca="false">K67+2/100</f>
        <v>210.23</v>
      </c>
      <c r="M67" s="21" t="n">
        <v>212</v>
      </c>
      <c r="N67" s="24" t="n">
        <f aca="false">VLOOKUP(M67,  Beakers!$A$2:$B$151, 2, 0)</f>
        <v>9.7664</v>
      </c>
      <c r="O67" s="21" t="n">
        <v>19.173</v>
      </c>
      <c r="P67" s="25" t="n">
        <v>46043.775</v>
      </c>
      <c r="Q67" s="21" t="n">
        <v>16.6235</v>
      </c>
      <c r="R67" s="22" t="s">
        <v>41</v>
      </c>
      <c r="S67" s="22" t="n">
        <v>2</v>
      </c>
      <c r="T67" s="21" t="n">
        <v>7.0529</v>
      </c>
      <c r="U67" s="22"/>
      <c r="V67" s="26" t="n">
        <f aca="false">O67-N67</f>
        <v>9.4066</v>
      </c>
      <c r="W67" s="26" t="n">
        <f aca="false">Q67-N67</f>
        <v>6.8571</v>
      </c>
      <c r="X67" s="26" t="n">
        <f aca="false">(V67-W67)/(1-35/1000)</f>
        <v>2.6419689119171</v>
      </c>
      <c r="Y67" s="26" t="n">
        <f aca="false">X67-(V67-W67)</f>
        <v>0.0924689119170985</v>
      </c>
      <c r="Z67" s="26" t="n">
        <f aca="false">W67-Y67</f>
        <v>6.7646310880829</v>
      </c>
      <c r="AA67" s="26" t="n">
        <f aca="false">X67/1.024</f>
        <v>2.58004776554404</v>
      </c>
      <c r="AB67" s="26" t="n">
        <f aca="false">Y67/2.22</f>
        <v>0.04165266302572</v>
      </c>
      <c r="AC67" s="26" t="n">
        <f aca="false">T67-VLOOKUP(M67, Beakers!$A$2:$C$151, 3, 0)</f>
        <v>2.67334843049327</v>
      </c>
      <c r="AD67" s="26" t="n">
        <f aca="false">AC67-AB67+AA67</f>
        <v>5.21174353301159</v>
      </c>
      <c r="AE67" s="26" t="n">
        <f aca="false">AC67-AB67</f>
        <v>2.63169576746755</v>
      </c>
      <c r="AF67" s="26" t="n">
        <f aca="false">X67/V67</f>
        <v>0.280863320638392</v>
      </c>
      <c r="AG67" s="26" t="n">
        <f aca="false">X67/Z67</f>
        <v>0.390556244311888</v>
      </c>
      <c r="AH67" s="26" t="n">
        <f aca="false">V67/AD67</f>
        <v>1.8048854362111</v>
      </c>
      <c r="AI67" s="26" t="n">
        <f aca="false">Z67/AD67</f>
        <v>1.29795931922498</v>
      </c>
      <c r="AJ67" s="26" t="n">
        <f aca="false">Z67/AE67</f>
        <v>2.57044570717702</v>
      </c>
      <c r="AK67" s="26" t="n">
        <f aca="false">AA67/AD67</f>
        <v>0.495045036119259</v>
      </c>
      <c r="AL67" s="26" t="n">
        <f aca="false">AA67/AE67</f>
        <v>0.980374630471358</v>
      </c>
      <c r="AM67" s="23" t="s">
        <v>42</v>
      </c>
    </row>
    <row r="68" s="23" customFormat="true" ht="14.25" hidden="false" customHeight="false" outlineLevel="0" collapsed="false">
      <c r="A68" s="20" t="n">
        <v>501</v>
      </c>
      <c r="B68" s="21" t="s">
        <v>38</v>
      </c>
      <c r="C68" s="21" t="s">
        <v>39</v>
      </c>
      <c r="D68" s="21" t="n">
        <v>74</v>
      </c>
      <c r="E68" s="21" t="s">
        <v>44</v>
      </c>
      <c r="F68" s="21" t="n">
        <v>1</v>
      </c>
      <c r="G68" s="21" t="n">
        <v>38</v>
      </c>
      <c r="H68" s="21" t="n">
        <v>40</v>
      </c>
      <c r="I68" s="22" t="str">
        <f aca="false">_xlfn.CONCAT(B68, "-", C68,"-", D68,"-", F68)</f>
        <v>M0111-B-74-1</v>
      </c>
      <c r="J68" s="23" t="str">
        <f aca="false">_xlfn.CONCAT(A68, "-", I68, ",",G68, "-",H68)</f>
        <v>501-M0111-B-74-1,38-40</v>
      </c>
      <c r="K68" s="22" t="n">
        <f aca="false">VLOOKUP(I68, 'Depth vlookup'!$G$2:$I$997,2,FALSE())+(G68/100)</f>
        <v>213.26</v>
      </c>
      <c r="L68" s="28" t="n">
        <f aca="false">K68+2/100</f>
        <v>213.28</v>
      </c>
      <c r="M68" s="21" t="n">
        <v>213</v>
      </c>
      <c r="N68" s="24" t="n">
        <f aca="false">VLOOKUP(M68,  Beakers!$A$2:$B$151, 2, 0)</f>
        <v>9.3755</v>
      </c>
      <c r="O68" s="21" t="n">
        <v>18.6355</v>
      </c>
      <c r="P68" s="25" t="n">
        <v>46043.775</v>
      </c>
      <c r="Q68" s="21" t="n">
        <v>16.623</v>
      </c>
      <c r="R68" s="22" t="s">
        <v>41</v>
      </c>
      <c r="S68" s="22" t="n">
        <v>3</v>
      </c>
      <c r="T68" s="21" t="n">
        <v>6.964</v>
      </c>
      <c r="U68" s="22"/>
      <c r="V68" s="26" t="n">
        <f aca="false">O68-N68</f>
        <v>9.26</v>
      </c>
      <c r="W68" s="26" t="n">
        <f aca="false">Q68-N68</f>
        <v>7.2475</v>
      </c>
      <c r="X68" s="26" t="n">
        <f aca="false">(V68-W68)/(1-35/1000)</f>
        <v>2.08549222797927</v>
      </c>
      <c r="Y68" s="26" t="n">
        <f aca="false">X68-(V68-W68)</f>
        <v>0.0729922279792747</v>
      </c>
      <c r="Z68" s="26" t="n">
        <f aca="false">W68-Y68</f>
        <v>7.17450777202073</v>
      </c>
      <c r="AA68" s="26" t="n">
        <f aca="false">X68/1.024</f>
        <v>2.03661350388601</v>
      </c>
      <c r="AB68" s="26" t="n">
        <f aca="false">Y68/2.22</f>
        <v>0.0328793819726463</v>
      </c>
      <c r="AC68" s="26" t="n">
        <f aca="false">T68-VLOOKUP(M68, Beakers!$A$2:$C$151, 3, 0)</f>
        <v>2.7597399103139</v>
      </c>
      <c r="AD68" s="26" t="n">
        <f aca="false">AC68-AB68+AA68</f>
        <v>4.76347403222727</v>
      </c>
      <c r="AE68" s="26" t="n">
        <f aca="false">AC68-AB68</f>
        <v>2.72686052834126</v>
      </c>
      <c r="AF68" s="26" t="n">
        <f aca="false">X68/V68</f>
        <v>0.225215143410289</v>
      </c>
      <c r="AG68" s="26" t="n">
        <f aca="false">X68/Z68</f>
        <v>0.290680879336742</v>
      </c>
      <c r="AH68" s="26" t="n">
        <f aca="false">V68/AD68</f>
        <v>1.94395937447155</v>
      </c>
      <c r="AI68" s="26" t="n">
        <f aca="false">Z68/AD68</f>
        <v>1.50615028516617</v>
      </c>
      <c r="AJ68" s="26" t="n">
        <f aca="false">Z68/AE68</f>
        <v>2.63105050568353</v>
      </c>
      <c r="AK68" s="26" t="n">
        <f aca="false">AA68/AD68</f>
        <v>0.427547938774791</v>
      </c>
      <c r="AL68" s="26" t="n">
        <f aca="false">AA68/AE68</f>
        <v>0.7468711665737</v>
      </c>
      <c r="AM68" s="23" t="s">
        <v>42</v>
      </c>
    </row>
    <row r="69" s="23" customFormat="true" ht="14.25" hidden="false" customHeight="false" outlineLevel="0" collapsed="false">
      <c r="A69" s="20" t="n">
        <v>501</v>
      </c>
      <c r="B69" s="21" t="s">
        <v>38</v>
      </c>
      <c r="C69" s="21" t="s">
        <v>39</v>
      </c>
      <c r="D69" s="21" t="n">
        <v>78</v>
      </c>
      <c r="E69" s="21" t="s">
        <v>44</v>
      </c>
      <c r="F69" s="21" t="n">
        <v>1</v>
      </c>
      <c r="G69" s="21" t="n">
        <v>38</v>
      </c>
      <c r="H69" s="21" t="n">
        <v>40</v>
      </c>
      <c r="I69" s="22" t="str">
        <f aca="false">_xlfn.CONCAT(B69, "-", C69,"-", D69,"-", F69)</f>
        <v>M0111-B-78-1</v>
      </c>
      <c r="J69" s="23" t="str">
        <f aca="false">_xlfn.CONCAT(A69, "-", I69, ",",G69, "-",H69)</f>
        <v>501-M0111-B-78-1,38-40</v>
      </c>
      <c r="K69" s="22" t="n">
        <f aca="false">VLOOKUP(I69, 'Depth vlookup'!$G$2:$I$997,2,FALSE())+(G69/100)</f>
        <v>220.31</v>
      </c>
      <c r="L69" s="28" t="n">
        <f aca="false">K69+2/100</f>
        <v>220.33</v>
      </c>
      <c r="M69" s="21" t="n">
        <v>214</v>
      </c>
      <c r="N69" s="24" t="n">
        <f aca="false">VLOOKUP(M69,  Beakers!$A$2:$B$151, 2, 0)</f>
        <v>9.996</v>
      </c>
      <c r="O69" s="21" t="n">
        <v>18.5683</v>
      </c>
      <c r="P69" s="25" t="n">
        <v>46043.775</v>
      </c>
      <c r="Q69" s="21" t="n">
        <v>16.7289</v>
      </c>
      <c r="R69" s="22" t="s">
        <v>41</v>
      </c>
      <c r="S69" s="22" t="n">
        <v>5</v>
      </c>
      <c r="T69" s="21" t="n">
        <v>7.0471</v>
      </c>
      <c r="U69" s="22"/>
      <c r="V69" s="26" t="n">
        <f aca="false">O69-N69</f>
        <v>8.5723</v>
      </c>
      <c r="W69" s="26" t="n">
        <f aca="false">Q69-N69</f>
        <v>6.7329</v>
      </c>
      <c r="X69" s="26" t="n">
        <f aca="false">(V69-W69)/(1-35/1000)</f>
        <v>1.90611398963731</v>
      </c>
      <c r="Y69" s="26" t="n">
        <f aca="false">X69-(V69-W69)</f>
        <v>0.0667139896373059</v>
      </c>
      <c r="Z69" s="26" t="n">
        <f aca="false">W69-Y69</f>
        <v>6.66618601036269</v>
      </c>
      <c r="AA69" s="26" t="n">
        <f aca="false">X69/1.024</f>
        <v>1.86143944300518</v>
      </c>
      <c r="AB69" s="26" t="n">
        <f aca="false">Y69/2.22</f>
        <v>0.0300513466834711</v>
      </c>
      <c r="AC69" s="26" t="n">
        <f aca="false">T69-VLOOKUP(M69, Beakers!$A$2:$C$151, 3, 0)</f>
        <v>2.56458878923767</v>
      </c>
      <c r="AD69" s="26" t="n">
        <f aca="false">AC69-AB69+AA69</f>
        <v>4.39597688555938</v>
      </c>
      <c r="AE69" s="26" t="n">
        <f aca="false">AC69-AB69</f>
        <v>2.5345374425542</v>
      </c>
      <c r="AF69" s="26" t="n">
        <f aca="false">X69/V69</f>
        <v>0.222357359126175</v>
      </c>
      <c r="AG69" s="26" t="n">
        <f aca="false">X69/Z69</f>
        <v>0.285937714110321</v>
      </c>
      <c r="AH69" s="26" t="n">
        <f aca="false">V69/AD69</f>
        <v>1.95003300134714</v>
      </c>
      <c r="AI69" s="26" t="n">
        <f aca="false">Z69/AD69</f>
        <v>1.5164288129587</v>
      </c>
      <c r="AJ69" s="26" t="n">
        <f aca="false">Z69/AE69</f>
        <v>2.63013909301131</v>
      </c>
      <c r="AK69" s="26" t="n">
        <f aca="false">AA69/AD69</f>
        <v>0.423441590223084</v>
      </c>
      <c r="AL69" s="26" t="n">
        <f aca="false">AA69/AE69</f>
        <v>0.734429648484224</v>
      </c>
      <c r="AM69" s="23" t="s">
        <v>42</v>
      </c>
    </row>
    <row r="70" s="23" customFormat="true" ht="14.25" hidden="false" customHeight="false" outlineLevel="0" collapsed="false">
      <c r="A70" s="20" t="n">
        <v>501</v>
      </c>
      <c r="B70" s="21" t="s">
        <v>38</v>
      </c>
      <c r="C70" s="21" t="s">
        <v>39</v>
      </c>
      <c r="D70" s="21" t="n">
        <v>71</v>
      </c>
      <c r="E70" s="21" t="s">
        <v>44</v>
      </c>
      <c r="F70" s="21" t="n">
        <v>1</v>
      </c>
      <c r="G70" s="21" t="n">
        <v>48</v>
      </c>
      <c r="H70" s="21" t="n">
        <v>50</v>
      </c>
      <c r="I70" s="22" t="str">
        <f aca="false">_xlfn.CONCAT(B70, "-", C70,"-", D70,"-", F70)</f>
        <v>M0111-B-71-1</v>
      </c>
      <c r="J70" s="23" t="str">
        <f aca="false">_xlfn.CONCAT(A70, "-", I70, ",",G70, "-",H70)</f>
        <v>501-M0111-B-71-1,48-50</v>
      </c>
      <c r="K70" s="22" t="n">
        <f aca="false">VLOOKUP(I70, 'Depth vlookup'!$G$2:$I$997,2,FALSE())+(G70/100)</f>
        <v>206.59</v>
      </c>
      <c r="L70" s="28" t="n">
        <f aca="false">K70+2/100</f>
        <v>206.61</v>
      </c>
      <c r="M70" s="21" t="n">
        <v>217</v>
      </c>
      <c r="N70" s="24" t="n">
        <f aca="false">VLOOKUP(M70,  Beakers!$A$2:$B$151, 2, 0)</f>
        <v>9.6671</v>
      </c>
      <c r="O70" s="21" t="n">
        <v>18.3874</v>
      </c>
      <c r="P70" s="25" t="n">
        <v>46043.8277777778</v>
      </c>
      <c r="Q70" s="21" t="n">
        <v>15.9142</v>
      </c>
      <c r="R70" s="22" t="s">
        <v>41</v>
      </c>
      <c r="S70" s="22" t="n">
        <v>3</v>
      </c>
      <c r="T70" s="21" t="n">
        <v>6.8734</v>
      </c>
      <c r="U70" s="22"/>
      <c r="V70" s="26" t="n">
        <f aca="false">O70-N70</f>
        <v>8.7203</v>
      </c>
      <c r="W70" s="26" t="n">
        <f aca="false">Q70-N70</f>
        <v>6.2471</v>
      </c>
      <c r="X70" s="26" t="n">
        <f aca="false">(V70-W70)/(1-35/1000)</f>
        <v>2.56290155440415</v>
      </c>
      <c r="Y70" s="26" t="n">
        <f aca="false">X70-(V70-W70)</f>
        <v>0.0897015544041451</v>
      </c>
      <c r="Z70" s="26" t="n">
        <f aca="false">W70-Y70</f>
        <v>6.15739844559585</v>
      </c>
      <c r="AA70" s="26" t="n">
        <f aca="false">X70/1.024</f>
        <v>2.5028335492228</v>
      </c>
      <c r="AB70" s="26" t="n">
        <f aca="false">Y70/2.22</f>
        <v>0.0404061055874527</v>
      </c>
      <c r="AC70" s="26" t="n">
        <f aca="false">T70-VLOOKUP(M70, Beakers!$A$2:$C$151, 3, 0)</f>
        <v>2.53837757847534</v>
      </c>
      <c r="AD70" s="26" t="n">
        <f aca="false">AC70-AB70+AA70</f>
        <v>5.00080502211068</v>
      </c>
      <c r="AE70" s="26" t="n">
        <f aca="false">AC70-AB70</f>
        <v>2.49797147288788</v>
      </c>
      <c r="AF70" s="26" t="n">
        <f aca="false">X70/V70</f>
        <v>0.293900617456297</v>
      </c>
      <c r="AG70" s="26" t="n">
        <f aca="false">X70/Z70</f>
        <v>0.416231234189057</v>
      </c>
      <c r="AH70" s="26" t="n">
        <f aca="false">V70/AD70</f>
        <v>1.74377924383051</v>
      </c>
      <c r="AI70" s="26" t="n">
        <f aca="false">Z70/AD70</f>
        <v>1.23128144736125</v>
      </c>
      <c r="AJ70" s="26" t="n">
        <f aca="false">Z70/AE70</f>
        <v>2.46495947308691</v>
      </c>
      <c r="AK70" s="26" t="n">
        <f aca="false">AA70/AD70</f>
        <v>0.500486129364514</v>
      </c>
      <c r="AL70" s="26" t="n">
        <f aca="false">AA70/AE70</f>
        <v>1.00194640987204</v>
      </c>
      <c r="AM70" s="23" t="s">
        <v>45</v>
      </c>
    </row>
    <row r="71" s="23" customFormat="true" ht="14.25" hidden="false" customHeight="false" outlineLevel="0" collapsed="false">
      <c r="A71" s="20" t="n">
        <v>501</v>
      </c>
      <c r="B71" s="21" t="s">
        <v>38</v>
      </c>
      <c r="C71" s="21" t="s">
        <v>39</v>
      </c>
      <c r="D71" s="21" t="n">
        <v>81</v>
      </c>
      <c r="E71" s="21" t="s">
        <v>44</v>
      </c>
      <c r="F71" s="21" t="n">
        <v>1</v>
      </c>
      <c r="G71" s="32" t="n">
        <v>18</v>
      </c>
      <c r="H71" s="21" t="n">
        <v>20</v>
      </c>
      <c r="I71" s="22" t="str">
        <f aca="false">_xlfn.CONCAT(B71, "-", C71,"-", D71,"-", F71)</f>
        <v>M0111-B-81-1</v>
      </c>
      <c r="J71" s="23" t="str">
        <f aca="false">_xlfn.CONCAT(A71, "-", I71, ",",G71, "-",H71)</f>
        <v>501-M0111-B-81-1,18-20</v>
      </c>
      <c r="K71" s="22" t="n">
        <f aca="false">VLOOKUP(I71, 'Depth vlookup'!$G$2:$I$997,2,FALSE())+(G71/100)</f>
        <v>224.27</v>
      </c>
      <c r="L71" s="28" t="n">
        <f aca="false">K71+2/100</f>
        <v>224.29</v>
      </c>
      <c r="M71" s="21" t="n">
        <v>218</v>
      </c>
      <c r="N71" s="24" t="n">
        <f aca="false">VLOOKUP(M71,  Beakers!$A$2:$B$151, 2, 0)</f>
        <v>10.0969</v>
      </c>
      <c r="O71" s="21" t="n">
        <v>19.1861</v>
      </c>
      <c r="P71" s="25" t="n">
        <v>46043.8277777778</v>
      </c>
      <c r="Q71" s="21" t="n">
        <v>17.7645</v>
      </c>
      <c r="R71" s="22" t="s">
        <v>41</v>
      </c>
      <c r="S71" s="22" t="n">
        <v>5</v>
      </c>
      <c r="T71" s="21" t="n">
        <v>7.4513</v>
      </c>
      <c r="U71" s="22"/>
      <c r="V71" s="26" t="n">
        <f aca="false">O71-N71</f>
        <v>9.0892</v>
      </c>
      <c r="W71" s="26" t="n">
        <f aca="false">Q71-N71</f>
        <v>7.6676</v>
      </c>
      <c r="X71" s="26" t="n">
        <f aca="false">(V71-W71)/(1-35/1000)</f>
        <v>1.47316062176166</v>
      </c>
      <c r="Y71" s="26" t="n">
        <f aca="false">X71-(V71-W71)</f>
        <v>0.051560621761658</v>
      </c>
      <c r="Z71" s="26" t="n">
        <f aca="false">W71-Y71</f>
        <v>7.61603937823834</v>
      </c>
      <c r="AA71" s="26" t="n">
        <f aca="false">X71/1.024</f>
        <v>1.43863341968912</v>
      </c>
      <c r="AB71" s="26" t="n">
        <f aca="false">Y71/2.22</f>
        <v>0.0232255052980441</v>
      </c>
      <c r="AC71" s="26" t="n">
        <f aca="false">T71-VLOOKUP(M71, Beakers!$A$2:$C$151, 3, 0)</f>
        <v>2.92354215246637</v>
      </c>
      <c r="AD71" s="26" t="n">
        <f aca="false">AC71-AB71+AA71</f>
        <v>4.33895006685744</v>
      </c>
      <c r="AE71" s="26" t="n">
        <f aca="false">AC71-AB71</f>
        <v>2.90031664716832</v>
      </c>
      <c r="AF71" s="26" t="n">
        <f aca="false">X71/V71</f>
        <v>0.16207813908393</v>
      </c>
      <c r="AG71" s="26" t="n">
        <f aca="false">X71/Z71</f>
        <v>0.193428703371858</v>
      </c>
      <c r="AH71" s="26" t="n">
        <f aca="false">V71/AD71</f>
        <v>2.09479248664943</v>
      </c>
      <c r="AI71" s="26" t="n">
        <f aca="false">Z71/AD71</f>
        <v>1.75527241864629</v>
      </c>
      <c r="AJ71" s="26" t="n">
        <f aca="false">Z71/AE71</f>
        <v>2.62593375301767</v>
      </c>
      <c r="AK71" s="26" t="n">
        <f aca="false">AA71/AD71</f>
        <v>0.331562566409314</v>
      </c>
      <c r="AL71" s="26" t="n">
        <f aca="false">AA71/AE71</f>
        <v>0.496026329088482</v>
      </c>
      <c r="AM71" s="23" t="s">
        <v>42</v>
      </c>
    </row>
    <row r="72" s="23" customFormat="true" ht="14.25" hidden="false" customHeight="false" outlineLevel="0" collapsed="false">
      <c r="A72" s="20" t="n">
        <v>501</v>
      </c>
      <c r="B72" s="21" t="s">
        <v>38</v>
      </c>
      <c r="C72" s="21" t="s">
        <v>39</v>
      </c>
      <c r="D72" s="21" t="n">
        <v>83</v>
      </c>
      <c r="E72" s="21" t="s">
        <v>44</v>
      </c>
      <c r="F72" s="21" t="n">
        <v>1</v>
      </c>
      <c r="G72" s="21" t="n">
        <v>36</v>
      </c>
      <c r="H72" s="21" t="n">
        <v>38</v>
      </c>
      <c r="I72" s="22" t="str">
        <f aca="false">_xlfn.CONCAT(B72, "-", C72,"-", D72,"-", F72)</f>
        <v>M0111-B-83-1</v>
      </c>
      <c r="J72" s="23" t="str">
        <f aca="false">_xlfn.CONCAT(A72, "-", I72, ",",G72, "-",H72)</f>
        <v>501-M0111-B-83-1,36-38</v>
      </c>
      <c r="K72" s="22" t="n">
        <f aca="false">VLOOKUP(I72, 'Depth vlookup'!$G$2:$I$997,2,FALSE())+(G72/100)</f>
        <v>224.94</v>
      </c>
      <c r="L72" s="28" t="n">
        <f aca="false">K72+2/100</f>
        <v>224.96</v>
      </c>
      <c r="M72" s="21" t="n">
        <v>219</v>
      </c>
      <c r="N72" s="24" t="n">
        <f aca="false">VLOOKUP(M72,  Beakers!$A$2:$B$151, 2, 0)</f>
        <v>9.6617</v>
      </c>
      <c r="O72" s="21" t="n">
        <v>18.3681</v>
      </c>
      <c r="P72" s="25" t="n">
        <v>46043.8277777778</v>
      </c>
      <c r="Q72" s="21" t="n">
        <v>16.0781</v>
      </c>
      <c r="R72" s="22" t="s">
        <v>41</v>
      </c>
      <c r="S72" s="22" t="n">
        <v>1</v>
      </c>
      <c r="T72" s="21" t="n">
        <v>6.7846</v>
      </c>
      <c r="U72" s="22"/>
      <c r="V72" s="26" t="n">
        <f aca="false">O72-N72</f>
        <v>8.7064</v>
      </c>
      <c r="W72" s="26" t="n">
        <f aca="false">Q72-N72</f>
        <v>6.4164</v>
      </c>
      <c r="X72" s="26" t="n">
        <f aca="false">(V72-W72)/(1-35/1000)</f>
        <v>2.37305699481865</v>
      </c>
      <c r="Y72" s="26" t="n">
        <f aca="false">X72-(V72-W72)</f>
        <v>0.0830569948186528</v>
      </c>
      <c r="Z72" s="26" t="n">
        <f aca="false">W72-Y72</f>
        <v>6.33334300518135</v>
      </c>
      <c r="AA72" s="26" t="n">
        <f aca="false">X72/1.024</f>
        <v>2.31743847150259</v>
      </c>
      <c r="AB72" s="26" t="n">
        <f aca="false">Y72/2.22</f>
        <v>0.0374130607291229</v>
      </c>
      <c r="AC72" s="26" t="n">
        <f aca="false">T72-VLOOKUP(M72, Beakers!$A$2:$C$151, 3, 0)</f>
        <v>2.45199910313901</v>
      </c>
      <c r="AD72" s="26" t="n">
        <f aca="false">AC72-AB72+AA72</f>
        <v>4.73202451391248</v>
      </c>
      <c r="AE72" s="26" t="n">
        <f aca="false">AC72-AB72</f>
        <v>2.41458604240989</v>
      </c>
      <c r="AF72" s="26" t="n">
        <f aca="false">X72/V72</f>
        <v>0.272564664478849</v>
      </c>
      <c r="AG72" s="26" t="n">
        <f aca="false">X72/Z72</f>
        <v>0.374692637502381</v>
      </c>
      <c r="AH72" s="26" t="n">
        <f aca="false">V72/AD72</f>
        <v>1.83988903151338</v>
      </c>
      <c r="AI72" s="26" t="n">
        <f aca="false">Z72/AD72</f>
        <v>1.33840029496062</v>
      </c>
      <c r="AJ72" s="26" t="n">
        <f aca="false">Z72/AE72</f>
        <v>2.62295188241058</v>
      </c>
      <c r="AK72" s="26" t="n">
        <f aca="false">AA72/AD72</f>
        <v>0.489735094289803</v>
      </c>
      <c r="AL72" s="26" t="n">
        <f aca="false">AA72/AE72</f>
        <v>0.959766366076422</v>
      </c>
      <c r="AM72" s="23" t="s">
        <v>45</v>
      </c>
    </row>
    <row r="73" s="23" customFormat="true" ht="14.25" hidden="false" customHeight="false" outlineLevel="0" collapsed="false">
      <c r="A73" s="20" t="n">
        <v>501</v>
      </c>
      <c r="B73" s="21" t="s">
        <v>38</v>
      </c>
      <c r="C73" s="21" t="s">
        <v>39</v>
      </c>
      <c r="D73" s="21" t="n">
        <v>84</v>
      </c>
      <c r="E73" s="21" t="s">
        <v>44</v>
      </c>
      <c r="F73" s="21" t="n">
        <v>1</v>
      </c>
      <c r="G73" s="21" t="n">
        <v>38</v>
      </c>
      <c r="H73" s="21" t="n">
        <v>40</v>
      </c>
      <c r="I73" s="22" t="str">
        <f aca="false">_xlfn.CONCAT(B73, "-", C73,"-", D73,"-", F73)</f>
        <v>M0111-B-84-1</v>
      </c>
      <c r="J73" s="23" t="str">
        <f aca="false">_xlfn.CONCAT(A73, "-", I73, ",",G73, "-",H73)</f>
        <v>501-M0111-B-84-1,38-40</v>
      </c>
      <c r="K73" s="22" t="n">
        <f aca="false">VLOOKUP(I73, 'Depth vlookup'!$G$2:$I$997,2,FALSE())+(G73/100)</f>
        <v>228.01</v>
      </c>
      <c r="L73" s="28" t="n">
        <f aca="false">K73+2/100</f>
        <v>228.03</v>
      </c>
      <c r="M73" s="21" t="n">
        <v>250</v>
      </c>
      <c r="N73" s="24" t="n">
        <f aca="false">VLOOKUP(M73,  Beakers!$A$2:$B$151, 2, 0)</f>
        <v>9.8892</v>
      </c>
      <c r="O73" s="21" t="n">
        <v>20.436</v>
      </c>
      <c r="P73" s="25" t="n">
        <v>46043.8701388889</v>
      </c>
      <c r="Q73" s="21" t="n">
        <v>18.1047</v>
      </c>
      <c r="R73" s="22" t="s">
        <v>41</v>
      </c>
      <c r="S73" s="22" t="n">
        <v>5</v>
      </c>
      <c r="T73" s="21" t="n">
        <v>7.5533</v>
      </c>
      <c r="U73" s="22"/>
      <c r="V73" s="26" t="n">
        <f aca="false">O73-N73</f>
        <v>10.5468</v>
      </c>
      <c r="W73" s="26" t="n">
        <f aca="false">Q73-N73</f>
        <v>8.2155</v>
      </c>
      <c r="X73" s="26" t="n">
        <f aca="false">(V73-W73)/(1-35/1000)</f>
        <v>2.41585492227979</v>
      </c>
      <c r="Y73" s="26" t="n">
        <f aca="false">X73-(V73-W73)</f>
        <v>0.0845549222797928</v>
      </c>
      <c r="Z73" s="26" t="n">
        <f aca="false">W73-Y73</f>
        <v>8.13094507772021</v>
      </c>
      <c r="AA73" s="26" t="n">
        <f aca="false">X73/1.024</f>
        <v>2.35923332253886</v>
      </c>
      <c r="AB73" s="26" t="n">
        <f aca="false">Y73/2.22</f>
        <v>0.0380878028287355</v>
      </c>
      <c r="AC73" s="26" t="n">
        <f aca="false">T73-VLOOKUP(M73, Beakers!$A$2:$C$151, 3, 0)</f>
        <v>3.11868116591928</v>
      </c>
      <c r="AD73" s="26" t="n">
        <f aca="false">AC73-AB73+AA73</f>
        <v>5.43982668562941</v>
      </c>
      <c r="AE73" s="26" t="n">
        <f aca="false">AC73-AB73</f>
        <v>3.08059336309055</v>
      </c>
      <c r="AF73" s="26" t="n">
        <f aca="false">X73/V73</f>
        <v>0.229060465949842</v>
      </c>
      <c r="AG73" s="26" t="n">
        <f aca="false">X73/Z73</f>
        <v>0.297118588206866</v>
      </c>
      <c r="AH73" s="26" t="n">
        <f aca="false">V73/AD73</f>
        <v>1.93881176910689</v>
      </c>
      <c r="AI73" s="26" t="n">
        <f aca="false">Z73/AD73</f>
        <v>1.49470664188623</v>
      </c>
      <c r="AJ73" s="26" t="n">
        <f aca="false">Z73/AE73</f>
        <v>2.63940874999581</v>
      </c>
      <c r="AK73" s="26" t="n">
        <f aca="false">AA73/AD73</f>
        <v>0.433696413301426</v>
      </c>
      <c r="AL73" s="26" t="n">
        <f aca="false">AA73/AE73</f>
        <v>0.765837306151956</v>
      </c>
    </row>
    <row r="74" s="23" customFormat="true" ht="14.25" hidden="false" customHeight="false" outlineLevel="0" collapsed="false">
      <c r="A74" s="20" t="n">
        <v>501</v>
      </c>
      <c r="B74" s="21" t="s">
        <v>38</v>
      </c>
      <c r="C74" s="21" t="s">
        <v>39</v>
      </c>
      <c r="D74" s="21" t="n">
        <v>87</v>
      </c>
      <c r="E74" s="21" t="s">
        <v>44</v>
      </c>
      <c r="F74" s="21" t="n">
        <v>1</v>
      </c>
      <c r="G74" s="21" t="n">
        <v>44</v>
      </c>
      <c r="H74" s="21" t="n">
        <v>46</v>
      </c>
      <c r="I74" s="22" t="str">
        <f aca="false">_xlfn.CONCAT(B74, "-", C74,"-", D74,"-", F74)</f>
        <v>M0111-B-87-1</v>
      </c>
      <c r="J74" s="23" t="str">
        <f aca="false">_xlfn.CONCAT(A74, "-", I74, ",",G74, "-",H74)</f>
        <v>501-M0111-B-87-1,44-46</v>
      </c>
      <c r="K74" s="22" t="n">
        <f aca="false">VLOOKUP(I74, 'Depth vlookup'!$G$2:$I$997,2,FALSE())+(G74/100)</f>
        <v>234.17</v>
      </c>
      <c r="L74" s="28" t="n">
        <f aca="false">K74+2/100</f>
        <v>234.19</v>
      </c>
      <c r="M74" s="21" t="n">
        <v>251</v>
      </c>
      <c r="N74" s="24" t="n">
        <f aca="false">VLOOKUP(M74,  Beakers!$A$2:$B$151, 2, 0)</f>
        <v>9.814</v>
      </c>
      <c r="O74" s="21" t="n">
        <v>19.681</v>
      </c>
      <c r="P74" s="25" t="n">
        <v>46043.8701388889</v>
      </c>
      <c r="Q74" s="21" t="n">
        <v>17.409</v>
      </c>
      <c r="R74" s="22" t="s">
        <v>41</v>
      </c>
      <c r="S74" s="22" t="n">
        <v>1</v>
      </c>
      <c r="T74" s="21" t="n">
        <v>7.2371</v>
      </c>
      <c r="U74" s="22"/>
      <c r="V74" s="26" t="n">
        <f aca="false">O74-N74</f>
        <v>9.867</v>
      </c>
      <c r="W74" s="26" t="n">
        <f aca="false">Q74-N74</f>
        <v>7.595</v>
      </c>
      <c r="X74" s="26" t="n">
        <f aca="false">(V74-W74)/(1-35/1000)</f>
        <v>2.35440414507772</v>
      </c>
      <c r="Y74" s="26" t="n">
        <f aca="false">X74-(V74-W74)</f>
        <v>0.0824041450777204</v>
      </c>
      <c r="Z74" s="26" t="n">
        <f aca="false">W74-Y74</f>
        <v>7.51259585492228</v>
      </c>
      <c r="AA74" s="26" t="n">
        <f aca="false">X74/1.024</f>
        <v>2.29922279792746</v>
      </c>
      <c r="AB74" s="26" t="n">
        <f aca="false">Y74/2.22</f>
        <v>0.0371189842692434</v>
      </c>
      <c r="AC74" s="26" t="n">
        <f aca="false">T74-VLOOKUP(M74, Beakers!$A$2:$C$151, 3, 0)</f>
        <v>2.83620313901345</v>
      </c>
      <c r="AD74" s="26" t="n">
        <f aca="false">AC74-AB74+AA74</f>
        <v>5.09830695267167</v>
      </c>
      <c r="AE74" s="26" t="n">
        <f aca="false">AC74-AB74</f>
        <v>2.79908415474421</v>
      </c>
      <c r="AF74" s="26" t="n">
        <f aca="false">X74/V74</f>
        <v>0.238613980447727</v>
      </c>
      <c r="AG74" s="26" t="n">
        <f aca="false">X74/Z74</f>
        <v>0.313394223587192</v>
      </c>
      <c r="AH74" s="26" t="n">
        <f aca="false">V74/AD74</f>
        <v>1.93534836007263</v>
      </c>
      <c r="AI74" s="26" t="n">
        <f aca="false">Z74/AD74</f>
        <v>1.47354718432272</v>
      </c>
      <c r="AJ74" s="26" t="n">
        <f aca="false">Z74/AE74</f>
        <v>2.68394783421894</v>
      </c>
      <c r="AK74" s="26" t="n">
        <f aca="false">AA74/AD74</f>
        <v>0.450977710693272</v>
      </c>
      <c r="AL74" s="26" t="n">
        <f aca="false">AA74/AE74</f>
        <v>0.82141967544294</v>
      </c>
    </row>
    <row r="75" s="23" customFormat="true" ht="14.25" hidden="false" customHeight="false" outlineLevel="0" collapsed="false">
      <c r="A75" s="20" t="n">
        <v>501</v>
      </c>
      <c r="B75" s="21" t="s">
        <v>38</v>
      </c>
      <c r="C75" s="21" t="s">
        <v>39</v>
      </c>
      <c r="D75" s="21" t="n">
        <v>88</v>
      </c>
      <c r="E75" s="21" t="s">
        <v>44</v>
      </c>
      <c r="F75" s="21" t="n">
        <v>1</v>
      </c>
      <c r="G75" s="21" t="n">
        <v>38</v>
      </c>
      <c r="H75" s="21" t="n">
        <v>40</v>
      </c>
      <c r="I75" s="22" t="str">
        <f aca="false">_xlfn.CONCAT(B75, "-", C75,"-", D75,"-", F75)</f>
        <v>M0111-B-88-1</v>
      </c>
      <c r="J75" s="23" t="str">
        <f aca="false">_xlfn.CONCAT(A75, "-", I75, ",",G75, "-",H75)</f>
        <v>501-M0111-B-88-1,38-40</v>
      </c>
      <c r="K75" s="22" t="n">
        <f aca="false">VLOOKUP(I75, 'Depth vlookup'!$G$2:$I$997,2,FALSE())+(G75/100)</f>
        <v>234.91</v>
      </c>
      <c r="L75" s="28" t="n">
        <f aca="false">K75+2/100</f>
        <v>234.93</v>
      </c>
      <c r="M75" s="21" t="n">
        <v>252</v>
      </c>
      <c r="N75" s="24" t="n">
        <f aca="false">VLOOKUP(M75,  Beakers!$A$2:$B$151, 2, 0)</f>
        <v>9.814</v>
      </c>
      <c r="O75" s="21" t="n">
        <v>19.9155</v>
      </c>
      <c r="P75" s="25" t="n">
        <v>46043.8701388889</v>
      </c>
      <c r="Q75" s="21" t="n">
        <v>17.3921</v>
      </c>
      <c r="R75" s="22" t="s">
        <v>41</v>
      </c>
      <c r="S75" s="22" t="n">
        <v>2</v>
      </c>
      <c r="T75" s="21" t="n">
        <v>7.2775</v>
      </c>
      <c r="U75" s="22"/>
      <c r="V75" s="26" t="n">
        <f aca="false">O75-N75</f>
        <v>10.1015</v>
      </c>
      <c r="W75" s="26" t="n">
        <f aca="false">Q75-N75</f>
        <v>7.5781</v>
      </c>
      <c r="X75" s="26" t="n">
        <f aca="false">(V75-W75)/(1-35/1000)</f>
        <v>2.61492227979275</v>
      </c>
      <c r="Y75" s="26" t="n">
        <f aca="false">X75-(V75-W75)</f>
        <v>0.0915222797927462</v>
      </c>
      <c r="Z75" s="26" t="n">
        <f aca="false">W75-Y75</f>
        <v>7.48657772020725</v>
      </c>
      <c r="AA75" s="26" t="n">
        <f aca="false">X75/1.024</f>
        <v>2.55363503886011</v>
      </c>
      <c r="AB75" s="26" t="n">
        <f aca="false">Y75/2.22</f>
        <v>0.0412262521588947</v>
      </c>
      <c r="AC75" s="26" t="n">
        <f aca="false">T75-VLOOKUP(M75, Beakers!$A$2:$C$151, 3, 0)</f>
        <v>2.87660313901345</v>
      </c>
      <c r="AD75" s="26" t="n">
        <f aca="false">AC75-AB75+AA75</f>
        <v>5.38901192571466</v>
      </c>
      <c r="AE75" s="26" t="n">
        <f aca="false">AC75-AB75</f>
        <v>2.83537688685456</v>
      </c>
      <c r="AF75" s="26" t="n">
        <f aca="false">X75/V75</f>
        <v>0.25886475075907</v>
      </c>
      <c r="AG75" s="26" t="n">
        <f aca="false">X75/Z75</f>
        <v>0.349281390979851</v>
      </c>
      <c r="AH75" s="26" t="n">
        <f aca="false">V75/AD75</f>
        <v>1.87446235770955</v>
      </c>
      <c r="AI75" s="26" t="n">
        <f aca="false">Z75/AD75</f>
        <v>1.38923012667381</v>
      </c>
      <c r="AJ75" s="26" t="n">
        <f aca="false">Z75/AE75</f>
        <v>2.64041713640141</v>
      </c>
      <c r="AK75" s="26" t="n">
        <f aca="false">AA75/AD75</f>
        <v>0.473859600620842</v>
      </c>
      <c r="AL75" s="26" t="n">
        <f aca="false">AA75/AE75</f>
        <v>0.900633369305975</v>
      </c>
    </row>
    <row r="76" customFormat="false" ht="14.25" hidden="false" customHeight="false" outlineLevel="0" collapsed="false">
      <c r="A76" s="20" t="n">
        <v>501</v>
      </c>
      <c r="B76" s="21" t="s">
        <v>38</v>
      </c>
      <c r="C76" s="21" t="s">
        <v>39</v>
      </c>
      <c r="D76" s="2" t="n">
        <v>92</v>
      </c>
      <c r="E76" s="21" t="s">
        <v>44</v>
      </c>
      <c r="F76" s="21" t="n">
        <v>1</v>
      </c>
      <c r="G76" s="2" t="n">
        <v>28</v>
      </c>
      <c r="H76" s="2" t="n">
        <v>30</v>
      </c>
      <c r="I76" s="3" t="str">
        <f aca="false">_xlfn.CONCAT(B76, "-", C76,"-", D76,"-", F76)</f>
        <v>M0111-B-92-1</v>
      </c>
      <c r="J76" s="9" t="str">
        <f aca="false">_xlfn.CONCAT(A76, "-", I76, ",",G76, "-",H76)</f>
        <v>501-M0111-B-92-1,28-30</v>
      </c>
      <c r="K76" s="3" t="n">
        <f aca="false">VLOOKUP(I76, 'Depth vlookup'!$G$2:$I$997,2,FALSE())+(G76/100)</f>
        <v>245.21</v>
      </c>
      <c r="L76" s="28" t="n">
        <f aca="false">K76+2/100</f>
        <v>245.23</v>
      </c>
      <c r="M76" s="2" t="n">
        <v>215</v>
      </c>
      <c r="N76" s="4" t="n">
        <f aca="false">VLOOKUP(M76,  Beakers!$A$2:$B$151, 2, 0)</f>
        <v>10.084</v>
      </c>
      <c r="O76" s="2" t="n">
        <v>20.4244</v>
      </c>
      <c r="P76" s="6" t="n">
        <v>46043.9340277778</v>
      </c>
      <c r="Q76" s="2" t="n">
        <v>17.9635</v>
      </c>
      <c r="R76" s="3" t="s">
        <v>43</v>
      </c>
      <c r="S76" s="3" t="n">
        <v>1</v>
      </c>
      <c r="T76" s="2" t="n">
        <v>7.5358</v>
      </c>
      <c r="V76" s="31" t="n">
        <f aca="false">O76-N76</f>
        <v>10.3404</v>
      </c>
      <c r="W76" s="26" t="n">
        <f aca="false">Q76-N76</f>
        <v>7.8795</v>
      </c>
      <c r="X76" s="26" t="n">
        <f aca="false">(V76-W76)/(1-35/1000)</f>
        <v>2.55015544041451</v>
      </c>
      <c r="Y76" s="31" t="n">
        <f aca="false">X76-(V76-W76)</f>
        <v>0.0892554404145076</v>
      </c>
      <c r="Z76" s="31" t="n">
        <f aca="false">W76-Y76</f>
        <v>7.79024455958549</v>
      </c>
      <c r="AA76" s="31" t="n">
        <f aca="false">X76/1.024</f>
        <v>2.49038617227979</v>
      </c>
      <c r="AB76" s="31" t="n">
        <f aca="false">Y76/2.22</f>
        <v>0.0402051533398683</v>
      </c>
      <c r="AC76" s="31" t="n">
        <f aca="false">T76-VLOOKUP(M76, Beakers!$A$2:$C$151, 3, 0)</f>
        <v>3.0138269058296</v>
      </c>
      <c r="AD76" s="31" t="n">
        <f aca="false">AC76-AB76+AA76</f>
        <v>5.46400792476952</v>
      </c>
      <c r="AE76" s="31" t="n">
        <f aca="false">AC76-AB76</f>
        <v>2.97362175248973</v>
      </c>
      <c r="AF76" s="31" t="n">
        <f aca="false">X76/V76</f>
        <v>0.246620579514768</v>
      </c>
      <c r="AG76" s="26" t="n">
        <f aca="false">X76/Z76</f>
        <v>0.32735242403612</v>
      </c>
      <c r="AH76" s="26" t="n">
        <f aca="false">V76/AD76</f>
        <v>1.89245699171203</v>
      </c>
      <c r="AI76" s="26" t="n">
        <f aca="false">Z76/AD76</f>
        <v>1.42573815170923</v>
      </c>
      <c r="AJ76" s="26" t="n">
        <f aca="false">Z76/AE76</f>
        <v>2.61978328382315</v>
      </c>
      <c r="AK76" s="26" t="n">
        <f aca="false">AA76/AD76</f>
        <v>0.455780117190229</v>
      </c>
      <c r="AL76" s="26" t="n">
        <f aca="false">AA76/AE76</f>
        <v>0.837492586336733</v>
      </c>
      <c r="AM76" s="9" t="s">
        <v>42</v>
      </c>
    </row>
    <row r="77" customFormat="false" ht="14.25" hidden="false" customHeight="false" outlineLevel="0" collapsed="false">
      <c r="A77" s="20" t="n">
        <v>501</v>
      </c>
      <c r="B77" s="21" t="s">
        <v>38</v>
      </c>
      <c r="C77" s="21" t="s">
        <v>39</v>
      </c>
      <c r="D77" s="2" t="n">
        <v>93</v>
      </c>
      <c r="E77" s="21" t="s">
        <v>44</v>
      </c>
      <c r="F77" s="21" t="n">
        <v>1</v>
      </c>
      <c r="G77" s="2" t="n">
        <v>34</v>
      </c>
      <c r="H77" s="2" t="n">
        <v>36</v>
      </c>
      <c r="I77" s="3" t="str">
        <f aca="false">_xlfn.CONCAT(B77, "-", C77,"-", D77,"-", F77)</f>
        <v>M0111-B-93-1</v>
      </c>
      <c r="J77" s="9" t="str">
        <f aca="false">_xlfn.CONCAT(A77, "-", I77, ",",G77, "-",H77)</f>
        <v>501-M0111-B-93-1,34-36</v>
      </c>
      <c r="K77" s="3" t="n">
        <f aca="false">VLOOKUP(I77, 'Depth vlookup'!$G$2:$I$997,2,FALSE())+(G77/100)</f>
        <v>245.62</v>
      </c>
      <c r="L77" s="28" t="n">
        <f aca="false">K77+2/100</f>
        <v>245.64</v>
      </c>
      <c r="M77" s="2" t="n">
        <v>216</v>
      </c>
      <c r="N77" s="4" t="n">
        <f aca="false">VLOOKUP(M77,  Beakers!$A$2:$B$151, 2, 0)</f>
        <v>10.0795</v>
      </c>
      <c r="O77" s="2" t="n">
        <v>20.4165</v>
      </c>
      <c r="P77" s="6" t="n">
        <v>46043.9340277778</v>
      </c>
      <c r="Q77" s="2" t="n">
        <v>18.3243</v>
      </c>
      <c r="R77" s="3" t="s">
        <v>43</v>
      </c>
      <c r="S77" s="3" t="n">
        <v>2</v>
      </c>
      <c r="T77" s="2" t="n">
        <v>7.6493</v>
      </c>
      <c r="V77" s="31" t="n">
        <f aca="false">O77-N77</f>
        <v>10.337</v>
      </c>
      <c r="W77" s="26" t="n">
        <f aca="false">Q77-N77</f>
        <v>8.2448</v>
      </c>
      <c r="X77" s="26" t="n">
        <f aca="false">(V77-W77)/(1-35/1000)</f>
        <v>2.1680829015544</v>
      </c>
      <c r="Y77" s="31" t="n">
        <f aca="false">X77-(V77-W77)</f>
        <v>0.075882901554404</v>
      </c>
      <c r="Z77" s="31" t="n">
        <f aca="false">W77-Y77</f>
        <v>8.1689170984456</v>
      </c>
      <c r="AA77" s="31" t="n">
        <f aca="false">X77/1.024</f>
        <v>2.11726845854922</v>
      </c>
      <c r="AB77" s="31" t="n">
        <f aca="false">Y77/2.22</f>
        <v>0.0341814871866685</v>
      </c>
      <c r="AC77" s="31" t="n">
        <f aca="false">T77-VLOOKUP(M77, Beakers!$A$2:$C$151, 3, 0)</f>
        <v>3.12934484304933</v>
      </c>
      <c r="AD77" s="31" t="n">
        <f aca="false">AC77-AB77+AA77</f>
        <v>5.21243181441188</v>
      </c>
      <c r="AE77" s="31" t="n">
        <f aca="false">AC77-AB77</f>
        <v>3.09516335586266</v>
      </c>
      <c r="AF77" s="31" t="n">
        <f aca="false">X77/V77</f>
        <v>0.209740050455103</v>
      </c>
      <c r="AG77" s="26" t="n">
        <f aca="false">X77/Z77</f>
        <v>0.265406402761383</v>
      </c>
      <c r="AH77" s="26" t="n">
        <f aca="false">V77/AD77</f>
        <v>1.98314344782778</v>
      </c>
      <c r="AI77" s="26" t="n">
        <f aca="false">Z77/AD77</f>
        <v>1.56719884102068</v>
      </c>
      <c r="AJ77" s="26" t="n">
        <f aca="false">Z77/AE77</f>
        <v>2.63925232992067</v>
      </c>
      <c r="AK77" s="26" t="n">
        <f aca="false">AA77/AD77</f>
        <v>0.406195905085065</v>
      </c>
      <c r="AL77" s="26" t="n">
        <f aca="false">AA77/AE77</f>
        <v>0.684057096546723</v>
      </c>
      <c r="AM77" s="9" t="s">
        <v>45</v>
      </c>
    </row>
    <row r="78" customFormat="false" ht="14.25" hidden="false" customHeight="false" outlineLevel="0" collapsed="false">
      <c r="A78" s="20" t="n">
        <v>501</v>
      </c>
      <c r="B78" s="21" t="s">
        <v>38</v>
      </c>
      <c r="C78" s="21" t="s">
        <v>39</v>
      </c>
      <c r="D78" s="2" t="n">
        <v>89</v>
      </c>
      <c r="E78" s="21" t="s">
        <v>44</v>
      </c>
      <c r="F78" s="21" t="n">
        <v>1</v>
      </c>
      <c r="G78" s="2" t="n">
        <v>38</v>
      </c>
      <c r="H78" s="2" t="n">
        <v>40</v>
      </c>
      <c r="I78" s="3" t="str">
        <f aca="false">_xlfn.CONCAT(B78, "-", C78,"-", D78,"-", F78)</f>
        <v>M0111-B-89-1</v>
      </c>
      <c r="J78" s="9" t="str">
        <f aca="false">_xlfn.CONCAT(A78, "-", I78, ",",G78, "-",H78)</f>
        <v>501-M0111-B-89-1,38-40</v>
      </c>
      <c r="K78" s="3" t="n">
        <f aca="false">VLOOKUP(I78, 'Depth vlookup'!$G$2:$I$997,2,FALSE())+(G78/100)</f>
        <v>237.96</v>
      </c>
      <c r="L78" s="28" t="n">
        <f aca="false">K78+2/100</f>
        <v>237.98</v>
      </c>
      <c r="M78" s="2" t="n">
        <v>151</v>
      </c>
      <c r="N78" s="4" t="n">
        <f aca="false">VLOOKUP(M78,  Beakers!$A$2:$B$151, 2, 0)</f>
        <v>9.7264</v>
      </c>
      <c r="O78" s="2" t="n">
        <v>20.3897</v>
      </c>
      <c r="P78" s="6" t="n">
        <v>46043.9340277778</v>
      </c>
      <c r="Q78" s="2" t="n">
        <v>17.815</v>
      </c>
      <c r="R78" s="3" t="s">
        <v>43</v>
      </c>
      <c r="S78" s="3" t="n">
        <v>3</v>
      </c>
      <c r="T78" s="2" t="n">
        <v>7.4426</v>
      </c>
      <c r="V78" s="31" t="n">
        <f aca="false">O78-N78</f>
        <v>10.6633</v>
      </c>
      <c r="W78" s="26" t="n">
        <f aca="false">Q78-N78</f>
        <v>8.0886</v>
      </c>
      <c r="X78" s="26" t="n">
        <f aca="false">(V78-W78)/(1-35/1000)</f>
        <v>2.6680829015544</v>
      </c>
      <c r="Y78" s="31" t="n">
        <f aca="false">X78-(V78-W78)</f>
        <v>0.0933829015544041</v>
      </c>
      <c r="Z78" s="31" t="n">
        <f aca="false">W78-Y78</f>
        <v>7.9952170984456</v>
      </c>
      <c r="AA78" s="31" t="n">
        <f aca="false">X78/1.024</f>
        <v>2.60554970854922</v>
      </c>
      <c r="AB78" s="31" t="n">
        <f aca="false">Y78/2.22</f>
        <v>0.0420643700695514</v>
      </c>
      <c r="AC78" s="31" t="n">
        <f aca="false">T78-VLOOKUP(M78, Beakers!$A$2:$C$151, 3, 0)</f>
        <v>3.08098565022422</v>
      </c>
      <c r="AD78" s="31" t="n">
        <f aca="false">AC78-AB78+AA78</f>
        <v>5.64447098870389</v>
      </c>
      <c r="AE78" s="31" t="n">
        <f aca="false">AC78-AB78</f>
        <v>3.03892128015466</v>
      </c>
      <c r="AF78" s="31" t="n">
        <f aca="false">X78/V78</f>
        <v>0.250211745102773</v>
      </c>
      <c r="AG78" s="26" t="n">
        <f aca="false">X78/Z78</f>
        <v>0.33370987537951</v>
      </c>
      <c r="AH78" s="26" t="n">
        <f aca="false">V78/AD78</f>
        <v>1.88915843864556</v>
      </c>
      <c r="AI78" s="26" t="n">
        <f aca="false">Z78/AD78</f>
        <v>1.41646880893642</v>
      </c>
      <c r="AJ78" s="26" t="n">
        <f aca="false">Z78/AE78</f>
        <v>2.63093919235667</v>
      </c>
      <c r="AK78" s="26" t="n">
        <f aca="false">AA78/AD78</f>
        <v>0.461610966512829</v>
      </c>
      <c r="AL78" s="26" t="n">
        <f aca="false">AA78/AE78</f>
        <v>0.857392958996495</v>
      </c>
      <c r="AM78" s="9" t="s">
        <v>42</v>
      </c>
    </row>
    <row r="79" customFormat="false" ht="14.25" hidden="false" customHeight="false" outlineLevel="0" collapsed="false">
      <c r="A79" s="20" t="n">
        <v>501</v>
      </c>
      <c r="B79" s="21" t="s">
        <v>38</v>
      </c>
      <c r="C79" s="21" t="s">
        <v>39</v>
      </c>
      <c r="D79" s="2" t="n">
        <v>94</v>
      </c>
      <c r="E79" s="21" t="s">
        <v>44</v>
      </c>
      <c r="F79" s="21" t="n">
        <v>1</v>
      </c>
      <c r="G79" s="2" t="n">
        <v>42</v>
      </c>
      <c r="H79" s="2" t="n">
        <v>44</v>
      </c>
      <c r="I79" s="3" t="str">
        <f aca="false">_xlfn.CONCAT(B79, "-", C79,"-", D79,"-", F79)</f>
        <v>M0111-B-94-1</v>
      </c>
      <c r="J79" s="9" t="str">
        <f aca="false">_xlfn.CONCAT(A79, "-", I79, ",",G79, "-",H79)</f>
        <v>501-M0111-B-94-1,42-44</v>
      </c>
      <c r="K79" s="3" t="n">
        <f aca="false">VLOOKUP(I79, 'Depth vlookup'!$G$2:$I$997,2,FALSE())+(G79/100)</f>
        <v>247.15</v>
      </c>
      <c r="L79" s="28" t="n">
        <f aca="false">K79+2/100</f>
        <v>247.17</v>
      </c>
      <c r="M79" s="2" t="n">
        <v>152</v>
      </c>
      <c r="N79" s="4" t="n">
        <f aca="false">VLOOKUP(M79,  Beakers!$A$2:$B$151, 2, 0)</f>
        <v>9.7155</v>
      </c>
      <c r="O79" s="2" t="n">
        <v>19.9877</v>
      </c>
      <c r="P79" s="6" t="n">
        <v>46044.45</v>
      </c>
      <c r="Q79" s="2" t="n">
        <v>17.5392</v>
      </c>
      <c r="R79" s="3" t="s">
        <v>43</v>
      </c>
      <c r="S79" s="3" t="n">
        <v>2</v>
      </c>
      <c r="T79" s="2" t="n">
        <v>7.3445</v>
      </c>
      <c r="V79" s="31" t="n">
        <f aca="false">O79-N79</f>
        <v>10.2722</v>
      </c>
      <c r="W79" s="26" t="n">
        <f aca="false">Q79-N79</f>
        <v>7.8237</v>
      </c>
      <c r="X79" s="26" t="n">
        <f aca="false">(V79-W79)/(1-35/1000)</f>
        <v>2.53730569948186</v>
      </c>
      <c r="Y79" s="31" t="n">
        <f aca="false">X79-(V79-W79)</f>
        <v>0.0888056994818651</v>
      </c>
      <c r="Z79" s="31" t="n">
        <f aca="false">W79-Y79</f>
        <v>7.73489430051814</v>
      </c>
      <c r="AA79" s="31" t="n">
        <f aca="false">X79/1.024</f>
        <v>2.47783759715026</v>
      </c>
      <c r="AB79" s="31" t="n">
        <f aca="false">Y79/2.22</f>
        <v>0.0400025673341735</v>
      </c>
      <c r="AC79" s="31" t="n">
        <f aca="false">T79-VLOOKUP(M79, Beakers!$A$2:$C$151, 3, 0)</f>
        <v>2.9877735426009</v>
      </c>
      <c r="AD79" s="31" t="n">
        <f aca="false">AC79-AB79+AA79</f>
        <v>5.42560857241698</v>
      </c>
      <c r="AE79" s="31" t="n">
        <f aca="false">AC79-AB79</f>
        <v>2.94777097526672</v>
      </c>
      <c r="AF79" s="31" t="n">
        <f aca="false">X79/V79</f>
        <v>0.247007038363921</v>
      </c>
      <c r="AG79" s="26" t="n">
        <f aca="false">X79/Z79</f>
        <v>0.328033661599215</v>
      </c>
      <c r="AH79" s="26" t="n">
        <f aca="false">V79/AD79</f>
        <v>1.89328070075353</v>
      </c>
      <c r="AI79" s="26" t="n">
        <f aca="false">Z79/AD79</f>
        <v>1.42562704206883</v>
      </c>
      <c r="AJ79" s="26" t="n">
        <f aca="false">Z79/AE79</f>
        <v>2.62398075203867</v>
      </c>
      <c r="AK79" s="26" t="n">
        <f aca="false">AA79/AD79</f>
        <v>0.456693026059276</v>
      </c>
      <c r="AL79" s="26" t="n">
        <f aca="false">AA79/AE79</f>
        <v>0.840580091852643</v>
      </c>
      <c r="AM79" s="9" t="s">
        <v>45</v>
      </c>
    </row>
    <row r="80" customFormat="false" ht="14.25" hidden="false" customHeight="false" outlineLevel="0" collapsed="false">
      <c r="A80" s="20" t="n">
        <v>501</v>
      </c>
      <c r="B80" s="21" t="s">
        <v>38</v>
      </c>
      <c r="C80" s="21" t="s">
        <v>39</v>
      </c>
      <c r="D80" s="2" t="n">
        <v>95</v>
      </c>
      <c r="E80" s="21" t="s">
        <v>44</v>
      </c>
      <c r="F80" s="21" t="n">
        <v>1</v>
      </c>
      <c r="G80" s="2" t="n">
        <v>67</v>
      </c>
      <c r="H80" s="2" t="n">
        <v>69</v>
      </c>
      <c r="I80" s="3" t="str">
        <f aca="false">_xlfn.CONCAT(B80, "-", C80,"-", D80,"-", F80)</f>
        <v>M0111-B-95-1</v>
      </c>
      <c r="J80" s="9" t="str">
        <f aca="false">_xlfn.CONCAT(A80, "-", I80, ",",G80, "-",H80)</f>
        <v>501-M0111-B-95-1,67-69</v>
      </c>
      <c r="K80" s="3" t="n">
        <f aca="false">VLOOKUP(I80, 'Depth vlookup'!$G$2:$I$997,2,FALSE())+(G80/100)</f>
        <v>250.45</v>
      </c>
      <c r="L80" s="28" t="n">
        <f aca="false">K80+2/100</f>
        <v>250.47</v>
      </c>
      <c r="M80" s="2" t="n">
        <v>153</v>
      </c>
      <c r="N80" s="4" t="n">
        <f aca="false">VLOOKUP(M80,  Beakers!$A$2:$B$151, 2, 0)</f>
        <v>9.6697</v>
      </c>
      <c r="O80" s="2" t="n">
        <v>17.6418</v>
      </c>
      <c r="P80" s="6" t="n">
        <v>46044.4506944444</v>
      </c>
      <c r="Q80" s="2" t="n">
        <v>15.691</v>
      </c>
      <c r="R80" s="3" t="s">
        <v>43</v>
      </c>
      <c r="S80" s="3" t="n">
        <v>3</v>
      </c>
      <c r="T80" s="2" t="n">
        <v>6.7163</v>
      </c>
      <c r="V80" s="31" t="n">
        <f aca="false">O80-N80</f>
        <v>7.9721</v>
      </c>
      <c r="W80" s="26" t="n">
        <f aca="false">Q80-N80</f>
        <v>6.0213</v>
      </c>
      <c r="X80" s="26" t="n">
        <f aca="false">(V80-W80)/(1-35/1000)</f>
        <v>2.02155440414508</v>
      </c>
      <c r="Y80" s="31" t="n">
        <f aca="false">X80-(V80-W80)</f>
        <v>0.0707544041450778</v>
      </c>
      <c r="Z80" s="31" t="n">
        <f aca="false">W80-Y80</f>
        <v>5.95054559585492</v>
      </c>
      <c r="AA80" s="31" t="n">
        <f aca="false">X80/1.024</f>
        <v>1.97417422279793</v>
      </c>
      <c r="AB80" s="31" t="n">
        <f aca="false">Y80/2.22</f>
        <v>0.0318713532185035</v>
      </c>
      <c r="AC80" s="31" t="n">
        <f aca="false">T80-VLOOKUP(M80, Beakers!$A$2:$C$151, 3, 0)</f>
        <v>2.38011165919283</v>
      </c>
      <c r="AD80" s="31" t="n">
        <f aca="false">AC80-AB80+AA80</f>
        <v>4.32241452877225</v>
      </c>
      <c r="AE80" s="31" t="n">
        <f aca="false">AC80-AB80</f>
        <v>2.34824030597432</v>
      </c>
      <c r="AF80" s="31" t="n">
        <f aca="false">X80/V80</f>
        <v>0.253578656081218</v>
      </c>
      <c r="AG80" s="26" t="n">
        <f aca="false">X80/Z80</f>
        <v>0.339725890942381</v>
      </c>
      <c r="AH80" s="26" t="n">
        <f aca="false">V80/AD80</f>
        <v>1.84436266973784</v>
      </c>
      <c r="AI80" s="26" t="n">
        <f aca="false">Z80/AD80</f>
        <v>1.37667166261935</v>
      </c>
      <c r="AJ80" s="26" t="n">
        <f aca="false">Z80/AE80</f>
        <v>2.53404456976389</v>
      </c>
      <c r="AK80" s="26" t="n">
        <f aca="false">AA80/AD80</f>
        <v>0.456729499139148</v>
      </c>
      <c r="AL80" s="26" t="n">
        <f aca="false">AA80/AE80</f>
        <v>0.84070366128002</v>
      </c>
      <c r="AM80" s="9" t="s">
        <v>45</v>
      </c>
    </row>
    <row r="81" customFormat="false" ht="14.25" hidden="false" customHeight="false" outlineLevel="0" collapsed="false">
      <c r="A81" s="20" t="n">
        <v>501</v>
      </c>
      <c r="B81" s="21" t="s">
        <v>38</v>
      </c>
      <c r="C81" s="21" t="s">
        <v>39</v>
      </c>
      <c r="D81" s="2" t="n">
        <v>96</v>
      </c>
      <c r="E81" s="21" t="s">
        <v>44</v>
      </c>
      <c r="F81" s="21" t="n">
        <v>1</v>
      </c>
      <c r="G81" s="2" t="n">
        <v>38</v>
      </c>
      <c r="H81" s="2" t="n">
        <v>40</v>
      </c>
      <c r="I81" s="3" t="str">
        <f aca="false">_xlfn.CONCAT(B81, "-", C81,"-", D81,"-", F81)</f>
        <v>M0111-B-96-1</v>
      </c>
      <c r="J81" s="9" t="str">
        <f aca="false">_xlfn.CONCAT(A81, "-", I81, ",",G81, "-",H81)</f>
        <v>501-M0111-B-96-1,38-40</v>
      </c>
      <c r="K81" s="3" t="n">
        <f aca="false">VLOOKUP(I81, 'Depth vlookup'!$G$2:$I$997,2,FALSE())+(G81/100)</f>
        <v>251.91</v>
      </c>
      <c r="L81" s="28" t="n">
        <f aca="false">K81+2/100</f>
        <v>251.93</v>
      </c>
      <c r="M81" s="2" t="n">
        <v>154</v>
      </c>
      <c r="N81" s="4" t="n">
        <f aca="false">VLOOKUP(M81,  Beakers!$A$2:$B$151, 2, 0)</f>
        <v>9.7118</v>
      </c>
      <c r="O81" s="2" t="n">
        <v>20.151</v>
      </c>
      <c r="P81" s="6" t="n">
        <v>46044.4520833333</v>
      </c>
      <c r="Q81" s="2" t="n">
        <v>17.9246</v>
      </c>
      <c r="R81" s="3" t="s">
        <v>43</v>
      </c>
      <c r="S81" s="3" t="n">
        <v>5</v>
      </c>
      <c r="T81" s="2" t="n">
        <v>7.4634</v>
      </c>
      <c r="V81" s="31" t="n">
        <f aca="false">O81-N81</f>
        <v>10.4392</v>
      </c>
      <c r="W81" s="26" t="n">
        <f aca="false">Q81-N81</f>
        <v>8.2128</v>
      </c>
      <c r="X81" s="26" t="n">
        <f aca="false">(V81-W81)/(1-35/1000)</f>
        <v>2.30715025906736</v>
      </c>
      <c r="Y81" s="31" t="n">
        <f aca="false">X81-(V81-W81)</f>
        <v>0.0807502590673574</v>
      </c>
      <c r="Z81" s="31" t="n">
        <f aca="false">W81-Y81</f>
        <v>8.13204974093264</v>
      </c>
      <c r="AA81" s="31" t="n">
        <f aca="false">X81/1.024</f>
        <v>2.25307642487046</v>
      </c>
      <c r="AB81" s="31" t="n">
        <f aca="false">Y81/2.22</f>
        <v>0.0363739905708817</v>
      </c>
      <c r="AC81" s="31" t="n">
        <f aca="false">T81-VLOOKUP(M81, Beakers!$A$2:$C$151, 3, 0)</f>
        <v>3.10833273542601</v>
      </c>
      <c r="AD81" s="31" t="n">
        <f aca="false">AC81-AB81+AA81</f>
        <v>5.32503516972559</v>
      </c>
      <c r="AE81" s="31" t="n">
        <f aca="false">AC81-AB81</f>
        <v>3.07195874485513</v>
      </c>
      <c r="AF81" s="31" t="n">
        <f aca="false">X81/V81</f>
        <v>0.221008339630178</v>
      </c>
      <c r="AG81" s="26" t="n">
        <f aca="false">X81/Z81</f>
        <v>0.28371079033793</v>
      </c>
      <c r="AH81" s="26" t="n">
        <f aca="false">V81/AD81</f>
        <v>1.96040019779587</v>
      </c>
      <c r="AI81" s="26" t="n">
        <f aca="false">Z81/AD81</f>
        <v>1.52713540507033</v>
      </c>
      <c r="AJ81" s="26" t="n">
        <f aca="false">Z81/AE81</f>
        <v>2.64718715853593</v>
      </c>
      <c r="AK81" s="26" t="n">
        <f aca="false">AA81/AD81</f>
        <v>0.423110149146033</v>
      </c>
      <c r="AL81" s="26" t="n">
        <f aca="false">AA81/AE81</f>
        <v>0.733433164961569</v>
      </c>
      <c r="AM81" s="9" t="s">
        <v>42</v>
      </c>
    </row>
    <row r="82" customFormat="false" ht="14.25" hidden="false" customHeight="false" outlineLevel="0" collapsed="false">
      <c r="A82" s="20" t="n">
        <v>501</v>
      </c>
      <c r="B82" s="21" t="s">
        <v>38</v>
      </c>
      <c r="C82" s="21" t="s">
        <v>39</v>
      </c>
      <c r="D82" s="2" t="n">
        <v>97</v>
      </c>
      <c r="E82" s="21" t="s">
        <v>44</v>
      </c>
      <c r="F82" s="21" t="n">
        <v>1</v>
      </c>
      <c r="G82" s="2" t="n">
        <v>38</v>
      </c>
      <c r="H82" s="2" t="n">
        <v>40</v>
      </c>
      <c r="I82" s="3" t="str">
        <f aca="false">_xlfn.CONCAT(B82, "-", C82,"-", D82,"-", F82)</f>
        <v>M0111-B-97-1</v>
      </c>
      <c r="J82" s="9" t="str">
        <f aca="false">_xlfn.CONCAT(A82, "-", I82, ",",G82, "-",H82)</f>
        <v>501-M0111-B-97-1,38-40</v>
      </c>
      <c r="K82" s="3" t="n">
        <f aca="false">VLOOKUP(I82, 'Depth vlookup'!$G$2:$I$997,2,FALSE())+(G82/100)</f>
        <v>253.21</v>
      </c>
      <c r="L82" s="28" t="n">
        <f aca="false">K82+2/100</f>
        <v>253.23</v>
      </c>
      <c r="M82" s="2" t="n">
        <v>155</v>
      </c>
      <c r="N82" s="4" t="n">
        <f aca="false">VLOOKUP(M82,  Beakers!$A$2:$B$151, 2, 0)</f>
        <v>9.7377</v>
      </c>
      <c r="O82" s="2" t="n">
        <v>20.0121</v>
      </c>
      <c r="P82" s="6" t="n">
        <v>46044.4805555556</v>
      </c>
      <c r="Q82" s="2" t="n">
        <v>17.1691</v>
      </c>
      <c r="R82" s="3" t="s">
        <v>43</v>
      </c>
      <c r="S82" s="3" t="n">
        <v>3</v>
      </c>
      <c r="T82" s="2" t="n">
        <v>7.1895</v>
      </c>
      <c r="V82" s="31" t="n">
        <f aca="false">O82-N82</f>
        <v>10.2744</v>
      </c>
      <c r="W82" s="26" t="n">
        <f aca="false">Q82-N82</f>
        <v>7.4314</v>
      </c>
      <c r="X82" s="26" t="n">
        <f aca="false">(V82-W82)/(1-35/1000)</f>
        <v>2.94611398963731</v>
      </c>
      <c r="Y82" s="31" t="n">
        <f aca="false">X82-(V82-W82)</f>
        <v>0.103113989637306</v>
      </c>
      <c r="Z82" s="31" t="n">
        <f aca="false">W82-Y82</f>
        <v>7.32828601036269</v>
      </c>
      <c r="AA82" s="31" t="n">
        <f aca="false">X82/1.024</f>
        <v>2.87706444300518</v>
      </c>
      <c r="AB82" s="31" t="n">
        <f aca="false">Y82/2.22</f>
        <v>0.0464477430798675</v>
      </c>
      <c r="AC82" s="31" t="n">
        <f aca="false">T82-VLOOKUP(M82, Beakers!$A$2:$C$151, 3, 0)</f>
        <v>2.82281838565022</v>
      </c>
      <c r="AD82" s="31" t="n">
        <f aca="false">AC82-AB82+AA82</f>
        <v>5.65343508557554</v>
      </c>
      <c r="AE82" s="31" t="n">
        <f aca="false">AC82-AB82</f>
        <v>2.77637064257036</v>
      </c>
      <c r="AF82" s="31" t="n">
        <f aca="false">X82/V82</f>
        <v>0.286743166475639</v>
      </c>
      <c r="AG82" s="26" t="n">
        <f aca="false">X82/Z82</f>
        <v>0.402019515268823</v>
      </c>
      <c r="AH82" s="26" t="n">
        <f aca="false">V82/AD82</f>
        <v>1.81737295015815</v>
      </c>
      <c r="AI82" s="26" t="n">
        <f aca="false">Z82/AD82</f>
        <v>1.29625367576263</v>
      </c>
      <c r="AJ82" s="26" t="n">
        <f aca="false">Z82/AE82</f>
        <v>2.6395200619101</v>
      </c>
      <c r="AK82" s="26" t="n">
        <f aca="false">AA82/AD82</f>
        <v>0.508905541401876</v>
      </c>
      <c r="AL82" s="26" t="n">
        <f aca="false">AA82/AE82</f>
        <v>1.03626814046038</v>
      </c>
      <c r="AM82" s="9" t="s">
        <v>42</v>
      </c>
    </row>
    <row r="83" customFormat="false" ht="14.25" hidden="false" customHeight="false" outlineLevel="0" collapsed="false">
      <c r="A83" s="20" t="n">
        <v>501</v>
      </c>
      <c r="B83" s="21" t="s">
        <v>38</v>
      </c>
      <c r="C83" s="21" t="s">
        <v>39</v>
      </c>
      <c r="D83" s="2" t="n">
        <v>98</v>
      </c>
      <c r="E83" s="21" t="s">
        <v>44</v>
      </c>
      <c r="F83" s="21" t="n">
        <v>1</v>
      </c>
      <c r="G83" s="2" t="n">
        <v>38</v>
      </c>
      <c r="H83" s="2" t="n">
        <v>40</v>
      </c>
      <c r="I83" s="3" t="str">
        <f aca="false">_xlfn.CONCAT(B83, "-", C83,"-", D83,"-", F83)</f>
        <v>M0111-B-98-1</v>
      </c>
      <c r="J83" s="9" t="str">
        <f aca="false">_xlfn.CONCAT(A83, "-", I83, ",",G83, "-",H83)</f>
        <v>501-M0111-B-98-1,38-40</v>
      </c>
      <c r="K83" s="3" t="n">
        <f aca="false">VLOOKUP(I83, 'Depth vlookup'!$G$2:$I$997,2,FALSE())+(G83/100)</f>
        <v>255.91</v>
      </c>
      <c r="L83" s="28" t="n">
        <f aca="false">K83+2/100</f>
        <v>255.93</v>
      </c>
      <c r="M83" s="2" t="n">
        <v>156</v>
      </c>
      <c r="N83" s="4" t="n">
        <f aca="false">VLOOKUP(M83,  Beakers!$A$2:$B$151, 2, 0)</f>
        <v>9.6449</v>
      </c>
      <c r="O83" s="2" t="n">
        <v>20.707</v>
      </c>
      <c r="P83" s="6" t="n">
        <v>46044.4805555556</v>
      </c>
      <c r="Q83" s="2" t="n">
        <v>18.4628</v>
      </c>
      <c r="R83" s="3" t="s">
        <v>43</v>
      </c>
      <c r="S83" s="3" t="n">
        <v>5</v>
      </c>
      <c r="T83" s="2" t="n">
        <v>7.6836</v>
      </c>
      <c r="V83" s="31" t="n">
        <f aca="false">O83-N83</f>
        <v>11.0621</v>
      </c>
      <c r="W83" s="26" t="n">
        <f aca="false">Q83-N83</f>
        <v>8.8179</v>
      </c>
      <c r="X83" s="26" t="n">
        <f aca="false">(V83-W83)/(1-35/1000)</f>
        <v>2.32559585492228</v>
      </c>
      <c r="Y83" s="31" t="n">
        <f aca="false">X83-(V83-W83)</f>
        <v>0.0813958549222797</v>
      </c>
      <c r="Z83" s="31" t="n">
        <f aca="false">W83-Y83</f>
        <v>8.73650414507772</v>
      </c>
      <c r="AA83" s="31" t="n">
        <f aca="false">X83/1.024</f>
        <v>2.27108970207254</v>
      </c>
      <c r="AB83" s="31" t="n">
        <f aca="false">Y83/2.22</f>
        <v>0.0366647995145404</v>
      </c>
      <c r="AC83" s="31" t="n">
        <f aca="false">T83-VLOOKUP(M83, Beakers!$A$2:$C$151, 3, 0)</f>
        <v>3.35853273542601</v>
      </c>
      <c r="AD83" s="31" t="n">
        <f aca="false">AC83-AB83+AA83</f>
        <v>5.59295763798401</v>
      </c>
      <c r="AE83" s="31" t="n">
        <f aca="false">AC83-AB83</f>
        <v>3.32186793591147</v>
      </c>
      <c r="AF83" s="31" t="n">
        <f aca="false">X83/V83</f>
        <v>0.210230955688547</v>
      </c>
      <c r="AG83" s="26" t="n">
        <f aca="false">X83/Z83</f>
        <v>0.26619295501995</v>
      </c>
      <c r="AH83" s="26" t="n">
        <f aca="false">V83/AD83</f>
        <v>1.9778622896896</v>
      </c>
      <c r="AI83" s="26" t="n">
        <f aca="false">Z83/AD83</f>
        <v>1.56205441030782</v>
      </c>
      <c r="AJ83" s="26" t="n">
        <f aca="false">Z83/AE83</f>
        <v>2.62999743326056</v>
      </c>
      <c r="AK83" s="26" t="n">
        <f aca="false">AA83/AD83</f>
        <v>0.406062382208773</v>
      </c>
      <c r="AL83" s="26" t="n">
        <f aca="false">AA83/AE83</f>
        <v>0.68367850435011</v>
      </c>
      <c r="AM83" s="9" t="s">
        <v>42</v>
      </c>
    </row>
    <row r="84" customFormat="false" ht="14.25" hidden="false" customHeight="false" outlineLevel="0" collapsed="false">
      <c r="A84" s="20" t="n">
        <v>501</v>
      </c>
      <c r="B84" s="21" t="s">
        <v>38</v>
      </c>
      <c r="C84" s="21" t="s">
        <v>39</v>
      </c>
      <c r="D84" s="2" t="n">
        <v>99</v>
      </c>
      <c r="E84" s="21" t="s">
        <v>44</v>
      </c>
      <c r="F84" s="21" t="n">
        <v>1</v>
      </c>
      <c r="G84" s="2" t="n">
        <v>38</v>
      </c>
      <c r="H84" s="2" t="n">
        <v>40</v>
      </c>
      <c r="I84" s="3" t="str">
        <f aca="false">_xlfn.CONCAT(B84, "-", C84,"-", D84,"-", F84)</f>
        <v>M0111-B-99-1</v>
      </c>
      <c r="J84" s="9" t="str">
        <f aca="false">_xlfn.CONCAT(A84, "-", I84, ",",G84, "-",H84)</f>
        <v>501-M0111-B-99-1,38-40</v>
      </c>
      <c r="K84" s="3" t="n">
        <f aca="false">VLOOKUP(I84, 'Depth vlookup'!$G$2:$I$997,2,FALSE())+(G84/100)</f>
        <v>256.66</v>
      </c>
      <c r="L84" s="28" t="n">
        <f aca="false">K84+2/100</f>
        <v>256.68</v>
      </c>
      <c r="M84" s="2" t="n">
        <v>157</v>
      </c>
      <c r="N84" s="4" t="n">
        <f aca="false">VLOOKUP(M84,  Beakers!$A$2:$B$151, 2, 0)</f>
        <v>9.6017</v>
      </c>
      <c r="O84" s="2" t="n">
        <v>19.9168</v>
      </c>
      <c r="P84" s="6" t="n">
        <v>46044.48125</v>
      </c>
      <c r="Q84" s="2" t="n">
        <v>18.037</v>
      </c>
      <c r="R84" s="3" t="s">
        <v>43</v>
      </c>
      <c r="S84" s="3" t="n">
        <v>1</v>
      </c>
      <c r="T84" s="2" t="n">
        <v>7.5299</v>
      </c>
      <c r="V84" s="31" t="n">
        <f aca="false">O84-N84</f>
        <v>10.3151</v>
      </c>
      <c r="W84" s="26" t="n">
        <f aca="false">Q84-N84</f>
        <v>8.4353</v>
      </c>
      <c r="X84" s="26" t="n">
        <f aca="false">(V84-W84)/(1-35/1000)</f>
        <v>1.9479792746114</v>
      </c>
      <c r="Y84" s="31" t="n">
        <f aca="false">X84-(V84-W84)</f>
        <v>0.0681792746113989</v>
      </c>
      <c r="Z84" s="31" t="n">
        <f aca="false">W84-Y84</f>
        <v>8.3671207253886</v>
      </c>
      <c r="AA84" s="31" t="n">
        <f aca="false">X84/1.024</f>
        <v>1.90232351036269</v>
      </c>
      <c r="AB84" s="31" t="n">
        <f aca="false">Y84/2.22</f>
        <v>0.0307113849600896</v>
      </c>
      <c r="AC84" s="31" t="n">
        <f aca="false">T84-VLOOKUP(M84, Beakers!$A$2:$C$151, 3, 0)</f>
        <v>3.22420493273543</v>
      </c>
      <c r="AD84" s="31" t="n">
        <f aca="false">AC84-AB84+AA84</f>
        <v>5.09581705813803</v>
      </c>
      <c r="AE84" s="31" t="n">
        <f aca="false">AC84-AB84</f>
        <v>3.19349354777534</v>
      </c>
      <c r="AF84" s="31" t="n">
        <f aca="false">X84/V84</f>
        <v>0.18884734754015</v>
      </c>
      <c r="AG84" s="26" t="n">
        <f aca="false">X84/Z84</f>
        <v>0.232813573335997</v>
      </c>
      <c r="AH84" s="26" t="n">
        <f aca="false">V84/AD84</f>
        <v>2.02422886895572</v>
      </c>
      <c r="AI84" s="26" t="n">
        <f aca="false">Z84/AD84</f>
        <v>1.64195861623923</v>
      </c>
      <c r="AJ84" s="26" t="n">
        <f aca="false">Z84/AE84</f>
        <v>2.62005249117141</v>
      </c>
      <c r="AK84" s="26" t="n">
        <f aca="false">AA84/AD84</f>
        <v>0.373310793668442</v>
      </c>
      <c r="AL84" s="26" t="n">
        <f aca="false">AA84/AE84</f>
        <v>0.595687287888181</v>
      </c>
      <c r="AM84" s="9" t="s">
        <v>42</v>
      </c>
    </row>
    <row r="85" s="23" customFormat="true" ht="14.25" hidden="false" customHeight="false" outlineLevel="0" collapsed="false">
      <c r="A85" s="20" t="n">
        <v>501</v>
      </c>
      <c r="B85" s="21" t="s">
        <v>38</v>
      </c>
      <c r="C85" s="21" t="s">
        <v>39</v>
      </c>
      <c r="D85" s="21" t="n">
        <v>100</v>
      </c>
      <c r="E85" s="21" t="s">
        <v>44</v>
      </c>
      <c r="F85" s="21" t="n">
        <v>1</v>
      </c>
      <c r="G85" s="21" t="n">
        <v>38</v>
      </c>
      <c r="H85" s="21" t="n">
        <v>40</v>
      </c>
      <c r="I85" s="22" t="str">
        <f aca="false">_xlfn.CONCAT(B85, "-", C85,"-", D85,"-", F85)</f>
        <v>M0111-B-100-1</v>
      </c>
      <c r="J85" s="23" t="str">
        <f aca="false">_xlfn.CONCAT(A85, "-", I85, ",",G85, "-",H85)</f>
        <v>501-M0111-B-100-1,38-40</v>
      </c>
      <c r="K85" s="22" t="n">
        <f aca="false">VLOOKUP(I85, 'Depth vlookup'!$G$2:$I$997,2,FALSE())+(G85/100)</f>
        <v>259.31</v>
      </c>
      <c r="L85" s="28" t="n">
        <f aca="false">K85+2/100</f>
        <v>259.33</v>
      </c>
      <c r="M85" s="21" t="n">
        <v>158</v>
      </c>
      <c r="N85" s="24" t="n">
        <f aca="false">VLOOKUP(M85,  Beakers!$A$2:$B$151, 2, 0)</f>
        <v>9.5899</v>
      </c>
      <c r="O85" s="21" t="n">
        <v>19.2843</v>
      </c>
      <c r="P85" s="25" t="n">
        <v>46044.58125</v>
      </c>
      <c r="Q85" s="21" t="n">
        <v>17.3663</v>
      </c>
      <c r="R85" s="22" t="s">
        <v>41</v>
      </c>
      <c r="S85" s="22" t="n">
        <v>5</v>
      </c>
      <c r="T85" s="21" t="n">
        <v>7.1381</v>
      </c>
      <c r="U85" s="22"/>
      <c r="V85" s="26" t="n">
        <f aca="false">O85-N85</f>
        <v>9.6944</v>
      </c>
      <c r="W85" s="26" t="n">
        <f aca="false">Q85-N85</f>
        <v>7.7764</v>
      </c>
      <c r="X85" s="26" t="n">
        <f aca="false">(V85-W85)/(1-35/1000)</f>
        <v>1.98756476683938</v>
      </c>
      <c r="Y85" s="26" t="n">
        <f aca="false">X85-(V85-W85)</f>
        <v>0.0695647668393784</v>
      </c>
      <c r="Z85" s="26" t="n">
        <f aca="false">W85-Y85</f>
        <v>7.70683523316062</v>
      </c>
      <c r="AA85" s="26" t="n">
        <f aca="false">X85/1.024</f>
        <v>1.94098121761658</v>
      </c>
      <c r="AB85" s="26" t="n">
        <f aca="false">Y85/2.22</f>
        <v>0.0313354805582786</v>
      </c>
      <c r="AC85" s="26" t="n">
        <f aca="false">T85-VLOOKUP(M85, Beakers!$A$2:$C$151, 3, 0)</f>
        <v>2.83769641255605</v>
      </c>
      <c r="AD85" s="26" t="n">
        <f aca="false">AC85-AB85+AA85</f>
        <v>4.74734214961436</v>
      </c>
      <c r="AE85" s="26" t="n">
        <f aca="false">AC85-AB85</f>
        <v>2.80636093199778</v>
      </c>
      <c r="AF85" s="26" t="n">
        <f aca="false">X85/V85</f>
        <v>0.205021947396371</v>
      </c>
      <c r="AG85" s="26" t="n">
        <f aca="false">X85/Z85</f>
        <v>0.257896361698169</v>
      </c>
      <c r="AH85" s="26" t="n">
        <f aca="false">V85/AD85</f>
        <v>2.04206895026252</v>
      </c>
      <c r="AI85" s="26" t="n">
        <f aca="false">Z85/AD85</f>
        <v>1.62339999736203</v>
      </c>
      <c r="AJ85" s="26" t="n">
        <f aca="false">Z85/AE85</f>
        <v>2.74620243792887</v>
      </c>
      <c r="AK85" s="26" t="n">
        <f aca="false">AA85/AD85</f>
        <v>0.40885639931688</v>
      </c>
      <c r="AL85" s="26" t="n">
        <f aca="false">AA85/AE85</f>
        <v>0.691636344949703</v>
      </c>
      <c r="AM85" s="23" t="s">
        <v>45</v>
      </c>
    </row>
    <row r="86" s="23" customFormat="true" ht="14.25" hidden="false" customHeight="false" outlineLevel="0" collapsed="false">
      <c r="A86" s="20" t="n">
        <v>501</v>
      </c>
      <c r="B86" s="21" t="s">
        <v>38</v>
      </c>
      <c r="C86" s="21" t="s">
        <v>39</v>
      </c>
      <c r="D86" s="21" t="n">
        <v>101</v>
      </c>
      <c r="E86" s="21" t="s">
        <v>44</v>
      </c>
      <c r="F86" s="21" t="n">
        <v>1</v>
      </c>
      <c r="G86" s="21" t="n">
        <v>38</v>
      </c>
      <c r="H86" s="21" t="n">
        <v>40</v>
      </c>
      <c r="I86" s="22" t="str">
        <f aca="false">_xlfn.CONCAT(B86, "-", C86,"-", D86,"-", F86)</f>
        <v>M0111-B-101-1</v>
      </c>
      <c r="J86" s="23" t="str">
        <f aca="false">_xlfn.CONCAT(A86, "-", I86, ",",G86, "-",H86)</f>
        <v>501-M0111-B-101-1,38-40</v>
      </c>
      <c r="K86" s="22" t="n">
        <f aca="false">VLOOKUP(I86, 'Depth vlookup'!$G$2:$I$997,2,FALSE())+(G86/100)</f>
        <v>262.36</v>
      </c>
      <c r="L86" s="28" t="n">
        <f aca="false">K86+2/100</f>
        <v>262.38</v>
      </c>
      <c r="M86" s="21" t="n">
        <v>159</v>
      </c>
      <c r="N86" s="24" t="n">
        <f aca="false">VLOOKUP(M86,  Beakers!$A$2:$B$151, 2, 0)</f>
        <v>9.716</v>
      </c>
      <c r="O86" s="21" t="n">
        <v>16.9598</v>
      </c>
      <c r="P86" s="25" t="n">
        <v>46044.58125</v>
      </c>
      <c r="Q86" s="21" t="n">
        <v>15.032</v>
      </c>
      <c r="R86" s="22" t="s">
        <v>41</v>
      </c>
      <c r="S86" s="22" t="n">
        <v>1</v>
      </c>
      <c r="T86" s="21" t="n">
        <v>6.4031</v>
      </c>
      <c r="U86" s="22"/>
      <c r="V86" s="26" t="n">
        <f aca="false">O86-N86</f>
        <v>7.2438</v>
      </c>
      <c r="W86" s="26" t="n">
        <f aca="false">Q86-N86</f>
        <v>5.316</v>
      </c>
      <c r="X86" s="26" t="n">
        <f aca="false">(V86-W86)/(1-35/1000)</f>
        <v>1.99772020725389</v>
      </c>
      <c r="Y86" s="26" t="n">
        <f aca="false">X86-(V86-W86)</f>
        <v>0.069920207253886</v>
      </c>
      <c r="Z86" s="26" t="n">
        <f aca="false">W86-Y86</f>
        <v>5.24607979274612</v>
      </c>
      <c r="AA86" s="26" t="n">
        <f aca="false">X86/1.024</f>
        <v>1.95089863989637</v>
      </c>
      <c r="AB86" s="26" t="n">
        <f aca="false">Y86/2.22</f>
        <v>0.0314955888531018</v>
      </c>
      <c r="AC86" s="26" t="n">
        <f aca="false">T86-VLOOKUP(M86, Beakers!$A$2:$C$151, 3, 0)</f>
        <v>2.04614932735426</v>
      </c>
      <c r="AD86" s="26" t="n">
        <f aca="false">AC86-AB86+AA86</f>
        <v>3.96555237839753</v>
      </c>
      <c r="AE86" s="26" t="n">
        <f aca="false">AC86-AB86</f>
        <v>2.01465373850116</v>
      </c>
      <c r="AF86" s="26" t="n">
        <f aca="false">X86/V86</f>
        <v>0.275783457198416</v>
      </c>
      <c r="AG86" s="26" t="n">
        <f aca="false">X86/Z86</f>
        <v>0.380802482268033</v>
      </c>
      <c r="AH86" s="26" t="n">
        <f aca="false">V86/AD86</f>
        <v>1.82668120574093</v>
      </c>
      <c r="AI86" s="26" t="n">
        <f aca="false">Z86/AD86</f>
        <v>1.32291274762232</v>
      </c>
      <c r="AJ86" s="26" t="n">
        <f aca="false">Z86/AE86</f>
        <v>2.60396101448631</v>
      </c>
      <c r="AK86" s="26" t="n">
        <f aca="false">AA86/AD86</f>
        <v>0.491961384881449</v>
      </c>
      <c r="AL86" s="26" t="n">
        <f aca="false">AA86/AE86</f>
        <v>0.968354314497629</v>
      </c>
      <c r="AM86" s="23" t="s">
        <v>42</v>
      </c>
    </row>
    <row r="87" s="23" customFormat="true" ht="14.25" hidden="false" customHeight="false" outlineLevel="0" collapsed="false">
      <c r="A87" s="20" t="n">
        <v>501</v>
      </c>
      <c r="B87" s="21" t="s">
        <v>38</v>
      </c>
      <c r="C87" s="21" t="s">
        <v>39</v>
      </c>
      <c r="D87" s="21" t="n">
        <v>103</v>
      </c>
      <c r="E87" s="21" t="s">
        <v>44</v>
      </c>
      <c r="F87" s="21" t="n">
        <v>1</v>
      </c>
      <c r="G87" s="21" t="n">
        <v>43</v>
      </c>
      <c r="H87" s="21" t="n">
        <v>45</v>
      </c>
      <c r="I87" s="22" t="str">
        <f aca="false">_xlfn.CONCAT(B87, "-", C87,"-", D87,"-", F87)</f>
        <v>M0111-B-103-1</v>
      </c>
      <c r="J87" s="23" t="str">
        <f aca="false">_xlfn.CONCAT(A87, "-", I87, ",",G87, "-",H87)</f>
        <v>501-M0111-B-103-1,43-45</v>
      </c>
      <c r="K87" s="22" t="n">
        <f aca="false">VLOOKUP(I87, 'Depth vlookup'!$G$2:$I$997,2,FALSE())+(G87/100)</f>
        <v>268.51</v>
      </c>
      <c r="L87" s="28" t="n">
        <f aca="false">K87+2/100</f>
        <v>268.53</v>
      </c>
      <c r="M87" s="21" t="n">
        <v>160</v>
      </c>
      <c r="N87" s="24" t="n">
        <f aca="false">VLOOKUP(M87,  Beakers!$A$2:$B$151, 2, 0)</f>
        <v>9.4581</v>
      </c>
      <c r="O87" s="21" t="n">
        <v>20.558</v>
      </c>
      <c r="P87" s="25" t="n">
        <v>46044.58125</v>
      </c>
      <c r="Q87" s="21" t="n">
        <v>18.4407</v>
      </c>
      <c r="R87" s="22" t="s">
        <v>41</v>
      </c>
      <c r="S87" s="22" t="n">
        <v>2</v>
      </c>
      <c r="T87" s="21" t="n">
        <v>7.6275</v>
      </c>
      <c r="U87" s="22"/>
      <c r="V87" s="26" t="n">
        <f aca="false">O87-N87</f>
        <v>11.0999</v>
      </c>
      <c r="W87" s="26" t="n">
        <f aca="false">Q87-N87</f>
        <v>8.9826</v>
      </c>
      <c r="X87" s="26" t="n">
        <f aca="false">(V87-W87)/(1-35/1000)</f>
        <v>2.1940932642487</v>
      </c>
      <c r="Y87" s="26" t="n">
        <f aca="false">X87-(V87-W87)</f>
        <v>0.0767932642487046</v>
      </c>
      <c r="Z87" s="26" t="n">
        <f aca="false">W87-Y87</f>
        <v>8.9058067357513</v>
      </c>
      <c r="AA87" s="26" t="n">
        <f aca="false">X87/1.024</f>
        <v>2.14266920336788</v>
      </c>
      <c r="AB87" s="26" t="n">
        <f aca="false">Y87/2.22</f>
        <v>0.0345915604723895</v>
      </c>
      <c r="AC87" s="26" t="n">
        <f aca="false">T87-VLOOKUP(M87, Beakers!$A$2:$C$151, 3, 0)</f>
        <v>3.38619955156951</v>
      </c>
      <c r="AD87" s="26" t="n">
        <f aca="false">AC87-AB87+AA87</f>
        <v>5.49427719446499</v>
      </c>
      <c r="AE87" s="26" t="n">
        <f aca="false">AC87-AB87</f>
        <v>3.35160799109712</v>
      </c>
      <c r="AF87" s="26" t="n">
        <f aca="false">X87/V87</f>
        <v>0.197667840633583</v>
      </c>
      <c r="AG87" s="26" t="n">
        <f aca="false">X87/Z87</f>
        <v>0.246366593094905</v>
      </c>
      <c r="AH87" s="26" t="n">
        <f aca="false">V87/AD87</f>
        <v>2.02026574326868</v>
      </c>
      <c r="AI87" s="26" t="n">
        <f aca="false">Z87/AD87</f>
        <v>1.62092417629076</v>
      </c>
      <c r="AJ87" s="26" t="n">
        <f aca="false">Z87/AE87</f>
        <v>2.65717433524679</v>
      </c>
      <c r="AK87" s="26" t="n">
        <f aca="false">AA87/AD87</f>
        <v>0.389981999001876</v>
      </c>
      <c r="AL87" s="26" t="n">
        <f aca="false">AA87/AE87</f>
        <v>0.639295886947236</v>
      </c>
      <c r="AM87" s="23" t="s">
        <v>45</v>
      </c>
    </row>
    <row r="88" s="23" customFormat="true" ht="14.25" hidden="false" customHeight="false" outlineLevel="0" collapsed="false">
      <c r="A88" s="20" t="n">
        <v>501</v>
      </c>
      <c r="B88" s="21" t="s">
        <v>38</v>
      </c>
      <c r="C88" s="21" t="s">
        <v>39</v>
      </c>
      <c r="D88" s="21" t="n">
        <v>102</v>
      </c>
      <c r="E88" s="21" t="s">
        <v>44</v>
      </c>
      <c r="F88" s="21" t="n">
        <v>1</v>
      </c>
      <c r="G88" s="21" t="n">
        <v>29</v>
      </c>
      <c r="H88" s="21" t="n">
        <v>31</v>
      </c>
      <c r="I88" s="22" t="str">
        <f aca="false">_xlfn.CONCAT(B88, "-", C88,"-", D88,"-", F88)</f>
        <v>M0111-B-102-1</v>
      </c>
      <c r="J88" s="23" t="str">
        <f aca="false">_xlfn.CONCAT(A88, "-", I88, ",",G88, "-",H88)</f>
        <v>501-M0111-B-102-1,29-31</v>
      </c>
      <c r="K88" s="22" t="n">
        <f aca="false">VLOOKUP(I88, 'Depth vlookup'!$G$2:$I$997,2,FALSE())+(G88/100)</f>
        <v>265.32</v>
      </c>
      <c r="L88" s="28" t="n">
        <f aca="false">K88+2/100</f>
        <v>265.34</v>
      </c>
      <c r="M88" s="21" t="n">
        <v>240</v>
      </c>
      <c r="N88" s="24" t="n">
        <f aca="false">VLOOKUP(M88,  Beakers!$A$2:$B$151, 2, 0)</f>
        <v>9.859</v>
      </c>
      <c r="O88" s="21" t="n">
        <v>18.9358</v>
      </c>
      <c r="P88" s="25" t="n">
        <v>46044.7291666667</v>
      </c>
      <c r="Q88" s="21" t="n">
        <v>17.3791</v>
      </c>
      <c r="R88" s="22" t="s">
        <v>41</v>
      </c>
      <c r="S88" s="22" t="n">
        <v>1</v>
      </c>
      <c r="T88" s="21" t="n">
        <v>7.3085</v>
      </c>
      <c r="U88" s="22"/>
      <c r="V88" s="26" t="n">
        <f aca="false">O88-N88</f>
        <v>9.0768</v>
      </c>
      <c r="W88" s="26" t="n">
        <f aca="false">Q88-N88</f>
        <v>7.5201</v>
      </c>
      <c r="X88" s="26" t="n">
        <f aca="false">(V88-W88)/(1-35/1000)</f>
        <v>1.61316062176166</v>
      </c>
      <c r="Y88" s="26" t="n">
        <f aca="false">X88-(V88-W88)</f>
        <v>0.0564606217616581</v>
      </c>
      <c r="Z88" s="26" t="n">
        <f aca="false">W88-Y88</f>
        <v>7.46363937823834</v>
      </c>
      <c r="AA88" s="26" t="n">
        <f aca="false">X88/1.024</f>
        <v>1.57535216968912</v>
      </c>
      <c r="AB88" s="26" t="n">
        <f aca="false">Y88/2.22</f>
        <v>0.0254327125052514</v>
      </c>
      <c r="AC88" s="26" t="n">
        <f aca="false">T88-VLOOKUP(M88, Beakers!$A$2:$C$151, 3, 0)</f>
        <v>2.88742376681614</v>
      </c>
      <c r="AD88" s="26" t="n">
        <f aca="false">AC88-AB88+AA88</f>
        <v>4.43734322400001</v>
      </c>
      <c r="AE88" s="26" t="n">
        <f aca="false">AC88-AB88</f>
        <v>2.86199105431089</v>
      </c>
      <c r="AF88" s="26" t="n">
        <f aca="false">X88/V88</f>
        <v>0.177723495258423</v>
      </c>
      <c r="AG88" s="26" t="n">
        <f aca="false">X88/Z88</f>
        <v>0.216135927797521</v>
      </c>
      <c r="AH88" s="26" t="n">
        <f aca="false">V88/AD88</f>
        <v>2.045548325157</v>
      </c>
      <c r="AI88" s="26" t="n">
        <f aca="false">Z88/AD88</f>
        <v>1.68200632709009</v>
      </c>
      <c r="AJ88" s="26" t="n">
        <f aca="false">Z88/AE88</f>
        <v>2.60784860490608</v>
      </c>
      <c r="AK88" s="26" t="n">
        <f aca="false">AA88/AD88</f>
        <v>0.355021482487223</v>
      </c>
      <c r="AL88" s="26" t="n">
        <f aca="false">AA88/AE88</f>
        <v>0.550439236110202</v>
      </c>
      <c r="AM88" s="23" t="s">
        <v>45</v>
      </c>
    </row>
    <row r="89" s="23" customFormat="true" ht="14.25" hidden="false" customHeight="false" outlineLevel="0" collapsed="false">
      <c r="A89" s="20" t="n">
        <v>501</v>
      </c>
      <c r="B89" s="21" t="s">
        <v>38</v>
      </c>
      <c r="C89" s="21" t="s">
        <v>39</v>
      </c>
      <c r="D89" s="21" t="n">
        <v>104</v>
      </c>
      <c r="E89" s="21" t="s">
        <v>44</v>
      </c>
      <c r="F89" s="21" t="n">
        <v>1</v>
      </c>
      <c r="G89" s="21" t="n">
        <v>18</v>
      </c>
      <c r="H89" s="21" t="n">
        <v>20</v>
      </c>
      <c r="I89" s="22" t="str">
        <f aca="false">_xlfn.CONCAT(B89, "-", C89,"-", D89,"-", F89)</f>
        <v>M0111-B-104-1</v>
      </c>
      <c r="J89" s="23" t="str">
        <f aca="false">_xlfn.CONCAT(A89, "-", I89, ",",G89, "-",H89)</f>
        <v>501-M0111-B-104-1,18-20</v>
      </c>
      <c r="K89" s="22" t="n">
        <f aca="false">VLOOKUP(I89, 'Depth vlookup'!$G$2:$I$997,2,FALSE())+(G89/100)</f>
        <v>271.31</v>
      </c>
      <c r="L89" s="28" t="n">
        <f aca="false">K89+2/100</f>
        <v>271.33</v>
      </c>
      <c r="M89" s="21" t="n">
        <v>241</v>
      </c>
      <c r="N89" s="24" t="n">
        <f aca="false">VLOOKUP(M89,  Beakers!$A$2:$B$151, 2, 0)</f>
        <v>9.8089</v>
      </c>
      <c r="O89" s="21" t="n">
        <v>18.4413</v>
      </c>
      <c r="P89" s="25" t="n">
        <v>46044.7291666667</v>
      </c>
      <c r="Q89" s="21" t="n">
        <v>16.9721</v>
      </c>
      <c r="R89" s="22" t="s">
        <v>41</v>
      </c>
      <c r="S89" s="22" t="n">
        <v>2</v>
      </c>
      <c r="T89" s="21" t="n">
        <v>7.0276</v>
      </c>
      <c r="U89" s="22"/>
      <c r="V89" s="26" t="n">
        <f aca="false">O89-N89</f>
        <v>8.6324</v>
      </c>
      <c r="W89" s="26" t="n">
        <f aca="false">Q89-N89</f>
        <v>7.1632</v>
      </c>
      <c r="X89" s="26" t="n">
        <f aca="false">(V89-W89)/(1-35/1000)</f>
        <v>1.52248704663212</v>
      </c>
      <c r="Y89" s="26" t="n">
        <f aca="false">X89-(V89-W89)</f>
        <v>0.0532870466321242</v>
      </c>
      <c r="Z89" s="26" t="n">
        <f aca="false">W89-Y89</f>
        <v>7.10991295336788</v>
      </c>
      <c r="AA89" s="26" t="n">
        <f aca="false">X89/1.024</f>
        <v>1.48680375647668</v>
      </c>
      <c r="AB89" s="26" t="n">
        <f aca="false">Y89/2.22</f>
        <v>0.0240031741586145</v>
      </c>
      <c r="AC89" s="26" t="n">
        <f aca="false">T89-VLOOKUP(M89, Beakers!$A$2:$C$151, 3, 0)</f>
        <v>2.62899013452915</v>
      </c>
      <c r="AD89" s="26" t="n">
        <f aca="false">AC89-AB89+AA89</f>
        <v>4.09179071684721</v>
      </c>
      <c r="AE89" s="26" t="n">
        <f aca="false">AC89-AB89</f>
        <v>2.60498696037053</v>
      </c>
      <c r="AF89" s="26" t="n">
        <f aca="false">X89/V89</f>
        <v>0.17636891787129</v>
      </c>
      <c r="AG89" s="26" t="n">
        <f aca="false">X89/Z89</f>
        <v>0.214135820876814</v>
      </c>
      <c r="AH89" s="26" t="n">
        <f aca="false">V89/AD89</f>
        <v>2.10968756648712</v>
      </c>
      <c r="AI89" s="26" t="n">
        <f aca="false">Z89/AD89</f>
        <v>1.73760425333927</v>
      </c>
      <c r="AJ89" s="26" t="n">
        <f aca="false">Z89/AE89</f>
        <v>2.72934684953531</v>
      </c>
      <c r="AK89" s="26" t="n">
        <f aca="false">AA89/AD89</f>
        <v>0.363362610495946</v>
      </c>
      <c r="AL89" s="26" t="n">
        <f aca="false">AA89/AE89</f>
        <v>0.570752859455849</v>
      </c>
      <c r="AM89" s="23" t="s">
        <v>45</v>
      </c>
    </row>
    <row r="90" s="23" customFormat="true" ht="14.25" hidden="false" customHeight="false" outlineLevel="0" collapsed="false">
      <c r="A90" s="20" t="n">
        <v>501</v>
      </c>
      <c r="B90" s="21" t="s">
        <v>38</v>
      </c>
      <c r="C90" s="21" t="s">
        <v>39</v>
      </c>
      <c r="D90" s="21" t="n">
        <v>105</v>
      </c>
      <c r="E90" s="21" t="s">
        <v>44</v>
      </c>
      <c r="F90" s="21" t="n">
        <v>1</v>
      </c>
      <c r="G90" s="21" t="n">
        <v>28</v>
      </c>
      <c r="H90" s="21" t="n">
        <v>30</v>
      </c>
      <c r="I90" s="22" t="str">
        <f aca="false">_xlfn.CONCAT(B90, "-", C90,"-", D90,"-", F90)</f>
        <v>M0111-B-105-1</v>
      </c>
      <c r="J90" s="23" t="str">
        <f aca="false">_xlfn.CONCAT(A90, "-", I90, ",",G90, "-",H90)</f>
        <v>501-M0111-B-105-1,28-30</v>
      </c>
      <c r="K90" s="22" t="n">
        <f aca="false">VLOOKUP(I90, 'Depth vlookup'!$G$2:$I$997,2,FALSE())+(G90/100)</f>
        <v>274.46</v>
      </c>
      <c r="L90" s="28" t="n">
        <f aca="false">K90+2/100</f>
        <v>274.48</v>
      </c>
      <c r="M90" s="21" t="n">
        <v>242</v>
      </c>
      <c r="N90" s="24" t="n">
        <f aca="false">VLOOKUP(M90,  Beakers!$A$2:$B$151, 2, 0)</f>
        <v>9.9348</v>
      </c>
      <c r="O90" s="21" t="n">
        <v>20.2883</v>
      </c>
      <c r="P90" s="25" t="n">
        <v>46044.7291666667</v>
      </c>
      <c r="Q90" s="21" t="n">
        <v>19.5633</v>
      </c>
      <c r="R90" s="22" t="s">
        <v>41</v>
      </c>
      <c r="S90" s="22" t="n">
        <v>3</v>
      </c>
      <c r="T90" s="21" t="n">
        <v>7.7331</v>
      </c>
      <c r="U90" s="22"/>
      <c r="V90" s="26" t="n">
        <f aca="false">O90-N90</f>
        <v>10.3535</v>
      </c>
      <c r="W90" s="26" t="n">
        <f aca="false">Q90-N90</f>
        <v>9.6285</v>
      </c>
      <c r="X90" s="26" t="n">
        <f aca="false">(V90-W90)/(1-35/1000)</f>
        <v>0.751295336787563</v>
      </c>
      <c r="Y90" s="26" t="n">
        <f aca="false">X90-(V90-W90)</f>
        <v>0.0262953367875647</v>
      </c>
      <c r="Z90" s="26" t="n">
        <f aca="false">W90-Y90</f>
        <v>9.60220466321244</v>
      </c>
      <c r="AA90" s="26" t="n">
        <f aca="false">X90/1.024</f>
        <v>0.733686852331604</v>
      </c>
      <c r="AB90" s="26" t="n">
        <f aca="false">Y90/2.22</f>
        <v>0.0118447463007048</v>
      </c>
      <c r="AC90" s="26" t="n">
        <f aca="false">T90-VLOOKUP(M90, Beakers!$A$2:$C$151, 3, 0)</f>
        <v>3.27803273542601</v>
      </c>
      <c r="AD90" s="26" t="n">
        <f aca="false">AC90-AB90+AA90</f>
        <v>3.99987484145691</v>
      </c>
      <c r="AE90" s="26" t="n">
        <f aca="false">AC90-AB90</f>
        <v>3.2661879891253</v>
      </c>
      <c r="AF90" s="26" t="n">
        <f aca="false">X90/V90</f>
        <v>0.0725643827485935</v>
      </c>
      <c r="AG90" s="26" t="n">
        <f aca="false">X90/Z90</f>
        <v>0.0782419624595062</v>
      </c>
      <c r="AH90" s="26" t="n">
        <f aca="false">V90/AD90</f>
        <v>2.5884559918452</v>
      </c>
      <c r="AI90" s="26" t="n">
        <f aca="false">Z90/AD90</f>
        <v>2.40062628052505</v>
      </c>
      <c r="AJ90" s="26" t="n">
        <f aca="false">Z90/AE90</f>
        <v>2.93988119948477</v>
      </c>
      <c r="AK90" s="26" t="n">
        <f aca="false">AA90/AD90</f>
        <v>0.183427452461079</v>
      </c>
      <c r="AL90" s="26" t="n">
        <f aca="false">AA90/AE90</f>
        <v>0.224630932075679</v>
      </c>
      <c r="AM90" s="23" t="s">
        <v>42</v>
      </c>
    </row>
    <row r="91" s="23" customFormat="true" ht="14.25" hidden="false" customHeight="false" outlineLevel="0" collapsed="false">
      <c r="A91" s="20" t="n">
        <v>501</v>
      </c>
      <c r="B91" s="21" t="s">
        <v>38</v>
      </c>
      <c r="C91" s="21" t="s">
        <v>39</v>
      </c>
      <c r="D91" s="21" t="n">
        <v>106</v>
      </c>
      <c r="E91" s="21" t="s">
        <v>44</v>
      </c>
      <c r="F91" s="21" t="n">
        <v>1</v>
      </c>
      <c r="G91" s="21" t="n">
        <v>38</v>
      </c>
      <c r="H91" s="21" t="n">
        <v>40</v>
      </c>
      <c r="I91" s="22" t="str">
        <f aca="false">_xlfn.CONCAT(B91, "-", C91,"-", D91,"-", F91)</f>
        <v>M0111-B-106-1</v>
      </c>
      <c r="J91" s="23" t="str">
        <f aca="false">_xlfn.CONCAT(A91, "-", I91, ",",G91, "-",H91)</f>
        <v>501-M0111-B-106-1,38-40</v>
      </c>
      <c r="K91" s="22" t="n">
        <f aca="false">VLOOKUP(I91, 'Depth vlookup'!$G$2:$I$997,2,FALSE())+(G91/100)</f>
        <v>275.56</v>
      </c>
      <c r="L91" s="28" t="n">
        <f aca="false">K91+2/100</f>
        <v>275.58</v>
      </c>
      <c r="M91" s="21" t="n">
        <v>243</v>
      </c>
      <c r="N91" s="24" t="n">
        <f aca="false">VLOOKUP(M91,  Beakers!$A$2:$B$151, 2, 0)</f>
        <v>9.8368</v>
      </c>
      <c r="O91" s="21" t="n">
        <v>19.7871</v>
      </c>
      <c r="P91" s="25" t="n">
        <v>46044.775</v>
      </c>
      <c r="Q91" s="21" t="n">
        <v>18.2676</v>
      </c>
      <c r="R91" s="22" t="s">
        <v>41</v>
      </c>
      <c r="S91" s="22" t="n">
        <v>2</v>
      </c>
      <c r="T91" s="21" t="n">
        <v>7.6106</v>
      </c>
      <c r="U91" s="22"/>
      <c r="V91" s="26" t="n">
        <f aca="false">O91-N91</f>
        <v>9.9503</v>
      </c>
      <c r="W91" s="26" t="n">
        <f aca="false">Q91-N91</f>
        <v>8.4308</v>
      </c>
      <c r="X91" s="26" t="n">
        <f aca="false">(V91-W91)/(1-35/1000)</f>
        <v>1.57461139896373</v>
      </c>
      <c r="Y91" s="26" t="n">
        <f aca="false">X91-(V91-W91)</f>
        <v>0.0551113989637306</v>
      </c>
      <c r="Z91" s="26" t="n">
        <f aca="false">W91-Y91</f>
        <v>8.37568860103627</v>
      </c>
      <c r="AA91" s="26" t="n">
        <f aca="false">X91/1.024</f>
        <v>1.53770644430052</v>
      </c>
      <c r="AB91" s="26" t="n">
        <f aca="false">Y91/2.22</f>
        <v>0.0248249544881669</v>
      </c>
      <c r="AC91" s="26" t="n">
        <f aca="false">T91-VLOOKUP(M91, Beakers!$A$2:$C$151, 3, 0)</f>
        <v>3.19947892376682</v>
      </c>
      <c r="AD91" s="26" t="n">
        <f aca="false">AC91-AB91+AA91</f>
        <v>4.71236041357916</v>
      </c>
      <c r="AE91" s="26" t="n">
        <f aca="false">AC91-AB91</f>
        <v>3.17465396927865</v>
      </c>
      <c r="AF91" s="26" t="n">
        <f aca="false">X91/V91</f>
        <v>0.158247630620557</v>
      </c>
      <c r="AG91" s="26" t="n">
        <f aca="false">X91/Z91</f>
        <v>0.187997843994452</v>
      </c>
      <c r="AH91" s="26" t="n">
        <f aca="false">V91/AD91</f>
        <v>2.11153204057295</v>
      </c>
      <c r="AI91" s="26" t="n">
        <f aca="false">Z91/AD91</f>
        <v>1.77738709817289</v>
      </c>
      <c r="AJ91" s="26" t="n">
        <f aca="false">Z91/AE91</f>
        <v>2.63829969567972</v>
      </c>
      <c r="AK91" s="26" t="n">
        <f aca="false">AA91/AD91</f>
        <v>0.326313420312558</v>
      </c>
      <c r="AL91" s="26" t="n">
        <f aca="false">AA91/AE91</f>
        <v>0.484369779881842</v>
      </c>
      <c r="AM91" s="23" t="s">
        <v>42</v>
      </c>
    </row>
    <row r="92" s="23" customFormat="true" ht="14.25" hidden="false" customHeight="false" outlineLevel="0" collapsed="false">
      <c r="A92" s="20" t="n">
        <v>501</v>
      </c>
      <c r="B92" s="21" t="s">
        <v>38</v>
      </c>
      <c r="C92" s="21" t="s">
        <v>39</v>
      </c>
      <c r="D92" s="21" t="n">
        <v>107</v>
      </c>
      <c r="E92" s="21" t="s">
        <v>44</v>
      </c>
      <c r="F92" s="21" t="n">
        <v>1</v>
      </c>
      <c r="G92" s="21" t="n">
        <v>38</v>
      </c>
      <c r="H92" s="21" t="n">
        <v>40</v>
      </c>
      <c r="I92" s="22" t="str">
        <f aca="false">_xlfn.CONCAT(B92, "-", C92,"-", D92,"-", F92)</f>
        <v>M0111-B-107-1</v>
      </c>
      <c r="J92" s="23" t="str">
        <f aca="false">_xlfn.CONCAT(A92, "-", I92, ",",G92, "-",H92)</f>
        <v>501-M0111-B-107-1,38-40</v>
      </c>
      <c r="K92" s="22" t="n">
        <f aca="false">VLOOKUP(I92, 'Depth vlookup'!$G$2:$I$997,2,FALSE())+(G92/100)</f>
        <v>277.61</v>
      </c>
      <c r="L92" s="28" t="n">
        <f aca="false">K92+2/100</f>
        <v>277.63</v>
      </c>
      <c r="M92" s="21" t="n">
        <v>245</v>
      </c>
      <c r="N92" s="24" t="n">
        <f aca="false">VLOOKUP(M92,  Beakers!$A$2:$B$151, 2, 0)</f>
        <v>9.8492</v>
      </c>
      <c r="O92" s="21" t="n">
        <v>19.5879</v>
      </c>
      <c r="P92" s="25" t="n">
        <v>46044.775</v>
      </c>
      <c r="Q92" s="21" t="n">
        <v>18.1819</v>
      </c>
      <c r="R92" s="22" t="s">
        <v>41</v>
      </c>
      <c r="S92" s="22" t="n">
        <v>3</v>
      </c>
      <c r="T92" s="21" t="n">
        <v>7.5791</v>
      </c>
      <c r="U92" s="22"/>
      <c r="V92" s="26" t="n">
        <f aca="false">O92-N92</f>
        <v>9.7387</v>
      </c>
      <c r="W92" s="26" t="n">
        <f aca="false">Q92-N92</f>
        <v>8.3327</v>
      </c>
      <c r="X92" s="26" t="n">
        <f aca="false">(V92-W92)/(1-35/1000)</f>
        <v>1.45699481865285</v>
      </c>
      <c r="Y92" s="26" t="n">
        <f aca="false">X92-(V92-W92)</f>
        <v>0.0509948186528499</v>
      </c>
      <c r="Z92" s="26" t="n">
        <f aca="false">W92-Y92</f>
        <v>8.28170518134715</v>
      </c>
      <c r="AA92" s="26" t="n">
        <f aca="false">X92/1.024</f>
        <v>1.42284650259068</v>
      </c>
      <c r="AB92" s="26" t="n">
        <f aca="false">Y92/2.22</f>
        <v>0.0229706390328153</v>
      </c>
      <c r="AC92" s="26" t="n">
        <f aca="false">T92-VLOOKUP(M92, Beakers!$A$2:$C$151, 3, 0)</f>
        <v>3.16241838565022</v>
      </c>
      <c r="AD92" s="26" t="n">
        <f aca="false">AC92-AB92+AA92</f>
        <v>4.56229424920809</v>
      </c>
      <c r="AE92" s="26" t="n">
        <f aca="false">AC92-AB92</f>
        <v>3.13944774661741</v>
      </c>
      <c r="AF92" s="26" t="n">
        <f aca="false">X92/V92</f>
        <v>0.149608758730924</v>
      </c>
      <c r="AG92" s="26" t="n">
        <f aca="false">X92/Z92</f>
        <v>0.175929326962089</v>
      </c>
      <c r="AH92" s="26" t="n">
        <f aca="false">V92/AD92</f>
        <v>2.13460585136314</v>
      </c>
      <c r="AI92" s="26" t="n">
        <f aca="false">Z92/AD92</f>
        <v>1.81525011956094</v>
      </c>
      <c r="AJ92" s="26" t="n">
        <f aca="false">Z92/AE92</f>
        <v>2.63794968088584</v>
      </c>
      <c r="AK92" s="26" t="n">
        <f aca="false">AA92/AD92</f>
        <v>0.311870831838094</v>
      </c>
      <c r="AL92" s="26" t="n">
        <f aca="false">AA92/AE92</f>
        <v>0.453215538982523</v>
      </c>
      <c r="AM92" s="23" t="s">
        <v>42</v>
      </c>
    </row>
    <row r="93" s="23" customFormat="true" ht="14.25" hidden="false" customHeight="false" outlineLevel="0" collapsed="false">
      <c r="A93" s="20" t="n">
        <v>501</v>
      </c>
      <c r="B93" s="21" t="s">
        <v>38</v>
      </c>
      <c r="C93" s="21" t="s">
        <v>39</v>
      </c>
      <c r="D93" s="21" t="n">
        <v>108</v>
      </c>
      <c r="E93" s="21" t="s">
        <v>44</v>
      </c>
      <c r="F93" s="21" t="n">
        <v>1</v>
      </c>
      <c r="G93" s="21" t="n">
        <v>18</v>
      </c>
      <c r="H93" s="21" t="n">
        <v>20</v>
      </c>
      <c r="I93" s="22" t="str">
        <f aca="false">_xlfn.CONCAT(B93, "-", C93,"-", D93,"-", F93)</f>
        <v>M0111-B-108-1</v>
      </c>
      <c r="J93" s="23" t="str">
        <f aca="false">_xlfn.CONCAT(A93, "-", I93, ",",G93, "-",H93)</f>
        <v>501-M0111-B-108-1,18-20</v>
      </c>
      <c r="K93" s="22" t="n">
        <f aca="false">VLOOKUP(I93, 'Depth vlookup'!$G$2:$I$997,2,FALSE())+(G93/100)</f>
        <v>278.31</v>
      </c>
      <c r="L93" s="28" t="n">
        <f aca="false">K93+2/100</f>
        <v>278.33</v>
      </c>
      <c r="M93" s="21" t="n">
        <v>246</v>
      </c>
      <c r="N93" s="24" t="n">
        <f aca="false">VLOOKUP(M93,  Beakers!$A$2:$B$151, 2, 0)</f>
        <v>9.7553</v>
      </c>
      <c r="O93" s="21" t="n">
        <v>19.9134</v>
      </c>
      <c r="P93" s="25" t="n">
        <v>46044.775</v>
      </c>
      <c r="Q93" s="21" t="n">
        <v>18.2189</v>
      </c>
      <c r="R93" s="22" t="s">
        <v>41</v>
      </c>
      <c r="S93" s="22" t="n">
        <v>5</v>
      </c>
      <c r="T93" s="21" t="n">
        <v>7.5833</v>
      </c>
      <c r="U93" s="22"/>
      <c r="V93" s="26" t="n">
        <f aca="false">O93-N93</f>
        <v>10.1581</v>
      </c>
      <c r="W93" s="26" t="n">
        <f aca="false">Q93-N93</f>
        <v>8.4636</v>
      </c>
      <c r="X93" s="26" t="n">
        <f aca="false">(V93-W93)/(1-35/1000)</f>
        <v>1.7559585492228</v>
      </c>
      <c r="Y93" s="26" t="n">
        <f aca="false">X93-(V93-W93)</f>
        <v>0.0614585492227979</v>
      </c>
      <c r="Z93" s="26" t="n">
        <f aca="false">W93-Y93</f>
        <v>8.4021414507772</v>
      </c>
      <c r="AA93" s="26" t="n">
        <f aca="false">X93/1.024</f>
        <v>1.71480327072539</v>
      </c>
      <c r="AB93" s="26" t="n">
        <f aca="false">Y93/2.22</f>
        <v>0.0276840311814405</v>
      </c>
      <c r="AC93" s="26" t="n">
        <f aca="false">T93-VLOOKUP(M93, Beakers!$A$2:$C$151, 3, 0)</f>
        <v>3.20872600896861</v>
      </c>
      <c r="AD93" s="26" t="n">
        <f aca="false">AC93-AB93+AA93</f>
        <v>4.89584524851256</v>
      </c>
      <c r="AE93" s="26" t="n">
        <f aca="false">AC93-AB93</f>
        <v>3.18104197778717</v>
      </c>
      <c r="AF93" s="26" t="n">
        <f aca="false">X93/V93</f>
        <v>0.172862892590425</v>
      </c>
      <c r="AG93" s="26" t="n">
        <f aca="false">X93/Z93</f>
        <v>0.2089894057973</v>
      </c>
      <c r="AH93" s="26" t="n">
        <f aca="false">V93/AD93</f>
        <v>2.07484090782612</v>
      </c>
      <c r="AI93" s="26" t="n">
        <f aca="false">Z93/AD93</f>
        <v>1.71617790683436</v>
      </c>
      <c r="AJ93" s="26" t="n">
        <f aca="false">Z93/AE93</f>
        <v>2.64131737633402</v>
      </c>
      <c r="AK93" s="26" t="n">
        <f aca="false">AA93/AD93</f>
        <v>0.350256836906022</v>
      </c>
      <c r="AL93" s="26" t="n">
        <f aca="false">AA93/AE93</f>
        <v>0.539069676759895</v>
      </c>
      <c r="AM93" s="23" t="s">
        <v>42</v>
      </c>
    </row>
    <row r="94" s="23" customFormat="true" ht="14.25" hidden="false" customHeight="false" outlineLevel="0" collapsed="false">
      <c r="A94" s="20" t="n">
        <v>501</v>
      </c>
      <c r="B94" s="21" t="s">
        <v>38</v>
      </c>
      <c r="C94" s="21" t="s">
        <v>39</v>
      </c>
      <c r="D94" s="21" t="n">
        <v>109</v>
      </c>
      <c r="E94" s="21" t="s">
        <v>44</v>
      </c>
      <c r="F94" s="21" t="n">
        <v>1</v>
      </c>
      <c r="G94" s="21" t="n">
        <v>38</v>
      </c>
      <c r="H94" s="21" t="n">
        <v>40</v>
      </c>
      <c r="I94" s="22" t="str">
        <f aca="false">_xlfn.CONCAT(B94, "-", C94,"-", D94,"-", F94)</f>
        <v>M0111-B-109-1</v>
      </c>
      <c r="J94" s="23" t="str">
        <f aca="false">_xlfn.CONCAT(A94, "-", I94, ",",G94, "-",H94)</f>
        <v>501-M0111-B-109-1,38-40</v>
      </c>
      <c r="K94" s="22" t="n">
        <f aca="false">VLOOKUP(I94, 'Depth vlookup'!$G$2:$I$997,2,FALSE())+(G94/100)</f>
        <v>278.76</v>
      </c>
      <c r="L94" s="28" t="n">
        <f aca="false">K94+2/100</f>
        <v>278.78</v>
      </c>
      <c r="M94" s="21" t="n">
        <v>247</v>
      </c>
      <c r="N94" s="24" t="n">
        <f aca="false">VLOOKUP(M94,  Beakers!$A$2:$B$151, 2, 0)</f>
        <v>9.8389</v>
      </c>
      <c r="O94" s="21" t="n">
        <v>18.243</v>
      </c>
      <c r="P94" s="25" t="n">
        <v>46044.8305555556</v>
      </c>
      <c r="Q94" s="21" t="n">
        <v>17.347</v>
      </c>
      <c r="R94" s="22" t="s">
        <v>41</v>
      </c>
      <c r="S94" s="22" t="n">
        <v>3</v>
      </c>
      <c r="T94" s="21" t="n">
        <v>7.266</v>
      </c>
      <c r="U94" s="22"/>
      <c r="V94" s="26" t="n">
        <f aca="false">O94-N94</f>
        <v>8.4041</v>
      </c>
      <c r="W94" s="26" t="n">
        <f aca="false">Q94-N94</f>
        <v>7.5081</v>
      </c>
      <c r="X94" s="26" t="n">
        <f aca="false">(V94-W94)/(1-35/1000)</f>
        <v>0.928497409326422</v>
      </c>
      <c r="Y94" s="26" t="n">
        <f aca="false">X94-(V94-W94)</f>
        <v>0.0324974093264248</v>
      </c>
      <c r="Z94" s="26" t="n">
        <f aca="false">W94-Y94</f>
        <v>7.47560259067358</v>
      </c>
      <c r="AA94" s="26" t="n">
        <f aca="false">X94/1.024</f>
        <v>0.906735751295334</v>
      </c>
      <c r="AB94" s="26" t="n">
        <f aca="false">Y94/2.22</f>
        <v>0.0146384726695607</v>
      </c>
      <c r="AC94" s="26" t="n">
        <f aca="false">T94-VLOOKUP(M94, Beakers!$A$2:$C$151, 3, 0)</f>
        <v>2.85393721973094</v>
      </c>
      <c r="AD94" s="26" t="n">
        <f aca="false">AC94-AB94+AA94</f>
        <v>3.74603449835672</v>
      </c>
      <c r="AE94" s="26" t="n">
        <f aca="false">AC94-AB94</f>
        <v>2.83929874706138</v>
      </c>
      <c r="AF94" s="26" t="n">
        <f aca="false">X94/V94</f>
        <v>0.110481480387718</v>
      </c>
      <c r="AG94" s="26" t="n">
        <f aca="false">X94/Z94</f>
        <v>0.124203687671252</v>
      </c>
      <c r="AH94" s="26" t="n">
        <f aca="false">V94/AD94</f>
        <v>2.24346572453795</v>
      </c>
      <c r="AI94" s="26" t="n">
        <f aca="false">Z94/AD94</f>
        <v>1.99560431009189</v>
      </c>
      <c r="AJ94" s="26" t="n">
        <f aca="false">Z94/AE94</f>
        <v>2.63290455025583</v>
      </c>
      <c r="AK94" s="26" t="n">
        <f aca="false">AA94/AD94</f>
        <v>0.242052162544978</v>
      </c>
      <c r="AL94" s="26" t="n">
        <f aca="false">AA94/AE94</f>
        <v>0.319352006277532</v>
      </c>
      <c r="AM94" s="23" t="s">
        <v>42</v>
      </c>
    </row>
    <row r="95" s="23" customFormat="true" ht="14.25" hidden="false" customHeight="false" outlineLevel="0" collapsed="false">
      <c r="A95" s="20" t="n">
        <v>501</v>
      </c>
      <c r="B95" s="21" t="s">
        <v>38</v>
      </c>
      <c r="C95" s="21" t="s">
        <v>39</v>
      </c>
      <c r="D95" s="21" t="n">
        <v>114</v>
      </c>
      <c r="E95" s="21" t="s">
        <v>44</v>
      </c>
      <c r="F95" s="21" t="n">
        <v>1</v>
      </c>
      <c r="G95" s="21" t="n">
        <v>41</v>
      </c>
      <c r="H95" s="21" t="n">
        <v>43</v>
      </c>
      <c r="I95" s="22" t="str">
        <f aca="false">_xlfn.CONCAT(B95, "-", C95,"-", D95,"-", F95)</f>
        <v>M0111-B-114-1</v>
      </c>
      <c r="J95" s="23" t="str">
        <f aca="false">_xlfn.CONCAT(A95, "-", I95, ",",G95, "-",H95)</f>
        <v>501-M0111-B-114-1,41-43</v>
      </c>
      <c r="K95" s="22" t="n">
        <f aca="false">VLOOKUP(I95, 'Depth vlookup'!$G$2:$I$997,2,FALSE())+(G95/100)</f>
        <v>281.94</v>
      </c>
      <c r="L95" s="28" t="n">
        <f aca="false">K95+2/100</f>
        <v>281.96</v>
      </c>
      <c r="M95" s="21" t="n">
        <v>248</v>
      </c>
      <c r="N95" s="24" t="n">
        <f aca="false">VLOOKUP(M95,  Beakers!$A$2:$B$151, 2, 0)</f>
        <v>9.6745</v>
      </c>
      <c r="O95" s="21" t="n">
        <v>21.2863</v>
      </c>
      <c r="P95" s="25" t="n">
        <v>46044.8305555556</v>
      </c>
      <c r="Q95" s="21" t="n">
        <v>19.191</v>
      </c>
      <c r="R95" s="22" t="s">
        <v>41</v>
      </c>
      <c r="S95" s="22" t="n">
        <v>5</v>
      </c>
      <c r="T95" s="21" t="n">
        <v>7.9267</v>
      </c>
      <c r="U95" s="22"/>
      <c r="V95" s="26" t="n">
        <f aca="false">O95-N95</f>
        <v>11.6118</v>
      </c>
      <c r="W95" s="26" t="n">
        <f aca="false">Q95-N95</f>
        <v>9.5165</v>
      </c>
      <c r="X95" s="26" t="n">
        <f aca="false">(V95-W95)/(1-35/1000)</f>
        <v>2.17129533678757</v>
      </c>
      <c r="Y95" s="26" t="n">
        <f aca="false">X95-(V95-W95)</f>
        <v>0.0759953367875648</v>
      </c>
      <c r="Z95" s="26" t="n">
        <f aca="false">W95-Y95</f>
        <v>9.44050466321243</v>
      </c>
      <c r="AA95" s="26" t="n">
        <f aca="false">X95/1.024</f>
        <v>2.12040560233161</v>
      </c>
      <c r="AB95" s="26" t="n">
        <f aca="false">Y95/2.22</f>
        <v>0.0342321336880922</v>
      </c>
      <c r="AC95" s="26" t="n">
        <f aca="false">T95-VLOOKUP(M95, Beakers!$A$2:$C$151, 3, 0)</f>
        <v>3.58835919282511</v>
      </c>
      <c r="AD95" s="26" t="n">
        <f aca="false">AC95-AB95+AA95</f>
        <v>5.67453266146863</v>
      </c>
      <c r="AE95" s="26" t="n">
        <f aca="false">AC95-AB95</f>
        <v>3.55412705913702</v>
      </c>
      <c r="AF95" s="26" t="n">
        <f aca="false">X95/V95</f>
        <v>0.18699041809087</v>
      </c>
      <c r="AG95" s="26" t="n">
        <f aca="false">X95/Z95</f>
        <v>0.2299978035336</v>
      </c>
      <c r="AH95" s="26" t="n">
        <f aca="false">V95/AD95</f>
        <v>2.04630067227329</v>
      </c>
      <c r="AI95" s="26" t="n">
        <f aca="false">Z95/AD95</f>
        <v>1.66366205402528</v>
      </c>
      <c r="AJ95" s="26" t="n">
        <f aca="false">Z95/AE95</f>
        <v>2.65620910736508</v>
      </c>
      <c r="AK95" s="26" t="n">
        <f aca="false">AA95/AD95</f>
        <v>0.373670525632824</v>
      </c>
      <c r="AL95" s="26" t="n">
        <f aca="false">AA95/AE95</f>
        <v>0.596603769941322</v>
      </c>
      <c r="AM95" s="23" t="s">
        <v>45</v>
      </c>
    </row>
    <row r="96" s="23" customFormat="true" ht="14.25" hidden="false" customHeight="false" outlineLevel="0" collapsed="false">
      <c r="A96" s="20" t="n">
        <v>501</v>
      </c>
      <c r="B96" s="21" t="s">
        <v>38</v>
      </c>
      <c r="C96" s="21" t="s">
        <v>39</v>
      </c>
      <c r="D96" s="21" t="n">
        <v>115</v>
      </c>
      <c r="E96" s="21" t="s">
        <v>44</v>
      </c>
      <c r="F96" s="21" t="n">
        <v>1</v>
      </c>
      <c r="G96" s="21" t="n">
        <v>23</v>
      </c>
      <c r="H96" s="21" t="n">
        <v>25</v>
      </c>
      <c r="I96" s="22" t="str">
        <f aca="false">_xlfn.CONCAT(B96, "-", C96,"-", D96,"-", F96)</f>
        <v>M0111-B-115-1</v>
      </c>
      <c r="J96" s="23" t="str">
        <f aca="false">_xlfn.CONCAT(A96, "-", I96, ",",G96, "-",H96)</f>
        <v>501-M0111-B-115-1,23-25</v>
      </c>
      <c r="K96" s="22" t="n">
        <f aca="false">VLOOKUP(I96, 'Depth vlookup'!$G$2:$I$997,2,FALSE())+(G96/100)</f>
        <v>285.16</v>
      </c>
      <c r="L96" s="28" t="n">
        <f aca="false">K96+2/100</f>
        <v>285.18</v>
      </c>
      <c r="M96" s="21" t="n">
        <v>249</v>
      </c>
      <c r="N96" s="24" t="n">
        <f aca="false">VLOOKUP(M96,  Beakers!$A$2:$B$151, 2, 0)</f>
        <v>9.9565</v>
      </c>
      <c r="O96" s="21" t="n">
        <v>20.6576</v>
      </c>
      <c r="P96" s="25" t="n">
        <v>46044.8305555556</v>
      </c>
      <c r="Q96" s="21" t="n">
        <v>18.6956</v>
      </c>
      <c r="R96" s="22" t="s">
        <v>41</v>
      </c>
      <c r="S96" s="22" t="n">
        <v>1</v>
      </c>
      <c r="T96" s="21" t="n">
        <v>7.6588</v>
      </c>
      <c r="U96" s="22"/>
      <c r="V96" s="26" t="n">
        <f aca="false">O96-N96</f>
        <v>10.7011</v>
      </c>
      <c r="W96" s="26" t="n">
        <f aca="false">Q96-N96</f>
        <v>8.7391</v>
      </c>
      <c r="X96" s="26" t="n">
        <f aca="false">(V96-W96)/(1-35/1000)</f>
        <v>2.03316062176166</v>
      </c>
      <c r="Y96" s="26" t="n">
        <f aca="false">X96-(V96-W96)</f>
        <v>0.0711606217616581</v>
      </c>
      <c r="Z96" s="26" t="n">
        <f aca="false">W96-Y96</f>
        <v>8.66793937823834</v>
      </c>
      <c r="AA96" s="26" t="n">
        <f aca="false">X96/1.024</f>
        <v>1.98550841968912</v>
      </c>
      <c r="AB96" s="26" t="n">
        <f aca="false">Y96/2.22</f>
        <v>0.032054334126873</v>
      </c>
      <c r="AC96" s="26" t="n">
        <f aca="false">T96-VLOOKUP(M96, Beakers!$A$2:$C$151, 3, 0)</f>
        <v>3.19400179372197</v>
      </c>
      <c r="AD96" s="26" t="n">
        <f aca="false">AC96-AB96+AA96</f>
        <v>5.14745587928422</v>
      </c>
      <c r="AE96" s="26" t="n">
        <f aca="false">AC96-AB96</f>
        <v>3.1619474595951</v>
      </c>
      <c r="AF96" s="26" t="n">
        <f aca="false">X96/V96</f>
        <v>0.189995479134076</v>
      </c>
      <c r="AG96" s="26" t="n">
        <f aca="false">X96/Z96</f>
        <v>0.2345610107595</v>
      </c>
      <c r="AH96" s="26" t="n">
        <f aca="false">V96/AD96</f>
        <v>2.07891048528774</v>
      </c>
      <c r="AI96" s="26" t="n">
        <f aca="false">Z96/AD96</f>
        <v>1.68392689155864</v>
      </c>
      <c r="AJ96" s="26" t="n">
        <f aca="false">Z96/AE96</f>
        <v>2.74132935129425</v>
      </c>
      <c r="AK96" s="26" t="n">
        <f aca="false">AA96/AD96</f>
        <v>0.385726165751073</v>
      </c>
      <c r="AL96" s="26" t="n">
        <f aca="false">AA96/AE96</f>
        <v>0.62793846041432</v>
      </c>
      <c r="AM96" s="23" t="s">
        <v>45</v>
      </c>
    </row>
    <row r="97" customFormat="false" ht="14.25" hidden="false" customHeight="false" outlineLevel="0" collapsed="false">
      <c r="A97" s="20" t="n">
        <v>501</v>
      </c>
      <c r="B97" s="21" t="s">
        <v>38</v>
      </c>
      <c r="C97" s="21" t="s">
        <v>39</v>
      </c>
      <c r="D97" s="2" t="n">
        <v>116</v>
      </c>
      <c r="E97" s="21" t="s">
        <v>44</v>
      </c>
      <c r="F97" s="21" t="n">
        <v>1</v>
      </c>
      <c r="G97" s="2" t="n">
        <v>38</v>
      </c>
      <c r="H97" s="2" t="n">
        <v>40</v>
      </c>
      <c r="I97" s="3" t="str">
        <f aca="false">_xlfn.CONCAT(B97, "-", C97,"-", D97,"-", F97)</f>
        <v>M0111-B-116-1</v>
      </c>
      <c r="J97" s="9" t="str">
        <f aca="false">_xlfn.CONCAT(A97, "-", I97, ",",G97, "-",H97)</f>
        <v>501-M0111-B-116-1,38-40</v>
      </c>
      <c r="K97" s="3" t="n">
        <f aca="false">VLOOKUP(I97, 'Depth vlookup'!$G$2:$I$997,2,FALSE())+(G97/100)</f>
        <v>288.37</v>
      </c>
      <c r="L97" s="28" t="n">
        <f aca="false">K97+2/100</f>
        <v>288.39</v>
      </c>
      <c r="M97" s="2" t="n">
        <v>200</v>
      </c>
      <c r="N97" s="4" t="n">
        <f aca="false">VLOOKUP(M97,  Beakers!$A$2:$B$151, 2, 0)</f>
        <v>9.6303</v>
      </c>
      <c r="O97" s="2" t="n">
        <v>18.3376</v>
      </c>
      <c r="P97" s="6" t="n">
        <v>46044.8902777778</v>
      </c>
      <c r="Q97" s="2" t="n">
        <v>16.3843</v>
      </c>
      <c r="R97" s="3" t="s">
        <v>43</v>
      </c>
      <c r="S97" s="3" t="n">
        <v>5</v>
      </c>
      <c r="T97" s="2" t="n">
        <v>6.9037</v>
      </c>
      <c r="V97" s="31" t="n">
        <f aca="false">O97-N97</f>
        <v>8.7073</v>
      </c>
      <c r="W97" s="26" t="n">
        <f aca="false">Q97-N97</f>
        <v>6.754</v>
      </c>
      <c r="X97" s="26" t="n">
        <f aca="false">(V97-W97)/(1-35/1000)</f>
        <v>2.02414507772021</v>
      </c>
      <c r="Y97" s="26" t="n">
        <f aca="false">X97-(V97-W97)</f>
        <v>0.0708450777202074</v>
      </c>
      <c r="Z97" s="31" t="n">
        <f aca="false">W97-Y97</f>
        <v>6.68315492227979</v>
      </c>
      <c r="AA97" s="31" t="n">
        <f aca="false">X97/1.024</f>
        <v>1.97670417746114</v>
      </c>
      <c r="AB97" s="31" t="n">
        <f aca="false">Y97/2.22</f>
        <v>0.0319121971712646</v>
      </c>
      <c r="AC97" s="31" t="n">
        <f aca="false">T97-VLOOKUP(M97, Beakers!$A$2:$C$151, 3, 0)</f>
        <v>2.5851798206278</v>
      </c>
      <c r="AD97" s="31" t="n">
        <f aca="false">AC97-AB97+AA97</f>
        <v>4.52997180091768</v>
      </c>
      <c r="AE97" s="31" t="n">
        <f aca="false">AC97-AB97</f>
        <v>2.55326762345654</v>
      </c>
      <c r="AF97" s="31" t="n">
        <f aca="false">X97/V97</f>
        <v>0.23246529667293</v>
      </c>
      <c r="AG97" s="26" t="n">
        <f aca="false">X97/Z97</f>
        <v>0.302872685319963</v>
      </c>
      <c r="AH97" s="26" t="n">
        <f aca="false">V97/AD97</f>
        <v>1.92215324568601</v>
      </c>
      <c r="AI97" s="26" t="n">
        <f aca="false">Z97/AD97</f>
        <v>1.47531932117677</v>
      </c>
      <c r="AJ97" s="26" t="n">
        <f aca="false">Z97/AE97</f>
        <v>2.61749095977348</v>
      </c>
      <c r="AK97" s="26" t="n">
        <f aca="false">AA97/AD97</f>
        <v>0.436361254403549</v>
      </c>
      <c r="AL97" s="26" t="n">
        <f aca="false">AA97/AE97</f>
        <v>0.774186050573553</v>
      </c>
      <c r="AM97" s="9" t="s">
        <v>42</v>
      </c>
    </row>
    <row r="98" customFormat="false" ht="14.25" hidden="false" customHeight="false" outlineLevel="0" collapsed="false">
      <c r="A98" s="20" t="n">
        <v>501</v>
      </c>
      <c r="B98" s="21" t="s">
        <v>38</v>
      </c>
      <c r="C98" s="21" t="s">
        <v>39</v>
      </c>
      <c r="D98" s="2" t="n">
        <v>117</v>
      </c>
      <c r="E98" s="21" t="s">
        <v>44</v>
      </c>
      <c r="F98" s="21" t="n">
        <v>1</v>
      </c>
      <c r="G98" s="2" t="n">
        <v>38</v>
      </c>
      <c r="H98" s="2" t="n">
        <v>40</v>
      </c>
      <c r="I98" s="3" t="str">
        <f aca="false">_xlfn.CONCAT(B98, "-", C98,"-", D98,"-", F98)</f>
        <v>M0111-B-117-1</v>
      </c>
      <c r="J98" s="9" t="str">
        <f aca="false">_xlfn.CONCAT(A98, "-", I98, ",",G98, "-",H98)</f>
        <v>501-M0111-B-117-1,38-40</v>
      </c>
      <c r="K98" s="3" t="n">
        <f aca="false">VLOOKUP(I98, 'Depth vlookup'!$G$2:$I$997,2,FALSE())+(G98/100)</f>
        <v>289.71</v>
      </c>
      <c r="L98" s="28" t="n">
        <f aca="false">K98+2/100</f>
        <v>289.73</v>
      </c>
      <c r="M98" s="2" t="n">
        <v>201</v>
      </c>
      <c r="N98" s="4" t="n">
        <f aca="false">VLOOKUP(M98,  Beakers!$A$2:$B$151, 2, 0)</f>
        <v>9.7538</v>
      </c>
      <c r="O98" s="2" t="n">
        <v>19.4399</v>
      </c>
      <c r="P98" s="6" t="n">
        <v>46044.8902777778</v>
      </c>
      <c r="Q98" s="2" t="n">
        <v>17.6063</v>
      </c>
      <c r="R98" s="3" t="s">
        <v>43</v>
      </c>
      <c r="S98" s="3" t="n">
        <v>1</v>
      </c>
      <c r="T98" s="2" t="n">
        <v>7.3386</v>
      </c>
      <c r="V98" s="31" t="n">
        <f aca="false">O98-N98</f>
        <v>9.6861</v>
      </c>
      <c r="W98" s="26" t="n">
        <f aca="false">Q98-N98</f>
        <v>7.8525</v>
      </c>
      <c r="X98" s="26" t="n">
        <f aca="false">(V98-W98)/(1-35/1000)</f>
        <v>1.90010362694301</v>
      </c>
      <c r="Y98" s="26" t="n">
        <f aca="false">X98-(V98-W98)</f>
        <v>0.0665036269430053</v>
      </c>
      <c r="Z98" s="31" t="n">
        <f aca="false">W98-Y98</f>
        <v>7.785996373057</v>
      </c>
      <c r="AA98" s="31" t="n">
        <f aca="false">X98/1.024</f>
        <v>1.85556994818653</v>
      </c>
      <c r="AB98" s="31" t="n">
        <f aca="false">Y98/2.22</f>
        <v>0.0299565887130654</v>
      </c>
      <c r="AC98" s="31" t="n">
        <f aca="false">T98-VLOOKUP(M98, Beakers!$A$2:$C$151, 3, 0)</f>
        <v>2.96469865470852</v>
      </c>
      <c r="AD98" s="31" t="n">
        <f aca="false">AC98-AB98+AA98</f>
        <v>4.79031201418198</v>
      </c>
      <c r="AE98" s="31" t="n">
        <f aca="false">AC98-AB98</f>
        <v>2.93474206599545</v>
      </c>
      <c r="AF98" s="31" t="n">
        <f aca="false">X98/V98</f>
        <v>0.196168078684198</v>
      </c>
      <c r="AG98" s="26" t="n">
        <f aca="false">X98/Z98</f>
        <v>0.244041165176779</v>
      </c>
      <c r="AH98" s="26" t="n">
        <f aca="false">V98/AD98</f>
        <v>2.02201860156995</v>
      </c>
      <c r="AI98" s="26" t="n">
        <f aca="false">Z98/AD98</f>
        <v>1.62536309743627</v>
      </c>
      <c r="AJ98" s="26" t="n">
        <f aca="false">Z98/AE98</f>
        <v>2.65304282215208</v>
      </c>
      <c r="AK98" s="26" t="n">
        <f aca="false">AA98/AD98</f>
        <v>0.387358890755552</v>
      </c>
      <c r="AL98" s="26" t="n">
        <f aca="false">AA98/AE98</f>
        <v>0.632277013263558</v>
      </c>
      <c r="AM98" s="9" t="s">
        <v>45</v>
      </c>
    </row>
    <row r="99" customFormat="false" ht="14.25" hidden="false" customHeight="false" outlineLevel="0" collapsed="false">
      <c r="A99" s="20" t="n">
        <v>501</v>
      </c>
      <c r="B99" s="21" t="s">
        <v>38</v>
      </c>
      <c r="C99" s="21" t="s">
        <v>39</v>
      </c>
      <c r="D99" s="2" t="n">
        <v>119</v>
      </c>
      <c r="E99" s="21" t="s">
        <v>44</v>
      </c>
      <c r="F99" s="21" t="n">
        <v>1</v>
      </c>
      <c r="G99" s="2" t="n">
        <v>48</v>
      </c>
      <c r="H99" s="2" t="n">
        <v>50</v>
      </c>
      <c r="I99" s="3" t="str">
        <f aca="false">_xlfn.CONCAT(B99, "-", C99,"-", D99,"-", F99)</f>
        <v>M0111-B-119-1</v>
      </c>
      <c r="J99" s="9" t="str">
        <f aca="false">_xlfn.CONCAT(A99, "-", I99, ",",G99, "-",H99)</f>
        <v>501-M0111-B-119-1,48-50</v>
      </c>
      <c r="K99" s="3" t="n">
        <f aca="false">VLOOKUP(I99, 'Depth vlookup'!$G$2:$I$997,2,FALSE())+(G99/100)</f>
        <v>293.31</v>
      </c>
      <c r="L99" s="28" t="n">
        <f aca="false">K99+2/100</f>
        <v>293.33</v>
      </c>
      <c r="M99" s="2" t="n">
        <v>202</v>
      </c>
      <c r="N99" s="4" t="n">
        <f aca="false">VLOOKUP(M99,  Beakers!$A$2:$B$151, 2, 0)</f>
        <v>9.9245</v>
      </c>
      <c r="O99" s="2" t="n">
        <v>19.3689</v>
      </c>
      <c r="P99" s="6" t="n">
        <v>46044.8902777778</v>
      </c>
      <c r="Q99" s="2" t="n">
        <v>17.4617</v>
      </c>
      <c r="R99" s="3" t="s">
        <v>43</v>
      </c>
      <c r="S99" s="3" t="n">
        <v>2</v>
      </c>
      <c r="T99" s="2" t="n">
        <v>7.2874</v>
      </c>
      <c r="V99" s="31" t="n">
        <f aca="false">O99-N99</f>
        <v>9.4444</v>
      </c>
      <c r="W99" s="26" t="n">
        <f aca="false">Q99-N99</f>
        <v>7.5372</v>
      </c>
      <c r="X99" s="26" t="n">
        <f aca="false">(V99-W99)/(1-35/1000)</f>
        <v>1.97637305699482</v>
      </c>
      <c r="Y99" s="26" t="n">
        <f aca="false">X99-(V99-W99)</f>
        <v>0.0691730569948188</v>
      </c>
      <c r="Z99" s="31" t="n">
        <f aca="false">W99-Y99</f>
        <v>7.46802694300518</v>
      </c>
      <c r="AA99" s="31" t="n">
        <f aca="false">X99/1.024</f>
        <v>1.9300518134715</v>
      </c>
      <c r="AB99" s="31" t="n">
        <f aca="false">Y99/2.22</f>
        <v>0.0311590346823508</v>
      </c>
      <c r="AC99" s="31" t="n">
        <f aca="false">T99-VLOOKUP(M99, Beakers!$A$2:$C$151, 3, 0)</f>
        <v>2.83695156950673</v>
      </c>
      <c r="AD99" s="31" t="n">
        <f aca="false">AC99-AB99+AA99</f>
        <v>4.73584434829588</v>
      </c>
      <c r="AE99" s="31" t="n">
        <f aca="false">AC99-AB99</f>
        <v>2.80579253482438</v>
      </c>
      <c r="AF99" s="31" t="n">
        <f aca="false">X99/V99</f>
        <v>0.209264014335989</v>
      </c>
      <c r="AG99" s="26" t="n">
        <f aca="false">X99/Z99</f>
        <v>0.264644607213952</v>
      </c>
      <c r="AH99" s="26" t="n">
        <f aca="false">V99/AD99</f>
        <v>1.99423783921413</v>
      </c>
      <c r="AI99" s="26" t="n">
        <f aca="false">Z99/AD99</f>
        <v>1.57691562343945</v>
      </c>
      <c r="AJ99" s="26" t="n">
        <f aca="false">Z99/AE99</f>
        <v>2.66164616603509</v>
      </c>
      <c r="AK99" s="26" t="n">
        <f aca="false">AA99/AD99</f>
        <v>0.407541226342458</v>
      </c>
      <c r="AL99" s="26" t="n">
        <f aca="false">AA99/AE99</f>
        <v>0.687881156399296</v>
      </c>
      <c r="AM99" s="9" t="s">
        <v>42</v>
      </c>
    </row>
    <row r="100" customFormat="false" ht="14.25" hidden="false" customHeight="false" outlineLevel="0" collapsed="false">
      <c r="A100" s="20" t="n">
        <v>501</v>
      </c>
      <c r="B100" s="21" t="s">
        <v>38</v>
      </c>
      <c r="C100" s="21" t="s">
        <v>39</v>
      </c>
      <c r="D100" s="2" t="n">
        <v>120</v>
      </c>
      <c r="E100" s="21" t="s">
        <v>44</v>
      </c>
      <c r="F100" s="21" t="n">
        <v>1</v>
      </c>
      <c r="G100" s="2" t="n">
        <v>38</v>
      </c>
      <c r="H100" s="2" t="n">
        <v>40</v>
      </c>
      <c r="I100" s="3" t="str">
        <f aca="false">_xlfn.CONCAT(B100, "-", C100,"-", D100,"-", F100)</f>
        <v>M0111-B-120-1</v>
      </c>
      <c r="J100" s="9" t="str">
        <f aca="false">_xlfn.CONCAT(A100, "-", I100, ",",G100, "-",H100)</f>
        <v>501-M0111-B-120-1,38-40</v>
      </c>
      <c r="K100" s="3" t="n">
        <f aca="false">VLOOKUP(I100, 'Depth vlookup'!$G$2:$I$997,2,FALSE())+(G100/100)</f>
        <v>296.01</v>
      </c>
      <c r="L100" s="28" t="n">
        <f aca="false">K100+2/100</f>
        <v>296.03</v>
      </c>
      <c r="M100" s="2" t="n">
        <v>203</v>
      </c>
      <c r="N100" s="4" t="n">
        <f aca="false">VLOOKUP(M100,  Beakers!$A$2:$B$151, 2, 0)</f>
        <v>10.0562</v>
      </c>
      <c r="O100" s="2" t="n">
        <v>20.397</v>
      </c>
      <c r="P100" s="6" t="n">
        <v>46044.9270833333</v>
      </c>
      <c r="Q100" s="2" t="n">
        <v>18.1989</v>
      </c>
      <c r="R100" s="3" t="s">
        <v>43</v>
      </c>
      <c r="S100" s="3" t="n">
        <v>1</v>
      </c>
      <c r="T100" s="2" t="n">
        <v>7.6232</v>
      </c>
      <c r="V100" s="31" t="n">
        <f aca="false">O100-N100</f>
        <v>10.3408</v>
      </c>
      <c r="W100" s="26" t="n">
        <f aca="false">Q100-N100</f>
        <v>8.1427</v>
      </c>
      <c r="X100" s="26" t="n">
        <f aca="false">(V100-W100)/(1-35/1000)</f>
        <v>2.27782383419689</v>
      </c>
      <c r="Y100" s="26" t="n">
        <f aca="false">X100-(V100-W100)</f>
        <v>0.0797238341968911</v>
      </c>
      <c r="Z100" s="31" t="n">
        <f aca="false">W100-Y100</f>
        <v>8.06297616580311</v>
      </c>
      <c r="AA100" s="31" t="n">
        <f aca="false">X100/1.024</f>
        <v>2.2244373380829</v>
      </c>
      <c r="AB100" s="31" t="n">
        <f aca="false">Y100/2.22</f>
        <v>0.0359116370256266</v>
      </c>
      <c r="AC100" s="31" t="n">
        <f aca="false">T100-VLOOKUP(M100, Beakers!$A$2:$C$151, 3, 0)</f>
        <v>3.1136932735426</v>
      </c>
      <c r="AD100" s="31" t="n">
        <f aca="false">AC100-AB100+AA100</f>
        <v>5.30221897459988</v>
      </c>
      <c r="AE100" s="31" t="n">
        <f aca="false">AC100-AB100</f>
        <v>3.07778163651697</v>
      </c>
      <c r="AF100" s="31" t="n">
        <f aca="false">X100/V100</f>
        <v>0.2202753978606</v>
      </c>
      <c r="AG100" s="26" t="n">
        <f aca="false">X100/Z100</f>
        <v>0.282504101135466</v>
      </c>
      <c r="AH100" s="26" t="n">
        <f aca="false">V100/AD100</f>
        <v>1.9502778081285</v>
      </c>
      <c r="AI100" s="26" t="n">
        <f aca="false">Z100/AD100</f>
        <v>1.5206795880043</v>
      </c>
      <c r="AJ100" s="26" t="n">
        <f aca="false">Z100/AE100</f>
        <v>2.61973626398256</v>
      </c>
      <c r="AK100" s="26" t="n">
        <f aca="false">AA100/AD100</f>
        <v>0.419529511840043</v>
      </c>
      <c r="AL100" s="26" t="n">
        <f aca="false">AA100/AE100</f>
        <v>0.722740467254274</v>
      </c>
      <c r="AM100" s="9" t="s">
        <v>42</v>
      </c>
    </row>
    <row r="101" customFormat="false" ht="14.25" hidden="false" customHeight="false" outlineLevel="0" collapsed="false">
      <c r="A101" s="20" t="n">
        <v>501</v>
      </c>
      <c r="B101" s="21" t="s">
        <v>38</v>
      </c>
      <c r="C101" s="21" t="s">
        <v>39</v>
      </c>
      <c r="D101" s="2" t="n">
        <v>121</v>
      </c>
      <c r="E101" s="21" t="s">
        <v>44</v>
      </c>
      <c r="F101" s="21" t="n">
        <v>1</v>
      </c>
      <c r="G101" s="2" t="n">
        <v>45</v>
      </c>
      <c r="H101" s="2" t="n">
        <v>47</v>
      </c>
      <c r="I101" s="3" t="str">
        <f aca="false">_xlfn.CONCAT(B101, "-", C101,"-", D101,"-", F101)</f>
        <v>M0111-B-121-1</v>
      </c>
      <c r="J101" s="9" t="str">
        <f aca="false">_xlfn.CONCAT(A101, "-", I101, ",",G101, "-",H101)</f>
        <v>501-M0111-B-121-1,45-47</v>
      </c>
      <c r="K101" s="3" t="n">
        <f aca="false">VLOOKUP(I101, 'Depth vlookup'!$G$2:$I$997,2,FALSE())+(G101/100)</f>
        <v>299.13</v>
      </c>
      <c r="L101" s="28" t="n">
        <f aca="false">K101+2/100</f>
        <v>299.15</v>
      </c>
      <c r="M101" s="2" t="n">
        <v>204</v>
      </c>
      <c r="N101" s="4" t="n">
        <f aca="false">VLOOKUP(M101,  Beakers!$A$2:$B$151, 2, 0)</f>
        <v>9.9425</v>
      </c>
      <c r="O101" s="2" t="n">
        <v>18.5939</v>
      </c>
      <c r="P101" s="6" t="n">
        <v>46044.9270833333</v>
      </c>
      <c r="Q101" s="2" t="n">
        <v>16.4969</v>
      </c>
      <c r="R101" s="3" t="s">
        <v>43</v>
      </c>
      <c r="S101" s="3" t="n">
        <v>2</v>
      </c>
      <c r="T101" s="2" t="n">
        <v>7.0216</v>
      </c>
      <c r="V101" s="31" t="n">
        <f aca="false">O101-N101</f>
        <v>8.6514</v>
      </c>
      <c r="W101" s="26" t="n">
        <f aca="false">Q101-N101</f>
        <v>6.5544</v>
      </c>
      <c r="X101" s="26" t="n">
        <f aca="false">(V101-W101)/(1-35/1000)</f>
        <v>2.17305699481865</v>
      </c>
      <c r="Y101" s="26" t="n">
        <f aca="false">X101-(V101-W101)</f>
        <v>0.0760569948186531</v>
      </c>
      <c r="Z101" s="31" t="n">
        <f aca="false">W101-Y101</f>
        <v>6.47834300518135</v>
      </c>
      <c r="AA101" s="31" t="n">
        <f aca="false">X101/1.024</f>
        <v>2.12212597150259</v>
      </c>
      <c r="AB101" s="31" t="n">
        <f aca="false">Y101/2.22</f>
        <v>0.0342599075759699</v>
      </c>
      <c r="AC101" s="31" t="n">
        <f aca="false">T101-VLOOKUP(M101, Beakers!$A$2:$C$151, 3, 0)</f>
        <v>2.5630798206278</v>
      </c>
      <c r="AD101" s="31" t="n">
        <f aca="false">AC101-AB101+AA101</f>
        <v>4.65094588455442</v>
      </c>
      <c r="AE101" s="31" t="n">
        <f aca="false">AC101-AB101</f>
        <v>2.52881991305183</v>
      </c>
      <c r="AF101" s="31" t="n">
        <f aca="false">X101/V101</f>
        <v>0.251179808449344</v>
      </c>
      <c r="AG101" s="26" t="n">
        <f aca="false">X101/Z101</f>
        <v>0.335434075207295</v>
      </c>
      <c r="AH101" s="26" t="n">
        <f aca="false">V101/AD101</f>
        <v>1.8601377471905</v>
      </c>
      <c r="AI101" s="26" t="n">
        <f aca="false">Z101/AD101</f>
        <v>1.3929087041618</v>
      </c>
      <c r="AJ101" s="26" t="n">
        <f aca="false">Z101/AE101</f>
        <v>2.56180480537388</v>
      </c>
      <c r="AK101" s="26" t="n">
        <f aca="false">AA101/AD101</f>
        <v>0.456278362332719</v>
      </c>
      <c r="AL101" s="26" t="n">
        <f aca="false">AA101/AE101</f>
        <v>0.839176392336126</v>
      </c>
      <c r="AM101" s="9" t="s">
        <v>45</v>
      </c>
    </row>
    <row r="102" customFormat="false" ht="14.25" hidden="false" customHeight="false" outlineLevel="0" collapsed="false">
      <c r="A102" s="20" t="n">
        <v>501</v>
      </c>
      <c r="B102" s="21" t="s">
        <v>38</v>
      </c>
      <c r="C102" s="21" t="s">
        <v>39</v>
      </c>
      <c r="D102" s="2" t="n">
        <v>122</v>
      </c>
      <c r="E102" s="21" t="s">
        <v>44</v>
      </c>
      <c r="F102" s="21" t="n">
        <v>1</v>
      </c>
      <c r="G102" s="2" t="n">
        <v>38</v>
      </c>
      <c r="H102" s="2" t="n">
        <v>40</v>
      </c>
      <c r="I102" s="3" t="str">
        <f aca="false">_xlfn.CONCAT(B102, "-", C102,"-", D102,"-", F102)</f>
        <v>M0111-B-122-1</v>
      </c>
      <c r="J102" s="9" t="str">
        <f aca="false">_xlfn.CONCAT(A102, "-", I102, ",",G102, "-",H102)</f>
        <v>501-M0111-B-122-1,38-40</v>
      </c>
      <c r="K102" s="3" t="n">
        <f aca="false">VLOOKUP(I102, 'Depth vlookup'!$G$2:$I$997,2,FALSE())+(G102/100)</f>
        <v>301.52</v>
      </c>
      <c r="L102" s="28" t="n">
        <f aca="false">K102+2/100</f>
        <v>301.54</v>
      </c>
      <c r="M102" s="2" t="n">
        <v>205</v>
      </c>
      <c r="N102" s="4" t="n">
        <f aca="false">VLOOKUP(M102,  Beakers!$A$2:$B$151, 2, 0)</f>
        <v>9.6086</v>
      </c>
      <c r="O102" s="2" t="n">
        <v>17.1372</v>
      </c>
      <c r="P102" s="6" t="n">
        <v>46044.9270833333</v>
      </c>
      <c r="Q102" s="2" t="n">
        <v>15.6331</v>
      </c>
      <c r="R102" s="3" t="s">
        <v>43</v>
      </c>
      <c r="S102" s="3" t="n">
        <v>3</v>
      </c>
      <c r="T102" s="2" t="n">
        <v>6.5851</v>
      </c>
      <c r="V102" s="31" t="n">
        <f aca="false">O102-N102</f>
        <v>7.5286</v>
      </c>
      <c r="W102" s="26" t="n">
        <f aca="false">Q102-N102</f>
        <v>6.0245</v>
      </c>
      <c r="X102" s="26" t="n">
        <f aca="false">(V102-W102)/(1-35/1000)</f>
        <v>1.55865284974093</v>
      </c>
      <c r="Y102" s="26" t="n">
        <f aca="false">X102-(V102-W102)</f>
        <v>0.0545528497409327</v>
      </c>
      <c r="Z102" s="31" t="n">
        <f aca="false">W102-Y102</f>
        <v>5.96994715025907</v>
      </c>
      <c r="AA102" s="31" t="n">
        <f aca="false">X102/1.024</f>
        <v>1.52212192357513</v>
      </c>
      <c r="AB102" s="31" t="n">
        <f aca="false">Y102/2.22</f>
        <v>0.0245733557391589</v>
      </c>
      <c r="AC102" s="31" t="n">
        <f aca="false">T102-VLOOKUP(M102, Beakers!$A$2:$C$151, 3, 0)</f>
        <v>2.27631076233184</v>
      </c>
      <c r="AD102" s="31" t="n">
        <f aca="false">AC102-AB102+AA102</f>
        <v>3.77385933016781</v>
      </c>
      <c r="AE102" s="31" t="n">
        <f aca="false">AC102-AB102</f>
        <v>2.25173740659268</v>
      </c>
      <c r="AF102" s="31" t="n">
        <f aca="false">X102/V102</f>
        <v>0.207030902125353</v>
      </c>
      <c r="AG102" s="26" t="n">
        <f aca="false">X102/Z102</f>
        <v>0.261083190606351</v>
      </c>
      <c r="AH102" s="26" t="n">
        <f aca="false">V102/AD102</f>
        <v>1.99493392342879</v>
      </c>
      <c r="AI102" s="26" t="n">
        <f aca="false">Z102/AD102</f>
        <v>1.58192095358086</v>
      </c>
      <c r="AJ102" s="26" t="n">
        <f aca="false">Z102/AE102</f>
        <v>2.65126259073555</v>
      </c>
      <c r="AK102" s="26" t="n">
        <f aca="false">AA102/AD102</f>
        <v>0.403332978367121</v>
      </c>
      <c r="AL102" s="26" t="n">
        <f aca="false">AA102/AE102</f>
        <v>0.675976656566894</v>
      </c>
      <c r="AM102" s="9" t="s">
        <v>45</v>
      </c>
    </row>
    <row r="103" customFormat="false" ht="14.25" hidden="false" customHeight="false" outlineLevel="0" collapsed="false">
      <c r="A103" s="20" t="n">
        <v>501</v>
      </c>
      <c r="B103" s="21" t="s">
        <v>38</v>
      </c>
      <c r="C103" s="21" t="s">
        <v>39</v>
      </c>
      <c r="D103" s="2" t="n">
        <v>125</v>
      </c>
      <c r="E103" s="21" t="s">
        <v>44</v>
      </c>
      <c r="F103" s="21" t="n">
        <v>1</v>
      </c>
      <c r="G103" s="2" t="n">
        <v>38</v>
      </c>
      <c r="H103" s="2" t="n">
        <v>40</v>
      </c>
      <c r="I103" s="3" t="str">
        <f aca="false">_xlfn.CONCAT(B103, "-", C103,"-", D103,"-", F103)</f>
        <v>M0111-B-125-1</v>
      </c>
      <c r="J103" s="9" t="str">
        <f aca="false">_xlfn.CONCAT(A103, "-", I103, ",",G103, "-",H103)</f>
        <v>501-M0111-B-125-1,38-40</v>
      </c>
      <c r="K103" s="3" t="n">
        <f aca="false">VLOOKUP(I103, 'Depth vlookup'!$G$2:$I$997,2,FALSE())+(G103/100)</f>
        <v>306.71</v>
      </c>
      <c r="L103" s="28" t="n">
        <f aca="false">K103+2/100</f>
        <v>306.73</v>
      </c>
      <c r="M103" s="2" t="n">
        <v>207</v>
      </c>
      <c r="N103" s="4" t="n">
        <f aca="false">VLOOKUP(M103,  Beakers!$A$2:$B$151, 2, 0)</f>
        <v>9.772</v>
      </c>
      <c r="O103" s="2" t="n">
        <v>20.4003</v>
      </c>
      <c r="P103" s="6" t="n">
        <v>46045.3555555556</v>
      </c>
      <c r="Q103" s="2" t="n">
        <v>18.7097</v>
      </c>
      <c r="R103" s="3" t="s">
        <v>43</v>
      </c>
      <c r="S103" s="3" t="n">
        <v>2</v>
      </c>
      <c r="T103" s="2" t="n">
        <v>7.7513</v>
      </c>
      <c r="V103" s="31" t="n">
        <f aca="false">O103-N103</f>
        <v>10.6283</v>
      </c>
      <c r="W103" s="26" t="n">
        <f aca="false">Q103-N103</f>
        <v>8.9377</v>
      </c>
      <c r="X103" s="26" t="n">
        <f aca="false">(V103-W103)/(1-35/1000)</f>
        <v>1.7519170984456</v>
      </c>
      <c r="Y103" s="26" t="n">
        <f aca="false">X103-(V103-W103)</f>
        <v>0.061317098445596</v>
      </c>
      <c r="Z103" s="31" t="n">
        <f aca="false">W103-Y103</f>
        <v>8.87638290155441</v>
      </c>
      <c r="AA103" s="31" t="n">
        <f aca="false">X103/1.024</f>
        <v>1.71085654145078</v>
      </c>
      <c r="AB103" s="31" t="n">
        <f aca="false">Y103/2.22</f>
        <v>0.0276203146151333</v>
      </c>
      <c r="AC103" s="31" t="n">
        <f aca="false">T103-VLOOKUP(M103, Beakers!$A$2:$C$151, 3, 0)</f>
        <v>3.36923721973094</v>
      </c>
      <c r="AD103" s="31" t="n">
        <f aca="false">AC103-AB103+AA103</f>
        <v>5.05247344656659</v>
      </c>
      <c r="AE103" s="31" t="n">
        <f aca="false">AC103-AB103</f>
        <v>3.34161690511581</v>
      </c>
      <c r="AF103" s="31" t="n">
        <f aca="false">X103/V103</f>
        <v>0.164835119299003</v>
      </c>
      <c r="AG103" s="26" t="n">
        <f aca="false">X103/Z103</f>
        <v>0.197368355767844</v>
      </c>
      <c r="AH103" s="26" t="n">
        <f aca="false">V103/AD103</f>
        <v>2.1035835442584</v>
      </c>
      <c r="AI103" s="26" t="n">
        <f aca="false">Z103/AD103</f>
        <v>1.75683909978515</v>
      </c>
      <c r="AJ103" s="26" t="n">
        <f aca="false">Z103/AE103</f>
        <v>2.65631374080171</v>
      </c>
      <c r="AK103" s="26" t="n">
        <f aca="false">AA103/AD103</f>
        <v>0.338617621555912</v>
      </c>
      <c r="AL103" s="26" t="n">
        <f aca="false">AA103/AE103</f>
        <v>0.511984643970277</v>
      </c>
      <c r="AM103" s="9" t="s">
        <v>42</v>
      </c>
    </row>
    <row r="104" customFormat="false" ht="14.25" hidden="false" customHeight="false" outlineLevel="0" collapsed="false">
      <c r="A104" s="20" t="n">
        <v>501</v>
      </c>
      <c r="B104" s="21" t="s">
        <v>38</v>
      </c>
      <c r="C104" s="21" t="s">
        <v>39</v>
      </c>
      <c r="D104" s="2" t="n">
        <v>126</v>
      </c>
      <c r="E104" s="21" t="s">
        <v>44</v>
      </c>
      <c r="F104" s="21" t="n">
        <v>1</v>
      </c>
      <c r="G104" s="2" t="n">
        <v>33</v>
      </c>
      <c r="H104" s="2" t="n">
        <v>35</v>
      </c>
      <c r="I104" s="3" t="str">
        <f aca="false">_xlfn.CONCAT(B104, "-", C104,"-", D104,"-", F104)</f>
        <v>M0111-B-126-1</v>
      </c>
      <c r="J104" s="9" t="str">
        <f aca="false">_xlfn.CONCAT(A104, "-", I104, ",",G104, "-",H104)</f>
        <v>501-M0111-B-126-1,33-35</v>
      </c>
      <c r="K104" s="3" t="n">
        <f aca="false">VLOOKUP(I104, 'Depth vlookup'!$G$2:$I$997,2,FALSE())+(G104/100)</f>
        <v>307.41</v>
      </c>
      <c r="L104" s="28" t="n">
        <f aca="false">K104+2/100</f>
        <v>307.43</v>
      </c>
      <c r="M104" s="2" t="n">
        <v>208</v>
      </c>
      <c r="N104" s="4" t="n">
        <f aca="false">VLOOKUP(M104,  Beakers!$A$2:$B$151, 2, 0)</f>
        <v>10.0436</v>
      </c>
      <c r="O104" s="2" t="n">
        <v>18.5306</v>
      </c>
      <c r="P104" s="6" t="n">
        <v>46045.3555555556</v>
      </c>
      <c r="Q104" s="2" t="n">
        <v>16.1489</v>
      </c>
      <c r="R104" s="3" t="s">
        <v>43</v>
      </c>
      <c r="S104" s="3" t="n">
        <v>3</v>
      </c>
      <c r="T104" s="2" t="n">
        <v>6.9479</v>
      </c>
      <c r="V104" s="31" t="n">
        <f aca="false">O104-N104</f>
        <v>8.487</v>
      </c>
      <c r="W104" s="26" t="n">
        <f aca="false">Q104-N104</f>
        <v>6.1053</v>
      </c>
      <c r="X104" s="26" t="n">
        <f aca="false">(V104-W104)/(1-35/1000)</f>
        <v>2.4680829015544</v>
      </c>
      <c r="Y104" s="26" t="n">
        <f aca="false">X104-(V104-W104)</f>
        <v>0.086382901554404</v>
      </c>
      <c r="Z104" s="31" t="n">
        <f aca="false">W104-Y104</f>
        <v>6.0189170984456</v>
      </c>
      <c r="AA104" s="31" t="n">
        <f aca="false">X104/1.024</f>
        <v>2.41023720854922</v>
      </c>
      <c r="AB104" s="31" t="n">
        <f aca="false">Y104/2.22</f>
        <v>0.0389112169163982</v>
      </c>
      <c r="AC104" s="31" t="n">
        <f aca="false">T104-VLOOKUP(M104, Beakers!$A$2:$C$151, 3, 0)</f>
        <v>2.44404349775785</v>
      </c>
      <c r="AD104" s="31" t="n">
        <f aca="false">AC104-AB104+AA104</f>
        <v>4.81536948939067</v>
      </c>
      <c r="AE104" s="31" t="n">
        <f aca="false">AC104-AB104</f>
        <v>2.40513228084145</v>
      </c>
      <c r="AF104" s="31" t="n">
        <f aca="false">X104/V104</f>
        <v>0.29080745864904</v>
      </c>
      <c r="AG104" s="26" t="n">
        <f aca="false">X104/Z104</f>
        <v>0.410054310632023</v>
      </c>
      <c r="AH104" s="26" t="n">
        <f aca="false">V104/AD104</f>
        <v>1.76248157461203</v>
      </c>
      <c r="AI104" s="26" t="n">
        <f aca="false">Z104/AD104</f>
        <v>1.24993878698335</v>
      </c>
      <c r="AJ104" s="26" t="n">
        <f aca="false">Z104/AE104</f>
        <v>2.50253058694129</v>
      </c>
      <c r="AK104" s="26" t="n">
        <f aca="false">AA104/AD104</f>
        <v>0.500530066043636</v>
      </c>
      <c r="AL104" s="26" t="n">
        <f aca="false">AA104/AE104</f>
        <v>1.00212251432008</v>
      </c>
      <c r="AM104" s="9" t="s">
        <v>45</v>
      </c>
    </row>
    <row r="105" customFormat="false" ht="14.25" hidden="false" customHeight="false" outlineLevel="0" collapsed="false">
      <c r="A105" s="20" t="n">
        <v>501</v>
      </c>
      <c r="B105" s="21" t="s">
        <v>38</v>
      </c>
      <c r="C105" s="21" t="s">
        <v>39</v>
      </c>
      <c r="D105" s="2" t="n">
        <v>127</v>
      </c>
      <c r="E105" s="21" t="s">
        <v>44</v>
      </c>
      <c r="F105" s="21" t="n">
        <v>1</v>
      </c>
      <c r="G105" s="2" t="n">
        <v>38</v>
      </c>
      <c r="H105" s="2" t="n">
        <v>40</v>
      </c>
      <c r="I105" s="3" t="str">
        <f aca="false">_xlfn.CONCAT(B105, "-", C105,"-", D105,"-", F105)</f>
        <v>M0111-B-127-1</v>
      </c>
      <c r="J105" s="9" t="str">
        <f aca="false">_xlfn.CONCAT(A105, "-", I105, ",",G105, "-",H105)</f>
        <v>501-M0111-B-127-1,38-40</v>
      </c>
      <c r="K105" s="3" t="n">
        <f aca="false">VLOOKUP(I105, 'Depth vlookup'!$G$2:$I$997,2,FALSE())+(G105/100)</f>
        <v>310.51</v>
      </c>
      <c r="L105" s="28" t="n">
        <f aca="false">K105+2/100</f>
        <v>310.53</v>
      </c>
      <c r="M105" s="2" t="n">
        <v>209</v>
      </c>
      <c r="N105" s="4" t="n">
        <f aca="false">VLOOKUP(M105,  Beakers!$A$2:$B$151, 2, 0)</f>
        <v>9.6794</v>
      </c>
      <c r="O105" s="2" t="n">
        <v>19.4734</v>
      </c>
      <c r="P105" s="6" t="n">
        <v>46045.3555555556</v>
      </c>
      <c r="Q105" s="2" t="n">
        <v>17.2522</v>
      </c>
      <c r="R105" s="3" t="s">
        <v>43</v>
      </c>
      <c r="S105" s="3" t="n">
        <v>5</v>
      </c>
      <c r="T105" s="2" t="n">
        <v>7.2672</v>
      </c>
      <c r="V105" s="31" t="n">
        <f aca="false">O105-N105</f>
        <v>9.794</v>
      </c>
      <c r="W105" s="26" t="n">
        <f aca="false">Q105-N105</f>
        <v>7.5728</v>
      </c>
      <c r="X105" s="26" t="n">
        <f aca="false">(V105-W105)/(1-35/1000)</f>
        <v>2.30176165803109</v>
      </c>
      <c r="Y105" s="26" t="n">
        <f aca="false">X105-(V105-W105)</f>
        <v>0.0805616580310882</v>
      </c>
      <c r="Z105" s="31" t="n">
        <f aca="false">W105-Y105</f>
        <v>7.49223834196891</v>
      </c>
      <c r="AA105" s="31" t="n">
        <f aca="false">X105/1.024</f>
        <v>2.24781411917099</v>
      </c>
      <c r="AB105" s="31" t="n">
        <f aca="false">Y105/2.22</f>
        <v>0.0362890351491388</v>
      </c>
      <c r="AC105" s="31" t="n">
        <f aca="false">T105-VLOOKUP(M105, Beakers!$A$2:$C$151, 3, 0)</f>
        <v>2.92666188340807</v>
      </c>
      <c r="AD105" s="31" t="n">
        <f aca="false">AC105-AB105+AA105</f>
        <v>5.13818696742992</v>
      </c>
      <c r="AE105" s="31" t="n">
        <f aca="false">AC105-AB105</f>
        <v>2.89037284825893</v>
      </c>
      <c r="AF105" s="31" t="n">
        <f aca="false">X105/V105</f>
        <v>0.23501752685635</v>
      </c>
      <c r="AG105" s="26" t="n">
        <f aca="false">X105/Z105</f>
        <v>0.307219492089223</v>
      </c>
      <c r="AH105" s="26" t="n">
        <f aca="false">V105/AD105</f>
        <v>1.90611981659727</v>
      </c>
      <c r="AI105" s="26" t="n">
        <f aca="false">Z105/AD105</f>
        <v>1.4581482514087</v>
      </c>
      <c r="AJ105" s="26" t="n">
        <f aca="false">Z105/AE105</f>
        <v>2.59213559471471</v>
      </c>
      <c r="AK105" s="26" t="n">
        <f aca="false">AA105/AD105</f>
        <v>0.437472231629462</v>
      </c>
      <c r="AL105" s="26" t="n">
        <f aca="false">AA105/AE105</f>
        <v>0.777690020346336</v>
      </c>
      <c r="AM105" s="9" t="s">
        <v>45</v>
      </c>
    </row>
    <row r="106" customFormat="false" ht="14.25" hidden="false" customHeight="false" outlineLevel="0" collapsed="false">
      <c r="A106" s="20" t="n">
        <v>501</v>
      </c>
      <c r="B106" s="21" t="s">
        <v>38</v>
      </c>
      <c r="C106" s="21" t="s">
        <v>39</v>
      </c>
      <c r="D106" s="2" t="n">
        <v>128</v>
      </c>
      <c r="E106" s="21" t="s">
        <v>44</v>
      </c>
      <c r="F106" s="21" t="n">
        <v>1</v>
      </c>
      <c r="G106" s="2" t="n">
        <v>41</v>
      </c>
      <c r="H106" s="2" t="n">
        <v>43</v>
      </c>
      <c r="I106" s="3" t="str">
        <f aca="false">_xlfn.CONCAT(B106, "-", C106,"-", D106,"-", F106)</f>
        <v>M0111-B-128-1</v>
      </c>
      <c r="J106" s="9" t="str">
        <f aca="false">_xlfn.CONCAT(A106, "-", I106, ",",G106, "-",H106)</f>
        <v>501-M0111-B-128-1,41-43</v>
      </c>
      <c r="K106" s="3" t="n">
        <f aca="false">VLOOKUP(I106, 'Depth vlookup'!$G$2:$I$997,2,FALSE())+(G106/100)</f>
        <v>314.7</v>
      </c>
      <c r="L106" s="28" t="n">
        <f aca="false">K106+2/100</f>
        <v>314.72</v>
      </c>
      <c r="M106" s="2" t="n">
        <v>230</v>
      </c>
      <c r="N106" s="4" t="n">
        <f aca="false">VLOOKUP(M106,  Beakers!$A$2:$B$151, 2, 0)</f>
        <v>9.805</v>
      </c>
      <c r="O106" s="2" t="n">
        <v>20.1222</v>
      </c>
      <c r="P106" s="6" t="n">
        <v>46045.4423611111</v>
      </c>
      <c r="Q106" s="2" t="n">
        <v>18.0108</v>
      </c>
      <c r="R106" s="3" t="s">
        <v>43</v>
      </c>
      <c r="S106" s="3" t="n">
        <v>3</v>
      </c>
      <c r="T106" s="2" t="n">
        <v>7.5028</v>
      </c>
      <c r="V106" s="31" t="n">
        <f aca="false">O106-N106</f>
        <v>10.3172</v>
      </c>
      <c r="W106" s="26" t="n">
        <f aca="false">Q106-N106</f>
        <v>8.2058</v>
      </c>
      <c r="X106" s="26" t="n">
        <f aca="false">(V106-W106)/(1-35/1000)</f>
        <v>2.1879792746114</v>
      </c>
      <c r="Y106" s="26" t="n">
        <f aca="false">X106-(V106-W106)</f>
        <v>0.0765792746113991</v>
      </c>
      <c r="Z106" s="31" t="n">
        <f aca="false">W106-Y106</f>
        <v>8.1292207253886</v>
      </c>
      <c r="AA106" s="31" t="n">
        <f aca="false">X106/1.024</f>
        <v>2.13669851036269</v>
      </c>
      <c r="AB106" s="31" t="n">
        <f aca="false">Y106/2.22</f>
        <v>0.0344951687438735</v>
      </c>
      <c r="AC106" s="31" t="n">
        <f aca="false">T106-VLOOKUP(M106, Beakers!$A$2:$C$151, 3, 0)</f>
        <v>3.10593901345291</v>
      </c>
      <c r="AD106" s="31" t="n">
        <f aca="false">AC106-AB106+AA106</f>
        <v>5.20814235507174</v>
      </c>
      <c r="AE106" s="31" t="n">
        <f aca="false">AC106-AB106</f>
        <v>3.07144384470904</v>
      </c>
      <c r="AF106" s="31" t="n">
        <f aca="false">X106/V106</f>
        <v>0.212071034254584</v>
      </c>
      <c r="AG106" s="26" t="n">
        <f aca="false">X106/Z106</f>
        <v>0.269149940507589</v>
      </c>
      <c r="AH106" s="26" t="n">
        <f aca="false">V106/AD106</f>
        <v>1.98097503804845</v>
      </c>
      <c r="AI106" s="26" t="n">
        <f aca="false">Z106/AD106</f>
        <v>1.560867612897</v>
      </c>
      <c r="AJ106" s="26" t="n">
        <f aca="false">Z106/AE106</f>
        <v>2.64670986558723</v>
      </c>
      <c r="AK106" s="26" t="n">
        <f aca="false">AA106/AD106</f>
        <v>0.410261157374463</v>
      </c>
      <c r="AL106" s="26" t="n">
        <f aca="false">AA106/AE106</f>
        <v>0.695665823109035</v>
      </c>
      <c r="AM106" s="9" t="s">
        <v>45</v>
      </c>
    </row>
    <row r="107" customFormat="false" ht="14.25" hidden="false" customHeight="false" outlineLevel="0" collapsed="false">
      <c r="A107" s="20" t="n">
        <v>501</v>
      </c>
      <c r="B107" s="21" t="s">
        <v>38</v>
      </c>
      <c r="C107" s="21" t="s">
        <v>39</v>
      </c>
      <c r="D107" s="2" t="n">
        <v>129</v>
      </c>
      <c r="E107" s="21" t="s">
        <v>44</v>
      </c>
      <c r="F107" s="21" t="n">
        <v>1</v>
      </c>
      <c r="G107" s="2" t="n">
        <v>46</v>
      </c>
      <c r="H107" s="2" t="n">
        <v>48</v>
      </c>
      <c r="I107" s="3" t="str">
        <f aca="false">_xlfn.CONCAT(B107, "-", C107,"-", D107,"-", F107)</f>
        <v>M0111-B-129-1</v>
      </c>
      <c r="J107" s="9" t="str">
        <f aca="false">_xlfn.CONCAT(A107, "-", I107, ",",G107, "-",H107)</f>
        <v>501-M0111-B-129-1,46-48</v>
      </c>
      <c r="K107" s="3" t="n">
        <f aca="false">VLOOKUP(I107, 'Depth vlookup'!$G$2:$I$997,2,FALSE())+(G107/100)</f>
        <v>316.29</v>
      </c>
      <c r="L107" s="28" t="n">
        <f aca="false">K107+2/100</f>
        <v>316.31</v>
      </c>
      <c r="M107" s="2" t="n">
        <v>231</v>
      </c>
      <c r="N107" s="4" t="n">
        <f aca="false">VLOOKUP(M107,  Beakers!$A$2:$B$151, 2, 0)</f>
        <v>9.8868</v>
      </c>
      <c r="O107" s="2" t="n">
        <v>20.9123</v>
      </c>
      <c r="P107" s="6" t="n">
        <v>46045.4423611111</v>
      </c>
      <c r="Q107" s="2" t="n">
        <v>18.6494</v>
      </c>
      <c r="R107" s="3" t="s">
        <v>43</v>
      </c>
      <c r="S107" s="3" t="n">
        <v>5</v>
      </c>
      <c r="T107" s="2" t="n">
        <v>7.6544</v>
      </c>
      <c r="V107" s="31" t="n">
        <f aca="false">O107-N107</f>
        <v>11.0255</v>
      </c>
      <c r="W107" s="26" t="n">
        <f aca="false">Q107-N107</f>
        <v>8.7626</v>
      </c>
      <c r="X107" s="26" t="n">
        <f aca="false">(V107-W107)/(1-35/1000)</f>
        <v>2.34497409326425</v>
      </c>
      <c r="Y107" s="26" t="n">
        <f aca="false">X107-(V107-W107)</f>
        <v>0.0820740932642488</v>
      </c>
      <c r="Z107" s="31" t="n">
        <f aca="false">W107-Y107</f>
        <v>8.68052590673575</v>
      </c>
      <c r="AA107" s="31" t="n">
        <f aca="false">X107/1.024</f>
        <v>2.29001376295337</v>
      </c>
      <c r="AB107" s="31" t="n">
        <f aca="false">Y107/2.22</f>
        <v>0.0369703122811931</v>
      </c>
      <c r="AC107" s="31" t="n">
        <f aca="false">T107-VLOOKUP(M107, Beakers!$A$2:$C$151, 3, 0)</f>
        <v>3.22085739910314</v>
      </c>
      <c r="AD107" s="31" t="n">
        <f aca="false">AC107-AB107+AA107</f>
        <v>5.47390084977531</v>
      </c>
      <c r="AE107" s="31" t="n">
        <f aca="false">AC107-AB107</f>
        <v>3.18388708682195</v>
      </c>
      <c r="AF107" s="31" t="n">
        <f aca="false">X107/V107</f>
        <v>0.212686417238606</v>
      </c>
      <c r="AG107" s="26" t="n">
        <f aca="false">X107/Z107</f>
        <v>0.270141938225729</v>
      </c>
      <c r="AH107" s="26" t="n">
        <f aca="false">V107/AD107</f>
        <v>2.01419432002546</v>
      </c>
      <c r="AI107" s="26" t="n">
        <f aca="false">Z107/AD107</f>
        <v>1.5858025464769</v>
      </c>
      <c r="AJ107" s="26" t="n">
        <f aca="false">Z107/AE107</f>
        <v>2.72639251016919</v>
      </c>
      <c r="AK107" s="26" t="n">
        <f aca="false">AA107/AD107</f>
        <v>0.418351341356021</v>
      </c>
      <c r="AL107" s="26" t="n">
        <f aca="false">AA107/AE107</f>
        <v>0.719250934630092</v>
      </c>
      <c r="AM107" s="9" t="s">
        <v>45</v>
      </c>
    </row>
    <row r="108" customFormat="false" ht="14.25" hidden="false" customHeight="false" outlineLevel="0" collapsed="false">
      <c r="A108" s="20" t="n">
        <v>501</v>
      </c>
      <c r="B108" s="21" t="s">
        <v>38</v>
      </c>
      <c r="C108" s="21" t="s">
        <v>39</v>
      </c>
      <c r="D108" s="2" t="n">
        <v>130</v>
      </c>
      <c r="E108" s="21" t="s">
        <v>44</v>
      </c>
      <c r="F108" s="21" t="n">
        <v>1</v>
      </c>
      <c r="G108" s="2" t="n">
        <v>77</v>
      </c>
      <c r="H108" s="2" t="n">
        <v>79</v>
      </c>
      <c r="I108" s="3" t="str">
        <f aca="false">_xlfn.CONCAT(B108, "-", C108,"-", D108,"-", F108)</f>
        <v>M0111-B-130-1</v>
      </c>
      <c r="J108" s="9" t="str">
        <f aca="false">_xlfn.CONCAT(A108, "-", I108, ",",G108, "-",H108)</f>
        <v>501-M0111-B-130-1,77-79</v>
      </c>
      <c r="K108" s="3" t="n">
        <f aca="false">VLOOKUP(I108, 'Depth vlookup'!$G$2:$I$997,2,FALSE())+(G108/100)</f>
        <v>319.65</v>
      </c>
      <c r="L108" s="28" t="n">
        <f aca="false">K108+2/100</f>
        <v>319.67</v>
      </c>
      <c r="M108" s="2" t="n">
        <v>232</v>
      </c>
      <c r="N108" s="4" t="n">
        <f aca="false">VLOOKUP(M108,  Beakers!$A$2:$B$151, 2, 0)</f>
        <v>9.8775</v>
      </c>
      <c r="O108" s="2" t="n">
        <v>18.2667</v>
      </c>
      <c r="P108" s="6" t="n">
        <v>46045.4423611111</v>
      </c>
      <c r="Q108" s="2" t="n">
        <v>16.4052</v>
      </c>
      <c r="R108" s="3" t="s">
        <v>43</v>
      </c>
      <c r="S108" s="3" t="n">
        <v>1</v>
      </c>
      <c r="T108" s="2" t="n">
        <v>6.9324</v>
      </c>
      <c r="V108" s="31" t="n">
        <f aca="false">O108-N108</f>
        <v>8.3892</v>
      </c>
      <c r="W108" s="26" t="n">
        <f aca="false">Q108-N108</f>
        <v>6.5277</v>
      </c>
      <c r="X108" s="26" t="n">
        <f aca="false">(V108-W108)/(1-35/1000)</f>
        <v>1.92901554404145</v>
      </c>
      <c r="Y108" s="26" t="n">
        <f aca="false">X108-(V108-W108)</f>
        <v>0.0675155440414508</v>
      </c>
      <c r="Z108" s="31" t="n">
        <f aca="false">W108-Y108</f>
        <v>6.46018445595855</v>
      </c>
      <c r="AA108" s="31" t="n">
        <f aca="false">X108/1.024</f>
        <v>1.88380424222798</v>
      </c>
      <c r="AB108" s="31" t="n">
        <f aca="false">Y108/2.22</f>
        <v>0.0304124072258787</v>
      </c>
      <c r="AC108" s="31" t="n">
        <f aca="false">T108-VLOOKUP(M108, Beakers!$A$2:$C$151, 3, 0)</f>
        <v>2.50302780269058</v>
      </c>
      <c r="AD108" s="31" t="n">
        <f aca="false">AC108-AB108+AA108</f>
        <v>4.35641963769268</v>
      </c>
      <c r="AE108" s="31" t="n">
        <f aca="false">AC108-AB108</f>
        <v>2.4726153954647</v>
      </c>
      <c r="AF108" s="31" t="n">
        <f aca="false">X108/V108</f>
        <v>0.229940345210682</v>
      </c>
      <c r="AG108" s="26" t="n">
        <f aca="false">X108/Z108</f>
        <v>0.29860069123293</v>
      </c>
      <c r="AH108" s="26" t="n">
        <f aca="false">V108/AD108</f>
        <v>1.92570980247514</v>
      </c>
      <c r="AI108" s="26" t="n">
        <f aca="false">Z108/AD108</f>
        <v>1.48291142571841</v>
      </c>
      <c r="AJ108" s="26" t="n">
        <f aca="false">Z108/AE108</f>
        <v>2.61269280609022</v>
      </c>
      <c r="AK108" s="26" t="n">
        <f aca="false">AA108/AD108</f>
        <v>0.432420289801492</v>
      </c>
      <c r="AL108" s="26" t="n">
        <f aca="false">AA108/AE108</f>
        <v>0.761867068240079</v>
      </c>
      <c r="AM108" s="9" t="s">
        <v>42</v>
      </c>
    </row>
    <row r="109" customFormat="false" ht="14.25" hidden="false" customHeight="false" outlineLevel="0" collapsed="false">
      <c r="A109" s="20" t="n">
        <v>501</v>
      </c>
      <c r="B109" s="21" t="s">
        <v>38</v>
      </c>
      <c r="C109" s="21" t="s">
        <v>39</v>
      </c>
      <c r="D109" s="2" t="n">
        <v>131</v>
      </c>
      <c r="E109" s="21" t="s">
        <v>44</v>
      </c>
      <c r="F109" s="21" t="n">
        <v>1</v>
      </c>
      <c r="G109" s="2" t="n">
        <v>38</v>
      </c>
      <c r="H109" s="2" t="n">
        <v>40</v>
      </c>
      <c r="I109" s="3" t="str">
        <f aca="false">_xlfn.CONCAT(B109, "-", C109,"-", D109,"-", F109)</f>
        <v>M0111-B-131-1</v>
      </c>
      <c r="J109" s="9" t="str">
        <f aca="false">_xlfn.CONCAT(A109, "-", I109, ",",G109, "-",H109)</f>
        <v>501-M0111-B-131-1,38-40</v>
      </c>
      <c r="K109" s="3" t="n">
        <f aca="false">VLOOKUP(I109, 'Depth vlookup'!$G$2:$I$997,2,FALSE())+(G109/100)</f>
        <v>322.31</v>
      </c>
      <c r="L109" s="28" t="n">
        <f aca="false">K109+2/100</f>
        <v>322.33</v>
      </c>
      <c r="M109" s="2" t="n">
        <v>233</v>
      </c>
      <c r="N109" s="4" t="n">
        <f aca="false">VLOOKUP(M109,  Beakers!$A$2:$B$151, 2, 0)</f>
        <v>9.9605</v>
      </c>
      <c r="O109" s="2" t="n">
        <v>17.9155</v>
      </c>
      <c r="P109" s="6" t="n">
        <v>46045.4770833333</v>
      </c>
      <c r="Q109" s="2" t="n">
        <v>16.4984</v>
      </c>
      <c r="R109" s="3" t="s">
        <v>43</v>
      </c>
      <c r="S109" s="3" t="n">
        <v>5</v>
      </c>
      <c r="T109" s="2" t="n">
        <v>6.9432</v>
      </c>
      <c r="V109" s="31" t="n">
        <f aca="false">O109-N109</f>
        <v>7.955</v>
      </c>
      <c r="W109" s="26" t="n">
        <f aca="false">Q109-N109</f>
        <v>6.5379</v>
      </c>
      <c r="X109" s="26" t="n">
        <f aca="false">(V109-W109)/(1-35/1000)</f>
        <v>1.46849740932643</v>
      </c>
      <c r="Y109" s="26" t="n">
        <f aca="false">X109-(V109-W109)</f>
        <v>0.0513974093264249</v>
      </c>
      <c r="Z109" s="31" t="n">
        <f aca="false">W109-Y109</f>
        <v>6.48650259067358</v>
      </c>
      <c r="AA109" s="31" t="n">
        <f aca="false">X109/1.024</f>
        <v>1.43407950129534</v>
      </c>
      <c r="AB109" s="31" t="n">
        <f aca="false">Y109/2.22</f>
        <v>0.0231519861830743</v>
      </c>
      <c r="AC109" s="31" t="n">
        <f aca="false">T109-VLOOKUP(M109, Beakers!$A$2:$C$151, 3, 0)</f>
        <v>2.47660807174888</v>
      </c>
      <c r="AD109" s="31" t="n">
        <f aca="false">AC109-AB109+AA109</f>
        <v>3.88753558686114</v>
      </c>
      <c r="AE109" s="31" t="n">
        <f aca="false">AC109-AB109</f>
        <v>2.45345608556581</v>
      </c>
      <c r="AF109" s="31" t="n">
        <f aca="false">X109/V109</f>
        <v>0.184600554283649</v>
      </c>
      <c r="AG109" s="26" t="n">
        <f aca="false">X109/Z109</f>
        <v>0.226392788532585</v>
      </c>
      <c r="AH109" s="26" t="n">
        <f aca="false">V109/AD109</f>
        <v>2.04628351876336</v>
      </c>
      <c r="AI109" s="26" t="n">
        <f aca="false">Z109/AD109</f>
        <v>1.66853844697815</v>
      </c>
      <c r="AJ109" s="26" t="n">
        <f aca="false">Z109/AE109</f>
        <v>2.64382257699049</v>
      </c>
      <c r="AK109" s="26" t="n">
        <f aca="false">AA109/AD109</f>
        <v>0.368891671665245</v>
      </c>
      <c r="AL109" s="26" t="n">
        <f aca="false">AA109/AE109</f>
        <v>0.584514028896758</v>
      </c>
      <c r="AM109" s="9" t="s">
        <v>45</v>
      </c>
    </row>
    <row r="110" customFormat="false" ht="14.25" hidden="false" customHeight="false" outlineLevel="0" collapsed="false">
      <c r="A110" s="20" t="n">
        <v>501</v>
      </c>
      <c r="B110" s="21" t="s">
        <v>38</v>
      </c>
      <c r="C110" s="21" t="s">
        <v>39</v>
      </c>
      <c r="D110" s="2" t="n">
        <v>132</v>
      </c>
      <c r="E110" s="21" t="s">
        <v>44</v>
      </c>
      <c r="F110" s="21" t="n">
        <v>1</v>
      </c>
      <c r="G110" s="2" t="n">
        <v>2</v>
      </c>
      <c r="H110" s="2" t="n">
        <v>4</v>
      </c>
      <c r="I110" s="3" t="str">
        <f aca="false">_xlfn.CONCAT(B110, "-", C110,"-", D110,"-", F110)</f>
        <v>M0111-B-132-1</v>
      </c>
      <c r="J110" s="9" t="str">
        <f aca="false">_xlfn.CONCAT(A110, "-", I110, ",",G110, "-",H110)</f>
        <v>501-M0111-B-132-1,2-4</v>
      </c>
      <c r="K110" s="3" t="n">
        <f aca="false">VLOOKUP(I110, 'Depth vlookup'!$G$2:$I$997,2,FALSE())+(G110/100)</f>
        <v>323.85</v>
      </c>
      <c r="L110" s="28" t="n">
        <f aca="false">K110+2/100</f>
        <v>323.87</v>
      </c>
      <c r="M110" s="2" t="n">
        <v>234</v>
      </c>
      <c r="N110" s="4" t="n">
        <f aca="false">VLOOKUP(M110,  Beakers!$A$2:$B$151, 2, 0)</f>
        <v>10.0063</v>
      </c>
      <c r="O110" s="2" t="n">
        <v>16.3762</v>
      </c>
      <c r="P110" s="6" t="n">
        <v>46045.4770833333</v>
      </c>
      <c r="Q110" s="2" t="n">
        <v>14.7271</v>
      </c>
      <c r="R110" s="3" t="s">
        <v>43</v>
      </c>
      <c r="S110" s="3" t="n">
        <v>1</v>
      </c>
      <c r="T110" s="2" t="n">
        <v>6.3068</v>
      </c>
      <c r="V110" s="31" t="n">
        <f aca="false">O110-N110</f>
        <v>6.3699</v>
      </c>
      <c r="W110" s="26" t="n">
        <f aca="false">Q110-N110</f>
        <v>4.7208</v>
      </c>
      <c r="X110" s="26" t="n">
        <f aca="false">(V110-W110)/(1-35/1000)</f>
        <v>1.70891191709845</v>
      </c>
      <c r="Y110" s="26" t="n">
        <f aca="false">X110-(V110-W110)</f>
        <v>0.0598119170984457</v>
      </c>
      <c r="Z110" s="31" t="n">
        <f aca="false">W110-Y110</f>
        <v>4.66098808290156</v>
      </c>
      <c r="AA110" s="31" t="n">
        <f aca="false">X110/1.024</f>
        <v>1.66885929404145</v>
      </c>
      <c r="AB110" s="31" t="n">
        <f aca="false">Y110/2.22</f>
        <v>0.0269423049992999</v>
      </c>
      <c r="AC110" s="31" t="n">
        <f aca="false">T110-VLOOKUP(M110, Beakers!$A$2:$C$151, 3, 0)</f>
        <v>1.81966995515695</v>
      </c>
      <c r="AD110" s="31" t="n">
        <f aca="false">AC110-AB110+AA110</f>
        <v>3.4615869441991</v>
      </c>
      <c r="AE110" s="31" t="n">
        <f aca="false">AC110-AB110</f>
        <v>1.79272765015765</v>
      </c>
      <c r="AF110" s="31" t="n">
        <f aca="false">X110/V110</f>
        <v>0.268279237837085</v>
      </c>
      <c r="AG110" s="26" t="n">
        <f aca="false">X110/Z110</f>
        <v>0.366641554688253</v>
      </c>
      <c r="AH110" s="26" t="n">
        <f aca="false">V110/AD110</f>
        <v>1.84016755975886</v>
      </c>
      <c r="AI110" s="26" t="n">
        <f aca="false">Z110/AD110</f>
        <v>1.34648880933423</v>
      </c>
      <c r="AJ110" s="26" t="n">
        <f aca="false">Z110/AE110</f>
        <v>2.59994209521545</v>
      </c>
      <c r="AK110" s="26" t="n">
        <f aca="false">AA110/AD110</f>
        <v>0.482108154711558</v>
      </c>
      <c r="AL110" s="26" t="n">
        <f aca="false">AA110/AE110</f>
        <v>0.930905089735573</v>
      </c>
      <c r="AM110" s="9" t="s">
        <v>45</v>
      </c>
    </row>
    <row r="111" customFormat="false" ht="14.25" hidden="false" customHeight="false" outlineLevel="0" collapsed="false">
      <c r="A111" s="20" t="n">
        <v>501</v>
      </c>
      <c r="B111" s="21" t="s">
        <v>38</v>
      </c>
      <c r="C111" s="21" t="s">
        <v>39</v>
      </c>
      <c r="D111" s="2" t="n">
        <v>133</v>
      </c>
      <c r="E111" s="21" t="s">
        <v>44</v>
      </c>
      <c r="F111" s="21" t="n">
        <v>1</v>
      </c>
      <c r="G111" s="2" t="n">
        <v>38</v>
      </c>
      <c r="H111" s="2" t="n">
        <v>40</v>
      </c>
      <c r="I111" s="3" t="str">
        <f aca="false">_xlfn.CONCAT(B111, "-", C111,"-", D111,"-", F111)</f>
        <v>M0111-B-133-1</v>
      </c>
      <c r="J111" s="9" t="str">
        <f aca="false">_xlfn.CONCAT(A111, "-", I111, ",",G111, "-",H111)</f>
        <v>501-M0111-B-133-1,38-40</v>
      </c>
      <c r="K111" s="3" t="n">
        <f aca="false">VLOOKUP(I111, 'Depth vlookup'!$G$2:$I$997,2,FALSE())+(G111/100)</f>
        <v>326.51</v>
      </c>
      <c r="L111" s="28" t="n">
        <f aca="false">K111+2/100</f>
        <v>326.53</v>
      </c>
      <c r="M111" s="2" t="n">
        <v>235</v>
      </c>
      <c r="N111" s="4" t="n">
        <f aca="false">VLOOKUP(M111,  Beakers!$A$2:$B$151, 2, 0)</f>
        <v>9.9943</v>
      </c>
      <c r="O111" s="2" t="n">
        <v>16.159</v>
      </c>
      <c r="P111" s="6" t="n">
        <v>46045.4770833333</v>
      </c>
      <c r="Q111" s="2" t="n">
        <v>14.521</v>
      </c>
      <c r="R111" s="3" t="s">
        <v>43</v>
      </c>
      <c r="S111" s="3" t="n">
        <v>2</v>
      </c>
      <c r="T111" s="2" t="n">
        <v>6.1589</v>
      </c>
      <c r="V111" s="31" t="n">
        <f aca="false">O111-N111</f>
        <v>6.1647</v>
      </c>
      <c r="W111" s="26" t="n">
        <f aca="false">Q111-N111</f>
        <v>4.5267</v>
      </c>
      <c r="X111" s="26" t="n">
        <f aca="false">(V111-W111)/(1-35/1000)</f>
        <v>1.69740932642487</v>
      </c>
      <c r="Y111" s="26" t="n">
        <f aca="false">X111-(V111-W111)</f>
        <v>0.0594093264248705</v>
      </c>
      <c r="Z111" s="31" t="n">
        <f aca="false">W111-Y111</f>
        <v>4.46729067357513</v>
      </c>
      <c r="AA111" s="31" t="n">
        <f aca="false">X111/1.024</f>
        <v>1.65762629533679</v>
      </c>
      <c r="AB111" s="31" t="n">
        <f aca="false">Y111/2.22</f>
        <v>0.0267609578490408</v>
      </c>
      <c r="AC111" s="31" t="n">
        <f aca="false">T111-VLOOKUP(M111, Beakers!$A$2:$C$151, 3, 0)</f>
        <v>1.67715112107623</v>
      </c>
      <c r="AD111" s="31" t="n">
        <f aca="false">AC111-AB111+AA111</f>
        <v>3.30801645856398</v>
      </c>
      <c r="AE111" s="31" t="n">
        <f aca="false">AC111-AB111</f>
        <v>1.65039016322719</v>
      </c>
      <c r="AF111" s="31" t="n">
        <f aca="false">X111/V111</f>
        <v>0.27534337865993</v>
      </c>
      <c r="AG111" s="26" t="n">
        <f aca="false">X111/Z111</f>
        <v>0.379963931262715</v>
      </c>
      <c r="AH111" s="26" t="n">
        <f aca="false">V111/AD111</f>
        <v>1.8635638840431</v>
      </c>
      <c r="AI111" s="26" t="n">
        <f aca="false">Z111/AD111</f>
        <v>1.35044390786205</v>
      </c>
      <c r="AJ111" s="26" t="n">
        <f aca="false">Z111/AE111</f>
        <v>2.70680883412425</v>
      </c>
      <c r="AK111" s="26" t="n">
        <f aca="false">AA111/AD111</f>
        <v>0.501093726739306</v>
      </c>
      <c r="AL111" s="26" t="n">
        <f aca="false">AA111/AE111</f>
        <v>1.00438449784228</v>
      </c>
      <c r="AM111" s="9" t="s">
        <v>42</v>
      </c>
    </row>
    <row r="112" customFormat="false" ht="14.25" hidden="false" customHeight="false" outlineLevel="0" collapsed="false">
      <c r="A112" s="20" t="n">
        <v>501</v>
      </c>
      <c r="B112" s="21" t="s">
        <v>38</v>
      </c>
      <c r="C112" s="21" t="s">
        <v>39</v>
      </c>
      <c r="D112" s="2" t="n">
        <v>134</v>
      </c>
      <c r="E112" s="21" t="s">
        <v>44</v>
      </c>
      <c r="F112" s="21" t="n">
        <v>1</v>
      </c>
      <c r="G112" s="2" t="n">
        <v>30</v>
      </c>
      <c r="H112" s="2" t="n">
        <v>32</v>
      </c>
      <c r="I112" s="3" t="str">
        <f aca="false">_xlfn.CONCAT(B112, "-", C112,"-", D112,"-", F112)</f>
        <v>M0111-B-134-1</v>
      </c>
      <c r="J112" s="9" t="str">
        <f aca="false">_xlfn.CONCAT(A112, "-", I112, ",",G112, "-",H112)</f>
        <v>501-M0111-B-134-1,30-32</v>
      </c>
      <c r="K112" s="3" t="n">
        <f aca="false">VLOOKUP(I112, 'Depth vlookup'!$G$2:$I$997,2,FALSE())+(G112/100)</f>
        <v>329.28</v>
      </c>
      <c r="L112" s="28" t="n">
        <f aca="false">K112+2/100</f>
        <v>329.3</v>
      </c>
      <c r="M112" s="2" t="n">
        <v>236</v>
      </c>
      <c r="N112" s="4" t="n">
        <f aca="false">VLOOKUP(M112,  Beakers!$A$2:$B$151, 2, 0)</f>
        <v>9.8712</v>
      </c>
      <c r="O112" s="2" t="n">
        <v>21.7986</v>
      </c>
      <c r="P112" s="6" t="n">
        <v>46045.5569444444</v>
      </c>
      <c r="Q112" s="2" t="n">
        <v>19.8656</v>
      </c>
      <c r="R112" s="3" t="s">
        <v>41</v>
      </c>
      <c r="S112" s="3" t="n">
        <v>1</v>
      </c>
      <c r="T112" s="2" t="n">
        <v>8.2341</v>
      </c>
      <c r="V112" s="31" t="n">
        <f aca="false">O112-N112</f>
        <v>11.9274</v>
      </c>
      <c r="W112" s="26" t="n">
        <f aca="false">Q112-N112</f>
        <v>9.9944</v>
      </c>
      <c r="X112" s="26" t="n">
        <f aca="false">(V112-W112)/(1-35/1000)</f>
        <v>2.00310880829016</v>
      </c>
      <c r="Y112" s="26" t="n">
        <f aca="false">X112-(V112-W112)</f>
        <v>0.0701088082901555</v>
      </c>
      <c r="Z112" s="31" t="n">
        <f aca="false">W112-Y112</f>
        <v>9.92429119170985</v>
      </c>
      <c r="AA112" s="31" t="n">
        <f aca="false">X112/1.024</f>
        <v>1.95616094559585</v>
      </c>
      <c r="AB112" s="31" t="n">
        <f aca="false">Y112/2.22</f>
        <v>0.0315805442748448</v>
      </c>
      <c r="AC112" s="31" t="n">
        <f aca="false">T112-VLOOKUP(M112, Beakers!$A$2:$C$151, 3, 0)</f>
        <v>3.80755291479821</v>
      </c>
      <c r="AD112" s="31" t="n">
        <f aca="false">AC112-AB112+AA112</f>
        <v>5.73213331611922</v>
      </c>
      <c r="AE112" s="31" t="n">
        <f aca="false">AC112-AB112</f>
        <v>3.77597237052336</v>
      </c>
      <c r="AF112" s="31" t="n">
        <f aca="false">X112/V112</f>
        <v>0.167941781804094</v>
      </c>
      <c r="AG112" s="26" t="n">
        <f aca="false">X112/Z112</f>
        <v>0.201838979690905</v>
      </c>
      <c r="AH112" s="26" t="n">
        <f aca="false">V112/AD112</f>
        <v>2.08079598680289</v>
      </c>
      <c r="AI112" s="26" t="n">
        <f aca="false">Z112/AD112</f>
        <v>1.7313434012084</v>
      </c>
      <c r="AJ112" s="26" t="n">
        <f aca="false">Z112/AE112</f>
        <v>2.62827431397076</v>
      </c>
      <c r="AK112" s="26" t="n">
        <f aca="false">AA112/AD112</f>
        <v>0.341262290619615</v>
      </c>
      <c r="AL112" s="26" t="n">
        <f aca="false">AA112/AE112</f>
        <v>0.518054888554369</v>
      </c>
      <c r="AM112" s="9" t="s">
        <v>42</v>
      </c>
    </row>
    <row r="113" customFormat="false" ht="14.25" hidden="false" customHeight="false" outlineLevel="0" collapsed="false">
      <c r="A113" s="20" t="n">
        <v>501</v>
      </c>
      <c r="B113" s="21" t="s">
        <v>38</v>
      </c>
      <c r="C113" s="21" t="s">
        <v>39</v>
      </c>
      <c r="D113" s="2" t="n">
        <v>135</v>
      </c>
      <c r="E113" s="21" t="s">
        <v>44</v>
      </c>
      <c r="F113" s="21" t="n">
        <v>1</v>
      </c>
      <c r="G113" s="2" t="n">
        <v>41</v>
      </c>
      <c r="H113" s="2" t="n">
        <v>43</v>
      </c>
      <c r="I113" s="3" t="str">
        <f aca="false">_xlfn.CONCAT(B113, "-", C113,"-", D113,"-", F113)</f>
        <v>M0111-B-135-1</v>
      </c>
      <c r="J113" s="9" t="str">
        <f aca="false">_xlfn.CONCAT(A113, "-", I113, ",",G113, "-",H113)</f>
        <v>501-M0111-B-135-1,41-43</v>
      </c>
      <c r="K113" s="3" t="n">
        <f aca="false">VLOOKUP(I113, 'Depth vlookup'!$G$2:$I$997,2,FALSE())+(G113/100)</f>
        <v>331.24</v>
      </c>
      <c r="L113" s="28" t="n">
        <f aca="false">K113+2/100</f>
        <v>331.26</v>
      </c>
      <c r="M113" s="2" t="n">
        <v>237</v>
      </c>
      <c r="N113" s="4" t="n">
        <f aca="false">VLOOKUP(M113,  Beakers!$A$2:$B$151, 2, 0)</f>
        <v>9.8347</v>
      </c>
      <c r="O113" s="2" t="n">
        <v>19.6396</v>
      </c>
      <c r="P113" s="6" t="n">
        <v>46045.5583333333</v>
      </c>
      <c r="Q113" s="2" t="n">
        <v>18.0123</v>
      </c>
      <c r="R113" s="3" t="s">
        <v>41</v>
      </c>
      <c r="S113" s="3" t="n">
        <v>2</v>
      </c>
      <c r="T113" s="2" t="n">
        <v>7.4956</v>
      </c>
      <c r="V113" s="31" t="n">
        <f aca="false">O113-N113</f>
        <v>9.8049</v>
      </c>
      <c r="W113" s="26" t="n">
        <f aca="false">Q113-N113</f>
        <v>8.1776</v>
      </c>
      <c r="X113" s="26" t="n">
        <f aca="false">(V113-W113)/(1-35/1000)</f>
        <v>1.68632124352332</v>
      </c>
      <c r="Y113" s="26" t="n">
        <f aca="false">X113-(V113-W113)</f>
        <v>0.0590212435233162</v>
      </c>
      <c r="Z113" s="31" t="n">
        <f aca="false">W113-Y113</f>
        <v>8.11857875647668</v>
      </c>
      <c r="AA113" s="31" t="n">
        <f aca="false">X113/1.024</f>
        <v>1.64679808937824</v>
      </c>
      <c r="AB113" s="31" t="n">
        <f aca="false">Y113/2.22</f>
        <v>0.0265861457312235</v>
      </c>
      <c r="AC113" s="31" t="n">
        <f aca="false">T113-VLOOKUP(M113, Beakers!$A$2:$C$151, 3, 0)</f>
        <v>3.08542062780269</v>
      </c>
      <c r="AD113" s="31" t="n">
        <f aca="false">AC113-AB113+AA113</f>
        <v>4.70563257144971</v>
      </c>
      <c r="AE113" s="31" t="n">
        <f aca="false">AC113-AB113</f>
        <v>3.05883448207147</v>
      </c>
      <c r="AF113" s="31" t="n">
        <f aca="false">X113/V113</f>
        <v>0.171987602476651</v>
      </c>
      <c r="AG113" s="26" t="n">
        <f aca="false">X113/Z113</f>
        <v>0.207711385712436</v>
      </c>
      <c r="AH113" s="26" t="n">
        <f aca="false">V113/AD113</f>
        <v>2.08365184725405</v>
      </c>
      <c r="AI113" s="26" t="n">
        <f aca="false">Z113/AD113</f>
        <v>1.72528956164878</v>
      </c>
      <c r="AJ113" s="26" t="n">
        <f aca="false">Z113/AE113</f>
        <v>2.65414124368662</v>
      </c>
      <c r="AK113" s="26" t="n">
        <f aca="false">AA113/AD113</f>
        <v>0.349963169536396</v>
      </c>
      <c r="AL113" s="26" t="n">
        <f aca="false">AA113/AE113</f>
        <v>0.538374370705739</v>
      </c>
      <c r="AM113" s="9" t="s">
        <v>42</v>
      </c>
    </row>
    <row r="114" customFormat="false" ht="14.25" hidden="false" customHeight="false" outlineLevel="0" collapsed="false">
      <c r="A114" s="20" t="n">
        <v>501</v>
      </c>
      <c r="B114" s="21" t="s">
        <v>38</v>
      </c>
      <c r="C114" s="21" t="s">
        <v>39</v>
      </c>
      <c r="D114" s="2" t="n">
        <v>137</v>
      </c>
      <c r="E114" s="21" t="s">
        <v>44</v>
      </c>
      <c r="F114" s="21" t="n">
        <v>1</v>
      </c>
      <c r="G114" s="2" t="n">
        <v>38</v>
      </c>
      <c r="H114" s="2" t="n">
        <v>40</v>
      </c>
      <c r="I114" s="3" t="str">
        <f aca="false">_xlfn.CONCAT(B114, "-", C114,"-", D114,"-", F114)</f>
        <v>M0111-B-137-1</v>
      </c>
      <c r="J114" s="9" t="str">
        <f aca="false">_xlfn.CONCAT(A114, "-", I114, ",",G114, "-",H114)</f>
        <v>501-M0111-B-137-1,38-40</v>
      </c>
      <c r="K114" s="3" t="n">
        <f aca="false">VLOOKUP(I114, 'Depth vlookup'!$G$2:$I$997,2,FALSE())+(G114/100)</f>
        <v>332.96</v>
      </c>
      <c r="L114" s="28" t="n">
        <f aca="false">K114+2/100</f>
        <v>332.98</v>
      </c>
      <c r="M114" s="2" t="n">
        <v>238</v>
      </c>
      <c r="N114" s="4" t="n">
        <f aca="false">VLOOKUP(M114,  Beakers!$A$2:$B$151, 2, 0)</f>
        <v>9.924</v>
      </c>
      <c r="O114" s="2" t="n">
        <v>17.6579</v>
      </c>
      <c r="P114" s="6" t="n">
        <v>46045.5597222222</v>
      </c>
      <c r="Q114" s="2" t="n">
        <v>16.148</v>
      </c>
      <c r="R114" s="3" t="s">
        <v>41</v>
      </c>
      <c r="S114" s="3" t="n">
        <v>3</v>
      </c>
      <c r="T114" s="2" t="n">
        <v>6.8113</v>
      </c>
      <c r="V114" s="31" t="n">
        <f aca="false">O114-N114</f>
        <v>7.7339</v>
      </c>
      <c r="W114" s="26" t="n">
        <f aca="false">Q114-N114</f>
        <v>6.224</v>
      </c>
      <c r="X114" s="26" t="n">
        <f aca="false">(V114-W114)/(1-35/1000)</f>
        <v>1.56466321243524</v>
      </c>
      <c r="Y114" s="26" t="n">
        <f aca="false">X114-(V114-W114)</f>
        <v>0.0547632124352333</v>
      </c>
      <c r="Z114" s="31" t="n">
        <f aca="false">W114-Y114</f>
        <v>6.16923678756477</v>
      </c>
      <c r="AA114" s="31" t="n">
        <f aca="false">X114/1.024</f>
        <v>1.52799141839378</v>
      </c>
      <c r="AB114" s="31" t="n">
        <f aca="false">Y114/2.22</f>
        <v>0.0246681137095645</v>
      </c>
      <c r="AC114" s="31" t="n">
        <f aca="false">T114-VLOOKUP(M114, Beakers!$A$2:$C$151, 3, 0)</f>
        <v>2.36107578475336</v>
      </c>
      <c r="AD114" s="31" t="n">
        <f aca="false">AC114-AB114+AA114</f>
        <v>3.86439908943758</v>
      </c>
      <c r="AE114" s="31" t="n">
        <f aca="false">AC114-AB114</f>
        <v>2.3364076710438</v>
      </c>
      <c r="AF114" s="31" t="n">
        <f aca="false">X114/V114</f>
        <v>0.202312314929755</v>
      </c>
      <c r="AG114" s="26" t="n">
        <f aca="false">X114/Z114</f>
        <v>0.253623465318936</v>
      </c>
      <c r="AH114" s="26" t="n">
        <f aca="false">V114/AD114</f>
        <v>2.00132021072533</v>
      </c>
      <c r="AI114" s="26" t="n">
        <f aca="false">Z114/AD114</f>
        <v>1.59642848597778</v>
      </c>
      <c r="AJ114" s="26" t="n">
        <f aca="false">Z114/AE114</f>
        <v>2.64047959781293</v>
      </c>
      <c r="AK114" s="26" t="n">
        <f aca="false">AA114/AD114</f>
        <v>0.395402074948777</v>
      </c>
      <c r="AL114" s="26" t="n">
        <f aca="false">AA114/AE114</f>
        <v>0.653991782911391</v>
      </c>
      <c r="AM114" s="9" t="s">
        <v>42</v>
      </c>
    </row>
    <row r="115" s="23" customFormat="true" ht="14.25" hidden="false" customHeight="false" outlineLevel="0" collapsed="false">
      <c r="A115" s="20" t="n">
        <v>501</v>
      </c>
      <c r="B115" s="21" t="s">
        <v>38</v>
      </c>
      <c r="C115" s="21" t="s">
        <v>39</v>
      </c>
      <c r="D115" s="21" t="n">
        <v>138</v>
      </c>
      <c r="E115" s="21" t="s">
        <v>44</v>
      </c>
      <c r="F115" s="21" t="n">
        <v>1</v>
      </c>
      <c r="G115" s="21" t="n">
        <v>38</v>
      </c>
      <c r="H115" s="21" t="n">
        <v>40</v>
      </c>
      <c r="I115" s="22" t="str">
        <f aca="false">_xlfn.CONCAT(B115, "-", C115,"-", D115,"-", F115)</f>
        <v>M0111-B-138-1</v>
      </c>
      <c r="J115" s="23" t="str">
        <f aca="false">_xlfn.CONCAT(A115, "-", I115, ",",G115, "-",H115)</f>
        <v>501-M0111-B-138-1,38-40</v>
      </c>
      <c r="K115" s="22" t="n">
        <f aca="false">VLOOKUP(I115, 'Depth vlookup'!$G$2:$I$997,2,FALSE())+(G115/100)</f>
        <v>335.36</v>
      </c>
      <c r="L115" s="28" t="n">
        <f aca="false">K115+2/100</f>
        <v>335.38</v>
      </c>
      <c r="M115" s="21" t="n">
        <v>239</v>
      </c>
      <c r="N115" s="24" t="n">
        <f aca="false">VLOOKUP(M115,  Beakers!$A$2:$B$151, 2, 0)</f>
        <v>10.0279</v>
      </c>
      <c r="O115" s="21" t="n">
        <v>17.2626</v>
      </c>
      <c r="P115" s="25" t="n">
        <v>46045.5736111111</v>
      </c>
      <c r="Q115" s="21" t="n">
        <v>15.7719</v>
      </c>
      <c r="R115" s="22" t="s">
        <v>41</v>
      </c>
      <c r="S115" s="22" t="n">
        <v>2</v>
      </c>
      <c r="T115" s="21" t="n">
        <v>6.6338</v>
      </c>
      <c r="U115" s="22"/>
      <c r="V115" s="26" t="n">
        <f aca="false">O115-N115</f>
        <v>7.2347</v>
      </c>
      <c r="W115" s="26" t="n">
        <f aca="false">Q115-N115</f>
        <v>5.744</v>
      </c>
      <c r="X115" s="26" t="n">
        <f aca="false">(V115-W115)/(1-35/1000)</f>
        <v>1.54476683937824</v>
      </c>
      <c r="Y115" s="26" t="n">
        <f aca="false">X115-(V115-W115)</f>
        <v>0.0540668393782384</v>
      </c>
      <c r="Z115" s="31" t="n">
        <f aca="false">W115-Y115</f>
        <v>5.68993316062176</v>
      </c>
      <c r="AA115" s="31" t="n">
        <f aca="false">X115/1.024</f>
        <v>1.50856136658031</v>
      </c>
      <c r="AB115" s="31" t="n">
        <f aca="false">Y115/2.22</f>
        <v>0.0243544321523596</v>
      </c>
      <c r="AC115" s="31" t="n">
        <f aca="false">T115-VLOOKUP(M115, Beakers!$A$2:$C$151, 3, 0)</f>
        <v>2.13698385650224</v>
      </c>
      <c r="AD115" s="31" t="n">
        <f aca="false">AC115-AB115+AA115</f>
        <v>3.62119079093019</v>
      </c>
      <c r="AE115" s="31" t="n">
        <f aca="false">AC115-AB115</f>
        <v>2.11262942434988</v>
      </c>
      <c r="AF115" s="31" t="n">
        <f aca="false">X115/V115</f>
        <v>0.213521893012597</v>
      </c>
      <c r="AG115" s="26" t="n">
        <f aca="false">X115/Z115</f>
        <v>0.27149121013742</v>
      </c>
      <c r="AH115" s="26" t="n">
        <f aca="false">V115/AD115</f>
        <v>1.99787871385302</v>
      </c>
      <c r="AI115" s="26" t="n">
        <f aca="false">Z115/AD115</f>
        <v>1.57128786886155</v>
      </c>
      <c r="AJ115" s="26" t="n">
        <f aca="false">Z115/AE115</f>
        <v>2.69329447703433</v>
      </c>
      <c r="AK115" s="26" t="n">
        <f aca="false">AA115/AD115</f>
        <v>0.416592622061982</v>
      </c>
      <c r="AL115" s="26" t="n">
        <f aca="false">AA115/AE115</f>
        <v>0.71406814143211</v>
      </c>
      <c r="AM115" s="9" t="s">
        <v>42</v>
      </c>
    </row>
    <row r="116" s="23" customFormat="true" ht="14.25" hidden="false" customHeight="false" outlineLevel="0" collapsed="false">
      <c r="A116" s="20" t="n">
        <v>501</v>
      </c>
      <c r="B116" s="21" t="s">
        <v>38</v>
      </c>
      <c r="C116" s="21" t="s">
        <v>39</v>
      </c>
      <c r="D116" s="21" t="n">
        <v>139</v>
      </c>
      <c r="E116" s="21" t="s">
        <v>44</v>
      </c>
      <c r="F116" s="21" t="n">
        <v>1</v>
      </c>
      <c r="G116" s="21" t="n">
        <v>38</v>
      </c>
      <c r="H116" s="21" t="n">
        <v>40</v>
      </c>
      <c r="I116" s="22" t="str">
        <f aca="false">_xlfn.CONCAT(B116, "-", C116,"-", D116,"-", F116)</f>
        <v>M0111-B-139-1</v>
      </c>
      <c r="J116" s="23" t="str">
        <f aca="false">_xlfn.CONCAT(A116, "-", I116, ",",G116, "-",H116)</f>
        <v>501-M0111-B-139-1,38-40</v>
      </c>
      <c r="K116" s="22" t="n">
        <f aca="false">VLOOKUP(I116, 'Depth vlookup'!$G$2:$I$997,2,FALSE())+(G116/100)</f>
        <v>336.71</v>
      </c>
      <c r="L116" s="28" t="n">
        <f aca="false">K116+2/100</f>
        <v>336.73</v>
      </c>
      <c r="M116" s="21" t="n">
        <v>270</v>
      </c>
      <c r="N116" s="24" t="n">
        <f aca="false">VLOOKUP(M116,  Beakers!$A$2:$B$151, 2, 0)</f>
        <v>9.7308</v>
      </c>
      <c r="O116" s="21" t="n">
        <v>18.9089</v>
      </c>
      <c r="P116" s="25" t="n">
        <v>46045.5736111111</v>
      </c>
      <c r="Q116" s="21" t="n">
        <v>16.9849</v>
      </c>
      <c r="R116" s="22" t="s">
        <v>41</v>
      </c>
      <c r="S116" s="22" t="n">
        <v>3</v>
      </c>
      <c r="T116" s="21" t="n">
        <v>7.0975</v>
      </c>
      <c r="U116" s="22"/>
      <c r="V116" s="26" t="n">
        <f aca="false">O116-N116</f>
        <v>9.1781</v>
      </c>
      <c r="W116" s="26" t="n">
        <f aca="false">Q116-N116</f>
        <v>7.2541</v>
      </c>
      <c r="X116" s="26" t="n">
        <f aca="false">(V116-W116)/(1-35/1000)</f>
        <v>1.99378238341969</v>
      </c>
      <c r="Y116" s="26" t="n">
        <f aca="false">X116-(V116-W116)</f>
        <v>0.0697823834196891</v>
      </c>
      <c r="Z116" s="31" t="n">
        <f aca="false">W116-Y116</f>
        <v>7.18431761658031</v>
      </c>
      <c r="AA116" s="31" t="n">
        <f aca="false">X116/1.024</f>
        <v>1.94705310880829</v>
      </c>
      <c r="AB116" s="31" t="n">
        <f aca="false">Y116/2.22</f>
        <v>0.031433506044905</v>
      </c>
      <c r="AC116" s="31" t="n">
        <f aca="false">T116-VLOOKUP(M116, Beakers!$A$2:$C$151, 3, 0)</f>
        <v>2.73391255605381</v>
      </c>
      <c r="AD116" s="31" t="n">
        <f aca="false">AC116-AB116+AA116</f>
        <v>4.6495321588172</v>
      </c>
      <c r="AE116" s="31" t="n">
        <f aca="false">AC116-AB116</f>
        <v>2.70247905000891</v>
      </c>
      <c r="AF116" s="31" t="n">
        <f aca="false">X116/V116</f>
        <v>0.217232584458623</v>
      </c>
      <c r="AG116" s="26" t="n">
        <f aca="false">X116/Z116</f>
        <v>0.277518685813437</v>
      </c>
      <c r="AH116" s="26" t="n">
        <f aca="false">V116/AD116</f>
        <v>1.9739835507095</v>
      </c>
      <c r="AI116" s="26" t="n">
        <f aca="false">Z116/AD116</f>
        <v>1.54517000231007</v>
      </c>
      <c r="AJ116" s="26" t="n">
        <f aca="false">Z116/AE116</f>
        <v>2.65841750616222</v>
      </c>
      <c r="AK116" s="26" t="n">
        <f aca="false">AA116/AD116</f>
        <v>0.418763230858824</v>
      </c>
      <c r="AL116" s="26" t="n">
        <f aca="false">AA116/AE116</f>
        <v>0.720469270169503</v>
      </c>
      <c r="AM116" s="9" t="s">
        <v>42</v>
      </c>
    </row>
    <row r="117" s="23" customFormat="true" ht="14.25" hidden="false" customHeight="false" outlineLevel="0" collapsed="false">
      <c r="A117" s="20" t="n">
        <v>501</v>
      </c>
      <c r="B117" s="21" t="s">
        <v>38</v>
      </c>
      <c r="C117" s="21" t="s">
        <v>39</v>
      </c>
      <c r="D117" s="21" t="n">
        <v>140</v>
      </c>
      <c r="E117" s="21" t="s">
        <v>44</v>
      </c>
      <c r="F117" s="21" t="n">
        <v>1</v>
      </c>
      <c r="G117" s="21" t="n">
        <v>35</v>
      </c>
      <c r="H117" s="21" t="n">
        <v>37</v>
      </c>
      <c r="I117" s="22" t="str">
        <f aca="false">_xlfn.CONCAT(B117, "-", C117,"-", D117,"-", F117)</f>
        <v>M0111-B-140-1</v>
      </c>
      <c r="J117" s="23" t="str">
        <f aca="false">_xlfn.CONCAT(A117, "-", I117, ",",G117, "-",H117)</f>
        <v>501-M0111-B-140-1,35-37</v>
      </c>
      <c r="K117" s="22" t="n">
        <f aca="false">VLOOKUP(I117, 'Depth vlookup'!$G$2:$I$997,2,FALSE())+(G117/100)</f>
        <v>338.38</v>
      </c>
      <c r="L117" s="28" t="n">
        <f aca="false">K117+2/100</f>
        <v>338.4</v>
      </c>
      <c r="M117" s="21" t="n">
        <v>271</v>
      </c>
      <c r="N117" s="24" t="n">
        <f aca="false">VLOOKUP(M117,  Beakers!$A$2:$B$151, 2, 0)</f>
        <v>9.9113</v>
      </c>
      <c r="O117" s="21" t="n">
        <v>19.1517</v>
      </c>
      <c r="P117" s="25" t="n">
        <v>46045.5736111111</v>
      </c>
      <c r="Q117" s="21" t="n">
        <v>17.8282</v>
      </c>
      <c r="R117" s="22" t="s">
        <v>41</v>
      </c>
      <c r="S117" s="22" t="n">
        <v>5</v>
      </c>
      <c r="T117" s="21" t="n">
        <v>7.4609</v>
      </c>
      <c r="U117" s="22"/>
      <c r="V117" s="26" t="n">
        <f aca="false">O117-N117</f>
        <v>9.2404</v>
      </c>
      <c r="W117" s="26" t="n">
        <f aca="false">Q117-N117</f>
        <v>7.9169</v>
      </c>
      <c r="X117" s="26" t="n">
        <f aca="false">(V117-W117)/(1-35/1000)</f>
        <v>1.37150259067358</v>
      </c>
      <c r="Y117" s="26" t="n">
        <f aca="false">X117-(V117-W117)</f>
        <v>0.0480025906735753</v>
      </c>
      <c r="Z117" s="31" t="n">
        <f aca="false">W117-Y117</f>
        <v>7.86889740932642</v>
      </c>
      <c r="AA117" s="31" t="n">
        <f aca="false">X117/1.024</f>
        <v>1.33935799870467</v>
      </c>
      <c r="AB117" s="31" t="n">
        <f aca="false">Y117/2.22</f>
        <v>0.0216227885917006</v>
      </c>
      <c r="AC117" s="31" t="n">
        <f aca="false">T117-VLOOKUP(M117, Beakers!$A$2:$C$151, 3, 0)</f>
        <v>3.01637085201794</v>
      </c>
      <c r="AD117" s="31" t="n">
        <f aca="false">AC117-AB117+AA117</f>
        <v>4.3341060621309</v>
      </c>
      <c r="AE117" s="31" t="n">
        <f aca="false">AC117-AB117</f>
        <v>2.99474806342624</v>
      </c>
      <c r="AF117" s="31" t="n">
        <f aca="false">X117/V117</f>
        <v>0.148424590999695</v>
      </c>
      <c r="AG117" s="26" t="n">
        <f aca="false">X117/Z117</f>
        <v>0.174294125254199</v>
      </c>
      <c r="AH117" s="26" t="n">
        <f aca="false">V117/AD117</f>
        <v>2.13201981389834</v>
      </c>
      <c r="AI117" s="26" t="n">
        <f aca="false">Z117/AD117</f>
        <v>1.81557564501724</v>
      </c>
      <c r="AJ117" s="26" t="n">
        <f aca="false">Z117/AE117</f>
        <v>2.62756573931089</v>
      </c>
      <c r="AK117" s="26" t="n">
        <f aca="false">AA117/AD117</f>
        <v>0.309027508672956</v>
      </c>
      <c r="AL117" s="26" t="n">
        <f aca="false">AA117/AE117</f>
        <v>0.447235617266693</v>
      </c>
      <c r="AM117" s="9" t="s">
        <v>42</v>
      </c>
      <c r="AN117" s="23" t="s">
        <v>46</v>
      </c>
    </row>
    <row r="118" s="23" customFormat="true" ht="14.25" hidden="false" customHeight="false" outlineLevel="0" collapsed="false">
      <c r="A118" s="20" t="n">
        <v>501</v>
      </c>
      <c r="B118" s="21" t="s">
        <v>38</v>
      </c>
      <c r="C118" s="21" t="s">
        <v>39</v>
      </c>
      <c r="D118" s="21" t="n">
        <v>144</v>
      </c>
      <c r="E118" s="21" t="s">
        <v>44</v>
      </c>
      <c r="F118" s="21" t="n">
        <v>1</v>
      </c>
      <c r="G118" s="21" t="n">
        <v>18</v>
      </c>
      <c r="H118" s="21" t="n">
        <v>20</v>
      </c>
      <c r="I118" s="22" t="str">
        <f aca="false">_xlfn.CONCAT(B118, "-", C118,"-", D118,"-", F118)</f>
        <v>M0111-B-144-1</v>
      </c>
      <c r="J118" s="23" t="str">
        <f aca="false">_xlfn.CONCAT(A118, "-", I118, ",",G118, "-",H118)</f>
        <v>501-M0111-B-144-1,18-20</v>
      </c>
      <c r="K118" s="22" t="n">
        <f aca="false">VLOOKUP(I118, 'Depth vlookup'!$G$2:$I$997,2,FALSE())+(G118/100)</f>
        <v>344.61</v>
      </c>
      <c r="L118" s="28" t="n">
        <f aca="false">K118+2/100</f>
        <v>344.63</v>
      </c>
      <c r="M118" s="21" t="n">
        <v>1</v>
      </c>
      <c r="N118" s="24" t="n">
        <f aca="false">VLOOKUP(M118,  Beakers!$A$2:$B$151, 2, 0)</f>
        <v>9.8663</v>
      </c>
      <c r="O118" s="21" t="n">
        <v>19.2977</v>
      </c>
      <c r="P118" s="25" t="n">
        <v>46045.63125</v>
      </c>
      <c r="Q118" s="21" t="n">
        <v>17.7547</v>
      </c>
      <c r="R118" s="22" t="s">
        <v>41</v>
      </c>
      <c r="S118" s="22" t="n">
        <v>3</v>
      </c>
      <c r="T118" s="21" t="n">
        <v>7.4247</v>
      </c>
      <c r="U118" s="22"/>
      <c r="V118" s="26" t="n">
        <f aca="false">O118-N118</f>
        <v>9.4314</v>
      </c>
      <c r="W118" s="26" t="n">
        <f aca="false">Q118-N118</f>
        <v>7.8884</v>
      </c>
      <c r="X118" s="26" t="n">
        <f aca="false">(V118-W118)/(1-35/1000)</f>
        <v>1.59896373056995</v>
      </c>
      <c r="Y118" s="26" t="n">
        <f aca="false">X118-(V118-W118)</f>
        <v>0.0559637305699483</v>
      </c>
      <c r="Z118" s="31" t="n">
        <f aca="false">W118-Y118</f>
        <v>7.83243626943005</v>
      </c>
      <c r="AA118" s="31" t="n">
        <f aca="false">X118/1.024</f>
        <v>1.56148801813471</v>
      </c>
      <c r="AB118" s="31" t="n">
        <f aca="false">Y118/2.22</f>
        <v>0.0252088876441209</v>
      </c>
      <c r="AC118" s="31" t="n">
        <f aca="false">T118-VLOOKUP(M118, Beakers!$A$2:$C$151, 3, 0)</f>
        <v>3.00035022421525</v>
      </c>
      <c r="AD118" s="31" t="n">
        <f aca="false">AC118-AB118+AA118</f>
        <v>4.53662935470584</v>
      </c>
      <c r="AE118" s="31" t="n">
        <f aca="false">AC118-AB118</f>
        <v>2.97514133657112</v>
      </c>
      <c r="AF118" s="31" t="n">
        <f aca="false">X118/V118</f>
        <v>0.169536201472734</v>
      </c>
      <c r="AG118" s="26" t="n">
        <f aca="false">X118/Z118</f>
        <v>0.204146408035351</v>
      </c>
      <c r="AH118" s="26" t="n">
        <f aca="false">V118/AD118</f>
        <v>2.07894435771281</v>
      </c>
      <c r="AI118" s="26" t="n">
        <f aca="false">Z118/AD118</f>
        <v>1.726488028233</v>
      </c>
      <c r="AJ118" s="26" t="n">
        <f aca="false">Z118/AE118</f>
        <v>2.63262661613818</v>
      </c>
      <c r="AK118" s="26" t="n">
        <f aca="false">AA118/AD118</f>
        <v>0.34419563425762</v>
      </c>
      <c r="AL118" s="26" t="n">
        <f aca="false">AA118/AE118</f>
        <v>0.524844987678583</v>
      </c>
      <c r="AM118" s="23" t="s">
        <v>42</v>
      </c>
    </row>
    <row r="119" s="23" customFormat="true" ht="14.25" hidden="false" customHeight="false" outlineLevel="0" collapsed="false">
      <c r="A119" s="20" t="n">
        <v>501</v>
      </c>
      <c r="B119" s="21" t="s">
        <v>38</v>
      </c>
      <c r="C119" s="21" t="s">
        <v>39</v>
      </c>
      <c r="D119" s="21" t="n">
        <v>147</v>
      </c>
      <c r="E119" s="21" t="s">
        <v>44</v>
      </c>
      <c r="F119" s="21" t="n">
        <v>1</v>
      </c>
      <c r="G119" s="21" t="n">
        <v>38</v>
      </c>
      <c r="H119" s="21" t="n">
        <v>40</v>
      </c>
      <c r="I119" s="22" t="str">
        <f aca="false">_xlfn.CONCAT(B119, "-", C119,"-", D119,"-", F119)</f>
        <v>M0111-B-147-1</v>
      </c>
      <c r="J119" s="23" t="str">
        <f aca="false">_xlfn.CONCAT(A119, "-", I119, ",",G119, "-",H119)</f>
        <v>501-M0111-B-147-1,38-40</v>
      </c>
      <c r="K119" s="22" t="n">
        <f aca="false">VLOOKUP(I119, 'Depth vlookup'!$G$2:$I$997,2,FALSE())+(G119/100)</f>
        <v>346.51</v>
      </c>
      <c r="L119" s="28" t="n">
        <f aca="false">K119+2/100</f>
        <v>346.53</v>
      </c>
      <c r="M119" s="21" t="n">
        <v>2</v>
      </c>
      <c r="N119" s="24" t="n">
        <f aca="false">VLOOKUP(M119,  Beakers!$A$2:$B$151, 2, 0)</f>
        <v>9.4933</v>
      </c>
      <c r="O119" s="21" t="n">
        <v>18.2957</v>
      </c>
      <c r="P119" s="25" t="n">
        <v>46045.63125</v>
      </c>
      <c r="Q119" s="21" t="n">
        <v>16.9095</v>
      </c>
      <c r="R119" s="22" t="s">
        <v>41</v>
      </c>
      <c r="S119" s="22" t="n">
        <v>5</v>
      </c>
      <c r="T119" s="21" t="n">
        <v>7.0655</v>
      </c>
      <c r="U119" s="22"/>
      <c r="V119" s="26" t="n">
        <f aca="false">O119-N119</f>
        <v>8.8024</v>
      </c>
      <c r="W119" s="26" t="n">
        <f aca="false">Q119-N119</f>
        <v>7.4162</v>
      </c>
      <c r="X119" s="26" t="n">
        <f aca="false">(V119-W119)/(1-35/1000)</f>
        <v>1.43647668393782</v>
      </c>
      <c r="Y119" s="26" t="n">
        <f aca="false">X119-(V119-W119)</f>
        <v>0.0502766839378239</v>
      </c>
      <c r="Z119" s="31" t="n">
        <f aca="false">W119-Y119</f>
        <v>7.36592331606218</v>
      </c>
      <c r="AA119" s="31" t="n">
        <f aca="false">X119/1.024</f>
        <v>1.40280926165803</v>
      </c>
      <c r="AB119" s="31" t="n">
        <f aca="false">Y119/2.22</f>
        <v>0.0226471549269477</v>
      </c>
      <c r="AC119" s="31" t="n">
        <f aca="false">T119-VLOOKUP(M119, Beakers!$A$2:$C$151, 3, 0)</f>
        <v>2.80841479820628</v>
      </c>
      <c r="AD119" s="31" t="n">
        <f aca="false">AC119-AB119+AA119</f>
        <v>4.18857690493736</v>
      </c>
      <c r="AE119" s="31" t="n">
        <f aca="false">AC119-AB119</f>
        <v>2.78576764327933</v>
      </c>
      <c r="AF119" s="31" t="n">
        <f aca="false">X119/V119</f>
        <v>0.163191480043832</v>
      </c>
      <c r="AG119" s="26" t="n">
        <f aca="false">X119/Z119</f>
        <v>0.195016513517787</v>
      </c>
      <c r="AH119" s="26" t="n">
        <f aca="false">V119/AD119</f>
        <v>2.10152521960956</v>
      </c>
      <c r="AI119" s="26" t="n">
        <f aca="false">Z119/AD119</f>
        <v>1.75857420867203</v>
      </c>
      <c r="AJ119" s="26" t="n">
        <f aca="false">Z119/AE119</f>
        <v>2.64412695503607</v>
      </c>
      <c r="AK119" s="26" t="n">
        <f aca="false">AA119/AD119</f>
        <v>0.334913096618673</v>
      </c>
      <c r="AL119" s="26" t="n">
        <f aca="false">AA119/AE119</f>
        <v>0.503562910224157</v>
      </c>
      <c r="AM119" s="23" t="s">
        <v>42</v>
      </c>
    </row>
    <row r="120" s="23" customFormat="true" ht="14.25" hidden="false" customHeight="false" outlineLevel="0" collapsed="false">
      <c r="A120" s="20" t="n">
        <v>501</v>
      </c>
      <c r="B120" s="21" t="s">
        <v>38</v>
      </c>
      <c r="C120" s="21" t="s">
        <v>39</v>
      </c>
      <c r="D120" s="21" t="n">
        <v>151</v>
      </c>
      <c r="E120" s="21" t="s">
        <v>44</v>
      </c>
      <c r="F120" s="21" t="n">
        <v>1</v>
      </c>
      <c r="G120" s="21" t="n">
        <v>50</v>
      </c>
      <c r="H120" s="21" t="n">
        <v>52</v>
      </c>
      <c r="I120" s="22" t="str">
        <f aca="false">_xlfn.CONCAT(B120, "-", C120,"-", D120,"-", F120)</f>
        <v>M0111-B-151-1</v>
      </c>
      <c r="J120" s="23" t="str">
        <f aca="false">_xlfn.CONCAT(A120, "-", I120, ",",G120, "-",H120)</f>
        <v>501-M0111-B-151-1,50-52</v>
      </c>
      <c r="K120" s="22" t="n">
        <f aca="false">VLOOKUP(I120, 'Depth vlookup'!$G$2:$I$997,2,FALSE())+(G120/100)</f>
        <v>350.53</v>
      </c>
      <c r="L120" s="28" t="n">
        <f aca="false">K120+2/100</f>
        <v>350.55</v>
      </c>
      <c r="M120" s="21" t="n">
        <v>3</v>
      </c>
      <c r="N120" s="24" t="n">
        <f aca="false">VLOOKUP(M120,  Beakers!$A$2:$B$151, 2, 0)</f>
        <v>9.7539</v>
      </c>
      <c r="O120" s="21" t="n">
        <v>18.7707</v>
      </c>
      <c r="P120" s="25" t="n">
        <v>46045.63125</v>
      </c>
      <c r="Q120" s="21" t="n">
        <v>17.5026</v>
      </c>
      <c r="R120" s="22" t="s">
        <v>41</v>
      </c>
      <c r="S120" s="22" t="n">
        <v>1</v>
      </c>
      <c r="T120" s="21" t="n">
        <v>7.3328</v>
      </c>
      <c r="U120" s="22"/>
      <c r="V120" s="26" t="n">
        <f aca="false">O120-N120</f>
        <v>9.0168</v>
      </c>
      <c r="W120" s="26" t="n">
        <f aca="false">Q120-N120</f>
        <v>7.7487</v>
      </c>
      <c r="X120" s="26" t="n">
        <f aca="false">(V120-W120)/(1-35/1000)</f>
        <v>1.31409326424871</v>
      </c>
      <c r="Y120" s="26" t="n">
        <f aca="false">X120-(V120-W120)</f>
        <v>0.0459932642487046</v>
      </c>
      <c r="Z120" s="31" t="n">
        <f aca="false">W120-Y120</f>
        <v>7.7027067357513</v>
      </c>
      <c r="AA120" s="31" t="n">
        <f aca="false">X120/1.024</f>
        <v>1.28329420336788</v>
      </c>
      <c r="AB120" s="31" t="n">
        <f aca="false">Y120/2.22</f>
        <v>0.0207176865985156</v>
      </c>
      <c r="AC120" s="31" t="n">
        <f aca="false">T120-VLOOKUP(M120, Beakers!$A$2:$C$151, 3, 0)</f>
        <v>2.95885381165919</v>
      </c>
      <c r="AD120" s="31" t="n">
        <f aca="false">AC120-AB120+AA120</f>
        <v>4.22143032842855</v>
      </c>
      <c r="AE120" s="31" t="n">
        <f aca="false">AC120-AB120</f>
        <v>2.93813612506068</v>
      </c>
      <c r="AF120" s="31" t="n">
        <f aca="false">X120/V120</f>
        <v>0.145738317834343</v>
      </c>
      <c r="AG120" s="26" t="n">
        <f aca="false">X120/Z120</f>
        <v>0.170601492349369</v>
      </c>
      <c r="AH120" s="26" t="n">
        <f aca="false">V120/AD120</f>
        <v>2.13595850185606</v>
      </c>
      <c r="AI120" s="26" t="n">
        <f aca="false">Z120/AD120</f>
        <v>1.8246675028316</v>
      </c>
      <c r="AJ120" s="26" t="n">
        <f aca="false">Z120/AE120</f>
        <v>2.62163031523675</v>
      </c>
      <c r="AK120" s="26" t="n">
        <f aca="false">AA120/AD120</f>
        <v>0.30399511623483</v>
      </c>
      <c r="AL120" s="26" t="n">
        <f aca="false">AA120/AE120</f>
        <v>0.436771527507553</v>
      </c>
      <c r="AM120" s="23" t="s">
        <v>42</v>
      </c>
    </row>
    <row r="121" s="23" customFormat="true" ht="14.25" hidden="false" customHeight="false" outlineLevel="0" collapsed="false">
      <c r="A121" s="20" t="n">
        <v>501</v>
      </c>
      <c r="B121" s="21" t="s">
        <v>38</v>
      </c>
      <c r="C121" s="21" t="s">
        <v>39</v>
      </c>
      <c r="D121" s="21" t="n">
        <v>149</v>
      </c>
      <c r="E121" s="21" t="s">
        <v>44</v>
      </c>
      <c r="F121" s="21" t="n">
        <v>1</v>
      </c>
      <c r="G121" s="21" t="n">
        <v>38</v>
      </c>
      <c r="H121" s="21" t="n">
        <v>40</v>
      </c>
      <c r="I121" s="22" t="str">
        <f aca="false">_xlfn.CONCAT(B121, "-", C121,"-", D121,"-", F121)</f>
        <v>M0111-B-149-1</v>
      </c>
      <c r="J121" s="23" t="str">
        <f aca="false">_xlfn.CONCAT(A121, "-", I121, ",",G121, "-",H121)</f>
        <v>501-M0111-B-149-1,38-40</v>
      </c>
      <c r="K121" s="22" t="n">
        <f aca="false">VLOOKUP(I121, 'Depth vlookup'!$G$2:$I$997,2,FALSE())+(G121/100)</f>
        <v>348.41</v>
      </c>
      <c r="L121" s="28" t="n">
        <f aca="false">K121+2/100</f>
        <v>348.43</v>
      </c>
      <c r="M121" s="21" t="n">
        <v>8</v>
      </c>
      <c r="N121" s="24" t="n">
        <f aca="false">VLOOKUP(M121,  Beakers!$A$2:$B$151, 2, 0)</f>
        <v>9.5216</v>
      </c>
      <c r="O121" s="21" t="n">
        <v>19.6174</v>
      </c>
      <c r="P121" s="25" t="n">
        <v>46045.6631944444</v>
      </c>
      <c r="Q121" s="21" t="n">
        <v>17.3269</v>
      </c>
      <c r="R121" s="22" t="s">
        <v>41</v>
      </c>
      <c r="S121" s="22" t="n">
        <v>5</v>
      </c>
      <c r="T121" s="21" t="n">
        <v>7.3004</v>
      </c>
      <c r="U121" s="22"/>
      <c r="V121" s="26" t="n">
        <f aca="false">O121-N121</f>
        <v>10.0958</v>
      </c>
      <c r="W121" s="26" t="n">
        <f aca="false">Q121-N121</f>
        <v>7.8053</v>
      </c>
      <c r="X121" s="26" t="n">
        <f aca="false">(V121-W121)/(1-35/1000)</f>
        <v>2.37357512953368</v>
      </c>
      <c r="Y121" s="26" t="n">
        <f aca="false">X121-(V121-W121)</f>
        <v>0.0830751295336789</v>
      </c>
      <c r="Z121" s="31" t="n">
        <f aca="false">W121-Y121</f>
        <v>7.72222487046632</v>
      </c>
      <c r="AA121" s="31" t="n">
        <f aca="false">X121/1.024</f>
        <v>2.31794446243523</v>
      </c>
      <c r="AB121" s="31" t="n">
        <f aca="false">Y121/2.22</f>
        <v>0.0374212295196752</v>
      </c>
      <c r="AC121" s="31" t="n">
        <f aca="false">T121-VLOOKUP(M121, Beakers!$A$2:$C$151, 3, 0)</f>
        <v>3.03062421524664</v>
      </c>
      <c r="AD121" s="31" t="n">
        <f aca="false">AC121-AB121+AA121</f>
        <v>5.3111474481622</v>
      </c>
      <c r="AE121" s="31" t="n">
        <f aca="false">AC121-AB121</f>
        <v>2.99320298572696</v>
      </c>
      <c r="AF121" s="31" t="n">
        <f aca="false">X121/V121</f>
        <v>0.235105205088619</v>
      </c>
      <c r="AG121" s="26" t="n">
        <f aca="false">X121/Z121</f>
        <v>0.307369335825926</v>
      </c>
      <c r="AH121" s="26" t="n">
        <f aca="false">V121/AD121</f>
        <v>1.90086983999916</v>
      </c>
      <c r="AI121" s="26" t="n">
        <f aca="false">Z121/AD121</f>
        <v>1.45396544641938</v>
      </c>
      <c r="AJ121" s="26" t="n">
        <f aca="false">Z121/AE121</f>
        <v>2.57992020831518</v>
      </c>
      <c r="AK121" s="26" t="n">
        <f aca="false">AA121/AD121</f>
        <v>0.436430071855246</v>
      </c>
      <c r="AL121" s="26" t="n">
        <f aca="false">AA121/AE121</f>
        <v>0.774402696204806</v>
      </c>
      <c r="AM121" s="23" t="s">
        <v>42</v>
      </c>
    </row>
    <row r="122" s="23" customFormat="true" ht="14.25" hidden="false" customHeight="false" outlineLevel="0" collapsed="false">
      <c r="A122" s="20" t="n">
        <v>501</v>
      </c>
      <c r="B122" s="21" t="s">
        <v>38</v>
      </c>
      <c r="C122" s="21" t="s">
        <v>39</v>
      </c>
      <c r="D122" s="21" t="n">
        <v>152</v>
      </c>
      <c r="E122" s="21" t="s">
        <v>44</v>
      </c>
      <c r="F122" s="21" t="n">
        <v>1</v>
      </c>
      <c r="G122" s="21" t="n">
        <v>28</v>
      </c>
      <c r="H122" s="21" t="n">
        <v>30</v>
      </c>
      <c r="I122" s="22" t="str">
        <f aca="false">_xlfn.CONCAT(B122, "-", C122,"-", D122,"-", F122)</f>
        <v>M0111-B-152-1</v>
      </c>
      <c r="J122" s="23" t="str">
        <f aca="false">_xlfn.CONCAT(A122, "-", I122, ",",G122, "-",H122)</f>
        <v>501-M0111-B-152-1,28-30</v>
      </c>
      <c r="K122" s="22" t="n">
        <f aca="false">VLOOKUP(I122, 'Depth vlookup'!$G$2:$I$997,2,FALSE())+(G122/100)</f>
        <v>351.56</v>
      </c>
      <c r="L122" s="28" t="n">
        <f aca="false">K122+2/100</f>
        <v>351.58</v>
      </c>
      <c r="M122" s="21" t="n">
        <v>9</v>
      </c>
      <c r="N122" s="24" t="n">
        <f aca="false">VLOOKUP(M122,  Beakers!$A$2:$B$151, 2, 0)</f>
        <v>9.5977</v>
      </c>
      <c r="O122" s="21" t="n">
        <v>20.6676</v>
      </c>
      <c r="P122" s="25" t="n">
        <v>46045.6631944444</v>
      </c>
      <c r="Q122" s="21" t="n">
        <v>18.687</v>
      </c>
      <c r="R122" s="22" t="s">
        <v>41</v>
      </c>
      <c r="S122" s="22" t="n">
        <v>1</v>
      </c>
      <c r="T122" s="21" t="n">
        <v>7.7686</v>
      </c>
      <c r="U122" s="22"/>
      <c r="V122" s="26" t="n">
        <f aca="false">O122-N122</f>
        <v>11.0699</v>
      </c>
      <c r="W122" s="26" t="n">
        <f aca="false">Q122-N122</f>
        <v>9.0893</v>
      </c>
      <c r="X122" s="26" t="n">
        <f aca="false">(V122-W122)/(1-35/1000)</f>
        <v>2.05243523316062</v>
      </c>
      <c r="Y122" s="26" t="n">
        <f aca="false">X122-(V122-W122)</f>
        <v>0.071835233160622</v>
      </c>
      <c r="Z122" s="31" t="n">
        <f aca="false">W122-Y122</f>
        <v>9.01746476683938</v>
      </c>
      <c r="AA122" s="31" t="n">
        <f aca="false">X122/1.024</f>
        <v>2.00433128238342</v>
      </c>
      <c r="AB122" s="31" t="n">
        <f aca="false">Y122/2.22</f>
        <v>0.0323582131354153</v>
      </c>
      <c r="AC122" s="31" t="n">
        <f aca="false">T122-VLOOKUP(M122, Beakers!$A$2:$C$151, 3, 0)</f>
        <v>3.46469865470852</v>
      </c>
      <c r="AD122" s="31" t="n">
        <f aca="false">AC122-AB122+AA122</f>
        <v>5.43667172395652</v>
      </c>
      <c r="AE122" s="31" t="n">
        <f aca="false">AC122-AB122</f>
        <v>3.43234044157311</v>
      </c>
      <c r="AF122" s="31" t="n">
        <f aca="false">X122/V122</f>
        <v>0.185406844972459</v>
      </c>
      <c r="AG122" s="26" t="n">
        <f aca="false">X122/Z122</f>
        <v>0.22760668172591</v>
      </c>
      <c r="AH122" s="26" t="n">
        <f aca="false">V122/AD122</f>
        <v>2.03615383861064</v>
      </c>
      <c r="AI122" s="26" t="n">
        <f aca="false">Z122/AD122</f>
        <v>1.65863697951528</v>
      </c>
      <c r="AJ122" s="26" t="n">
        <f aca="false">Z122/AE122</f>
        <v>2.62720581490643</v>
      </c>
      <c r="AK122" s="26" t="n">
        <f aca="false">AA122/AD122</f>
        <v>0.368668807710312</v>
      </c>
      <c r="AL122" s="26" t="n">
        <f aca="false">AA122/AE122</f>
        <v>0.583954685294795</v>
      </c>
      <c r="AM122" s="23" t="s">
        <v>42</v>
      </c>
    </row>
    <row r="123" s="23" customFormat="true" ht="14.25" hidden="false" customHeight="false" outlineLevel="0" collapsed="false">
      <c r="A123" s="20" t="n">
        <v>501</v>
      </c>
      <c r="B123" s="21" t="s">
        <v>38</v>
      </c>
      <c r="C123" s="21" t="s">
        <v>39</v>
      </c>
      <c r="D123" s="21" t="n">
        <v>154</v>
      </c>
      <c r="E123" s="21" t="s">
        <v>44</v>
      </c>
      <c r="F123" s="21" t="n">
        <v>1</v>
      </c>
      <c r="G123" s="21" t="n">
        <v>18</v>
      </c>
      <c r="H123" s="21" t="n">
        <v>20</v>
      </c>
      <c r="I123" s="22" t="str">
        <f aca="false">_xlfn.CONCAT(B123, "-", C123,"-", D123,"-", F123)</f>
        <v>M0111-B-154-1</v>
      </c>
      <c r="J123" s="23" t="str">
        <f aca="false">_xlfn.CONCAT(A123, "-", I123, ",",G123, "-",H123)</f>
        <v>501-M0111-B-154-1,18-20</v>
      </c>
      <c r="K123" s="22" t="n">
        <f aca="false">VLOOKUP(I123, 'Depth vlookup'!$G$2:$I$997,2,FALSE())+(G123/100)</f>
        <v>353.76</v>
      </c>
      <c r="L123" s="28" t="n">
        <f aca="false">K123+2/100</f>
        <v>353.78</v>
      </c>
      <c r="M123" s="21" t="n">
        <v>10</v>
      </c>
      <c r="N123" s="24" t="n">
        <f aca="false">VLOOKUP(M123,  Beakers!$A$2:$B$151, 2, 0)</f>
        <v>9.9909</v>
      </c>
      <c r="O123" s="21" t="n">
        <v>17.9189</v>
      </c>
      <c r="P123" s="25" t="n">
        <v>46045.6631944444</v>
      </c>
      <c r="Q123" s="21" t="n">
        <v>16.8444</v>
      </c>
      <c r="R123" s="22" t="s">
        <v>41</v>
      </c>
      <c r="S123" s="22" t="n">
        <v>2</v>
      </c>
      <c r="T123" s="21" t="n">
        <v>7.0787</v>
      </c>
      <c r="U123" s="22"/>
      <c r="V123" s="26" t="n">
        <f aca="false">O123-N123</f>
        <v>7.928</v>
      </c>
      <c r="W123" s="26" t="n">
        <f aca="false">Q123-N123</f>
        <v>6.8535</v>
      </c>
      <c r="X123" s="26" t="n">
        <f aca="false">(V123-W123)/(1-35/1000)</f>
        <v>1.11347150259067</v>
      </c>
      <c r="Y123" s="26" t="n">
        <f aca="false">X123-(V123-W123)</f>
        <v>0.0389715025906736</v>
      </c>
      <c r="Z123" s="31" t="n">
        <f aca="false">W123-Y123</f>
        <v>6.81452849740933</v>
      </c>
      <c r="AA123" s="31" t="n">
        <f aca="false">X123/1.024</f>
        <v>1.08737451424871</v>
      </c>
      <c r="AB123" s="31" t="n">
        <f aca="false">Y123/2.22</f>
        <v>0.0175547308966998</v>
      </c>
      <c r="AC123" s="31" t="n">
        <f aca="false">T123-VLOOKUP(M123, Beakers!$A$2:$C$151, 3, 0)</f>
        <v>2.59847578475336</v>
      </c>
      <c r="AD123" s="31" t="n">
        <f aca="false">AC123-AB123+AA123</f>
        <v>3.66829556810537</v>
      </c>
      <c r="AE123" s="31" t="n">
        <f aca="false">AC123-AB123</f>
        <v>2.58092105385666</v>
      </c>
      <c r="AF123" s="31" t="n">
        <f aca="false">X123/V123</f>
        <v>0.140447969549782</v>
      </c>
      <c r="AG123" s="26" t="n">
        <f aca="false">X123/Z123</f>
        <v>0.163396704997856</v>
      </c>
      <c r="AH123" s="26" t="n">
        <f aca="false">V123/AD123</f>
        <v>2.16122170441536</v>
      </c>
      <c r="AI123" s="26" t="n">
        <f aca="false">Z123/AD123</f>
        <v>1.8576825042833</v>
      </c>
      <c r="AJ123" s="26" t="n">
        <f aca="false">Z123/AE123</f>
        <v>2.64034751749822</v>
      </c>
      <c r="AK123" s="26" t="n">
        <f aca="false">AA123/AD123</f>
        <v>0.296425000128962</v>
      </c>
      <c r="AL123" s="26" t="n">
        <f aca="false">AA123/AE123</f>
        <v>0.421312582430154</v>
      </c>
      <c r="AM123" s="23" t="s">
        <v>42</v>
      </c>
    </row>
    <row r="124" s="23" customFormat="true" ht="14.25" hidden="false" customHeight="false" outlineLevel="0" collapsed="false">
      <c r="A124" s="20" t="n">
        <v>501</v>
      </c>
      <c r="B124" s="21" t="s">
        <v>38</v>
      </c>
      <c r="C124" s="21" t="s">
        <v>39</v>
      </c>
      <c r="D124" s="21" t="n">
        <v>155</v>
      </c>
      <c r="E124" s="21" t="s">
        <v>44</v>
      </c>
      <c r="F124" s="21" t="n">
        <v>1</v>
      </c>
      <c r="G124" s="21" t="n">
        <v>49</v>
      </c>
      <c r="H124" s="21" t="n">
        <v>51</v>
      </c>
      <c r="I124" s="22" t="str">
        <f aca="false">_xlfn.CONCAT(B124, "-", C124,"-", D124,"-", F124)</f>
        <v>M0111-B-155-1</v>
      </c>
      <c r="J124" s="23" t="str">
        <f aca="false">_xlfn.CONCAT(A124, "-", I124, ",",G124, "-",H124)</f>
        <v>501-M0111-B-155-1,49-51</v>
      </c>
      <c r="K124" s="22" t="n">
        <f aca="false">VLOOKUP(I124, 'Depth vlookup'!$G$2:$I$997,2,FALSE())+(G124/100)</f>
        <v>356.04</v>
      </c>
      <c r="L124" s="28" t="n">
        <f aca="false">K124+2/100</f>
        <v>356.06</v>
      </c>
      <c r="M124" s="21" t="n">
        <v>4</v>
      </c>
      <c r="N124" s="24" t="n">
        <f aca="false">VLOOKUP(M124,  Beakers!$A$2:$B$151, 2, 0)</f>
        <v>9.4749</v>
      </c>
      <c r="O124" s="21" t="n">
        <v>19.0988</v>
      </c>
      <c r="P124" s="25" t="n">
        <v>46045.7534722222</v>
      </c>
      <c r="Q124" s="21" t="n">
        <v>17.2475</v>
      </c>
      <c r="R124" s="22" t="s">
        <v>41</v>
      </c>
      <c r="S124" s="22" t="n">
        <v>1</v>
      </c>
      <c r="T124" s="21" t="n">
        <v>7.0865</v>
      </c>
      <c r="U124" s="22"/>
      <c r="V124" s="26" t="n">
        <f aca="false">O124-N124</f>
        <v>9.6239</v>
      </c>
      <c r="W124" s="26" t="n">
        <f aca="false">Q124-N124</f>
        <v>7.7726</v>
      </c>
      <c r="X124" s="26" t="n">
        <f aca="false">(V124-W124)/(1-35/1000)</f>
        <v>1.91844559585492</v>
      </c>
      <c r="Y124" s="26" t="n">
        <f aca="false">X124-(V124-W124)</f>
        <v>0.0671455958549223</v>
      </c>
      <c r="Z124" s="31" t="n">
        <f aca="false">W124-Y124</f>
        <v>7.70545440414508</v>
      </c>
      <c r="AA124" s="31" t="n">
        <f aca="false">X124/1.024</f>
        <v>1.87348202720207</v>
      </c>
      <c r="AB124" s="31" t="n">
        <f aca="false">Y124/2.22</f>
        <v>0.0302457638986136</v>
      </c>
      <c r="AC124" s="31" t="n">
        <f aca="false">T124-VLOOKUP(M124, Beakers!$A$2:$C$151, 3, 0)</f>
        <v>2.83766591928251</v>
      </c>
      <c r="AD124" s="31" t="n">
        <f aca="false">AC124-AB124+AA124</f>
        <v>4.68090218258597</v>
      </c>
      <c r="AE124" s="31" t="n">
        <f aca="false">AC124-AB124</f>
        <v>2.8074201553839</v>
      </c>
      <c r="AF124" s="31" t="n">
        <f aca="false">X124/V124</f>
        <v>0.199341804866522</v>
      </c>
      <c r="AG124" s="26" t="n">
        <f aca="false">X124/Z124</f>
        <v>0.248972415542802</v>
      </c>
      <c r="AH124" s="26" t="n">
        <f aca="false">V124/AD124</f>
        <v>2.05599254686481</v>
      </c>
      <c r="AI124" s="26" t="n">
        <f aca="false">Z124/AD124</f>
        <v>1.64614728178066</v>
      </c>
      <c r="AJ124" s="26" t="n">
        <f aca="false">Z124/AE124</f>
        <v>2.74467446184285</v>
      </c>
      <c r="AK124" s="26" t="n">
        <f aca="false">AA124/AD124</f>
        <v>0.40023951668374</v>
      </c>
      <c r="AL124" s="26" t="n">
        <f aca="false">AA124/AE124</f>
        <v>0.667332256487945</v>
      </c>
      <c r="AM124" s="23" t="s">
        <v>45</v>
      </c>
    </row>
    <row r="125" s="23" customFormat="true" ht="14.25" hidden="false" customHeight="false" outlineLevel="0" collapsed="false">
      <c r="A125" s="20" t="n">
        <v>501</v>
      </c>
      <c r="B125" s="21" t="s">
        <v>38</v>
      </c>
      <c r="C125" s="21" t="s">
        <v>39</v>
      </c>
      <c r="D125" s="21" t="n">
        <v>157</v>
      </c>
      <c r="E125" s="21" t="s">
        <v>44</v>
      </c>
      <c r="F125" s="21" t="n">
        <v>1</v>
      </c>
      <c r="G125" s="21" t="n">
        <v>38</v>
      </c>
      <c r="H125" s="21" t="n">
        <v>40</v>
      </c>
      <c r="I125" s="22" t="str">
        <f aca="false">_xlfn.CONCAT(B125, "-", C125,"-", D125,"-", F125)</f>
        <v>M0111-B-157-1</v>
      </c>
      <c r="J125" s="23" t="str">
        <f aca="false">_xlfn.CONCAT(A125, "-", I125, ",",G125, "-",H125)</f>
        <v>501-M0111-B-157-1,38-40</v>
      </c>
      <c r="K125" s="22" t="n">
        <f aca="false">VLOOKUP(I125, 'Depth vlookup'!$G$2:$I$997,2,FALSE())+(G125/100)</f>
        <v>361.21</v>
      </c>
      <c r="L125" s="28" t="n">
        <f aca="false">K125+2/100</f>
        <v>361.23</v>
      </c>
      <c r="M125" s="21" t="n">
        <v>6</v>
      </c>
      <c r="N125" s="24" t="n">
        <f aca="false">VLOOKUP(M125,  Beakers!$A$2:$B$151, 2, 0)</f>
        <v>9.8908</v>
      </c>
      <c r="O125" s="21" t="n">
        <v>17.117</v>
      </c>
      <c r="P125" s="25" t="n">
        <v>46045.7534722222</v>
      </c>
      <c r="Q125" s="21" t="n">
        <v>15.5135</v>
      </c>
      <c r="R125" s="22" t="s">
        <v>41</v>
      </c>
      <c r="S125" s="22" t="n">
        <v>2</v>
      </c>
      <c r="T125" s="21" t="n">
        <v>6.5204</v>
      </c>
      <c r="U125" s="22"/>
      <c r="V125" s="26" t="n">
        <f aca="false">O125-N125</f>
        <v>7.2262</v>
      </c>
      <c r="W125" s="26" t="n">
        <f aca="false">Q125-N125</f>
        <v>5.6227</v>
      </c>
      <c r="X125" s="26" t="n">
        <f aca="false">(V125-W125)/(1-35/1000)</f>
        <v>1.66165803108808</v>
      </c>
      <c r="Y125" s="26" t="n">
        <f aca="false">X125-(V125-W125)</f>
        <v>0.0581580310880829</v>
      </c>
      <c r="Z125" s="31" t="n">
        <f aca="false">W125-Y125</f>
        <v>5.56454196891192</v>
      </c>
      <c r="AA125" s="31" t="n">
        <f aca="false">X125/1.024</f>
        <v>1.62271292098446</v>
      </c>
      <c r="AB125" s="31" t="n">
        <f aca="false">Y125/2.22</f>
        <v>0.0261973113009383</v>
      </c>
      <c r="AC125" s="31" t="n">
        <f aca="false">T125-VLOOKUP(M125, Beakers!$A$2:$C$151, 3, 0)</f>
        <v>2.08506367713005</v>
      </c>
      <c r="AD125" s="31" t="n">
        <f aca="false">AC125-AB125+AA125</f>
        <v>3.68157928681356</v>
      </c>
      <c r="AE125" s="31" t="n">
        <f aca="false">AC125-AB125</f>
        <v>2.05886636582911</v>
      </c>
      <c r="AF125" s="31" t="n">
        <f aca="false">X125/V125</f>
        <v>0.229949078504343</v>
      </c>
      <c r="AG125" s="26" t="n">
        <f aca="false">X125/Z125</f>
        <v>0.298615418909852</v>
      </c>
      <c r="AH125" s="26" t="n">
        <f aca="false">V125/AD125</f>
        <v>1.9627989612725</v>
      </c>
      <c r="AI125" s="26" t="n">
        <f aca="false">Z125/AD125</f>
        <v>1.5114551488386</v>
      </c>
      <c r="AJ125" s="26" t="n">
        <f aca="false">Z125/AE125</f>
        <v>2.70272129423566</v>
      </c>
      <c r="AK125" s="26" t="n">
        <f aca="false">AA125/AD125</f>
        <v>0.440765441829973</v>
      </c>
      <c r="AL125" s="26" t="n">
        <f aca="false">AA125/AE125</f>
        <v>0.788158448705819</v>
      </c>
      <c r="AM125" s="23" t="s">
        <v>45</v>
      </c>
    </row>
    <row r="126" s="23" customFormat="true" ht="14.25" hidden="false" customHeight="false" outlineLevel="0" collapsed="false">
      <c r="A126" s="20" t="n">
        <v>501</v>
      </c>
      <c r="B126" s="21" t="s">
        <v>38</v>
      </c>
      <c r="C126" s="21" t="s">
        <v>39</v>
      </c>
      <c r="D126" s="21" t="n">
        <v>158</v>
      </c>
      <c r="E126" s="21" t="s">
        <v>44</v>
      </c>
      <c r="F126" s="21" t="n">
        <v>1</v>
      </c>
      <c r="G126" s="21" t="n">
        <v>43</v>
      </c>
      <c r="H126" s="21" t="n">
        <v>45</v>
      </c>
      <c r="I126" s="22" t="str">
        <f aca="false">_xlfn.CONCAT(B126, "-", C126,"-", D126,"-", F126)</f>
        <v>M0111-B-158-1</v>
      </c>
      <c r="J126" s="23" t="str">
        <f aca="false">_xlfn.CONCAT(A126, "-", I126, ",",G126, "-",H126)</f>
        <v>501-M0111-B-158-1,43-45</v>
      </c>
      <c r="K126" s="22" t="n">
        <f aca="false">VLOOKUP(I126, 'Depth vlookup'!$G$2:$I$997,2,FALSE())+(G126/100)</f>
        <v>362.16</v>
      </c>
      <c r="L126" s="28" t="n">
        <f aca="false">K126+2/100</f>
        <v>362.18</v>
      </c>
      <c r="M126" s="21" t="n">
        <v>7</v>
      </c>
      <c r="N126" s="24" t="n">
        <f aca="false">VLOOKUP(M126,  Beakers!$A$2:$B$151, 2, 0)</f>
        <v>9.8834</v>
      </c>
      <c r="O126" s="21" t="n">
        <v>20.8619</v>
      </c>
      <c r="P126" s="25" t="n">
        <v>46045.7534722222</v>
      </c>
      <c r="Q126" s="21" t="n">
        <v>18.1652</v>
      </c>
      <c r="R126" s="22" t="s">
        <v>41</v>
      </c>
      <c r="S126" s="22" t="n">
        <v>3</v>
      </c>
      <c r="T126" s="21" t="n">
        <v>7.3907</v>
      </c>
      <c r="U126" s="22"/>
      <c r="V126" s="26" t="n">
        <f aca="false">O126-N126</f>
        <v>10.9785</v>
      </c>
      <c r="W126" s="26" t="n">
        <f aca="false">Q126-N126</f>
        <v>8.2818</v>
      </c>
      <c r="X126" s="26" t="n">
        <f aca="false">(V126-W126)/(1-35/1000)</f>
        <v>2.79450777202073</v>
      </c>
      <c r="Y126" s="26" t="n">
        <f aca="false">X126-(V126-W126)</f>
        <v>0.0978077720207256</v>
      </c>
      <c r="Z126" s="31" t="n">
        <f aca="false">W126-Y126</f>
        <v>8.18399222797927</v>
      </c>
      <c r="AA126" s="31" t="n">
        <f aca="false">X126/1.024</f>
        <v>2.72901149611399</v>
      </c>
      <c r="AB126" s="31" t="n">
        <f aca="false">Y126/2.22</f>
        <v>0.0440575549642908</v>
      </c>
      <c r="AC126" s="31" t="n">
        <f aca="false">T126-VLOOKUP(M126, Beakers!$A$2:$C$151, 3, 0)</f>
        <v>2.95868206278027</v>
      </c>
      <c r="AD126" s="31" t="n">
        <f aca="false">AC126-AB126+AA126</f>
        <v>5.64363600392997</v>
      </c>
      <c r="AE126" s="31" t="n">
        <f aca="false">AC126-AB126</f>
        <v>2.91462450781598</v>
      </c>
      <c r="AF126" s="31" t="n">
        <f aca="false">X126/V126</f>
        <v>0.254543678282163</v>
      </c>
      <c r="AG126" s="26" t="n">
        <f aca="false">X126/Z126</f>
        <v>0.341460218213174</v>
      </c>
      <c r="AH126" s="26" t="n">
        <f aca="false">V126/AD126</f>
        <v>1.94528846161501</v>
      </c>
      <c r="AI126" s="26" t="n">
        <f aca="false">Z126/AD126</f>
        <v>1.45012758127567</v>
      </c>
      <c r="AJ126" s="26" t="n">
        <f aca="false">Z126/AE126</f>
        <v>2.80790620062129</v>
      </c>
      <c r="AK126" s="26" t="n">
        <f aca="false">AA126/AD126</f>
        <v>0.483555547206381</v>
      </c>
      <c r="AL126" s="26" t="n">
        <f aca="false">AA126/AE126</f>
        <v>0.936316664049094</v>
      </c>
      <c r="AM126" s="23" t="s">
        <v>45</v>
      </c>
    </row>
    <row r="127" s="23" customFormat="true" ht="14.25" hidden="false" customHeight="false" outlineLevel="0" collapsed="false">
      <c r="A127" s="20" t="n">
        <v>501</v>
      </c>
      <c r="B127" s="21" t="s">
        <v>38</v>
      </c>
      <c r="C127" s="21" t="s">
        <v>39</v>
      </c>
      <c r="D127" s="21" t="n">
        <v>159</v>
      </c>
      <c r="E127" s="21" t="s">
        <v>44</v>
      </c>
      <c r="F127" s="21" t="n">
        <v>1</v>
      </c>
      <c r="G127" s="21" t="n">
        <v>3</v>
      </c>
      <c r="H127" s="21" t="n">
        <v>5</v>
      </c>
      <c r="I127" s="22" t="str">
        <f aca="false">_xlfn.CONCAT(B127, "-", C127,"-", D127,"-", F127)</f>
        <v>M0111-B-159-1</v>
      </c>
      <c r="J127" s="23" t="str">
        <f aca="false">_xlfn.CONCAT(A127, "-", I127, ",",G127, "-",H127)</f>
        <v>501-M0111-B-159-1,3-5</v>
      </c>
      <c r="K127" s="22" t="n">
        <f aca="false">VLOOKUP(I127, 'Depth vlookup'!$G$2:$I$997,2,FALSE())+(G127/100)</f>
        <v>364.81</v>
      </c>
      <c r="L127" s="28" t="n">
        <f aca="false">K127+2/100</f>
        <v>364.83</v>
      </c>
      <c r="M127" s="21" t="n">
        <v>272</v>
      </c>
      <c r="N127" s="24" t="n">
        <f aca="false">VLOOKUP(M127,  Beakers!$A$2:$B$151, 2, 0)</f>
        <v>10.0933</v>
      </c>
      <c r="O127" s="21" t="n">
        <v>20.5949</v>
      </c>
      <c r="P127" s="25" t="n">
        <v>46045.7569444444</v>
      </c>
      <c r="Q127" s="21" t="n">
        <v>18.0163</v>
      </c>
      <c r="R127" s="22" t="s">
        <v>41</v>
      </c>
      <c r="S127" s="22" t="n">
        <v>2</v>
      </c>
      <c r="T127" s="21" t="n">
        <v>7.4437</v>
      </c>
      <c r="U127" s="22"/>
      <c r="V127" s="26" t="n">
        <f aca="false">O127-N127</f>
        <v>10.5016</v>
      </c>
      <c r="W127" s="26" t="n">
        <f aca="false">Q127-N127</f>
        <v>7.923</v>
      </c>
      <c r="X127" s="26" t="n">
        <f aca="false">(V127-W127)/(1-35/1000)</f>
        <v>2.6721243523316</v>
      </c>
      <c r="Y127" s="26" t="n">
        <f aca="false">X127-(V127-W127)</f>
        <v>0.0935243523316061</v>
      </c>
      <c r="Z127" s="31" t="n">
        <f aca="false">W127-Y127</f>
        <v>7.8294756476684</v>
      </c>
      <c r="AA127" s="31" t="n">
        <f aca="false">X127/1.024</f>
        <v>2.60949643782383</v>
      </c>
      <c r="AB127" s="31" t="n">
        <f aca="false">Y127/2.22</f>
        <v>0.0421280866358586</v>
      </c>
      <c r="AC127" s="31" t="n">
        <f aca="false">T127-VLOOKUP(M127, Beakers!$A$2:$C$151, 3, 0)</f>
        <v>2.91755650224215</v>
      </c>
      <c r="AD127" s="31" t="n">
        <f aca="false">AC127-AB127+AA127</f>
        <v>5.48492485343013</v>
      </c>
      <c r="AE127" s="31" t="n">
        <f aca="false">AC127-AB127</f>
        <v>2.87542841560629</v>
      </c>
      <c r="AF127" s="31" t="n">
        <f aca="false">X127/V127</f>
        <v>0.254449260334768</v>
      </c>
      <c r="AG127" s="26" t="n">
        <f aca="false">X127/Z127</f>
        <v>0.341290333169036</v>
      </c>
      <c r="AH127" s="26" t="n">
        <f aca="false">V127/AD127</f>
        <v>1.91462969514205</v>
      </c>
      <c r="AI127" s="26" t="n">
        <f aca="false">Z127/AD127</f>
        <v>1.42745358539818</v>
      </c>
      <c r="AJ127" s="26" t="n">
        <f aca="false">Z127/AE127</f>
        <v>2.72289012836285</v>
      </c>
      <c r="AK127" s="26" t="n">
        <f aca="false">AA127/AD127</f>
        <v>0.475757919671757</v>
      </c>
      <c r="AL127" s="26" t="n">
        <f aca="false">AA127/AE127</f>
        <v>0.907515702237926</v>
      </c>
      <c r="AM127" s="23" t="s">
        <v>45</v>
      </c>
    </row>
    <row r="128" s="23" customFormat="true" ht="14.25" hidden="false" customHeight="false" outlineLevel="0" collapsed="false">
      <c r="A128" s="20" t="n">
        <v>501</v>
      </c>
      <c r="B128" s="21" t="s">
        <v>38</v>
      </c>
      <c r="C128" s="21" t="s">
        <v>39</v>
      </c>
      <c r="D128" s="21" t="n">
        <v>160</v>
      </c>
      <c r="E128" s="21" t="s">
        <v>44</v>
      </c>
      <c r="F128" s="21" t="n">
        <v>1</v>
      </c>
      <c r="G128" s="21" t="n">
        <v>38</v>
      </c>
      <c r="H128" s="21" t="n">
        <v>40</v>
      </c>
      <c r="I128" s="22" t="str">
        <f aca="false">_xlfn.CONCAT(B128, "-", C128,"-", D128,"-", F128)</f>
        <v>M0111-B-160-1</v>
      </c>
      <c r="J128" s="23" t="str">
        <f aca="false">_xlfn.CONCAT(A128, "-", I128, ",",G128, "-",H128)</f>
        <v>501-M0111-B-160-1,38-40</v>
      </c>
      <c r="K128" s="22" t="n">
        <f aca="false">VLOOKUP(I128, 'Depth vlookup'!$G$2:$I$997,2,FALSE())+(G128/100)</f>
        <v>366.46</v>
      </c>
      <c r="L128" s="28" t="n">
        <f aca="false">K128+2/100</f>
        <v>366.48</v>
      </c>
      <c r="M128" s="21" t="n">
        <v>273</v>
      </c>
      <c r="N128" s="24" t="n">
        <f aca="false">VLOOKUP(M128,  Beakers!$A$2:$B$151, 2, 0)</f>
        <v>9.643</v>
      </c>
      <c r="O128" s="21" t="n">
        <v>19.2993</v>
      </c>
      <c r="P128" s="25" t="n">
        <v>46045.7569444444</v>
      </c>
      <c r="Q128" s="21" t="n">
        <v>17.9896</v>
      </c>
      <c r="R128" s="22" t="s">
        <v>41</v>
      </c>
      <c r="S128" s="22" t="n">
        <v>3</v>
      </c>
      <c r="T128" s="21" t="n">
        <v>7.4787</v>
      </c>
      <c r="U128" s="22"/>
      <c r="V128" s="26" t="n">
        <f aca="false">O128-N128</f>
        <v>9.6563</v>
      </c>
      <c r="W128" s="26" t="n">
        <f aca="false">Q128-N128</f>
        <v>8.3466</v>
      </c>
      <c r="X128" s="26" t="n">
        <f aca="false">(V128-W128)/(1-35/1000)</f>
        <v>1.35720207253886</v>
      </c>
      <c r="Y128" s="26" t="n">
        <f aca="false">X128-(V128-W128)</f>
        <v>0.0475020725388602</v>
      </c>
      <c r="Z128" s="31" t="n">
        <f aca="false">W128-Y128</f>
        <v>8.29909792746114</v>
      </c>
      <c r="AA128" s="31" t="n">
        <f aca="false">X128/1.024</f>
        <v>1.32539264896373</v>
      </c>
      <c r="AB128" s="31" t="n">
        <f aca="false">Y128/2.22</f>
        <v>0.0213973299724595</v>
      </c>
      <c r="AC128" s="31" t="n">
        <f aca="false">T128-VLOOKUP(M128, Beakers!$A$2:$C$151, 3, 0)</f>
        <v>3.15448475336323</v>
      </c>
      <c r="AD128" s="31" t="n">
        <f aca="false">AC128-AB128+AA128</f>
        <v>4.4584800723545</v>
      </c>
      <c r="AE128" s="31" t="n">
        <f aca="false">AC128-AB128</f>
        <v>3.13308742339077</v>
      </c>
      <c r="AF128" s="31" t="n">
        <f aca="false">X128/V128</f>
        <v>0.140550943170662</v>
      </c>
      <c r="AG128" s="26" t="n">
        <f aca="false">X128/Z128</f>
        <v>0.163536095657815</v>
      </c>
      <c r="AH128" s="26" t="n">
        <f aca="false">V128/AD128</f>
        <v>2.16582778060967</v>
      </c>
      <c r="AI128" s="26" t="n">
        <f aca="false">Z128/AD128</f>
        <v>1.86141864329976</v>
      </c>
      <c r="AJ128" s="26" t="n">
        <f aca="false">Z128/AE128</f>
        <v>2.64885616197696</v>
      </c>
      <c r="AK128" s="26" t="n">
        <f aca="false">AA128/AD128</f>
        <v>0.297274548154209</v>
      </c>
      <c r="AL128" s="26" t="n">
        <f aca="false">AA128/AE128</f>
        <v>0.423030854188336</v>
      </c>
      <c r="AM128" s="23" t="s">
        <v>42</v>
      </c>
    </row>
    <row r="129" s="23" customFormat="true" ht="14.25" hidden="false" customHeight="false" outlineLevel="0" collapsed="false">
      <c r="A129" s="20" t="n">
        <v>501</v>
      </c>
      <c r="B129" s="21" t="s">
        <v>38</v>
      </c>
      <c r="C129" s="21" t="s">
        <v>39</v>
      </c>
      <c r="D129" s="21" t="n">
        <v>161</v>
      </c>
      <c r="E129" s="21" t="s">
        <v>44</v>
      </c>
      <c r="F129" s="21" t="n">
        <v>1</v>
      </c>
      <c r="G129" s="21" t="n">
        <v>38</v>
      </c>
      <c r="H129" s="21" t="n">
        <v>40</v>
      </c>
      <c r="I129" s="22" t="str">
        <f aca="false">_xlfn.CONCAT(B129, "-", C129,"-", D129,"-", F129)</f>
        <v>M0111-B-161-1</v>
      </c>
      <c r="J129" s="23" t="str">
        <f aca="false">_xlfn.CONCAT(A129, "-", I129, ",",G129, "-",H129)</f>
        <v>501-M0111-B-161-1,38-40</v>
      </c>
      <c r="K129" s="22" t="n">
        <f aca="false">VLOOKUP(I129, 'Depth vlookup'!$G$2:$I$997,2,FALSE())+(G129/100)</f>
        <v>369.21</v>
      </c>
      <c r="L129" s="28" t="n">
        <f aca="false">K129+2/100</f>
        <v>369.23</v>
      </c>
      <c r="M129" s="21" t="n">
        <v>274</v>
      </c>
      <c r="N129" s="24" t="n">
        <f aca="false">VLOOKUP(M129,  Beakers!$A$2:$B$151, 2, 0)</f>
        <v>9.9089</v>
      </c>
      <c r="O129" s="21" t="n">
        <v>19.1825</v>
      </c>
      <c r="P129" s="25" t="n">
        <v>46045.7569444444</v>
      </c>
      <c r="Q129" s="21" t="n">
        <v>17.5614</v>
      </c>
      <c r="R129" s="22" t="s">
        <v>41</v>
      </c>
      <c r="S129" s="22" t="n">
        <v>5</v>
      </c>
      <c r="T129" s="21" t="n">
        <v>7.345</v>
      </c>
      <c r="U129" s="22"/>
      <c r="V129" s="26" t="n">
        <f aca="false">O129-N129</f>
        <v>9.2736</v>
      </c>
      <c r="W129" s="26" t="n">
        <f aca="false">Q129-N129</f>
        <v>7.6525</v>
      </c>
      <c r="X129" s="26" t="n">
        <f aca="false">(V129-W129)/(1-35/1000)</f>
        <v>1.679896373057</v>
      </c>
      <c r="Y129" s="26" t="n">
        <f aca="false">X129-(V129-W129)</f>
        <v>0.0587963730569949</v>
      </c>
      <c r="Z129" s="31" t="n">
        <f aca="false">W129-Y129</f>
        <v>7.59370362694301</v>
      </c>
      <c r="AA129" s="31" t="n">
        <f aca="false">X129/1.024</f>
        <v>1.64052380181347</v>
      </c>
      <c r="AB129" s="31" t="n">
        <f aca="false">Y129/2.22</f>
        <v>0.0264848527283761</v>
      </c>
      <c r="AC129" s="31" t="n">
        <f aca="false">T129-VLOOKUP(M129, Beakers!$A$2:$C$151, 3, 0)</f>
        <v>2.90154708520179</v>
      </c>
      <c r="AD129" s="31" t="n">
        <f aca="false">AC129-AB129+AA129</f>
        <v>4.51558603428689</v>
      </c>
      <c r="AE129" s="31" t="n">
        <f aca="false">AC129-AB129</f>
        <v>2.87506223247342</v>
      </c>
      <c r="AF129" s="31" t="n">
        <f aca="false">X129/V129</f>
        <v>0.181148245886926</v>
      </c>
      <c r="AG129" s="26" t="n">
        <f aca="false">X129/Z129</f>
        <v>0.221222272501735</v>
      </c>
      <c r="AH129" s="26" t="n">
        <f aca="false">V129/AD129</f>
        <v>2.05368692559182</v>
      </c>
      <c r="AI129" s="26" t="n">
        <f aca="false">Z129/AD129</f>
        <v>1.68166514141995</v>
      </c>
      <c r="AJ129" s="26" t="n">
        <f aca="false">Z129/AE129</f>
        <v>2.64123104577466</v>
      </c>
      <c r="AK129" s="26" t="n">
        <f aca="false">AA129/AD129</f>
        <v>0.363302523605344</v>
      </c>
      <c r="AL129" s="26" t="n">
        <f aca="false">AA129/AE129</f>
        <v>0.570604623191801</v>
      </c>
      <c r="AM129" s="23" t="s">
        <v>45</v>
      </c>
    </row>
    <row r="130" s="23" customFormat="true" ht="14.25" hidden="false" customHeight="false" outlineLevel="0" collapsed="false">
      <c r="A130" s="20" t="n">
        <v>501</v>
      </c>
      <c r="B130" s="21" t="s">
        <v>38</v>
      </c>
      <c r="C130" s="21" t="s">
        <v>39</v>
      </c>
      <c r="D130" s="21" t="n">
        <v>165</v>
      </c>
      <c r="E130" s="21" t="s">
        <v>44</v>
      </c>
      <c r="F130" s="21" t="n">
        <v>1</v>
      </c>
      <c r="G130" s="21" t="n">
        <v>38</v>
      </c>
      <c r="H130" s="21" t="n">
        <v>40</v>
      </c>
      <c r="I130" s="22" t="str">
        <f aca="false">_xlfn.CONCAT(B130, "-", C130,"-", D130,"-", F130)</f>
        <v>M0111-B-165-1</v>
      </c>
      <c r="J130" s="23" t="str">
        <f aca="false">_xlfn.CONCAT(A130, "-", I130, ",",G130, "-",H130)</f>
        <v>501-M0111-B-165-1,38-40</v>
      </c>
      <c r="K130" s="22" t="n">
        <f aca="false">VLOOKUP(I130, 'Depth vlookup'!$G$2:$I$997,2,FALSE())+(G130/100)</f>
        <v>378.36</v>
      </c>
      <c r="L130" s="28" t="n">
        <f aca="false">K130+2/100</f>
        <v>378.38</v>
      </c>
      <c r="M130" s="21" t="n">
        <v>275</v>
      </c>
      <c r="N130" s="24" t="n">
        <f aca="false">VLOOKUP(M130,  Beakers!$A$2:$B$151, 2, 0)</f>
        <v>9.7669</v>
      </c>
      <c r="O130" s="21" t="n">
        <v>21.488</v>
      </c>
      <c r="P130" s="25" t="n">
        <v>46045.8208333333</v>
      </c>
      <c r="Q130" s="21" t="n">
        <v>19.2181</v>
      </c>
      <c r="R130" s="22" t="s">
        <v>41</v>
      </c>
      <c r="S130" s="22" t="n">
        <v>2</v>
      </c>
      <c r="T130" s="21" t="n">
        <v>7.9199</v>
      </c>
      <c r="U130" s="22"/>
      <c r="V130" s="26" t="n">
        <f aca="false">O130-N130</f>
        <v>11.7211</v>
      </c>
      <c r="W130" s="26" t="n">
        <f aca="false">Q130-N130</f>
        <v>9.4512</v>
      </c>
      <c r="X130" s="26" t="n">
        <f aca="false">(V130-W130)/(1-35/1000)</f>
        <v>2.35222797927461</v>
      </c>
      <c r="Y130" s="26" t="n">
        <f aca="false">X130-(V130-W130)</f>
        <v>0.0823279792746114</v>
      </c>
      <c r="Z130" s="31" t="n">
        <f aca="false">W130-Y130</f>
        <v>9.36887202072539</v>
      </c>
      <c r="AA130" s="31" t="n">
        <f aca="false">X130/1.024</f>
        <v>2.29709763601036</v>
      </c>
      <c r="AB130" s="31" t="n">
        <f aca="false">Y130/2.22</f>
        <v>0.0370846753489241</v>
      </c>
      <c r="AC130" s="31" t="n">
        <f aca="false">T130-VLOOKUP(M130, Beakers!$A$2:$C$151, 3, 0)</f>
        <v>3.54012421524664</v>
      </c>
      <c r="AD130" s="31" t="n">
        <f aca="false">AC130-AB130+AA130</f>
        <v>5.80013717590808</v>
      </c>
      <c r="AE130" s="31" t="n">
        <f aca="false">AC130-AB130</f>
        <v>3.50303953989771</v>
      </c>
      <c r="AF130" s="31" t="n">
        <f aca="false">X130/V130</f>
        <v>0.200683210558276</v>
      </c>
      <c r="AG130" s="26" t="n">
        <f aca="false">X130/Z130</f>
        <v>0.251068428949731</v>
      </c>
      <c r="AH130" s="26" t="n">
        <f aca="false">V130/AD130</f>
        <v>2.020831515621</v>
      </c>
      <c r="AI130" s="26" t="n">
        <f aca="false">Z130/AD130</f>
        <v>1.61528455906883</v>
      </c>
      <c r="AJ130" s="26" t="n">
        <f aca="false">Z130/AE130</f>
        <v>2.67449793644035</v>
      </c>
      <c r="AK130" s="26" t="n">
        <f aca="false">AA130/AD130</f>
        <v>0.396041949757977</v>
      </c>
      <c r="AL130" s="26" t="n">
        <f aca="false">AA130/AE130</f>
        <v>0.655744135870484</v>
      </c>
    </row>
    <row r="131" s="23" customFormat="true" ht="14.25" hidden="false" customHeight="false" outlineLevel="0" collapsed="false">
      <c r="A131" s="20" t="n">
        <v>501</v>
      </c>
      <c r="B131" s="21" t="s">
        <v>38</v>
      </c>
      <c r="C131" s="21" t="s">
        <v>39</v>
      </c>
      <c r="D131" s="21" t="n">
        <v>166</v>
      </c>
      <c r="E131" s="21" t="s">
        <v>44</v>
      </c>
      <c r="F131" s="21" t="n">
        <v>1</v>
      </c>
      <c r="G131" s="21" t="n">
        <v>42</v>
      </c>
      <c r="H131" s="21" t="n">
        <v>44</v>
      </c>
      <c r="I131" s="22" t="str">
        <f aca="false">_xlfn.CONCAT(B131, "-", C131,"-", D131,"-", F131)</f>
        <v>M0111-B-166-1</v>
      </c>
      <c r="J131" s="23" t="str">
        <f aca="false">_xlfn.CONCAT(A131, "-", I131, ",",G131, "-",H131)</f>
        <v>501-M0111-B-166-1,42-44</v>
      </c>
      <c r="K131" s="22" t="n">
        <f aca="false">VLOOKUP(I131, 'Depth vlookup'!$G$2:$I$997,2,FALSE())+(G131/100)</f>
        <v>381.45</v>
      </c>
      <c r="L131" s="28" t="n">
        <f aca="false">K131+2/100</f>
        <v>381.47</v>
      </c>
      <c r="M131" s="21" t="n">
        <v>276</v>
      </c>
      <c r="N131" s="24" t="n">
        <f aca="false">VLOOKUP(M131,  Beakers!$A$2:$B$151, 2, 0)</f>
        <v>9.9183</v>
      </c>
      <c r="O131" s="21" t="n">
        <v>19.5184</v>
      </c>
      <c r="P131" s="25" t="n">
        <v>46045.8208333333</v>
      </c>
      <c r="Q131" s="21" t="n">
        <v>17.431</v>
      </c>
      <c r="R131" s="22" t="s">
        <v>41</v>
      </c>
      <c r="S131" s="22" t="n">
        <v>5</v>
      </c>
      <c r="T131" s="21" t="n">
        <v>7.0877</v>
      </c>
      <c r="U131" s="22"/>
      <c r="V131" s="26" t="n">
        <f aca="false">O131-N131</f>
        <v>9.6001</v>
      </c>
      <c r="W131" s="26" t="n">
        <f aca="false">Q131-N131</f>
        <v>7.5127</v>
      </c>
      <c r="X131" s="26" t="n">
        <f aca="false">(V131-W131)/(1-35/1000)</f>
        <v>2.16310880829015</v>
      </c>
      <c r="Y131" s="26" t="n">
        <f aca="false">X131-(V131-W131)</f>
        <v>0.0757088082901554</v>
      </c>
      <c r="Z131" s="31" t="n">
        <f aca="false">W131-Y131</f>
        <v>7.43699119170985</v>
      </c>
      <c r="AA131" s="31" t="n">
        <f aca="false">X131/1.024</f>
        <v>2.11241094559585</v>
      </c>
      <c r="AB131" s="31" t="n">
        <f aca="false">Y131/2.22</f>
        <v>0.0341030667973673</v>
      </c>
      <c r="AC131" s="31" t="n">
        <f aca="false">T131-VLOOKUP(M131, Beakers!$A$2:$C$151, 3, 0)</f>
        <v>2.64003183856502</v>
      </c>
      <c r="AD131" s="31" t="n">
        <f aca="false">AC131-AB131+AA131</f>
        <v>4.71833971736351</v>
      </c>
      <c r="AE131" s="31" t="n">
        <f aca="false">AC131-AB131</f>
        <v>2.60592877176766</v>
      </c>
      <c r="AF131" s="31" t="n">
        <f aca="false">X131/V131</f>
        <v>0.225321487098067</v>
      </c>
      <c r="AG131" s="26" t="n">
        <f aca="false">X131/Z131</f>
        <v>0.290858057046163</v>
      </c>
      <c r="AH131" s="26" t="n">
        <f aca="false">V131/AD131</f>
        <v>2.03463518420931</v>
      </c>
      <c r="AI131" s="26" t="n">
        <f aca="false">Z131/AD131</f>
        <v>1.57618815880122</v>
      </c>
      <c r="AJ131" s="26" t="n">
        <f aca="false">Z131/AE131</f>
        <v>2.85387354876365</v>
      </c>
      <c r="AK131" s="26" t="n">
        <f aca="false">AA131/AD131</f>
        <v>0.447702173250089</v>
      </c>
      <c r="AL131" s="26" t="n">
        <f aca="false">AA131/AE131</f>
        <v>0.810617300243</v>
      </c>
    </row>
    <row r="132" customFormat="false" ht="14.25" hidden="false" customHeight="false" outlineLevel="0" collapsed="false">
      <c r="J132" s="9"/>
      <c r="L132" s="28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26"/>
      <c r="AH132" s="26"/>
      <c r="AI132" s="26"/>
      <c r="AJ132" s="26"/>
      <c r="AK132" s="26"/>
      <c r="AL132" s="26"/>
    </row>
    <row r="133" customFormat="false" ht="14.25" hidden="false" customHeight="false" outlineLevel="0" collapsed="false">
      <c r="J133" s="9"/>
      <c r="L133" s="28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26"/>
      <c r="AH133" s="26"/>
      <c r="AI133" s="26"/>
      <c r="AJ133" s="26"/>
      <c r="AK133" s="26"/>
      <c r="AL133" s="26"/>
    </row>
    <row r="134" customFormat="false" ht="14.25" hidden="false" customHeight="false" outlineLevel="0" collapsed="false">
      <c r="J134" s="9"/>
      <c r="L134" s="28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26"/>
      <c r="AH134" s="26"/>
      <c r="AI134" s="26"/>
      <c r="AJ134" s="26"/>
      <c r="AK134" s="26"/>
      <c r="AL134" s="26"/>
    </row>
    <row r="135" customFormat="false" ht="14.25" hidden="false" customHeight="false" outlineLevel="0" collapsed="false">
      <c r="J135" s="9"/>
      <c r="L135" s="28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26"/>
      <c r="AH135" s="26"/>
      <c r="AI135" s="26"/>
      <c r="AJ135" s="26"/>
      <c r="AK135" s="26"/>
      <c r="AL135" s="26"/>
    </row>
    <row r="136" customFormat="false" ht="14.25" hidden="false" customHeight="false" outlineLevel="0" collapsed="false">
      <c r="J136" s="9"/>
      <c r="L136" s="28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26"/>
      <c r="AH136" s="26"/>
      <c r="AI136" s="26"/>
      <c r="AJ136" s="26"/>
      <c r="AK136" s="26"/>
      <c r="AL136" s="26"/>
    </row>
    <row r="137" customFormat="false" ht="14.25" hidden="false" customHeight="false" outlineLevel="0" collapsed="false">
      <c r="J137" s="9"/>
      <c r="L137" s="28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26"/>
      <c r="AH137" s="26"/>
      <c r="AI137" s="26"/>
      <c r="AJ137" s="26"/>
      <c r="AK137" s="26"/>
      <c r="AL137" s="26"/>
    </row>
    <row r="138" customFormat="false" ht="14.25" hidden="false" customHeight="false" outlineLevel="0" collapsed="false">
      <c r="J138" s="9"/>
      <c r="L138" s="28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26"/>
      <c r="AH138" s="26"/>
      <c r="AI138" s="26"/>
      <c r="AJ138" s="26"/>
      <c r="AK138" s="26"/>
      <c r="AL138" s="26"/>
    </row>
    <row r="139" customFormat="false" ht="14.25" hidden="false" customHeight="false" outlineLevel="0" collapsed="false">
      <c r="J139" s="9"/>
      <c r="L139" s="28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26"/>
      <c r="AH139" s="26"/>
      <c r="AI139" s="26"/>
      <c r="AJ139" s="26"/>
      <c r="AK139" s="26"/>
      <c r="AL139" s="26"/>
    </row>
    <row r="140" customFormat="false" ht="14.25" hidden="false" customHeight="false" outlineLevel="0" collapsed="false">
      <c r="J140" s="9"/>
      <c r="L140" s="28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26"/>
      <c r="AH140" s="26"/>
      <c r="AI140" s="26"/>
      <c r="AJ140" s="26"/>
      <c r="AK140" s="26"/>
      <c r="AL140" s="26"/>
    </row>
    <row r="141" customFormat="false" ht="14.25" hidden="false" customHeight="false" outlineLevel="0" collapsed="false">
      <c r="J141" s="9"/>
      <c r="L141" s="28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26"/>
      <c r="AH141" s="26"/>
      <c r="AI141" s="26"/>
      <c r="AJ141" s="26"/>
      <c r="AK141" s="26"/>
      <c r="AL141" s="26"/>
    </row>
    <row r="142" customFormat="false" ht="14.25" hidden="false" customHeight="false" outlineLevel="0" collapsed="false">
      <c r="I142" s="3" t="str">
        <f aca="false">_xlfn.CONCAT(B142, "-", C142,"-", D142,"-", F142)</f>
        <v>---</v>
      </c>
      <c r="J142" s="9" t="str">
        <f aca="false">_xlfn.CONCAT(A142, "-", I142, ",",G142, "-",H142)</f>
        <v>----,-</v>
      </c>
      <c r="K142" s="3" t="e">
        <f aca="false">VLOOKUP(I142, 'Depth vlookup'!$G$2:$I$997,2,FALSE())+(G142/100)</f>
        <v>#N/A</v>
      </c>
      <c r="L142" s="28" t="e">
        <f aca="false">K142+2/100</f>
        <v>#N/A</v>
      </c>
      <c r="N142" s="4" t="e">
        <f aca="false">VLOOKUP(M142,  Beakers!$A$2:$B$151, 2, 0)</f>
        <v>#N/A</v>
      </c>
      <c r="V142" s="31" t="e">
        <f aca="false">O142-N142</f>
        <v>#N/A</v>
      </c>
      <c r="W142" s="31" t="e">
        <f aca="false">Q142-N142</f>
        <v>#N/A</v>
      </c>
      <c r="X142" s="31" t="e">
        <f aca="false">(V142-W142)/(1-35/1000)</f>
        <v>#N/A</v>
      </c>
      <c r="Y142" s="31" t="e">
        <f aca="false">X142-(V142-W142)</f>
        <v>#N/A</v>
      </c>
      <c r="Z142" s="31" t="e">
        <f aca="false">W142-Y142</f>
        <v>#N/A</v>
      </c>
      <c r="AA142" s="31" t="e">
        <f aca="false">X142/1.024</f>
        <v>#N/A</v>
      </c>
      <c r="AB142" s="31" t="e">
        <f aca="false">Y142/2.22</f>
        <v>#N/A</v>
      </c>
      <c r="AC142" s="31" t="e">
        <f aca="false">T142-VLOOKUP(M142, Beakers!$A$2:$C$151, 3, 0)</f>
        <v>#N/A</v>
      </c>
      <c r="AD142" s="31" t="e">
        <f aca="false">AC142-AB142+AA142</f>
        <v>#N/A</v>
      </c>
      <c r="AE142" s="31" t="e">
        <f aca="false">AC142-AB142</f>
        <v>#N/A</v>
      </c>
      <c r="AF142" s="31" t="e">
        <f aca="false">X142/V142</f>
        <v>#N/A</v>
      </c>
      <c r="AG142" s="26" t="e">
        <f aca="false">X142/Z142</f>
        <v>#N/A</v>
      </c>
      <c r="AH142" s="26" t="e">
        <f aca="false">V142/AD142</f>
        <v>#N/A</v>
      </c>
      <c r="AI142" s="26" t="e">
        <f aca="false">Z142/AD142</f>
        <v>#N/A</v>
      </c>
      <c r="AJ142" s="26" t="e">
        <f aca="false">Z142/AE142</f>
        <v>#N/A</v>
      </c>
      <c r="AK142" s="26" t="e">
        <f aca="false">AA142/AD142</f>
        <v>#N/A</v>
      </c>
      <c r="AL142" s="26" t="e">
        <f aca="false">AA142/AE142</f>
        <v>#N/A</v>
      </c>
    </row>
    <row r="143" customFormat="false" ht="14.25" hidden="false" customHeight="false" outlineLevel="0" collapsed="false">
      <c r="I143" s="3" t="str">
        <f aca="false">_xlfn.CONCAT(B143, "-", C143,"-", D143,"-", F143)</f>
        <v>---</v>
      </c>
      <c r="J143" s="9" t="str">
        <f aca="false">_xlfn.CONCAT(A143, "-", I143, ",",G143, "-",H143)</f>
        <v>----,-</v>
      </c>
      <c r="K143" s="3" t="e">
        <f aca="false">VLOOKUP(I143, 'Depth vlookup'!$G$2:$I$997,2,FALSE())+(G143/100)</f>
        <v>#N/A</v>
      </c>
      <c r="L143" s="28" t="e">
        <f aca="false">K143+2/100</f>
        <v>#N/A</v>
      </c>
      <c r="N143" s="4" t="e">
        <f aca="false">VLOOKUP(M143,  Beakers!$A$2:$B$151, 2, 0)</f>
        <v>#N/A</v>
      </c>
      <c r="V143" s="31" t="e">
        <f aca="false">O143-N143</f>
        <v>#N/A</v>
      </c>
      <c r="W143" s="31" t="e">
        <f aca="false">Q143-N143</f>
        <v>#N/A</v>
      </c>
      <c r="X143" s="31" t="e">
        <f aca="false">(V143-W143)/(1-35/1000)</f>
        <v>#N/A</v>
      </c>
      <c r="Y143" s="31" t="e">
        <f aca="false">X143-(V143-W143)</f>
        <v>#N/A</v>
      </c>
      <c r="Z143" s="31" t="e">
        <f aca="false">W143-Y143</f>
        <v>#N/A</v>
      </c>
      <c r="AA143" s="31" t="e">
        <f aca="false">X143/1.024</f>
        <v>#N/A</v>
      </c>
      <c r="AB143" s="31" t="e">
        <f aca="false">Y143/2.22</f>
        <v>#N/A</v>
      </c>
      <c r="AC143" s="31" t="e">
        <f aca="false">T143-VLOOKUP(M143, Beakers!$A$2:$C$151, 3, 0)</f>
        <v>#N/A</v>
      </c>
      <c r="AD143" s="31" t="e">
        <f aca="false">AC143-AB143+AA143</f>
        <v>#N/A</v>
      </c>
      <c r="AE143" s="31" t="e">
        <f aca="false">AC143-AB143</f>
        <v>#N/A</v>
      </c>
      <c r="AF143" s="31" t="e">
        <f aca="false">X143/V143</f>
        <v>#N/A</v>
      </c>
      <c r="AG143" s="26" t="e">
        <f aca="false">X143/Z143</f>
        <v>#N/A</v>
      </c>
      <c r="AH143" s="26" t="e">
        <f aca="false">V143/AD143</f>
        <v>#N/A</v>
      </c>
      <c r="AI143" s="26" t="e">
        <f aca="false">Z143/AD143</f>
        <v>#N/A</v>
      </c>
      <c r="AJ143" s="26" t="e">
        <f aca="false">Z143/AE143</f>
        <v>#N/A</v>
      </c>
      <c r="AK143" s="26" t="e">
        <f aca="false">AA143/AD143</f>
        <v>#N/A</v>
      </c>
      <c r="AL143" s="26" t="e">
        <f aca="false">AA143/AE143</f>
        <v>#N/A</v>
      </c>
    </row>
    <row r="144" customFormat="false" ht="14.25" hidden="false" customHeight="false" outlineLevel="0" collapsed="false">
      <c r="I144" s="3" t="str">
        <f aca="false">_xlfn.CONCAT(B144, "-", C144,"-", D144,"-", F144)</f>
        <v>---</v>
      </c>
      <c r="J144" s="9" t="str">
        <f aca="false">_xlfn.CONCAT(A144, "-", I144, ",",G144, "-",H144)</f>
        <v>----,-</v>
      </c>
      <c r="K144" s="3" t="e">
        <f aca="false">VLOOKUP(I144, 'Depth vlookup'!$G$2:$I$997,2,FALSE())+(G144/100)</f>
        <v>#N/A</v>
      </c>
      <c r="L144" s="28" t="e">
        <f aca="false">K144+2/100</f>
        <v>#N/A</v>
      </c>
      <c r="N144" s="4" t="e">
        <f aca="false">VLOOKUP(M144,  Beakers!$A$2:$B$151, 2, 0)</f>
        <v>#N/A</v>
      </c>
      <c r="V144" s="31" t="e">
        <f aca="false">O144-N144</f>
        <v>#N/A</v>
      </c>
      <c r="W144" s="31" t="e">
        <f aca="false">Q144-N144</f>
        <v>#N/A</v>
      </c>
      <c r="X144" s="31" t="e">
        <f aca="false">(V144-W144)/(1-35/1000)</f>
        <v>#N/A</v>
      </c>
      <c r="Y144" s="31" t="e">
        <f aca="false">X144-(V144-W144)</f>
        <v>#N/A</v>
      </c>
      <c r="Z144" s="31" t="e">
        <f aca="false">W144-Y144</f>
        <v>#N/A</v>
      </c>
      <c r="AA144" s="31" t="e">
        <f aca="false">X144/1.024</f>
        <v>#N/A</v>
      </c>
      <c r="AB144" s="31" t="e">
        <f aca="false">Y144/2.22</f>
        <v>#N/A</v>
      </c>
      <c r="AC144" s="31" t="e">
        <f aca="false">T144-VLOOKUP(M144, Beakers!$A$2:$C$151, 3, 0)</f>
        <v>#N/A</v>
      </c>
      <c r="AD144" s="31" t="e">
        <f aca="false">AC144-AB144+AA144</f>
        <v>#N/A</v>
      </c>
      <c r="AE144" s="31" t="e">
        <f aca="false">AC144-AB144</f>
        <v>#N/A</v>
      </c>
      <c r="AF144" s="31" t="e">
        <f aca="false">X144/V144</f>
        <v>#N/A</v>
      </c>
      <c r="AG144" s="26" t="e">
        <f aca="false">X144/Z144</f>
        <v>#N/A</v>
      </c>
      <c r="AH144" s="26" t="e">
        <f aca="false">V144/AD144</f>
        <v>#N/A</v>
      </c>
      <c r="AI144" s="26" t="e">
        <f aca="false">Z144/AD144</f>
        <v>#N/A</v>
      </c>
      <c r="AJ144" s="26" t="e">
        <f aca="false">Z144/AE144</f>
        <v>#N/A</v>
      </c>
      <c r="AK144" s="26" t="e">
        <f aca="false">AA144/AD144</f>
        <v>#N/A</v>
      </c>
      <c r="AL144" s="26" t="e">
        <f aca="false">AA144/AE144</f>
        <v>#N/A</v>
      </c>
    </row>
    <row r="145" customFormat="false" ht="14.25" hidden="false" customHeight="false" outlineLevel="0" collapsed="false">
      <c r="I145" s="3" t="str">
        <f aca="false">_xlfn.CONCAT(B145, "-", C145,"-", D145,"-", F145)</f>
        <v>---</v>
      </c>
      <c r="J145" s="9" t="str">
        <f aca="false">_xlfn.CONCAT(A145, "-", I145, ",",G145, "-",H145)</f>
        <v>----,-</v>
      </c>
      <c r="K145" s="3" t="e">
        <f aca="false">VLOOKUP(I145, 'Depth vlookup'!$G$2:$I$997,2,FALSE())+(G145/100)</f>
        <v>#N/A</v>
      </c>
      <c r="L145" s="28" t="e">
        <f aca="false">K145+2/100</f>
        <v>#N/A</v>
      </c>
      <c r="N145" s="4" t="e">
        <f aca="false">VLOOKUP(M145,  Beakers!$A$2:$B$151, 2, 0)</f>
        <v>#N/A</v>
      </c>
      <c r="V145" s="31" t="e">
        <f aca="false">O145-N145</f>
        <v>#N/A</v>
      </c>
      <c r="W145" s="31" t="e">
        <f aca="false">Q145-N145</f>
        <v>#N/A</v>
      </c>
      <c r="X145" s="31" t="e">
        <f aca="false">(V145-W145)/(1-35/1000)</f>
        <v>#N/A</v>
      </c>
      <c r="Y145" s="31" t="e">
        <f aca="false">X145-(V145-W145)</f>
        <v>#N/A</v>
      </c>
      <c r="Z145" s="31" t="e">
        <f aca="false">W145-Y145</f>
        <v>#N/A</v>
      </c>
      <c r="AA145" s="31" t="e">
        <f aca="false">X145/1.024</f>
        <v>#N/A</v>
      </c>
      <c r="AB145" s="31" t="e">
        <f aca="false">Y145/2.22</f>
        <v>#N/A</v>
      </c>
      <c r="AC145" s="31" t="e">
        <f aca="false">T145-VLOOKUP(M145, Beakers!$A$2:$C$151, 3, 0)</f>
        <v>#N/A</v>
      </c>
      <c r="AD145" s="31" t="e">
        <f aca="false">AC145-AB145+AA145</f>
        <v>#N/A</v>
      </c>
      <c r="AE145" s="31" t="e">
        <f aca="false">AC145-AB145</f>
        <v>#N/A</v>
      </c>
      <c r="AF145" s="31" t="e">
        <f aca="false">X145/V145</f>
        <v>#N/A</v>
      </c>
      <c r="AG145" s="26" t="e">
        <f aca="false">X145/Z145</f>
        <v>#N/A</v>
      </c>
      <c r="AH145" s="26" t="e">
        <f aca="false">V145/AD145</f>
        <v>#N/A</v>
      </c>
      <c r="AI145" s="26" t="e">
        <f aca="false">Z145/AD145</f>
        <v>#N/A</v>
      </c>
      <c r="AJ145" s="26" t="e">
        <f aca="false">Z145/AE145</f>
        <v>#N/A</v>
      </c>
      <c r="AK145" s="26" t="e">
        <f aca="false">AA145/AD145</f>
        <v>#N/A</v>
      </c>
      <c r="AL145" s="26" t="e">
        <f aca="false">AA145/AE145</f>
        <v>#N/A</v>
      </c>
    </row>
    <row r="146" customFormat="false" ht="14.25" hidden="false" customHeight="false" outlineLevel="0" collapsed="false">
      <c r="I146" s="3" t="str">
        <f aca="false">_xlfn.CONCAT(B146, "-", C146,"-", D146,"-", F146)</f>
        <v>---</v>
      </c>
      <c r="J146" s="9" t="str">
        <f aca="false">_xlfn.CONCAT(A146, "-", I146, ",",G146, "-",H146)</f>
        <v>----,-</v>
      </c>
      <c r="K146" s="3" t="e">
        <f aca="false">VLOOKUP(I146, 'Depth vlookup'!$G$2:$I$997,2,FALSE())+(G146/100)</f>
        <v>#N/A</v>
      </c>
      <c r="L146" s="28" t="e">
        <f aca="false">K146+2/100</f>
        <v>#N/A</v>
      </c>
      <c r="N146" s="4" t="e">
        <f aca="false">VLOOKUP(M146,  Beakers!$A$2:$B$151, 2, 0)</f>
        <v>#N/A</v>
      </c>
      <c r="V146" s="31" t="e">
        <f aca="false">O146-N146</f>
        <v>#N/A</v>
      </c>
      <c r="W146" s="31" t="e">
        <f aca="false">Q146-N146</f>
        <v>#N/A</v>
      </c>
      <c r="X146" s="31" t="e">
        <f aca="false">(V146-W146)/(1-35/1000)</f>
        <v>#N/A</v>
      </c>
      <c r="Y146" s="31" t="e">
        <f aca="false">X146-(V146-W146)</f>
        <v>#N/A</v>
      </c>
      <c r="Z146" s="31" t="e">
        <f aca="false">W146-Y146</f>
        <v>#N/A</v>
      </c>
      <c r="AA146" s="31" t="e">
        <f aca="false">X146/1.024</f>
        <v>#N/A</v>
      </c>
      <c r="AB146" s="31" t="e">
        <f aca="false">Y146/2.22</f>
        <v>#N/A</v>
      </c>
      <c r="AC146" s="31" t="e">
        <f aca="false">T146-VLOOKUP(M146, Beakers!$A$2:$C$151, 3, 0)</f>
        <v>#N/A</v>
      </c>
      <c r="AD146" s="31" t="e">
        <f aca="false">AC146-AB146+AA146</f>
        <v>#N/A</v>
      </c>
      <c r="AE146" s="31" t="e">
        <f aca="false">AC146-AB146</f>
        <v>#N/A</v>
      </c>
      <c r="AF146" s="31" t="e">
        <f aca="false">X146/V146</f>
        <v>#N/A</v>
      </c>
      <c r="AG146" s="26" t="e">
        <f aca="false">X146/Z146</f>
        <v>#N/A</v>
      </c>
      <c r="AH146" s="26" t="e">
        <f aca="false">V146/AD146</f>
        <v>#N/A</v>
      </c>
      <c r="AI146" s="26" t="e">
        <f aca="false">Z146/AD146</f>
        <v>#N/A</v>
      </c>
      <c r="AJ146" s="26" t="e">
        <f aca="false">Z146/AE146</f>
        <v>#N/A</v>
      </c>
      <c r="AK146" s="26" t="e">
        <f aca="false">AA146/AD146</f>
        <v>#N/A</v>
      </c>
      <c r="AL146" s="26" t="e">
        <f aca="false">AA146/AE146</f>
        <v>#N/A</v>
      </c>
    </row>
    <row r="147" customFormat="false" ht="14.25" hidden="false" customHeight="false" outlineLevel="0" collapsed="false">
      <c r="I147" s="3" t="str">
        <f aca="false">_xlfn.CONCAT(B147, "-", C147,"-", D147,"-", F147)</f>
        <v>---</v>
      </c>
      <c r="J147" s="9" t="str">
        <f aca="false">_xlfn.CONCAT(A147, "-", I147, ",",G147, "-",H147)</f>
        <v>----,-</v>
      </c>
      <c r="K147" s="3" t="e">
        <f aca="false">VLOOKUP(I147, 'Depth vlookup'!$G$2:$I$997,2,FALSE())+(G147/100)</f>
        <v>#N/A</v>
      </c>
      <c r="L147" s="28" t="e">
        <f aca="false">K147+2/100</f>
        <v>#N/A</v>
      </c>
      <c r="N147" s="4" t="e">
        <f aca="false">VLOOKUP(M147,  Beakers!$A$2:$B$151, 2, 0)</f>
        <v>#N/A</v>
      </c>
      <c r="V147" s="31" t="e">
        <f aca="false">O147-N147</f>
        <v>#N/A</v>
      </c>
      <c r="W147" s="31" t="e">
        <f aca="false">Q147-N147</f>
        <v>#N/A</v>
      </c>
      <c r="X147" s="31" t="e">
        <f aca="false">(V147-W147)/(1-35/1000)</f>
        <v>#N/A</v>
      </c>
      <c r="Y147" s="31" t="e">
        <f aca="false">X147-(V147-W147)</f>
        <v>#N/A</v>
      </c>
      <c r="Z147" s="31" t="e">
        <f aca="false">W147-Y147</f>
        <v>#N/A</v>
      </c>
      <c r="AA147" s="31" t="e">
        <f aca="false">X147/1.024</f>
        <v>#N/A</v>
      </c>
      <c r="AB147" s="31" t="e">
        <f aca="false">Y147/2.22</f>
        <v>#N/A</v>
      </c>
      <c r="AC147" s="31" t="e">
        <f aca="false">T147-VLOOKUP(M147, Beakers!$A$2:$C$151, 3, 0)</f>
        <v>#N/A</v>
      </c>
      <c r="AD147" s="31" t="e">
        <f aca="false">AC147-AB147+AA147</f>
        <v>#N/A</v>
      </c>
      <c r="AE147" s="31" t="e">
        <f aca="false">AC147-AB147</f>
        <v>#N/A</v>
      </c>
      <c r="AF147" s="31" t="e">
        <f aca="false">X147/V147</f>
        <v>#N/A</v>
      </c>
      <c r="AG147" s="26" t="e">
        <f aca="false">X147/Z147</f>
        <v>#N/A</v>
      </c>
      <c r="AH147" s="26" t="e">
        <f aca="false">V147/AD147</f>
        <v>#N/A</v>
      </c>
      <c r="AI147" s="26" t="e">
        <f aca="false">Z147/AD147</f>
        <v>#N/A</v>
      </c>
      <c r="AJ147" s="26" t="e">
        <f aca="false">Z147/AE147</f>
        <v>#N/A</v>
      </c>
      <c r="AK147" s="26" t="e">
        <f aca="false">AA147/AD147</f>
        <v>#N/A</v>
      </c>
      <c r="AL147" s="26" t="e">
        <f aca="false">AA147/AE147</f>
        <v>#N/A</v>
      </c>
    </row>
    <row r="148" customFormat="false" ht="14.25" hidden="false" customHeight="false" outlineLevel="0" collapsed="false">
      <c r="I148" s="3" t="str">
        <f aca="false">_xlfn.CONCAT(B148, "-", C148,"-", D148,"-", F148)</f>
        <v>---</v>
      </c>
      <c r="J148" s="9" t="str">
        <f aca="false">_xlfn.CONCAT(A148, "-", I148, ",",G148, "-",H148)</f>
        <v>----,-</v>
      </c>
      <c r="K148" s="3" t="e">
        <f aca="false">VLOOKUP(I148, 'Depth vlookup'!$G$2:$I$997,2,FALSE())+(G148/100)</f>
        <v>#N/A</v>
      </c>
      <c r="L148" s="28" t="e">
        <f aca="false">K148+2/100</f>
        <v>#N/A</v>
      </c>
      <c r="N148" s="4" t="e">
        <f aca="false">VLOOKUP(M148,  Beakers!$A$2:$B$151, 2, 0)</f>
        <v>#N/A</v>
      </c>
      <c r="V148" s="31" t="e">
        <f aca="false">O148-N148</f>
        <v>#N/A</v>
      </c>
      <c r="W148" s="31" t="e">
        <f aca="false">Q148-N148</f>
        <v>#N/A</v>
      </c>
      <c r="X148" s="31" t="e">
        <f aca="false">(V148-W148)/(1-35/1000)</f>
        <v>#N/A</v>
      </c>
      <c r="Y148" s="31" t="e">
        <f aca="false">X148-(V148-W148)</f>
        <v>#N/A</v>
      </c>
      <c r="Z148" s="31" t="e">
        <f aca="false">W148-Y148</f>
        <v>#N/A</v>
      </c>
      <c r="AA148" s="31" t="e">
        <f aca="false">X148/1.024</f>
        <v>#N/A</v>
      </c>
      <c r="AB148" s="31" t="e">
        <f aca="false">Y148/2.22</f>
        <v>#N/A</v>
      </c>
      <c r="AC148" s="31" t="e">
        <f aca="false">T148-VLOOKUP(M148, Beakers!$A$2:$C$151, 3, 0)</f>
        <v>#N/A</v>
      </c>
      <c r="AD148" s="31" t="e">
        <f aca="false">AC148-AB148+AA148</f>
        <v>#N/A</v>
      </c>
      <c r="AE148" s="31" t="e">
        <f aca="false">AC148-AB148</f>
        <v>#N/A</v>
      </c>
      <c r="AF148" s="31" t="e">
        <f aca="false">X148/V148</f>
        <v>#N/A</v>
      </c>
      <c r="AG148" s="26" t="e">
        <f aca="false">X148/Z148</f>
        <v>#N/A</v>
      </c>
      <c r="AH148" s="26" t="e">
        <f aca="false">V148/AD148</f>
        <v>#N/A</v>
      </c>
      <c r="AI148" s="26" t="e">
        <f aca="false">Z148/AD148</f>
        <v>#N/A</v>
      </c>
      <c r="AJ148" s="26" t="e">
        <f aca="false">Z148/AE148</f>
        <v>#N/A</v>
      </c>
      <c r="AK148" s="26" t="e">
        <f aca="false">AA148/AD148</f>
        <v>#N/A</v>
      </c>
      <c r="AL148" s="26" t="e">
        <f aca="false">AA148/AE148</f>
        <v>#N/A</v>
      </c>
    </row>
    <row r="149" customFormat="false" ht="14.25" hidden="false" customHeight="false" outlineLevel="0" collapsed="false">
      <c r="I149" s="3" t="str">
        <f aca="false">_xlfn.CONCAT(B149, "-", C149,"-", D149,"-", F149)</f>
        <v>---</v>
      </c>
      <c r="J149" s="9" t="str">
        <f aca="false">_xlfn.CONCAT(A149, "-", I149, ",",G149, "-",H149)</f>
        <v>----,-</v>
      </c>
      <c r="K149" s="3" t="e">
        <f aca="false">VLOOKUP(I149, 'Depth vlookup'!$G$2:$I$997,2,FALSE())+(G149/100)</f>
        <v>#N/A</v>
      </c>
      <c r="L149" s="28" t="e">
        <f aca="false">K149+2/100</f>
        <v>#N/A</v>
      </c>
      <c r="N149" s="4" t="e">
        <f aca="false">VLOOKUP(M149,  Beakers!$A$2:$B$151, 2, 0)</f>
        <v>#N/A</v>
      </c>
      <c r="V149" s="31" t="e">
        <f aca="false">O149-N149</f>
        <v>#N/A</v>
      </c>
      <c r="W149" s="31" t="e">
        <f aca="false">Q149-N149</f>
        <v>#N/A</v>
      </c>
      <c r="X149" s="31" t="e">
        <f aca="false">(V149-W149)/(1-35/1000)</f>
        <v>#N/A</v>
      </c>
      <c r="Y149" s="31" t="e">
        <f aca="false">X149-(V149-W149)</f>
        <v>#N/A</v>
      </c>
      <c r="Z149" s="31" t="e">
        <f aca="false">W149-Y149</f>
        <v>#N/A</v>
      </c>
      <c r="AA149" s="31" t="e">
        <f aca="false">X149/1.024</f>
        <v>#N/A</v>
      </c>
      <c r="AB149" s="31" t="e">
        <f aca="false">Y149/2.22</f>
        <v>#N/A</v>
      </c>
      <c r="AC149" s="31" t="e">
        <f aca="false">T149-VLOOKUP(M149, Beakers!$A$2:$C$151, 3, 0)</f>
        <v>#N/A</v>
      </c>
      <c r="AD149" s="31" t="e">
        <f aca="false">AC149-AB149+AA149</f>
        <v>#N/A</v>
      </c>
      <c r="AE149" s="31" t="e">
        <f aca="false">AC149-AB149</f>
        <v>#N/A</v>
      </c>
      <c r="AF149" s="31" t="e">
        <f aca="false">X149/V149</f>
        <v>#N/A</v>
      </c>
      <c r="AG149" s="26" t="e">
        <f aca="false">X149/Z149</f>
        <v>#N/A</v>
      </c>
      <c r="AH149" s="26" t="e">
        <f aca="false">V149/AD149</f>
        <v>#N/A</v>
      </c>
      <c r="AI149" s="26" t="e">
        <f aca="false">Z149/AD149</f>
        <v>#N/A</v>
      </c>
      <c r="AJ149" s="26" t="e">
        <f aca="false">Z149/AE149</f>
        <v>#N/A</v>
      </c>
      <c r="AK149" s="26" t="e">
        <f aca="false">AA149/AD149</f>
        <v>#N/A</v>
      </c>
      <c r="AL149" s="26" t="e">
        <f aca="false">AA149/AE149</f>
        <v>#N/A</v>
      </c>
    </row>
    <row r="150" customFormat="false" ht="14.25" hidden="false" customHeight="false" outlineLevel="0" collapsed="false">
      <c r="I150" s="3" t="str">
        <f aca="false">_xlfn.CONCAT(B150, "-", C150,"-", D150,"-", F150)</f>
        <v>---</v>
      </c>
      <c r="J150" s="9" t="str">
        <f aca="false">_xlfn.CONCAT(A150, "-", I150, ",",G150, "-",H150)</f>
        <v>----,-</v>
      </c>
      <c r="K150" s="3" t="e">
        <f aca="false">VLOOKUP(I150, 'Depth vlookup'!$G$2:$I$997,2,FALSE())+(G150/100)</f>
        <v>#N/A</v>
      </c>
      <c r="L150" s="28" t="e">
        <f aca="false">K150+2/100</f>
        <v>#N/A</v>
      </c>
      <c r="N150" s="4" t="e">
        <f aca="false">VLOOKUP(M150,  Beakers!$A$2:$B$151, 2, 0)</f>
        <v>#N/A</v>
      </c>
      <c r="V150" s="31" t="e">
        <f aca="false">O150-N150</f>
        <v>#N/A</v>
      </c>
      <c r="W150" s="31" t="e">
        <f aca="false">Q150-N150</f>
        <v>#N/A</v>
      </c>
      <c r="X150" s="31" t="e">
        <f aca="false">(V150-W150)/(1-35/1000)</f>
        <v>#N/A</v>
      </c>
      <c r="Y150" s="31" t="e">
        <f aca="false">X150-(V150-W150)</f>
        <v>#N/A</v>
      </c>
      <c r="Z150" s="31" t="e">
        <f aca="false">W150-Y150</f>
        <v>#N/A</v>
      </c>
      <c r="AA150" s="31" t="e">
        <f aca="false">X150/1.024</f>
        <v>#N/A</v>
      </c>
      <c r="AB150" s="31" t="e">
        <f aca="false">Y150/2.22</f>
        <v>#N/A</v>
      </c>
      <c r="AC150" s="31" t="e">
        <f aca="false">T150-VLOOKUP(M150, Beakers!$A$2:$C$151, 3, 0)</f>
        <v>#N/A</v>
      </c>
      <c r="AD150" s="31" t="e">
        <f aca="false">AC150-AB150+AA150</f>
        <v>#N/A</v>
      </c>
      <c r="AE150" s="31" t="e">
        <f aca="false">AC150-AB150</f>
        <v>#N/A</v>
      </c>
      <c r="AF150" s="31" t="e">
        <f aca="false">X150/V150</f>
        <v>#N/A</v>
      </c>
      <c r="AG150" s="26" t="e">
        <f aca="false">X150/Z150</f>
        <v>#N/A</v>
      </c>
      <c r="AH150" s="26" t="e">
        <f aca="false">V150/AD150</f>
        <v>#N/A</v>
      </c>
      <c r="AI150" s="26" t="e">
        <f aca="false">Z150/AD150</f>
        <v>#N/A</v>
      </c>
      <c r="AJ150" s="26" t="e">
        <f aca="false">Z150/AE150</f>
        <v>#N/A</v>
      </c>
      <c r="AK150" s="26" t="e">
        <f aca="false">AA150/AD150</f>
        <v>#N/A</v>
      </c>
      <c r="AL150" s="26" t="e">
        <f aca="false">AA150/AE150</f>
        <v>#N/A</v>
      </c>
    </row>
    <row r="151" customFormat="false" ht="14.25" hidden="false" customHeight="false" outlineLevel="0" collapsed="false">
      <c r="I151" s="3" t="str">
        <f aca="false">_xlfn.CONCAT(B151, "-", C151,"-", D151,"-", F151)</f>
        <v>---</v>
      </c>
      <c r="J151" s="9" t="str">
        <f aca="false">_xlfn.CONCAT(A151, "-", I151, ",",G151, "-",H151)</f>
        <v>----,-</v>
      </c>
      <c r="K151" s="3" t="e">
        <f aca="false">VLOOKUP(I151, 'Depth vlookup'!$G$2:$I$997,2,FALSE())+(G151/100)</f>
        <v>#N/A</v>
      </c>
      <c r="L151" s="28" t="e">
        <f aca="false">K151+2/100</f>
        <v>#N/A</v>
      </c>
      <c r="N151" s="4" t="e">
        <f aca="false">VLOOKUP(M151,  Beakers!$A$2:$B$151, 2, 0)</f>
        <v>#N/A</v>
      </c>
      <c r="V151" s="31" t="e">
        <f aca="false">O151-N151</f>
        <v>#N/A</v>
      </c>
      <c r="W151" s="31" t="e">
        <f aca="false">Q151-N151</f>
        <v>#N/A</v>
      </c>
      <c r="X151" s="31" t="e">
        <f aca="false">(V151-W151)/(1-35/1000)</f>
        <v>#N/A</v>
      </c>
      <c r="Y151" s="31" t="e">
        <f aca="false">X151-(V151-W151)</f>
        <v>#N/A</v>
      </c>
      <c r="Z151" s="31" t="e">
        <f aca="false">W151-Y151</f>
        <v>#N/A</v>
      </c>
      <c r="AA151" s="31" t="e">
        <f aca="false">X151/1.024</f>
        <v>#N/A</v>
      </c>
      <c r="AB151" s="31" t="e">
        <f aca="false">Y151/2.22</f>
        <v>#N/A</v>
      </c>
      <c r="AC151" s="31" t="e">
        <f aca="false">T151-VLOOKUP(M151, Beakers!$A$2:$C$151, 3, 0)</f>
        <v>#N/A</v>
      </c>
      <c r="AD151" s="31" t="e">
        <f aca="false">AC151-AB151+AA151</f>
        <v>#N/A</v>
      </c>
      <c r="AE151" s="31" t="e">
        <f aca="false">AC151-AB151</f>
        <v>#N/A</v>
      </c>
      <c r="AF151" s="31" t="e">
        <f aca="false">X151/V151</f>
        <v>#N/A</v>
      </c>
      <c r="AG151" s="26" t="e">
        <f aca="false">X151/Z151</f>
        <v>#N/A</v>
      </c>
      <c r="AH151" s="26" t="e">
        <f aca="false">V151/AD151</f>
        <v>#N/A</v>
      </c>
      <c r="AI151" s="26" t="e">
        <f aca="false">Z151/AD151</f>
        <v>#N/A</v>
      </c>
      <c r="AJ151" s="26" t="e">
        <f aca="false">Z151/AE151</f>
        <v>#N/A</v>
      </c>
      <c r="AK151" s="26" t="e">
        <f aca="false">AA151/AD151</f>
        <v>#N/A</v>
      </c>
      <c r="AL151" s="26" t="e">
        <f aca="false">AA151/AE151</f>
        <v>#N/A</v>
      </c>
    </row>
    <row r="152" customFormat="false" ht="14.25" hidden="false" customHeight="false" outlineLevel="0" collapsed="false">
      <c r="I152" s="3" t="str">
        <f aca="false">_xlfn.CONCAT(B152, "-", C152,"-", D152,"-", F152)</f>
        <v>---</v>
      </c>
      <c r="J152" s="9" t="str">
        <f aca="false">_xlfn.CONCAT(A152, "-", I152, ",",G152, "-",H152)</f>
        <v>----,-</v>
      </c>
      <c r="K152" s="3" t="e">
        <f aca="false">VLOOKUP(I152, 'Depth vlookup'!$G$2:$I$997,2,FALSE())+(G152/100)</f>
        <v>#N/A</v>
      </c>
      <c r="L152" s="28" t="e">
        <f aca="false">K152+2/100</f>
        <v>#N/A</v>
      </c>
      <c r="N152" s="4" t="e">
        <f aca="false">VLOOKUP(M152,  Beakers!$A$2:$B$151, 2, 0)</f>
        <v>#N/A</v>
      </c>
      <c r="V152" s="31" t="e">
        <f aca="false">O152-N152</f>
        <v>#N/A</v>
      </c>
      <c r="W152" s="31" t="e">
        <f aca="false">Q152-N152</f>
        <v>#N/A</v>
      </c>
      <c r="X152" s="31" t="e">
        <f aca="false">(V152-W152)/(1-35/1000)</f>
        <v>#N/A</v>
      </c>
      <c r="Y152" s="31" t="e">
        <f aca="false">X152-(V152-W152)</f>
        <v>#N/A</v>
      </c>
      <c r="Z152" s="31" t="e">
        <f aca="false">W152-Y152</f>
        <v>#N/A</v>
      </c>
      <c r="AA152" s="31" t="e">
        <f aca="false">X152/1.024</f>
        <v>#N/A</v>
      </c>
      <c r="AB152" s="31" t="e">
        <f aca="false">Y152/2.22</f>
        <v>#N/A</v>
      </c>
      <c r="AC152" s="31" t="e">
        <f aca="false">T152-VLOOKUP(M152, Beakers!$A$2:$C$151, 3, 0)</f>
        <v>#N/A</v>
      </c>
      <c r="AD152" s="31" t="e">
        <f aca="false">AC152-AB152+AA152</f>
        <v>#N/A</v>
      </c>
      <c r="AE152" s="31" t="e">
        <f aca="false">AC152-AB152</f>
        <v>#N/A</v>
      </c>
      <c r="AF152" s="31" t="e">
        <f aca="false">X152/V152</f>
        <v>#N/A</v>
      </c>
      <c r="AG152" s="26" t="e">
        <f aca="false">X152/Z152</f>
        <v>#N/A</v>
      </c>
      <c r="AH152" s="26" t="e">
        <f aca="false">V152/AD152</f>
        <v>#N/A</v>
      </c>
      <c r="AI152" s="26" t="e">
        <f aca="false">Z152/AD152</f>
        <v>#N/A</v>
      </c>
      <c r="AJ152" s="26" t="e">
        <f aca="false">Z152/AE152</f>
        <v>#N/A</v>
      </c>
      <c r="AK152" s="26" t="e">
        <f aca="false">AA152/AD152</f>
        <v>#N/A</v>
      </c>
      <c r="AL152" s="26" t="e">
        <f aca="false">AA152/AE152</f>
        <v>#N/A</v>
      </c>
    </row>
    <row r="153" customFormat="false" ht="14.25" hidden="false" customHeight="false" outlineLevel="0" collapsed="false">
      <c r="I153" s="3" t="str">
        <f aca="false">_xlfn.CONCAT(B153, "-", C153,"-", D153,"-", F153)</f>
        <v>---</v>
      </c>
      <c r="J153" s="9" t="str">
        <f aca="false">_xlfn.CONCAT(A153, "-", I153, ",",G153, "-",H153)</f>
        <v>----,-</v>
      </c>
      <c r="K153" s="3" t="e">
        <f aca="false">VLOOKUP(I153, 'Depth vlookup'!$G$2:$I$997,2,FALSE())+(G153/100)</f>
        <v>#N/A</v>
      </c>
      <c r="L153" s="28" t="e">
        <f aca="false">K153+2/100</f>
        <v>#N/A</v>
      </c>
      <c r="N153" s="4" t="e">
        <f aca="false">VLOOKUP(M153,  Beakers!$A$2:$B$151, 2, 0)</f>
        <v>#N/A</v>
      </c>
      <c r="V153" s="31" t="e">
        <f aca="false">O153-N153</f>
        <v>#N/A</v>
      </c>
      <c r="W153" s="31" t="e">
        <f aca="false">Q153-N153</f>
        <v>#N/A</v>
      </c>
      <c r="X153" s="31" t="e">
        <f aca="false">(V153-W153)/(1-35/1000)</f>
        <v>#N/A</v>
      </c>
      <c r="Y153" s="31" t="e">
        <f aca="false">X153-(V153-W153)</f>
        <v>#N/A</v>
      </c>
      <c r="Z153" s="31" t="e">
        <f aca="false">W153-Y153</f>
        <v>#N/A</v>
      </c>
      <c r="AA153" s="31" t="e">
        <f aca="false">X153/1.024</f>
        <v>#N/A</v>
      </c>
      <c r="AB153" s="31" t="e">
        <f aca="false">Y153/2.22</f>
        <v>#N/A</v>
      </c>
      <c r="AC153" s="31" t="e">
        <f aca="false">T153-VLOOKUP(M153, Beakers!$A$2:$C$151, 3, 0)</f>
        <v>#N/A</v>
      </c>
      <c r="AD153" s="31" t="e">
        <f aca="false">AC153-AB153+AA153</f>
        <v>#N/A</v>
      </c>
      <c r="AE153" s="31" t="e">
        <f aca="false">AC153-AB153</f>
        <v>#N/A</v>
      </c>
      <c r="AF153" s="31" t="e">
        <f aca="false">X153/V153</f>
        <v>#N/A</v>
      </c>
      <c r="AG153" s="26" t="e">
        <f aca="false">X153/Z153</f>
        <v>#N/A</v>
      </c>
      <c r="AH153" s="26" t="e">
        <f aca="false">V153/AD153</f>
        <v>#N/A</v>
      </c>
      <c r="AI153" s="26" t="e">
        <f aca="false">Z153/AD153</f>
        <v>#N/A</v>
      </c>
      <c r="AJ153" s="26" t="e">
        <f aca="false">Z153/AE153</f>
        <v>#N/A</v>
      </c>
      <c r="AK153" s="26" t="e">
        <f aca="false">AA153/AD153</f>
        <v>#N/A</v>
      </c>
      <c r="AL153" s="26" t="e">
        <f aca="false">AA153/AE153</f>
        <v>#N/A</v>
      </c>
    </row>
    <row r="154" customFormat="false" ht="14.25" hidden="false" customHeight="false" outlineLevel="0" collapsed="false">
      <c r="I154" s="3" t="str">
        <f aca="false">_xlfn.CONCAT(B154, "-", C154,"-", D154,"-", F154)</f>
        <v>---</v>
      </c>
      <c r="J154" s="9" t="str">
        <f aca="false">_xlfn.CONCAT(A154, "-", I154, ",",G154, "-",H154)</f>
        <v>----,-</v>
      </c>
      <c r="K154" s="3" t="e">
        <f aca="false">VLOOKUP(I154, 'Depth vlookup'!$G$2:$I$997,2,FALSE())+(G154/100)</f>
        <v>#N/A</v>
      </c>
      <c r="L154" s="28" t="e">
        <f aca="false">K154+2/100</f>
        <v>#N/A</v>
      </c>
      <c r="N154" s="4" t="e">
        <f aca="false">VLOOKUP(M154,  Beakers!$A$2:$B$151, 2, 0)</f>
        <v>#N/A</v>
      </c>
      <c r="V154" s="31" t="e">
        <f aca="false">O154-N154</f>
        <v>#N/A</v>
      </c>
      <c r="W154" s="31" t="e">
        <f aca="false">Q154-N154</f>
        <v>#N/A</v>
      </c>
      <c r="X154" s="31" t="e">
        <f aca="false">(V154-W154)/(1-35/1000)</f>
        <v>#N/A</v>
      </c>
      <c r="Y154" s="31" t="e">
        <f aca="false">X154-(V154-W154)</f>
        <v>#N/A</v>
      </c>
      <c r="Z154" s="31" t="e">
        <f aca="false">W154-Y154</f>
        <v>#N/A</v>
      </c>
      <c r="AA154" s="31" t="e">
        <f aca="false">X154/1.024</f>
        <v>#N/A</v>
      </c>
      <c r="AB154" s="31" t="e">
        <f aca="false">Y154/2.22</f>
        <v>#N/A</v>
      </c>
      <c r="AC154" s="31" t="e">
        <f aca="false">T154-VLOOKUP(M154, Beakers!$A$2:$C$151, 3, 0)</f>
        <v>#N/A</v>
      </c>
      <c r="AD154" s="31" t="e">
        <f aca="false">AC154-AB154+AA154</f>
        <v>#N/A</v>
      </c>
      <c r="AE154" s="31" t="e">
        <f aca="false">AC154-AB154</f>
        <v>#N/A</v>
      </c>
      <c r="AF154" s="31" t="e">
        <f aca="false">X154/V154</f>
        <v>#N/A</v>
      </c>
      <c r="AG154" s="26" t="e">
        <f aca="false">X154/Z154</f>
        <v>#N/A</v>
      </c>
      <c r="AH154" s="26" t="e">
        <f aca="false">V154/AD154</f>
        <v>#N/A</v>
      </c>
      <c r="AI154" s="26" t="e">
        <f aca="false">Z154/AD154</f>
        <v>#N/A</v>
      </c>
      <c r="AJ154" s="26" t="e">
        <f aca="false">Z154/AE154</f>
        <v>#N/A</v>
      </c>
      <c r="AK154" s="26" t="e">
        <f aca="false">AA154/AD154</f>
        <v>#N/A</v>
      </c>
      <c r="AL154" s="26" t="e">
        <f aca="false">AA154/AE154</f>
        <v>#N/A</v>
      </c>
    </row>
    <row r="155" customFormat="false" ht="14.25" hidden="false" customHeight="false" outlineLevel="0" collapsed="false">
      <c r="I155" s="3" t="str">
        <f aca="false">_xlfn.CONCAT(B155, "-", C155,"-", D155,"-", F155)</f>
        <v>---</v>
      </c>
      <c r="J155" s="9" t="str">
        <f aca="false">_xlfn.CONCAT(A155, "-", I155, ",",G155, "-",H155)</f>
        <v>----,-</v>
      </c>
      <c r="K155" s="3" t="e">
        <f aca="false">VLOOKUP(I155, 'Depth vlookup'!$G$2:$I$997,2,FALSE())+(G155/100)</f>
        <v>#N/A</v>
      </c>
      <c r="L155" s="28" t="e">
        <f aca="false">K155+2/100</f>
        <v>#N/A</v>
      </c>
      <c r="N155" s="4" t="e">
        <f aca="false">VLOOKUP(M155,  Beakers!$A$2:$B$151, 2, 0)</f>
        <v>#N/A</v>
      </c>
      <c r="V155" s="31" t="e">
        <f aca="false">O155-N155</f>
        <v>#N/A</v>
      </c>
      <c r="W155" s="31" t="e">
        <f aca="false">Q155-N155</f>
        <v>#N/A</v>
      </c>
      <c r="X155" s="31" t="e">
        <f aca="false">(V155-W155)/(1-35/1000)</f>
        <v>#N/A</v>
      </c>
      <c r="Y155" s="31" t="e">
        <f aca="false">X155-(V155-W155)</f>
        <v>#N/A</v>
      </c>
      <c r="Z155" s="31" t="e">
        <f aca="false">W155-Y155</f>
        <v>#N/A</v>
      </c>
      <c r="AA155" s="31" t="e">
        <f aca="false">X155/1.024</f>
        <v>#N/A</v>
      </c>
      <c r="AB155" s="31" t="e">
        <f aca="false">Y155/2.22</f>
        <v>#N/A</v>
      </c>
      <c r="AC155" s="31" t="e">
        <f aca="false">T155-VLOOKUP(M155, Beakers!$A$2:$C$151, 3, 0)</f>
        <v>#N/A</v>
      </c>
      <c r="AD155" s="31" t="e">
        <f aca="false">AC155-AB155+AA155</f>
        <v>#N/A</v>
      </c>
      <c r="AE155" s="31" t="e">
        <f aca="false">AC155-AB155</f>
        <v>#N/A</v>
      </c>
      <c r="AF155" s="31" t="e">
        <f aca="false">X155/V155</f>
        <v>#N/A</v>
      </c>
      <c r="AG155" s="26" t="e">
        <f aca="false">X155/Z155</f>
        <v>#N/A</v>
      </c>
      <c r="AH155" s="26" t="e">
        <f aca="false">V155/AD155</f>
        <v>#N/A</v>
      </c>
      <c r="AI155" s="26" t="e">
        <f aca="false">Z155/AD155</f>
        <v>#N/A</v>
      </c>
      <c r="AJ155" s="26" t="e">
        <f aca="false">Z155/AE155</f>
        <v>#N/A</v>
      </c>
      <c r="AK155" s="26" t="e">
        <f aca="false">AA155/AD155</f>
        <v>#N/A</v>
      </c>
      <c r="AL155" s="26" t="e">
        <f aca="false">AA155/AE155</f>
        <v>#N/A</v>
      </c>
    </row>
    <row r="156" customFormat="false" ht="14.25" hidden="false" customHeight="false" outlineLevel="0" collapsed="false">
      <c r="I156" s="3" t="str">
        <f aca="false">_xlfn.CONCAT(B156, "-", C156,"-", D156,"-", F156)</f>
        <v>---</v>
      </c>
      <c r="J156" s="9" t="str">
        <f aca="false">_xlfn.CONCAT(A156, "-", I156, ",",G156, "-",H156)</f>
        <v>----,-</v>
      </c>
      <c r="K156" s="3" t="e">
        <f aca="false">VLOOKUP(I156, 'Depth vlookup'!$G$2:$I$997,2,FALSE())+(G156/100)</f>
        <v>#N/A</v>
      </c>
      <c r="L156" s="28" t="e">
        <f aca="false">K156+2/100</f>
        <v>#N/A</v>
      </c>
      <c r="N156" s="4" t="e">
        <f aca="false">VLOOKUP(M156,  Beakers!$A$2:$B$151, 2, 0)</f>
        <v>#N/A</v>
      </c>
      <c r="V156" s="31" t="e">
        <f aca="false">O156-N156</f>
        <v>#N/A</v>
      </c>
      <c r="W156" s="31" t="e">
        <f aca="false">Q156-N156</f>
        <v>#N/A</v>
      </c>
      <c r="X156" s="31" t="e">
        <f aca="false">(V156-W156)/(1-35/1000)</f>
        <v>#N/A</v>
      </c>
      <c r="Y156" s="31" t="e">
        <f aca="false">X156-(V156-W156)</f>
        <v>#N/A</v>
      </c>
      <c r="Z156" s="31" t="e">
        <f aca="false">W156-Y156</f>
        <v>#N/A</v>
      </c>
      <c r="AA156" s="31" t="e">
        <f aca="false">X156/1.024</f>
        <v>#N/A</v>
      </c>
      <c r="AB156" s="31" t="e">
        <f aca="false">Y156/2.22</f>
        <v>#N/A</v>
      </c>
      <c r="AC156" s="31" t="e">
        <f aca="false">T156-VLOOKUP(M156, Beakers!$A$2:$C$151, 3, 0)</f>
        <v>#N/A</v>
      </c>
      <c r="AD156" s="31" t="e">
        <f aca="false">AC156-AB156+AA156</f>
        <v>#N/A</v>
      </c>
      <c r="AE156" s="31" t="e">
        <f aca="false">AC156-AB156</f>
        <v>#N/A</v>
      </c>
      <c r="AF156" s="31" t="e">
        <f aca="false">X156/V156</f>
        <v>#N/A</v>
      </c>
      <c r="AG156" s="26" t="e">
        <f aca="false">X156/Z156</f>
        <v>#N/A</v>
      </c>
      <c r="AH156" s="26" t="e">
        <f aca="false">V156/AD156</f>
        <v>#N/A</v>
      </c>
      <c r="AI156" s="26" t="e">
        <f aca="false">Z156/AD156</f>
        <v>#N/A</v>
      </c>
      <c r="AJ156" s="26" t="e">
        <f aca="false">Z156/AE156</f>
        <v>#N/A</v>
      </c>
      <c r="AK156" s="26" t="e">
        <f aca="false">AA156/AD156</f>
        <v>#N/A</v>
      </c>
      <c r="AL156" s="26" t="e">
        <f aca="false">AA156/AE156</f>
        <v>#N/A</v>
      </c>
    </row>
    <row r="157" customFormat="false" ht="14.25" hidden="false" customHeight="false" outlineLevel="0" collapsed="false">
      <c r="I157" s="3" t="str">
        <f aca="false">_xlfn.CONCAT(B157, "-", C157,"-", D157,"-", F157)</f>
        <v>---</v>
      </c>
      <c r="J157" s="9" t="str">
        <f aca="false">_xlfn.CONCAT(A157, "-", I157, ",",G157, "-",H157)</f>
        <v>----,-</v>
      </c>
      <c r="K157" s="3" t="e">
        <f aca="false">VLOOKUP(I157, 'Depth vlookup'!$G$2:$I$997,2,FALSE())+(G157/100)</f>
        <v>#N/A</v>
      </c>
      <c r="L157" s="28" t="e">
        <f aca="false">K157+2/100</f>
        <v>#N/A</v>
      </c>
      <c r="N157" s="4" t="e">
        <f aca="false">VLOOKUP(M157,  Beakers!$A$2:$B$151, 2, 0)</f>
        <v>#N/A</v>
      </c>
      <c r="V157" s="31" t="e">
        <f aca="false">O157-N157</f>
        <v>#N/A</v>
      </c>
      <c r="W157" s="31" t="e">
        <f aca="false">Q157-N157</f>
        <v>#N/A</v>
      </c>
      <c r="X157" s="31" t="e">
        <f aca="false">(V157-W157)/(1-35/1000)</f>
        <v>#N/A</v>
      </c>
      <c r="Y157" s="31" t="e">
        <f aca="false">X157-(V157-W157)</f>
        <v>#N/A</v>
      </c>
      <c r="Z157" s="31" t="e">
        <f aca="false">W157-Y157</f>
        <v>#N/A</v>
      </c>
      <c r="AA157" s="31" t="e">
        <f aca="false">X157/1.024</f>
        <v>#N/A</v>
      </c>
      <c r="AB157" s="31" t="e">
        <f aca="false">Y157/2.22</f>
        <v>#N/A</v>
      </c>
      <c r="AC157" s="31" t="e">
        <f aca="false">T157-VLOOKUP(M157, Beakers!$A$2:$C$151, 3, 0)</f>
        <v>#N/A</v>
      </c>
      <c r="AD157" s="31" t="e">
        <f aca="false">AC157-AB157+AA157</f>
        <v>#N/A</v>
      </c>
      <c r="AE157" s="31" t="e">
        <f aca="false">AC157-AB157</f>
        <v>#N/A</v>
      </c>
      <c r="AF157" s="31" t="e">
        <f aca="false">X157/V157</f>
        <v>#N/A</v>
      </c>
      <c r="AG157" s="26" t="e">
        <f aca="false">X157/Z157</f>
        <v>#N/A</v>
      </c>
      <c r="AH157" s="26" t="e">
        <f aca="false">V157/AD157</f>
        <v>#N/A</v>
      </c>
      <c r="AI157" s="26" t="e">
        <f aca="false">Z157/AD157</f>
        <v>#N/A</v>
      </c>
      <c r="AJ157" s="26" t="e">
        <f aca="false">Z157/AE157</f>
        <v>#N/A</v>
      </c>
      <c r="AK157" s="26" t="e">
        <f aca="false">AA157/AD157</f>
        <v>#N/A</v>
      </c>
      <c r="AL157" s="26" t="e">
        <f aca="false">AA157/AE157</f>
        <v>#N/A</v>
      </c>
    </row>
    <row r="158" customFormat="false" ht="14.25" hidden="false" customHeight="false" outlineLevel="0" collapsed="false">
      <c r="I158" s="3" t="str">
        <f aca="false">_xlfn.CONCAT(B158, "-", C158,"-", D158,"-", F158)</f>
        <v>---</v>
      </c>
      <c r="J158" s="9" t="str">
        <f aca="false">_xlfn.CONCAT(A158, "-", I158, ",",G158, "-",H158)</f>
        <v>----,-</v>
      </c>
      <c r="K158" s="3" t="e">
        <f aca="false">VLOOKUP(I158, 'Depth vlookup'!$G$2:$I$997,2,FALSE())+(G158/100)</f>
        <v>#N/A</v>
      </c>
      <c r="L158" s="28" t="e">
        <f aca="false">K158+2/100</f>
        <v>#N/A</v>
      </c>
      <c r="N158" s="4" t="e">
        <f aca="false">VLOOKUP(M158,  Beakers!$A$2:$B$151, 2, 0)</f>
        <v>#N/A</v>
      </c>
      <c r="V158" s="31" t="e">
        <f aca="false">O158-N158</f>
        <v>#N/A</v>
      </c>
      <c r="W158" s="31" t="e">
        <f aca="false">Q158-N158</f>
        <v>#N/A</v>
      </c>
      <c r="X158" s="31" t="e">
        <f aca="false">(V158-W158)/(1-35/1000)</f>
        <v>#N/A</v>
      </c>
      <c r="Y158" s="31" t="e">
        <f aca="false">X158-(V158-W158)</f>
        <v>#N/A</v>
      </c>
      <c r="Z158" s="31" t="e">
        <f aca="false">W158-Y158</f>
        <v>#N/A</v>
      </c>
      <c r="AA158" s="31" t="e">
        <f aca="false">X158/1.024</f>
        <v>#N/A</v>
      </c>
      <c r="AB158" s="31" t="e">
        <f aca="false">Y158/2.22</f>
        <v>#N/A</v>
      </c>
      <c r="AC158" s="31" t="e">
        <f aca="false">T158-VLOOKUP(M158, Beakers!$A$2:$C$151, 3, 0)</f>
        <v>#N/A</v>
      </c>
      <c r="AD158" s="31" t="e">
        <f aca="false">AC158-AB158+AA158</f>
        <v>#N/A</v>
      </c>
      <c r="AE158" s="31" t="e">
        <f aca="false">AC158-AB158</f>
        <v>#N/A</v>
      </c>
      <c r="AF158" s="31" t="e">
        <f aca="false">X158/V158</f>
        <v>#N/A</v>
      </c>
      <c r="AG158" s="26" t="e">
        <f aca="false">X158/Z158</f>
        <v>#N/A</v>
      </c>
      <c r="AH158" s="26" t="e">
        <f aca="false">V158/AD158</f>
        <v>#N/A</v>
      </c>
      <c r="AI158" s="26" t="e">
        <f aca="false">Z158/AD158</f>
        <v>#N/A</v>
      </c>
      <c r="AJ158" s="26" t="e">
        <f aca="false">Z158/AE158</f>
        <v>#N/A</v>
      </c>
      <c r="AK158" s="26" t="e">
        <f aca="false">AA158/AD158</f>
        <v>#N/A</v>
      </c>
      <c r="AL158" s="26" t="e">
        <f aca="false">AA158/AE158</f>
        <v>#N/A</v>
      </c>
    </row>
    <row r="159" customFormat="false" ht="14.25" hidden="false" customHeight="false" outlineLevel="0" collapsed="false">
      <c r="I159" s="3" t="str">
        <f aca="false">_xlfn.CONCAT(B159, "-", C159,"-", D159,"-", F159)</f>
        <v>---</v>
      </c>
      <c r="J159" s="9" t="str">
        <f aca="false">_xlfn.CONCAT(A159, "-", I159, ",",G159, "-",H159)</f>
        <v>----,-</v>
      </c>
      <c r="K159" s="3" t="e">
        <f aca="false">VLOOKUP(I159, 'Depth vlookup'!$G$2:$I$997,2,FALSE())+(G159/100)</f>
        <v>#N/A</v>
      </c>
      <c r="L159" s="28" t="e">
        <f aca="false">K159+2/100</f>
        <v>#N/A</v>
      </c>
      <c r="N159" s="4" t="e">
        <f aca="false">VLOOKUP(M159,  Beakers!$A$2:$B$151, 2, 0)</f>
        <v>#N/A</v>
      </c>
      <c r="V159" s="31" t="e">
        <f aca="false">O159-N159</f>
        <v>#N/A</v>
      </c>
      <c r="W159" s="31" t="e">
        <f aca="false">Q159-N159</f>
        <v>#N/A</v>
      </c>
      <c r="X159" s="31" t="e">
        <f aca="false">(V159-W159)/(1-35/1000)</f>
        <v>#N/A</v>
      </c>
      <c r="Y159" s="31" t="e">
        <f aca="false">X159-(V159-W159)</f>
        <v>#N/A</v>
      </c>
      <c r="Z159" s="31" t="e">
        <f aca="false">W159-Y159</f>
        <v>#N/A</v>
      </c>
      <c r="AA159" s="31" t="e">
        <f aca="false">X159/1.024</f>
        <v>#N/A</v>
      </c>
      <c r="AB159" s="31" t="e">
        <f aca="false">Y159/2.22</f>
        <v>#N/A</v>
      </c>
      <c r="AC159" s="31" t="e">
        <f aca="false">T159-VLOOKUP(M159, Beakers!$A$2:$C$151, 3, 0)</f>
        <v>#N/A</v>
      </c>
      <c r="AD159" s="31" t="e">
        <f aca="false">AC159-AB159+AA159</f>
        <v>#N/A</v>
      </c>
      <c r="AE159" s="31" t="e">
        <f aca="false">AC159-AB159</f>
        <v>#N/A</v>
      </c>
      <c r="AF159" s="31" t="e">
        <f aca="false">X159/V159</f>
        <v>#N/A</v>
      </c>
      <c r="AG159" s="26" t="e">
        <f aca="false">X159/Z159</f>
        <v>#N/A</v>
      </c>
      <c r="AH159" s="26" t="e">
        <f aca="false">V159/AD159</f>
        <v>#N/A</v>
      </c>
      <c r="AI159" s="26" t="e">
        <f aca="false">Z159/AD159</f>
        <v>#N/A</v>
      </c>
      <c r="AJ159" s="26" t="e">
        <f aca="false">Z159/AE159</f>
        <v>#N/A</v>
      </c>
      <c r="AK159" s="26" t="e">
        <f aca="false">AA159/AD159</f>
        <v>#N/A</v>
      </c>
      <c r="AL159" s="26" t="e">
        <f aca="false">AA159/AE159</f>
        <v>#N/A</v>
      </c>
    </row>
    <row r="160" customFormat="false" ht="14.25" hidden="false" customHeight="false" outlineLevel="0" collapsed="false">
      <c r="I160" s="3" t="str">
        <f aca="false">_xlfn.CONCAT(B160, "-", C160,"-", D160,"-", F160)</f>
        <v>---</v>
      </c>
      <c r="J160" s="9" t="str">
        <f aca="false">_xlfn.CONCAT(A160, "-", I160, ",",G160, "-",H160)</f>
        <v>----,-</v>
      </c>
      <c r="K160" s="3" t="e">
        <f aca="false">VLOOKUP(I160, 'Depth vlookup'!$G$2:$I$997,2,FALSE())+(G160/100)</f>
        <v>#N/A</v>
      </c>
      <c r="L160" s="28" t="e">
        <f aca="false">K160+2/100</f>
        <v>#N/A</v>
      </c>
      <c r="N160" s="4" t="e">
        <f aca="false">VLOOKUP(M160,  Beakers!$A$2:$B$151, 2, 0)</f>
        <v>#N/A</v>
      </c>
      <c r="V160" s="31" t="e">
        <f aca="false">O160-N160</f>
        <v>#N/A</v>
      </c>
      <c r="W160" s="31" t="e">
        <f aca="false">Q160-N160</f>
        <v>#N/A</v>
      </c>
      <c r="X160" s="31" t="e">
        <f aca="false">(V160-W160)/(1-35/1000)</f>
        <v>#N/A</v>
      </c>
      <c r="Y160" s="31" t="e">
        <f aca="false">X160-(V160-W160)</f>
        <v>#N/A</v>
      </c>
      <c r="Z160" s="31" t="e">
        <f aca="false">W160-Y160</f>
        <v>#N/A</v>
      </c>
      <c r="AA160" s="31" t="e">
        <f aca="false">X160/1.024</f>
        <v>#N/A</v>
      </c>
      <c r="AB160" s="31" t="e">
        <f aca="false">Y160/2.22</f>
        <v>#N/A</v>
      </c>
      <c r="AC160" s="31" t="e">
        <f aca="false">T160-VLOOKUP(M160, Beakers!$A$2:$C$151, 3, 0)</f>
        <v>#N/A</v>
      </c>
      <c r="AD160" s="31" t="e">
        <f aca="false">AC160-AB160+AA160</f>
        <v>#N/A</v>
      </c>
      <c r="AE160" s="31" t="e">
        <f aca="false">AC160-AB160</f>
        <v>#N/A</v>
      </c>
      <c r="AF160" s="31" t="e">
        <f aca="false">X160/V160</f>
        <v>#N/A</v>
      </c>
      <c r="AG160" s="26" t="e">
        <f aca="false">X160/Z160</f>
        <v>#N/A</v>
      </c>
      <c r="AH160" s="26" t="e">
        <f aca="false">V160/AD160</f>
        <v>#N/A</v>
      </c>
      <c r="AI160" s="26" t="e">
        <f aca="false">Z160/AD160</f>
        <v>#N/A</v>
      </c>
      <c r="AJ160" s="26" t="e">
        <f aca="false">Z160/AE160</f>
        <v>#N/A</v>
      </c>
      <c r="AK160" s="26" t="e">
        <f aca="false">AA160/AD160</f>
        <v>#N/A</v>
      </c>
      <c r="AL160" s="26" t="e">
        <f aca="false">AA160/AE160</f>
        <v>#N/A</v>
      </c>
    </row>
    <row r="161" customFormat="false" ht="14.25" hidden="false" customHeight="false" outlineLevel="0" collapsed="false">
      <c r="I161" s="3" t="str">
        <f aca="false">_xlfn.CONCAT(B161, "-", C161,"-", D161,"-", F161)</f>
        <v>---</v>
      </c>
      <c r="J161" s="9" t="str">
        <f aca="false">_xlfn.CONCAT(A161, "-", I161, ",",G161, "-",H161)</f>
        <v>----,-</v>
      </c>
      <c r="K161" s="3" t="e">
        <f aca="false">VLOOKUP(I161, 'Depth vlookup'!$G$2:$I$997,2,FALSE())+(G161/100)</f>
        <v>#N/A</v>
      </c>
      <c r="L161" s="28" t="e">
        <f aca="false">K161+2/100</f>
        <v>#N/A</v>
      </c>
      <c r="N161" s="4" t="e">
        <f aca="false">VLOOKUP(M161,  Beakers!$A$2:$B$151, 2, 0)</f>
        <v>#N/A</v>
      </c>
      <c r="V161" s="31" t="e">
        <f aca="false">O161-N161</f>
        <v>#N/A</v>
      </c>
      <c r="W161" s="31" t="e">
        <f aca="false">Q161-N161</f>
        <v>#N/A</v>
      </c>
      <c r="X161" s="31" t="e">
        <f aca="false">(V161-W161)/(1-35/1000)</f>
        <v>#N/A</v>
      </c>
      <c r="Y161" s="31" t="e">
        <f aca="false">X161-(V161-W161)</f>
        <v>#N/A</v>
      </c>
      <c r="Z161" s="31" t="e">
        <f aca="false">W161-Y161</f>
        <v>#N/A</v>
      </c>
      <c r="AA161" s="31" t="e">
        <f aca="false">X161/1.024</f>
        <v>#N/A</v>
      </c>
      <c r="AB161" s="31" t="e">
        <f aca="false">Y161/2.22</f>
        <v>#N/A</v>
      </c>
      <c r="AC161" s="31" t="e">
        <f aca="false">T161-VLOOKUP(M161, Beakers!$A$2:$C$151, 3, 0)</f>
        <v>#N/A</v>
      </c>
      <c r="AD161" s="31" t="e">
        <f aca="false">AC161-AB161+AA161</f>
        <v>#N/A</v>
      </c>
      <c r="AE161" s="31" t="e">
        <f aca="false">AC161-AB161</f>
        <v>#N/A</v>
      </c>
      <c r="AF161" s="31" t="e">
        <f aca="false">X161/V161</f>
        <v>#N/A</v>
      </c>
      <c r="AG161" s="26" t="e">
        <f aca="false">X161/Z161</f>
        <v>#N/A</v>
      </c>
      <c r="AH161" s="26" t="e">
        <f aca="false">V161/AD161</f>
        <v>#N/A</v>
      </c>
      <c r="AI161" s="26" t="e">
        <f aca="false">Z161/AD161</f>
        <v>#N/A</v>
      </c>
      <c r="AJ161" s="26" t="e">
        <f aca="false">Z161/AE161</f>
        <v>#N/A</v>
      </c>
      <c r="AK161" s="26" t="e">
        <f aca="false">AA161/AD161</f>
        <v>#N/A</v>
      </c>
      <c r="AL161" s="26" t="e">
        <f aca="false">AA161/AE161</f>
        <v>#N/A</v>
      </c>
    </row>
    <row r="162" customFormat="false" ht="14.25" hidden="false" customHeight="false" outlineLevel="0" collapsed="false">
      <c r="I162" s="3" t="str">
        <f aca="false">_xlfn.CONCAT(B162, "-", C162,"-", D162,"-", F162)</f>
        <v>---</v>
      </c>
      <c r="J162" s="9" t="str">
        <f aca="false">_xlfn.CONCAT(A162, "-", I162, ",",G162, "-",H162)</f>
        <v>----,-</v>
      </c>
      <c r="K162" s="3" t="e">
        <f aca="false">VLOOKUP(I162, 'Depth vlookup'!$G$2:$I$997,2,FALSE())+(G162/100)</f>
        <v>#N/A</v>
      </c>
      <c r="L162" s="28" t="e">
        <f aca="false">K162+2/100</f>
        <v>#N/A</v>
      </c>
      <c r="N162" s="4" t="e">
        <f aca="false">VLOOKUP(M162,  Beakers!$A$2:$B$151, 2, 0)</f>
        <v>#N/A</v>
      </c>
      <c r="V162" s="31" t="e">
        <f aca="false">O162-N162</f>
        <v>#N/A</v>
      </c>
      <c r="W162" s="31" t="e">
        <f aca="false">Q162-N162</f>
        <v>#N/A</v>
      </c>
      <c r="X162" s="31" t="e">
        <f aca="false">(V162-W162)/(1-35/1000)</f>
        <v>#N/A</v>
      </c>
      <c r="Y162" s="31" t="e">
        <f aca="false">X162-(V162-W162)</f>
        <v>#N/A</v>
      </c>
      <c r="Z162" s="31" t="e">
        <f aca="false">W162-Y162</f>
        <v>#N/A</v>
      </c>
      <c r="AA162" s="31" t="e">
        <f aca="false">X162/1.024</f>
        <v>#N/A</v>
      </c>
      <c r="AB162" s="31" t="e">
        <f aca="false">Y162/2.22</f>
        <v>#N/A</v>
      </c>
      <c r="AC162" s="31" t="e">
        <f aca="false">T162-VLOOKUP(M162, Beakers!$A$2:$C$151, 3, 0)</f>
        <v>#N/A</v>
      </c>
      <c r="AD162" s="31" t="e">
        <f aca="false">AC162-AB162+AA162</f>
        <v>#N/A</v>
      </c>
      <c r="AE162" s="31" t="e">
        <f aca="false">AC162-AB162</f>
        <v>#N/A</v>
      </c>
      <c r="AF162" s="31" t="e">
        <f aca="false">X162/V162</f>
        <v>#N/A</v>
      </c>
      <c r="AG162" s="26" t="e">
        <f aca="false">X162/Z162</f>
        <v>#N/A</v>
      </c>
      <c r="AH162" s="26" t="e">
        <f aca="false">V162/AD162</f>
        <v>#N/A</v>
      </c>
      <c r="AI162" s="26" t="e">
        <f aca="false">Z162/AD162</f>
        <v>#N/A</v>
      </c>
      <c r="AJ162" s="26" t="e">
        <f aca="false">Z162/AE162</f>
        <v>#N/A</v>
      </c>
      <c r="AK162" s="26" t="e">
        <f aca="false">AA162/AD162</f>
        <v>#N/A</v>
      </c>
      <c r="AL162" s="26" t="e">
        <f aca="false">AA162/AE162</f>
        <v>#N/A</v>
      </c>
    </row>
    <row r="163" customFormat="false" ht="14.25" hidden="false" customHeight="false" outlineLevel="0" collapsed="false">
      <c r="I163" s="3" t="str">
        <f aca="false">_xlfn.CONCAT(B163, "-", C163,"-", D163,"-", F163)</f>
        <v>---</v>
      </c>
      <c r="J163" s="9" t="str">
        <f aca="false">_xlfn.CONCAT(A163, "-", I163, ",",G163, "-",H163)</f>
        <v>----,-</v>
      </c>
      <c r="K163" s="3" t="e">
        <f aca="false">VLOOKUP(I163, 'Depth vlookup'!$G$2:$I$997,2,FALSE())+(G163/100)</f>
        <v>#N/A</v>
      </c>
      <c r="L163" s="28" t="e">
        <f aca="false">K163+2/100</f>
        <v>#N/A</v>
      </c>
      <c r="N163" s="4" t="e">
        <f aca="false">VLOOKUP(M163,  Beakers!$A$2:$B$151, 2, 0)</f>
        <v>#N/A</v>
      </c>
      <c r="V163" s="31" t="e">
        <f aca="false">O163-N163</f>
        <v>#N/A</v>
      </c>
      <c r="W163" s="31" t="e">
        <f aca="false">Q163-N163</f>
        <v>#N/A</v>
      </c>
      <c r="X163" s="31" t="e">
        <f aca="false">(V163-W163)/(1-35/1000)</f>
        <v>#N/A</v>
      </c>
      <c r="Y163" s="31" t="e">
        <f aca="false">X163-(V163-W163)</f>
        <v>#N/A</v>
      </c>
      <c r="Z163" s="31" t="e">
        <f aca="false">W163-Y163</f>
        <v>#N/A</v>
      </c>
      <c r="AA163" s="31" t="e">
        <f aca="false">X163/1.024</f>
        <v>#N/A</v>
      </c>
      <c r="AB163" s="31" t="e">
        <f aca="false">Y163/2.22</f>
        <v>#N/A</v>
      </c>
      <c r="AC163" s="31" t="e">
        <f aca="false">T163-VLOOKUP(M163, Beakers!$A$2:$C$151, 3, 0)</f>
        <v>#N/A</v>
      </c>
      <c r="AD163" s="31" t="e">
        <f aca="false">AC163-AB163+AA163</f>
        <v>#N/A</v>
      </c>
      <c r="AE163" s="31" t="e">
        <f aca="false">AC163-AB163</f>
        <v>#N/A</v>
      </c>
      <c r="AF163" s="31" t="e">
        <f aca="false">X163/V163</f>
        <v>#N/A</v>
      </c>
      <c r="AG163" s="26" t="e">
        <f aca="false">X163/Z163</f>
        <v>#N/A</v>
      </c>
      <c r="AH163" s="26" t="e">
        <f aca="false">V163/AD163</f>
        <v>#N/A</v>
      </c>
      <c r="AI163" s="26" t="e">
        <f aca="false">Z163/AD163</f>
        <v>#N/A</v>
      </c>
      <c r="AJ163" s="26" t="e">
        <f aca="false">Z163/AE163</f>
        <v>#N/A</v>
      </c>
      <c r="AK163" s="26" t="e">
        <f aca="false">AA163/AD163</f>
        <v>#N/A</v>
      </c>
      <c r="AL163" s="26" t="e">
        <f aca="false">AA163/AE163</f>
        <v>#N/A</v>
      </c>
    </row>
    <row r="164" customFormat="false" ht="14.25" hidden="false" customHeight="false" outlineLevel="0" collapsed="false">
      <c r="I164" s="3" t="str">
        <f aca="false">_xlfn.CONCAT(B164, "-", C164,"-", D164,"-", F164)</f>
        <v>---</v>
      </c>
      <c r="J164" s="9" t="str">
        <f aca="false">_xlfn.CONCAT(A164, "-", I164, ",",G164, "-",H164)</f>
        <v>----,-</v>
      </c>
      <c r="K164" s="3" t="e">
        <f aca="false">VLOOKUP(I164, 'Depth vlookup'!$G$2:$I$997,2,FALSE())+(G164/100)</f>
        <v>#N/A</v>
      </c>
      <c r="L164" s="28" t="e">
        <f aca="false">K164+2/100</f>
        <v>#N/A</v>
      </c>
      <c r="N164" s="4" t="e">
        <f aca="false">VLOOKUP(M164,  Beakers!$A$2:$B$151, 2, 0)</f>
        <v>#N/A</v>
      </c>
      <c r="V164" s="31" t="e">
        <f aca="false">O164-N164</f>
        <v>#N/A</v>
      </c>
      <c r="W164" s="31" t="e">
        <f aca="false">Q164-N164</f>
        <v>#N/A</v>
      </c>
      <c r="X164" s="31" t="e">
        <f aca="false">(V164-W164)/(1-35/1000)</f>
        <v>#N/A</v>
      </c>
      <c r="Y164" s="31" t="e">
        <f aca="false">X164-(V164-W164)</f>
        <v>#N/A</v>
      </c>
      <c r="Z164" s="31" t="e">
        <f aca="false">W164-Y164</f>
        <v>#N/A</v>
      </c>
      <c r="AA164" s="31" t="e">
        <f aca="false">X164/1.024</f>
        <v>#N/A</v>
      </c>
      <c r="AB164" s="31" t="e">
        <f aca="false">Y164/2.22</f>
        <v>#N/A</v>
      </c>
      <c r="AC164" s="31" t="e">
        <f aca="false">T164-VLOOKUP(M164, Beakers!$A$2:$C$151, 3, 0)</f>
        <v>#N/A</v>
      </c>
      <c r="AD164" s="31" t="e">
        <f aca="false">AC164-AB164+AA164</f>
        <v>#N/A</v>
      </c>
      <c r="AE164" s="31" t="e">
        <f aca="false">AC164-AB164</f>
        <v>#N/A</v>
      </c>
      <c r="AF164" s="31" t="e">
        <f aca="false">X164/V164</f>
        <v>#N/A</v>
      </c>
      <c r="AG164" s="26" t="e">
        <f aca="false">X164/Z164</f>
        <v>#N/A</v>
      </c>
      <c r="AH164" s="26" t="e">
        <f aca="false">V164/AD164</f>
        <v>#N/A</v>
      </c>
      <c r="AI164" s="26" t="e">
        <f aca="false">Z164/AD164</f>
        <v>#N/A</v>
      </c>
      <c r="AJ164" s="26" t="e">
        <f aca="false">Z164/AE164</f>
        <v>#N/A</v>
      </c>
      <c r="AK164" s="26" t="e">
        <f aca="false">AA164/AD164</f>
        <v>#N/A</v>
      </c>
      <c r="AL164" s="26" t="e">
        <f aca="false">AA164/AE164</f>
        <v>#N/A</v>
      </c>
    </row>
    <row r="165" customFormat="false" ht="14.25" hidden="false" customHeight="false" outlineLevel="0" collapsed="false">
      <c r="I165" s="3" t="str">
        <f aca="false">_xlfn.CONCAT(B165, "-", C165,"-", D165,"-", F165)</f>
        <v>---</v>
      </c>
      <c r="J165" s="9" t="str">
        <f aca="false">_xlfn.CONCAT(A165, "-", I165, ",",G165, "-",H165)</f>
        <v>----,-</v>
      </c>
      <c r="K165" s="3" t="e">
        <f aca="false">VLOOKUP(I165, 'Depth vlookup'!$G$2:$I$997,2,FALSE())+(G165/100)</f>
        <v>#N/A</v>
      </c>
      <c r="L165" s="28" t="e">
        <f aca="false">K165+2/100</f>
        <v>#N/A</v>
      </c>
      <c r="N165" s="4" t="e">
        <f aca="false">VLOOKUP(M165,  Beakers!$A$2:$B$151, 2, 0)</f>
        <v>#N/A</v>
      </c>
      <c r="V165" s="31" t="e">
        <f aca="false">O165-N165</f>
        <v>#N/A</v>
      </c>
      <c r="W165" s="31" t="e">
        <f aca="false">Q165-N165</f>
        <v>#N/A</v>
      </c>
      <c r="X165" s="31" t="e">
        <f aca="false">(V165-W165)/(1-35/1000)</f>
        <v>#N/A</v>
      </c>
      <c r="Y165" s="31" t="e">
        <f aca="false">X165-(V165-W165)</f>
        <v>#N/A</v>
      </c>
      <c r="Z165" s="31" t="e">
        <f aca="false">W165-Y165</f>
        <v>#N/A</v>
      </c>
      <c r="AA165" s="31" t="e">
        <f aca="false">X165/1.024</f>
        <v>#N/A</v>
      </c>
      <c r="AB165" s="31" t="e">
        <f aca="false">Y165/2.22</f>
        <v>#N/A</v>
      </c>
      <c r="AC165" s="31" t="e">
        <f aca="false">T165-VLOOKUP(M165, Beakers!$A$2:$C$151, 3, 0)</f>
        <v>#N/A</v>
      </c>
      <c r="AD165" s="31" t="e">
        <f aca="false">AC165-AB165+AA165</f>
        <v>#N/A</v>
      </c>
      <c r="AE165" s="31" t="e">
        <f aca="false">AC165-AB165</f>
        <v>#N/A</v>
      </c>
      <c r="AF165" s="31" t="e">
        <f aca="false">X165/V165</f>
        <v>#N/A</v>
      </c>
      <c r="AG165" s="26" t="e">
        <f aca="false">X165/Z165</f>
        <v>#N/A</v>
      </c>
      <c r="AH165" s="26" t="e">
        <f aca="false">V165/AD165</f>
        <v>#N/A</v>
      </c>
      <c r="AI165" s="26" t="e">
        <f aca="false">Z165/AD165</f>
        <v>#N/A</v>
      </c>
      <c r="AJ165" s="26" t="e">
        <f aca="false">Z165/AE165</f>
        <v>#N/A</v>
      </c>
      <c r="AK165" s="26" t="e">
        <f aca="false">AA165/AD165</f>
        <v>#N/A</v>
      </c>
      <c r="AL165" s="26" t="e">
        <f aca="false">AA165/AE165</f>
        <v>#N/A</v>
      </c>
    </row>
    <row r="166" customFormat="false" ht="14.25" hidden="false" customHeight="false" outlineLevel="0" collapsed="false">
      <c r="I166" s="3" t="str">
        <f aca="false">_xlfn.CONCAT(B166, "-", C166,"-", D166,"-", F166)</f>
        <v>---</v>
      </c>
      <c r="J166" s="9" t="str">
        <f aca="false">_xlfn.CONCAT(A166, "-", I166, ",",G166, "-",H166)</f>
        <v>----,-</v>
      </c>
      <c r="K166" s="3" t="e">
        <f aca="false">VLOOKUP(I166, 'Depth vlookup'!$G$2:$I$997,2,FALSE())+(G166/100)</f>
        <v>#N/A</v>
      </c>
      <c r="L166" s="28" t="e">
        <f aca="false">K166+2/100</f>
        <v>#N/A</v>
      </c>
      <c r="N166" s="4" t="e">
        <f aca="false">VLOOKUP(M166,  Beakers!$A$2:$B$151, 2, 0)</f>
        <v>#N/A</v>
      </c>
      <c r="V166" s="31" t="e">
        <f aca="false">O166-N166</f>
        <v>#N/A</v>
      </c>
      <c r="W166" s="31" t="e">
        <f aca="false">Q166-N166</f>
        <v>#N/A</v>
      </c>
      <c r="X166" s="31" t="e">
        <f aca="false">(V166-W166)/(1-35/1000)</f>
        <v>#N/A</v>
      </c>
      <c r="Y166" s="31" t="e">
        <f aca="false">X166-(V166-W166)</f>
        <v>#N/A</v>
      </c>
      <c r="Z166" s="31" t="e">
        <f aca="false">W166-Y166</f>
        <v>#N/A</v>
      </c>
      <c r="AA166" s="31" t="e">
        <f aca="false">X166/1.024</f>
        <v>#N/A</v>
      </c>
      <c r="AB166" s="31" t="e">
        <f aca="false">Y166/2.22</f>
        <v>#N/A</v>
      </c>
      <c r="AC166" s="31" t="e">
        <f aca="false">T166-VLOOKUP(M166, Beakers!$A$2:$C$151, 3, 0)</f>
        <v>#N/A</v>
      </c>
      <c r="AD166" s="31" t="e">
        <f aca="false">AC166-AB166+AA166</f>
        <v>#N/A</v>
      </c>
      <c r="AE166" s="31" t="e">
        <f aca="false">AC166-AB166</f>
        <v>#N/A</v>
      </c>
      <c r="AF166" s="31" t="e">
        <f aca="false">X166/V166</f>
        <v>#N/A</v>
      </c>
      <c r="AG166" s="26" t="e">
        <f aca="false">X166/Z166</f>
        <v>#N/A</v>
      </c>
      <c r="AH166" s="26" t="e">
        <f aca="false">V166/AD166</f>
        <v>#N/A</v>
      </c>
      <c r="AI166" s="26" t="e">
        <f aca="false">Z166/AD166</f>
        <v>#N/A</v>
      </c>
      <c r="AJ166" s="26" t="e">
        <f aca="false">Z166/AE166</f>
        <v>#N/A</v>
      </c>
      <c r="AK166" s="26" t="e">
        <f aca="false">AA166/AD166</f>
        <v>#N/A</v>
      </c>
      <c r="AL166" s="26" t="e">
        <f aca="false">AA166/AE166</f>
        <v>#N/A</v>
      </c>
    </row>
    <row r="167" customFormat="false" ht="14.25" hidden="false" customHeight="false" outlineLevel="0" collapsed="false">
      <c r="I167" s="3" t="str">
        <f aca="false">_xlfn.CONCAT(B167, "-", C167,"-", D167,"-", F167)</f>
        <v>---</v>
      </c>
      <c r="J167" s="9" t="str">
        <f aca="false">_xlfn.CONCAT(A167, "-", I167, ",",G167, "-",H167)</f>
        <v>----,-</v>
      </c>
      <c r="K167" s="3" t="e">
        <f aca="false">VLOOKUP(I167, 'Depth vlookup'!$G$2:$I$997,2,FALSE())+(G167/100)</f>
        <v>#N/A</v>
      </c>
      <c r="L167" s="28" t="e">
        <f aca="false">K167+2/100</f>
        <v>#N/A</v>
      </c>
      <c r="N167" s="4" t="e">
        <f aca="false">VLOOKUP(M167,  Beakers!$A$2:$B$151, 2, 0)</f>
        <v>#N/A</v>
      </c>
      <c r="V167" s="31" t="e">
        <f aca="false">O167-N167</f>
        <v>#N/A</v>
      </c>
      <c r="W167" s="31" t="e">
        <f aca="false">Q167-N167</f>
        <v>#N/A</v>
      </c>
      <c r="X167" s="31" t="e">
        <f aca="false">(V167-W167)/(1-35/1000)</f>
        <v>#N/A</v>
      </c>
      <c r="Y167" s="31" t="e">
        <f aca="false">X167-(V167-W167)</f>
        <v>#N/A</v>
      </c>
      <c r="Z167" s="31" t="e">
        <f aca="false">W167-Y167</f>
        <v>#N/A</v>
      </c>
      <c r="AA167" s="31" t="e">
        <f aca="false">X167/1.024</f>
        <v>#N/A</v>
      </c>
      <c r="AB167" s="31" t="e">
        <f aca="false">Y167/2.22</f>
        <v>#N/A</v>
      </c>
      <c r="AC167" s="31" t="e">
        <f aca="false">T167-VLOOKUP(M167, Beakers!$A$2:$C$151, 3, 0)</f>
        <v>#N/A</v>
      </c>
      <c r="AD167" s="31" t="e">
        <f aca="false">AC167-AB167+AA167</f>
        <v>#N/A</v>
      </c>
      <c r="AE167" s="31" t="e">
        <f aca="false">AC167-AB167</f>
        <v>#N/A</v>
      </c>
      <c r="AF167" s="31" t="e">
        <f aca="false">X167/V167</f>
        <v>#N/A</v>
      </c>
      <c r="AG167" s="26" t="e">
        <f aca="false">X167/Z167</f>
        <v>#N/A</v>
      </c>
      <c r="AH167" s="26" t="e">
        <f aca="false">V167/AD167</f>
        <v>#N/A</v>
      </c>
      <c r="AI167" s="26" t="e">
        <f aca="false">Z167/AD167</f>
        <v>#N/A</v>
      </c>
      <c r="AJ167" s="26" t="e">
        <f aca="false">Z167/AE167</f>
        <v>#N/A</v>
      </c>
      <c r="AK167" s="26" t="e">
        <f aca="false">AA167/AD167</f>
        <v>#N/A</v>
      </c>
      <c r="AL167" s="26" t="e">
        <f aca="false">AA167/AE167</f>
        <v>#N/A</v>
      </c>
    </row>
    <row r="168" customFormat="false" ht="14.25" hidden="false" customHeight="false" outlineLevel="0" collapsed="false"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26"/>
      <c r="AH168" s="26"/>
      <c r="AI168" s="26"/>
      <c r="AJ168" s="26"/>
      <c r="AK168" s="26"/>
      <c r="AL168" s="26"/>
    </row>
    <row r="169" customFormat="false" ht="14.25" hidden="false" customHeight="false" outlineLevel="0" collapsed="false"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26"/>
      <c r="AH169" s="26"/>
      <c r="AI169" s="26"/>
      <c r="AJ169" s="26"/>
      <c r="AK169" s="26"/>
      <c r="AL169" s="26"/>
    </row>
    <row r="170" customFormat="false" ht="14.25" hidden="false" customHeight="false" outlineLevel="0" collapsed="false"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26"/>
      <c r="AH170" s="26"/>
      <c r="AI170" s="26"/>
      <c r="AJ170" s="26"/>
      <c r="AK170" s="26"/>
      <c r="AL170" s="26"/>
    </row>
    <row r="171" customFormat="false" ht="14.25" hidden="false" customHeight="false" outlineLevel="0" collapsed="false"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26"/>
      <c r="AH171" s="26"/>
      <c r="AI171" s="26"/>
      <c r="AJ171" s="26"/>
      <c r="AK171" s="26"/>
      <c r="AL171" s="26"/>
    </row>
    <row r="172" customFormat="false" ht="14.25" hidden="false" customHeight="false" outlineLevel="0" collapsed="false"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26"/>
      <c r="AH172" s="26"/>
      <c r="AI172" s="26"/>
      <c r="AJ172" s="26"/>
      <c r="AK172" s="26"/>
      <c r="AL172" s="26"/>
    </row>
    <row r="173" customFormat="false" ht="14.25" hidden="false" customHeight="false" outlineLevel="0" collapsed="false"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26"/>
      <c r="AH173" s="26"/>
      <c r="AI173" s="26"/>
      <c r="AJ173" s="26"/>
      <c r="AK173" s="26"/>
      <c r="AL173" s="26"/>
    </row>
    <row r="174" customFormat="false" ht="14.25" hidden="false" customHeight="false" outlineLevel="0" collapsed="false"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26"/>
      <c r="AH174" s="26"/>
      <c r="AI174" s="26"/>
      <c r="AJ174" s="26"/>
      <c r="AK174" s="26"/>
      <c r="AL174" s="26"/>
    </row>
    <row r="175" customFormat="false" ht="14.25" hidden="false" customHeight="false" outlineLevel="0" collapsed="false"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26"/>
      <c r="AH175" s="26"/>
      <c r="AI175" s="26"/>
      <c r="AJ175" s="26"/>
      <c r="AK175" s="26"/>
      <c r="AL175" s="26"/>
    </row>
    <row r="176" customFormat="false" ht="14.25" hidden="false" customHeight="false" outlineLevel="0" collapsed="false"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26"/>
      <c r="AH176" s="26"/>
      <c r="AI176" s="26"/>
      <c r="AJ176" s="26"/>
      <c r="AK176" s="26"/>
      <c r="AL176" s="26"/>
    </row>
    <row r="177" customFormat="false" ht="14.25" hidden="false" customHeight="false" outlineLevel="0" collapsed="false"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26"/>
      <c r="AH177" s="26"/>
      <c r="AI177" s="26"/>
      <c r="AJ177" s="26"/>
      <c r="AK177" s="26"/>
      <c r="AL177" s="26"/>
    </row>
    <row r="178" customFormat="false" ht="14.25" hidden="false" customHeight="false" outlineLevel="0" collapsed="false"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26"/>
      <c r="AH178" s="26"/>
      <c r="AI178" s="26"/>
      <c r="AJ178" s="26"/>
      <c r="AK178" s="26"/>
      <c r="AL178" s="26"/>
    </row>
    <row r="179" customFormat="false" ht="14.25" hidden="false" customHeight="false" outlineLevel="0" collapsed="false"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26"/>
      <c r="AH179" s="26"/>
      <c r="AI179" s="26"/>
      <c r="AJ179" s="26"/>
      <c r="AK179" s="26"/>
      <c r="AL179" s="26"/>
    </row>
    <row r="180" customFormat="false" ht="14.25" hidden="false" customHeight="false" outlineLevel="0" collapsed="false"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26"/>
      <c r="AH180" s="26"/>
      <c r="AI180" s="26"/>
      <c r="AJ180" s="26"/>
      <c r="AK180" s="26"/>
      <c r="AL180" s="26"/>
    </row>
    <row r="181" customFormat="false" ht="14.25" hidden="false" customHeight="false" outlineLevel="0" collapsed="false"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26"/>
      <c r="AH181" s="26"/>
      <c r="AI181" s="26"/>
      <c r="AJ181" s="26"/>
      <c r="AK181" s="26"/>
      <c r="AL181" s="26"/>
    </row>
    <row r="182" customFormat="false" ht="14.25" hidden="false" customHeight="false" outlineLevel="0" collapsed="false"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26"/>
      <c r="AH182" s="26"/>
      <c r="AI182" s="26"/>
      <c r="AJ182" s="26"/>
      <c r="AK182" s="26"/>
      <c r="AL182" s="26"/>
    </row>
    <row r="183" customFormat="false" ht="14.25" hidden="false" customHeight="false" outlineLevel="0" collapsed="false"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26"/>
      <c r="AH183" s="26"/>
      <c r="AI183" s="26"/>
      <c r="AJ183" s="26"/>
      <c r="AK183" s="26"/>
      <c r="AL183" s="26"/>
    </row>
    <row r="184" customFormat="false" ht="14.25" hidden="false" customHeight="false" outlineLevel="0" collapsed="false"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26"/>
      <c r="AH184" s="26"/>
      <c r="AI184" s="26"/>
      <c r="AJ184" s="26"/>
      <c r="AK184" s="26"/>
      <c r="AL184" s="26"/>
    </row>
    <row r="185" customFormat="false" ht="14.25" hidden="false" customHeight="false" outlineLevel="0" collapsed="false"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26"/>
      <c r="AH185" s="26"/>
      <c r="AI185" s="26"/>
      <c r="AJ185" s="26"/>
      <c r="AK185" s="26"/>
      <c r="AL185" s="26"/>
    </row>
    <row r="186" customFormat="false" ht="14.25" hidden="false" customHeight="false" outlineLevel="0" collapsed="false"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26"/>
      <c r="AH186" s="26"/>
      <c r="AI186" s="26"/>
      <c r="AJ186" s="26"/>
      <c r="AK186" s="26"/>
      <c r="AL186" s="26"/>
    </row>
    <row r="187" customFormat="false" ht="14.25" hidden="false" customHeight="false" outlineLevel="0" collapsed="false"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26"/>
      <c r="AH187" s="26"/>
      <c r="AI187" s="26"/>
      <c r="AJ187" s="26"/>
      <c r="AK187" s="26"/>
      <c r="AL187" s="26"/>
    </row>
    <row r="188" customFormat="false" ht="14.25" hidden="false" customHeight="false" outlineLevel="0" collapsed="false"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26"/>
      <c r="AH188" s="26"/>
      <c r="AI188" s="26"/>
      <c r="AJ188" s="26"/>
      <c r="AK188" s="26"/>
      <c r="AL188" s="26"/>
    </row>
    <row r="189" customFormat="false" ht="14.25" hidden="false" customHeight="false" outlineLevel="0" collapsed="false"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26"/>
      <c r="AH189" s="26"/>
      <c r="AI189" s="26"/>
      <c r="AJ189" s="26"/>
      <c r="AK189" s="26"/>
      <c r="AL189" s="26"/>
    </row>
    <row r="190" customFormat="false" ht="14.25" hidden="false" customHeight="false" outlineLevel="0" collapsed="false"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26"/>
      <c r="AH190" s="26"/>
      <c r="AI190" s="26"/>
      <c r="AJ190" s="26"/>
      <c r="AK190" s="26"/>
      <c r="AL190" s="26"/>
    </row>
    <row r="191" customFormat="false" ht="14.25" hidden="false" customHeight="false" outlineLevel="0" collapsed="false"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26"/>
      <c r="AH191" s="26"/>
      <c r="AI191" s="26"/>
      <c r="AJ191" s="26"/>
      <c r="AK191" s="26"/>
      <c r="AL191" s="26"/>
    </row>
    <row r="192" customFormat="false" ht="14.25" hidden="false" customHeight="false" outlineLevel="0" collapsed="false"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26"/>
      <c r="AH192" s="26"/>
      <c r="AI192" s="26"/>
      <c r="AJ192" s="26"/>
      <c r="AK192" s="26"/>
      <c r="AL192" s="26"/>
    </row>
    <row r="193" customFormat="false" ht="14.25" hidden="false" customHeight="false" outlineLevel="0" collapsed="false"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26"/>
      <c r="AH193" s="26"/>
      <c r="AI193" s="26"/>
      <c r="AJ193" s="26"/>
      <c r="AK193" s="26"/>
      <c r="AL193" s="26"/>
    </row>
    <row r="194" customFormat="false" ht="14.25" hidden="false" customHeight="false" outlineLevel="0" collapsed="false"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26"/>
      <c r="AH194" s="26"/>
      <c r="AI194" s="26"/>
      <c r="AJ194" s="26"/>
      <c r="AK194" s="26"/>
      <c r="AL194" s="26"/>
    </row>
    <row r="195" customFormat="false" ht="14.25" hidden="false" customHeight="false" outlineLevel="0" collapsed="false"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26"/>
      <c r="AH195" s="26"/>
      <c r="AI195" s="26"/>
      <c r="AJ195" s="26"/>
      <c r="AK195" s="26"/>
      <c r="AL195" s="26"/>
    </row>
    <row r="196" customFormat="false" ht="14.25" hidden="false" customHeight="false" outlineLevel="0" collapsed="false"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26"/>
      <c r="AH196" s="26"/>
      <c r="AI196" s="26"/>
      <c r="AJ196" s="26"/>
      <c r="AK196" s="26"/>
      <c r="AL196" s="26"/>
    </row>
    <row r="197" customFormat="false" ht="14.25" hidden="false" customHeight="false" outlineLevel="0" collapsed="false"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26"/>
      <c r="AH197" s="26"/>
      <c r="AI197" s="26"/>
      <c r="AJ197" s="26"/>
      <c r="AK197" s="26"/>
      <c r="AL197" s="26"/>
    </row>
    <row r="198" customFormat="false" ht="14.25" hidden="false" customHeight="false" outlineLevel="0" collapsed="false"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26"/>
      <c r="AH198" s="26"/>
      <c r="AI198" s="26"/>
      <c r="AJ198" s="26"/>
      <c r="AK198" s="26"/>
      <c r="AL198" s="26"/>
    </row>
    <row r="199" customFormat="false" ht="14.25" hidden="false" customHeight="false" outlineLevel="0" collapsed="false"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26"/>
      <c r="AH199" s="26"/>
      <c r="AI199" s="26"/>
      <c r="AJ199" s="26"/>
      <c r="AK199" s="26"/>
      <c r="AL199" s="26"/>
    </row>
    <row r="200" customFormat="false" ht="14.25" hidden="false" customHeight="false" outlineLevel="0" collapsed="false"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26"/>
      <c r="AH200" s="26"/>
      <c r="AI200" s="26"/>
      <c r="AJ200" s="26"/>
      <c r="AK200" s="26"/>
      <c r="AL200" s="26"/>
    </row>
    <row r="201" customFormat="false" ht="14.25" hidden="false" customHeight="false" outlineLevel="0" collapsed="false"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26"/>
      <c r="AH201" s="26"/>
      <c r="AI201" s="26"/>
      <c r="AJ201" s="26"/>
      <c r="AK201" s="26"/>
      <c r="AL201" s="26"/>
    </row>
    <row r="202" customFormat="false" ht="14.25" hidden="false" customHeight="false" outlineLevel="0" collapsed="false"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26"/>
      <c r="AH202" s="26"/>
      <c r="AI202" s="26"/>
      <c r="AJ202" s="26"/>
      <c r="AK202" s="26"/>
      <c r="AL202" s="26"/>
    </row>
    <row r="203" customFormat="false" ht="14.25" hidden="false" customHeight="false" outlineLevel="0" collapsed="false"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26"/>
      <c r="AH203" s="26"/>
      <c r="AI203" s="26"/>
      <c r="AJ203" s="26"/>
      <c r="AK203" s="26"/>
      <c r="AL203" s="26"/>
    </row>
    <row r="204" customFormat="false" ht="14.25" hidden="false" customHeight="false" outlineLevel="0" collapsed="false"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26"/>
      <c r="AH204" s="26"/>
      <c r="AI204" s="26"/>
      <c r="AJ204" s="26"/>
      <c r="AK204" s="26"/>
      <c r="AL204" s="26"/>
    </row>
    <row r="205" customFormat="false" ht="14.25" hidden="false" customHeight="false" outlineLevel="0" collapsed="false"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26"/>
      <c r="AH205" s="26"/>
      <c r="AI205" s="26"/>
      <c r="AJ205" s="26"/>
      <c r="AK205" s="26"/>
      <c r="AL205" s="26"/>
    </row>
    <row r="206" customFormat="false" ht="14.25" hidden="false" customHeight="false" outlineLevel="0" collapsed="false"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26"/>
      <c r="AH206" s="26"/>
      <c r="AI206" s="26"/>
      <c r="AJ206" s="26"/>
      <c r="AK206" s="26"/>
      <c r="AL206" s="26"/>
    </row>
    <row r="207" customFormat="false" ht="14.25" hidden="false" customHeight="false" outlineLevel="0" collapsed="false"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26"/>
      <c r="AH207" s="26"/>
      <c r="AI207" s="26"/>
      <c r="AJ207" s="26"/>
      <c r="AK207" s="26"/>
      <c r="AL207" s="26"/>
    </row>
    <row r="208" customFormat="false" ht="14.25" hidden="false" customHeight="false" outlineLevel="0" collapsed="false"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26"/>
      <c r="AH208" s="26"/>
      <c r="AI208" s="26"/>
      <c r="AJ208" s="26"/>
      <c r="AK208" s="26"/>
      <c r="AL208" s="26"/>
    </row>
    <row r="209" customFormat="false" ht="14.25" hidden="false" customHeight="false" outlineLevel="0" collapsed="false"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26"/>
      <c r="AH209" s="26"/>
      <c r="AI209" s="26"/>
      <c r="AJ209" s="26"/>
      <c r="AK209" s="26"/>
      <c r="AL209" s="26"/>
    </row>
    <row r="210" customFormat="false" ht="14.25" hidden="false" customHeight="false" outlineLevel="0" collapsed="false"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26"/>
      <c r="AH210" s="26"/>
      <c r="AI210" s="26"/>
      <c r="AJ210" s="26"/>
      <c r="AK210" s="26"/>
      <c r="AL210" s="26"/>
    </row>
    <row r="211" customFormat="false" ht="14.25" hidden="false" customHeight="false" outlineLevel="0" collapsed="false"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26"/>
      <c r="AH211" s="26"/>
      <c r="AI211" s="26"/>
      <c r="AJ211" s="26"/>
      <c r="AK211" s="26"/>
      <c r="AL211" s="26"/>
    </row>
    <row r="212" customFormat="false" ht="14.25" hidden="false" customHeight="false" outlineLevel="0" collapsed="false"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26"/>
      <c r="AH212" s="26"/>
      <c r="AI212" s="26"/>
      <c r="AJ212" s="26"/>
      <c r="AK212" s="26"/>
      <c r="AL212" s="26"/>
    </row>
    <row r="213" customFormat="false" ht="14.25" hidden="false" customHeight="false" outlineLevel="0" collapsed="false"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26"/>
      <c r="AH213" s="26"/>
      <c r="AI213" s="26"/>
      <c r="AJ213" s="26"/>
      <c r="AK213" s="26"/>
      <c r="AL213" s="26"/>
    </row>
    <row r="214" customFormat="false" ht="14.25" hidden="false" customHeight="false" outlineLevel="0" collapsed="false"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26"/>
      <c r="AH214" s="26"/>
      <c r="AI214" s="26"/>
      <c r="AJ214" s="26"/>
      <c r="AK214" s="26"/>
      <c r="AL214" s="26"/>
    </row>
    <row r="215" customFormat="false" ht="14.25" hidden="false" customHeight="false" outlineLevel="0" collapsed="false"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26"/>
      <c r="AH215" s="26"/>
      <c r="AI215" s="26"/>
      <c r="AJ215" s="26"/>
      <c r="AK215" s="26"/>
      <c r="AL215" s="26"/>
    </row>
    <row r="216" customFormat="false" ht="14.25" hidden="false" customHeight="false" outlineLevel="0" collapsed="false"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26"/>
      <c r="AH216" s="26"/>
      <c r="AI216" s="26"/>
      <c r="AJ216" s="26"/>
      <c r="AK216" s="26"/>
      <c r="AL216" s="26"/>
    </row>
    <row r="217" customFormat="false" ht="14.25" hidden="false" customHeight="false" outlineLevel="0" collapsed="false"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26"/>
      <c r="AH217" s="26"/>
      <c r="AI217" s="26"/>
      <c r="AJ217" s="26"/>
      <c r="AK217" s="26"/>
      <c r="AL217" s="26"/>
    </row>
    <row r="218" customFormat="false" ht="14.25" hidden="false" customHeight="false" outlineLevel="0" collapsed="false"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26"/>
      <c r="AH218" s="26"/>
      <c r="AI218" s="26"/>
      <c r="AJ218" s="26"/>
      <c r="AK218" s="26"/>
      <c r="AL218" s="26"/>
    </row>
    <row r="219" customFormat="false" ht="14.25" hidden="false" customHeight="false" outlineLevel="0" collapsed="false"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26"/>
      <c r="AH219" s="26"/>
      <c r="AI219" s="26"/>
      <c r="AJ219" s="26"/>
      <c r="AK219" s="26"/>
      <c r="AL219" s="26"/>
    </row>
    <row r="220" customFormat="false" ht="14.25" hidden="false" customHeight="false" outlineLevel="0" collapsed="false"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26"/>
      <c r="AH220" s="26"/>
      <c r="AI220" s="26"/>
      <c r="AJ220" s="26"/>
      <c r="AK220" s="26"/>
      <c r="AL220" s="26"/>
    </row>
    <row r="221" customFormat="false" ht="14.25" hidden="false" customHeight="false" outlineLevel="0" collapsed="false"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26"/>
      <c r="AH221" s="26"/>
      <c r="AI221" s="26"/>
      <c r="AJ221" s="26"/>
      <c r="AK221" s="26"/>
      <c r="AL221" s="26"/>
    </row>
    <row r="222" customFormat="false" ht="14.25" hidden="false" customHeight="false" outlineLevel="0" collapsed="false"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26"/>
      <c r="AH222" s="26"/>
      <c r="AI222" s="26"/>
      <c r="AJ222" s="26"/>
      <c r="AK222" s="26"/>
      <c r="AL222" s="26"/>
    </row>
    <row r="223" customFormat="false" ht="14.25" hidden="false" customHeight="false" outlineLevel="0" collapsed="false"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26"/>
      <c r="AH223" s="26"/>
      <c r="AI223" s="26"/>
      <c r="AJ223" s="26"/>
      <c r="AK223" s="26"/>
      <c r="AL223" s="26"/>
    </row>
    <row r="224" customFormat="false" ht="14.25" hidden="false" customHeight="false" outlineLevel="0" collapsed="false"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26"/>
      <c r="AH224" s="26"/>
      <c r="AI224" s="26"/>
      <c r="AJ224" s="26"/>
      <c r="AK224" s="26"/>
      <c r="AL224" s="26"/>
    </row>
    <row r="225" customFormat="false" ht="14.25" hidden="false" customHeight="false" outlineLevel="0" collapsed="false"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26"/>
      <c r="AH225" s="26"/>
      <c r="AI225" s="26"/>
      <c r="AJ225" s="26"/>
      <c r="AK225" s="26"/>
      <c r="AL225" s="26"/>
    </row>
    <row r="226" customFormat="false" ht="14.25" hidden="false" customHeight="false" outlineLevel="0" collapsed="false"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26"/>
      <c r="AH226" s="26"/>
      <c r="AI226" s="26"/>
      <c r="AJ226" s="26"/>
      <c r="AK226" s="26"/>
      <c r="AL226" s="26"/>
    </row>
    <row r="227" customFormat="false" ht="14.25" hidden="false" customHeight="false" outlineLevel="0" collapsed="false"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26"/>
      <c r="AH227" s="26"/>
      <c r="AI227" s="26"/>
      <c r="AJ227" s="26"/>
      <c r="AK227" s="26"/>
      <c r="AL227" s="26"/>
    </row>
    <row r="228" customFormat="false" ht="14.25" hidden="false" customHeight="false" outlineLevel="0" collapsed="false"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26"/>
      <c r="AH228" s="26"/>
      <c r="AI228" s="26"/>
      <c r="AJ228" s="26"/>
      <c r="AK228" s="26"/>
      <c r="AL228" s="26"/>
    </row>
    <row r="229" customFormat="false" ht="14.25" hidden="false" customHeight="false" outlineLevel="0" collapsed="false"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26"/>
      <c r="AH229" s="26"/>
      <c r="AI229" s="26"/>
      <c r="AJ229" s="26"/>
      <c r="AK229" s="26"/>
      <c r="AL229" s="26"/>
    </row>
    <row r="230" customFormat="false" ht="14.25" hidden="false" customHeight="false" outlineLevel="0" collapsed="false"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26"/>
      <c r="AH230" s="26"/>
      <c r="AI230" s="26"/>
      <c r="AJ230" s="26"/>
      <c r="AK230" s="26"/>
      <c r="AL230" s="26"/>
    </row>
    <row r="231" customFormat="false" ht="14.25" hidden="false" customHeight="false" outlineLevel="0" collapsed="false"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26"/>
      <c r="AH231" s="26"/>
      <c r="AI231" s="26"/>
      <c r="AJ231" s="26"/>
      <c r="AK231" s="26"/>
      <c r="AL231" s="26"/>
    </row>
    <row r="232" customFormat="false" ht="14.25" hidden="false" customHeight="false" outlineLevel="0" collapsed="false"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26"/>
      <c r="AH232" s="26"/>
      <c r="AI232" s="26"/>
      <c r="AJ232" s="26"/>
      <c r="AK232" s="26"/>
      <c r="AL232" s="26"/>
    </row>
    <row r="233" customFormat="false" ht="14.25" hidden="false" customHeight="false" outlineLevel="0" collapsed="false"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26"/>
      <c r="AH233" s="26"/>
      <c r="AI233" s="26"/>
      <c r="AJ233" s="26"/>
      <c r="AK233" s="26"/>
      <c r="AL233" s="26"/>
    </row>
    <row r="234" customFormat="false" ht="14.25" hidden="false" customHeight="false" outlineLevel="0" collapsed="false"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26"/>
      <c r="AH234" s="26"/>
      <c r="AI234" s="26"/>
      <c r="AJ234" s="26"/>
      <c r="AK234" s="26"/>
      <c r="AL234" s="26"/>
    </row>
    <row r="235" customFormat="false" ht="14.25" hidden="false" customHeight="false" outlineLevel="0" collapsed="false"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26"/>
      <c r="AH235" s="26"/>
      <c r="AI235" s="26"/>
      <c r="AJ235" s="26"/>
      <c r="AK235" s="26"/>
      <c r="AL235" s="26"/>
    </row>
    <row r="236" customFormat="false" ht="14.25" hidden="false" customHeight="false" outlineLevel="0" collapsed="false"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26"/>
      <c r="AH236" s="26"/>
      <c r="AI236" s="26"/>
      <c r="AJ236" s="26"/>
      <c r="AK236" s="26"/>
      <c r="AL236" s="26"/>
    </row>
    <row r="237" customFormat="false" ht="14.25" hidden="false" customHeight="false" outlineLevel="0" collapsed="false"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26"/>
      <c r="AH237" s="26"/>
      <c r="AI237" s="26"/>
      <c r="AJ237" s="26"/>
      <c r="AK237" s="26"/>
      <c r="AL237" s="26"/>
    </row>
    <row r="238" customFormat="false" ht="14.25" hidden="false" customHeight="false" outlineLevel="0" collapsed="false"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26"/>
      <c r="AH238" s="26"/>
      <c r="AI238" s="26"/>
      <c r="AJ238" s="26"/>
      <c r="AK238" s="26"/>
      <c r="AL238" s="26"/>
    </row>
    <row r="239" customFormat="false" ht="14.25" hidden="false" customHeight="false" outlineLevel="0" collapsed="false"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26"/>
      <c r="AH239" s="26"/>
      <c r="AI239" s="26"/>
      <c r="AJ239" s="26"/>
      <c r="AK239" s="26"/>
      <c r="AL239" s="26"/>
    </row>
    <row r="240" customFormat="false" ht="14.25" hidden="false" customHeight="false" outlineLevel="0" collapsed="false"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26"/>
      <c r="AH240" s="26"/>
      <c r="AI240" s="26"/>
      <c r="AJ240" s="26"/>
      <c r="AK240" s="26"/>
      <c r="AL240" s="26"/>
    </row>
    <row r="241" customFormat="false" ht="14.25" hidden="false" customHeight="false" outlineLevel="0" collapsed="false"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26"/>
      <c r="AH241" s="26"/>
      <c r="AI241" s="26"/>
      <c r="AJ241" s="26"/>
      <c r="AK241" s="26"/>
      <c r="AL241" s="26"/>
    </row>
    <row r="242" customFormat="false" ht="14.25" hidden="false" customHeight="false" outlineLevel="0" collapsed="false"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26"/>
      <c r="AH242" s="26"/>
      <c r="AI242" s="26"/>
      <c r="AJ242" s="26"/>
      <c r="AK242" s="26"/>
      <c r="AL242" s="26"/>
    </row>
    <row r="243" customFormat="false" ht="14.25" hidden="false" customHeight="false" outlineLevel="0" collapsed="false"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26"/>
      <c r="AH243" s="26"/>
      <c r="AI243" s="26"/>
      <c r="AJ243" s="26"/>
      <c r="AK243" s="26"/>
      <c r="AL243" s="26"/>
    </row>
    <row r="244" customFormat="false" ht="14.25" hidden="false" customHeight="false" outlineLevel="0" collapsed="false"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26"/>
      <c r="AH244" s="26"/>
      <c r="AI244" s="26"/>
      <c r="AJ244" s="26"/>
      <c r="AK244" s="26"/>
      <c r="AL244" s="26"/>
    </row>
    <row r="245" customFormat="false" ht="14.25" hidden="false" customHeight="false" outlineLevel="0" collapsed="false"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26"/>
      <c r="AH245" s="26"/>
      <c r="AI245" s="26"/>
      <c r="AJ245" s="26"/>
      <c r="AK245" s="26"/>
      <c r="AL245" s="26"/>
    </row>
    <row r="246" customFormat="false" ht="14.25" hidden="false" customHeight="false" outlineLevel="0" collapsed="false"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26"/>
      <c r="AH246" s="26"/>
      <c r="AI246" s="26"/>
      <c r="AJ246" s="26"/>
      <c r="AK246" s="26"/>
      <c r="AL246" s="26"/>
    </row>
    <row r="247" customFormat="false" ht="14.25" hidden="false" customHeight="false" outlineLevel="0" collapsed="false"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26"/>
      <c r="AH247" s="26"/>
      <c r="AI247" s="26"/>
      <c r="AJ247" s="26"/>
      <c r="AK247" s="26"/>
      <c r="AL247" s="26"/>
    </row>
    <row r="248" customFormat="false" ht="14.25" hidden="false" customHeight="false" outlineLevel="0" collapsed="false"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26"/>
      <c r="AH248" s="26"/>
      <c r="AI248" s="26"/>
      <c r="AJ248" s="26"/>
      <c r="AK248" s="26"/>
      <c r="AL248" s="26"/>
    </row>
    <row r="249" customFormat="false" ht="14.25" hidden="false" customHeight="false" outlineLevel="0" collapsed="false"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26"/>
      <c r="AH249" s="26"/>
      <c r="AI249" s="26"/>
      <c r="AJ249" s="26"/>
      <c r="AK249" s="26"/>
      <c r="AL249" s="26"/>
    </row>
    <row r="250" customFormat="false" ht="14.25" hidden="false" customHeight="false" outlineLevel="0" collapsed="false"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26"/>
      <c r="AH250" s="26"/>
      <c r="AI250" s="26"/>
      <c r="AJ250" s="26"/>
      <c r="AK250" s="26"/>
      <c r="AL250" s="26"/>
    </row>
    <row r="251" customFormat="false" ht="14.25" hidden="false" customHeight="false" outlineLevel="0" collapsed="false"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26"/>
      <c r="AH251" s="26"/>
      <c r="AI251" s="26"/>
      <c r="AJ251" s="26"/>
      <c r="AK251" s="26"/>
      <c r="AL251" s="26"/>
    </row>
    <row r="252" customFormat="false" ht="14.25" hidden="false" customHeight="false" outlineLevel="0" collapsed="false"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26"/>
      <c r="AH252" s="26"/>
      <c r="AI252" s="26"/>
      <c r="AJ252" s="26"/>
      <c r="AK252" s="26"/>
      <c r="AL252" s="26"/>
    </row>
    <row r="253" customFormat="false" ht="14.25" hidden="false" customHeight="false" outlineLevel="0" collapsed="false"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26"/>
      <c r="AH253" s="26"/>
      <c r="AI253" s="26"/>
      <c r="AJ253" s="26"/>
      <c r="AK253" s="26"/>
      <c r="AL253" s="26"/>
    </row>
    <row r="254" customFormat="false" ht="14.25" hidden="false" customHeight="false" outlineLevel="0" collapsed="false"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26"/>
      <c r="AH254" s="26"/>
      <c r="AI254" s="26"/>
      <c r="AJ254" s="26"/>
      <c r="AK254" s="26"/>
      <c r="AL254" s="26"/>
    </row>
    <row r="255" customFormat="false" ht="14.25" hidden="false" customHeight="false" outlineLevel="0" collapsed="false"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26"/>
      <c r="AH255" s="26"/>
      <c r="AI255" s="26"/>
      <c r="AJ255" s="26"/>
      <c r="AK255" s="26"/>
      <c r="AL255" s="26"/>
    </row>
    <row r="256" customFormat="false" ht="14.25" hidden="false" customHeight="false" outlineLevel="0" collapsed="false"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26"/>
      <c r="AH256" s="26"/>
      <c r="AI256" s="26"/>
      <c r="AJ256" s="26"/>
      <c r="AK256" s="26"/>
      <c r="AL256" s="26"/>
    </row>
    <row r="257" customFormat="false" ht="14.25" hidden="false" customHeight="false" outlineLevel="0" collapsed="false"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26"/>
      <c r="AH257" s="26"/>
      <c r="AI257" s="26"/>
      <c r="AJ257" s="26"/>
      <c r="AK257" s="26"/>
      <c r="AL257" s="26"/>
    </row>
    <row r="258" customFormat="false" ht="14.25" hidden="false" customHeight="false" outlineLevel="0" collapsed="false"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26"/>
      <c r="AH258" s="26"/>
      <c r="AI258" s="26"/>
      <c r="AJ258" s="26"/>
      <c r="AK258" s="26"/>
      <c r="AL258" s="26"/>
    </row>
    <row r="259" customFormat="false" ht="14.25" hidden="false" customHeight="false" outlineLevel="0" collapsed="false"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26"/>
      <c r="AH259" s="26"/>
      <c r="AI259" s="26"/>
      <c r="AJ259" s="26"/>
      <c r="AK259" s="26"/>
      <c r="AL259" s="26"/>
    </row>
    <row r="260" customFormat="false" ht="14.25" hidden="false" customHeight="false" outlineLevel="0" collapsed="false"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26"/>
      <c r="AH260" s="26"/>
      <c r="AI260" s="26"/>
      <c r="AJ260" s="26"/>
      <c r="AK260" s="26"/>
      <c r="AL260" s="26"/>
    </row>
    <row r="261" customFormat="false" ht="14.25" hidden="false" customHeight="false" outlineLevel="0" collapsed="false"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26"/>
      <c r="AH261" s="26"/>
      <c r="AI261" s="26"/>
      <c r="AJ261" s="26"/>
      <c r="AK261" s="26"/>
      <c r="AL261" s="26"/>
    </row>
    <row r="262" customFormat="false" ht="14.25" hidden="false" customHeight="false" outlineLevel="0" collapsed="false"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26"/>
      <c r="AH262" s="26"/>
      <c r="AI262" s="26"/>
      <c r="AJ262" s="26"/>
      <c r="AK262" s="26"/>
      <c r="AL262" s="26"/>
    </row>
    <row r="263" customFormat="false" ht="14.25" hidden="false" customHeight="false" outlineLevel="0" collapsed="false"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26"/>
      <c r="AH263" s="26"/>
      <c r="AI263" s="26"/>
      <c r="AJ263" s="26"/>
      <c r="AK263" s="26"/>
      <c r="AL263" s="26"/>
    </row>
    <row r="264" customFormat="false" ht="14.25" hidden="false" customHeight="false" outlineLevel="0" collapsed="false"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26"/>
      <c r="AH264" s="26"/>
      <c r="AI264" s="26"/>
      <c r="AJ264" s="26"/>
      <c r="AK264" s="26"/>
      <c r="AL264" s="26"/>
    </row>
    <row r="265" customFormat="false" ht="14.25" hidden="false" customHeight="false" outlineLevel="0" collapsed="false"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26"/>
      <c r="AH265" s="26"/>
      <c r="AI265" s="26"/>
      <c r="AJ265" s="26"/>
      <c r="AK265" s="26"/>
      <c r="AL265" s="26"/>
    </row>
    <row r="266" customFormat="false" ht="14.25" hidden="false" customHeight="false" outlineLevel="0" collapsed="false"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26"/>
      <c r="AH266" s="26"/>
      <c r="AI266" s="26"/>
      <c r="AJ266" s="26"/>
      <c r="AK266" s="26"/>
      <c r="AL266" s="26"/>
    </row>
    <row r="267" customFormat="false" ht="14.25" hidden="false" customHeight="false" outlineLevel="0" collapsed="false"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26"/>
      <c r="AH267" s="26"/>
      <c r="AI267" s="26"/>
      <c r="AJ267" s="26"/>
      <c r="AK267" s="26"/>
      <c r="AL267" s="26"/>
    </row>
    <row r="268" customFormat="false" ht="14.25" hidden="false" customHeight="false" outlineLevel="0" collapsed="false"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26"/>
      <c r="AH268" s="26"/>
      <c r="AI268" s="26"/>
      <c r="AJ268" s="26"/>
      <c r="AK268" s="26"/>
      <c r="AL268" s="26"/>
    </row>
    <row r="269" customFormat="false" ht="14.25" hidden="false" customHeight="false" outlineLevel="0" collapsed="false"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26"/>
      <c r="AH269" s="26"/>
      <c r="AI269" s="26"/>
      <c r="AJ269" s="26"/>
      <c r="AK269" s="26"/>
      <c r="AL269" s="26"/>
    </row>
    <row r="270" customFormat="false" ht="14.25" hidden="false" customHeight="false" outlineLevel="0" collapsed="false"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26"/>
      <c r="AH270" s="26"/>
      <c r="AI270" s="26"/>
      <c r="AJ270" s="26"/>
      <c r="AK270" s="26"/>
      <c r="AL270" s="26"/>
    </row>
    <row r="271" customFormat="false" ht="14.25" hidden="false" customHeight="false" outlineLevel="0" collapsed="false"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26"/>
      <c r="AH271" s="26"/>
      <c r="AI271" s="26"/>
      <c r="AJ271" s="26"/>
      <c r="AK271" s="26"/>
      <c r="AL271" s="26"/>
    </row>
    <row r="272" customFormat="false" ht="14.25" hidden="false" customHeight="false" outlineLevel="0" collapsed="false"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26"/>
      <c r="AH272" s="26"/>
      <c r="AI272" s="26"/>
      <c r="AJ272" s="26"/>
      <c r="AK272" s="26"/>
      <c r="AL272" s="26"/>
    </row>
    <row r="273" customFormat="false" ht="14.25" hidden="false" customHeight="false" outlineLevel="0" collapsed="false"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26"/>
      <c r="AH273" s="26"/>
      <c r="AI273" s="26"/>
      <c r="AJ273" s="26"/>
      <c r="AK273" s="26"/>
      <c r="AL273" s="26"/>
    </row>
    <row r="274" customFormat="false" ht="14.25" hidden="false" customHeight="false" outlineLevel="0" collapsed="false"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26"/>
      <c r="AH274" s="26"/>
      <c r="AI274" s="26"/>
      <c r="AJ274" s="26"/>
      <c r="AK274" s="26"/>
      <c r="AL274" s="26"/>
    </row>
    <row r="275" customFormat="false" ht="14.25" hidden="false" customHeight="false" outlineLevel="0" collapsed="false"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26"/>
      <c r="AH275" s="26"/>
      <c r="AI275" s="26"/>
      <c r="AJ275" s="26"/>
      <c r="AK275" s="26"/>
      <c r="AL275" s="26"/>
    </row>
    <row r="276" customFormat="false" ht="14.25" hidden="false" customHeight="false" outlineLevel="0" collapsed="false"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26"/>
      <c r="AH276" s="26"/>
      <c r="AI276" s="26"/>
      <c r="AJ276" s="26"/>
      <c r="AK276" s="26"/>
      <c r="AL276" s="26"/>
    </row>
    <row r="277" customFormat="false" ht="14.25" hidden="false" customHeight="false" outlineLevel="0" collapsed="false"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26"/>
      <c r="AH277" s="26"/>
      <c r="AI277" s="26"/>
      <c r="AJ277" s="26"/>
      <c r="AK277" s="26"/>
      <c r="AL277" s="26"/>
    </row>
    <row r="278" customFormat="false" ht="14.25" hidden="false" customHeight="false" outlineLevel="0" collapsed="false"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26"/>
      <c r="AH278" s="26"/>
      <c r="AI278" s="26"/>
      <c r="AJ278" s="26"/>
      <c r="AK278" s="26"/>
      <c r="AL278" s="26"/>
    </row>
    <row r="279" customFormat="false" ht="14.25" hidden="false" customHeight="false" outlineLevel="0" collapsed="false"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26"/>
      <c r="AH279" s="26"/>
      <c r="AI279" s="26"/>
      <c r="AJ279" s="26"/>
      <c r="AK279" s="26"/>
      <c r="AL279" s="26"/>
    </row>
    <row r="280" customFormat="false" ht="14.25" hidden="false" customHeight="false" outlineLevel="0" collapsed="false"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26"/>
      <c r="AH280" s="26"/>
      <c r="AI280" s="26"/>
      <c r="AJ280" s="26"/>
      <c r="AK280" s="26"/>
      <c r="AL280" s="26"/>
    </row>
    <row r="281" customFormat="false" ht="14.25" hidden="false" customHeight="false" outlineLevel="0" collapsed="false"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26"/>
      <c r="AH281" s="26"/>
      <c r="AI281" s="26"/>
      <c r="AJ281" s="26"/>
      <c r="AK281" s="26"/>
      <c r="AL281" s="26"/>
    </row>
    <row r="282" customFormat="false" ht="14.25" hidden="false" customHeight="false" outlineLevel="0" collapsed="false"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26"/>
      <c r="AH282" s="26"/>
      <c r="AI282" s="26"/>
      <c r="AJ282" s="26"/>
      <c r="AK282" s="26"/>
      <c r="AL282" s="26"/>
    </row>
    <row r="283" customFormat="false" ht="14.25" hidden="false" customHeight="false" outlineLevel="0" collapsed="false"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26"/>
      <c r="AH283" s="26"/>
      <c r="AI283" s="26"/>
      <c r="AJ283" s="26"/>
      <c r="AK283" s="26"/>
      <c r="AL283" s="26"/>
    </row>
    <row r="284" customFormat="false" ht="14.25" hidden="false" customHeight="false" outlineLevel="0" collapsed="false"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26"/>
      <c r="AH284" s="26"/>
      <c r="AI284" s="26"/>
      <c r="AJ284" s="26"/>
      <c r="AK284" s="26"/>
      <c r="AL284" s="26"/>
    </row>
    <row r="285" customFormat="false" ht="14.25" hidden="false" customHeight="false" outlineLevel="0" collapsed="false"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26"/>
      <c r="AH285" s="26"/>
      <c r="AI285" s="26"/>
      <c r="AJ285" s="26"/>
      <c r="AK285" s="26"/>
      <c r="AL285" s="26"/>
    </row>
    <row r="286" customFormat="false" ht="14.25" hidden="false" customHeight="false" outlineLevel="0" collapsed="false"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26"/>
      <c r="AH286" s="26"/>
      <c r="AI286" s="26"/>
      <c r="AJ286" s="26"/>
      <c r="AK286" s="26"/>
      <c r="AL286" s="26"/>
    </row>
    <row r="287" customFormat="false" ht="14.25" hidden="false" customHeight="false" outlineLevel="0" collapsed="false"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26"/>
      <c r="AH287" s="26"/>
      <c r="AI287" s="26"/>
      <c r="AJ287" s="26"/>
      <c r="AK287" s="26"/>
      <c r="AL287" s="26"/>
    </row>
    <row r="288" customFormat="false" ht="14.25" hidden="false" customHeight="false" outlineLevel="0" collapsed="false"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26"/>
      <c r="AH288" s="26"/>
      <c r="AI288" s="26"/>
      <c r="AJ288" s="26"/>
      <c r="AK288" s="26"/>
      <c r="AL288" s="26"/>
    </row>
    <row r="289" customFormat="false" ht="14.25" hidden="false" customHeight="false" outlineLevel="0" collapsed="false"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26"/>
      <c r="AH289" s="26"/>
      <c r="AI289" s="26"/>
      <c r="AJ289" s="26"/>
      <c r="AK289" s="26"/>
      <c r="AL289" s="26"/>
    </row>
    <row r="290" customFormat="false" ht="14.25" hidden="false" customHeight="false" outlineLevel="0" collapsed="false"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26"/>
      <c r="AH290" s="26"/>
      <c r="AI290" s="26"/>
      <c r="AJ290" s="26"/>
      <c r="AK290" s="26"/>
      <c r="AL290" s="26"/>
    </row>
    <row r="291" customFormat="false" ht="14.25" hidden="false" customHeight="false" outlineLevel="0" collapsed="false"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26"/>
      <c r="AH291" s="26"/>
      <c r="AI291" s="26"/>
      <c r="AJ291" s="26"/>
      <c r="AK291" s="26"/>
      <c r="AL291" s="26"/>
    </row>
    <row r="292" customFormat="false" ht="14.25" hidden="false" customHeight="false" outlineLevel="0" collapsed="false"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26"/>
      <c r="AH292" s="26"/>
      <c r="AI292" s="26"/>
      <c r="AJ292" s="26"/>
      <c r="AK292" s="26"/>
      <c r="AL292" s="26"/>
    </row>
    <row r="293" customFormat="false" ht="14.25" hidden="false" customHeight="false" outlineLevel="0" collapsed="false"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26"/>
      <c r="AH293" s="26"/>
      <c r="AI293" s="26"/>
      <c r="AJ293" s="26"/>
      <c r="AK293" s="26"/>
      <c r="AL293" s="26"/>
    </row>
    <row r="294" customFormat="false" ht="14.25" hidden="false" customHeight="false" outlineLevel="0" collapsed="false"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26"/>
      <c r="AH294" s="26"/>
      <c r="AI294" s="26"/>
      <c r="AJ294" s="26"/>
      <c r="AK294" s="26"/>
      <c r="AL294" s="26"/>
    </row>
    <row r="295" customFormat="false" ht="14.25" hidden="false" customHeight="false" outlineLevel="0" collapsed="false"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26"/>
      <c r="AH295" s="26"/>
      <c r="AI295" s="26"/>
      <c r="AJ295" s="26"/>
      <c r="AK295" s="26"/>
      <c r="AL295" s="26"/>
    </row>
    <row r="296" customFormat="false" ht="14.25" hidden="false" customHeight="false" outlineLevel="0" collapsed="false"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26"/>
      <c r="AH296" s="26"/>
      <c r="AI296" s="26"/>
      <c r="AJ296" s="26"/>
      <c r="AK296" s="26"/>
      <c r="AL296" s="26"/>
    </row>
    <row r="297" customFormat="false" ht="14.25" hidden="false" customHeight="false" outlineLevel="0" collapsed="false"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26"/>
      <c r="AH297" s="26"/>
      <c r="AI297" s="26"/>
      <c r="AJ297" s="26"/>
      <c r="AK297" s="26"/>
      <c r="AL297" s="26"/>
    </row>
    <row r="298" customFormat="false" ht="14.25" hidden="false" customHeight="false" outlineLevel="0" collapsed="false"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26"/>
      <c r="AH298" s="26"/>
      <c r="AI298" s="26"/>
      <c r="AJ298" s="26"/>
      <c r="AK298" s="26"/>
      <c r="AL298" s="26"/>
    </row>
    <row r="299" customFormat="false" ht="14.25" hidden="false" customHeight="false" outlineLevel="0" collapsed="false"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26"/>
      <c r="AH299" s="26"/>
      <c r="AI299" s="26"/>
      <c r="AJ299" s="26"/>
      <c r="AK299" s="26"/>
      <c r="AL299" s="26"/>
    </row>
    <row r="300" customFormat="false" ht="14.25" hidden="false" customHeight="false" outlineLevel="0" collapsed="false"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26"/>
      <c r="AH300" s="26"/>
      <c r="AI300" s="26"/>
      <c r="AJ300" s="26"/>
      <c r="AK300" s="26"/>
      <c r="AL300" s="26"/>
    </row>
    <row r="301" customFormat="false" ht="14.25" hidden="false" customHeight="false" outlineLevel="0" collapsed="false"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26"/>
      <c r="AH301" s="26"/>
      <c r="AI301" s="26"/>
      <c r="AJ301" s="26"/>
      <c r="AK301" s="26"/>
      <c r="AL301" s="26"/>
    </row>
    <row r="302" customFormat="false" ht="14.25" hidden="false" customHeight="false" outlineLevel="0" collapsed="false"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26"/>
      <c r="AH302" s="26"/>
      <c r="AI302" s="26"/>
      <c r="AJ302" s="26"/>
      <c r="AK302" s="26"/>
      <c r="AL302" s="26"/>
    </row>
    <row r="303" customFormat="false" ht="14.25" hidden="false" customHeight="false" outlineLevel="0" collapsed="false"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26"/>
      <c r="AH303" s="26"/>
      <c r="AI303" s="26"/>
      <c r="AJ303" s="26"/>
      <c r="AK303" s="26"/>
      <c r="AL303" s="26"/>
    </row>
    <row r="304" customFormat="false" ht="14.25" hidden="false" customHeight="false" outlineLevel="0" collapsed="false"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26"/>
      <c r="AH304" s="26"/>
      <c r="AI304" s="26"/>
      <c r="AJ304" s="26"/>
      <c r="AK304" s="26"/>
      <c r="AL304" s="26"/>
    </row>
    <row r="305" customFormat="false" ht="14.25" hidden="false" customHeight="false" outlineLevel="0" collapsed="false"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26"/>
      <c r="AH305" s="26"/>
      <c r="AI305" s="26"/>
      <c r="AJ305" s="26"/>
      <c r="AK305" s="26"/>
      <c r="AL305" s="26"/>
    </row>
    <row r="306" customFormat="false" ht="14.25" hidden="false" customHeight="false" outlineLevel="0" collapsed="false"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26"/>
      <c r="AH306" s="26"/>
      <c r="AI306" s="26"/>
      <c r="AJ306" s="26"/>
      <c r="AK306" s="26"/>
      <c r="AL306" s="26"/>
    </row>
    <row r="307" customFormat="false" ht="14.25" hidden="false" customHeight="false" outlineLevel="0" collapsed="false"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26"/>
      <c r="AH307" s="26"/>
      <c r="AI307" s="26"/>
      <c r="AJ307" s="26"/>
      <c r="AK307" s="26"/>
      <c r="AL307" s="26"/>
    </row>
    <row r="308" customFormat="false" ht="14.25" hidden="false" customHeight="false" outlineLevel="0" collapsed="false"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26"/>
      <c r="AH308" s="26"/>
      <c r="AI308" s="26"/>
      <c r="AJ308" s="26"/>
      <c r="AK308" s="26"/>
      <c r="AL308" s="26"/>
    </row>
    <row r="309" customFormat="false" ht="14.25" hidden="false" customHeight="false" outlineLevel="0" collapsed="false"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26"/>
      <c r="AH309" s="26"/>
      <c r="AI309" s="26"/>
      <c r="AJ309" s="26"/>
      <c r="AK309" s="26"/>
      <c r="AL309" s="26"/>
    </row>
    <row r="310" customFormat="false" ht="14.25" hidden="false" customHeight="false" outlineLevel="0" collapsed="false"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26"/>
      <c r="AH310" s="26"/>
      <c r="AI310" s="26"/>
      <c r="AJ310" s="26"/>
      <c r="AK310" s="26"/>
      <c r="AL310" s="26"/>
    </row>
    <row r="311" customFormat="false" ht="14.25" hidden="false" customHeight="false" outlineLevel="0" collapsed="false"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26"/>
      <c r="AH311" s="26"/>
      <c r="AI311" s="26"/>
      <c r="AJ311" s="26"/>
      <c r="AK311" s="26"/>
      <c r="AL311" s="26"/>
    </row>
    <row r="312" customFormat="false" ht="14.25" hidden="false" customHeight="false" outlineLevel="0" collapsed="false"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26"/>
      <c r="AH312" s="26"/>
      <c r="AI312" s="26"/>
      <c r="AJ312" s="26"/>
      <c r="AK312" s="26"/>
      <c r="AL312" s="26"/>
    </row>
    <row r="313" customFormat="false" ht="14.25" hidden="false" customHeight="false" outlineLevel="0" collapsed="false"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26"/>
      <c r="AH313" s="26"/>
      <c r="AI313" s="26"/>
      <c r="AJ313" s="26"/>
      <c r="AK313" s="26"/>
      <c r="AL313" s="26"/>
    </row>
    <row r="314" customFormat="false" ht="14.25" hidden="false" customHeight="false" outlineLevel="0" collapsed="false"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26"/>
      <c r="AH314" s="26"/>
      <c r="AI314" s="26"/>
      <c r="AJ314" s="26"/>
      <c r="AK314" s="26"/>
      <c r="AL314" s="26"/>
    </row>
    <row r="315" customFormat="false" ht="14.25" hidden="false" customHeight="false" outlineLevel="0" collapsed="false"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26"/>
      <c r="AH315" s="26"/>
      <c r="AI315" s="26"/>
      <c r="AJ315" s="26"/>
      <c r="AK315" s="26"/>
      <c r="AL315" s="26"/>
    </row>
    <row r="316" customFormat="false" ht="14.25" hidden="false" customHeight="false" outlineLevel="0" collapsed="false"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26"/>
      <c r="AH316" s="26"/>
      <c r="AI316" s="26"/>
      <c r="AJ316" s="26"/>
      <c r="AK316" s="26"/>
      <c r="AL316" s="26"/>
    </row>
    <row r="317" customFormat="false" ht="14.25" hidden="false" customHeight="false" outlineLevel="0" collapsed="false"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26"/>
      <c r="AH317" s="26"/>
      <c r="AI317" s="26"/>
      <c r="AJ317" s="26"/>
      <c r="AK317" s="26"/>
      <c r="AL317" s="26"/>
    </row>
    <row r="318" customFormat="false" ht="14.25" hidden="false" customHeight="false" outlineLevel="0" collapsed="false"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26"/>
      <c r="AH318" s="26"/>
      <c r="AI318" s="26"/>
      <c r="AJ318" s="26"/>
      <c r="AK318" s="26"/>
      <c r="AL318" s="26"/>
    </row>
    <row r="319" customFormat="false" ht="14.25" hidden="false" customHeight="false" outlineLevel="0" collapsed="false"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26"/>
      <c r="AH319" s="26"/>
      <c r="AI319" s="26"/>
      <c r="AJ319" s="26"/>
      <c r="AK319" s="26"/>
      <c r="AL319" s="26"/>
    </row>
    <row r="320" customFormat="false" ht="14.25" hidden="false" customHeight="false" outlineLevel="0" collapsed="false"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26"/>
      <c r="AH320" s="26"/>
      <c r="AI320" s="26"/>
      <c r="AJ320" s="26"/>
      <c r="AK320" s="26"/>
      <c r="AL320" s="26"/>
    </row>
    <row r="321" customFormat="false" ht="14.25" hidden="false" customHeight="false" outlineLevel="0" collapsed="false"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26"/>
      <c r="AH321" s="26"/>
      <c r="AI321" s="26"/>
      <c r="AJ321" s="26"/>
      <c r="AK321" s="26"/>
      <c r="AL321" s="26"/>
    </row>
    <row r="322" customFormat="false" ht="14.25" hidden="false" customHeight="false" outlineLevel="0" collapsed="false"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26"/>
      <c r="AH322" s="26"/>
      <c r="AI322" s="26"/>
      <c r="AJ322" s="26"/>
      <c r="AK322" s="26"/>
      <c r="AL322" s="26"/>
    </row>
    <row r="323" customFormat="false" ht="14.25" hidden="false" customHeight="false" outlineLevel="0" collapsed="false"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26"/>
      <c r="AH323" s="26"/>
      <c r="AI323" s="26"/>
      <c r="AJ323" s="26"/>
      <c r="AK323" s="26"/>
      <c r="AL323" s="26"/>
    </row>
    <row r="324" customFormat="false" ht="14.25" hidden="false" customHeight="false" outlineLevel="0" collapsed="false"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26"/>
      <c r="AH324" s="26"/>
      <c r="AI324" s="26"/>
      <c r="AJ324" s="26"/>
      <c r="AK324" s="26"/>
      <c r="AL324" s="26"/>
    </row>
    <row r="325" customFormat="false" ht="14.25" hidden="false" customHeight="false" outlineLevel="0" collapsed="false"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26"/>
      <c r="AH325" s="26"/>
      <c r="AI325" s="26"/>
      <c r="AJ325" s="26"/>
      <c r="AK325" s="26"/>
      <c r="AL325" s="26"/>
    </row>
    <row r="326" customFormat="false" ht="14.25" hidden="false" customHeight="false" outlineLevel="0" collapsed="false"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26"/>
      <c r="AH326" s="26"/>
      <c r="AI326" s="26"/>
      <c r="AJ326" s="26"/>
      <c r="AK326" s="26"/>
      <c r="AL326" s="26"/>
    </row>
    <row r="327" customFormat="false" ht="14.25" hidden="false" customHeight="false" outlineLevel="0" collapsed="false"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26"/>
      <c r="AH327" s="26"/>
      <c r="AI327" s="26"/>
      <c r="AJ327" s="26"/>
      <c r="AK327" s="26"/>
      <c r="AL327" s="26"/>
    </row>
    <row r="328" customFormat="false" ht="14.25" hidden="false" customHeight="false" outlineLevel="0" collapsed="false"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26"/>
      <c r="AH328" s="26"/>
      <c r="AI328" s="26"/>
      <c r="AJ328" s="26"/>
      <c r="AK328" s="26"/>
      <c r="AL328" s="26"/>
    </row>
    <row r="329" customFormat="false" ht="14.25" hidden="false" customHeight="false" outlineLevel="0" collapsed="false"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26"/>
      <c r="AH329" s="26"/>
      <c r="AI329" s="26"/>
      <c r="AJ329" s="26"/>
      <c r="AK329" s="26"/>
      <c r="AL329" s="26"/>
    </row>
    <row r="330" customFormat="false" ht="14.25" hidden="false" customHeight="false" outlineLevel="0" collapsed="false"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26"/>
      <c r="AH330" s="26"/>
      <c r="AI330" s="26"/>
      <c r="AJ330" s="26"/>
      <c r="AK330" s="26"/>
      <c r="AL330" s="26"/>
    </row>
    <row r="331" customFormat="false" ht="14.25" hidden="false" customHeight="false" outlineLevel="0" collapsed="false"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26"/>
      <c r="AH331" s="26"/>
      <c r="AI331" s="26"/>
      <c r="AJ331" s="26"/>
      <c r="AK331" s="26"/>
      <c r="AL331" s="26"/>
    </row>
    <row r="332" customFormat="false" ht="14.25" hidden="false" customHeight="false" outlineLevel="0" collapsed="false"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26"/>
      <c r="AH332" s="26"/>
      <c r="AI332" s="26"/>
      <c r="AJ332" s="26"/>
      <c r="AK332" s="26"/>
      <c r="AL332" s="26"/>
    </row>
    <row r="333" customFormat="false" ht="14.25" hidden="false" customHeight="false" outlineLevel="0" collapsed="false"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26"/>
      <c r="AH333" s="26"/>
      <c r="AI333" s="26"/>
      <c r="AJ333" s="26"/>
      <c r="AK333" s="26"/>
      <c r="AL333" s="26"/>
    </row>
    <row r="334" customFormat="false" ht="14.25" hidden="false" customHeight="false" outlineLevel="0" collapsed="false"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26"/>
      <c r="AH334" s="26"/>
      <c r="AI334" s="26"/>
      <c r="AJ334" s="26"/>
      <c r="AK334" s="26"/>
      <c r="AL334" s="26"/>
    </row>
    <row r="335" customFormat="false" ht="14.25" hidden="false" customHeight="false" outlineLevel="0" collapsed="false"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26"/>
      <c r="AH335" s="26"/>
      <c r="AI335" s="26"/>
      <c r="AJ335" s="26"/>
      <c r="AK335" s="26"/>
      <c r="AL335" s="26"/>
    </row>
    <row r="336" customFormat="false" ht="14.25" hidden="false" customHeight="false" outlineLevel="0" collapsed="false"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26"/>
      <c r="AH336" s="26"/>
      <c r="AI336" s="26"/>
      <c r="AJ336" s="26"/>
      <c r="AK336" s="26"/>
      <c r="AL336" s="26"/>
    </row>
    <row r="337" customFormat="false" ht="14.25" hidden="false" customHeight="false" outlineLevel="0" collapsed="false"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26"/>
      <c r="AH337" s="26"/>
      <c r="AI337" s="26"/>
      <c r="AJ337" s="26"/>
      <c r="AK337" s="26"/>
      <c r="AL337" s="26"/>
    </row>
    <row r="338" customFormat="false" ht="14.25" hidden="false" customHeight="false" outlineLevel="0" collapsed="false"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26"/>
      <c r="AH338" s="26"/>
      <c r="AI338" s="26"/>
      <c r="AJ338" s="26"/>
      <c r="AK338" s="26"/>
      <c r="AL338" s="26"/>
    </row>
    <row r="339" customFormat="false" ht="14.25" hidden="false" customHeight="false" outlineLevel="0" collapsed="false"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26"/>
      <c r="AH339" s="26"/>
      <c r="AI339" s="26"/>
      <c r="AJ339" s="26"/>
      <c r="AK339" s="26"/>
      <c r="AL339" s="26"/>
    </row>
    <row r="340" customFormat="false" ht="14.25" hidden="false" customHeight="false" outlineLevel="0" collapsed="false"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26"/>
      <c r="AH340" s="26"/>
      <c r="AI340" s="26"/>
      <c r="AJ340" s="26"/>
      <c r="AK340" s="26"/>
      <c r="AL340" s="26"/>
    </row>
    <row r="341" customFormat="false" ht="14.25" hidden="false" customHeight="false" outlineLevel="0" collapsed="false"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26"/>
      <c r="AH341" s="26"/>
      <c r="AI341" s="26"/>
      <c r="AJ341" s="26"/>
      <c r="AK341" s="26"/>
      <c r="AL341" s="26"/>
    </row>
    <row r="342" customFormat="false" ht="14.25" hidden="false" customHeight="false" outlineLevel="0" collapsed="false"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26"/>
      <c r="AH342" s="26"/>
      <c r="AI342" s="26"/>
      <c r="AJ342" s="26"/>
      <c r="AK342" s="26"/>
      <c r="AL342" s="26"/>
    </row>
    <row r="343" customFormat="false" ht="14.25" hidden="false" customHeight="false" outlineLevel="0" collapsed="false"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26"/>
      <c r="AH343" s="26"/>
      <c r="AI343" s="26"/>
      <c r="AJ343" s="26"/>
      <c r="AK343" s="26"/>
      <c r="AL343" s="26"/>
    </row>
    <row r="344" customFormat="false" ht="14.25" hidden="false" customHeight="false" outlineLevel="0" collapsed="false"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26"/>
      <c r="AH344" s="26"/>
      <c r="AI344" s="26"/>
      <c r="AJ344" s="26"/>
      <c r="AK344" s="26"/>
      <c r="AL344" s="26"/>
    </row>
    <row r="345" customFormat="false" ht="14.25" hidden="false" customHeight="false" outlineLevel="0" collapsed="false"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26"/>
      <c r="AH345" s="26"/>
      <c r="AI345" s="26"/>
      <c r="AJ345" s="26"/>
      <c r="AK345" s="26"/>
      <c r="AL345" s="26"/>
    </row>
    <row r="346" customFormat="false" ht="14.25" hidden="false" customHeight="false" outlineLevel="0" collapsed="false"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26"/>
      <c r="AH346" s="26"/>
      <c r="AI346" s="26"/>
      <c r="AJ346" s="26"/>
      <c r="AK346" s="26"/>
      <c r="AL346" s="26"/>
    </row>
    <row r="347" customFormat="false" ht="14.25" hidden="false" customHeight="false" outlineLevel="0" collapsed="false"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26"/>
      <c r="AH347" s="26"/>
      <c r="AI347" s="26"/>
      <c r="AJ347" s="26"/>
      <c r="AK347" s="26"/>
      <c r="AL347" s="26"/>
    </row>
    <row r="348" customFormat="false" ht="14.25" hidden="false" customHeight="false" outlineLevel="0" collapsed="false"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26"/>
      <c r="AH348" s="26"/>
      <c r="AI348" s="26"/>
      <c r="AJ348" s="26"/>
      <c r="AK348" s="26"/>
      <c r="AL348" s="26"/>
    </row>
    <row r="349" customFormat="false" ht="14.25" hidden="false" customHeight="false" outlineLevel="0" collapsed="false"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26"/>
      <c r="AH349" s="26"/>
      <c r="AI349" s="26"/>
      <c r="AJ349" s="26"/>
      <c r="AK349" s="26"/>
      <c r="AL349" s="26"/>
    </row>
    <row r="350" customFormat="false" ht="14.25" hidden="false" customHeight="false" outlineLevel="0" collapsed="false"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26"/>
      <c r="AH350" s="26"/>
      <c r="AI350" s="26"/>
      <c r="AJ350" s="26"/>
      <c r="AK350" s="26"/>
      <c r="AL350" s="26"/>
    </row>
    <row r="351" customFormat="false" ht="14.25" hidden="false" customHeight="false" outlineLevel="0" collapsed="false"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26"/>
      <c r="AH351" s="26"/>
      <c r="AI351" s="26"/>
      <c r="AJ351" s="26"/>
      <c r="AK351" s="26"/>
      <c r="AL351" s="26"/>
    </row>
    <row r="352" customFormat="false" ht="14.25" hidden="false" customHeight="false" outlineLevel="0" collapsed="false"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26"/>
      <c r="AH352" s="26"/>
      <c r="AI352" s="26"/>
      <c r="AJ352" s="26"/>
      <c r="AK352" s="26"/>
      <c r="AL352" s="26"/>
    </row>
    <row r="353" customFormat="false" ht="14.25" hidden="false" customHeight="false" outlineLevel="0" collapsed="false"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26"/>
      <c r="AH353" s="26"/>
      <c r="AI353" s="26"/>
      <c r="AJ353" s="26"/>
      <c r="AK353" s="26"/>
      <c r="AL353" s="26"/>
    </row>
    <row r="354" customFormat="false" ht="14.25" hidden="false" customHeight="false" outlineLevel="0" collapsed="false"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26"/>
      <c r="AH354" s="26"/>
      <c r="AI354" s="26"/>
      <c r="AJ354" s="26"/>
      <c r="AK354" s="26"/>
      <c r="AL354" s="26"/>
    </row>
    <row r="355" customFormat="false" ht="14.25" hidden="false" customHeight="false" outlineLevel="0" collapsed="false"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26"/>
      <c r="AH355" s="26"/>
      <c r="AI355" s="26"/>
      <c r="AJ355" s="26"/>
      <c r="AK355" s="26"/>
      <c r="AL355" s="26"/>
    </row>
    <row r="356" customFormat="false" ht="14.25" hidden="false" customHeight="false" outlineLevel="0" collapsed="false"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26"/>
      <c r="AH356" s="26"/>
      <c r="AI356" s="26"/>
      <c r="AJ356" s="26"/>
      <c r="AK356" s="26"/>
      <c r="AL356" s="26"/>
    </row>
    <row r="357" customFormat="false" ht="14.25" hidden="false" customHeight="false" outlineLevel="0" collapsed="false"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26"/>
      <c r="AH357" s="26"/>
      <c r="AI357" s="26"/>
      <c r="AJ357" s="26"/>
      <c r="AK357" s="26"/>
      <c r="AL357" s="26"/>
    </row>
    <row r="358" customFormat="false" ht="14.25" hidden="false" customHeight="false" outlineLevel="0" collapsed="false"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26"/>
      <c r="AH358" s="26"/>
      <c r="AI358" s="26"/>
      <c r="AJ358" s="26"/>
      <c r="AK358" s="26"/>
      <c r="AL358" s="26"/>
    </row>
    <row r="359" customFormat="false" ht="14.25" hidden="false" customHeight="false" outlineLevel="0" collapsed="false"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26"/>
      <c r="AH359" s="26"/>
      <c r="AI359" s="26"/>
      <c r="AJ359" s="26"/>
      <c r="AK359" s="26"/>
      <c r="AL359" s="26"/>
    </row>
    <row r="360" customFormat="false" ht="14.25" hidden="false" customHeight="false" outlineLevel="0" collapsed="false"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26"/>
      <c r="AH360" s="26"/>
      <c r="AI360" s="26"/>
      <c r="AJ360" s="26"/>
      <c r="AK360" s="26"/>
      <c r="AL360" s="26"/>
    </row>
    <row r="361" customFormat="false" ht="14.25" hidden="false" customHeight="false" outlineLevel="0" collapsed="false"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26"/>
      <c r="AH361" s="26"/>
      <c r="AI361" s="26"/>
      <c r="AJ361" s="26"/>
      <c r="AK361" s="26"/>
      <c r="AL361" s="26"/>
    </row>
    <row r="362" customFormat="false" ht="14.25" hidden="false" customHeight="false" outlineLevel="0" collapsed="false"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26"/>
      <c r="AH362" s="26"/>
      <c r="AI362" s="26"/>
      <c r="AJ362" s="26"/>
      <c r="AK362" s="26"/>
      <c r="AL362" s="26"/>
    </row>
    <row r="363" customFormat="false" ht="14.25" hidden="false" customHeight="false" outlineLevel="0" collapsed="false"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26"/>
      <c r="AH363" s="26"/>
      <c r="AI363" s="26"/>
      <c r="AJ363" s="26"/>
      <c r="AK363" s="26"/>
      <c r="AL363" s="26"/>
    </row>
    <row r="364" customFormat="false" ht="14.25" hidden="false" customHeight="false" outlineLevel="0" collapsed="false"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26"/>
      <c r="AH364" s="26"/>
      <c r="AI364" s="26"/>
      <c r="AJ364" s="26"/>
      <c r="AK364" s="26"/>
      <c r="AL364" s="26"/>
    </row>
    <row r="365" customFormat="false" ht="14.25" hidden="false" customHeight="false" outlineLevel="0" collapsed="false"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26"/>
      <c r="AH365" s="26"/>
      <c r="AI365" s="26"/>
      <c r="AJ365" s="26"/>
      <c r="AK365" s="26"/>
      <c r="AL365" s="26"/>
    </row>
    <row r="366" customFormat="false" ht="14.25" hidden="false" customHeight="false" outlineLevel="0" collapsed="false"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26"/>
      <c r="AH366" s="26"/>
      <c r="AI366" s="26"/>
      <c r="AJ366" s="26"/>
      <c r="AK366" s="26"/>
      <c r="AL366" s="26"/>
    </row>
    <row r="367" customFormat="false" ht="14.25" hidden="false" customHeight="false" outlineLevel="0" collapsed="false"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26"/>
      <c r="AH367" s="26"/>
      <c r="AI367" s="26"/>
      <c r="AJ367" s="26"/>
      <c r="AK367" s="26"/>
      <c r="AL367" s="26"/>
    </row>
    <row r="368" customFormat="false" ht="14.25" hidden="false" customHeight="false" outlineLevel="0" collapsed="false"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26"/>
      <c r="AH368" s="26"/>
      <c r="AI368" s="26"/>
      <c r="AJ368" s="26"/>
      <c r="AK368" s="26"/>
      <c r="AL368" s="26"/>
    </row>
    <row r="369" customFormat="false" ht="14.25" hidden="false" customHeight="false" outlineLevel="0" collapsed="false"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26"/>
      <c r="AH369" s="26"/>
      <c r="AI369" s="26"/>
      <c r="AJ369" s="26"/>
      <c r="AK369" s="26"/>
      <c r="AL369" s="26"/>
    </row>
    <row r="370" customFormat="false" ht="14.25" hidden="false" customHeight="false" outlineLevel="0" collapsed="false"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26"/>
      <c r="AH370" s="26"/>
      <c r="AI370" s="26"/>
      <c r="AJ370" s="26"/>
      <c r="AK370" s="26"/>
      <c r="AL370" s="26"/>
    </row>
    <row r="371" customFormat="false" ht="14.25" hidden="false" customHeight="false" outlineLevel="0" collapsed="false"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26"/>
      <c r="AH371" s="26"/>
      <c r="AI371" s="26"/>
      <c r="AJ371" s="26"/>
      <c r="AK371" s="26"/>
      <c r="AL371" s="26"/>
    </row>
    <row r="372" customFormat="false" ht="14.25" hidden="false" customHeight="false" outlineLevel="0" collapsed="false"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26"/>
      <c r="AH372" s="26"/>
      <c r="AI372" s="26"/>
      <c r="AJ372" s="26"/>
      <c r="AK372" s="26"/>
      <c r="AL372" s="26"/>
    </row>
    <row r="373" customFormat="false" ht="14.25" hidden="false" customHeight="false" outlineLevel="0" collapsed="false"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26"/>
      <c r="AH373" s="26"/>
      <c r="AI373" s="26"/>
      <c r="AJ373" s="26"/>
      <c r="AK373" s="26"/>
      <c r="AL373" s="26"/>
    </row>
    <row r="374" customFormat="false" ht="14.25" hidden="false" customHeight="false" outlineLevel="0" collapsed="false"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26"/>
      <c r="AH374" s="26"/>
      <c r="AI374" s="26"/>
      <c r="AJ374" s="26"/>
      <c r="AK374" s="26"/>
      <c r="AL374" s="26"/>
    </row>
    <row r="375" customFormat="false" ht="14.25" hidden="false" customHeight="false" outlineLevel="0" collapsed="false"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26"/>
      <c r="AH375" s="26"/>
      <c r="AI375" s="26"/>
      <c r="AJ375" s="26"/>
      <c r="AK375" s="26"/>
      <c r="AL375" s="26"/>
    </row>
    <row r="376" customFormat="false" ht="14.25" hidden="false" customHeight="false" outlineLevel="0" collapsed="false"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26"/>
      <c r="AH376" s="26"/>
      <c r="AI376" s="26"/>
      <c r="AJ376" s="26"/>
      <c r="AK376" s="26"/>
      <c r="AL376" s="26"/>
    </row>
    <row r="377" customFormat="false" ht="14.25" hidden="false" customHeight="false" outlineLevel="0" collapsed="false"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26"/>
      <c r="AH377" s="26"/>
      <c r="AI377" s="26"/>
      <c r="AJ377" s="26"/>
      <c r="AK377" s="26"/>
      <c r="AL377" s="26"/>
    </row>
    <row r="378" customFormat="false" ht="14.25" hidden="false" customHeight="false" outlineLevel="0" collapsed="false"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26"/>
      <c r="AH378" s="26"/>
      <c r="AI378" s="26"/>
      <c r="AJ378" s="26"/>
      <c r="AK378" s="26"/>
      <c r="AL378" s="26"/>
    </row>
    <row r="379" customFormat="false" ht="14.25" hidden="false" customHeight="false" outlineLevel="0" collapsed="false"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26"/>
      <c r="AH379" s="26"/>
      <c r="AI379" s="26"/>
      <c r="AJ379" s="26"/>
      <c r="AK379" s="26"/>
      <c r="AL379" s="26"/>
    </row>
    <row r="380" customFormat="false" ht="14.25" hidden="false" customHeight="false" outlineLevel="0" collapsed="false"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26"/>
      <c r="AH380" s="26"/>
      <c r="AI380" s="26"/>
      <c r="AJ380" s="26"/>
      <c r="AK380" s="26"/>
      <c r="AL380" s="26"/>
    </row>
    <row r="381" customFormat="false" ht="14.25" hidden="false" customHeight="false" outlineLevel="0" collapsed="false"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26"/>
      <c r="AH381" s="26"/>
      <c r="AI381" s="26"/>
      <c r="AJ381" s="26"/>
      <c r="AK381" s="26"/>
      <c r="AL381" s="26"/>
    </row>
    <row r="382" customFormat="false" ht="14.25" hidden="false" customHeight="false" outlineLevel="0" collapsed="false"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26"/>
      <c r="AH382" s="26"/>
      <c r="AI382" s="26"/>
      <c r="AJ382" s="26"/>
      <c r="AK382" s="26"/>
      <c r="AL382" s="26"/>
    </row>
    <row r="383" customFormat="false" ht="14.25" hidden="false" customHeight="false" outlineLevel="0" collapsed="false"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26"/>
      <c r="AH383" s="26"/>
      <c r="AI383" s="26"/>
      <c r="AJ383" s="26"/>
      <c r="AK383" s="26"/>
      <c r="AL383" s="26"/>
    </row>
    <row r="384" customFormat="false" ht="14.25" hidden="false" customHeight="false" outlineLevel="0" collapsed="false"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26"/>
      <c r="AH384" s="26"/>
      <c r="AI384" s="26"/>
      <c r="AJ384" s="26"/>
      <c r="AK384" s="26"/>
      <c r="AL384" s="26"/>
    </row>
    <row r="385" customFormat="false" ht="14.25" hidden="false" customHeight="false" outlineLevel="0" collapsed="false"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26"/>
      <c r="AH385" s="26"/>
      <c r="AI385" s="26"/>
      <c r="AJ385" s="26"/>
      <c r="AK385" s="26"/>
      <c r="AL385" s="26"/>
    </row>
    <row r="386" customFormat="false" ht="14.25" hidden="false" customHeight="false" outlineLevel="0" collapsed="false"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26"/>
      <c r="AH386" s="26"/>
      <c r="AI386" s="26"/>
      <c r="AJ386" s="26"/>
      <c r="AK386" s="26"/>
      <c r="AL386" s="26"/>
    </row>
    <row r="387" customFormat="false" ht="14.25" hidden="false" customHeight="false" outlineLevel="0" collapsed="false"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26"/>
      <c r="AH387" s="26"/>
      <c r="AI387" s="26"/>
      <c r="AJ387" s="26"/>
      <c r="AK387" s="26"/>
      <c r="AL387" s="26"/>
    </row>
    <row r="388" customFormat="false" ht="14.25" hidden="false" customHeight="false" outlineLevel="0" collapsed="false"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26"/>
      <c r="AH388" s="26"/>
      <c r="AI388" s="26"/>
      <c r="AJ388" s="26"/>
      <c r="AK388" s="26"/>
      <c r="AL388" s="26"/>
    </row>
    <row r="389" customFormat="false" ht="14.25" hidden="false" customHeight="false" outlineLevel="0" collapsed="false"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26"/>
      <c r="AH389" s="26"/>
      <c r="AI389" s="26"/>
      <c r="AJ389" s="26"/>
      <c r="AK389" s="26"/>
      <c r="AL389" s="26"/>
    </row>
    <row r="390" customFormat="false" ht="14.25" hidden="false" customHeight="false" outlineLevel="0" collapsed="false"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26"/>
      <c r="AH390" s="26"/>
      <c r="AI390" s="26"/>
      <c r="AJ390" s="26"/>
      <c r="AK390" s="26"/>
      <c r="AL390" s="26"/>
    </row>
    <row r="391" customFormat="false" ht="14.25" hidden="false" customHeight="false" outlineLevel="0" collapsed="false"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26"/>
      <c r="AH391" s="26"/>
      <c r="AI391" s="26"/>
      <c r="AJ391" s="26"/>
      <c r="AK391" s="26"/>
      <c r="AL391" s="26"/>
    </row>
    <row r="392" customFormat="false" ht="14.25" hidden="false" customHeight="false" outlineLevel="0" collapsed="false"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26"/>
      <c r="AH392" s="26"/>
      <c r="AI392" s="26"/>
      <c r="AJ392" s="26"/>
      <c r="AK392" s="26"/>
      <c r="AL392" s="26"/>
    </row>
    <row r="393" customFormat="false" ht="14.25" hidden="false" customHeight="false" outlineLevel="0" collapsed="false"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26"/>
      <c r="AH393" s="26"/>
      <c r="AI393" s="26"/>
      <c r="AJ393" s="26"/>
      <c r="AK393" s="26"/>
      <c r="AL393" s="26"/>
    </row>
    <row r="394" customFormat="false" ht="14.25" hidden="false" customHeight="false" outlineLevel="0" collapsed="false"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26"/>
      <c r="AH394" s="26"/>
      <c r="AI394" s="26"/>
      <c r="AJ394" s="26"/>
      <c r="AK394" s="26"/>
      <c r="AL394" s="26"/>
    </row>
    <row r="395" customFormat="false" ht="14.25" hidden="false" customHeight="false" outlineLevel="0" collapsed="false"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26"/>
      <c r="AH395" s="26"/>
      <c r="AI395" s="26"/>
      <c r="AJ395" s="26"/>
      <c r="AK395" s="26"/>
      <c r="AL395" s="26"/>
    </row>
    <row r="396" customFormat="false" ht="14.25" hidden="false" customHeight="false" outlineLevel="0" collapsed="false"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26"/>
      <c r="AH396" s="26"/>
      <c r="AI396" s="26"/>
      <c r="AJ396" s="26"/>
      <c r="AK396" s="26"/>
      <c r="AL396" s="26"/>
    </row>
    <row r="397" customFormat="false" ht="14.25" hidden="false" customHeight="false" outlineLevel="0" collapsed="false"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26"/>
      <c r="AH397" s="26"/>
      <c r="AI397" s="26"/>
      <c r="AJ397" s="26"/>
      <c r="AK397" s="26"/>
      <c r="AL397" s="26"/>
    </row>
    <row r="398" customFormat="false" ht="14.25" hidden="false" customHeight="false" outlineLevel="0" collapsed="false"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26"/>
      <c r="AH398" s="26"/>
      <c r="AI398" s="26"/>
      <c r="AJ398" s="26"/>
      <c r="AK398" s="26"/>
      <c r="AL398" s="26"/>
    </row>
    <row r="399" customFormat="false" ht="14.25" hidden="false" customHeight="false" outlineLevel="0" collapsed="false"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26"/>
      <c r="AH399" s="26"/>
      <c r="AI399" s="26"/>
      <c r="AJ399" s="26"/>
      <c r="AK399" s="26"/>
      <c r="AL399" s="26"/>
    </row>
    <row r="400" customFormat="false" ht="14.25" hidden="false" customHeight="false" outlineLevel="0" collapsed="false"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26"/>
      <c r="AH400" s="26"/>
      <c r="AI400" s="26"/>
      <c r="AJ400" s="26"/>
      <c r="AK400" s="26"/>
      <c r="AL400" s="26"/>
    </row>
    <row r="401" customFormat="false" ht="14.25" hidden="false" customHeight="false" outlineLevel="0" collapsed="false"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26"/>
      <c r="AH401" s="26"/>
      <c r="AI401" s="26"/>
      <c r="AJ401" s="26"/>
      <c r="AK401" s="26"/>
      <c r="AL401" s="26"/>
    </row>
    <row r="402" customFormat="false" ht="14.25" hidden="false" customHeight="false" outlineLevel="0" collapsed="false"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26"/>
      <c r="AH402" s="26"/>
      <c r="AI402" s="26"/>
      <c r="AJ402" s="26"/>
      <c r="AK402" s="26"/>
      <c r="AL402" s="26"/>
    </row>
    <row r="403" customFormat="false" ht="14.25" hidden="false" customHeight="false" outlineLevel="0" collapsed="false"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26"/>
      <c r="AH403" s="26"/>
      <c r="AI403" s="26"/>
      <c r="AJ403" s="26"/>
      <c r="AK403" s="26"/>
      <c r="AL403" s="26"/>
    </row>
    <row r="404" customFormat="false" ht="14.25" hidden="false" customHeight="false" outlineLevel="0" collapsed="false"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26"/>
      <c r="AH404" s="26"/>
      <c r="AI404" s="26"/>
      <c r="AJ404" s="26"/>
      <c r="AK404" s="26"/>
      <c r="AL404" s="26"/>
    </row>
    <row r="405" customFormat="false" ht="14.25" hidden="false" customHeight="false" outlineLevel="0" collapsed="false"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26"/>
      <c r="AH405" s="26"/>
      <c r="AI405" s="26"/>
      <c r="AJ405" s="26"/>
      <c r="AK405" s="26"/>
      <c r="AL405" s="26"/>
    </row>
    <row r="406" customFormat="false" ht="14.25" hidden="false" customHeight="false" outlineLevel="0" collapsed="false"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26"/>
      <c r="AH406" s="26"/>
      <c r="AI406" s="26"/>
      <c r="AJ406" s="26"/>
      <c r="AK406" s="26"/>
      <c r="AL406" s="26"/>
    </row>
    <row r="407" customFormat="false" ht="14.25" hidden="false" customHeight="false" outlineLevel="0" collapsed="false"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26"/>
      <c r="AH407" s="26"/>
      <c r="AI407" s="26"/>
      <c r="AJ407" s="26"/>
      <c r="AK407" s="26"/>
      <c r="AL407" s="26"/>
    </row>
    <row r="408" customFormat="false" ht="14.25" hidden="false" customHeight="false" outlineLevel="0" collapsed="false"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26"/>
      <c r="AH408" s="26"/>
      <c r="AI408" s="26"/>
      <c r="AJ408" s="26"/>
      <c r="AK408" s="26"/>
      <c r="AL408" s="26"/>
    </row>
    <row r="409" customFormat="false" ht="14.25" hidden="false" customHeight="false" outlineLevel="0" collapsed="false"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26"/>
      <c r="AH409" s="26"/>
      <c r="AI409" s="26"/>
      <c r="AJ409" s="26"/>
      <c r="AK409" s="26"/>
      <c r="AL409" s="26"/>
    </row>
    <row r="410" customFormat="false" ht="14.25" hidden="false" customHeight="false" outlineLevel="0" collapsed="false"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26"/>
      <c r="AH410" s="26"/>
      <c r="AI410" s="26"/>
      <c r="AJ410" s="26"/>
      <c r="AK410" s="26"/>
      <c r="AL410" s="26"/>
    </row>
    <row r="411" customFormat="false" ht="14.25" hidden="false" customHeight="false" outlineLevel="0" collapsed="false"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26"/>
      <c r="AH411" s="26"/>
      <c r="AI411" s="26"/>
      <c r="AJ411" s="26"/>
      <c r="AK411" s="26"/>
      <c r="AL411" s="26"/>
    </row>
    <row r="412" customFormat="false" ht="14.25" hidden="false" customHeight="false" outlineLevel="0" collapsed="false"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26"/>
      <c r="AH412" s="26"/>
      <c r="AI412" s="26"/>
      <c r="AJ412" s="26"/>
      <c r="AK412" s="26"/>
      <c r="AL412" s="26"/>
    </row>
    <row r="413" customFormat="false" ht="14.25" hidden="false" customHeight="false" outlineLevel="0" collapsed="false"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26"/>
      <c r="AH413" s="26"/>
      <c r="AI413" s="26"/>
      <c r="AJ413" s="26"/>
      <c r="AK413" s="26"/>
      <c r="AL413" s="26"/>
    </row>
    <row r="414" customFormat="false" ht="14.25" hidden="false" customHeight="false" outlineLevel="0" collapsed="false"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26"/>
      <c r="AH414" s="26"/>
      <c r="AI414" s="26"/>
      <c r="AJ414" s="26"/>
      <c r="AK414" s="26"/>
      <c r="AL414" s="26"/>
    </row>
    <row r="415" customFormat="false" ht="14.25" hidden="false" customHeight="false" outlineLevel="0" collapsed="false"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26"/>
      <c r="AH415" s="26"/>
      <c r="AI415" s="26"/>
      <c r="AJ415" s="26"/>
      <c r="AK415" s="26"/>
      <c r="AL415" s="26"/>
    </row>
    <row r="416" customFormat="false" ht="14.25" hidden="false" customHeight="false" outlineLevel="0" collapsed="false"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26"/>
      <c r="AH416" s="26"/>
      <c r="AI416" s="26"/>
      <c r="AJ416" s="26"/>
      <c r="AK416" s="26"/>
      <c r="AL416" s="26"/>
    </row>
    <row r="417" customFormat="false" ht="14.25" hidden="false" customHeight="false" outlineLevel="0" collapsed="false"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26"/>
      <c r="AH417" s="26"/>
      <c r="AI417" s="26"/>
      <c r="AJ417" s="26"/>
      <c r="AK417" s="26"/>
      <c r="AL417" s="26"/>
    </row>
    <row r="418" customFormat="false" ht="14.25" hidden="false" customHeight="false" outlineLevel="0" collapsed="false"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26"/>
      <c r="AH418" s="26"/>
      <c r="AI418" s="26"/>
      <c r="AJ418" s="26"/>
      <c r="AK418" s="26"/>
      <c r="AL418" s="26"/>
    </row>
    <row r="419" customFormat="false" ht="14.25" hidden="false" customHeight="false" outlineLevel="0" collapsed="false"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26"/>
      <c r="AH419" s="26"/>
      <c r="AI419" s="26"/>
      <c r="AJ419" s="26"/>
      <c r="AK419" s="26"/>
      <c r="AL419" s="26"/>
    </row>
    <row r="420" customFormat="false" ht="14.25" hidden="false" customHeight="false" outlineLevel="0" collapsed="false"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26"/>
      <c r="AH420" s="26"/>
      <c r="AI420" s="26"/>
      <c r="AJ420" s="26"/>
      <c r="AK420" s="26"/>
      <c r="AL420" s="26"/>
    </row>
    <row r="421" customFormat="false" ht="14.25" hidden="false" customHeight="false" outlineLevel="0" collapsed="false"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26"/>
      <c r="AH421" s="26"/>
      <c r="AI421" s="26"/>
      <c r="AJ421" s="26"/>
      <c r="AK421" s="26"/>
      <c r="AL421" s="26"/>
    </row>
    <row r="422" customFormat="false" ht="14.25" hidden="false" customHeight="false" outlineLevel="0" collapsed="false"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26"/>
      <c r="AH422" s="26"/>
      <c r="AI422" s="26"/>
      <c r="AJ422" s="26"/>
      <c r="AK422" s="26"/>
      <c r="AL422" s="26"/>
    </row>
    <row r="423" customFormat="false" ht="14.25" hidden="false" customHeight="false" outlineLevel="0" collapsed="false"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26"/>
      <c r="AH423" s="26"/>
      <c r="AI423" s="26"/>
      <c r="AJ423" s="26"/>
      <c r="AK423" s="26"/>
      <c r="AL423" s="26"/>
    </row>
    <row r="424" customFormat="false" ht="14.25" hidden="false" customHeight="false" outlineLevel="0" collapsed="false"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26"/>
      <c r="AH424" s="26"/>
      <c r="AI424" s="26"/>
      <c r="AJ424" s="26"/>
      <c r="AK424" s="26"/>
      <c r="AL424" s="26"/>
    </row>
    <row r="425" customFormat="false" ht="14.25" hidden="false" customHeight="false" outlineLevel="0" collapsed="false"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26"/>
      <c r="AH425" s="26"/>
      <c r="AI425" s="26"/>
      <c r="AJ425" s="26"/>
      <c r="AK425" s="26"/>
      <c r="AL425" s="26"/>
    </row>
    <row r="426" customFormat="false" ht="14.25" hidden="false" customHeight="false" outlineLevel="0" collapsed="false"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26"/>
      <c r="AH426" s="26"/>
      <c r="AI426" s="26"/>
      <c r="AJ426" s="26"/>
      <c r="AK426" s="26"/>
      <c r="AL426" s="26"/>
    </row>
    <row r="427" customFormat="false" ht="14.25" hidden="false" customHeight="false" outlineLevel="0" collapsed="false"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26"/>
      <c r="AH427" s="26"/>
      <c r="AI427" s="26"/>
      <c r="AJ427" s="26"/>
      <c r="AK427" s="26"/>
      <c r="AL427" s="26"/>
    </row>
    <row r="428" customFormat="false" ht="14.25" hidden="false" customHeight="false" outlineLevel="0" collapsed="false"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26"/>
      <c r="AH428" s="26"/>
      <c r="AI428" s="26"/>
      <c r="AJ428" s="26"/>
      <c r="AK428" s="26"/>
      <c r="AL428" s="26"/>
    </row>
    <row r="429" customFormat="false" ht="14.25" hidden="false" customHeight="false" outlineLevel="0" collapsed="false"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26"/>
      <c r="AH429" s="26"/>
      <c r="AI429" s="26"/>
      <c r="AJ429" s="26"/>
      <c r="AK429" s="26"/>
      <c r="AL429" s="26"/>
    </row>
    <row r="430" customFormat="false" ht="14.25" hidden="false" customHeight="false" outlineLevel="0" collapsed="false"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26"/>
      <c r="AH430" s="26"/>
      <c r="AI430" s="26"/>
      <c r="AJ430" s="26"/>
      <c r="AK430" s="26"/>
      <c r="AL430" s="26"/>
    </row>
    <row r="431" customFormat="false" ht="14.25" hidden="false" customHeight="false" outlineLevel="0" collapsed="false"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26"/>
      <c r="AH431" s="26"/>
      <c r="AI431" s="26"/>
      <c r="AJ431" s="26"/>
      <c r="AK431" s="26"/>
      <c r="AL431" s="26"/>
    </row>
    <row r="432" customFormat="false" ht="14.25" hidden="false" customHeight="false" outlineLevel="0" collapsed="false"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26"/>
      <c r="AH432" s="26"/>
      <c r="AI432" s="26"/>
      <c r="AJ432" s="26"/>
      <c r="AK432" s="26"/>
      <c r="AL432" s="26"/>
    </row>
    <row r="433" customFormat="false" ht="14.25" hidden="false" customHeight="false" outlineLevel="0" collapsed="false"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26"/>
      <c r="AH433" s="26"/>
      <c r="AI433" s="26"/>
      <c r="AJ433" s="26"/>
      <c r="AK433" s="26"/>
      <c r="AL433" s="26"/>
    </row>
    <row r="434" customFormat="false" ht="14.25" hidden="false" customHeight="false" outlineLevel="0" collapsed="false"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26"/>
      <c r="AH434" s="26"/>
      <c r="AI434" s="26"/>
      <c r="AJ434" s="26"/>
      <c r="AK434" s="26"/>
      <c r="AL434" s="26"/>
    </row>
    <row r="435" customFormat="false" ht="14.25" hidden="false" customHeight="false" outlineLevel="0" collapsed="false"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26"/>
      <c r="AH435" s="26"/>
      <c r="AI435" s="26"/>
      <c r="AJ435" s="26"/>
      <c r="AK435" s="26"/>
      <c r="AL435" s="26"/>
    </row>
    <row r="436" customFormat="false" ht="14.25" hidden="false" customHeight="false" outlineLevel="0" collapsed="false"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26"/>
      <c r="AH436" s="26"/>
      <c r="AI436" s="26"/>
      <c r="AJ436" s="26"/>
      <c r="AK436" s="26"/>
      <c r="AL436" s="26"/>
    </row>
    <row r="437" customFormat="false" ht="14.25" hidden="false" customHeight="false" outlineLevel="0" collapsed="false"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26"/>
      <c r="AH437" s="26"/>
      <c r="AI437" s="26"/>
      <c r="AJ437" s="26"/>
      <c r="AK437" s="26"/>
      <c r="AL437" s="26"/>
    </row>
    <row r="438" customFormat="false" ht="14.25" hidden="false" customHeight="false" outlineLevel="0" collapsed="false"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26"/>
      <c r="AH438" s="26"/>
      <c r="AI438" s="26"/>
      <c r="AJ438" s="26"/>
      <c r="AK438" s="26"/>
      <c r="AL438" s="26"/>
    </row>
    <row r="439" customFormat="false" ht="14.25" hidden="false" customHeight="false" outlineLevel="0" collapsed="false"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26"/>
      <c r="AH439" s="26"/>
      <c r="AI439" s="26"/>
      <c r="AJ439" s="26"/>
      <c r="AK439" s="26"/>
      <c r="AL439" s="26"/>
    </row>
    <row r="440" customFormat="false" ht="14.25" hidden="false" customHeight="false" outlineLevel="0" collapsed="false"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26"/>
      <c r="AH440" s="26"/>
      <c r="AI440" s="26"/>
      <c r="AJ440" s="26"/>
      <c r="AK440" s="26"/>
      <c r="AL440" s="26"/>
    </row>
    <row r="441" customFormat="false" ht="14.25" hidden="false" customHeight="false" outlineLevel="0" collapsed="false"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26"/>
      <c r="AH441" s="26"/>
      <c r="AI441" s="26"/>
      <c r="AJ441" s="26"/>
      <c r="AK441" s="26"/>
      <c r="AL441" s="26"/>
    </row>
    <row r="442" customFormat="false" ht="14.25" hidden="false" customHeight="false" outlineLevel="0" collapsed="false"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26"/>
      <c r="AH442" s="26"/>
      <c r="AI442" s="26"/>
      <c r="AJ442" s="26"/>
      <c r="AK442" s="26"/>
      <c r="AL442" s="26"/>
    </row>
    <row r="443" customFormat="false" ht="14.25" hidden="false" customHeight="false" outlineLevel="0" collapsed="false"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26"/>
      <c r="AH443" s="26"/>
      <c r="AI443" s="26"/>
      <c r="AJ443" s="26"/>
      <c r="AK443" s="26"/>
      <c r="AL443" s="26"/>
    </row>
    <row r="444" customFormat="false" ht="14.25" hidden="false" customHeight="false" outlineLevel="0" collapsed="false"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26"/>
      <c r="AH444" s="26"/>
      <c r="AI444" s="26"/>
      <c r="AJ444" s="26"/>
      <c r="AK444" s="26"/>
      <c r="AL444" s="26"/>
    </row>
    <row r="445" customFormat="false" ht="14.25" hidden="false" customHeight="false" outlineLevel="0" collapsed="false"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26"/>
      <c r="AH445" s="26"/>
      <c r="AI445" s="26"/>
      <c r="AJ445" s="26"/>
      <c r="AK445" s="26"/>
      <c r="AL445" s="26"/>
    </row>
    <row r="446" customFormat="false" ht="14.25" hidden="false" customHeight="false" outlineLevel="0" collapsed="false"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26"/>
      <c r="AH446" s="26"/>
      <c r="AI446" s="26"/>
      <c r="AJ446" s="26"/>
      <c r="AK446" s="26"/>
      <c r="AL446" s="26"/>
    </row>
    <row r="447" customFormat="false" ht="14.25" hidden="false" customHeight="false" outlineLevel="0" collapsed="false"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26"/>
      <c r="AH447" s="26"/>
      <c r="AI447" s="26"/>
      <c r="AJ447" s="26"/>
      <c r="AK447" s="26"/>
      <c r="AL447" s="26"/>
    </row>
    <row r="448" customFormat="false" ht="14.25" hidden="false" customHeight="false" outlineLevel="0" collapsed="false"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26"/>
      <c r="AH448" s="26"/>
      <c r="AI448" s="26"/>
      <c r="AJ448" s="26"/>
      <c r="AK448" s="26"/>
      <c r="AL448" s="26"/>
    </row>
    <row r="449" customFormat="false" ht="14.25" hidden="false" customHeight="false" outlineLevel="0" collapsed="false"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26"/>
      <c r="AH449" s="26"/>
      <c r="AI449" s="26"/>
      <c r="AJ449" s="26"/>
      <c r="AK449" s="26"/>
      <c r="AL449" s="26"/>
    </row>
    <row r="450" customFormat="false" ht="14.25" hidden="false" customHeight="false" outlineLevel="0" collapsed="false"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26"/>
      <c r="AH450" s="26"/>
      <c r="AI450" s="26"/>
      <c r="AJ450" s="26"/>
      <c r="AK450" s="26"/>
      <c r="AL450" s="26"/>
    </row>
    <row r="451" customFormat="false" ht="14.25" hidden="false" customHeight="false" outlineLevel="0" collapsed="false"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26"/>
      <c r="AH451" s="26"/>
      <c r="AI451" s="26"/>
      <c r="AJ451" s="26"/>
      <c r="AK451" s="26"/>
      <c r="AL451" s="26"/>
    </row>
    <row r="452" customFormat="false" ht="14.25" hidden="false" customHeight="false" outlineLevel="0" collapsed="false"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26"/>
      <c r="AH452" s="26"/>
      <c r="AI452" s="26"/>
      <c r="AJ452" s="26"/>
      <c r="AK452" s="26"/>
      <c r="AL452" s="26"/>
    </row>
    <row r="453" customFormat="false" ht="14.25" hidden="false" customHeight="false" outlineLevel="0" collapsed="false"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26"/>
      <c r="AH453" s="26"/>
      <c r="AI453" s="26"/>
      <c r="AJ453" s="26"/>
      <c r="AK453" s="26"/>
      <c r="AL453" s="26"/>
    </row>
    <row r="454" customFormat="false" ht="14.25" hidden="false" customHeight="false" outlineLevel="0" collapsed="false"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26"/>
      <c r="AH454" s="26"/>
      <c r="AI454" s="26"/>
      <c r="AJ454" s="26"/>
      <c r="AK454" s="26"/>
      <c r="AL454" s="26"/>
    </row>
    <row r="455" customFormat="false" ht="14.25" hidden="false" customHeight="false" outlineLevel="0" collapsed="false"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26"/>
      <c r="AH455" s="26"/>
      <c r="AI455" s="26"/>
      <c r="AJ455" s="26"/>
      <c r="AK455" s="26"/>
      <c r="AL455" s="26"/>
    </row>
    <row r="456" customFormat="false" ht="14.25" hidden="false" customHeight="false" outlineLevel="0" collapsed="false"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26"/>
      <c r="AH456" s="26"/>
      <c r="AI456" s="26"/>
      <c r="AJ456" s="26"/>
      <c r="AK456" s="26"/>
      <c r="AL456" s="26"/>
    </row>
    <row r="457" customFormat="false" ht="14.25" hidden="false" customHeight="false" outlineLevel="0" collapsed="false"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26"/>
      <c r="AH457" s="26"/>
      <c r="AI457" s="26"/>
      <c r="AJ457" s="26"/>
      <c r="AK457" s="26"/>
      <c r="AL457" s="26"/>
    </row>
    <row r="458" customFormat="false" ht="14.25" hidden="false" customHeight="false" outlineLevel="0" collapsed="false"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26"/>
      <c r="AH458" s="26"/>
      <c r="AI458" s="26"/>
      <c r="AJ458" s="26"/>
      <c r="AK458" s="26"/>
      <c r="AL458" s="26"/>
    </row>
    <row r="459" customFormat="false" ht="14.25" hidden="false" customHeight="false" outlineLevel="0" collapsed="false"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26"/>
      <c r="AH459" s="26"/>
      <c r="AI459" s="26"/>
      <c r="AJ459" s="26"/>
      <c r="AK459" s="26"/>
      <c r="AL459" s="26"/>
    </row>
    <row r="460" customFormat="false" ht="14.25" hidden="false" customHeight="false" outlineLevel="0" collapsed="false"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26"/>
      <c r="AH460" s="26"/>
      <c r="AI460" s="26"/>
      <c r="AJ460" s="26"/>
      <c r="AK460" s="26"/>
      <c r="AL460" s="26"/>
    </row>
    <row r="461" customFormat="false" ht="14.25" hidden="false" customHeight="false" outlineLevel="0" collapsed="false"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26"/>
      <c r="AH461" s="26"/>
      <c r="AI461" s="26"/>
      <c r="AJ461" s="26"/>
      <c r="AK461" s="26"/>
      <c r="AL461" s="26"/>
    </row>
    <row r="462" customFormat="false" ht="14.25" hidden="false" customHeight="false" outlineLevel="0" collapsed="false"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26"/>
      <c r="AH462" s="26"/>
      <c r="AI462" s="26"/>
      <c r="AJ462" s="26"/>
      <c r="AK462" s="26"/>
      <c r="AL462" s="26"/>
    </row>
    <row r="463" customFormat="false" ht="14.25" hidden="false" customHeight="false" outlineLevel="0" collapsed="false"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26"/>
      <c r="AH463" s="26"/>
      <c r="AI463" s="26"/>
      <c r="AJ463" s="26"/>
      <c r="AK463" s="26"/>
      <c r="AL463" s="26"/>
    </row>
    <row r="464" customFormat="false" ht="14.25" hidden="false" customHeight="false" outlineLevel="0" collapsed="false"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26"/>
      <c r="AH464" s="26"/>
      <c r="AI464" s="26"/>
      <c r="AJ464" s="26"/>
      <c r="AK464" s="26"/>
      <c r="AL464" s="26"/>
    </row>
    <row r="465" customFormat="false" ht="14.25" hidden="false" customHeight="false" outlineLevel="0" collapsed="false"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26"/>
      <c r="AH465" s="26"/>
      <c r="AI465" s="26"/>
      <c r="AJ465" s="26"/>
      <c r="AK465" s="26"/>
      <c r="AL465" s="26"/>
    </row>
    <row r="466" customFormat="false" ht="14.25" hidden="false" customHeight="false" outlineLevel="0" collapsed="false"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26"/>
      <c r="AH466" s="26"/>
      <c r="AI466" s="26"/>
      <c r="AJ466" s="26"/>
      <c r="AK466" s="26"/>
      <c r="AL466" s="26"/>
    </row>
    <row r="467" customFormat="false" ht="14.25" hidden="false" customHeight="false" outlineLevel="0" collapsed="false"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26"/>
      <c r="AH467" s="26"/>
      <c r="AI467" s="26"/>
      <c r="AJ467" s="26"/>
      <c r="AK467" s="26"/>
      <c r="AL467" s="26"/>
    </row>
    <row r="468" customFormat="false" ht="14.25" hidden="false" customHeight="false" outlineLevel="0" collapsed="false"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26"/>
      <c r="AH468" s="26"/>
      <c r="AI468" s="26"/>
      <c r="AJ468" s="26"/>
      <c r="AK468" s="26"/>
      <c r="AL468" s="26"/>
    </row>
    <row r="469" customFormat="false" ht="14.25" hidden="false" customHeight="false" outlineLevel="0" collapsed="false"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26"/>
      <c r="AH469" s="26"/>
      <c r="AI469" s="26"/>
      <c r="AJ469" s="26"/>
      <c r="AK469" s="26"/>
      <c r="AL469" s="26"/>
    </row>
    <row r="470" customFormat="false" ht="14.25" hidden="false" customHeight="false" outlineLevel="0" collapsed="false"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26"/>
      <c r="AH470" s="26"/>
      <c r="AI470" s="26"/>
      <c r="AJ470" s="26"/>
      <c r="AK470" s="26"/>
      <c r="AL470" s="26"/>
    </row>
    <row r="471" customFormat="false" ht="14.25" hidden="false" customHeight="false" outlineLevel="0" collapsed="false"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26"/>
      <c r="AH471" s="26"/>
      <c r="AI471" s="26"/>
      <c r="AJ471" s="26"/>
      <c r="AK471" s="26"/>
      <c r="AL471" s="26"/>
    </row>
    <row r="472" customFormat="false" ht="14.25" hidden="false" customHeight="false" outlineLevel="0" collapsed="false"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26"/>
      <c r="AH472" s="26"/>
      <c r="AI472" s="26"/>
      <c r="AJ472" s="26"/>
      <c r="AK472" s="26"/>
      <c r="AL472" s="26"/>
    </row>
    <row r="473" customFormat="false" ht="14.25" hidden="false" customHeight="false" outlineLevel="0" collapsed="false"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26"/>
      <c r="AH473" s="26"/>
      <c r="AI473" s="26"/>
      <c r="AJ473" s="26"/>
      <c r="AK473" s="26"/>
      <c r="AL473" s="26"/>
    </row>
    <row r="474" customFormat="false" ht="14.25" hidden="false" customHeight="false" outlineLevel="0" collapsed="false"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26"/>
      <c r="AH474" s="26"/>
      <c r="AI474" s="26"/>
      <c r="AJ474" s="26"/>
      <c r="AK474" s="26"/>
      <c r="AL474" s="26"/>
    </row>
    <row r="475" customFormat="false" ht="14.25" hidden="false" customHeight="false" outlineLevel="0" collapsed="false"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26"/>
      <c r="AH475" s="26"/>
      <c r="AI475" s="26"/>
      <c r="AJ475" s="26"/>
      <c r="AK475" s="26"/>
      <c r="AL475" s="26"/>
    </row>
    <row r="476" customFormat="false" ht="14.25" hidden="false" customHeight="false" outlineLevel="0" collapsed="false"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26"/>
      <c r="AH476" s="26"/>
      <c r="AI476" s="26"/>
      <c r="AJ476" s="26"/>
      <c r="AK476" s="26"/>
      <c r="AL476" s="26"/>
    </row>
    <row r="477" customFormat="false" ht="14.25" hidden="false" customHeight="false" outlineLevel="0" collapsed="false"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26"/>
      <c r="AH477" s="26"/>
      <c r="AI477" s="26"/>
      <c r="AJ477" s="26"/>
      <c r="AK477" s="26"/>
      <c r="AL477" s="26"/>
    </row>
    <row r="478" customFormat="false" ht="14.25" hidden="false" customHeight="false" outlineLevel="0" collapsed="false"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26"/>
      <c r="AH478" s="26"/>
      <c r="AI478" s="26"/>
      <c r="AJ478" s="26"/>
      <c r="AK478" s="26"/>
      <c r="AL478" s="26"/>
    </row>
    <row r="479" customFormat="false" ht="14.25" hidden="false" customHeight="false" outlineLevel="0" collapsed="false"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26"/>
      <c r="AH479" s="26"/>
      <c r="AI479" s="26"/>
      <c r="AJ479" s="26"/>
      <c r="AK479" s="26"/>
      <c r="AL479" s="26"/>
    </row>
    <row r="480" customFormat="false" ht="14.25" hidden="false" customHeight="false" outlineLevel="0" collapsed="false"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26"/>
      <c r="AH480" s="26"/>
      <c r="AI480" s="26"/>
      <c r="AJ480" s="26"/>
      <c r="AK480" s="26"/>
      <c r="AL480" s="26"/>
    </row>
    <row r="481" customFormat="false" ht="14.25" hidden="false" customHeight="false" outlineLevel="0" collapsed="false"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26"/>
      <c r="AH481" s="26"/>
      <c r="AI481" s="26"/>
      <c r="AJ481" s="26"/>
      <c r="AK481" s="26"/>
      <c r="AL481" s="26"/>
    </row>
    <row r="482" customFormat="false" ht="14.25" hidden="false" customHeight="false" outlineLevel="0" collapsed="false"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26"/>
      <c r="AH482" s="26"/>
      <c r="AI482" s="26"/>
      <c r="AJ482" s="26"/>
      <c r="AK482" s="26"/>
      <c r="AL482" s="26"/>
    </row>
    <row r="483" customFormat="false" ht="14.25" hidden="false" customHeight="false" outlineLevel="0" collapsed="false"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26"/>
      <c r="AH483" s="26"/>
      <c r="AI483" s="26"/>
      <c r="AJ483" s="26"/>
      <c r="AK483" s="26"/>
      <c r="AL483" s="26"/>
    </row>
    <row r="484" customFormat="false" ht="14.25" hidden="false" customHeight="false" outlineLevel="0" collapsed="false"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26"/>
      <c r="AH484" s="26"/>
      <c r="AI484" s="26"/>
      <c r="AJ484" s="26"/>
      <c r="AK484" s="26"/>
      <c r="AL484" s="26"/>
    </row>
    <row r="485" customFormat="false" ht="14.25" hidden="false" customHeight="false" outlineLevel="0" collapsed="false"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26"/>
      <c r="AH485" s="26"/>
      <c r="AI485" s="26"/>
      <c r="AJ485" s="26"/>
      <c r="AK485" s="26"/>
      <c r="AL485" s="26"/>
    </row>
    <row r="486" customFormat="false" ht="14.25" hidden="false" customHeight="false" outlineLevel="0" collapsed="false"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26"/>
      <c r="AH486" s="26"/>
      <c r="AI486" s="26"/>
      <c r="AJ486" s="26"/>
      <c r="AK486" s="26"/>
      <c r="AL486" s="26"/>
    </row>
    <row r="487" customFormat="false" ht="14.25" hidden="false" customHeight="false" outlineLevel="0" collapsed="false"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26"/>
      <c r="AH487" s="26"/>
      <c r="AI487" s="26"/>
      <c r="AJ487" s="26"/>
      <c r="AK487" s="26"/>
      <c r="AL487" s="26"/>
    </row>
    <row r="488" customFormat="false" ht="14.25" hidden="false" customHeight="false" outlineLevel="0" collapsed="false"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26"/>
      <c r="AH488" s="26"/>
      <c r="AI488" s="26"/>
      <c r="AJ488" s="26"/>
      <c r="AK488" s="26"/>
      <c r="AL488" s="26"/>
    </row>
    <row r="489" customFormat="false" ht="14.25" hidden="false" customHeight="false" outlineLevel="0" collapsed="false"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26"/>
      <c r="AH489" s="26"/>
      <c r="AI489" s="26"/>
      <c r="AJ489" s="26"/>
      <c r="AK489" s="26"/>
      <c r="AL489" s="26"/>
    </row>
    <row r="490" customFormat="false" ht="14.25" hidden="false" customHeight="false" outlineLevel="0" collapsed="false"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26"/>
      <c r="AH490" s="26"/>
      <c r="AI490" s="26"/>
      <c r="AJ490" s="26"/>
      <c r="AK490" s="26"/>
      <c r="AL490" s="26"/>
    </row>
    <row r="491" customFormat="false" ht="14.25" hidden="false" customHeight="false" outlineLevel="0" collapsed="false"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26"/>
      <c r="AH491" s="26"/>
      <c r="AI491" s="26"/>
      <c r="AJ491" s="26"/>
      <c r="AK491" s="26"/>
      <c r="AL491" s="26"/>
    </row>
    <row r="492" customFormat="false" ht="14.25" hidden="false" customHeight="false" outlineLevel="0" collapsed="false"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26"/>
      <c r="AH492" s="26"/>
      <c r="AI492" s="26"/>
      <c r="AJ492" s="26"/>
      <c r="AK492" s="26"/>
      <c r="AL492" s="26"/>
    </row>
    <row r="493" customFormat="false" ht="14.25" hidden="false" customHeight="false" outlineLevel="0" collapsed="false"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26"/>
      <c r="AH493" s="26"/>
      <c r="AI493" s="26"/>
      <c r="AJ493" s="26"/>
      <c r="AK493" s="26"/>
      <c r="AL493" s="26"/>
    </row>
    <row r="494" customFormat="false" ht="14.25" hidden="false" customHeight="false" outlineLevel="0" collapsed="false"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26"/>
      <c r="AH494" s="26"/>
      <c r="AI494" s="26"/>
      <c r="AJ494" s="26"/>
      <c r="AK494" s="26"/>
      <c r="AL494" s="26"/>
    </row>
    <row r="495" customFormat="false" ht="14.25" hidden="false" customHeight="false" outlineLevel="0" collapsed="false"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26"/>
      <c r="AH495" s="26"/>
      <c r="AI495" s="26"/>
      <c r="AJ495" s="26"/>
      <c r="AK495" s="26"/>
      <c r="AL495" s="26"/>
    </row>
    <row r="496" customFormat="false" ht="14.25" hidden="false" customHeight="false" outlineLevel="0" collapsed="false"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26"/>
      <c r="AH496" s="26"/>
      <c r="AI496" s="26"/>
      <c r="AJ496" s="26"/>
      <c r="AK496" s="26"/>
      <c r="AL496" s="26"/>
    </row>
    <row r="497" customFormat="false" ht="14.25" hidden="false" customHeight="false" outlineLevel="0" collapsed="false"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26"/>
      <c r="AH497" s="26"/>
      <c r="AI497" s="26"/>
      <c r="AJ497" s="26"/>
      <c r="AK497" s="26"/>
      <c r="AL497" s="26"/>
    </row>
    <row r="498" customFormat="false" ht="14.25" hidden="false" customHeight="false" outlineLevel="0" collapsed="false"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26"/>
      <c r="AH498" s="26"/>
      <c r="AI498" s="26"/>
      <c r="AJ498" s="26"/>
      <c r="AK498" s="26"/>
      <c r="AL498" s="26"/>
    </row>
    <row r="499" customFormat="false" ht="14.25" hidden="false" customHeight="false" outlineLevel="0" collapsed="false"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26"/>
      <c r="AH499" s="26"/>
      <c r="AI499" s="26"/>
      <c r="AJ499" s="26"/>
      <c r="AK499" s="26"/>
      <c r="AL499" s="26"/>
    </row>
    <row r="500" customFormat="false" ht="14.25" hidden="false" customHeight="false" outlineLevel="0" collapsed="false"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26"/>
      <c r="AH500" s="26"/>
      <c r="AI500" s="26"/>
      <c r="AJ500" s="26"/>
      <c r="AK500" s="26"/>
      <c r="AL500" s="26"/>
    </row>
    <row r="501" customFormat="false" ht="14.25" hidden="false" customHeight="false" outlineLevel="0" collapsed="false"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26"/>
      <c r="AH501" s="26"/>
      <c r="AI501" s="26"/>
      <c r="AJ501" s="26"/>
      <c r="AK501" s="26"/>
      <c r="AL501" s="26"/>
    </row>
    <row r="502" customFormat="false" ht="14.25" hidden="false" customHeight="false" outlineLevel="0" collapsed="false"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26"/>
      <c r="AH502" s="26"/>
      <c r="AI502" s="26"/>
      <c r="AJ502" s="26"/>
      <c r="AK502" s="26"/>
      <c r="AL502" s="26"/>
    </row>
    <row r="503" customFormat="false" ht="14.25" hidden="false" customHeight="false" outlineLevel="0" collapsed="false"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26"/>
      <c r="AH503" s="26"/>
      <c r="AI503" s="26"/>
      <c r="AJ503" s="26"/>
      <c r="AK503" s="26"/>
      <c r="AL503" s="26"/>
    </row>
    <row r="504" customFormat="false" ht="14.25" hidden="false" customHeight="false" outlineLevel="0" collapsed="false"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26"/>
      <c r="AH504" s="26"/>
      <c r="AI504" s="26"/>
      <c r="AJ504" s="26"/>
      <c r="AK504" s="26"/>
      <c r="AL504" s="26"/>
    </row>
    <row r="505" customFormat="false" ht="14.25" hidden="false" customHeight="false" outlineLevel="0" collapsed="false"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26"/>
      <c r="AH505" s="26"/>
      <c r="AI505" s="26"/>
      <c r="AJ505" s="26"/>
      <c r="AK505" s="26"/>
      <c r="AL505" s="26"/>
    </row>
    <row r="506" customFormat="false" ht="14.25" hidden="false" customHeight="false" outlineLevel="0" collapsed="false"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26"/>
      <c r="AH506" s="26"/>
      <c r="AI506" s="26"/>
      <c r="AJ506" s="26"/>
      <c r="AK506" s="26"/>
      <c r="AL506" s="26"/>
    </row>
    <row r="507" customFormat="false" ht="14.25" hidden="false" customHeight="false" outlineLevel="0" collapsed="false"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26"/>
      <c r="AH507" s="26"/>
      <c r="AI507" s="26"/>
      <c r="AJ507" s="26"/>
      <c r="AK507" s="26"/>
      <c r="AL507" s="26"/>
    </row>
    <row r="508" customFormat="false" ht="14.25" hidden="false" customHeight="false" outlineLevel="0" collapsed="false"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26"/>
      <c r="AH508" s="26"/>
      <c r="AI508" s="26"/>
      <c r="AJ508" s="26"/>
      <c r="AK508" s="26"/>
      <c r="AL508" s="26"/>
    </row>
    <row r="509" customFormat="false" ht="14.25" hidden="false" customHeight="false" outlineLevel="0" collapsed="false"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26"/>
      <c r="AH509" s="26"/>
      <c r="AI509" s="26"/>
      <c r="AJ509" s="26"/>
      <c r="AK509" s="26"/>
      <c r="AL509" s="26"/>
    </row>
    <row r="510" customFormat="false" ht="14.25" hidden="false" customHeight="false" outlineLevel="0" collapsed="false"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26"/>
      <c r="AH510" s="26"/>
      <c r="AI510" s="26"/>
      <c r="AJ510" s="26"/>
      <c r="AK510" s="26"/>
      <c r="AL510" s="26"/>
    </row>
    <row r="511" customFormat="false" ht="14.25" hidden="false" customHeight="false" outlineLevel="0" collapsed="false"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26"/>
      <c r="AH511" s="26"/>
      <c r="AI511" s="26"/>
      <c r="AJ511" s="26"/>
      <c r="AK511" s="26"/>
      <c r="AL511" s="26"/>
    </row>
    <row r="512" customFormat="false" ht="14.25" hidden="false" customHeight="false" outlineLevel="0" collapsed="false"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26"/>
      <c r="AH512" s="26"/>
      <c r="AI512" s="26"/>
      <c r="AJ512" s="26"/>
      <c r="AK512" s="26"/>
      <c r="AL512" s="26"/>
    </row>
    <row r="513" customFormat="false" ht="14.25" hidden="false" customHeight="false" outlineLevel="0" collapsed="false"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26"/>
      <c r="AH513" s="26"/>
      <c r="AI513" s="26"/>
      <c r="AJ513" s="26"/>
      <c r="AK513" s="26"/>
      <c r="AL513" s="26"/>
    </row>
    <row r="514" customFormat="false" ht="14.25" hidden="false" customHeight="false" outlineLevel="0" collapsed="false"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26"/>
      <c r="AH514" s="26"/>
      <c r="AI514" s="26"/>
      <c r="AJ514" s="26"/>
      <c r="AK514" s="26"/>
      <c r="AL514" s="26"/>
    </row>
    <row r="515" customFormat="false" ht="14.25" hidden="false" customHeight="false" outlineLevel="0" collapsed="false"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26"/>
      <c r="AH515" s="26"/>
      <c r="AI515" s="26"/>
      <c r="AJ515" s="26"/>
      <c r="AK515" s="26"/>
      <c r="AL515" s="26"/>
    </row>
    <row r="516" customFormat="false" ht="14.25" hidden="false" customHeight="false" outlineLevel="0" collapsed="false"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26"/>
      <c r="AH516" s="26"/>
      <c r="AI516" s="26"/>
      <c r="AJ516" s="26"/>
      <c r="AK516" s="26"/>
      <c r="AL516" s="26"/>
    </row>
    <row r="517" customFormat="false" ht="14.25" hidden="false" customHeight="false" outlineLevel="0" collapsed="false"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26"/>
      <c r="AH517" s="26"/>
      <c r="AI517" s="26"/>
      <c r="AJ517" s="26"/>
      <c r="AK517" s="26"/>
      <c r="AL517" s="26"/>
    </row>
    <row r="518" customFormat="false" ht="14.25" hidden="false" customHeight="false" outlineLevel="0" collapsed="false"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26"/>
      <c r="AH518" s="26"/>
      <c r="AI518" s="26"/>
      <c r="AJ518" s="26"/>
      <c r="AK518" s="26"/>
      <c r="AL518" s="26"/>
    </row>
    <row r="519" customFormat="false" ht="14.25" hidden="false" customHeight="false" outlineLevel="0" collapsed="false"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26"/>
      <c r="AH519" s="26"/>
      <c r="AI519" s="26"/>
      <c r="AJ519" s="26"/>
      <c r="AK519" s="26"/>
      <c r="AL519" s="26"/>
    </row>
    <row r="520" customFormat="false" ht="14.25" hidden="false" customHeight="false" outlineLevel="0" collapsed="false"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26"/>
      <c r="AH520" s="26"/>
      <c r="AI520" s="26"/>
      <c r="AJ520" s="26"/>
      <c r="AK520" s="26"/>
      <c r="AL520" s="26"/>
    </row>
    <row r="521" customFormat="false" ht="14.25" hidden="false" customHeight="false" outlineLevel="0" collapsed="false"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26"/>
      <c r="AH521" s="26"/>
      <c r="AI521" s="26"/>
      <c r="AJ521" s="26"/>
      <c r="AK521" s="26"/>
      <c r="AL521" s="26"/>
    </row>
    <row r="522" customFormat="false" ht="14.25" hidden="false" customHeight="false" outlineLevel="0" collapsed="false"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26"/>
      <c r="AH522" s="26"/>
      <c r="AI522" s="26"/>
      <c r="AJ522" s="26"/>
      <c r="AK522" s="26"/>
      <c r="AL522" s="26"/>
    </row>
    <row r="523" customFormat="false" ht="14.25" hidden="false" customHeight="false" outlineLevel="0" collapsed="false"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26"/>
      <c r="AH523" s="26"/>
      <c r="AI523" s="26"/>
      <c r="AJ523" s="26"/>
      <c r="AK523" s="26"/>
      <c r="AL523" s="26"/>
    </row>
    <row r="524" customFormat="false" ht="14.25" hidden="false" customHeight="false" outlineLevel="0" collapsed="false"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26"/>
      <c r="AH524" s="26"/>
      <c r="AI524" s="26"/>
      <c r="AJ524" s="26"/>
      <c r="AK524" s="26"/>
      <c r="AL524" s="26"/>
    </row>
    <row r="525" customFormat="false" ht="14.25" hidden="false" customHeight="false" outlineLevel="0" collapsed="false"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26"/>
      <c r="AH525" s="26"/>
      <c r="AI525" s="26"/>
      <c r="AJ525" s="26"/>
      <c r="AK525" s="26"/>
      <c r="AL525" s="26"/>
    </row>
    <row r="526" customFormat="false" ht="14.25" hidden="false" customHeight="false" outlineLevel="0" collapsed="false"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26"/>
      <c r="AH526" s="26"/>
      <c r="AI526" s="26"/>
      <c r="AJ526" s="26"/>
      <c r="AK526" s="26"/>
      <c r="AL526" s="26"/>
    </row>
    <row r="527" customFormat="false" ht="14.25" hidden="false" customHeight="false" outlineLevel="0" collapsed="false"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26"/>
      <c r="AH527" s="26"/>
      <c r="AI527" s="26"/>
      <c r="AJ527" s="26"/>
      <c r="AK527" s="26"/>
      <c r="AL527" s="26"/>
    </row>
    <row r="528" customFormat="false" ht="14.25" hidden="false" customHeight="false" outlineLevel="0" collapsed="false"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26"/>
      <c r="AH528" s="26"/>
      <c r="AI528" s="26"/>
      <c r="AJ528" s="26"/>
      <c r="AK528" s="26"/>
      <c r="AL528" s="26"/>
    </row>
    <row r="529" customFormat="false" ht="14.25" hidden="false" customHeight="false" outlineLevel="0" collapsed="false"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26"/>
      <c r="AH529" s="26"/>
      <c r="AI529" s="26"/>
      <c r="AJ529" s="26"/>
      <c r="AK529" s="26"/>
      <c r="AL529" s="2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true" showRowColHeaders="true" showZeros="true" rightToLeft="false" tabSelected="false" showOutlineSymbols="true" defaultGridColor="true" view="normal" topLeftCell="A40" colorId="64" zoomScale="200" zoomScaleNormal="200" zoomScalePageLayoutView="100" workbookViewId="0">
      <selection pane="topLeft" activeCell="E65" activeCellId="0" sqref="E65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3" style="0" width="13.36"/>
    <col collapsed="false" customWidth="true" hidden="false" outlineLevel="0" max="7" min="7" style="0" width="13.36"/>
    <col collapsed="false" customWidth="true" hidden="false" outlineLevel="0" max="8" min="8" style="0" width="14.18"/>
  </cols>
  <sheetData>
    <row r="1" customFormat="false" ht="14.25" hidden="false" customHeight="false" outlineLevel="0" collapsed="false">
      <c r="A1" s="0" t="s">
        <v>47</v>
      </c>
      <c r="B1" s="0" t="s">
        <v>48</v>
      </c>
      <c r="C1" s="0" t="s">
        <v>49</v>
      </c>
      <c r="D1" s="0" t="s">
        <v>50</v>
      </c>
      <c r="E1" s="0" t="s">
        <v>51</v>
      </c>
      <c r="G1" s="0" t="s">
        <v>52</v>
      </c>
      <c r="H1" s="0" t="s">
        <v>49</v>
      </c>
      <c r="I1" s="0" t="n">
        <v>9.2149</v>
      </c>
    </row>
    <row r="2" customFormat="false" ht="14.25" hidden="false" customHeight="false" outlineLevel="0" collapsed="false">
      <c r="A2" s="0" t="n">
        <v>1</v>
      </c>
      <c r="B2" s="0" t="n">
        <v>5</v>
      </c>
      <c r="C2" s="0" t="n">
        <v>9.2015</v>
      </c>
      <c r="D2" s="33" t="n">
        <f aca="false">$I$1-C2</f>
        <v>0.0134000000000007</v>
      </c>
      <c r="E2" s="0" t="s">
        <v>53</v>
      </c>
      <c r="F2" s="34" t="n">
        <v>0.642361111111111</v>
      </c>
    </row>
    <row r="3" customFormat="false" ht="14.25" hidden="false" customHeight="false" outlineLevel="0" collapsed="false">
      <c r="A3" s="0" t="n">
        <v>2</v>
      </c>
      <c r="B3" s="0" t="n">
        <v>1</v>
      </c>
      <c r="C3" s="0" t="n">
        <v>9.2176</v>
      </c>
      <c r="D3" s="33" t="n">
        <f aca="false">$I$1-C3</f>
        <v>-0.00269999999999904</v>
      </c>
      <c r="E3" s="0" t="s">
        <v>53</v>
      </c>
      <c r="F3" s="34" t="n">
        <v>0.760416666666667</v>
      </c>
    </row>
    <row r="4" customFormat="false" ht="14.25" hidden="false" customHeight="false" outlineLevel="0" collapsed="false">
      <c r="A4" s="0" t="n">
        <v>3</v>
      </c>
      <c r="B4" s="0" t="n">
        <v>2</v>
      </c>
      <c r="C4" s="0" t="n">
        <v>9.2133</v>
      </c>
      <c r="D4" s="33" t="n">
        <f aca="false">$I$1-C4</f>
        <v>0.00159999999999982</v>
      </c>
      <c r="E4" s="0" t="s">
        <v>53</v>
      </c>
      <c r="F4" s="34" t="n">
        <v>0.875</v>
      </c>
    </row>
    <row r="5" customFormat="false" ht="14.25" hidden="false" customHeight="false" outlineLevel="0" collapsed="false">
      <c r="A5" s="0" t="n">
        <v>4</v>
      </c>
      <c r="B5" s="0" t="n">
        <v>3</v>
      </c>
      <c r="C5" s="0" t="n">
        <v>9.2299</v>
      </c>
      <c r="D5" s="33" t="n">
        <f aca="false">$I$1-C5</f>
        <v>-0.0150000000000006</v>
      </c>
      <c r="E5" s="0" t="s">
        <v>54</v>
      </c>
      <c r="F5" s="34" t="n">
        <v>0.378472222222222</v>
      </c>
    </row>
    <row r="6" customFormat="false" ht="14.25" hidden="false" customHeight="false" outlineLevel="0" collapsed="false">
      <c r="A6" s="0" t="n">
        <v>5</v>
      </c>
      <c r="B6" s="0" t="n">
        <v>4</v>
      </c>
      <c r="C6" s="0" t="n">
        <v>9.1656</v>
      </c>
      <c r="D6" s="33" t="n">
        <f aca="false">$I$1-C6</f>
        <v>0.0493000000000006</v>
      </c>
      <c r="E6" s="0" t="s">
        <v>55</v>
      </c>
      <c r="F6" s="34" t="n">
        <v>0.442361111111111</v>
      </c>
    </row>
    <row r="7" customFormat="false" ht="14.25" hidden="false" customHeight="false" outlineLevel="0" collapsed="false">
      <c r="A7" s="0" t="s">
        <v>56</v>
      </c>
      <c r="B7" s="0" t="n">
        <v>4</v>
      </c>
      <c r="C7" s="0" t="n">
        <v>9.2059</v>
      </c>
      <c r="D7" s="33" t="n">
        <f aca="false">$I$1-C7</f>
        <v>0.00900000000000034</v>
      </c>
      <c r="E7" s="0" t="s">
        <v>54</v>
      </c>
      <c r="F7" s="34" t="n">
        <v>0.509722222222222</v>
      </c>
      <c r="G7" s="0" t="s">
        <v>57</v>
      </c>
      <c r="M7" s="33"/>
    </row>
    <row r="8" customFormat="false" ht="14.25" hidden="false" customHeight="false" outlineLevel="0" collapsed="false">
      <c r="A8" s="0" t="n">
        <v>6</v>
      </c>
      <c r="B8" s="0" t="n">
        <v>4</v>
      </c>
      <c r="C8" s="0" t="n">
        <v>9.1879</v>
      </c>
      <c r="D8" s="33" t="n">
        <f aca="false">$I$1-C8</f>
        <v>0.0269999999999992</v>
      </c>
      <c r="E8" s="0" t="s">
        <v>54</v>
      </c>
      <c r="F8" s="34" t="n">
        <v>0.5875</v>
      </c>
    </row>
    <row r="9" customFormat="false" ht="14.25" hidden="false" customHeight="false" outlineLevel="0" collapsed="false">
      <c r="A9" s="0" t="s">
        <v>56</v>
      </c>
      <c r="B9" s="0" t="n">
        <v>4</v>
      </c>
      <c r="C9" s="0" t="s">
        <v>58</v>
      </c>
      <c r="G9" s="35" t="s">
        <v>59</v>
      </c>
    </row>
    <row r="10" customFormat="false" ht="14.25" hidden="false" customHeight="false" outlineLevel="0" collapsed="false">
      <c r="A10" s="0" t="s">
        <v>60</v>
      </c>
      <c r="C10" s="0" t="s">
        <v>61</v>
      </c>
      <c r="K10" s="0" t="n">
        <v>19.01</v>
      </c>
      <c r="L10" s="0" t="s">
        <v>62</v>
      </c>
    </row>
    <row r="11" customFormat="false" ht="14.25" hidden="false" customHeight="false" outlineLevel="0" collapsed="false">
      <c r="A11" s="0" t="n">
        <v>7</v>
      </c>
      <c r="B11" s="0" t="n">
        <v>5</v>
      </c>
      <c r="C11" s="0" t="n">
        <v>9.2127</v>
      </c>
      <c r="D11" s="33" t="n">
        <f aca="false">$I$1-C11</f>
        <v>0.0022000000000002</v>
      </c>
      <c r="E11" s="0" t="s">
        <v>54</v>
      </c>
      <c r="F11" s="34" t="n">
        <v>0.851388888888889</v>
      </c>
      <c r="K11" s="0" t="s">
        <v>63</v>
      </c>
      <c r="L11" s="0" t="n">
        <v>9.1835</v>
      </c>
      <c r="M11" s="33" t="n">
        <f aca="false">$I$1-L11</f>
        <v>0.0313999999999997</v>
      </c>
    </row>
    <row r="12" customFormat="false" ht="14.25" hidden="false" customHeight="false" outlineLevel="0" collapsed="false">
      <c r="A12" s="0" t="n">
        <v>8</v>
      </c>
      <c r="B12" s="0" t="n">
        <v>1</v>
      </c>
      <c r="C12" s="0" t="n">
        <v>9.1865</v>
      </c>
      <c r="D12" s="33" t="n">
        <f aca="false">$I$1-C12</f>
        <v>0.0283999999999995</v>
      </c>
      <c r="E12" s="0" t="s">
        <v>64</v>
      </c>
      <c r="F12" s="34" t="n">
        <v>0.338888888888889</v>
      </c>
      <c r="K12" s="0" t="s">
        <v>65</v>
      </c>
      <c r="L12" s="0" t="n">
        <v>9.2368</v>
      </c>
      <c r="M12" s="33" t="n">
        <f aca="false">$I$1-L12</f>
        <v>-0.0219000000000005</v>
      </c>
    </row>
    <row r="13" customFormat="false" ht="14.25" hidden="false" customHeight="false" outlineLevel="0" collapsed="false">
      <c r="A13" s="0" t="s">
        <v>56</v>
      </c>
      <c r="B13" s="0" t="n">
        <v>1</v>
      </c>
      <c r="C13" s="0" t="n">
        <v>9.2188</v>
      </c>
      <c r="D13" s="33" t="n">
        <f aca="false">$I$1-C13</f>
        <v>-0.00389999999999979</v>
      </c>
      <c r="E13" s="0" t="s">
        <v>64</v>
      </c>
      <c r="F13" s="34" t="n">
        <v>0.402777777777778</v>
      </c>
      <c r="G13" s="0" t="s">
        <v>66</v>
      </c>
      <c r="K13" s="0" t="s">
        <v>67</v>
      </c>
      <c r="L13" s="0" t="n">
        <v>9.2228</v>
      </c>
      <c r="M13" s="33" t="n">
        <f aca="false">$I$1-L13</f>
        <v>-0.00789999999999935</v>
      </c>
    </row>
    <row r="14" customFormat="false" ht="14.25" hidden="false" customHeight="false" outlineLevel="0" collapsed="false">
      <c r="A14" s="0" t="n">
        <v>9</v>
      </c>
      <c r="B14" s="0" t="n">
        <v>1</v>
      </c>
      <c r="C14" s="0" t="n">
        <v>9.2164</v>
      </c>
      <c r="D14" s="33" t="n">
        <f aca="false">$I$1-C14</f>
        <v>-0.00150000000000006</v>
      </c>
      <c r="E14" s="0" t="s">
        <v>64</v>
      </c>
      <c r="F14" s="34" t="n">
        <v>0.468055555555556</v>
      </c>
      <c r="K14" s="0" t="s">
        <v>68</v>
      </c>
      <c r="L14" s="0" t="n">
        <v>9.2215</v>
      </c>
      <c r="M14" s="33" t="n">
        <f aca="false">$I$1-L14</f>
        <v>-0.00660000000000061</v>
      </c>
    </row>
    <row r="15" customFormat="false" ht="14.25" hidden="false" customHeight="false" outlineLevel="0" collapsed="false">
      <c r="A15" s="0" t="s">
        <v>56</v>
      </c>
      <c r="B15" s="0" t="n">
        <v>4</v>
      </c>
      <c r="C15" s="0" t="n">
        <v>9.2189</v>
      </c>
      <c r="D15" s="33" t="n">
        <f aca="false">$I$1-C15</f>
        <v>-0.00399999999999956</v>
      </c>
      <c r="E15" s="0" t="s">
        <v>64</v>
      </c>
      <c r="F15" s="34" t="n">
        <v>0.520833333333333</v>
      </c>
      <c r="G15" s="0" t="s">
        <v>69</v>
      </c>
    </row>
    <row r="16" customFormat="false" ht="14.25" hidden="false" customHeight="false" outlineLevel="0" collapsed="false">
      <c r="A16" s="0" t="n">
        <v>10</v>
      </c>
      <c r="B16" s="0" t="n">
        <v>2</v>
      </c>
      <c r="C16" s="0" t="n">
        <v>9.2397</v>
      </c>
      <c r="D16" s="33" t="n">
        <f aca="false">$I$1-C16</f>
        <v>-0.024799999999999</v>
      </c>
      <c r="E16" s="0" t="s">
        <v>64</v>
      </c>
      <c r="F16" s="34" t="n">
        <v>0.532638888888889</v>
      </c>
      <c r="K16" s="0" t="n">
        <v>20.01</v>
      </c>
      <c r="L16" s="0" t="s">
        <v>70</v>
      </c>
    </row>
    <row r="17" customFormat="false" ht="14.25" hidden="false" customHeight="false" outlineLevel="0" collapsed="false">
      <c r="A17" s="0" t="s">
        <v>56</v>
      </c>
      <c r="B17" s="0" t="n">
        <v>2</v>
      </c>
      <c r="C17" s="0" t="n">
        <v>9.2111</v>
      </c>
      <c r="D17" s="33" t="n">
        <f aca="false">$I$1-C17</f>
        <v>0.00380000000000003</v>
      </c>
      <c r="E17" s="0" t="s">
        <v>64</v>
      </c>
      <c r="F17" s="34" t="n">
        <v>0.590277777777778</v>
      </c>
      <c r="G17" s="0" t="s">
        <v>66</v>
      </c>
      <c r="K17" s="0" t="s">
        <v>63</v>
      </c>
      <c r="L17" s="0" t="n">
        <v>9.2189</v>
      </c>
      <c r="M17" s="33" t="n">
        <f aca="false">$I$1-L17</f>
        <v>-0.00399999999999956</v>
      </c>
    </row>
    <row r="18" customFormat="false" ht="14.25" hidden="false" customHeight="false" outlineLevel="0" collapsed="false">
      <c r="A18" s="0" t="n">
        <v>11</v>
      </c>
      <c r="B18" s="0" t="n">
        <v>3</v>
      </c>
      <c r="C18" s="0" t="n">
        <v>9.2187</v>
      </c>
      <c r="D18" s="33" t="n">
        <f aca="false">$I$1-C18</f>
        <v>-0.00380000000000003</v>
      </c>
      <c r="E18" s="0" t="s">
        <v>64</v>
      </c>
      <c r="F18" s="34" t="n">
        <v>0.652083333333333</v>
      </c>
      <c r="L18" s="0" t="n">
        <v>9.2224</v>
      </c>
      <c r="M18" s="33" t="n">
        <f aca="false">$I$1-L18</f>
        <v>-0.00750000000000028</v>
      </c>
    </row>
    <row r="19" customFormat="false" ht="14.25" hidden="false" customHeight="false" outlineLevel="0" collapsed="false">
      <c r="A19" s="0" t="n">
        <v>12</v>
      </c>
      <c r="B19" s="0" t="n">
        <v>5</v>
      </c>
      <c r="C19" s="0" t="n">
        <v>9.2231</v>
      </c>
      <c r="D19" s="33" t="n">
        <f aca="false">$I$1-C19</f>
        <v>-0.00820000000000043</v>
      </c>
      <c r="E19" s="0" t="s">
        <v>64</v>
      </c>
      <c r="F19" s="34" t="n">
        <v>0.701388888888889</v>
      </c>
      <c r="G19" s="0" t="s">
        <v>71</v>
      </c>
      <c r="L19" s="0" t="n">
        <v>9.2199</v>
      </c>
      <c r="M19" s="33" t="n">
        <f aca="false">$I$1-L19</f>
        <v>-0.00500000000000078</v>
      </c>
    </row>
    <row r="20" customFormat="false" ht="14.25" hidden="false" customHeight="false" outlineLevel="0" collapsed="false">
      <c r="A20" s="0" t="n">
        <v>13</v>
      </c>
      <c r="B20" s="0" t="n">
        <v>1</v>
      </c>
      <c r="C20" s="0" t="n">
        <v>9.2205</v>
      </c>
      <c r="D20" s="33" t="n">
        <f aca="false">$I$1-C20</f>
        <v>-0.00559999999999938</v>
      </c>
      <c r="E20" s="0" t="s">
        <v>64</v>
      </c>
      <c r="F20" s="34" t="n">
        <v>0.749305555555556</v>
      </c>
      <c r="L20" s="0" t="n">
        <v>9.2179</v>
      </c>
      <c r="M20" s="33" t="n">
        <f aca="false">$I$1-L20</f>
        <v>-0.00300000000000011</v>
      </c>
    </row>
    <row r="21" customFormat="false" ht="14.25" hidden="false" customHeight="false" outlineLevel="0" collapsed="false">
      <c r="A21" s="0" t="n">
        <v>14</v>
      </c>
      <c r="B21" s="0" t="n">
        <v>2</v>
      </c>
      <c r="C21" s="0" t="n">
        <v>9.2141</v>
      </c>
      <c r="D21" s="33" t="n">
        <f aca="false">$I$1-C21</f>
        <v>0.000799999999999912</v>
      </c>
      <c r="E21" s="0" t="s">
        <v>64</v>
      </c>
      <c r="F21" s="34" t="n">
        <v>0.790277777777778</v>
      </c>
      <c r="L21" s="0" t="n">
        <v>9.2187</v>
      </c>
      <c r="M21" s="33" t="n">
        <f aca="false">$I$1-L21</f>
        <v>-0.00380000000000003</v>
      </c>
    </row>
    <row r="22" customFormat="false" ht="14.25" hidden="false" customHeight="false" outlineLevel="0" collapsed="false">
      <c r="A22" s="0" t="n">
        <v>15</v>
      </c>
      <c r="B22" s="0" t="n">
        <v>3</v>
      </c>
      <c r="C22" s="0" t="n">
        <v>9.1812</v>
      </c>
      <c r="D22" s="33" t="n">
        <f aca="false">$I$1-C22</f>
        <v>0.0336999999999996</v>
      </c>
      <c r="E22" s="0" t="s">
        <v>64</v>
      </c>
      <c r="F22" s="34" t="n">
        <v>0.833333333333333</v>
      </c>
      <c r="L22" s="0" t="s">
        <v>72</v>
      </c>
    </row>
    <row r="23" customFormat="false" ht="14.25" hidden="false" customHeight="false" outlineLevel="0" collapsed="false">
      <c r="A23" s="0" t="n">
        <v>16</v>
      </c>
      <c r="B23" s="0" t="n">
        <v>5</v>
      </c>
      <c r="C23" s="0" t="n">
        <v>9.2207</v>
      </c>
      <c r="D23" s="33" t="n">
        <f aca="false">$I$1-C23</f>
        <v>-0.00580000000000069</v>
      </c>
      <c r="E23" s="0" t="s">
        <v>64</v>
      </c>
      <c r="F23" s="34" t="n">
        <v>0.875</v>
      </c>
      <c r="K23" s="0" t="s">
        <v>73</v>
      </c>
      <c r="L23" s="0" t="n">
        <v>9.2225</v>
      </c>
      <c r="M23" s="33" t="n">
        <f aca="false">$I$1-L23</f>
        <v>-0.00760000000000005</v>
      </c>
    </row>
    <row r="24" customFormat="false" ht="14.25" hidden="false" customHeight="false" outlineLevel="0" collapsed="false">
      <c r="A24" s="0" t="n">
        <v>17</v>
      </c>
      <c r="B24" s="0" t="n">
        <v>1</v>
      </c>
      <c r="C24" s="0" t="n">
        <v>9.2045</v>
      </c>
      <c r="D24" s="33" t="n">
        <f aca="false">$I$1-C24</f>
        <v>0.0104000000000006</v>
      </c>
      <c r="E24" s="0" t="s">
        <v>74</v>
      </c>
      <c r="F24" s="34" t="n">
        <v>0.359027777777778</v>
      </c>
      <c r="L24" s="0" t="n">
        <v>9.2213</v>
      </c>
      <c r="M24" s="33" t="n">
        <f aca="false">$I$1-L24</f>
        <v>-0.0063999999999993</v>
      </c>
    </row>
    <row r="25" customFormat="false" ht="14.25" hidden="false" customHeight="false" outlineLevel="0" collapsed="false">
      <c r="A25" s="0" t="n">
        <v>18</v>
      </c>
      <c r="B25" s="0" t="n">
        <v>2</v>
      </c>
      <c r="C25" s="0" t="n">
        <v>9.2031</v>
      </c>
      <c r="D25" s="33" t="n">
        <f aca="false">$I$1-C25</f>
        <v>0.0118000000000009</v>
      </c>
      <c r="E25" s="0" t="s">
        <v>74</v>
      </c>
      <c r="F25" s="34" t="n">
        <v>0.402083333333333</v>
      </c>
      <c r="L25" s="0" t="n">
        <v>9.2135</v>
      </c>
      <c r="M25" s="33" t="n">
        <f aca="false">$I$1-L25</f>
        <v>0.00140000000000029</v>
      </c>
    </row>
    <row r="26" customFormat="false" ht="14.25" hidden="false" customHeight="false" outlineLevel="0" collapsed="false">
      <c r="A26" s="0" t="n">
        <v>19</v>
      </c>
      <c r="B26" s="0" t="n">
        <v>3</v>
      </c>
      <c r="C26" s="0" t="n">
        <v>9.2131</v>
      </c>
      <c r="D26" s="33" t="n">
        <f aca="false">$I$1-C26</f>
        <v>0.00179999999999936</v>
      </c>
      <c r="E26" s="0" t="s">
        <v>74</v>
      </c>
      <c r="F26" s="34" t="n">
        <v>0.484722222222222</v>
      </c>
      <c r="L26" s="0" t="n">
        <v>9.2189</v>
      </c>
      <c r="M26" s="33" t="n">
        <f aca="false">$I$1-L26</f>
        <v>-0.00399999999999956</v>
      </c>
    </row>
    <row r="27" customFormat="false" ht="14.25" hidden="false" customHeight="false" outlineLevel="0" collapsed="false">
      <c r="A27" s="0" t="n">
        <v>20</v>
      </c>
      <c r="B27" s="0" t="n">
        <v>5</v>
      </c>
      <c r="C27" s="0" t="n">
        <v>9.215</v>
      </c>
      <c r="D27" s="33" t="n">
        <f aca="false">$I$1-C27</f>
        <v>-9.99999999997669E-005</v>
      </c>
      <c r="E27" s="0" t="s">
        <v>74</v>
      </c>
      <c r="F27" s="34" t="n">
        <v>0.633333333333333</v>
      </c>
      <c r="L27" s="0" t="n">
        <v>9.2243</v>
      </c>
      <c r="M27" s="33" t="n">
        <f aca="false">$I$1-L27</f>
        <v>-0.00939999999999941</v>
      </c>
    </row>
    <row r="28" customFormat="false" ht="14.25" hidden="false" customHeight="false" outlineLevel="0" collapsed="false">
      <c r="A28" s="0" t="n">
        <v>21</v>
      </c>
      <c r="B28" s="0" t="n">
        <v>1</v>
      </c>
      <c r="C28" s="0" t="n">
        <v>9.2215</v>
      </c>
      <c r="D28" s="33" t="n">
        <f aca="false">$I$1-C28</f>
        <v>-0.00660000000000061</v>
      </c>
      <c r="E28" s="0" t="s">
        <v>74</v>
      </c>
      <c r="F28" s="34" t="n">
        <v>0.715277777777778</v>
      </c>
    </row>
    <row r="29" customFormat="false" ht="14.25" hidden="false" customHeight="false" outlineLevel="0" collapsed="false">
      <c r="A29" s="0" t="n">
        <v>22</v>
      </c>
      <c r="B29" s="0" t="n">
        <v>2</v>
      </c>
      <c r="C29" s="0" t="n">
        <v>9.2305</v>
      </c>
      <c r="D29" s="33" t="n">
        <f aca="false">$I$1-C29</f>
        <v>-0.0155999999999992</v>
      </c>
      <c r="E29" s="0" t="s">
        <v>74</v>
      </c>
      <c r="F29" s="34" t="n">
        <v>0.757638888888889</v>
      </c>
      <c r="M29" s="33"/>
    </row>
    <row r="30" s="36" customFormat="true" ht="14.25" hidden="false" customHeight="false" outlineLevel="0" collapsed="false">
      <c r="A30" s="36" t="n">
        <v>23</v>
      </c>
      <c r="B30" s="36" t="n">
        <v>3</v>
      </c>
      <c r="C30" s="36" t="n">
        <v>9.2051</v>
      </c>
      <c r="D30" s="33" t="n">
        <f aca="false">$I$1-C30</f>
        <v>0.00980000000000025</v>
      </c>
      <c r="E30" s="36" t="s">
        <v>74</v>
      </c>
      <c r="F30" s="37" t="n">
        <v>0.795833333333333</v>
      </c>
      <c r="M30" s="38"/>
    </row>
    <row r="31" s="36" customFormat="true" ht="14.25" hidden="false" customHeight="false" outlineLevel="0" collapsed="false">
      <c r="A31" s="36" t="n">
        <v>24</v>
      </c>
      <c r="B31" s="36" t="n">
        <v>5</v>
      </c>
      <c r="C31" s="36" t="n">
        <v>9.2266</v>
      </c>
      <c r="D31" s="38" t="n">
        <f aca="false">$I$1-C31</f>
        <v>-0.0116999999999994</v>
      </c>
      <c r="E31" s="36" t="s">
        <v>74</v>
      </c>
      <c r="F31" s="37" t="n">
        <v>0.858333333333333</v>
      </c>
      <c r="M31" s="38"/>
    </row>
    <row r="32" customFormat="false" ht="14.25" hidden="false" customHeight="false" outlineLevel="0" collapsed="false">
      <c r="A32" s="36" t="n">
        <v>25</v>
      </c>
      <c r="B32" s="36" t="n">
        <v>1</v>
      </c>
      <c r="C32" s="36" t="n">
        <v>9.2237</v>
      </c>
      <c r="D32" s="38" t="n">
        <f aca="false">$I$1-C32</f>
        <v>-0.00879999999999903</v>
      </c>
      <c r="E32" s="36" t="s">
        <v>75</v>
      </c>
      <c r="F32" s="34" t="n">
        <v>0.355555555555556</v>
      </c>
      <c r="M32" s="33"/>
    </row>
    <row r="33" customFormat="false" ht="14.25" hidden="false" customHeight="false" outlineLevel="0" collapsed="false">
      <c r="A33" s="36" t="n">
        <v>26</v>
      </c>
      <c r="B33" s="36" t="n">
        <v>2</v>
      </c>
      <c r="C33" s="36" t="n">
        <v>9.2153</v>
      </c>
      <c r="D33" s="38" t="n">
        <f aca="false">$I$1-C33</f>
        <v>-0.000399999999999068</v>
      </c>
      <c r="E33" s="36" t="s">
        <v>75</v>
      </c>
      <c r="F33" s="34" t="n">
        <v>0.511805555555556</v>
      </c>
      <c r="M33" s="33"/>
    </row>
    <row r="34" customFormat="false" ht="14.25" hidden="false" customHeight="false" outlineLevel="0" collapsed="false">
      <c r="A34" s="36" t="n">
        <v>27</v>
      </c>
      <c r="B34" s="36" t="n">
        <v>3</v>
      </c>
      <c r="C34" s="36" t="n">
        <v>9.226</v>
      </c>
      <c r="D34" s="33" t="n">
        <f aca="false">$I$1-C34</f>
        <v>-0.0111000000000008</v>
      </c>
      <c r="E34" s="36" t="s">
        <v>75</v>
      </c>
      <c r="F34" s="34" t="n">
        <v>0.653472222222222</v>
      </c>
    </row>
    <row r="35" customFormat="false" ht="14.25" hidden="false" customHeight="false" outlineLevel="0" collapsed="false">
      <c r="A35" s="36" t="n">
        <v>28</v>
      </c>
      <c r="B35" s="36" t="n">
        <v>5</v>
      </c>
      <c r="C35" s="36" t="n">
        <v>9.2235</v>
      </c>
      <c r="D35" s="33" t="n">
        <f aca="false">$I$1-C35</f>
        <v>-0.0085999999999995</v>
      </c>
      <c r="E35" s="36" t="s">
        <v>75</v>
      </c>
      <c r="F35" s="34" t="n">
        <v>0.757638888888889</v>
      </c>
    </row>
    <row r="36" customFormat="false" ht="14.25" hidden="false" customHeight="false" outlineLevel="0" collapsed="false">
      <c r="A36" s="36" t="n">
        <v>29</v>
      </c>
      <c r="B36" s="36" t="n">
        <v>1</v>
      </c>
      <c r="C36" s="36" t="n">
        <v>9.2304</v>
      </c>
      <c r="D36" s="33" t="n">
        <f aca="false">$I$1-C36</f>
        <v>-0.0154999999999994</v>
      </c>
      <c r="E36" s="36" t="s">
        <v>75</v>
      </c>
      <c r="F36" s="34" t="n">
        <v>0.809027777777778</v>
      </c>
    </row>
    <row r="37" customFormat="false" ht="14.25" hidden="false" customHeight="false" outlineLevel="0" collapsed="false">
      <c r="A37" s="36" t="n">
        <v>30</v>
      </c>
      <c r="B37" s="36" t="n">
        <v>2</v>
      </c>
      <c r="C37" s="36" t="n">
        <v>9.1928</v>
      </c>
      <c r="D37" s="33" t="n">
        <f aca="false">$I$1-C37</f>
        <v>0.0221</v>
      </c>
      <c r="E37" s="36" t="s">
        <v>75</v>
      </c>
      <c r="F37" s="34" t="n">
        <v>0.868055555555556</v>
      </c>
    </row>
    <row r="38" customFormat="false" ht="14.25" hidden="false" customHeight="false" outlineLevel="0" collapsed="false">
      <c r="A38" s="36" t="n">
        <v>31</v>
      </c>
      <c r="B38" s="36" t="n">
        <v>3</v>
      </c>
      <c r="C38" s="36" t="n">
        <v>9.2201</v>
      </c>
      <c r="D38" s="33" t="n">
        <f aca="false">$I$1-C38</f>
        <v>-0.00520000000000032</v>
      </c>
      <c r="E38" s="36" t="s">
        <v>75</v>
      </c>
      <c r="F38" s="34" t="n">
        <v>0.906944444444444</v>
      </c>
    </row>
    <row r="39" customFormat="false" ht="14.25" hidden="false" customHeight="false" outlineLevel="0" collapsed="false">
      <c r="A39" s="36" t="n">
        <v>32</v>
      </c>
      <c r="B39" s="36" t="n">
        <v>5</v>
      </c>
      <c r="C39" s="36" t="n">
        <v>9.2217</v>
      </c>
      <c r="D39" s="33" t="n">
        <f aca="false">$I$1-C39</f>
        <v>-0.00680000000000014</v>
      </c>
      <c r="E39" s="36" t="s">
        <v>76</v>
      </c>
      <c r="F39" s="34" t="n">
        <v>0.360416666666667</v>
      </c>
    </row>
    <row r="40" customFormat="false" ht="14.25" hidden="false" customHeight="false" outlineLevel="0" collapsed="false">
      <c r="A40" s="36" t="n">
        <v>33</v>
      </c>
      <c r="B40" s="36" t="n">
        <v>1</v>
      </c>
      <c r="C40" s="36" t="n">
        <v>9.2265</v>
      </c>
      <c r="D40" s="33" t="n">
        <f aca="false">$I$1-C40</f>
        <v>-0.0115999999999996</v>
      </c>
      <c r="E40" s="36" t="s">
        <v>76</v>
      </c>
      <c r="F40" s="34" t="n">
        <v>0.481944444444444</v>
      </c>
    </row>
    <row r="41" customFormat="false" ht="14.25" hidden="false" customHeight="false" outlineLevel="0" collapsed="false">
      <c r="A41" s="36" t="n">
        <v>34</v>
      </c>
      <c r="B41" s="36" t="n">
        <v>2</v>
      </c>
      <c r="C41" s="36" t="n">
        <v>9.2164</v>
      </c>
      <c r="D41" s="33" t="n">
        <f aca="false">$I$1-C41</f>
        <v>-0.00150000000000006</v>
      </c>
      <c r="E41" s="36" t="s">
        <v>76</v>
      </c>
      <c r="F41" s="34" t="n">
        <v>0.516666666666667</v>
      </c>
    </row>
    <row r="42" customFormat="false" ht="14.25" hidden="false" customHeight="false" outlineLevel="0" collapsed="false">
      <c r="A42" s="36" t="n">
        <v>35</v>
      </c>
      <c r="B42" s="36" t="n">
        <v>3</v>
      </c>
      <c r="C42" s="36" t="n">
        <v>9.1984</v>
      </c>
      <c r="D42" s="33" t="n">
        <f aca="false">$I$1-C42</f>
        <v>0.0165000000000006</v>
      </c>
      <c r="E42" s="36" t="s">
        <v>76</v>
      </c>
      <c r="F42" s="34" t="n">
        <v>0.664583333333333</v>
      </c>
    </row>
    <row r="43" customFormat="false" ht="14.25" hidden="false" customHeight="false" outlineLevel="0" collapsed="false">
      <c r="A43" s="36" t="n">
        <v>36</v>
      </c>
      <c r="B43" s="36" t="n">
        <v>5</v>
      </c>
      <c r="C43" s="36" t="n">
        <v>9.2076</v>
      </c>
      <c r="D43" s="33" t="n">
        <f aca="false">$I$1-C43</f>
        <v>0.00730000000000075</v>
      </c>
      <c r="E43" s="36" t="s">
        <v>76</v>
      </c>
      <c r="F43" s="34" t="n">
        <v>0.770833333333333</v>
      </c>
    </row>
    <row r="44" customFormat="false" ht="14.25" hidden="false" customHeight="false" outlineLevel="0" collapsed="false">
      <c r="A44" s="36" t="n">
        <v>37</v>
      </c>
      <c r="B44" s="36" t="n">
        <v>1</v>
      </c>
      <c r="C44" s="36" t="n">
        <v>9.2242</v>
      </c>
      <c r="D44" s="33" t="n">
        <f aca="false">$I$1-C44</f>
        <v>-0.00929999999999964</v>
      </c>
      <c r="E44" s="36" t="s">
        <v>76</v>
      </c>
      <c r="F44" s="34" t="n">
        <v>0.809722222222222</v>
      </c>
    </row>
    <row r="45" customFormat="false" ht="14.25" hidden="false" customHeight="false" outlineLevel="0" collapsed="false">
      <c r="A45" s="36" t="n">
        <v>38</v>
      </c>
      <c r="B45" s="36" t="n">
        <v>2</v>
      </c>
      <c r="C45" s="36" t="n">
        <v>9.2096</v>
      </c>
      <c r="D45" s="33" t="n">
        <f aca="false">$I$1-C45</f>
        <v>0.00530000000000008</v>
      </c>
      <c r="E45" s="36" t="s">
        <v>76</v>
      </c>
      <c r="F45" s="34" t="n">
        <v>0.820833333333333</v>
      </c>
    </row>
    <row r="46" customFormat="false" ht="14.25" hidden="false" customHeight="false" outlineLevel="0" collapsed="false">
      <c r="A46" s="36" t="n">
        <v>39</v>
      </c>
      <c r="B46" s="36" t="n">
        <v>3</v>
      </c>
      <c r="C46" s="36" t="n">
        <v>9.2056</v>
      </c>
      <c r="D46" s="33" t="n">
        <f aca="false">$I$1-C46</f>
        <v>0.00929999999999964</v>
      </c>
      <c r="E46" s="36" t="s">
        <v>77</v>
      </c>
      <c r="F46" s="34" t="n">
        <v>0.401388888888889</v>
      </c>
    </row>
    <row r="47" customFormat="false" ht="14.25" hidden="false" customHeight="false" outlineLevel="0" collapsed="false">
      <c r="A47" s="36" t="n">
        <v>40</v>
      </c>
      <c r="B47" s="36" t="n">
        <v>5</v>
      </c>
      <c r="C47" s="36" t="n">
        <v>9.2176</v>
      </c>
      <c r="D47" s="33" t="n">
        <f aca="false">$I$1-C47</f>
        <v>-0.00269999999999904</v>
      </c>
      <c r="E47" s="36" t="s">
        <v>77</v>
      </c>
      <c r="F47" s="34" t="n">
        <v>0.4375</v>
      </c>
    </row>
    <row r="48" customFormat="false" ht="14.25" hidden="false" customHeight="false" outlineLevel="0" collapsed="false">
      <c r="A48" s="36" t="n">
        <v>41</v>
      </c>
      <c r="B48" s="36" t="n">
        <v>1</v>
      </c>
      <c r="C48" s="36" t="n">
        <v>9.2274</v>
      </c>
      <c r="D48" s="33" t="n">
        <f aca="false">$I$1-C48</f>
        <v>-0.0124999999999993</v>
      </c>
      <c r="E48" s="36" t="s">
        <v>77</v>
      </c>
      <c r="F48" s="34" t="n">
        <v>0.475</v>
      </c>
    </row>
    <row r="49" customFormat="false" ht="14.25" hidden="false" customHeight="false" outlineLevel="0" collapsed="false">
      <c r="A49" s="36" t="n">
        <v>42</v>
      </c>
      <c r="B49" s="36" t="n">
        <v>2</v>
      </c>
      <c r="C49" s="36" t="n">
        <v>9.1992</v>
      </c>
      <c r="D49" s="33" t="n">
        <f aca="false">$I$1-C49</f>
        <v>0.0157000000000007</v>
      </c>
      <c r="E49" s="36" t="s">
        <v>77</v>
      </c>
      <c r="F49" s="34" t="n">
        <v>0.509722222222222</v>
      </c>
    </row>
    <row r="50" customFormat="false" ht="14.25" hidden="false" customHeight="false" outlineLevel="0" collapsed="false">
      <c r="A50" s="36" t="n">
        <v>43</v>
      </c>
      <c r="B50" s="36" t="n">
        <v>3</v>
      </c>
      <c r="C50" s="36" t="n">
        <v>9.2077</v>
      </c>
      <c r="D50" s="33" t="n">
        <f aca="false">$I$1-C50</f>
        <v>0.00719999999999921</v>
      </c>
      <c r="E50" s="36" t="s">
        <v>77</v>
      </c>
      <c r="F50" s="34" t="n">
        <v>0.55625</v>
      </c>
    </row>
    <row r="51" customFormat="false" ht="14.25" hidden="false" customHeight="false" outlineLevel="0" collapsed="false">
      <c r="A51" s="36" t="n">
        <v>44</v>
      </c>
      <c r="B51" s="36" t="n">
        <v>5</v>
      </c>
      <c r="C51" s="36" t="n">
        <v>9.2193</v>
      </c>
      <c r="D51" s="33" t="n">
        <f aca="false">$I$1-C51</f>
        <v>-0.0044000000000004</v>
      </c>
      <c r="E51" s="36" t="s">
        <v>77</v>
      </c>
      <c r="F51" s="34" t="n">
        <v>0.635416666666667</v>
      </c>
    </row>
    <row r="52" customFormat="false" ht="14.25" hidden="false" customHeight="false" outlineLevel="0" collapsed="false">
      <c r="A52" s="36" t="n">
        <v>45</v>
      </c>
      <c r="B52" s="36" t="n">
        <v>1</v>
      </c>
      <c r="C52" s="36" t="n">
        <v>9.209</v>
      </c>
      <c r="D52" s="33" t="n">
        <f aca="false">$I$1-C52</f>
        <v>0.00590000000000046</v>
      </c>
      <c r="E52" s="36" t="s">
        <v>77</v>
      </c>
      <c r="F52" s="34" t="n">
        <v>0.672916666666667</v>
      </c>
    </row>
    <row r="53" customFormat="false" ht="14.25" hidden="false" customHeight="false" outlineLevel="0" collapsed="false">
      <c r="A53" s="36" t="n">
        <v>46</v>
      </c>
      <c r="B53" s="36" t="n">
        <v>2</v>
      </c>
      <c r="C53" s="36" t="n">
        <v>9.2095</v>
      </c>
      <c r="D53" s="33" t="n">
        <f aca="false">$I$1-C53</f>
        <v>0.00539999999999985</v>
      </c>
      <c r="E53" s="36" t="s">
        <v>77</v>
      </c>
      <c r="F53" s="34" t="n">
        <v>0.710416666666667</v>
      </c>
    </row>
    <row r="54" customFormat="false" ht="14.25" hidden="false" customHeight="false" outlineLevel="0" collapsed="false">
      <c r="A54" s="36" t="n">
        <v>47</v>
      </c>
      <c r="B54" s="36" t="n">
        <v>3</v>
      </c>
      <c r="C54" s="39"/>
      <c r="D54" s="33" t="n">
        <f aca="false">$I$1-C54</f>
        <v>9.2149</v>
      </c>
      <c r="E54" s="36" t="s">
        <v>77</v>
      </c>
      <c r="F54" s="34" t="n">
        <v>0.745138888888889</v>
      </c>
    </row>
    <row r="55" customFormat="false" ht="14.25" hidden="false" customHeight="false" outlineLevel="0" collapsed="false">
      <c r="A55" s="36" t="n">
        <v>48</v>
      </c>
      <c r="B55" s="36" t="n">
        <v>5</v>
      </c>
      <c r="C55" s="36" t="n">
        <v>9.2251</v>
      </c>
      <c r="D55" s="33" t="n">
        <f aca="false">$I$1-C55</f>
        <v>-0.0101999999999993</v>
      </c>
      <c r="E55" s="36" t="s">
        <v>77</v>
      </c>
      <c r="F55" s="34" t="n">
        <v>0.781944444444444</v>
      </c>
    </row>
    <row r="56" customFormat="false" ht="14.25" hidden="false" customHeight="false" outlineLevel="0" collapsed="false">
      <c r="A56" s="36" t="n">
        <v>49</v>
      </c>
      <c r="B56" s="36" t="n">
        <v>1</v>
      </c>
      <c r="C56" s="36" t="n">
        <v>9.2176</v>
      </c>
      <c r="D56" s="33" t="n">
        <f aca="false">$I$1-C56</f>
        <v>-0.00269999999999904</v>
      </c>
      <c r="E56" s="36" t="s">
        <v>77</v>
      </c>
      <c r="F56" s="34" t="n">
        <v>0.821527777777778</v>
      </c>
    </row>
    <row r="57" customFormat="false" ht="14.25" hidden="false" customHeight="false" outlineLevel="0" collapsed="false">
      <c r="A57" s="36" t="n">
        <v>50</v>
      </c>
      <c r="B57" s="36" t="n">
        <v>3</v>
      </c>
      <c r="C57" s="36" t="n">
        <v>9.1775</v>
      </c>
      <c r="D57" s="33" t="n">
        <f aca="false">$I$1-C57</f>
        <v>0.0373999999999999</v>
      </c>
      <c r="E57" s="36" t="s">
        <v>77</v>
      </c>
      <c r="F57" s="34" t="n">
        <v>0.857638888888889</v>
      </c>
    </row>
    <row r="58" customFormat="false" ht="14.25" hidden="false" customHeight="false" outlineLevel="0" collapsed="false">
      <c r="A58" s="36" t="n">
        <v>51</v>
      </c>
      <c r="B58" s="36" t="n">
        <v>5</v>
      </c>
      <c r="C58" s="36" t="n">
        <v>9.1937</v>
      </c>
      <c r="D58" s="33" t="n">
        <f aca="false">$I$1-C58</f>
        <v>0.0212000000000003</v>
      </c>
      <c r="E58" s="36" t="s">
        <v>78</v>
      </c>
      <c r="F58" s="34" t="n">
        <v>0.35</v>
      </c>
    </row>
    <row r="59" customFormat="false" ht="14.25" hidden="false" customHeight="false" outlineLevel="0" collapsed="false">
      <c r="A59" s="36" t="n">
        <v>52</v>
      </c>
      <c r="B59" s="36" t="n">
        <v>1</v>
      </c>
      <c r="C59" s="36" t="n">
        <v>9.2288</v>
      </c>
      <c r="D59" s="33" t="n">
        <f aca="false">$I$1-C59</f>
        <v>-0.0138999999999996</v>
      </c>
      <c r="E59" s="36" t="s">
        <v>78</v>
      </c>
      <c r="F59" s="34" t="n">
        <v>0.385416666666667</v>
      </c>
    </row>
    <row r="60" customFormat="false" ht="14.25" hidden="false" customHeight="false" outlineLevel="0" collapsed="false">
      <c r="A60" s="36" t="n">
        <v>53</v>
      </c>
      <c r="B60" s="36" t="n">
        <v>2</v>
      </c>
      <c r="C60" s="36" t="n">
        <v>9.1921</v>
      </c>
      <c r="D60" s="33" t="n">
        <f aca="false">$I$1-C60</f>
        <v>0.0228000000000002</v>
      </c>
      <c r="E60" s="36" t="s">
        <v>78</v>
      </c>
      <c r="F60" s="34" t="n">
        <v>0.423611111111111</v>
      </c>
    </row>
    <row r="61" customFormat="false" ht="14.25" hidden="false" customHeight="false" outlineLevel="0" collapsed="false">
      <c r="A61" s="36" t="n">
        <v>54</v>
      </c>
      <c r="B61" s="36" t="n">
        <v>3</v>
      </c>
      <c r="C61" s="36" t="n">
        <v>9.2041</v>
      </c>
      <c r="D61" s="33" t="n">
        <f aca="false">$I$1-C61</f>
        <v>0.0107999999999997</v>
      </c>
      <c r="E61" s="36" t="s">
        <v>78</v>
      </c>
      <c r="F61" s="34" t="n">
        <v>0.461111111111111</v>
      </c>
    </row>
    <row r="62" customFormat="false" ht="14.25" hidden="false" customHeight="false" outlineLevel="0" collapsed="false">
      <c r="A62" s="36" t="n">
        <v>55</v>
      </c>
      <c r="B62" s="36" t="n">
        <v>5</v>
      </c>
      <c r="C62" s="36" t="n">
        <v>9.2051</v>
      </c>
      <c r="D62" s="33" t="n">
        <f aca="false">$I$1-C62</f>
        <v>0.00980000000000025</v>
      </c>
      <c r="E62" s="36" t="s">
        <v>78</v>
      </c>
      <c r="F62" s="34" t="n">
        <v>0.493055555555556</v>
      </c>
    </row>
    <row r="63" customFormat="false" ht="14.25" hidden="false" customHeight="false" outlineLevel="0" collapsed="false">
      <c r="A63" s="36" t="n">
        <v>56</v>
      </c>
      <c r="B63" s="36" t="n">
        <v>1</v>
      </c>
      <c r="C63" s="36" t="n">
        <v>9.2271</v>
      </c>
      <c r="D63" s="33" t="n">
        <f aca="false">$I$1-C63</f>
        <v>-0.0122</v>
      </c>
      <c r="E63" s="36" t="s">
        <v>78</v>
      </c>
      <c r="F63" s="34" t="n">
        <v>0.554166666666667</v>
      </c>
    </row>
    <row r="64" customFormat="false" ht="14.25" hidden="false" customHeight="false" outlineLevel="0" collapsed="false">
      <c r="A64" s="36" t="n">
        <v>57</v>
      </c>
      <c r="B64" s="36" t="n">
        <v>2</v>
      </c>
      <c r="C64" s="36" t="n">
        <v>9.194</v>
      </c>
      <c r="D64" s="33" t="n">
        <f aca="false">$I$1-C64</f>
        <v>0.0208999999999993</v>
      </c>
      <c r="E64" s="36" t="s">
        <v>79</v>
      </c>
      <c r="F64" s="34" t="n">
        <v>0.634722222222222</v>
      </c>
    </row>
    <row r="65" customFormat="false" ht="14.25" hidden="false" customHeight="false" outlineLevel="0" collapsed="false">
      <c r="A65" s="36" t="n">
        <v>58</v>
      </c>
      <c r="B65" s="36" t="n">
        <v>3</v>
      </c>
      <c r="E65" s="36" t="s">
        <v>79</v>
      </c>
      <c r="F65" s="34" t="n">
        <v>0.676388888888889</v>
      </c>
    </row>
  </sheetData>
  <conditionalFormatting sqref="M29:M33">
    <cfRule type="cellIs" priority="2" operator="greaterThan" aboveAverage="0" equalAverage="0" bottom="0" percent="0" rank="0" text="" dxfId="0">
      <formula>0.04</formula>
    </cfRule>
  </conditionalFormatting>
  <conditionalFormatting sqref="M23:M27">
    <cfRule type="cellIs" priority="3" operator="greaterThan" aboveAverage="0" equalAverage="0" bottom="0" percent="0" rank="0" text="" dxfId="1">
      <formula>0.04</formula>
    </cfRule>
  </conditionalFormatting>
  <conditionalFormatting sqref="M17:M21">
    <cfRule type="cellIs" priority="4" operator="greaterThan" aboveAverage="0" equalAverage="0" bottom="0" percent="0" rank="0" text="" dxfId="2">
      <formula>0.04</formula>
    </cfRule>
  </conditionalFormatting>
  <conditionalFormatting sqref="D11:D64">
    <cfRule type="cellIs" priority="5" operator="greaterThan" aboveAverage="0" equalAverage="0" bottom="0" percent="0" rank="0" text="" dxfId="3">
      <formula>0.04</formula>
    </cfRule>
  </conditionalFormatting>
  <conditionalFormatting sqref="D2:D8 M7 M11:M14">
    <cfRule type="cellIs" priority="6" operator="greaterThan" aboveAverage="0" equalAverage="0" bottom="0" percent="0" rank="0" text="" dxfId="4">
      <formula>0.04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9"/>
  <sheetViews>
    <sheetView showFormulas="false" showGridLines="true" showRowColHeaders="true" showZeros="true" rightToLeft="false" tabSelected="false" showOutlineSymbols="true" defaultGridColor="true" view="normal" topLeftCell="A225" colorId="64" zoomScale="200" zoomScaleNormal="200" zoomScalePageLayoutView="100" workbookViewId="0">
      <selection pane="topLeft" activeCell="N242" activeCellId="0" sqref="N242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7" min="7" style="0" width="16.36"/>
    <col collapsed="false" customWidth="true" hidden="false" outlineLevel="0" max="8" min="8" style="0" width="12.09"/>
    <col collapsed="false" customWidth="true" hidden="false" outlineLevel="0" max="9" min="9" style="0" width="15"/>
  </cols>
  <sheetData>
    <row r="1" customFormat="false" ht="14.25" hidden="false" customHeight="false" outlineLevel="0" collapsed="false">
      <c r="A1" s="0" t="s">
        <v>80</v>
      </c>
      <c r="B1" s="0" t="s">
        <v>1</v>
      </c>
      <c r="C1" s="0" t="s">
        <v>2</v>
      </c>
      <c r="D1" s="0" t="s">
        <v>81</v>
      </c>
      <c r="E1" s="0" t="s">
        <v>4</v>
      </c>
      <c r="F1" s="0" t="s">
        <v>5</v>
      </c>
      <c r="G1" s="0" t="s">
        <v>82</v>
      </c>
      <c r="H1" s="0" t="s">
        <v>83</v>
      </c>
      <c r="I1" s="0" t="s">
        <v>84</v>
      </c>
    </row>
    <row r="2" customFormat="false" ht="14.25" hidden="false" customHeight="false" outlineLevel="0" collapsed="false">
      <c r="A2" s="0" t="n">
        <v>501</v>
      </c>
      <c r="B2" s="0" t="s">
        <v>38</v>
      </c>
      <c r="C2" s="0" t="s">
        <v>85</v>
      </c>
      <c r="D2" s="0" t="n">
        <v>1</v>
      </c>
      <c r="E2" s="0" t="s">
        <v>40</v>
      </c>
      <c r="F2" s="0" t="n">
        <v>1</v>
      </c>
      <c r="G2" s="0" t="str">
        <f aca="false">CONCATENATE(B2, "-",C2, "-", D2, "-", F2)</f>
        <v>M0111-A-1-1</v>
      </c>
      <c r="H2" s="0" t="n">
        <v>0</v>
      </c>
      <c r="I2" s="0" t="n">
        <v>1.5</v>
      </c>
    </row>
    <row r="3" customFormat="false" ht="14.25" hidden="false" customHeight="false" outlineLevel="0" collapsed="false">
      <c r="A3" s="0" t="n">
        <v>501</v>
      </c>
      <c r="B3" s="0" t="s">
        <v>38</v>
      </c>
      <c r="C3" s="0" t="s">
        <v>85</v>
      </c>
      <c r="D3" s="0" t="n">
        <v>1</v>
      </c>
      <c r="E3" s="0" t="s">
        <v>40</v>
      </c>
      <c r="F3" s="0" t="n">
        <v>2</v>
      </c>
      <c r="G3" s="0" t="str">
        <f aca="false">CONCATENATE(B3, "-",C3, "-", D3, "-", F3)</f>
        <v>M0111-A-1-2</v>
      </c>
      <c r="H3" s="0" t="n">
        <v>1.5</v>
      </c>
      <c r="I3" s="0" t="n">
        <v>2.9</v>
      </c>
    </row>
    <row r="4" customFormat="false" ht="14.25" hidden="false" customHeight="false" outlineLevel="0" collapsed="false">
      <c r="A4" s="0" t="n">
        <v>501</v>
      </c>
      <c r="B4" s="0" t="s">
        <v>38</v>
      </c>
      <c r="C4" s="0" t="s">
        <v>85</v>
      </c>
      <c r="D4" s="0" t="n">
        <v>2</v>
      </c>
      <c r="E4" s="0" t="s">
        <v>40</v>
      </c>
      <c r="F4" s="0" t="n">
        <v>1</v>
      </c>
      <c r="G4" s="0" t="str">
        <f aca="false">CONCATENATE(B4, "-",C4, "-", D4, "-", F4)</f>
        <v>M0111-A-2-1</v>
      </c>
      <c r="H4" s="0" t="n">
        <v>2.4</v>
      </c>
      <c r="I4" s="0" t="n">
        <v>3.91</v>
      </c>
    </row>
    <row r="5" customFormat="false" ht="14.25" hidden="false" customHeight="false" outlineLevel="0" collapsed="false">
      <c r="A5" s="0" t="n">
        <v>501</v>
      </c>
      <c r="B5" s="0" t="s">
        <v>38</v>
      </c>
      <c r="C5" s="0" t="s">
        <v>85</v>
      </c>
      <c r="D5" s="0" t="n">
        <v>2</v>
      </c>
      <c r="E5" s="0" t="s">
        <v>40</v>
      </c>
      <c r="F5" s="0" t="n">
        <v>2</v>
      </c>
      <c r="G5" s="0" t="str">
        <f aca="false">CONCATENATE(B5, "-",C5, "-", D5, "-", F5)</f>
        <v>M0111-A-2-2</v>
      </c>
      <c r="H5" s="0" t="n">
        <v>3.91</v>
      </c>
      <c r="I5" s="0" t="n">
        <v>4.99</v>
      </c>
    </row>
    <row r="6" customFormat="false" ht="14.25" hidden="false" customHeight="false" outlineLevel="0" collapsed="false">
      <c r="A6" s="0" t="n">
        <v>501</v>
      </c>
      <c r="B6" s="0" t="s">
        <v>38</v>
      </c>
      <c r="C6" s="0" t="s">
        <v>85</v>
      </c>
      <c r="D6" s="0" t="n">
        <v>3</v>
      </c>
      <c r="E6" s="0" t="s">
        <v>40</v>
      </c>
      <c r="F6" s="0" t="n">
        <v>1</v>
      </c>
      <c r="G6" s="0" t="str">
        <f aca="false">CONCATENATE(B6, "-",C6, "-", D6, "-", F6)</f>
        <v>M0111-A-3-1</v>
      </c>
      <c r="H6" s="0" t="n">
        <v>4.46</v>
      </c>
      <c r="I6" s="0" t="n">
        <v>5.97</v>
      </c>
    </row>
    <row r="7" customFormat="false" ht="14.25" hidden="false" customHeight="false" outlineLevel="0" collapsed="false">
      <c r="A7" s="0" t="n">
        <v>501</v>
      </c>
      <c r="B7" s="0" t="s">
        <v>38</v>
      </c>
      <c r="C7" s="0" t="s">
        <v>85</v>
      </c>
      <c r="D7" s="0" t="n">
        <v>3</v>
      </c>
      <c r="E7" s="0" t="s">
        <v>40</v>
      </c>
      <c r="F7" s="0" t="n">
        <v>2</v>
      </c>
      <c r="G7" s="0" t="str">
        <f aca="false">CONCATENATE(B7, "-",C7, "-", D7, "-", F7)</f>
        <v>M0111-A-3-2</v>
      </c>
      <c r="H7" s="0" t="n">
        <v>5.97</v>
      </c>
      <c r="I7" s="0" t="n">
        <v>7.1</v>
      </c>
    </row>
    <row r="8" customFormat="false" ht="14.25" hidden="false" customHeight="false" outlineLevel="0" collapsed="false">
      <c r="A8" s="0" t="n">
        <v>501</v>
      </c>
      <c r="B8" s="0" t="s">
        <v>38</v>
      </c>
      <c r="C8" s="0" t="s">
        <v>85</v>
      </c>
      <c r="D8" s="0" t="n">
        <v>4</v>
      </c>
      <c r="E8" s="0" t="s">
        <v>40</v>
      </c>
      <c r="F8" s="0" t="n">
        <v>1</v>
      </c>
      <c r="G8" s="0" t="str">
        <f aca="false">CONCATENATE(B8, "-",C8, "-", D8, "-", F8)</f>
        <v>M0111-A-4-1</v>
      </c>
      <c r="H8" s="0" t="n">
        <v>6.89</v>
      </c>
      <c r="I8" s="0" t="n">
        <v>8.4</v>
      </c>
    </row>
    <row r="9" customFormat="false" ht="14.25" hidden="false" customHeight="false" outlineLevel="0" collapsed="false">
      <c r="A9" s="0" t="n">
        <v>501</v>
      </c>
      <c r="B9" s="0" t="s">
        <v>38</v>
      </c>
      <c r="C9" s="0" t="s">
        <v>85</v>
      </c>
      <c r="D9" s="0" t="n">
        <v>4</v>
      </c>
      <c r="E9" s="0" t="s">
        <v>40</v>
      </c>
      <c r="F9" s="0" t="n">
        <v>2</v>
      </c>
      <c r="G9" s="0" t="str">
        <f aca="false">CONCATENATE(B9, "-",C9, "-", D9, "-", F9)</f>
        <v>M0111-A-4-2</v>
      </c>
      <c r="H9" s="0" t="n">
        <v>8.4</v>
      </c>
      <c r="I9" s="0" t="n">
        <v>9.6</v>
      </c>
    </row>
    <row r="10" customFormat="false" ht="14.25" hidden="false" customHeight="false" outlineLevel="0" collapsed="false">
      <c r="A10" s="0" t="n">
        <v>501</v>
      </c>
      <c r="B10" s="0" t="s">
        <v>38</v>
      </c>
      <c r="C10" s="0" t="s">
        <v>85</v>
      </c>
      <c r="D10" s="0" t="n">
        <v>5</v>
      </c>
      <c r="E10" s="0" t="s">
        <v>40</v>
      </c>
      <c r="F10" s="0" t="n">
        <v>1</v>
      </c>
      <c r="G10" s="0" t="str">
        <f aca="false">CONCATENATE(B10, "-",C10, "-", D10, "-", F10)</f>
        <v>M0111-A-5-1</v>
      </c>
      <c r="H10" s="0" t="n">
        <v>9.6</v>
      </c>
      <c r="I10" s="0" t="n">
        <v>11.1</v>
      </c>
    </row>
    <row r="11" customFormat="false" ht="14.25" hidden="false" customHeight="false" outlineLevel="0" collapsed="false">
      <c r="A11" s="0" t="n">
        <v>501</v>
      </c>
      <c r="B11" s="0" t="s">
        <v>38</v>
      </c>
      <c r="C11" s="0" t="s">
        <v>85</v>
      </c>
      <c r="D11" s="0" t="n">
        <v>5</v>
      </c>
      <c r="E11" s="0" t="s">
        <v>40</v>
      </c>
      <c r="F11" s="0" t="n">
        <v>2</v>
      </c>
      <c r="G11" s="0" t="str">
        <f aca="false">CONCATENATE(B11, "-",C11, "-", D11, "-", F11)</f>
        <v>M0111-A-5-2</v>
      </c>
      <c r="H11" s="0" t="n">
        <v>11.1</v>
      </c>
      <c r="I11" s="0" t="n">
        <v>12.05</v>
      </c>
    </row>
    <row r="12" customFormat="false" ht="14.25" hidden="false" customHeight="false" outlineLevel="0" collapsed="false">
      <c r="A12" s="0" t="n">
        <v>501</v>
      </c>
      <c r="B12" s="0" t="s">
        <v>38</v>
      </c>
      <c r="C12" s="0" t="s">
        <v>85</v>
      </c>
      <c r="D12" s="0" t="n">
        <v>6</v>
      </c>
      <c r="E12" s="0" t="s">
        <v>40</v>
      </c>
      <c r="F12" s="0" t="n">
        <v>1</v>
      </c>
      <c r="G12" s="0" t="str">
        <f aca="false">CONCATENATE(B12, "-",C12, "-", D12, "-", F12)</f>
        <v>M0111-A-6-1</v>
      </c>
      <c r="H12" s="0" t="n">
        <v>11.7</v>
      </c>
      <c r="I12" s="0" t="n">
        <v>13.2</v>
      </c>
    </row>
    <row r="13" customFormat="false" ht="14.25" hidden="false" customHeight="false" outlineLevel="0" collapsed="false">
      <c r="A13" s="0" t="n">
        <v>501</v>
      </c>
      <c r="B13" s="0" t="s">
        <v>38</v>
      </c>
      <c r="C13" s="0" t="s">
        <v>85</v>
      </c>
      <c r="D13" s="0" t="n">
        <v>6</v>
      </c>
      <c r="E13" s="0" t="s">
        <v>40</v>
      </c>
      <c r="F13" s="0" t="n">
        <v>2</v>
      </c>
      <c r="G13" s="0" t="str">
        <f aca="false">CONCATENATE(B13, "-",C13, "-", D13, "-", F13)</f>
        <v>M0111-A-6-2</v>
      </c>
      <c r="H13" s="0" t="n">
        <v>13.2</v>
      </c>
      <c r="I13" s="0" t="n">
        <v>13.94</v>
      </c>
    </row>
    <row r="14" customFormat="false" ht="14.25" hidden="false" customHeight="false" outlineLevel="0" collapsed="false">
      <c r="A14" s="0" t="n">
        <v>501</v>
      </c>
      <c r="B14" s="0" t="s">
        <v>38</v>
      </c>
      <c r="C14" s="0" t="s">
        <v>85</v>
      </c>
      <c r="D14" s="0" t="n">
        <v>7</v>
      </c>
      <c r="E14" s="0" t="s">
        <v>40</v>
      </c>
      <c r="F14" s="0" t="n">
        <v>1</v>
      </c>
      <c r="G14" s="0" t="str">
        <f aca="false">CONCATENATE(B14, "-",C14, "-", D14, "-", F14)</f>
        <v>M0111-A-7-1</v>
      </c>
      <c r="H14" s="0" t="n">
        <v>13.94</v>
      </c>
      <c r="I14" s="0" t="n">
        <v>14.17</v>
      </c>
    </row>
    <row r="15" customFormat="false" ht="14.25" hidden="false" customHeight="false" outlineLevel="0" collapsed="false">
      <c r="A15" s="0" t="n">
        <v>501</v>
      </c>
      <c r="B15" s="0" t="s">
        <v>38</v>
      </c>
      <c r="C15" s="0" t="s">
        <v>85</v>
      </c>
      <c r="D15" s="0" t="n">
        <v>8</v>
      </c>
      <c r="E15" s="0" t="s">
        <v>40</v>
      </c>
      <c r="F15" s="0" t="n">
        <v>1</v>
      </c>
      <c r="G15" s="0" t="str">
        <f aca="false">CONCATENATE(B15, "-",C15, "-", D15, "-", F15)</f>
        <v>M0111-A-8-1</v>
      </c>
      <c r="H15" s="0" t="n">
        <v>14.77</v>
      </c>
      <c r="I15" s="0" t="n">
        <v>14.77</v>
      </c>
    </row>
    <row r="16" customFormat="false" ht="14.25" hidden="false" customHeight="false" outlineLevel="0" collapsed="false">
      <c r="A16" s="0" t="n">
        <v>501</v>
      </c>
      <c r="B16" s="0" t="s">
        <v>38</v>
      </c>
      <c r="C16" s="0" t="s">
        <v>85</v>
      </c>
      <c r="D16" s="0" t="n">
        <v>9</v>
      </c>
      <c r="E16" s="0" t="s">
        <v>86</v>
      </c>
      <c r="F16" s="0" t="n">
        <v>1</v>
      </c>
      <c r="G16" s="0" t="str">
        <f aca="false">CONCATENATE(B16, "-",C16, "-", D16, "-", F16)</f>
        <v>M0111-A-9-1</v>
      </c>
      <c r="H16" s="0" t="n">
        <v>14.77</v>
      </c>
      <c r="I16" s="0" t="n">
        <v>15.05</v>
      </c>
    </row>
    <row r="17" customFormat="false" ht="14.25" hidden="false" customHeight="false" outlineLevel="0" collapsed="false">
      <c r="A17" s="0" t="n">
        <v>501</v>
      </c>
      <c r="B17" s="0" t="s">
        <v>38</v>
      </c>
      <c r="C17" s="0" t="s">
        <v>85</v>
      </c>
      <c r="D17" s="0" t="n">
        <v>10</v>
      </c>
      <c r="E17" s="0" t="s">
        <v>44</v>
      </c>
      <c r="F17" s="0" t="n">
        <v>1</v>
      </c>
      <c r="G17" s="0" t="str">
        <f aca="false">CONCATENATE(B17, "-",C17, "-", D17, "-", F17)</f>
        <v>M0111-A-10-1</v>
      </c>
      <c r="H17" s="0" t="n">
        <v>15.21</v>
      </c>
      <c r="I17" s="0" t="n">
        <v>16.54</v>
      </c>
    </row>
    <row r="18" customFormat="false" ht="14.25" hidden="false" customHeight="false" outlineLevel="0" collapsed="false">
      <c r="A18" s="0" t="n">
        <v>501</v>
      </c>
      <c r="B18" s="0" t="s">
        <v>38</v>
      </c>
      <c r="C18" s="0" t="s">
        <v>85</v>
      </c>
      <c r="D18" s="0" t="n">
        <v>11</v>
      </c>
      <c r="E18" s="0" t="s">
        <v>44</v>
      </c>
      <c r="F18" s="0" t="n">
        <v>1</v>
      </c>
      <c r="G18" s="0" t="str">
        <f aca="false">CONCATENATE(B18, "-",C18, "-", D18, "-", F18)</f>
        <v>M0111-A-11-1</v>
      </c>
      <c r="H18" s="0" t="n">
        <v>16.36</v>
      </c>
      <c r="I18" s="0" t="n">
        <v>16.84</v>
      </c>
    </row>
    <row r="19" customFormat="false" ht="14.25" hidden="false" customHeight="false" outlineLevel="0" collapsed="false">
      <c r="A19" s="0" t="n">
        <v>501</v>
      </c>
      <c r="B19" s="0" t="s">
        <v>38</v>
      </c>
      <c r="C19" s="0" t="s">
        <v>85</v>
      </c>
      <c r="D19" s="0" t="n">
        <v>12</v>
      </c>
      <c r="E19" s="0" t="s">
        <v>44</v>
      </c>
      <c r="F19" s="0" t="n">
        <v>1</v>
      </c>
      <c r="G19" s="0" t="str">
        <f aca="false">CONCATENATE(B19, "-",C19, "-", D19, "-", F19)</f>
        <v>M0111-A-12-1</v>
      </c>
      <c r="H19" s="0" t="n">
        <v>32.25</v>
      </c>
      <c r="I19" s="0" t="n">
        <v>33.02</v>
      </c>
    </row>
    <row r="20" customFormat="false" ht="14.25" hidden="false" customHeight="false" outlineLevel="0" collapsed="false">
      <c r="A20" s="0" t="n">
        <v>501</v>
      </c>
      <c r="B20" s="0" t="s">
        <v>38</v>
      </c>
      <c r="C20" s="0" t="s">
        <v>85</v>
      </c>
      <c r="D20" s="0" t="n">
        <v>13</v>
      </c>
      <c r="E20" s="0" t="s">
        <v>40</v>
      </c>
      <c r="F20" s="0" t="n">
        <v>1</v>
      </c>
      <c r="G20" s="0" t="str">
        <f aca="false">CONCATENATE(B20, "-",C20, "-", D20, "-", F20)</f>
        <v>M0111-A-13-1</v>
      </c>
      <c r="H20" s="0" t="n">
        <v>33.8</v>
      </c>
      <c r="I20" s="0" t="n">
        <v>34.9</v>
      </c>
    </row>
    <row r="21" customFormat="false" ht="14.25" hidden="false" customHeight="false" outlineLevel="0" collapsed="false">
      <c r="A21" s="0" t="n">
        <v>501</v>
      </c>
      <c r="B21" s="0" t="s">
        <v>38</v>
      </c>
      <c r="C21" s="0" t="s">
        <v>85</v>
      </c>
      <c r="D21" s="0" t="n">
        <v>13</v>
      </c>
      <c r="E21" s="0" t="s">
        <v>40</v>
      </c>
      <c r="F21" s="0" t="n">
        <v>2</v>
      </c>
      <c r="G21" s="0" t="str">
        <f aca="false">CONCATENATE(B21, "-",C21, "-", D21, "-", F21)</f>
        <v>M0111-A-13-2</v>
      </c>
      <c r="H21" s="0" t="n">
        <v>34.9</v>
      </c>
      <c r="I21" s="0" t="n">
        <v>35.35</v>
      </c>
    </row>
    <row r="22" customFormat="false" ht="14.25" hidden="false" customHeight="false" outlineLevel="0" collapsed="false">
      <c r="A22" s="0" t="n">
        <v>501</v>
      </c>
      <c r="B22" s="0" t="s">
        <v>38</v>
      </c>
      <c r="C22" s="0" t="s">
        <v>85</v>
      </c>
      <c r="D22" s="0" t="n">
        <v>14</v>
      </c>
      <c r="E22" s="0" t="s">
        <v>40</v>
      </c>
      <c r="F22" s="0" t="n">
        <v>1</v>
      </c>
      <c r="G22" s="0" t="str">
        <f aca="false">CONCATENATE(B22, "-",C22, "-", D22, "-", F22)</f>
        <v>M0111-A-14-1</v>
      </c>
      <c r="H22" s="0" t="n">
        <v>33.35</v>
      </c>
      <c r="I22" s="0" t="n">
        <v>34.85</v>
      </c>
    </row>
    <row r="23" customFormat="false" ht="14.25" hidden="false" customHeight="false" outlineLevel="0" collapsed="false">
      <c r="A23" s="0" t="n">
        <v>501</v>
      </c>
      <c r="B23" s="0" t="s">
        <v>38</v>
      </c>
      <c r="C23" s="0" t="s">
        <v>85</v>
      </c>
      <c r="D23" s="0" t="n">
        <v>14</v>
      </c>
      <c r="E23" s="0" t="s">
        <v>40</v>
      </c>
      <c r="F23" s="0" t="n">
        <v>2</v>
      </c>
      <c r="G23" s="0" t="str">
        <f aca="false">CONCATENATE(B23, "-",C23, "-", D23, "-", F23)</f>
        <v>M0111-A-14-2</v>
      </c>
      <c r="H23" s="0" t="n">
        <v>34.85</v>
      </c>
      <c r="I23" s="0" t="n">
        <v>36.12</v>
      </c>
    </row>
    <row r="24" customFormat="false" ht="14.25" hidden="false" customHeight="false" outlineLevel="0" collapsed="false">
      <c r="A24" s="0" t="n">
        <v>501</v>
      </c>
      <c r="B24" s="0" t="s">
        <v>38</v>
      </c>
      <c r="C24" s="0" t="s">
        <v>85</v>
      </c>
      <c r="D24" s="0" t="n">
        <v>15</v>
      </c>
      <c r="E24" s="0" t="s">
        <v>40</v>
      </c>
      <c r="F24" s="0" t="n">
        <v>1</v>
      </c>
      <c r="G24" s="0" t="str">
        <f aca="false">CONCATENATE(B24, "-",C24, "-", D24, "-", F24)</f>
        <v>M0111-A-15-1</v>
      </c>
      <c r="H24" s="0" t="n">
        <v>38.12</v>
      </c>
      <c r="I24" s="0" t="n">
        <v>39.63</v>
      </c>
    </row>
    <row r="25" customFormat="false" ht="14.25" hidden="false" customHeight="false" outlineLevel="0" collapsed="false">
      <c r="A25" s="0" t="n">
        <v>501</v>
      </c>
      <c r="B25" s="0" t="s">
        <v>38</v>
      </c>
      <c r="C25" s="0" t="s">
        <v>85</v>
      </c>
      <c r="D25" s="0" t="n">
        <v>15</v>
      </c>
      <c r="E25" s="0" t="s">
        <v>40</v>
      </c>
      <c r="F25" s="0" t="n">
        <v>2</v>
      </c>
      <c r="G25" s="0" t="str">
        <f aca="false">CONCATENATE(B25, "-",C25, "-", D25, "-", F25)</f>
        <v>M0111-A-15-2</v>
      </c>
      <c r="H25" s="0" t="n">
        <v>39.63</v>
      </c>
      <c r="I25" s="0" t="n">
        <v>40.45</v>
      </c>
    </row>
    <row r="26" customFormat="false" ht="14.25" hidden="false" customHeight="false" outlineLevel="0" collapsed="false">
      <c r="A26" s="0" t="n">
        <v>501</v>
      </c>
      <c r="B26" s="0" t="s">
        <v>38</v>
      </c>
      <c r="C26" s="0" t="s">
        <v>85</v>
      </c>
      <c r="D26" s="0" t="n">
        <v>16</v>
      </c>
      <c r="E26" s="0" t="s">
        <v>40</v>
      </c>
      <c r="F26" s="0" t="n">
        <v>1</v>
      </c>
      <c r="G26" s="0" t="str">
        <f aca="false">CONCATENATE(B26, "-",C26, "-", D26, "-", F26)</f>
        <v>M0111-A-16-1</v>
      </c>
      <c r="H26" s="0" t="n">
        <v>40.45</v>
      </c>
      <c r="I26" s="0" t="n">
        <v>41.19</v>
      </c>
    </row>
    <row r="27" customFormat="false" ht="14.25" hidden="false" customHeight="false" outlineLevel="0" collapsed="false">
      <c r="A27" s="0" t="n">
        <v>501</v>
      </c>
      <c r="B27" s="0" t="s">
        <v>38</v>
      </c>
      <c r="C27" s="0" t="s">
        <v>85</v>
      </c>
      <c r="D27" s="0" t="n">
        <v>17</v>
      </c>
      <c r="E27" s="0" t="s">
        <v>40</v>
      </c>
      <c r="F27" s="0" t="n">
        <v>1</v>
      </c>
      <c r="G27" s="0" t="str">
        <f aca="false">CONCATENATE(B27, "-",C27, "-", D27, "-", F27)</f>
        <v>M0111-A-17-1</v>
      </c>
      <c r="H27" s="0" t="n">
        <v>41.19</v>
      </c>
      <c r="I27" s="0" t="n">
        <v>42.69</v>
      </c>
    </row>
    <row r="28" customFormat="false" ht="14.25" hidden="false" customHeight="false" outlineLevel="0" collapsed="false">
      <c r="A28" s="0" t="n">
        <v>501</v>
      </c>
      <c r="B28" s="0" t="s">
        <v>38</v>
      </c>
      <c r="C28" s="0" t="s">
        <v>85</v>
      </c>
      <c r="D28" s="0" t="n">
        <v>17</v>
      </c>
      <c r="E28" s="0" t="s">
        <v>40</v>
      </c>
      <c r="F28" s="0" t="n">
        <v>2</v>
      </c>
      <c r="G28" s="0" t="str">
        <f aca="false">CONCATENATE(B28, "-",C28, "-", D28, "-", F28)</f>
        <v>M0111-A-17-2</v>
      </c>
      <c r="H28" s="0" t="n">
        <v>42.69</v>
      </c>
      <c r="I28" s="0" t="n">
        <v>43.32</v>
      </c>
    </row>
    <row r="29" customFormat="false" ht="14.25" hidden="false" customHeight="false" outlineLevel="0" collapsed="false">
      <c r="A29" s="0" t="n">
        <v>501</v>
      </c>
      <c r="B29" s="0" t="s">
        <v>38</v>
      </c>
      <c r="C29" s="0" t="s">
        <v>85</v>
      </c>
      <c r="D29" s="0" t="n">
        <v>18</v>
      </c>
      <c r="E29" s="0" t="s">
        <v>40</v>
      </c>
      <c r="F29" s="0" t="n">
        <v>1</v>
      </c>
      <c r="G29" s="0" t="str">
        <f aca="false">CONCATENATE(B29, "-",C29, "-", D29, "-", F29)</f>
        <v>M0111-A-18-1</v>
      </c>
      <c r="H29" s="0" t="n">
        <v>43.32</v>
      </c>
      <c r="I29" s="0" t="n">
        <v>43.83</v>
      </c>
    </row>
    <row r="30" customFormat="false" ht="14.25" hidden="false" customHeight="false" outlineLevel="0" collapsed="false">
      <c r="A30" s="0" t="n">
        <v>501</v>
      </c>
      <c r="B30" s="0" t="s">
        <v>38</v>
      </c>
      <c r="C30" s="0" t="s">
        <v>85</v>
      </c>
      <c r="D30" s="0" t="n">
        <v>19</v>
      </c>
      <c r="E30" s="0" t="s">
        <v>40</v>
      </c>
      <c r="F30" s="0" t="n">
        <v>1</v>
      </c>
      <c r="G30" s="0" t="str">
        <f aca="false">CONCATENATE(B30, "-",C30, "-", D30, "-", F30)</f>
        <v>M0111-A-19-1</v>
      </c>
      <c r="H30" s="0" t="n">
        <v>43.83</v>
      </c>
      <c r="I30" s="0" t="n">
        <v>45.33</v>
      </c>
    </row>
    <row r="31" customFormat="false" ht="14.25" hidden="false" customHeight="false" outlineLevel="0" collapsed="false">
      <c r="A31" s="0" t="n">
        <v>501</v>
      </c>
      <c r="B31" s="0" t="s">
        <v>38</v>
      </c>
      <c r="C31" s="0" t="s">
        <v>85</v>
      </c>
      <c r="D31" s="0" t="n">
        <v>19</v>
      </c>
      <c r="E31" s="0" t="s">
        <v>40</v>
      </c>
      <c r="F31" s="0" t="n">
        <v>2</v>
      </c>
      <c r="G31" s="0" t="str">
        <f aca="false">CONCATENATE(B31, "-",C31, "-", D31, "-", F31)</f>
        <v>M0111-A-19-2</v>
      </c>
      <c r="H31" s="0" t="n">
        <v>45.33</v>
      </c>
      <c r="I31" s="0" t="n">
        <v>46.2</v>
      </c>
    </row>
    <row r="32" customFormat="false" ht="14.25" hidden="false" customHeight="false" outlineLevel="0" collapsed="false">
      <c r="A32" s="0" t="n">
        <v>501</v>
      </c>
      <c r="B32" s="0" t="s">
        <v>38</v>
      </c>
      <c r="C32" s="0" t="s">
        <v>85</v>
      </c>
      <c r="D32" s="0" t="n">
        <v>20</v>
      </c>
      <c r="E32" s="0" t="s">
        <v>40</v>
      </c>
      <c r="F32" s="0" t="n">
        <v>1</v>
      </c>
      <c r="G32" s="0" t="str">
        <f aca="false">CONCATENATE(B32, "-",C32, "-", D32, "-", F32)</f>
        <v>M0111-A-20-1</v>
      </c>
      <c r="H32" s="0" t="n">
        <v>46.2</v>
      </c>
      <c r="I32" s="0" t="n">
        <v>47.7</v>
      </c>
    </row>
    <row r="33" customFormat="false" ht="14.25" hidden="false" customHeight="false" outlineLevel="0" collapsed="false">
      <c r="A33" s="0" t="n">
        <v>501</v>
      </c>
      <c r="B33" s="0" t="s">
        <v>38</v>
      </c>
      <c r="C33" s="0" t="s">
        <v>85</v>
      </c>
      <c r="D33" s="0" t="n">
        <v>20</v>
      </c>
      <c r="E33" s="0" t="s">
        <v>40</v>
      </c>
      <c r="F33" s="0" t="n">
        <v>2</v>
      </c>
      <c r="G33" s="0" t="str">
        <f aca="false">CONCATENATE(B33, "-",C33, "-", D33, "-", F33)</f>
        <v>M0111-A-20-2</v>
      </c>
      <c r="H33" s="0" t="n">
        <v>47.7</v>
      </c>
      <c r="I33" s="0" t="n">
        <v>48.67</v>
      </c>
    </row>
    <row r="34" customFormat="false" ht="14.25" hidden="false" customHeight="false" outlineLevel="0" collapsed="false">
      <c r="A34" s="0" t="n">
        <v>501</v>
      </c>
      <c r="B34" s="0" t="s">
        <v>38</v>
      </c>
      <c r="C34" s="0" t="s">
        <v>85</v>
      </c>
      <c r="D34" s="0" t="n">
        <v>21</v>
      </c>
      <c r="E34" s="0" t="s">
        <v>40</v>
      </c>
      <c r="F34" s="0" t="n">
        <v>1</v>
      </c>
      <c r="G34" s="0" t="str">
        <f aca="false">CONCATENATE(B34, "-",C34, "-", D34, "-", F34)</f>
        <v>M0111-A-21-1</v>
      </c>
      <c r="H34" s="0" t="n">
        <v>48.67</v>
      </c>
      <c r="I34" s="0" t="n">
        <v>48.77</v>
      </c>
    </row>
    <row r="35" customFormat="false" ht="14.25" hidden="false" customHeight="false" outlineLevel="0" collapsed="false">
      <c r="A35" s="0" t="n">
        <v>501</v>
      </c>
      <c r="B35" s="0" t="s">
        <v>38</v>
      </c>
      <c r="C35" s="0" t="s">
        <v>85</v>
      </c>
      <c r="D35" s="0" t="n">
        <v>21</v>
      </c>
      <c r="E35" s="0" t="s">
        <v>40</v>
      </c>
      <c r="F35" s="0" t="n">
        <v>2</v>
      </c>
      <c r="G35" s="0" t="str">
        <f aca="false">CONCATENATE(B35, "-",C35, "-", D35, "-", F35)</f>
        <v>M0111-A-21-2</v>
      </c>
      <c r="H35" s="0" t="n">
        <v>48.77</v>
      </c>
      <c r="I35" s="0" t="n">
        <v>50.08</v>
      </c>
    </row>
    <row r="36" customFormat="false" ht="14.25" hidden="false" customHeight="false" outlineLevel="0" collapsed="false">
      <c r="A36" s="0" t="n">
        <v>501</v>
      </c>
      <c r="B36" s="0" t="s">
        <v>38</v>
      </c>
      <c r="C36" s="0" t="s">
        <v>85</v>
      </c>
      <c r="D36" s="0" t="n">
        <v>21</v>
      </c>
      <c r="E36" s="0" t="s">
        <v>40</v>
      </c>
      <c r="F36" s="0" t="n">
        <v>3</v>
      </c>
      <c r="G36" s="0" t="str">
        <f aca="false">CONCATENATE(B36, "-",C36, "-", D36, "-", F36)</f>
        <v>M0111-A-21-3</v>
      </c>
      <c r="H36" s="0" t="n">
        <v>50.08</v>
      </c>
      <c r="I36" s="0" t="n">
        <v>50.9</v>
      </c>
    </row>
    <row r="37" customFormat="false" ht="14.25" hidden="false" customHeight="false" outlineLevel="0" collapsed="false">
      <c r="A37" s="0" t="n">
        <v>501</v>
      </c>
      <c r="B37" s="0" t="s">
        <v>38</v>
      </c>
      <c r="C37" s="0" t="s">
        <v>85</v>
      </c>
      <c r="D37" s="0" t="n">
        <v>22</v>
      </c>
      <c r="E37" s="0" t="s">
        <v>40</v>
      </c>
      <c r="F37" s="0" t="n">
        <v>1</v>
      </c>
      <c r="G37" s="0" t="str">
        <f aca="false">CONCATENATE(B37, "-",C37, "-", D37, "-", F37)</f>
        <v>M0111-A-22-1</v>
      </c>
      <c r="H37" s="0" t="n">
        <v>50.9</v>
      </c>
      <c r="I37" s="0" t="n">
        <v>51.07</v>
      </c>
    </row>
    <row r="38" customFormat="false" ht="14.25" hidden="false" customHeight="false" outlineLevel="0" collapsed="false">
      <c r="A38" s="0" t="n">
        <v>501</v>
      </c>
      <c r="B38" s="0" t="s">
        <v>38</v>
      </c>
      <c r="C38" s="0" t="s">
        <v>85</v>
      </c>
      <c r="D38" s="0" t="n">
        <v>22</v>
      </c>
      <c r="E38" s="0" t="s">
        <v>40</v>
      </c>
      <c r="F38" s="0" t="n">
        <v>2</v>
      </c>
      <c r="G38" s="0" t="str">
        <f aca="false">CONCATENATE(B38, "-",C38, "-", D38, "-", F38)</f>
        <v>M0111-A-22-2</v>
      </c>
      <c r="H38" s="0" t="n">
        <v>51.07</v>
      </c>
      <c r="I38" s="0" t="n">
        <v>52.42</v>
      </c>
    </row>
    <row r="39" customFormat="false" ht="14.25" hidden="false" customHeight="false" outlineLevel="0" collapsed="false">
      <c r="A39" s="0" t="n">
        <v>501</v>
      </c>
      <c r="B39" s="0" t="s">
        <v>38</v>
      </c>
      <c r="C39" s="0" t="s">
        <v>85</v>
      </c>
      <c r="D39" s="0" t="n">
        <v>23</v>
      </c>
      <c r="E39" s="0" t="s">
        <v>40</v>
      </c>
      <c r="F39" s="0" t="n">
        <v>1</v>
      </c>
      <c r="G39" s="0" t="str">
        <f aca="false">CONCATENATE(B39, "-",C39, "-", D39, "-", F39)</f>
        <v>M0111-A-23-1</v>
      </c>
      <c r="H39" s="0" t="n">
        <v>52.42</v>
      </c>
      <c r="I39" s="0" t="n">
        <v>53.92</v>
      </c>
    </row>
    <row r="40" customFormat="false" ht="14.25" hidden="false" customHeight="false" outlineLevel="0" collapsed="false">
      <c r="A40" s="0" t="n">
        <v>501</v>
      </c>
      <c r="B40" s="0" t="s">
        <v>38</v>
      </c>
      <c r="C40" s="0" t="s">
        <v>85</v>
      </c>
      <c r="D40" s="0" t="n">
        <v>23</v>
      </c>
      <c r="E40" s="0" t="s">
        <v>40</v>
      </c>
      <c r="F40" s="0" t="n">
        <v>2</v>
      </c>
      <c r="G40" s="0" t="str">
        <f aca="false">CONCATENATE(B40, "-",C40, "-", D40, "-", F40)</f>
        <v>M0111-A-23-2</v>
      </c>
      <c r="H40" s="0" t="n">
        <v>53.92</v>
      </c>
      <c r="I40" s="0" t="n">
        <v>54.92</v>
      </c>
    </row>
    <row r="41" customFormat="false" ht="14.25" hidden="false" customHeight="false" outlineLevel="0" collapsed="false">
      <c r="A41" s="0" t="n">
        <v>501</v>
      </c>
      <c r="B41" s="0" t="s">
        <v>38</v>
      </c>
      <c r="C41" s="0" t="s">
        <v>85</v>
      </c>
      <c r="D41" s="0" t="n">
        <v>24</v>
      </c>
      <c r="E41" s="0" t="s">
        <v>40</v>
      </c>
      <c r="F41" s="0" t="n">
        <v>1</v>
      </c>
      <c r="G41" s="0" t="str">
        <f aca="false">CONCATENATE(B41, "-",C41, "-", D41, "-", F41)</f>
        <v>M0111-A-24-1</v>
      </c>
      <c r="H41" s="0" t="n">
        <v>54.92</v>
      </c>
      <c r="I41" s="0" t="n">
        <v>55.92</v>
      </c>
    </row>
    <row r="42" customFormat="false" ht="14.25" hidden="false" customHeight="false" outlineLevel="0" collapsed="false">
      <c r="A42" s="0" t="n">
        <v>501</v>
      </c>
      <c r="B42" s="0" t="s">
        <v>38</v>
      </c>
      <c r="C42" s="0" t="s">
        <v>85</v>
      </c>
      <c r="D42" s="0" t="n">
        <v>24</v>
      </c>
      <c r="E42" s="0" t="s">
        <v>40</v>
      </c>
      <c r="F42" s="0" t="n">
        <v>2</v>
      </c>
      <c r="G42" s="0" t="str">
        <f aca="false">CONCATENATE(B42, "-",C42, "-", D42, "-", F42)</f>
        <v>M0111-A-24-2</v>
      </c>
      <c r="H42" s="0" t="n">
        <v>55.92</v>
      </c>
      <c r="I42" s="0" t="n">
        <v>56.66</v>
      </c>
    </row>
    <row r="43" customFormat="false" ht="14.25" hidden="false" customHeight="false" outlineLevel="0" collapsed="false">
      <c r="A43" s="0" t="n">
        <v>501</v>
      </c>
      <c r="B43" s="0" t="s">
        <v>38</v>
      </c>
      <c r="C43" s="0" t="s">
        <v>85</v>
      </c>
      <c r="D43" s="0" t="n">
        <v>25</v>
      </c>
      <c r="E43" s="0" t="s">
        <v>40</v>
      </c>
      <c r="F43" s="0" t="n">
        <v>1</v>
      </c>
      <c r="G43" s="0" t="str">
        <f aca="false">CONCATENATE(B43, "-",C43, "-", D43, "-", F43)</f>
        <v>M0111-A-25-1</v>
      </c>
      <c r="H43" s="0" t="n">
        <v>56.66</v>
      </c>
      <c r="I43" s="0" t="n">
        <v>58.17</v>
      </c>
    </row>
    <row r="44" customFormat="false" ht="14.25" hidden="false" customHeight="false" outlineLevel="0" collapsed="false">
      <c r="A44" s="0" t="n">
        <v>501</v>
      </c>
      <c r="B44" s="0" t="s">
        <v>38</v>
      </c>
      <c r="C44" s="0" t="s">
        <v>85</v>
      </c>
      <c r="D44" s="0" t="n">
        <v>25</v>
      </c>
      <c r="E44" s="0" t="s">
        <v>40</v>
      </c>
      <c r="F44" s="0" t="n">
        <v>2</v>
      </c>
      <c r="G44" s="0" t="str">
        <f aca="false">CONCATENATE(B44, "-",C44, "-", D44, "-", F44)</f>
        <v>M0111-A-25-2</v>
      </c>
      <c r="H44" s="0" t="n">
        <v>58.17</v>
      </c>
      <c r="I44" s="0" t="n">
        <v>58.88</v>
      </c>
    </row>
    <row r="45" customFormat="false" ht="14.25" hidden="false" customHeight="false" outlineLevel="0" collapsed="false">
      <c r="A45" s="0" t="n">
        <v>501</v>
      </c>
      <c r="B45" s="0" t="s">
        <v>38</v>
      </c>
      <c r="C45" s="0" t="s">
        <v>85</v>
      </c>
      <c r="D45" s="0" t="n">
        <v>26</v>
      </c>
      <c r="E45" s="0" t="s">
        <v>40</v>
      </c>
      <c r="F45" s="0" t="n">
        <v>1</v>
      </c>
      <c r="G45" s="0" t="str">
        <f aca="false">CONCATENATE(B45, "-",C45, "-", D45, "-", F45)</f>
        <v>M0111-A-26-1</v>
      </c>
      <c r="H45" s="0" t="n">
        <v>58.88</v>
      </c>
      <c r="I45" s="0" t="n">
        <v>60.39</v>
      </c>
    </row>
    <row r="46" customFormat="false" ht="14.25" hidden="false" customHeight="false" outlineLevel="0" collapsed="false">
      <c r="A46" s="0" t="n">
        <v>501</v>
      </c>
      <c r="B46" s="0" t="s">
        <v>38</v>
      </c>
      <c r="C46" s="0" t="s">
        <v>85</v>
      </c>
      <c r="D46" s="0" t="n">
        <v>26</v>
      </c>
      <c r="E46" s="0" t="s">
        <v>40</v>
      </c>
      <c r="F46" s="0" t="n">
        <v>2</v>
      </c>
      <c r="G46" s="0" t="str">
        <f aca="false">CONCATENATE(B46, "-",C46, "-", D46, "-", F46)</f>
        <v>M0111-A-26-2</v>
      </c>
      <c r="H46" s="0" t="n">
        <v>60.39</v>
      </c>
      <c r="I46" s="0" t="n">
        <v>61.9</v>
      </c>
    </row>
    <row r="47" customFormat="false" ht="14.25" hidden="false" customHeight="false" outlineLevel="0" collapsed="false">
      <c r="A47" s="0" t="n">
        <v>501</v>
      </c>
      <c r="B47" s="0" t="s">
        <v>38</v>
      </c>
      <c r="C47" s="0" t="s">
        <v>85</v>
      </c>
      <c r="D47" s="0" t="n">
        <v>27</v>
      </c>
      <c r="E47" s="0" t="s">
        <v>40</v>
      </c>
      <c r="F47" s="0" t="n">
        <v>1</v>
      </c>
      <c r="G47" s="0" t="str">
        <f aca="false">CONCATENATE(B47, "-",C47, "-", D47, "-", F47)</f>
        <v>M0111-A-27-1</v>
      </c>
      <c r="H47" s="0" t="n">
        <v>61.2</v>
      </c>
      <c r="I47" s="0" t="n">
        <v>62.7</v>
      </c>
    </row>
    <row r="48" customFormat="false" ht="14.25" hidden="false" customHeight="false" outlineLevel="0" collapsed="false">
      <c r="A48" s="0" t="n">
        <v>501</v>
      </c>
      <c r="B48" s="0" t="s">
        <v>38</v>
      </c>
      <c r="C48" s="0" t="s">
        <v>85</v>
      </c>
      <c r="D48" s="0" t="n">
        <v>27</v>
      </c>
      <c r="E48" s="0" t="s">
        <v>40</v>
      </c>
      <c r="F48" s="0" t="n">
        <v>2</v>
      </c>
      <c r="G48" s="0" t="str">
        <f aca="false">CONCATENATE(B48, "-",C48, "-", D48, "-", F48)</f>
        <v>M0111-A-27-2</v>
      </c>
      <c r="H48" s="0" t="n">
        <v>62.7</v>
      </c>
      <c r="I48" s="0" t="n">
        <v>64.2</v>
      </c>
    </row>
    <row r="49" customFormat="false" ht="14.25" hidden="false" customHeight="false" outlineLevel="0" collapsed="false">
      <c r="A49" s="0" t="n">
        <v>501</v>
      </c>
      <c r="B49" s="0" t="s">
        <v>38</v>
      </c>
      <c r="C49" s="0" t="s">
        <v>85</v>
      </c>
      <c r="D49" s="0" t="n">
        <v>28</v>
      </c>
      <c r="E49" s="0" t="s">
        <v>40</v>
      </c>
      <c r="F49" s="0" t="n">
        <v>1</v>
      </c>
      <c r="G49" s="0" t="str">
        <f aca="false">CONCATENATE(B49, "-",C49, "-", D49, "-", F49)</f>
        <v>M0111-A-28-1</v>
      </c>
      <c r="H49" s="0" t="n">
        <v>63.38</v>
      </c>
      <c r="I49" s="0" t="n">
        <v>63.76</v>
      </c>
    </row>
    <row r="50" customFormat="false" ht="14.25" hidden="false" customHeight="false" outlineLevel="0" collapsed="false">
      <c r="A50" s="0" t="n">
        <v>501</v>
      </c>
      <c r="B50" s="0" t="s">
        <v>38</v>
      </c>
      <c r="C50" s="0" t="s">
        <v>85</v>
      </c>
      <c r="D50" s="0" t="n">
        <v>29</v>
      </c>
      <c r="E50" s="0" t="s">
        <v>40</v>
      </c>
      <c r="F50" s="0" t="n">
        <v>1</v>
      </c>
      <c r="G50" s="0" t="str">
        <f aca="false">CONCATENATE(B50, "-",C50, "-", D50, "-", F50)</f>
        <v>M0111-A-29-1</v>
      </c>
      <c r="H50" s="0" t="n">
        <v>63.38</v>
      </c>
      <c r="I50" s="0" t="n">
        <v>63.65</v>
      </c>
    </row>
    <row r="51" customFormat="false" ht="14.25" hidden="false" customHeight="false" outlineLevel="0" collapsed="false">
      <c r="A51" s="0" t="n">
        <v>501</v>
      </c>
      <c r="B51" s="0" t="s">
        <v>38</v>
      </c>
      <c r="C51" s="0" t="s">
        <v>39</v>
      </c>
      <c r="D51" s="0" t="n">
        <v>1</v>
      </c>
      <c r="E51" s="0" t="s">
        <v>40</v>
      </c>
      <c r="F51" s="0" t="n">
        <v>1</v>
      </c>
      <c r="G51" s="0" t="str">
        <f aca="false">CONCATENATE(B51, "-",C51, "-", D51, "-", F51)</f>
        <v>M0111-B-1-1</v>
      </c>
      <c r="H51" s="0" t="n">
        <v>62</v>
      </c>
      <c r="I51" s="0" t="n">
        <v>63.5</v>
      </c>
    </row>
    <row r="52" customFormat="false" ht="14.25" hidden="false" customHeight="false" outlineLevel="0" collapsed="false">
      <c r="A52" s="0" t="n">
        <v>501</v>
      </c>
      <c r="B52" s="0" t="s">
        <v>38</v>
      </c>
      <c r="C52" s="0" t="s">
        <v>39</v>
      </c>
      <c r="D52" s="0" t="n">
        <v>1</v>
      </c>
      <c r="E52" s="0" t="s">
        <v>40</v>
      </c>
      <c r="F52" s="0" t="n">
        <v>2</v>
      </c>
      <c r="G52" s="0" t="str">
        <f aca="false">CONCATENATE(B52, "-",C52, "-", D52, "-", F52)</f>
        <v>M0111-B-1-2</v>
      </c>
      <c r="H52" s="0" t="n">
        <v>63.5</v>
      </c>
      <c r="I52" s="0" t="n">
        <v>64.24</v>
      </c>
    </row>
    <row r="53" customFormat="false" ht="14.25" hidden="false" customHeight="false" outlineLevel="0" collapsed="false">
      <c r="A53" s="0" t="n">
        <v>501</v>
      </c>
      <c r="B53" s="0" t="s">
        <v>38</v>
      </c>
      <c r="C53" s="0" t="s">
        <v>39</v>
      </c>
      <c r="D53" s="0" t="n">
        <v>2</v>
      </c>
      <c r="E53" s="0" t="s">
        <v>40</v>
      </c>
      <c r="F53" s="0" t="n">
        <v>1</v>
      </c>
      <c r="G53" s="0" t="str">
        <f aca="false">CONCATENATE(B53, "-",C53, "-", D53, "-", F53)</f>
        <v>M0111-B-2-1</v>
      </c>
      <c r="H53" s="0" t="n">
        <v>64.14</v>
      </c>
      <c r="I53" s="0" t="n">
        <v>65.14</v>
      </c>
    </row>
    <row r="54" customFormat="false" ht="14.25" hidden="false" customHeight="false" outlineLevel="0" collapsed="false">
      <c r="A54" s="0" t="n">
        <v>501</v>
      </c>
      <c r="B54" s="0" t="s">
        <v>38</v>
      </c>
      <c r="C54" s="0" t="s">
        <v>39</v>
      </c>
      <c r="D54" s="0" t="n">
        <v>2</v>
      </c>
      <c r="E54" s="0" t="s">
        <v>40</v>
      </c>
      <c r="F54" s="0" t="n">
        <v>2</v>
      </c>
      <c r="G54" s="0" t="str">
        <f aca="false">CONCATENATE(B54, "-",C54, "-", D54, "-", F54)</f>
        <v>M0111-B-2-2</v>
      </c>
      <c r="H54" s="0" t="n">
        <v>65.14</v>
      </c>
      <c r="I54" s="0" t="n">
        <v>66.06</v>
      </c>
    </row>
    <row r="55" customFormat="false" ht="14.25" hidden="false" customHeight="false" outlineLevel="0" collapsed="false">
      <c r="A55" s="0" t="n">
        <v>501</v>
      </c>
      <c r="B55" s="0" t="s">
        <v>38</v>
      </c>
      <c r="C55" s="0" t="s">
        <v>39</v>
      </c>
      <c r="D55" s="0" t="n">
        <v>3</v>
      </c>
      <c r="E55" s="0" t="s">
        <v>40</v>
      </c>
      <c r="F55" s="0" t="n">
        <v>1</v>
      </c>
      <c r="G55" s="0" t="str">
        <f aca="false">CONCATENATE(B55, "-",C55, "-", D55, "-", F55)</f>
        <v>M0111-B-3-1</v>
      </c>
      <c r="H55" s="0" t="n">
        <v>66.06</v>
      </c>
      <c r="I55" s="0" t="n">
        <v>67.56</v>
      </c>
    </row>
    <row r="56" customFormat="false" ht="14.25" hidden="false" customHeight="false" outlineLevel="0" collapsed="false">
      <c r="A56" s="0" t="n">
        <v>501</v>
      </c>
      <c r="B56" s="0" t="s">
        <v>38</v>
      </c>
      <c r="C56" s="0" t="s">
        <v>39</v>
      </c>
      <c r="D56" s="0" t="n">
        <v>3</v>
      </c>
      <c r="E56" s="0" t="s">
        <v>40</v>
      </c>
      <c r="F56" s="0" t="n">
        <v>2</v>
      </c>
      <c r="G56" s="0" t="str">
        <f aca="false">CONCATENATE(B56, "-",C56, "-", D56, "-", F56)</f>
        <v>M0111-B-3-2</v>
      </c>
      <c r="H56" s="0" t="n">
        <v>67.56</v>
      </c>
      <c r="I56" s="0" t="n">
        <v>68.2</v>
      </c>
    </row>
    <row r="57" customFormat="false" ht="14.25" hidden="false" customHeight="false" outlineLevel="0" collapsed="false">
      <c r="A57" s="0" t="n">
        <v>501</v>
      </c>
      <c r="B57" s="0" t="s">
        <v>38</v>
      </c>
      <c r="C57" s="0" t="s">
        <v>39</v>
      </c>
      <c r="D57" s="0" t="n">
        <v>4</v>
      </c>
      <c r="E57" s="0" t="s">
        <v>40</v>
      </c>
      <c r="F57" s="0" t="n">
        <v>1</v>
      </c>
      <c r="G57" s="0" t="str">
        <f aca="false">CONCATENATE(B57, "-",C57, "-", D57, "-", F57)</f>
        <v>M0111-B-4-1</v>
      </c>
      <c r="H57" s="0" t="n">
        <v>68.2</v>
      </c>
      <c r="I57" s="0" t="n">
        <v>69.65</v>
      </c>
    </row>
    <row r="58" customFormat="false" ht="14.25" hidden="false" customHeight="false" outlineLevel="0" collapsed="false">
      <c r="A58" s="0" t="n">
        <v>501</v>
      </c>
      <c r="B58" s="0" t="s">
        <v>38</v>
      </c>
      <c r="C58" s="0" t="s">
        <v>39</v>
      </c>
      <c r="D58" s="0" t="n">
        <v>5</v>
      </c>
      <c r="E58" s="0" t="s">
        <v>40</v>
      </c>
      <c r="F58" s="0" t="n">
        <v>1</v>
      </c>
      <c r="G58" s="0" t="str">
        <f aca="false">CONCATENATE(B58, "-",C58, "-", D58, "-", F58)</f>
        <v>M0111-B-5-1</v>
      </c>
      <c r="H58" s="0" t="n">
        <v>69.65</v>
      </c>
      <c r="I58" s="0" t="n">
        <v>70.54</v>
      </c>
    </row>
    <row r="59" customFormat="false" ht="14.25" hidden="false" customHeight="false" outlineLevel="0" collapsed="false">
      <c r="A59" s="0" t="n">
        <v>501</v>
      </c>
      <c r="B59" s="0" t="s">
        <v>38</v>
      </c>
      <c r="C59" s="0" t="s">
        <v>39</v>
      </c>
      <c r="D59" s="0" t="n">
        <v>5</v>
      </c>
      <c r="E59" s="0" t="s">
        <v>40</v>
      </c>
      <c r="F59" s="0" t="n">
        <v>2</v>
      </c>
      <c r="G59" s="0" t="str">
        <f aca="false">CONCATENATE(B59, "-",C59, "-", D59, "-", F59)</f>
        <v>M0111-B-5-2</v>
      </c>
      <c r="H59" s="0" t="n">
        <v>70.54</v>
      </c>
      <c r="I59" s="0" t="n">
        <v>71.54</v>
      </c>
    </row>
    <row r="60" customFormat="false" ht="14.25" hidden="false" customHeight="false" outlineLevel="0" collapsed="false">
      <c r="A60" s="0" t="n">
        <v>501</v>
      </c>
      <c r="B60" s="0" t="s">
        <v>38</v>
      </c>
      <c r="C60" s="0" t="s">
        <v>39</v>
      </c>
      <c r="D60" s="0" t="n">
        <v>6</v>
      </c>
      <c r="E60" s="0" t="s">
        <v>40</v>
      </c>
      <c r="F60" s="0" t="n">
        <v>1</v>
      </c>
      <c r="G60" s="0" t="str">
        <f aca="false">CONCATENATE(B60, "-",C60, "-", D60, "-", F60)</f>
        <v>M0111-B-6-1</v>
      </c>
      <c r="H60" s="0" t="n">
        <v>71.54</v>
      </c>
      <c r="I60" s="0" t="n">
        <v>72.26</v>
      </c>
    </row>
    <row r="61" customFormat="false" ht="14.25" hidden="false" customHeight="false" outlineLevel="0" collapsed="false">
      <c r="A61" s="0" t="n">
        <v>501</v>
      </c>
      <c r="B61" s="0" t="s">
        <v>38</v>
      </c>
      <c r="C61" s="0" t="s">
        <v>39</v>
      </c>
      <c r="D61" s="0" t="n">
        <v>7</v>
      </c>
      <c r="E61" s="0" t="s">
        <v>40</v>
      </c>
      <c r="F61" s="0" t="n">
        <v>1</v>
      </c>
      <c r="G61" s="0" t="str">
        <f aca="false">CONCATENATE(B61, "-",C61, "-", D61, "-", F61)</f>
        <v>M0111-B-7-1</v>
      </c>
      <c r="H61" s="0" t="n">
        <v>72.26</v>
      </c>
      <c r="I61" s="0" t="n">
        <v>72.76</v>
      </c>
    </row>
    <row r="62" customFormat="false" ht="14.25" hidden="false" customHeight="false" outlineLevel="0" collapsed="false">
      <c r="A62" s="0" t="n">
        <v>501</v>
      </c>
      <c r="B62" s="0" t="s">
        <v>38</v>
      </c>
      <c r="C62" s="0" t="s">
        <v>39</v>
      </c>
      <c r="D62" s="0" t="n">
        <v>8</v>
      </c>
      <c r="E62" s="0" t="s">
        <v>86</v>
      </c>
      <c r="F62" s="0" t="n">
        <v>1</v>
      </c>
      <c r="G62" s="0" t="str">
        <f aca="false">CONCATENATE(B62, "-",C62, "-", D62, "-", F62)</f>
        <v>M0111-B-8-1</v>
      </c>
      <c r="H62" s="0" t="n">
        <v>72.76</v>
      </c>
      <c r="I62" s="0" t="n">
        <v>72.26</v>
      </c>
    </row>
    <row r="63" customFormat="false" ht="14.25" hidden="false" customHeight="false" outlineLevel="0" collapsed="false">
      <c r="A63" s="0" t="n">
        <v>501</v>
      </c>
      <c r="B63" s="0" t="s">
        <v>38</v>
      </c>
      <c r="C63" s="0" t="s">
        <v>39</v>
      </c>
      <c r="D63" s="0" t="n">
        <v>9</v>
      </c>
      <c r="E63" s="0" t="s">
        <v>44</v>
      </c>
      <c r="F63" s="0" t="n">
        <v>1</v>
      </c>
      <c r="G63" s="0" t="str">
        <f aca="false">CONCATENATE(B63, "-",C63, "-", D63, "-", F63)</f>
        <v>M0111-B-9-1</v>
      </c>
      <c r="H63" s="0" t="n">
        <v>72.76</v>
      </c>
      <c r="I63" s="0" t="n">
        <v>74.08</v>
      </c>
    </row>
    <row r="64" customFormat="false" ht="14.25" hidden="false" customHeight="false" outlineLevel="0" collapsed="false">
      <c r="A64" s="0" t="n">
        <v>501</v>
      </c>
      <c r="B64" s="0" t="s">
        <v>38</v>
      </c>
      <c r="C64" s="0" t="s">
        <v>39</v>
      </c>
      <c r="D64" s="0" t="n">
        <v>11</v>
      </c>
      <c r="E64" s="0" t="s">
        <v>40</v>
      </c>
      <c r="F64" s="0" t="n">
        <v>1</v>
      </c>
      <c r="G64" s="0" t="str">
        <f aca="false">CONCATENATE(B64, "-",C64, "-", D64, "-", F64)</f>
        <v>M0111-B-11-1</v>
      </c>
      <c r="H64" s="0" t="n">
        <v>76.4</v>
      </c>
      <c r="I64" s="0" t="n">
        <v>76.69</v>
      </c>
    </row>
    <row r="65" customFormat="false" ht="14.25" hidden="false" customHeight="false" outlineLevel="0" collapsed="false">
      <c r="A65" s="0" t="n">
        <v>501</v>
      </c>
      <c r="B65" s="0" t="s">
        <v>38</v>
      </c>
      <c r="C65" s="0" t="s">
        <v>39</v>
      </c>
      <c r="D65" s="0" t="n">
        <v>12</v>
      </c>
      <c r="E65" s="0" t="s">
        <v>44</v>
      </c>
      <c r="F65" s="0" t="n">
        <v>1</v>
      </c>
      <c r="G65" s="0" t="str">
        <f aca="false">CONCATENATE(B65, "-",C65, "-", D65, "-", F65)</f>
        <v>M0111-B-12-1</v>
      </c>
      <c r="H65" s="0" t="n">
        <v>76.69</v>
      </c>
      <c r="I65" s="0" t="n">
        <v>77.38</v>
      </c>
    </row>
    <row r="66" customFormat="false" ht="14.25" hidden="false" customHeight="false" outlineLevel="0" collapsed="false">
      <c r="A66" s="0" t="n">
        <v>501</v>
      </c>
      <c r="B66" s="0" t="s">
        <v>38</v>
      </c>
      <c r="C66" s="0" t="s">
        <v>39</v>
      </c>
      <c r="D66" s="0" t="n">
        <v>12</v>
      </c>
      <c r="E66" s="0" t="s">
        <v>44</v>
      </c>
      <c r="F66" s="0" t="n">
        <v>2</v>
      </c>
      <c r="G66" s="0" t="str">
        <f aca="false">CONCATENATE(B66, "-",C66, "-", D66, "-", F66)</f>
        <v>M0111-B-12-2</v>
      </c>
      <c r="H66" s="0" t="n">
        <v>77.38</v>
      </c>
      <c r="I66" s="0" t="n">
        <v>77.51</v>
      </c>
    </row>
    <row r="67" customFormat="false" ht="14.25" hidden="false" customHeight="false" outlineLevel="0" collapsed="false">
      <c r="A67" s="0" t="n">
        <v>501</v>
      </c>
      <c r="B67" s="0" t="s">
        <v>38</v>
      </c>
      <c r="C67" s="0" t="s">
        <v>39</v>
      </c>
      <c r="D67" s="0" t="n">
        <v>13</v>
      </c>
      <c r="E67" s="0" t="s">
        <v>44</v>
      </c>
      <c r="F67" s="0" t="n">
        <v>1</v>
      </c>
      <c r="G67" s="0" t="str">
        <f aca="false">CONCATENATE(B67, "-",C67, "-", D67, "-", F67)</f>
        <v>M0111-B-13-1</v>
      </c>
      <c r="H67" s="0" t="n">
        <v>79.6</v>
      </c>
      <c r="I67" s="0" t="n">
        <v>80.5</v>
      </c>
    </row>
    <row r="68" customFormat="false" ht="14.25" hidden="false" customHeight="false" outlineLevel="0" collapsed="false">
      <c r="A68" s="0" t="n">
        <v>501</v>
      </c>
      <c r="B68" s="0" t="s">
        <v>38</v>
      </c>
      <c r="C68" s="0" t="s">
        <v>39</v>
      </c>
      <c r="D68" s="0" t="n">
        <v>13</v>
      </c>
      <c r="E68" s="0" t="s">
        <v>44</v>
      </c>
      <c r="F68" s="0" t="n">
        <v>2</v>
      </c>
      <c r="G68" s="0" t="str">
        <f aca="false">CONCATENATE(B68, "-",C68, "-", D68, "-", F68)</f>
        <v>M0111-B-13-2</v>
      </c>
      <c r="H68" s="0" t="n">
        <v>80.5</v>
      </c>
      <c r="I68" s="0" t="n">
        <v>80.66</v>
      </c>
    </row>
    <row r="69" customFormat="false" ht="14.25" hidden="false" customHeight="false" outlineLevel="0" collapsed="false">
      <c r="A69" s="0" t="n">
        <v>501</v>
      </c>
      <c r="B69" s="0" t="s">
        <v>38</v>
      </c>
      <c r="C69" s="0" t="s">
        <v>39</v>
      </c>
      <c r="D69" s="0" t="n">
        <v>14</v>
      </c>
      <c r="E69" s="0" t="s">
        <v>44</v>
      </c>
      <c r="F69" s="0" t="n">
        <v>1</v>
      </c>
      <c r="G69" s="0" t="str">
        <f aca="false">CONCATENATE(B69, "-",C69, "-", D69, "-", F69)</f>
        <v>M0111-B-14-1</v>
      </c>
      <c r="H69" s="0" t="n">
        <v>82.6</v>
      </c>
      <c r="I69" s="0" t="n">
        <v>84.08</v>
      </c>
    </row>
    <row r="70" customFormat="false" ht="14.25" hidden="false" customHeight="false" outlineLevel="0" collapsed="false">
      <c r="A70" s="0" t="n">
        <v>501</v>
      </c>
      <c r="B70" s="0" t="s">
        <v>38</v>
      </c>
      <c r="C70" s="0" t="s">
        <v>39</v>
      </c>
      <c r="D70" s="0" t="n">
        <v>15</v>
      </c>
      <c r="E70" s="0" t="s">
        <v>44</v>
      </c>
      <c r="F70" s="0" t="n">
        <v>1</v>
      </c>
      <c r="G70" s="0" t="str">
        <f aca="false">CONCATENATE(B70, "-",C70, "-", D70, "-", F70)</f>
        <v>M0111-B-15-1</v>
      </c>
      <c r="H70" s="0" t="n">
        <v>84.6</v>
      </c>
      <c r="I70" s="0" t="n">
        <v>86.1</v>
      </c>
    </row>
    <row r="71" customFormat="false" ht="14.25" hidden="false" customHeight="false" outlineLevel="0" collapsed="false">
      <c r="A71" s="0" t="n">
        <v>501</v>
      </c>
      <c r="B71" s="0" t="s">
        <v>38</v>
      </c>
      <c r="C71" s="0" t="s">
        <v>39</v>
      </c>
      <c r="D71" s="0" t="n">
        <v>15</v>
      </c>
      <c r="E71" s="0" t="s">
        <v>44</v>
      </c>
      <c r="F71" s="0" t="n">
        <v>2</v>
      </c>
      <c r="G71" s="0" t="str">
        <f aca="false">CONCATENATE(B71, "-",C71, "-", D71, "-", F71)</f>
        <v>M0111-B-15-2</v>
      </c>
      <c r="H71" s="0" t="n">
        <v>86.1</v>
      </c>
      <c r="I71" s="0" t="n">
        <v>86.82</v>
      </c>
    </row>
    <row r="72" customFormat="false" ht="14.25" hidden="false" customHeight="false" outlineLevel="0" collapsed="false">
      <c r="A72" s="0" t="n">
        <v>501</v>
      </c>
      <c r="B72" s="0" t="s">
        <v>38</v>
      </c>
      <c r="C72" s="0" t="s">
        <v>39</v>
      </c>
      <c r="D72" s="0" t="n">
        <v>16</v>
      </c>
      <c r="E72" s="0" t="s">
        <v>44</v>
      </c>
      <c r="F72" s="0" t="n">
        <v>1</v>
      </c>
      <c r="G72" s="0" t="str">
        <f aca="false">CONCATENATE(B72, "-",C72, "-", D72, "-", F72)</f>
        <v>M0111-B-16-1</v>
      </c>
      <c r="H72" s="0" t="n">
        <v>86.6</v>
      </c>
      <c r="I72" s="0" t="n">
        <v>88</v>
      </c>
    </row>
    <row r="73" customFormat="false" ht="14.25" hidden="false" customHeight="false" outlineLevel="0" collapsed="false">
      <c r="A73" s="0" t="n">
        <v>501</v>
      </c>
      <c r="B73" s="0" t="s">
        <v>38</v>
      </c>
      <c r="C73" s="0" t="s">
        <v>39</v>
      </c>
      <c r="D73" s="0" t="n">
        <v>17</v>
      </c>
      <c r="E73" s="0" t="s">
        <v>44</v>
      </c>
      <c r="F73" s="0" t="n">
        <v>1</v>
      </c>
      <c r="G73" s="0" t="str">
        <f aca="false">CONCATENATE(B73, "-",C73, "-", D73, "-", F73)</f>
        <v>M0111-B-17-1</v>
      </c>
      <c r="H73" s="0" t="n">
        <v>88.4</v>
      </c>
      <c r="I73" s="0" t="n">
        <v>89.4</v>
      </c>
    </row>
    <row r="74" customFormat="false" ht="14.25" hidden="false" customHeight="false" outlineLevel="0" collapsed="false">
      <c r="A74" s="0" t="n">
        <v>501</v>
      </c>
      <c r="B74" s="0" t="s">
        <v>38</v>
      </c>
      <c r="C74" s="0" t="s">
        <v>39</v>
      </c>
      <c r="D74" s="0" t="n">
        <v>17</v>
      </c>
      <c r="E74" s="0" t="s">
        <v>44</v>
      </c>
      <c r="F74" s="0" t="n">
        <v>2</v>
      </c>
      <c r="G74" s="0" t="str">
        <f aca="false">CONCATENATE(B74, "-",C74, "-", D74, "-", F74)</f>
        <v>M0111-B-17-2</v>
      </c>
      <c r="H74" s="0" t="n">
        <v>89.4</v>
      </c>
      <c r="I74" s="0" t="n">
        <v>90.4</v>
      </c>
    </row>
    <row r="75" customFormat="false" ht="14.25" hidden="false" customHeight="false" outlineLevel="0" collapsed="false">
      <c r="A75" s="0" t="n">
        <v>501</v>
      </c>
      <c r="B75" s="0" t="s">
        <v>38</v>
      </c>
      <c r="C75" s="0" t="s">
        <v>39</v>
      </c>
      <c r="D75" s="0" t="n">
        <v>18</v>
      </c>
      <c r="E75" s="0" t="s">
        <v>44</v>
      </c>
      <c r="F75" s="0" t="n">
        <v>1</v>
      </c>
      <c r="G75" s="0" t="str">
        <f aca="false">CONCATENATE(B75, "-",C75, "-", D75, "-", F75)</f>
        <v>M0111-B-18-1</v>
      </c>
      <c r="H75" s="0" t="n">
        <v>91.1</v>
      </c>
      <c r="I75" s="0" t="n">
        <v>92.56</v>
      </c>
    </row>
    <row r="76" customFormat="false" ht="14.25" hidden="false" customHeight="false" outlineLevel="0" collapsed="false">
      <c r="A76" s="0" t="n">
        <v>501</v>
      </c>
      <c r="B76" s="0" t="s">
        <v>38</v>
      </c>
      <c r="C76" s="0" t="s">
        <v>39</v>
      </c>
      <c r="D76" s="0" t="n">
        <v>19</v>
      </c>
      <c r="E76" s="0" t="s">
        <v>44</v>
      </c>
      <c r="F76" s="0" t="n">
        <v>1</v>
      </c>
      <c r="G76" s="0" t="str">
        <f aca="false">CONCATENATE(B76, "-",C76, "-", D76, "-", F76)</f>
        <v>M0111-B-19-1</v>
      </c>
      <c r="H76" s="0" t="n">
        <v>94.1</v>
      </c>
      <c r="I76" s="0" t="n">
        <v>94.49</v>
      </c>
    </row>
    <row r="77" customFormat="false" ht="14.25" hidden="false" customHeight="false" outlineLevel="0" collapsed="false">
      <c r="A77" s="0" t="n">
        <v>501</v>
      </c>
      <c r="B77" s="0" t="s">
        <v>38</v>
      </c>
      <c r="C77" s="0" t="s">
        <v>39</v>
      </c>
      <c r="D77" s="0" t="n">
        <v>21</v>
      </c>
      <c r="E77" s="0" t="s">
        <v>40</v>
      </c>
      <c r="F77" s="0" t="n">
        <v>1</v>
      </c>
      <c r="G77" s="0" t="str">
        <f aca="false">CONCATENATE(B77, "-",C77, "-", D77, "-", F77)</f>
        <v>M0111-B-21-1</v>
      </c>
      <c r="H77" s="0" t="n">
        <v>96.45</v>
      </c>
      <c r="I77" s="0" t="n">
        <v>97.95</v>
      </c>
    </row>
    <row r="78" customFormat="false" ht="14.25" hidden="false" customHeight="false" outlineLevel="0" collapsed="false">
      <c r="A78" s="0" t="n">
        <v>501</v>
      </c>
      <c r="B78" s="0" t="s">
        <v>38</v>
      </c>
      <c r="C78" s="0" t="s">
        <v>39</v>
      </c>
      <c r="D78" s="0" t="n">
        <v>21</v>
      </c>
      <c r="E78" s="0" t="s">
        <v>40</v>
      </c>
      <c r="F78" s="0" t="n">
        <v>2</v>
      </c>
      <c r="G78" s="0" t="str">
        <f aca="false">CONCATENATE(B78, "-",C78, "-", D78, "-", F78)</f>
        <v>M0111-B-21-2</v>
      </c>
      <c r="H78" s="0" t="n">
        <v>97.95</v>
      </c>
      <c r="I78" s="0" t="n">
        <v>98.76</v>
      </c>
    </row>
    <row r="79" customFormat="false" ht="14.25" hidden="false" customHeight="false" outlineLevel="0" collapsed="false">
      <c r="A79" s="0" t="n">
        <v>501</v>
      </c>
      <c r="B79" s="0" t="s">
        <v>38</v>
      </c>
      <c r="C79" s="0" t="s">
        <v>39</v>
      </c>
      <c r="D79" s="0" t="n">
        <v>22</v>
      </c>
      <c r="E79" s="0" t="s">
        <v>40</v>
      </c>
      <c r="F79" s="0" t="n">
        <v>1</v>
      </c>
      <c r="G79" s="0" t="str">
        <f aca="false">CONCATENATE(B79, "-",C79, "-", D79, "-", F79)</f>
        <v>M0111-B-22-1</v>
      </c>
      <c r="H79" s="0" t="n">
        <v>98.76</v>
      </c>
      <c r="I79" s="0" t="n">
        <v>99.76</v>
      </c>
    </row>
    <row r="80" customFormat="false" ht="14.25" hidden="false" customHeight="false" outlineLevel="0" collapsed="false">
      <c r="A80" s="0" t="n">
        <v>501</v>
      </c>
      <c r="B80" s="0" t="s">
        <v>38</v>
      </c>
      <c r="C80" s="0" t="s">
        <v>39</v>
      </c>
      <c r="D80" s="0" t="n">
        <v>22</v>
      </c>
      <c r="E80" s="0" t="s">
        <v>40</v>
      </c>
      <c r="F80" s="0" t="n">
        <v>2</v>
      </c>
      <c r="G80" s="0" t="str">
        <f aca="false">CONCATENATE(B80, "-",C80, "-", D80, "-", F80)</f>
        <v>M0111-B-22-2</v>
      </c>
      <c r="H80" s="0" t="n">
        <v>99.76</v>
      </c>
      <c r="I80" s="0" t="n">
        <v>100.54</v>
      </c>
    </row>
    <row r="81" customFormat="false" ht="14.25" hidden="false" customHeight="false" outlineLevel="0" collapsed="false">
      <c r="A81" s="0" t="n">
        <v>501</v>
      </c>
      <c r="B81" s="0" t="s">
        <v>38</v>
      </c>
      <c r="C81" s="0" t="s">
        <v>39</v>
      </c>
      <c r="D81" s="0" t="n">
        <v>23</v>
      </c>
      <c r="E81" s="0" t="s">
        <v>40</v>
      </c>
      <c r="F81" s="0" t="n">
        <v>1</v>
      </c>
      <c r="G81" s="0" t="str">
        <f aca="false">CONCATENATE(B81, "-",C81, "-", D81, "-", F81)</f>
        <v>M0111-B-23-1</v>
      </c>
      <c r="H81" s="0" t="n">
        <v>100.49</v>
      </c>
      <c r="I81" s="0" t="n">
        <v>101.75</v>
      </c>
    </row>
    <row r="82" customFormat="false" ht="14.25" hidden="false" customHeight="false" outlineLevel="0" collapsed="false">
      <c r="A82" s="0" t="n">
        <v>501</v>
      </c>
      <c r="B82" s="0" t="s">
        <v>38</v>
      </c>
      <c r="C82" s="0" t="s">
        <v>39</v>
      </c>
      <c r="D82" s="0" t="n">
        <v>23</v>
      </c>
      <c r="E82" s="0" t="s">
        <v>40</v>
      </c>
      <c r="F82" s="0" t="n">
        <v>2</v>
      </c>
      <c r="G82" s="0" t="str">
        <f aca="false">CONCATENATE(B82, "-",C82, "-", D82, "-", F82)</f>
        <v>M0111-B-23-2</v>
      </c>
      <c r="H82" s="0" t="n">
        <v>101.75</v>
      </c>
      <c r="I82" s="0" t="n">
        <v>101.84</v>
      </c>
    </row>
    <row r="83" customFormat="false" ht="14.25" hidden="false" customHeight="false" outlineLevel="0" collapsed="false">
      <c r="A83" s="0" t="n">
        <v>501</v>
      </c>
      <c r="B83" s="0" t="s">
        <v>38</v>
      </c>
      <c r="C83" s="0" t="s">
        <v>39</v>
      </c>
      <c r="D83" s="0" t="n">
        <v>24</v>
      </c>
      <c r="E83" s="0" t="s">
        <v>44</v>
      </c>
      <c r="F83" s="0" t="n">
        <v>1</v>
      </c>
      <c r="G83" s="0" t="str">
        <f aca="false">CONCATENATE(B83, "-",C83, "-", D83, "-", F83)</f>
        <v>M0111-B-24-1</v>
      </c>
      <c r="H83" s="0" t="n">
        <v>101.84</v>
      </c>
      <c r="I83" s="0" t="n">
        <v>102.91</v>
      </c>
    </row>
    <row r="84" customFormat="false" ht="14.25" hidden="false" customHeight="false" outlineLevel="0" collapsed="false">
      <c r="A84" s="0" t="n">
        <v>501</v>
      </c>
      <c r="B84" s="0" t="s">
        <v>38</v>
      </c>
      <c r="C84" s="0" t="s">
        <v>39</v>
      </c>
      <c r="D84" s="0" t="n">
        <v>24</v>
      </c>
      <c r="E84" s="0" t="s">
        <v>44</v>
      </c>
      <c r="F84" s="0" t="n">
        <v>2</v>
      </c>
      <c r="G84" s="0" t="str">
        <f aca="false">CONCATENATE(B84, "-",C84, "-", D84, "-", F84)</f>
        <v>M0111-B-24-2</v>
      </c>
      <c r="H84" s="0" t="n">
        <v>102.91</v>
      </c>
      <c r="I84" s="0" t="n">
        <v>103.98</v>
      </c>
    </row>
    <row r="85" customFormat="false" ht="14.25" hidden="false" customHeight="false" outlineLevel="0" collapsed="false">
      <c r="A85" s="0" t="n">
        <v>501</v>
      </c>
      <c r="B85" s="0" t="s">
        <v>38</v>
      </c>
      <c r="C85" s="0" t="s">
        <v>39</v>
      </c>
      <c r="D85" s="0" t="n">
        <v>25</v>
      </c>
      <c r="E85" s="0" t="s">
        <v>44</v>
      </c>
      <c r="F85" s="0" t="n">
        <v>1</v>
      </c>
      <c r="G85" s="0" t="str">
        <f aca="false">CONCATENATE(B85, "-",C85, "-", D85, "-", F85)</f>
        <v>M0111-B-25-1</v>
      </c>
      <c r="H85" s="0" t="n">
        <v>103.6</v>
      </c>
      <c r="I85" s="0" t="n">
        <v>103.75</v>
      </c>
    </row>
    <row r="86" customFormat="false" ht="14.25" hidden="false" customHeight="false" outlineLevel="0" collapsed="false">
      <c r="A86" s="0" t="n">
        <v>501</v>
      </c>
      <c r="B86" s="0" t="s">
        <v>38</v>
      </c>
      <c r="C86" s="0" t="s">
        <v>39</v>
      </c>
      <c r="D86" s="0" t="n">
        <v>26</v>
      </c>
      <c r="E86" s="0" t="s">
        <v>44</v>
      </c>
      <c r="F86" s="0" t="n">
        <v>1</v>
      </c>
      <c r="G86" s="0" t="str">
        <f aca="false">CONCATENATE(B86, "-",C86, "-", D86, "-", F86)</f>
        <v>M0111-B-26-1</v>
      </c>
      <c r="H86" s="0" t="n">
        <v>106.6</v>
      </c>
      <c r="I86" s="0" t="n">
        <v>108.1</v>
      </c>
    </row>
    <row r="87" customFormat="false" ht="14.25" hidden="false" customHeight="false" outlineLevel="0" collapsed="false">
      <c r="A87" s="0" t="n">
        <v>501</v>
      </c>
      <c r="B87" s="0" t="s">
        <v>38</v>
      </c>
      <c r="C87" s="0" t="s">
        <v>39</v>
      </c>
      <c r="D87" s="0" t="n">
        <v>26</v>
      </c>
      <c r="E87" s="0" t="s">
        <v>44</v>
      </c>
      <c r="F87" s="0" t="n">
        <v>2</v>
      </c>
      <c r="G87" s="0" t="str">
        <f aca="false">CONCATENATE(B87, "-",C87, "-", D87, "-", F87)</f>
        <v>M0111-B-26-2</v>
      </c>
      <c r="H87" s="0" t="n">
        <v>108.1</v>
      </c>
      <c r="I87" s="0" t="n">
        <v>109.06</v>
      </c>
    </row>
    <row r="88" customFormat="false" ht="14.25" hidden="false" customHeight="false" outlineLevel="0" collapsed="false">
      <c r="A88" s="0" t="n">
        <v>501</v>
      </c>
      <c r="B88" s="0" t="s">
        <v>38</v>
      </c>
      <c r="C88" s="0" t="s">
        <v>39</v>
      </c>
      <c r="D88" s="0" t="n">
        <v>27</v>
      </c>
      <c r="E88" s="0" t="s">
        <v>44</v>
      </c>
      <c r="F88" s="0" t="n">
        <v>1</v>
      </c>
      <c r="G88" s="0" t="str">
        <f aca="false">CONCATENATE(B88, "-",C88, "-", D88, "-", F88)</f>
        <v>M0111-B-27-1</v>
      </c>
      <c r="H88" s="0" t="n">
        <v>109.6</v>
      </c>
      <c r="I88" s="0" t="n">
        <v>111.1</v>
      </c>
    </row>
    <row r="89" customFormat="false" ht="14.25" hidden="false" customHeight="false" outlineLevel="0" collapsed="false">
      <c r="A89" s="0" t="n">
        <v>501</v>
      </c>
      <c r="B89" s="0" t="s">
        <v>38</v>
      </c>
      <c r="C89" s="0" t="s">
        <v>39</v>
      </c>
      <c r="D89" s="0" t="n">
        <v>27</v>
      </c>
      <c r="E89" s="0" t="s">
        <v>44</v>
      </c>
      <c r="F89" s="0" t="n">
        <v>2</v>
      </c>
      <c r="G89" s="0" t="str">
        <f aca="false">CONCATENATE(B89, "-",C89, "-", D89, "-", F89)</f>
        <v>M0111-B-27-2</v>
      </c>
      <c r="H89" s="0" t="n">
        <v>111.1</v>
      </c>
      <c r="I89" s="0" t="n">
        <v>112.39</v>
      </c>
    </row>
    <row r="90" customFormat="false" ht="14.25" hidden="false" customHeight="false" outlineLevel="0" collapsed="false">
      <c r="A90" s="0" t="n">
        <v>501</v>
      </c>
      <c r="B90" s="0" t="s">
        <v>38</v>
      </c>
      <c r="C90" s="0" t="s">
        <v>39</v>
      </c>
      <c r="D90" s="0" t="n">
        <v>28</v>
      </c>
      <c r="E90" s="0" t="s">
        <v>44</v>
      </c>
      <c r="F90" s="0" t="n">
        <v>1</v>
      </c>
      <c r="G90" s="0" t="str">
        <f aca="false">CONCATENATE(B90, "-",C90, "-", D90, "-", F90)</f>
        <v>M0111-B-28-1</v>
      </c>
      <c r="H90" s="0" t="n">
        <v>112.3</v>
      </c>
      <c r="I90" s="0" t="n">
        <v>113.8</v>
      </c>
    </row>
    <row r="91" customFormat="false" ht="14.25" hidden="false" customHeight="false" outlineLevel="0" collapsed="false">
      <c r="A91" s="0" t="n">
        <v>501</v>
      </c>
      <c r="B91" s="0" t="s">
        <v>38</v>
      </c>
      <c r="C91" s="0" t="s">
        <v>39</v>
      </c>
      <c r="D91" s="0" t="n">
        <v>28</v>
      </c>
      <c r="E91" s="0" t="s">
        <v>44</v>
      </c>
      <c r="F91" s="0" t="n">
        <v>2</v>
      </c>
      <c r="G91" s="0" t="str">
        <f aca="false">CONCATENATE(B91, "-",C91, "-", D91, "-", F91)</f>
        <v>M0111-B-28-2</v>
      </c>
      <c r="H91" s="0" t="n">
        <v>113.8</v>
      </c>
      <c r="I91" s="0" t="n">
        <v>115.25</v>
      </c>
    </row>
    <row r="92" customFormat="false" ht="14.25" hidden="false" customHeight="false" outlineLevel="0" collapsed="false">
      <c r="A92" s="0" t="n">
        <v>501</v>
      </c>
      <c r="B92" s="0" t="s">
        <v>38</v>
      </c>
      <c r="C92" s="0" t="s">
        <v>39</v>
      </c>
      <c r="D92" s="0" t="n">
        <v>29</v>
      </c>
      <c r="E92" s="0" t="s">
        <v>44</v>
      </c>
      <c r="F92" s="0" t="n">
        <v>1</v>
      </c>
      <c r="G92" s="0" t="str">
        <f aca="false">CONCATENATE(B92, "-",C92, "-", D92, "-", F92)</f>
        <v>M0111-B-29-1</v>
      </c>
      <c r="H92" s="0" t="n">
        <v>115.3</v>
      </c>
      <c r="I92" s="0" t="n">
        <v>116.81</v>
      </c>
    </row>
    <row r="93" customFormat="false" ht="14.25" hidden="false" customHeight="false" outlineLevel="0" collapsed="false">
      <c r="A93" s="0" t="n">
        <v>501</v>
      </c>
      <c r="B93" s="0" t="s">
        <v>38</v>
      </c>
      <c r="C93" s="0" t="s">
        <v>39</v>
      </c>
      <c r="D93" s="0" t="n">
        <v>29</v>
      </c>
      <c r="E93" s="0" t="s">
        <v>44</v>
      </c>
      <c r="F93" s="0" t="n">
        <v>2</v>
      </c>
      <c r="G93" s="0" t="str">
        <f aca="false">CONCATENATE(B93, "-",C93, "-", D93, "-", F93)</f>
        <v>M0111-B-29-2</v>
      </c>
      <c r="H93" s="0" t="n">
        <v>116.81</v>
      </c>
      <c r="I93" s="0" t="n">
        <v>117.81</v>
      </c>
    </row>
    <row r="94" customFormat="false" ht="14.25" hidden="false" customHeight="false" outlineLevel="0" collapsed="false">
      <c r="A94" s="0" t="n">
        <v>501</v>
      </c>
      <c r="B94" s="0" t="s">
        <v>38</v>
      </c>
      <c r="C94" s="0" t="s">
        <v>39</v>
      </c>
      <c r="D94" s="0" t="n">
        <v>29</v>
      </c>
      <c r="E94" s="0" t="s">
        <v>44</v>
      </c>
      <c r="F94" s="0" t="n">
        <v>3</v>
      </c>
      <c r="G94" s="0" t="str">
        <f aca="false">CONCATENATE(B94, "-",C94, "-", D94, "-", F94)</f>
        <v>M0111-B-29-3</v>
      </c>
      <c r="H94" s="0" t="n">
        <v>117.81</v>
      </c>
      <c r="I94" s="0" t="n">
        <v>118.53</v>
      </c>
    </row>
    <row r="95" customFormat="false" ht="14.25" hidden="false" customHeight="false" outlineLevel="0" collapsed="false">
      <c r="A95" s="0" t="n">
        <v>501</v>
      </c>
      <c r="B95" s="0" t="s">
        <v>38</v>
      </c>
      <c r="C95" s="0" t="s">
        <v>39</v>
      </c>
      <c r="D95" s="0" t="n">
        <v>30</v>
      </c>
      <c r="E95" s="0" t="s">
        <v>44</v>
      </c>
      <c r="F95" s="0" t="n">
        <v>1</v>
      </c>
      <c r="G95" s="0" t="str">
        <f aca="false">CONCATENATE(B95, "-",C95, "-", D95, "-", F95)</f>
        <v>M0111-B-30-1</v>
      </c>
      <c r="H95" s="0" t="n">
        <v>118.3</v>
      </c>
      <c r="I95" s="0" t="n">
        <v>119.8</v>
      </c>
    </row>
    <row r="96" customFormat="false" ht="14.25" hidden="false" customHeight="false" outlineLevel="0" collapsed="false">
      <c r="A96" s="0" t="n">
        <v>501</v>
      </c>
      <c r="B96" s="0" t="s">
        <v>38</v>
      </c>
      <c r="C96" s="0" t="s">
        <v>39</v>
      </c>
      <c r="D96" s="0" t="n">
        <v>30</v>
      </c>
      <c r="E96" s="0" t="s">
        <v>44</v>
      </c>
      <c r="F96" s="0" t="n">
        <v>2</v>
      </c>
      <c r="G96" s="0" t="str">
        <f aca="false">CONCATENATE(B96, "-",C96, "-", D96, "-", F96)</f>
        <v>M0111-B-30-2</v>
      </c>
      <c r="H96" s="0" t="n">
        <v>119.8</v>
      </c>
      <c r="I96" s="0" t="n">
        <v>120.76</v>
      </c>
    </row>
    <row r="97" customFormat="false" ht="14.25" hidden="false" customHeight="false" outlineLevel="0" collapsed="false">
      <c r="A97" s="0" t="n">
        <v>501</v>
      </c>
      <c r="B97" s="0" t="s">
        <v>38</v>
      </c>
      <c r="C97" s="0" t="s">
        <v>39</v>
      </c>
      <c r="D97" s="0" t="n">
        <v>31</v>
      </c>
      <c r="E97" s="0" t="s">
        <v>44</v>
      </c>
      <c r="F97" s="0" t="n">
        <v>1</v>
      </c>
      <c r="G97" s="0" t="str">
        <f aca="false">CONCATENATE(B97, "-",C97, "-", D97, "-", F97)</f>
        <v>M0111-B-31-1</v>
      </c>
      <c r="H97" s="0" t="n">
        <v>121.3</v>
      </c>
      <c r="I97" s="0" t="n">
        <v>122.8</v>
      </c>
    </row>
    <row r="98" customFormat="false" ht="14.25" hidden="false" customHeight="false" outlineLevel="0" collapsed="false">
      <c r="A98" s="0" t="n">
        <v>501</v>
      </c>
      <c r="B98" s="0" t="s">
        <v>38</v>
      </c>
      <c r="C98" s="0" t="s">
        <v>39</v>
      </c>
      <c r="D98" s="0" t="n">
        <v>31</v>
      </c>
      <c r="E98" s="0" t="s">
        <v>44</v>
      </c>
      <c r="F98" s="0" t="n">
        <v>2</v>
      </c>
      <c r="G98" s="0" t="str">
        <f aca="false">CONCATENATE(B98, "-",C98, "-", D98, "-", F98)</f>
        <v>M0111-B-31-2</v>
      </c>
      <c r="H98" s="0" t="n">
        <v>122.8</v>
      </c>
      <c r="I98" s="0" t="n">
        <v>123.82</v>
      </c>
    </row>
    <row r="99" customFormat="false" ht="14.25" hidden="false" customHeight="false" outlineLevel="0" collapsed="false">
      <c r="A99" s="0" t="n">
        <v>501</v>
      </c>
      <c r="B99" s="0" t="s">
        <v>38</v>
      </c>
      <c r="C99" s="0" t="s">
        <v>39</v>
      </c>
      <c r="D99" s="0" t="n">
        <v>32</v>
      </c>
      <c r="E99" s="0" t="s">
        <v>44</v>
      </c>
      <c r="F99" s="0" t="n">
        <v>1</v>
      </c>
      <c r="G99" s="0" t="str">
        <f aca="false">CONCATENATE(B99, "-",C99, "-", D99, "-", F99)</f>
        <v>M0111-B-32-1</v>
      </c>
      <c r="H99" s="0" t="n">
        <v>124.3</v>
      </c>
      <c r="I99" s="0" t="n">
        <v>124.64</v>
      </c>
    </row>
    <row r="100" customFormat="false" ht="14.25" hidden="false" customHeight="false" outlineLevel="0" collapsed="false">
      <c r="A100" s="0" t="n">
        <v>501</v>
      </c>
      <c r="B100" s="0" t="s">
        <v>38</v>
      </c>
      <c r="C100" s="0" t="s">
        <v>39</v>
      </c>
      <c r="D100" s="0" t="n">
        <v>33</v>
      </c>
      <c r="E100" s="0" t="s">
        <v>44</v>
      </c>
      <c r="F100" s="0" t="n">
        <v>1</v>
      </c>
      <c r="G100" s="0" t="str">
        <f aca="false">CONCATENATE(B100, "-",C100, "-", D100, "-", F100)</f>
        <v>M0111-B-33-1</v>
      </c>
      <c r="H100" s="0" t="n">
        <v>126.7</v>
      </c>
      <c r="I100" s="0" t="n">
        <v>127.31</v>
      </c>
    </row>
    <row r="101" customFormat="false" ht="14.25" hidden="false" customHeight="false" outlineLevel="0" collapsed="false">
      <c r="A101" s="0" t="n">
        <v>501</v>
      </c>
      <c r="B101" s="0" t="s">
        <v>38</v>
      </c>
      <c r="C101" s="0" t="s">
        <v>39</v>
      </c>
      <c r="D101" s="0" t="n">
        <v>33</v>
      </c>
      <c r="E101" s="0" t="s">
        <v>44</v>
      </c>
      <c r="F101" s="0" t="n">
        <v>2</v>
      </c>
      <c r="G101" s="0" t="str">
        <f aca="false">CONCATENATE(B101, "-",C101, "-", D101, "-", F101)</f>
        <v>M0111-B-33-2</v>
      </c>
      <c r="H101" s="0" t="n">
        <v>127.31</v>
      </c>
      <c r="I101" s="0" t="n">
        <v>127.48</v>
      </c>
    </row>
    <row r="102" customFormat="false" ht="14.25" hidden="false" customHeight="false" outlineLevel="0" collapsed="false">
      <c r="A102" s="0" t="n">
        <v>501</v>
      </c>
      <c r="B102" s="0" t="s">
        <v>38</v>
      </c>
      <c r="C102" s="0" t="s">
        <v>39</v>
      </c>
      <c r="D102" s="0" t="n">
        <v>34</v>
      </c>
      <c r="E102" s="0" t="s">
        <v>44</v>
      </c>
      <c r="F102" s="0" t="n">
        <v>1</v>
      </c>
      <c r="G102" s="0" t="str">
        <f aca="false">CONCATENATE(B102, "-",C102, "-", D102, "-", F102)</f>
        <v>M0111-B-34-1</v>
      </c>
      <c r="H102" s="0" t="n">
        <v>121.52</v>
      </c>
      <c r="I102" s="0" t="n">
        <v>122.49</v>
      </c>
    </row>
    <row r="103" customFormat="false" ht="14.25" hidden="false" customHeight="false" outlineLevel="0" collapsed="false">
      <c r="A103" s="0" t="n">
        <v>501</v>
      </c>
      <c r="B103" s="0" t="s">
        <v>38</v>
      </c>
      <c r="C103" s="0" t="s">
        <v>39</v>
      </c>
      <c r="D103" s="0" t="n">
        <v>34</v>
      </c>
      <c r="E103" s="0" t="s">
        <v>44</v>
      </c>
      <c r="F103" s="0" t="n">
        <v>2</v>
      </c>
      <c r="G103" s="0" t="str">
        <f aca="false">CONCATENATE(B103, "-",C103, "-", D103, "-", F103)</f>
        <v>M0111-B-34-2</v>
      </c>
      <c r="H103" s="0" t="n">
        <v>122.49</v>
      </c>
      <c r="I103" s="0" t="n">
        <v>123.1</v>
      </c>
    </row>
    <row r="104" customFormat="false" ht="14.25" hidden="false" customHeight="false" outlineLevel="0" collapsed="false">
      <c r="A104" s="0" t="n">
        <v>501</v>
      </c>
      <c r="B104" s="0" t="s">
        <v>38</v>
      </c>
      <c r="C104" s="0" t="s">
        <v>39</v>
      </c>
      <c r="D104" s="0" t="n">
        <v>35</v>
      </c>
      <c r="E104" s="0" t="s">
        <v>44</v>
      </c>
      <c r="F104" s="0" t="n">
        <v>1</v>
      </c>
      <c r="G104" s="0" t="str">
        <f aca="false">CONCATENATE(B104, "-",C104, "-", D104, "-", F104)</f>
        <v>M0111-B-35-1</v>
      </c>
      <c r="H104" s="0" t="n">
        <v>122.52</v>
      </c>
      <c r="I104" s="0" t="n">
        <v>124.02</v>
      </c>
    </row>
    <row r="105" customFormat="false" ht="14.25" hidden="false" customHeight="false" outlineLevel="0" collapsed="false">
      <c r="A105" s="0" t="n">
        <v>501</v>
      </c>
      <c r="B105" s="0" t="s">
        <v>38</v>
      </c>
      <c r="C105" s="0" t="s">
        <v>39</v>
      </c>
      <c r="D105" s="0" t="n">
        <v>35</v>
      </c>
      <c r="E105" s="0" t="s">
        <v>44</v>
      </c>
      <c r="F105" s="0" t="n">
        <v>2</v>
      </c>
      <c r="G105" s="0" t="str">
        <f aca="false">CONCATENATE(B105, "-",C105, "-", D105, "-", F105)</f>
        <v>M0111-B-35-2</v>
      </c>
      <c r="H105" s="0" t="n">
        <v>124.02</v>
      </c>
      <c r="I105" s="0" t="n">
        <v>125.02</v>
      </c>
    </row>
    <row r="106" customFormat="false" ht="14.25" hidden="false" customHeight="false" outlineLevel="0" collapsed="false">
      <c r="A106" s="0" t="n">
        <v>501</v>
      </c>
      <c r="B106" s="0" t="s">
        <v>38</v>
      </c>
      <c r="C106" s="0" t="s">
        <v>39</v>
      </c>
      <c r="D106" s="0" t="n">
        <v>35</v>
      </c>
      <c r="E106" s="0" t="s">
        <v>44</v>
      </c>
      <c r="F106" s="0" t="n">
        <v>3</v>
      </c>
      <c r="G106" s="0" t="str">
        <f aca="false">CONCATENATE(B106, "-",C106, "-", D106, "-", F106)</f>
        <v>M0111-B-35-3</v>
      </c>
      <c r="H106" s="0" t="n">
        <v>125.02</v>
      </c>
      <c r="I106" s="0" t="n">
        <v>125.67</v>
      </c>
    </row>
    <row r="107" customFormat="false" ht="14.25" hidden="false" customHeight="false" outlineLevel="0" collapsed="false">
      <c r="A107" s="0" t="n">
        <v>501</v>
      </c>
      <c r="B107" s="0" t="s">
        <v>38</v>
      </c>
      <c r="C107" s="0" t="s">
        <v>39</v>
      </c>
      <c r="D107" s="0" t="n">
        <v>36</v>
      </c>
      <c r="E107" s="0" t="s">
        <v>44</v>
      </c>
      <c r="F107" s="0" t="n">
        <v>1</v>
      </c>
      <c r="G107" s="0" t="str">
        <f aca="false">CONCATENATE(B107, "-",C107, "-", D107, "-", F107)</f>
        <v>M0111-B-36-1</v>
      </c>
      <c r="H107" s="0" t="n">
        <v>125.57</v>
      </c>
      <c r="I107" s="0" t="n">
        <v>126.57</v>
      </c>
    </row>
    <row r="108" customFormat="false" ht="14.25" hidden="false" customHeight="false" outlineLevel="0" collapsed="false">
      <c r="A108" s="0" t="n">
        <v>501</v>
      </c>
      <c r="B108" s="0" t="s">
        <v>38</v>
      </c>
      <c r="C108" s="0" t="s">
        <v>39</v>
      </c>
      <c r="D108" s="0" t="n">
        <v>36</v>
      </c>
      <c r="E108" s="0" t="s">
        <v>44</v>
      </c>
      <c r="F108" s="0" t="n">
        <v>2</v>
      </c>
      <c r="G108" s="0" t="str">
        <f aca="false">CONCATENATE(B108, "-",C108, "-", D108, "-", F108)</f>
        <v>M0111-B-36-2</v>
      </c>
      <c r="H108" s="0" t="n">
        <v>126.57</v>
      </c>
      <c r="I108" s="0" t="n">
        <v>127.48</v>
      </c>
    </row>
    <row r="109" customFormat="false" ht="14.25" hidden="false" customHeight="false" outlineLevel="0" collapsed="false">
      <c r="A109" s="0" t="n">
        <v>501</v>
      </c>
      <c r="B109" s="0" t="s">
        <v>38</v>
      </c>
      <c r="C109" s="0" t="s">
        <v>39</v>
      </c>
      <c r="D109" s="0" t="n">
        <v>37</v>
      </c>
      <c r="E109" s="0" t="s">
        <v>44</v>
      </c>
      <c r="F109" s="0" t="n">
        <v>1</v>
      </c>
      <c r="G109" s="0" t="str">
        <f aca="false">CONCATENATE(B109, "-",C109, "-", D109, "-", F109)</f>
        <v>M0111-B-37-1</v>
      </c>
      <c r="H109" s="0" t="n">
        <v>127.64</v>
      </c>
      <c r="I109" s="0" t="n">
        <v>128.71</v>
      </c>
    </row>
    <row r="110" customFormat="false" ht="14.25" hidden="false" customHeight="false" outlineLevel="0" collapsed="false">
      <c r="A110" s="0" t="n">
        <v>501</v>
      </c>
      <c r="B110" s="0" t="s">
        <v>38</v>
      </c>
      <c r="C110" s="0" t="s">
        <v>39</v>
      </c>
      <c r="D110" s="0" t="n">
        <v>38</v>
      </c>
      <c r="E110" s="0" t="s">
        <v>44</v>
      </c>
      <c r="F110" s="0" t="n">
        <v>1</v>
      </c>
      <c r="G110" s="0" t="str">
        <f aca="false">CONCATENATE(B110, "-",C110, "-", D110, "-", F110)</f>
        <v>M0111-B-38-1</v>
      </c>
      <c r="H110" s="0" t="n">
        <v>129.39</v>
      </c>
      <c r="I110" s="0" t="n">
        <v>130.89</v>
      </c>
    </row>
    <row r="111" customFormat="false" ht="14.25" hidden="false" customHeight="false" outlineLevel="0" collapsed="false">
      <c r="A111" s="0" t="n">
        <v>501</v>
      </c>
      <c r="B111" s="0" t="s">
        <v>38</v>
      </c>
      <c r="C111" s="0" t="s">
        <v>39</v>
      </c>
      <c r="D111" s="0" t="n">
        <v>38</v>
      </c>
      <c r="E111" s="0" t="s">
        <v>44</v>
      </c>
      <c r="F111" s="0" t="n">
        <v>2</v>
      </c>
      <c r="G111" s="0" t="str">
        <f aca="false">CONCATENATE(B111, "-",C111, "-", D111, "-", F111)</f>
        <v>M0111-B-38-2</v>
      </c>
      <c r="H111" s="0" t="n">
        <v>130.89</v>
      </c>
      <c r="I111" s="0" t="n">
        <v>131.49</v>
      </c>
    </row>
    <row r="112" customFormat="false" ht="14.25" hidden="false" customHeight="false" outlineLevel="0" collapsed="false">
      <c r="A112" s="0" t="n">
        <v>501</v>
      </c>
      <c r="B112" s="0" t="s">
        <v>38</v>
      </c>
      <c r="C112" s="0" t="s">
        <v>39</v>
      </c>
      <c r="D112" s="0" t="n">
        <v>39</v>
      </c>
      <c r="E112" s="0" t="s">
        <v>44</v>
      </c>
      <c r="F112" s="0" t="n">
        <v>1</v>
      </c>
      <c r="G112" s="0" t="str">
        <f aca="false">CONCATENATE(B112, "-",C112, "-", D112, "-", F112)</f>
        <v>M0111-B-39-1</v>
      </c>
      <c r="H112" s="0" t="n">
        <v>131.67</v>
      </c>
      <c r="I112" s="0" t="n">
        <v>133.16</v>
      </c>
    </row>
    <row r="113" customFormat="false" ht="14.25" hidden="false" customHeight="false" outlineLevel="0" collapsed="false">
      <c r="A113" s="0" t="n">
        <v>501</v>
      </c>
      <c r="B113" s="0" t="s">
        <v>38</v>
      </c>
      <c r="C113" s="0" t="s">
        <v>39</v>
      </c>
      <c r="D113" s="0" t="n">
        <v>39</v>
      </c>
      <c r="E113" s="0" t="s">
        <v>44</v>
      </c>
      <c r="F113" s="0" t="n">
        <v>2</v>
      </c>
      <c r="G113" s="0" t="str">
        <f aca="false">CONCATENATE(B113, "-",C113, "-", D113, "-", F113)</f>
        <v>M0111-B-39-2</v>
      </c>
      <c r="H113" s="0" t="n">
        <v>133.16</v>
      </c>
      <c r="I113" s="0" t="n">
        <v>134.46</v>
      </c>
    </row>
    <row r="114" customFormat="false" ht="14.25" hidden="false" customHeight="false" outlineLevel="0" collapsed="false">
      <c r="A114" s="0" t="n">
        <v>501</v>
      </c>
      <c r="B114" s="0" t="s">
        <v>38</v>
      </c>
      <c r="C114" s="0" t="s">
        <v>39</v>
      </c>
      <c r="D114" s="0" t="n">
        <v>40</v>
      </c>
      <c r="E114" s="0" t="s">
        <v>44</v>
      </c>
      <c r="F114" s="0" t="n">
        <v>1</v>
      </c>
      <c r="G114" s="0" t="str">
        <f aca="false">CONCATENATE(B114, "-",C114, "-", D114, "-", F114)</f>
        <v>M0111-B-40-1</v>
      </c>
      <c r="H114" s="0" t="n">
        <v>134.72</v>
      </c>
      <c r="I114" s="0" t="n">
        <v>135.87</v>
      </c>
    </row>
    <row r="115" customFormat="false" ht="14.25" hidden="false" customHeight="false" outlineLevel="0" collapsed="false">
      <c r="A115" s="0" t="n">
        <v>501</v>
      </c>
      <c r="B115" s="0" t="s">
        <v>38</v>
      </c>
      <c r="C115" s="0" t="s">
        <v>39</v>
      </c>
      <c r="D115" s="0" t="n">
        <v>41</v>
      </c>
      <c r="E115" s="0" t="s">
        <v>44</v>
      </c>
      <c r="F115" s="0" t="n">
        <v>1</v>
      </c>
      <c r="G115" s="0" t="str">
        <f aca="false">CONCATENATE(B115, "-",C115, "-", D115, "-", F115)</f>
        <v>M0111-B-41-1</v>
      </c>
      <c r="H115" s="0" t="n">
        <v>137.77</v>
      </c>
      <c r="I115" s="0" t="n">
        <v>139.27</v>
      </c>
    </row>
    <row r="116" customFormat="false" ht="14.25" hidden="false" customHeight="false" outlineLevel="0" collapsed="false">
      <c r="A116" s="0" t="n">
        <v>501</v>
      </c>
      <c r="B116" s="0" t="s">
        <v>38</v>
      </c>
      <c r="C116" s="0" t="s">
        <v>39</v>
      </c>
      <c r="D116" s="0" t="n">
        <v>41</v>
      </c>
      <c r="E116" s="0" t="s">
        <v>44</v>
      </c>
      <c r="F116" s="0" t="n">
        <v>2</v>
      </c>
      <c r="G116" s="0" t="str">
        <f aca="false">CONCATENATE(B116, "-",C116, "-", D116, "-", F116)</f>
        <v>M0111-B-41-2</v>
      </c>
      <c r="H116" s="0" t="n">
        <v>139.27</v>
      </c>
      <c r="I116" s="0" t="n">
        <v>140.23</v>
      </c>
    </row>
    <row r="117" customFormat="false" ht="14.25" hidden="false" customHeight="false" outlineLevel="0" collapsed="false">
      <c r="A117" s="0" t="n">
        <v>501</v>
      </c>
      <c r="B117" s="0" t="s">
        <v>38</v>
      </c>
      <c r="C117" s="0" t="s">
        <v>39</v>
      </c>
      <c r="D117" s="0" t="n">
        <v>42</v>
      </c>
      <c r="E117" s="0" t="s">
        <v>44</v>
      </c>
      <c r="F117" s="0" t="n">
        <v>1</v>
      </c>
      <c r="G117" s="0" t="str">
        <f aca="false">CONCATENATE(B117, "-",C117, "-", D117, "-", F117)</f>
        <v>M0111-B-42-1</v>
      </c>
      <c r="H117" s="0" t="n">
        <v>140.82</v>
      </c>
      <c r="I117" s="0" t="n">
        <v>141.87</v>
      </c>
    </row>
    <row r="118" customFormat="false" ht="14.25" hidden="false" customHeight="false" outlineLevel="0" collapsed="false">
      <c r="A118" s="0" t="n">
        <v>501</v>
      </c>
      <c r="B118" s="0" t="s">
        <v>38</v>
      </c>
      <c r="C118" s="0" t="s">
        <v>39</v>
      </c>
      <c r="D118" s="0" t="n">
        <v>43</v>
      </c>
      <c r="E118" s="0" t="s">
        <v>44</v>
      </c>
      <c r="F118" s="0" t="n">
        <v>1</v>
      </c>
      <c r="G118" s="0" t="str">
        <f aca="false">CONCATENATE(B118, "-",C118, "-", D118, "-", F118)</f>
        <v>M0111-B-43-1</v>
      </c>
      <c r="H118" s="0" t="n">
        <v>143.87</v>
      </c>
      <c r="I118" s="0" t="n">
        <v>144.72</v>
      </c>
    </row>
    <row r="119" customFormat="false" ht="14.25" hidden="false" customHeight="false" outlineLevel="0" collapsed="false">
      <c r="A119" s="0" t="n">
        <v>501</v>
      </c>
      <c r="B119" s="0" t="s">
        <v>38</v>
      </c>
      <c r="C119" s="0" t="s">
        <v>39</v>
      </c>
      <c r="D119" s="0" t="n">
        <v>43</v>
      </c>
      <c r="E119" s="0" t="s">
        <v>44</v>
      </c>
      <c r="F119" s="0" t="n">
        <v>2</v>
      </c>
      <c r="G119" s="0" t="str">
        <f aca="false">CONCATENATE(B119, "-",C119, "-", D119, "-", F119)</f>
        <v>M0111-B-43-2</v>
      </c>
      <c r="H119" s="0" t="n">
        <v>144.72</v>
      </c>
      <c r="I119" s="0" t="n">
        <v>145.26</v>
      </c>
    </row>
    <row r="120" customFormat="false" ht="14.25" hidden="false" customHeight="false" outlineLevel="0" collapsed="false">
      <c r="A120" s="0" t="n">
        <v>501</v>
      </c>
      <c r="B120" s="0" t="s">
        <v>38</v>
      </c>
      <c r="C120" s="0" t="s">
        <v>39</v>
      </c>
      <c r="D120" s="0" t="n">
        <v>44</v>
      </c>
      <c r="E120" s="0" t="s">
        <v>44</v>
      </c>
      <c r="F120" s="0" t="n">
        <v>1</v>
      </c>
      <c r="G120" s="0" t="str">
        <f aca="false">CONCATENATE(B120, "-",C120, "-", D120, "-", F120)</f>
        <v>M0111-B-44-1</v>
      </c>
      <c r="H120" s="0" t="n">
        <v>146.11</v>
      </c>
      <c r="I120" s="0" t="n">
        <v>147.61</v>
      </c>
    </row>
    <row r="121" customFormat="false" ht="14.25" hidden="false" customHeight="false" outlineLevel="0" collapsed="false">
      <c r="A121" s="0" t="n">
        <v>501</v>
      </c>
      <c r="B121" s="0" t="s">
        <v>38</v>
      </c>
      <c r="C121" s="0" t="s">
        <v>39</v>
      </c>
      <c r="D121" s="0" t="n">
        <v>44</v>
      </c>
      <c r="E121" s="0" t="s">
        <v>44</v>
      </c>
      <c r="F121" s="0" t="n">
        <v>2</v>
      </c>
      <c r="G121" s="0" t="str">
        <f aca="false">CONCATENATE(B121, "-",C121, "-", D121, "-", F121)</f>
        <v>M0111-B-44-2</v>
      </c>
      <c r="H121" s="0" t="n">
        <v>147.61</v>
      </c>
      <c r="I121" s="0" t="n">
        <v>148.4</v>
      </c>
    </row>
    <row r="122" customFormat="false" ht="14.25" hidden="false" customHeight="false" outlineLevel="0" collapsed="false">
      <c r="A122" s="0" t="n">
        <v>501</v>
      </c>
      <c r="B122" s="0" t="s">
        <v>38</v>
      </c>
      <c r="C122" s="0" t="s">
        <v>39</v>
      </c>
      <c r="D122" s="0" t="n">
        <v>45</v>
      </c>
      <c r="E122" s="0" t="s">
        <v>44</v>
      </c>
      <c r="F122" s="0" t="n">
        <v>1</v>
      </c>
      <c r="G122" s="0" t="str">
        <f aca="false">CONCATENATE(B122, "-",C122, "-", D122, "-", F122)</f>
        <v>M0111-B-45-1</v>
      </c>
      <c r="H122" s="0" t="n">
        <v>149.16</v>
      </c>
      <c r="I122" s="0" t="n">
        <v>150.14</v>
      </c>
    </row>
    <row r="123" customFormat="false" ht="14.25" hidden="false" customHeight="false" outlineLevel="0" collapsed="false">
      <c r="A123" s="0" t="n">
        <v>501</v>
      </c>
      <c r="B123" s="0" t="s">
        <v>38</v>
      </c>
      <c r="C123" s="0" t="s">
        <v>39</v>
      </c>
      <c r="D123" s="0" t="n">
        <v>46</v>
      </c>
      <c r="E123" s="0" t="s">
        <v>44</v>
      </c>
      <c r="F123" s="0" t="n">
        <v>1</v>
      </c>
      <c r="G123" s="0" t="str">
        <f aca="false">CONCATENATE(B123, "-",C123, "-", D123, "-", F123)</f>
        <v>M0111-B-46-1</v>
      </c>
      <c r="H123" s="0" t="n">
        <v>149.54</v>
      </c>
      <c r="I123" s="0" t="n">
        <v>151.04</v>
      </c>
    </row>
    <row r="124" customFormat="false" ht="14.25" hidden="false" customHeight="false" outlineLevel="0" collapsed="false">
      <c r="A124" s="0" t="n">
        <v>501</v>
      </c>
      <c r="B124" s="0" t="s">
        <v>38</v>
      </c>
      <c r="C124" s="0" t="s">
        <v>39</v>
      </c>
      <c r="D124" s="0" t="n">
        <v>46</v>
      </c>
      <c r="E124" s="0" t="s">
        <v>44</v>
      </c>
      <c r="F124" s="0" t="n">
        <v>2</v>
      </c>
      <c r="G124" s="0" t="str">
        <f aca="false">CONCATENATE(B124, "-",C124, "-", D124, "-", F124)</f>
        <v>M0111-B-46-2</v>
      </c>
      <c r="H124" s="0" t="n">
        <v>151.04</v>
      </c>
      <c r="I124" s="0" t="n">
        <v>152.29</v>
      </c>
    </row>
    <row r="125" customFormat="false" ht="14.25" hidden="false" customHeight="false" outlineLevel="0" collapsed="false">
      <c r="A125" s="0" t="n">
        <v>501</v>
      </c>
      <c r="B125" s="0" t="s">
        <v>38</v>
      </c>
      <c r="C125" s="0" t="s">
        <v>39</v>
      </c>
      <c r="D125" s="0" t="n">
        <v>47</v>
      </c>
      <c r="E125" s="0" t="s">
        <v>44</v>
      </c>
      <c r="F125" s="0" t="n">
        <v>1</v>
      </c>
      <c r="G125" s="0" t="str">
        <f aca="false">CONCATENATE(B125, "-",C125, "-", D125, "-", F125)</f>
        <v>M0111-B-47-1</v>
      </c>
      <c r="H125" s="0" t="n">
        <v>152.21</v>
      </c>
      <c r="I125" s="0" t="n">
        <v>153.71</v>
      </c>
    </row>
    <row r="126" customFormat="false" ht="14.25" hidden="false" customHeight="false" outlineLevel="0" collapsed="false">
      <c r="A126" s="0" t="n">
        <v>501</v>
      </c>
      <c r="B126" s="0" t="s">
        <v>38</v>
      </c>
      <c r="C126" s="0" t="s">
        <v>39</v>
      </c>
      <c r="D126" s="0" t="n">
        <v>47</v>
      </c>
      <c r="E126" s="0" t="s">
        <v>44</v>
      </c>
      <c r="F126" s="0" t="n">
        <v>2</v>
      </c>
      <c r="G126" s="0" t="str">
        <f aca="false">CONCATENATE(B126, "-",C126, "-", D126, "-", F126)</f>
        <v>M0111-B-47-2</v>
      </c>
      <c r="H126" s="0" t="n">
        <v>153.71</v>
      </c>
      <c r="I126" s="0" t="n">
        <v>154.71</v>
      </c>
    </row>
    <row r="127" customFormat="false" ht="14.25" hidden="false" customHeight="false" outlineLevel="0" collapsed="false">
      <c r="A127" s="0" t="n">
        <v>501</v>
      </c>
      <c r="B127" s="0" t="s">
        <v>38</v>
      </c>
      <c r="C127" s="0" t="s">
        <v>39</v>
      </c>
      <c r="D127" s="0" t="n">
        <v>47</v>
      </c>
      <c r="E127" s="0" t="s">
        <v>44</v>
      </c>
      <c r="F127" s="0" t="n">
        <v>3</v>
      </c>
      <c r="G127" s="0" t="str">
        <f aca="false">CONCATENATE(B127, "-",C127, "-", D127, "-", F127)</f>
        <v>M0111-B-47-3</v>
      </c>
      <c r="H127" s="0" t="n">
        <v>154.71</v>
      </c>
      <c r="I127" s="0" t="n">
        <v>155.35</v>
      </c>
    </row>
    <row r="128" customFormat="false" ht="14.25" hidden="false" customHeight="false" outlineLevel="0" collapsed="false">
      <c r="A128" s="0" t="n">
        <v>501</v>
      </c>
      <c r="B128" s="0" t="s">
        <v>38</v>
      </c>
      <c r="C128" s="0" t="s">
        <v>39</v>
      </c>
      <c r="D128" s="0" t="n">
        <v>48</v>
      </c>
      <c r="E128" s="0" t="s">
        <v>44</v>
      </c>
      <c r="F128" s="0" t="n">
        <v>1</v>
      </c>
      <c r="G128" s="0" t="str">
        <f aca="false">CONCATENATE(B128, "-",C128, "-", D128, "-", F128)</f>
        <v>M0111-B-48-1</v>
      </c>
      <c r="H128" s="0" t="n">
        <v>155.26</v>
      </c>
      <c r="I128" s="0" t="n">
        <v>155.73</v>
      </c>
    </row>
    <row r="129" customFormat="false" ht="14.25" hidden="false" customHeight="false" outlineLevel="0" collapsed="false">
      <c r="A129" s="0" t="n">
        <v>501</v>
      </c>
      <c r="B129" s="0" t="s">
        <v>38</v>
      </c>
      <c r="C129" s="0" t="s">
        <v>39</v>
      </c>
      <c r="D129" s="0" t="n">
        <v>49</v>
      </c>
      <c r="E129" s="0" t="s">
        <v>44</v>
      </c>
      <c r="F129" s="0" t="n">
        <v>1</v>
      </c>
      <c r="G129" s="0" t="str">
        <f aca="false">CONCATENATE(B129, "-",C129, "-", D129, "-", F129)</f>
        <v>M0111-B-49-1</v>
      </c>
      <c r="H129" s="0" t="n">
        <v>158.31</v>
      </c>
      <c r="I129" s="0" t="n">
        <v>158.5</v>
      </c>
    </row>
    <row r="130" customFormat="false" ht="14.25" hidden="false" customHeight="false" outlineLevel="0" collapsed="false">
      <c r="A130" s="0" t="n">
        <v>501</v>
      </c>
      <c r="B130" s="0" t="s">
        <v>38</v>
      </c>
      <c r="C130" s="0" t="s">
        <v>39</v>
      </c>
      <c r="D130" s="0" t="n">
        <v>50</v>
      </c>
      <c r="E130" s="0" t="s">
        <v>44</v>
      </c>
      <c r="F130" s="0" t="n">
        <v>1</v>
      </c>
      <c r="G130" s="0" t="str">
        <f aca="false">CONCATENATE(B130, "-",C130, "-", D130, "-", F130)</f>
        <v>M0111-B-50-1</v>
      </c>
      <c r="H130" s="0" t="n">
        <v>158.56</v>
      </c>
      <c r="I130" s="0" t="n">
        <v>158.75</v>
      </c>
    </row>
    <row r="131" customFormat="false" ht="14.25" hidden="false" customHeight="false" outlineLevel="0" collapsed="false">
      <c r="A131" s="0" t="n">
        <v>501</v>
      </c>
      <c r="B131" s="0" t="s">
        <v>38</v>
      </c>
      <c r="C131" s="0" t="s">
        <v>39</v>
      </c>
      <c r="D131" s="0" t="n">
        <v>51</v>
      </c>
      <c r="E131" s="0" t="s">
        <v>44</v>
      </c>
      <c r="F131" s="0" t="n">
        <v>1</v>
      </c>
      <c r="G131" s="0" t="str">
        <f aca="false">CONCATENATE(B131, "-",C131, "-", D131, "-", F131)</f>
        <v>M0111-B-51-1</v>
      </c>
      <c r="H131" s="0" t="n">
        <v>161.36</v>
      </c>
      <c r="I131" s="0" t="n">
        <v>161.96</v>
      </c>
    </row>
    <row r="132" customFormat="false" ht="14.25" hidden="false" customHeight="false" outlineLevel="0" collapsed="false">
      <c r="A132" s="0" t="n">
        <v>501</v>
      </c>
      <c r="B132" s="0" t="s">
        <v>38</v>
      </c>
      <c r="C132" s="0" t="s">
        <v>39</v>
      </c>
      <c r="D132" s="0" t="n">
        <v>52</v>
      </c>
      <c r="E132" s="0" t="s">
        <v>44</v>
      </c>
      <c r="F132" s="0" t="n">
        <v>1</v>
      </c>
      <c r="G132" s="0" t="str">
        <f aca="false">CONCATENATE(B132, "-",C132, "-", D132, "-", F132)</f>
        <v>M0111-B-52-1</v>
      </c>
      <c r="H132" s="0" t="n">
        <v>162.06</v>
      </c>
      <c r="I132" s="0" t="n">
        <v>162.32</v>
      </c>
    </row>
    <row r="133" customFormat="false" ht="14.25" hidden="false" customHeight="false" outlineLevel="0" collapsed="false">
      <c r="A133" s="0" t="n">
        <v>501</v>
      </c>
      <c r="B133" s="0" t="s">
        <v>38</v>
      </c>
      <c r="C133" s="0" t="s">
        <v>39</v>
      </c>
      <c r="D133" s="0" t="n">
        <v>53</v>
      </c>
      <c r="E133" s="0" t="s">
        <v>44</v>
      </c>
      <c r="F133" s="0" t="n">
        <v>1</v>
      </c>
      <c r="G133" s="0" t="str">
        <f aca="false">CONCATENATE(B133, "-",C133, "-", D133, "-", F133)</f>
        <v>M0111-B-53-1</v>
      </c>
      <c r="H133" s="0" t="n">
        <v>163.84</v>
      </c>
      <c r="I133" s="0" t="n">
        <v>164.1</v>
      </c>
    </row>
    <row r="134" customFormat="false" ht="14.25" hidden="false" customHeight="false" outlineLevel="0" collapsed="false">
      <c r="A134" s="0" t="n">
        <v>501</v>
      </c>
      <c r="B134" s="0" t="s">
        <v>38</v>
      </c>
      <c r="C134" s="0" t="s">
        <v>39</v>
      </c>
      <c r="D134" s="0" t="n">
        <v>54</v>
      </c>
      <c r="E134" s="0" t="s">
        <v>44</v>
      </c>
      <c r="F134" s="0" t="n">
        <v>1</v>
      </c>
      <c r="G134" s="0" t="str">
        <f aca="false">CONCATENATE(B134, "-",C134, "-", D134, "-", F134)</f>
        <v>M0111-B-54-1</v>
      </c>
      <c r="H134" s="0" t="n">
        <v>165.46</v>
      </c>
      <c r="I134" s="0" t="n">
        <v>165.84</v>
      </c>
    </row>
    <row r="135" customFormat="false" ht="14.25" hidden="false" customHeight="false" outlineLevel="0" collapsed="false">
      <c r="A135" s="0" t="n">
        <v>501</v>
      </c>
      <c r="B135" s="0" t="s">
        <v>38</v>
      </c>
      <c r="C135" s="0" t="s">
        <v>39</v>
      </c>
      <c r="D135" s="0" t="n">
        <v>55</v>
      </c>
      <c r="E135" s="0" t="s">
        <v>44</v>
      </c>
      <c r="F135" s="0" t="n">
        <v>1</v>
      </c>
      <c r="G135" s="0" t="str">
        <f aca="false">CONCATENATE(B135, "-",C135, "-", D135, "-", F135)</f>
        <v>M0111-B-55-1</v>
      </c>
      <c r="H135" s="0" t="n">
        <v>165.81</v>
      </c>
      <c r="I135" s="0" t="n">
        <v>166.31</v>
      </c>
    </row>
    <row r="136" customFormat="false" ht="14.25" hidden="false" customHeight="false" outlineLevel="0" collapsed="false">
      <c r="A136" s="0" t="n">
        <v>501</v>
      </c>
      <c r="B136" s="0" t="s">
        <v>38</v>
      </c>
      <c r="C136" s="0" t="s">
        <v>39</v>
      </c>
      <c r="D136" s="0" t="n">
        <v>56</v>
      </c>
      <c r="E136" s="0" t="s">
        <v>44</v>
      </c>
      <c r="F136" s="0" t="n">
        <v>1</v>
      </c>
      <c r="G136" s="0" t="str">
        <f aca="false">CONCATENATE(B136, "-",C136, "-", D136, "-", F136)</f>
        <v>M0111-B-56-1</v>
      </c>
      <c r="H136" s="0" t="n">
        <v>166.21</v>
      </c>
      <c r="I136" s="0" t="n">
        <v>166.52</v>
      </c>
    </row>
    <row r="137" customFormat="false" ht="14.25" hidden="false" customHeight="false" outlineLevel="0" collapsed="false">
      <c r="A137" s="0" t="n">
        <v>501</v>
      </c>
      <c r="B137" s="0" t="s">
        <v>38</v>
      </c>
      <c r="C137" s="0" t="s">
        <v>39</v>
      </c>
      <c r="D137" s="0" t="n">
        <v>57</v>
      </c>
      <c r="E137" s="0" t="s">
        <v>44</v>
      </c>
      <c r="F137" s="0" t="n">
        <v>1</v>
      </c>
      <c r="G137" s="0" t="str">
        <f aca="false">CONCATENATE(B137, "-",C137, "-", D137, "-", F137)</f>
        <v>M0111-B-57-1</v>
      </c>
      <c r="H137" s="0" t="n">
        <v>167.46</v>
      </c>
      <c r="I137" s="0" t="n">
        <v>168.16</v>
      </c>
    </row>
    <row r="138" customFormat="false" ht="14.25" hidden="false" customHeight="false" outlineLevel="0" collapsed="false">
      <c r="A138" s="0" t="n">
        <v>501</v>
      </c>
      <c r="B138" s="0" t="s">
        <v>38</v>
      </c>
      <c r="C138" s="0" t="s">
        <v>39</v>
      </c>
      <c r="D138" s="0" t="n">
        <v>58</v>
      </c>
      <c r="E138" s="0" t="s">
        <v>44</v>
      </c>
      <c r="F138" s="0" t="n">
        <v>1</v>
      </c>
      <c r="G138" s="0" t="str">
        <f aca="false">CONCATENATE(B138, "-",C138, "-", D138, "-", F138)</f>
        <v>M0111-B-58-1</v>
      </c>
      <c r="H138" s="0" t="n">
        <v>168.51</v>
      </c>
      <c r="I138" s="0" t="n">
        <v>169.33</v>
      </c>
    </row>
    <row r="139" customFormat="false" ht="14.25" hidden="false" customHeight="false" outlineLevel="0" collapsed="false">
      <c r="A139" s="0" t="n">
        <v>501</v>
      </c>
      <c r="B139" s="0" t="s">
        <v>38</v>
      </c>
      <c r="C139" s="0" t="s">
        <v>39</v>
      </c>
      <c r="D139" s="0" t="n">
        <v>59</v>
      </c>
      <c r="E139" s="0" t="s">
        <v>44</v>
      </c>
      <c r="F139" s="0" t="n">
        <v>1</v>
      </c>
      <c r="G139" s="0" t="str">
        <f aca="false">CONCATENATE(B139, "-",C139, "-", D139, "-", F139)</f>
        <v>M0111-B-59-1</v>
      </c>
      <c r="H139" s="0" t="n">
        <v>169.51</v>
      </c>
      <c r="I139" s="0" t="n">
        <v>170.22</v>
      </c>
    </row>
    <row r="140" customFormat="false" ht="14.25" hidden="false" customHeight="false" outlineLevel="0" collapsed="false">
      <c r="A140" s="0" t="n">
        <v>501</v>
      </c>
      <c r="B140" s="0" t="s">
        <v>38</v>
      </c>
      <c r="C140" s="0" t="s">
        <v>39</v>
      </c>
      <c r="D140" s="0" t="n">
        <v>59</v>
      </c>
      <c r="E140" s="0" t="s">
        <v>44</v>
      </c>
      <c r="F140" s="0" t="n">
        <v>2</v>
      </c>
      <c r="G140" s="0" t="str">
        <f aca="false">CONCATENATE(B140, "-",C140, "-", D140, "-", F140)</f>
        <v>M0111-B-59-2</v>
      </c>
      <c r="H140" s="0" t="n">
        <v>170.22</v>
      </c>
      <c r="I140" s="0" t="n">
        <v>170.76</v>
      </c>
    </row>
    <row r="141" customFormat="false" ht="14.25" hidden="false" customHeight="false" outlineLevel="0" collapsed="false">
      <c r="A141" s="0" t="n">
        <v>501</v>
      </c>
      <c r="B141" s="0" t="s">
        <v>38</v>
      </c>
      <c r="C141" s="0" t="s">
        <v>39</v>
      </c>
      <c r="D141" s="0" t="n">
        <v>59</v>
      </c>
      <c r="E141" s="0" t="s">
        <v>44</v>
      </c>
      <c r="F141" s="0" t="n">
        <v>3</v>
      </c>
      <c r="G141" s="0" t="str">
        <f aca="false">CONCATENATE(B141, "-",C141, "-", D141, "-", F141)</f>
        <v>M0111-B-59-3</v>
      </c>
      <c r="H141" s="0" t="n">
        <v>170.76</v>
      </c>
      <c r="I141" s="0" t="n">
        <v>170.9</v>
      </c>
    </row>
    <row r="142" customFormat="false" ht="14.25" hidden="false" customHeight="false" outlineLevel="0" collapsed="false">
      <c r="A142" s="0" t="n">
        <v>501</v>
      </c>
      <c r="B142" s="0" t="s">
        <v>38</v>
      </c>
      <c r="C142" s="0" t="s">
        <v>39</v>
      </c>
      <c r="D142" s="0" t="n">
        <v>60</v>
      </c>
      <c r="E142" s="0" t="s">
        <v>44</v>
      </c>
      <c r="F142" s="0" t="n">
        <v>1</v>
      </c>
      <c r="G142" s="0" t="str">
        <f aca="false">CONCATENATE(B142, "-",C142, "-", D142, "-", F142)</f>
        <v>M0111-B-60-1</v>
      </c>
      <c r="H142" s="0" t="n">
        <v>172.56</v>
      </c>
      <c r="I142" s="0" t="n">
        <v>173.28</v>
      </c>
    </row>
    <row r="143" customFormat="false" ht="14.25" hidden="false" customHeight="false" outlineLevel="0" collapsed="false">
      <c r="A143" s="0" t="n">
        <v>501</v>
      </c>
      <c r="B143" s="0" t="s">
        <v>38</v>
      </c>
      <c r="C143" s="0" t="s">
        <v>39</v>
      </c>
      <c r="D143" s="0" t="n">
        <v>60</v>
      </c>
      <c r="E143" s="0" t="s">
        <v>44</v>
      </c>
      <c r="F143" s="0" t="n">
        <v>2</v>
      </c>
      <c r="G143" s="0" t="str">
        <f aca="false">CONCATENATE(B143, "-",C143, "-", D143, "-", F143)</f>
        <v>M0111-B-60-2</v>
      </c>
      <c r="H143" s="0" t="n">
        <v>173.28</v>
      </c>
      <c r="I143" s="0" t="n">
        <v>174.76</v>
      </c>
    </row>
    <row r="144" customFormat="false" ht="14.25" hidden="false" customHeight="false" outlineLevel="0" collapsed="false">
      <c r="A144" s="0" t="n">
        <v>501</v>
      </c>
      <c r="B144" s="0" t="s">
        <v>38</v>
      </c>
      <c r="C144" s="0" t="s">
        <v>39</v>
      </c>
      <c r="D144" s="0" t="n">
        <v>60</v>
      </c>
      <c r="E144" s="0" t="s">
        <v>44</v>
      </c>
      <c r="F144" s="0" t="n">
        <v>3</v>
      </c>
      <c r="G144" s="0" t="str">
        <f aca="false">CONCATENATE(B144, "-",C144, "-", D144, "-", F144)</f>
        <v>M0111-B-60-3</v>
      </c>
      <c r="H144" s="0" t="n">
        <v>174.76</v>
      </c>
      <c r="I144" s="0" t="n">
        <v>175.58</v>
      </c>
    </row>
    <row r="145" customFormat="false" ht="14.25" hidden="false" customHeight="false" outlineLevel="0" collapsed="false">
      <c r="A145" s="0" t="n">
        <v>501</v>
      </c>
      <c r="B145" s="0" t="s">
        <v>38</v>
      </c>
      <c r="C145" s="0" t="s">
        <v>39</v>
      </c>
      <c r="D145" s="0" t="n">
        <v>60</v>
      </c>
      <c r="E145" s="0" t="s">
        <v>44</v>
      </c>
      <c r="F145" s="0" t="n">
        <v>4</v>
      </c>
      <c r="G145" s="0" t="str">
        <f aca="false">CONCATENATE(B145, "-",C145, "-", D145, "-", F145)</f>
        <v>M0111-B-60-4</v>
      </c>
      <c r="H145" s="0" t="n">
        <v>175.58</v>
      </c>
      <c r="I145" s="0" t="n">
        <v>175.78</v>
      </c>
    </row>
    <row r="146" customFormat="false" ht="14.25" hidden="false" customHeight="false" outlineLevel="0" collapsed="false">
      <c r="A146" s="0" t="n">
        <v>501</v>
      </c>
      <c r="B146" s="0" t="s">
        <v>38</v>
      </c>
      <c r="C146" s="0" t="s">
        <v>39</v>
      </c>
      <c r="D146" s="0" t="n">
        <v>61</v>
      </c>
      <c r="E146" s="0" t="s">
        <v>44</v>
      </c>
      <c r="F146" s="0" t="n">
        <v>1</v>
      </c>
      <c r="G146" s="0" t="str">
        <f aca="false">CONCATENATE(B146, "-",C146, "-", D146, "-", F146)</f>
        <v>M0111-B-61-1</v>
      </c>
      <c r="H146" s="0" t="n">
        <v>175.61</v>
      </c>
      <c r="I146" s="0" t="n">
        <v>177.11</v>
      </c>
    </row>
    <row r="147" customFormat="false" ht="14.25" hidden="false" customHeight="false" outlineLevel="0" collapsed="false">
      <c r="A147" s="0" t="n">
        <v>501</v>
      </c>
      <c r="B147" s="0" t="s">
        <v>38</v>
      </c>
      <c r="C147" s="0" t="s">
        <v>39</v>
      </c>
      <c r="D147" s="0" t="n">
        <v>61</v>
      </c>
      <c r="E147" s="0" t="s">
        <v>44</v>
      </c>
      <c r="F147" s="0" t="n">
        <v>2</v>
      </c>
      <c r="G147" s="0" t="str">
        <f aca="false">CONCATENATE(B147, "-",C147, "-", D147, "-", F147)</f>
        <v>M0111-B-61-2</v>
      </c>
      <c r="H147" s="0" t="n">
        <v>177.11</v>
      </c>
      <c r="I147" s="0" t="n">
        <v>178.11</v>
      </c>
    </row>
    <row r="148" customFormat="false" ht="14.25" hidden="false" customHeight="false" outlineLevel="0" collapsed="false">
      <c r="A148" s="0" t="n">
        <v>501</v>
      </c>
      <c r="B148" s="0" t="s">
        <v>38</v>
      </c>
      <c r="C148" s="0" t="s">
        <v>39</v>
      </c>
      <c r="D148" s="0" t="n">
        <v>61</v>
      </c>
      <c r="E148" s="0" t="s">
        <v>44</v>
      </c>
      <c r="F148" s="0" t="n">
        <v>3</v>
      </c>
      <c r="G148" s="0" t="str">
        <f aca="false">CONCATENATE(B148, "-",C148, "-", D148, "-", F148)</f>
        <v>M0111-B-61-3</v>
      </c>
      <c r="H148" s="0" t="n">
        <v>178.11</v>
      </c>
      <c r="I148" s="0" t="n">
        <v>178.68</v>
      </c>
    </row>
    <row r="149" customFormat="false" ht="14.25" hidden="false" customHeight="false" outlineLevel="0" collapsed="false">
      <c r="A149" s="0" t="n">
        <v>501</v>
      </c>
      <c r="B149" s="0" t="s">
        <v>38</v>
      </c>
      <c r="C149" s="0" t="s">
        <v>39</v>
      </c>
      <c r="D149" s="0" t="n">
        <v>61</v>
      </c>
      <c r="E149" s="0" t="s">
        <v>44</v>
      </c>
      <c r="F149" s="0" t="n">
        <v>4</v>
      </c>
      <c r="G149" s="0" t="str">
        <f aca="false">CONCATENATE(B149, "-",C149, "-", D149, "-", F149)</f>
        <v>M0111-B-61-4</v>
      </c>
      <c r="H149" s="0" t="n">
        <v>178.68</v>
      </c>
      <c r="I149" s="0" t="n">
        <v>178.85</v>
      </c>
    </row>
    <row r="150" customFormat="false" ht="14.25" hidden="false" customHeight="false" outlineLevel="0" collapsed="false">
      <c r="A150" s="0" t="n">
        <v>501</v>
      </c>
      <c r="B150" s="0" t="s">
        <v>38</v>
      </c>
      <c r="C150" s="0" t="s">
        <v>39</v>
      </c>
      <c r="D150" s="0" t="n">
        <v>62</v>
      </c>
      <c r="E150" s="0" t="s">
        <v>44</v>
      </c>
      <c r="F150" s="0" t="n">
        <v>1</v>
      </c>
      <c r="G150" s="0" t="str">
        <f aca="false">CONCATENATE(B150, "-",C150, "-", D150, "-", F150)</f>
        <v>M0111-B-62-1</v>
      </c>
      <c r="H150" s="0" t="n">
        <v>178.66</v>
      </c>
      <c r="I150" s="0" t="n">
        <v>180.16</v>
      </c>
    </row>
    <row r="151" customFormat="false" ht="14.25" hidden="false" customHeight="false" outlineLevel="0" collapsed="false">
      <c r="A151" s="0" t="n">
        <v>501</v>
      </c>
      <c r="B151" s="0" t="s">
        <v>38</v>
      </c>
      <c r="C151" s="0" t="s">
        <v>39</v>
      </c>
      <c r="D151" s="0" t="n">
        <v>63</v>
      </c>
      <c r="E151" s="0" t="s">
        <v>44</v>
      </c>
      <c r="F151" s="0" t="n">
        <v>1</v>
      </c>
      <c r="G151" s="0" t="str">
        <f aca="false">CONCATENATE(B151, "-",C151, "-", D151, "-", F151)</f>
        <v>M0111-B-63-1</v>
      </c>
      <c r="H151" s="0" t="n">
        <v>181.71</v>
      </c>
      <c r="I151" s="0" t="n">
        <v>183.21</v>
      </c>
    </row>
    <row r="152" customFormat="false" ht="14.25" hidden="false" customHeight="false" outlineLevel="0" collapsed="false">
      <c r="A152" s="0" t="n">
        <v>501</v>
      </c>
      <c r="B152" s="0" t="s">
        <v>38</v>
      </c>
      <c r="C152" s="0" t="s">
        <v>39</v>
      </c>
      <c r="D152" s="0" t="n">
        <v>63</v>
      </c>
      <c r="E152" s="0" t="s">
        <v>44</v>
      </c>
      <c r="F152" s="0" t="n">
        <v>2</v>
      </c>
      <c r="G152" s="0" t="str">
        <f aca="false">CONCATENATE(B152, "-",C152, "-", D152, "-", F152)</f>
        <v>M0111-B-63-2</v>
      </c>
      <c r="H152" s="0" t="n">
        <v>183.21</v>
      </c>
      <c r="I152" s="0" t="n">
        <v>184.21</v>
      </c>
    </row>
    <row r="153" customFormat="false" ht="14.25" hidden="false" customHeight="false" outlineLevel="0" collapsed="false">
      <c r="A153" s="0" t="n">
        <v>501</v>
      </c>
      <c r="B153" s="0" t="s">
        <v>38</v>
      </c>
      <c r="C153" s="0" t="s">
        <v>39</v>
      </c>
      <c r="D153" s="0" t="n">
        <v>63</v>
      </c>
      <c r="E153" s="0" t="s">
        <v>44</v>
      </c>
      <c r="F153" s="0" t="n">
        <v>3</v>
      </c>
      <c r="G153" s="0" t="str">
        <f aca="false">CONCATENATE(B153, "-",C153, "-", D153, "-", F153)</f>
        <v>M0111-B-63-3</v>
      </c>
      <c r="H153" s="0" t="n">
        <v>184.21</v>
      </c>
      <c r="I153" s="0" t="n">
        <v>184.79</v>
      </c>
    </row>
    <row r="154" customFormat="false" ht="14.25" hidden="false" customHeight="false" outlineLevel="0" collapsed="false">
      <c r="A154" s="0" t="n">
        <v>501</v>
      </c>
      <c r="B154" s="0" t="s">
        <v>38</v>
      </c>
      <c r="C154" s="0" t="s">
        <v>39</v>
      </c>
      <c r="D154" s="0" t="n">
        <v>63</v>
      </c>
      <c r="E154" s="0" t="s">
        <v>44</v>
      </c>
      <c r="F154" s="0" t="n">
        <v>4</v>
      </c>
      <c r="G154" s="0" t="str">
        <f aca="false">CONCATENATE(B154, "-",C154, "-", D154, "-", F154)</f>
        <v>M0111-B-63-4</v>
      </c>
      <c r="H154" s="0" t="n">
        <v>184.79</v>
      </c>
      <c r="I154" s="0" t="n">
        <v>184.92</v>
      </c>
    </row>
    <row r="155" customFormat="false" ht="14.25" hidden="false" customHeight="false" outlineLevel="0" collapsed="false">
      <c r="A155" s="0" t="n">
        <v>501</v>
      </c>
      <c r="B155" s="0" t="s">
        <v>38</v>
      </c>
      <c r="C155" s="0" t="s">
        <v>39</v>
      </c>
      <c r="D155" s="0" t="n">
        <v>64</v>
      </c>
      <c r="E155" s="0" t="s">
        <v>44</v>
      </c>
      <c r="F155" s="0" t="n">
        <v>1</v>
      </c>
      <c r="G155" s="0" t="str">
        <f aca="false">CONCATENATE(B155, "-",C155, "-", D155, "-", F155)</f>
        <v>M0111-B-64-1</v>
      </c>
      <c r="H155" s="0" t="n">
        <v>184.76</v>
      </c>
      <c r="I155" s="0" t="n">
        <v>185.33</v>
      </c>
    </row>
    <row r="156" customFormat="false" ht="14.25" hidden="false" customHeight="false" outlineLevel="0" collapsed="false">
      <c r="A156" s="0" t="n">
        <v>501</v>
      </c>
      <c r="B156" s="0" t="s">
        <v>38</v>
      </c>
      <c r="C156" s="0" t="s">
        <v>39</v>
      </c>
      <c r="D156" s="0" t="n">
        <v>64</v>
      </c>
      <c r="E156" s="0" t="s">
        <v>44</v>
      </c>
      <c r="F156" s="0" t="n">
        <v>2</v>
      </c>
      <c r="G156" s="0" t="str">
        <f aca="false">CONCATENATE(B156, "-",C156, "-", D156, "-", F156)</f>
        <v>M0111-B-64-2</v>
      </c>
      <c r="H156" s="0" t="n">
        <v>185.33</v>
      </c>
      <c r="I156" s="0" t="n">
        <v>185.66</v>
      </c>
    </row>
    <row r="157" customFormat="false" ht="14.25" hidden="false" customHeight="false" outlineLevel="0" collapsed="false">
      <c r="A157" s="0" t="n">
        <v>501</v>
      </c>
      <c r="B157" s="0" t="s">
        <v>38</v>
      </c>
      <c r="C157" s="0" t="s">
        <v>39</v>
      </c>
      <c r="D157" s="0" t="n">
        <v>65</v>
      </c>
      <c r="E157" s="0" t="s">
        <v>44</v>
      </c>
      <c r="F157" s="0" t="n">
        <v>1</v>
      </c>
      <c r="G157" s="0" t="str">
        <f aca="false">CONCATENATE(B157, "-",C157, "-", D157, "-", F157)</f>
        <v>M0111-B-65-1</v>
      </c>
      <c r="H157" s="0" t="n">
        <v>187.81</v>
      </c>
      <c r="I157" s="0" t="n">
        <v>189.3</v>
      </c>
    </row>
    <row r="158" customFormat="false" ht="14.25" hidden="false" customHeight="false" outlineLevel="0" collapsed="false">
      <c r="A158" s="0" t="n">
        <v>501</v>
      </c>
      <c r="B158" s="0" t="s">
        <v>38</v>
      </c>
      <c r="C158" s="0" t="s">
        <v>39</v>
      </c>
      <c r="D158" s="0" t="n">
        <v>65</v>
      </c>
      <c r="E158" s="0" t="s">
        <v>44</v>
      </c>
      <c r="F158" s="0" t="n">
        <v>2</v>
      </c>
      <c r="G158" s="0" t="str">
        <f aca="false">CONCATENATE(B158, "-",C158, "-", D158, "-", F158)</f>
        <v>M0111-B-65-2</v>
      </c>
      <c r="H158" s="0" t="n">
        <v>189.3</v>
      </c>
      <c r="I158" s="0" t="n">
        <v>190.22</v>
      </c>
    </row>
    <row r="159" customFormat="false" ht="14.25" hidden="false" customHeight="false" outlineLevel="0" collapsed="false">
      <c r="A159" s="0" t="n">
        <v>501</v>
      </c>
      <c r="B159" s="0" t="s">
        <v>38</v>
      </c>
      <c r="C159" s="0" t="s">
        <v>39</v>
      </c>
      <c r="D159" s="0" t="n">
        <v>65</v>
      </c>
      <c r="E159" s="0" t="s">
        <v>44</v>
      </c>
      <c r="F159" s="0" t="n">
        <v>3</v>
      </c>
      <c r="G159" s="0" t="str">
        <f aca="false">CONCATENATE(B159, "-",C159, "-", D159, "-", F159)</f>
        <v>M0111-B-65-3</v>
      </c>
      <c r="H159" s="0" t="n">
        <v>190.22</v>
      </c>
      <c r="I159" s="0" t="n">
        <v>190.87</v>
      </c>
    </row>
    <row r="160" customFormat="false" ht="14.25" hidden="false" customHeight="false" outlineLevel="0" collapsed="false">
      <c r="A160" s="0" t="n">
        <v>501</v>
      </c>
      <c r="B160" s="0" t="s">
        <v>38</v>
      </c>
      <c r="C160" s="0" t="s">
        <v>39</v>
      </c>
      <c r="D160" s="0" t="n">
        <v>65</v>
      </c>
      <c r="E160" s="0" t="s">
        <v>44</v>
      </c>
      <c r="F160" s="0" t="n">
        <v>4</v>
      </c>
      <c r="G160" s="0" t="str">
        <f aca="false">CONCATENATE(B160, "-",C160, "-", D160, "-", F160)</f>
        <v>M0111-B-65-4</v>
      </c>
      <c r="H160" s="0" t="n">
        <v>190.87</v>
      </c>
      <c r="I160" s="0" t="n">
        <v>190.98</v>
      </c>
    </row>
    <row r="161" customFormat="false" ht="14.25" hidden="false" customHeight="false" outlineLevel="0" collapsed="false">
      <c r="A161" s="0" t="n">
        <v>501</v>
      </c>
      <c r="B161" s="0" t="s">
        <v>38</v>
      </c>
      <c r="C161" s="0" t="s">
        <v>39</v>
      </c>
      <c r="D161" s="0" t="n">
        <v>66</v>
      </c>
      <c r="E161" s="0" t="s">
        <v>44</v>
      </c>
      <c r="F161" s="0" t="n">
        <v>1</v>
      </c>
      <c r="G161" s="0" t="str">
        <f aca="false">CONCATENATE(B161, "-",C161, "-", D161, "-", F161)</f>
        <v>M0111-B-66-1</v>
      </c>
      <c r="H161" s="0" t="n">
        <v>190.86</v>
      </c>
      <c r="I161" s="0" t="n">
        <v>192.35</v>
      </c>
    </row>
    <row r="162" customFormat="false" ht="14.25" hidden="false" customHeight="false" outlineLevel="0" collapsed="false">
      <c r="A162" s="0" t="n">
        <v>501</v>
      </c>
      <c r="B162" s="0" t="s">
        <v>38</v>
      </c>
      <c r="C162" s="0" t="s">
        <v>39</v>
      </c>
      <c r="D162" s="0" t="n">
        <v>66</v>
      </c>
      <c r="E162" s="0" t="s">
        <v>44</v>
      </c>
      <c r="F162" s="0" t="n">
        <v>2</v>
      </c>
      <c r="G162" s="0" t="str">
        <f aca="false">CONCATENATE(B162, "-",C162, "-", D162, "-", F162)</f>
        <v>M0111-B-66-2</v>
      </c>
      <c r="H162" s="0" t="n">
        <v>192.35</v>
      </c>
      <c r="I162" s="0" t="n">
        <v>193.25</v>
      </c>
    </row>
    <row r="163" customFormat="false" ht="14.25" hidden="false" customHeight="false" outlineLevel="0" collapsed="false">
      <c r="A163" s="0" t="n">
        <v>501</v>
      </c>
      <c r="B163" s="0" t="s">
        <v>38</v>
      </c>
      <c r="C163" s="0" t="s">
        <v>39</v>
      </c>
      <c r="D163" s="0" t="n">
        <v>66</v>
      </c>
      <c r="E163" s="0" t="s">
        <v>44</v>
      </c>
      <c r="F163" s="0" t="n">
        <v>3</v>
      </c>
      <c r="G163" s="0" t="str">
        <f aca="false">CONCATENATE(B163, "-",C163, "-", D163, "-", F163)</f>
        <v>M0111-B-66-3</v>
      </c>
      <c r="H163" s="0" t="n">
        <v>193.25</v>
      </c>
      <c r="I163" s="0" t="n">
        <v>193.93</v>
      </c>
    </row>
    <row r="164" customFormat="false" ht="14.25" hidden="false" customHeight="false" outlineLevel="0" collapsed="false">
      <c r="A164" s="0" t="n">
        <v>501</v>
      </c>
      <c r="B164" s="0" t="s">
        <v>38</v>
      </c>
      <c r="C164" s="0" t="s">
        <v>39</v>
      </c>
      <c r="D164" s="0" t="n">
        <v>66</v>
      </c>
      <c r="E164" s="0" t="s">
        <v>44</v>
      </c>
      <c r="F164" s="0" t="n">
        <v>4</v>
      </c>
      <c r="G164" s="0" t="str">
        <f aca="false">CONCATENATE(B164, "-",C164, "-", D164, "-", F164)</f>
        <v>M0111-B-66-4</v>
      </c>
      <c r="H164" s="0" t="n">
        <v>193.93</v>
      </c>
      <c r="I164" s="0" t="n">
        <v>194.05</v>
      </c>
    </row>
    <row r="165" customFormat="false" ht="14.25" hidden="false" customHeight="false" outlineLevel="0" collapsed="false">
      <c r="A165" s="0" t="n">
        <v>501</v>
      </c>
      <c r="B165" s="0" t="s">
        <v>38</v>
      </c>
      <c r="C165" s="0" t="s">
        <v>39</v>
      </c>
      <c r="D165" s="0" t="n">
        <v>67</v>
      </c>
      <c r="E165" s="0" t="s">
        <v>44</v>
      </c>
      <c r="F165" s="0" t="n">
        <v>1</v>
      </c>
      <c r="G165" s="0" t="str">
        <f aca="false">CONCATENATE(B165, "-",C165, "-", D165, "-", F165)</f>
        <v>M0111-B-67-1</v>
      </c>
      <c r="H165" s="0" t="n">
        <v>193.91</v>
      </c>
      <c r="I165" s="0" t="n">
        <v>195.4</v>
      </c>
    </row>
    <row r="166" customFormat="false" ht="14.25" hidden="false" customHeight="false" outlineLevel="0" collapsed="false">
      <c r="A166" s="0" t="n">
        <v>501</v>
      </c>
      <c r="B166" s="0" t="s">
        <v>38</v>
      </c>
      <c r="C166" s="0" t="s">
        <v>39</v>
      </c>
      <c r="D166" s="0" t="n">
        <v>67</v>
      </c>
      <c r="E166" s="0" t="s">
        <v>44</v>
      </c>
      <c r="F166" s="0" t="n">
        <v>2</v>
      </c>
      <c r="G166" s="0" t="str">
        <f aca="false">CONCATENATE(B166, "-",C166, "-", D166, "-", F166)</f>
        <v>M0111-B-67-2</v>
      </c>
      <c r="H166" s="0" t="n">
        <v>195.4</v>
      </c>
      <c r="I166" s="0" t="n">
        <v>196.23</v>
      </c>
    </row>
    <row r="167" customFormat="false" ht="14.25" hidden="false" customHeight="false" outlineLevel="0" collapsed="false">
      <c r="A167" s="0" t="n">
        <v>501</v>
      </c>
      <c r="B167" s="0" t="s">
        <v>38</v>
      </c>
      <c r="C167" s="0" t="s">
        <v>39</v>
      </c>
      <c r="D167" s="0" t="n">
        <v>67</v>
      </c>
      <c r="E167" s="0" t="s">
        <v>44</v>
      </c>
      <c r="F167" s="0" t="n">
        <v>3</v>
      </c>
      <c r="G167" s="0" t="str">
        <f aca="false">CONCATENATE(B167, "-",C167, "-", D167, "-", F167)</f>
        <v>M0111-B-67-3</v>
      </c>
      <c r="H167" s="0" t="n">
        <v>196.23</v>
      </c>
      <c r="I167" s="0" t="n">
        <v>196.33</v>
      </c>
    </row>
    <row r="168" customFormat="false" ht="14.25" hidden="false" customHeight="false" outlineLevel="0" collapsed="false">
      <c r="A168" s="0" t="n">
        <v>501</v>
      </c>
      <c r="B168" s="0" t="s">
        <v>38</v>
      </c>
      <c r="C168" s="0" t="s">
        <v>39</v>
      </c>
      <c r="D168" s="0" t="n">
        <v>68</v>
      </c>
      <c r="E168" s="0" t="s">
        <v>44</v>
      </c>
      <c r="F168" s="0" t="n">
        <v>1</v>
      </c>
      <c r="G168" s="0" t="str">
        <f aca="false">CONCATENATE(B168, "-",C168, "-", D168, "-", F168)</f>
        <v>M0111-B-68-1</v>
      </c>
      <c r="H168" s="0" t="n">
        <v>196.96</v>
      </c>
      <c r="I168" s="0" t="n">
        <v>198.46</v>
      </c>
    </row>
    <row r="169" customFormat="false" ht="14.25" hidden="false" customHeight="false" outlineLevel="0" collapsed="false">
      <c r="A169" s="0" t="n">
        <v>501</v>
      </c>
      <c r="B169" s="0" t="s">
        <v>38</v>
      </c>
      <c r="C169" s="0" t="s">
        <v>39</v>
      </c>
      <c r="D169" s="0" t="n">
        <v>68</v>
      </c>
      <c r="E169" s="0" t="s">
        <v>44</v>
      </c>
      <c r="F169" s="0" t="n">
        <v>2</v>
      </c>
      <c r="G169" s="0" t="str">
        <f aca="false">CONCATENATE(B169, "-",C169, "-", D169, "-", F169)</f>
        <v>M0111-B-68-2</v>
      </c>
      <c r="H169" s="0" t="n">
        <v>198.46</v>
      </c>
      <c r="I169" s="0" t="n">
        <v>199.67</v>
      </c>
    </row>
    <row r="170" customFormat="false" ht="14.25" hidden="false" customHeight="false" outlineLevel="0" collapsed="false">
      <c r="A170" s="0" t="n">
        <v>501</v>
      </c>
      <c r="B170" s="0" t="s">
        <v>38</v>
      </c>
      <c r="C170" s="0" t="s">
        <v>39</v>
      </c>
      <c r="D170" s="0" t="n">
        <v>69</v>
      </c>
      <c r="E170" s="0" t="s">
        <v>44</v>
      </c>
      <c r="F170" s="0" t="n">
        <v>1</v>
      </c>
      <c r="G170" s="0" t="str">
        <f aca="false">CONCATENATE(B170, "-",C170, "-", D170, "-", F170)</f>
        <v>M0111-B-69-1</v>
      </c>
      <c r="H170" s="0" t="n">
        <v>200.01</v>
      </c>
      <c r="I170" s="0" t="n">
        <v>201.51</v>
      </c>
    </row>
    <row r="171" customFormat="false" ht="14.25" hidden="false" customHeight="false" outlineLevel="0" collapsed="false">
      <c r="A171" s="0" t="n">
        <v>501</v>
      </c>
      <c r="B171" s="0" t="s">
        <v>38</v>
      </c>
      <c r="C171" s="0" t="s">
        <v>39</v>
      </c>
      <c r="D171" s="0" t="n">
        <v>69</v>
      </c>
      <c r="E171" s="0" t="s">
        <v>44</v>
      </c>
      <c r="F171" s="0" t="n">
        <v>2</v>
      </c>
      <c r="G171" s="0" t="str">
        <f aca="false">CONCATENATE(B171, "-",C171, "-", D171, "-", F171)</f>
        <v>M0111-B-69-2</v>
      </c>
      <c r="H171" s="0" t="n">
        <v>201.51</v>
      </c>
      <c r="I171" s="0" t="n">
        <v>202.99</v>
      </c>
    </row>
    <row r="172" customFormat="false" ht="14.25" hidden="false" customHeight="false" outlineLevel="0" collapsed="false">
      <c r="A172" s="0" t="n">
        <v>501</v>
      </c>
      <c r="B172" s="0" t="s">
        <v>38</v>
      </c>
      <c r="C172" s="0" t="s">
        <v>39</v>
      </c>
      <c r="D172" s="0" t="n">
        <v>70</v>
      </c>
      <c r="E172" s="0" t="s">
        <v>44</v>
      </c>
      <c r="F172" s="0" t="n">
        <v>1</v>
      </c>
      <c r="G172" s="0" t="str">
        <f aca="false">CONCATENATE(B172, "-",C172, "-", D172, "-", F172)</f>
        <v>M0111-B-70-1</v>
      </c>
      <c r="H172" s="0" t="n">
        <v>203.06</v>
      </c>
      <c r="I172" s="0" t="n">
        <v>204.32</v>
      </c>
    </row>
    <row r="173" customFormat="false" ht="14.25" hidden="false" customHeight="false" outlineLevel="0" collapsed="false">
      <c r="A173" s="0" t="n">
        <v>501</v>
      </c>
      <c r="B173" s="0" t="s">
        <v>38</v>
      </c>
      <c r="C173" s="0" t="s">
        <v>39</v>
      </c>
      <c r="D173" s="0" t="n">
        <v>70</v>
      </c>
      <c r="E173" s="0" t="s">
        <v>44</v>
      </c>
      <c r="F173" s="0" t="n">
        <v>2</v>
      </c>
      <c r="G173" s="0" t="str">
        <f aca="false">CONCATENATE(B173, "-",C173, "-", D173, "-", F173)</f>
        <v>M0111-B-70-2</v>
      </c>
      <c r="H173" s="0" t="n">
        <v>204.32</v>
      </c>
      <c r="I173" s="0" t="n">
        <v>204.5</v>
      </c>
    </row>
    <row r="174" customFormat="false" ht="14.25" hidden="false" customHeight="false" outlineLevel="0" collapsed="false">
      <c r="A174" s="0" t="n">
        <v>501</v>
      </c>
      <c r="B174" s="0" t="s">
        <v>38</v>
      </c>
      <c r="C174" s="0" t="s">
        <v>39</v>
      </c>
      <c r="D174" s="0" t="n">
        <v>71</v>
      </c>
      <c r="E174" s="0" t="s">
        <v>44</v>
      </c>
      <c r="F174" s="0" t="n">
        <v>1</v>
      </c>
      <c r="G174" s="0" t="str">
        <f aca="false">CONCATENATE(B174, "-",C174, "-", D174, "-", F174)</f>
        <v>M0111-B-71-1</v>
      </c>
      <c r="H174" s="0" t="n">
        <v>206.11</v>
      </c>
      <c r="I174" s="0" t="n">
        <v>207.29</v>
      </c>
    </row>
    <row r="175" customFormat="false" ht="14.25" hidden="false" customHeight="false" outlineLevel="0" collapsed="false">
      <c r="A175" s="0" t="n">
        <v>501</v>
      </c>
      <c r="B175" s="0" t="s">
        <v>38</v>
      </c>
      <c r="C175" s="0" t="s">
        <v>39</v>
      </c>
      <c r="D175" s="0" t="n">
        <v>72</v>
      </c>
      <c r="E175" s="0" t="s">
        <v>44</v>
      </c>
      <c r="F175" s="0" t="n">
        <v>1</v>
      </c>
      <c r="G175" s="0" t="str">
        <f aca="false">CONCATENATE(B175, "-",C175, "-", D175, "-", F175)</f>
        <v>M0111-B-72-1</v>
      </c>
      <c r="H175" s="0" t="n">
        <v>207.33</v>
      </c>
      <c r="I175" s="0" t="n">
        <v>208.46</v>
      </c>
    </row>
    <row r="176" customFormat="false" ht="14.25" hidden="false" customHeight="false" outlineLevel="0" collapsed="false">
      <c r="A176" s="0" t="n">
        <v>501</v>
      </c>
      <c r="B176" s="0" t="s">
        <v>38</v>
      </c>
      <c r="C176" s="0" t="s">
        <v>39</v>
      </c>
      <c r="D176" s="0" t="n">
        <v>73</v>
      </c>
      <c r="E176" s="0" t="s">
        <v>44</v>
      </c>
      <c r="F176" s="0" t="n">
        <v>1</v>
      </c>
      <c r="G176" s="0" t="str">
        <f aca="false">CONCATENATE(B176, "-",C176, "-", D176, "-", F176)</f>
        <v>M0111-B-73-1</v>
      </c>
      <c r="H176" s="0" t="n">
        <v>209.83</v>
      </c>
      <c r="I176" s="0" t="n">
        <v>211.33</v>
      </c>
    </row>
    <row r="177" customFormat="false" ht="14.25" hidden="false" customHeight="false" outlineLevel="0" collapsed="false">
      <c r="A177" s="0" t="n">
        <v>501</v>
      </c>
      <c r="B177" s="0" t="s">
        <v>38</v>
      </c>
      <c r="C177" s="0" t="s">
        <v>39</v>
      </c>
      <c r="D177" s="0" t="n">
        <v>73</v>
      </c>
      <c r="E177" s="0" t="s">
        <v>44</v>
      </c>
      <c r="F177" s="0" t="n">
        <v>2</v>
      </c>
      <c r="G177" s="0" t="str">
        <f aca="false">CONCATENATE(B177, "-",C177, "-", D177, "-", F177)</f>
        <v>M0111-B-73-2</v>
      </c>
      <c r="H177" s="0" t="n">
        <v>211.33</v>
      </c>
      <c r="I177" s="0" t="n">
        <v>212.38</v>
      </c>
    </row>
    <row r="178" customFormat="false" ht="14.25" hidden="false" customHeight="false" outlineLevel="0" collapsed="false">
      <c r="A178" s="0" t="n">
        <v>501</v>
      </c>
      <c r="B178" s="0" t="s">
        <v>38</v>
      </c>
      <c r="C178" s="0" t="s">
        <v>39</v>
      </c>
      <c r="D178" s="0" t="n">
        <v>74</v>
      </c>
      <c r="E178" s="0" t="s">
        <v>44</v>
      </c>
      <c r="F178" s="0" t="n">
        <v>1</v>
      </c>
      <c r="G178" s="0" t="str">
        <f aca="false">CONCATENATE(B178, "-",C178, "-", D178, "-", F178)</f>
        <v>M0111-B-74-1</v>
      </c>
      <c r="H178" s="0" t="n">
        <v>212.88</v>
      </c>
      <c r="I178" s="0" t="n">
        <v>213.67</v>
      </c>
    </row>
    <row r="179" customFormat="false" ht="14.25" hidden="false" customHeight="false" outlineLevel="0" collapsed="false">
      <c r="A179" s="0" t="n">
        <v>501</v>
      </c>
      <c r="B179" s="0" t="s">
        <v>38</v>
      </c>
      <c r="C179" s="0" t="s">
        <v>39</v>
      </c>
      <c r="D179" s="0" t="n">
        <v>75</v>
      </c>
      <c r="E179" s="0" t="s">
        <v>44</v>
      </c>
      <c r="F179" s="0" t="n">
        <v>1</v>
      </c>
      <c r="G179" s="0" t="str">
        <f aca="false">CONCATENATE(B179, "-",C179, "-", D179, "-", F179)</f>
        <v>M0111-B-75-1</v>
      </c>
      <c r="H179" s="0" t="n">
        <v>215.33</v>
      </c>
      <c r="I179" s="0" t="n">
        <v>216.1</v>
      </c>
    </row>
    <row r="180" customFormat="false" ht="14.25" hidden="false" customHeight="false" outlineLevel="0" collapsed="false">
      <c r="A180" s="0" t="n">
        <v>501</v>
      </c>
      <c r="B180" s="0" t="s">
        <v>38</v>
      </c>
      <c r="C180" s="0" t="s">
        <v>39</v>
      </c>
      <c r="D180" s="0" t="n">
        <v>78</v>
      </c>
      <c r="E180" s="0" t="s">
        <v>44</v>
      </c>
      <c r="F180" s="0" t="n">
        <v>1</v>
      </c>
      <c r="G180" s="0" t="str">
        <f aca="false">CONCATENATE(B180, "-",C180, "-", D180, "-", F180)</f>
        <v>M0111-B-78-1</v>
      </c>
      <c r="H180" s="0" t="n">
        <v>219.93</v>
      </c>
      <c r="I180" s="0" t="n">
        <v>220.62</v>
      </c>
    </row>
    <row r="181" customFormat="false" ht="14.25" hidden="false" customHeight="false" outlineLevel="0" collapsed="false">
      <c r="A181" s="0" t="n">
        <v>501</v>
      </c>
      <c r="B181" s="0" t="s">
        <v>38</v>
      </c>
      <c r="C181" s="0" t="s">
        <v>39</v>
      </c>
      <c r="D181" s="0" t="n">
        <v>81</v>
      </c>
      <c r="E181" s="0" t="s">
        <v>44</v>
      </c>
      <c r="F181" s="0" t="n">
        <v>1</v>
      </c>
      <c r="G181" s="0" t="str">
        <f aca="false">CONCATENATE(B181, "-",C181, "-", D181, "-", F181)</f>
        <v>M0111-B-81-1</v>
      </c>
      <c r="H181" s="0" t="n">
        <v>224.09</v>
      </c>
      <c r="I181" s="0" t="n">
        <v>224.42</v>
      </c>
    </row>
    <row r="182" customFormat="false" ht="14.25" hidden="false" customHeight="false" outlineLevel="0" collapsed="false">
      <c r="A182" s="0" t="n">
        <v>501</v>
      </c>
      <c r="B182" s="0" t="s">
        <v>38</v>
      </c>
      <c r="C182" s="0" t="s">
        <v>39</v>
      </c>
      <c r="D182" s="0" t="n">
        <v>82</v>
      </c>
      <c r="E182" s="0" t="s">
        <v>44</v>
      </c>
      <c r="F182" s="0" t="n">
        <v>1</v>
      </c>
      <c r="G182" s="0" t="str">
        <f aca="false">CONCATENATE(B182, "-",C182, "-", D182, "-", F182)</f>
        <v>M0111-B-82-1</v>
      </c>
      <c r="H182" s="0" t="n">
        <v>224.58</v>
      </c>
      <c r="I182" s="0" t="n">
        <v>225.42</v>
      </c>
    </row>
    <row r="183" customFormat="false" ht="14.25" hidden="false" customHeight="false" outlineLevel="0" collapsed="false">
      <c r="A183" s="0" t="n">
        <v>501</v>
      </c>
      <c r="B183" s="0" t="s">
        <v>38</v>
      </c>
      <c r="C183" s="0" t="s">
        <v>39</v>
      </c>
      <c r="D183" s="0" t="n">
        <v>83</v>
      </c>
      <c r="E183" s="0" t="s">
        <v>44</v>
      </c>
      <c r="F183" s="0" t="n">
        <v>1</v>
      </c>
      <c r="G183" s="0" t="str">
        <f aca="false">CONCATENATE(B183, "-",C183, "-", D183, "-", F183)</f>
        <v>M0111-B-83-1</v>
      </c>
      <c r="H183" s="0" t="n">
        <v>224.58</v>
      </c>
      <c r="I183" s="0" t="n">
        <v>225.04</v>
      </c>
    </row>
    <row r="184" customFormat="false" ht="14.25" hidden="false" customHeight="false" outlineLevel="0" collapsed="false">
      <c r="A184" s="0" t="n">
        <v>501</v>
      </c>
      <c r="B184" s="0" t="s">
        <v>38</v>
      </c>
      <c r="C184" s="0" t="s">
        <v>39</v>
      </c>
      <c r="D184" s="0" t="n">
        <v>84</v>
      </c>
      <c r="E184" s="0" t="s">
        <v>44</v>
      </c>
      <c r="F184" s="0" t="n">
        <v>1</v>
      </c>
      <c r="G184" s="0" t="str">
        <f aca="false">CONCATENATE(B184, "-",C184, "-", D184, "-", F184)</f>
        <v>M0111-B-84-1</v>
      </c>
      <c r="H184" s="0" t="n">
        <v>227.63</v>
      </c>
      <c r="I184" s="0" t="n">
        <v>228.63</v>
      </c>
    </row>
    <row r="185" customFormat="false" ht="14.25" hidden="false" customHeight="false" outlineLevel="0" collapsed="false">
      <c r="A185" s="0" t="n">
        <v>501</v>
      </c>
      <c r="B185" s="0" t="s">
        <v>38</v>
      </c>
      <c r="C185" s="0" t="s">
        <v>39</v>
      </c>
      <c r="D185" s="0" t="n">
        <v>84</v>
      </c>
      <c r="E185" s="0" t="s">
        <v>44</v>
      </c>
      <c r="F185" s="0" t="n">
        <v>2</v>
      </c>
      <c r="G185" s="0" t="str">
        <f aca="false">CONCATENATE(B185, "-",C185, "-", D185, "-", F185)</f>
        <v>M0111-B-84-2</v>
      </c>
      <c r="H185" s="0" t="n">
        <v>228.63</v>
      </c>
      <c r="I185" s="0" t="n">
        <v>229.24</v>
      </c>
    </row>
    <row r="186" customFormat="false" ht="14.25" hidden="false" customHeight="false" outlineLevel="0" collapsed="false">
      <c r="A186" s="0" t="n">
        <v>501</v>
      </c>
      <c r="B186" s="0" t="s">
        <v>38</v>
      </c>
      <c r="C186" s="0" t="s">
        <v>39</v>
      </c>
      <c r="D186" s="0" t="n">
        <v>85</v>
      </c>
      <c r="E186" s="0" t="s">
        <v>44</v>
      </c>
      <c r="F186" s="0" t="n">
        <v>1</v>
      </c>
      <c r="G186" s="0" t="str">
        <f aca="false">CONCATENATE(B186, "-",C186, "-", D186, "-", F186)</f>
        <v>M0111-B-85-1</v>
      </c>
      <c r="H186" s="0" t="n">
        <v>230.68</v>
      </c>
      <c r="I186" s="0" t="n">
        <v>231.08</v>
      </c>
    </row>
    <row r="187" customFormat="false" ht="14.25" hidden="false" customHeight="false" outlineLevel="0" collapsed="false">
      <c r="A187" s="0" t="n">
        <v>501</v>
      </c>
      <c r="B187" s="0" t="s">
        <v>38</v>
      </c>
      <c r="C187" s="0" t="s">
        <v>39</v>
      </c>
      <c r="D187" s="0" t="n">
        <v>86</v>
      </c>
      <c r="E187" s="0" t="s">
        <v>44</v>
      </c>
      <c r="F187" s="0" t="n">
        <v>1</v>
      </c>
      <c r="G187" s="0" t="str">
        <f aca="false">CONCATENATE(B187, "-",C187, "-", D187, "-", F187)</f>
        <v>M0111-B-86-1</v>
      </c>
      <c r="H187" s="0" t="n">
        <v>230.68</v>
      </c>
      <c r="I187" s="0" t="n">
        <v>232.18</v>
      </c>
    </row>
    <row r="188" customFormat="false" ht="14.25" hidden="false" customHeight="false" outlineLevel="0" collapsed="false">
      <c r="A188" s="0" t="n">
        <v>501</v>
      </c>
      <c r="B188" s="0" t="s">
        <v>38</v>
      </c>
      <c r="C188" s="0" t="s">
        <v>39</v>
      </c>
      <c r="D188" s="0" t="n">
        <v>86</v>
      </c>
      <c r="E188" s="0" t="s">
        <v>44</v>
      </c>
      <c r="F188" s="0" t="n">
        <v>2</v>
      </c>
      <c r="G188" s="0" t="str">
        <f aca="false">CONCATENATE(B188, "-",C188, "-", D188, "-", F188)</f>
        <v>M0111-B-86-2</v>
      </c>
      <c r="H188" s="0" t="n">
        <v>232.18</v>
      </c>
      <c r="I188" s="0" t="n">
        <v>233.49</v>
      </c>
    </row>
    <row r="189" customFormat="false" ht="14.25" hidden="false" customHeight="false" outlineLevel="0" collapsed="false">
      <c r="A189" s="0" t="n">
        <v>501</v>
      </c>
      <c r="B189" s="0" t="s">
        <v>38</v>
      </c>
      <c r="C189" s="0" t="s">
        <v>39</v>
      </c>
      <c r="D189" s="0" t="n">
        <v>87</v>
      </c>
      <c r="E189" s="0" t="s">
        <v>44</v>
      </c>
      <c r="F189" s="0" t="n">
        <v>1</v>
      </c>
      <c r="G189" s="0" t="str">
        <f aca="false">CONCATENATE(B189, "-",C189, "-", D189, "-", F189)</f>
        <v>M0111-B-87-1</v>
      </c>
      <c r="H189" s="0" t="n">
        <v>233.73</v>
      </c>
      <c r="I189" s="0" t="n">
        <v>234.67</v>
      </c>
    </row>
    <row r="190" customFormat="false" ht="14.25" hidden="false" customHeight="false" outlineLevel="0" collapsed="false">
      <c r="A190" s="0" t="n">
        <v>501</v>
      </c>
      <c r="B190" s="0" t="s">
        <v>38</v>
      </c>
      <c r="C190" s="0" t="s">
        <v>39</v>
      </c>
      <c r="D190" s="0" t="n">
        <v>88</v>
      </c>
      <c r="E190" s="0" t="s">
        <v>44</v>
      </c>
      <c r="F190" s="0" t="n">
        <v>1</v>
      </c>
      <c r="G190" s="0" t="str">
        <f aca="false">CONCATENATE(B190, "-",C190, "-", D190, "-", F190)</f>
        <v>M0111-B-88-1</v>
      </c>
      <c r="H190" s="0" t="n">
        <v>234.53</v>
      </c>
      <c r="I190" s="0" t="n">
        <v>235.75</v>
      </c>
    </row>
    <row r="191" customFormat="false" ht="14.25" hidden="false" customHeight="false" outlineLevel="0" collapsed="false">
      <c r="A191" s="0" t="n">
        <v>501</v>
      </c>
      <c r="B191" s="0" t="s">
        <v>38</v>
      </c>
      <c r="C191" s="0" t="s">
        <v>39</v>
      </c>
      <c r="D191" s="0" t="n">
        <v>88</v>
      </c>
      <c r="E191" s="0" t="s">
        <v>44</v>
      </c>
      <c r="F191" s="0" t="n">
        <v>2</v>
      </c>
      <c r="G191" s="0" t="str">
        <f aca="false">CONCATENATE(B191, "-",C191, "-", D191, "-", F191)</f>
        <v>M0111-B-88-2</v>
      </c>
      <c r="H191" s="0" t="n">
        <v>235.75</v>
      </c>
      <c r="I191" s="0" t="n">
        <v>236.52</v>
      </c>
    </row>
    <row r="192" customFormat="false" ht="14.25" hidden="false" customHeight="false" outlineLevel="0" collapsed="false">
      <c r="A192" s="0" t="n">
        <v>501</v>
      </c>
      <c r="B192" s="0" t="s">
        <v>38</v>
      </c>
      <c r="C192" s="0" t="s">
        <v>39</v>
      </c>
      <c r="D192" s="0" t="n">
        <v>89</v>
      </c>
      <c r="E192" s="0" t="s">
        <v>44</v>
      </c>
      <c r="F192" s="0" t="n">
        <v>1</v>
      </c>
      <c r="G192" s="0" t="str">
        <f aca="false">CONCATENATE(B192, "-",C192, "-", D192, "-", F192)</f>
        <v>M0111-B-89-1</v>
      </c>
      <c r="H192" s="0" t="n">
        <v>237.58</v>
      </c>
      <c r="I192" s="0" t="n">
        <v>239.08</v>
      </c>
    </row>
    <row r="193" customFormat="false" ht="14.25" hidden="false" customHeight="false" outlineLevel="0" collapsed="false">
      <c r="A193" s="0" t="n">
        <v>501</v>
      </c>
      <c r="B193" s="0" t="s">
        <v>38</v>
      </c>
      <c r="C193" s="0" t="s">
        <v>39</v>
      </c>
      <c r="D193" s="0" t="n">
        <v>89</v>
      </c>
      <c r="E193" s="0" t="s">
        <v>44</v>
      </c>
      <c r="F193" s="0" t="n">
        <v>2</v>
      </c>
      <c r="G193" s="0" t="str">
        <f aca="false">CONCATENATE(B193, "-",C193, "-", D193, "-", F193)</f>
        <v>M0111-B-89-2</v>
      </c>
      <c r="H193" s="0" t="n">
        <v>239.08</v>
      </c>
      <c r="I193" s="0" t="n">
        <v>240.02</v>
      </c>
    </row>
    <row r="194" customFormat="false" ht="14.25" hidden="false" customHeight="false" outlineLevel="0" collapsed="false">
      <c r="A194" s="0" t="n">
        <v>501</v>
      </c>
      <c r="B194" s="0" t="s">
        <v>38</v>
      </c>
      <c r="C194" s="0" t="s">
        <v>39</v>
      </c>
      <c r="D194" s="0" t="n">
        <v>92</v>
      </c>
      <c r="E194" s="0" t="s">
        <v>44</v>
      </c>
      <c r="F194" s="0" t="n">
        <v>1</v>
      </c>
      <c r="G194" s="0" t="str">
        <f aca="false">CONCATENATE(B194, "-",C194, "-", D194, "-", F194)</f>
        <v>M0111-B-92-1</v>
      </c>
      <c r="H194" s="0" t="n">
        <v>244.93</v>
      </c>
      <c r="I194" s="0" t="n">
        <v>245.35</v>
      </c>
    </row>
    <row r="195" customFormat="false" ht="14.25" hidden="false" customHeight="false" outlineLevel="0" collapsed="false">
      <c r="A195" s="0" t="n">
        <v>501</v>
      </c>
      <c r="B195" s="0" t="s">
        <v>38</v>
      </c>
      <c r="C195" s="0" t="s">
        <v>39</v>
      </c>
      <c r="D195" s="0" t="n">
        <v>93</v>
      </c>
      <c r="E195" s="0" t="s">
        <v>44</v>
      </c>
      <c r="F195" s="0" t="n">
        <v>1</v>
      </c>
      <c r="G195" s="0" t="str">
        <f aca="false">CONCATENATE(B195, "-",C195, "-", D195, "-", F195)</f>
        <v>M0111-B-93-1</v>
      </c>
      <c r="H195" s="0" t="n">
        <v>245.28</v>
      </c>
      <c r="I195" s="0" t="n">
        <v>245.83</v>
      </c>
    </row>
    <row r="196" customFormat="false" ht="14.25" hidden="false" customHeight="false" outlineLevel="0" collapsed="false">
      <c r="A196" s="0" t="n">
        <v>501</v>
      </c>
      <c r="B196" s="0" t="s">
        <v>38</v>
      </c>
      <c r="C196" s="0" t="s">
        <v>39</v>
      </c>
      <c r="D196" s="0" t="n">
        <v>93</v>
      </c>
      <c r="E196" s="0" t="s">
        <v>44</v>
      </c>
      <c r="F196" s="0" t="n">
        <v>2</v>
      </c>
      <c r="G196" s="0" t="str">
        <f aca="false">CONCATENATE(B196, "-",C196, "-", D196, "-", F196)</f>
        <v>M0111-B-93-2</v>
      </c>
      <c r="H196" s="0" t="n">
        <v>245.83</v>
      </c>
      <c r="I196" s="0" t="n">
        <v>245.92</v>
      </c>
    </row>
    <row r="197" customFormat="false" ht="14.25" hidden="false" customHeight="false" outlineLevel="0" collapsed="false">
      <c r="A197" s="0" t="n">
        <v>501</v>
      </c>
      <c r="B197" s="0" t="s">
        <v>38</v>
      </c>
      <c r="C197" s="0" t="s">
        <v>39</v>
      </c>
      <c r="D197" s="0" t="n">
        <v>94</v>
      </c>
      <c r="E197" s="0" t="s">
        <v>44</v>
      </c>
      <c r="F197" s="0" t="n">
        <v>1</v>
      </c>
      <c r="G197" s="0" t="str">
        <f aca="false">CONCATENATE(B197, "-",C197, "-", D197, "-", F197)</f>
        <v>M0111-B-94-1</v>
      </c>
      <c r="H197" s="0" t="n">
        <v>246.73</v>
      </c>
      <c r="I197" s="0" t="n">
        <v>248.24</v>
      </c>
    </row>
    <row r="198" customFormat="false" ht="14.25" hidden="false" customHeight="false" outlineLevel="0" collapsed="false">
      <c r="A198" s="0" t="n">
        <v>501</v>
      </c>
      <c r="B198" s="0" t="s">
        <v>38</v>
      </c>
      <c r="C198" s="0" t="s">
        <v>39</v>
      </c>
      <c r="D198" s="0" t="n">
        <v>94</v>
      </c>
      <c r="E198" s="0" t="s">
        <v>44</v>
      </c>
      <c r="F198" s="0" t="n">
        <v>2</v>
      </c>
      <c r="G198" s="0" t="str">
        <f aca="false">CONCATENATE(B198, "-",C198, "-", D198, "-", F198)</f>
        <v>M0111-B-94-2</v>
      </c>
      <c r="H198" s="0" t="n">
        <v>248.24</v>
      </c>
      <c r="I198" s="0" t="n">
        <v>249.44</v>
      </c>
    </row>
    <row r="199" customFormat="false" ht="14.25" hidden="false" customHeight="false" outlineLevel="0" collapsed="false">
      <c r="A199" s="0" t="n">
        <v>501</v>
      </c>
      <c r="B199" s="0" t="s">
        <v>38</v>
      </c>
      <c r="C199" s="0" t="s">
        <v>39</v>
      </c>
      <c r="D199" s="0" t="n">
        <v>94</v>
      </c>
      <c r="E199" s="0" t="s">
        <v>44</v>
      </c>
      <c r="F199" s="0" t="n">
        <v>3</v>
      </c>
      <c r="G199" s="0" t="str">
        <f aca="false">CONCATENATE(B199, "-",C199, "-", D199, "-", F199)</f>
        <v>M0111-B-94-3</v>
      </c>
      <c r="H199" s="0" t="n">
        <v>249.44</v>
      </c>
      <c r="I199" s="0" t="n">
        <v>249.89</v>
      </c>
    </row>
    <row r="200" customFormat="false" ht="14.25" hidden="false" customHeight="false" outlineLevel="0" collapsed="false">
      <c r="A200" s="0" t="n">
        <v>501</v>
      </c>
      <c r="B200" s="0" t="s">
        <v>38</v>
      </c>
      <c r="C200" s="0" t="s">
        <v>39</v>
      </c>
      <c r="D200" s="0" t="n">
        <v>95</v>
      </c>
      <c r="E200" s="0" t="s">
        <v>44</v>
      </c>
      <c r="F200" s="0" t="n">
        <v>1</v>
      </c>
      <c r="G200" s="0" t="str">
        <f aca="false">CONCATENATE(B200, "-",C200, "-", D200, "-", F200)</f>
        <v>M0111-B-95-1</v>
      </c>
      <c r="H200" s="0" t="n">
        <v>249.78</v>
      </c>
      <c r="I200" s="0" t="n">
        <v>250.78</v>
      </c>
    </row>
    <row r="201" customFormat="false" ht="14.25" hidden="false" customHeight="false" outlineLevel="0" collapsed="false">
      <c r="A201" s="0" t="n">
        <v>501</v>
      </c>
      <c r="B201" s="0" t="s">
        <v>38</v>
      </c>
      <c r="C201" s="0" t="s">
        <v>39</v>
      </c>
      <c r="D201" s="0" t="n">
        <v>95</v>
      </c>
      <c r="E201" s="0" t="s">
        <v>44</v>
      </c>
      <c r="F201" s="0" t="n">
        <v>2</v>
      </c>
      <c r="G201" s="0" t="str">
        <f aca="false">CONCATENATE(B201, "-",C201, "-", D201, "-", F201)</f>
        <v>M0111-B-95-2</v>
      </c>
      <c r="H201" s="0" t="n">
        <v>250.78</v>
      </c>
      <c r="I201" s="0" t="n">
        <v>251.32</v>
      </c>
    </row>
    <row r="202" customFormat="false" ht="14.25" hidden="false" customHeight="false" outlineLevel="0" collapsed="false">
      <c r="A202" s="0" t="n">
        <v>501</v>
      </c>
      <c r="B202" s="0" t="s">
        <v>38</v>
      </c>
      <c r="C202" s="0" t="s">
        <v>39</v>
      </c>
      <c r="D202" s="0" t="n">
        <v>96</v>
      </c>
      <c r="E202" s="0" t="s">
        <v>44</v>
      </c>
      <c r="F202" s="0" t="n">
        <v>1</v>
      </c>
      <c r="G202" s="0" t="str">
        <f aca="false">CONCATENATE(B202, "-",C202, "-", D202, "-", F202)</f>
        <v>M0111-B-96-1</v>
      </c>
      <c r="H202" s="0" t="n">
        <v>251.53</v>
      </c>
      <c r="I202" s="0" t="n">
        <v>252.38</v>
      </c>
    </row>
    <row r="203" customFormat="false" ht="14.25" hidden="false" customHeight="false" outlineLevel="0" collapsed="false">
      <c r="A203" s="0" t="n">
        <v>501</v>
      </c>
      <c r="B203" s="0" t="s">
        <v>38</v>
      </c>
      <c r="C203" s="0" t="s">
        <v>39</v>
      </c>
      <c r="D203" s="0" t="n">
        <v>97</v>
      </c>
      <c r="E203" s="0" t="s">
        <v>44</v>
      </c>
      <c r="F203" s="0" t="n">
        <v>1</v>
      </c>
      <c r="G203" s="0" t="str">
        <f aca="false">CONCATENATE(B203, "-",C203, "-", D203, "-", F203)</f>
        <v>M0111-B-97-1</v>
      </c>
      <c r="H203" s="0" t="n">
        <v>252.83</v>
      </c>
      <c r="I203" s="0" t="n">
        <v>254.16</v>
      </c>
    </row>
    <row r="204" customFormat="false" ht="14.25" hidden="false" customHeight="false" outlineLevel="0" collapsed="false">
      <c r="A204" s="0" t="n">
        <v>501</v>
      </c>
      <c r="B204" s="0" t="s">
        <v>38</v>
      </c>
      <c r="C204" s="0" t="s">
        <v>39</v>
      </c>
      <c r="D204" s="0" t="n">
        <v>98</v>
      </c>
      <c r="E204" s="0" t="s">
        <v>44</v>
      </c>
      <c r="F204" s="0" t="n">
        <v>1</v>
      </c>
      <c r="G204" s="0" t="str">
        <f aca="false">CONCATENATE(B204, "-",C204, "-", D204, "-", F204)</f>
        <v>M0111-B-98-1</v>
      </c>
      <c r="H204" s="0" t="n">
        <v>255.53</v>
      </c>
      <c r="I204" s="0" t="n">
        <v>256.27</v>
      </c>
    </row>
    <row r="205" customFormat="false" ht="14.25" hidden="false" customHeight="false" outlineLevel="0" collapsed="false">
      <c r="A205" s="0" t="n">
        <v>501</v>
      </c>
      <c r="B205" s="0" t="s">
        <v>38</v>
      </c>
      <c r="C205" s="0" t="s">
        <v>39</v>
      </c>
      <c r="D205" s="0" t="n">
        <v>99</v>
      </c>
      <c r="E205" s="0" t="s">
        <v>44</v>
      </c>
      <c r="F205" s="0" t="n">
        <v>1</v>
      </c>
      <c r="G205" s="0" t="str">
        <f aca="false">CONCATENATE(B205, "-",C205, "-", D205, "-", F205)</f>
        <v>M0111-B-99-1</v>
      </c>
      <c r="H205" s="0" t="n">
        <v>256.28</v>
      </c>
      <c r="I205" s="0" t="n">
        <v>257.2</v>
      </c>
    </row>
    <row r="206" customFormat="false" ht="14.25" hidden="false" customHeight="false" outlineLevel="0" collapsed="false">
      <c r="A206" s="0" t="n">
        <v>501</v>
      </c>
      <c r="B206" s="0" t="s">
        <v>38</v>
      </c>
      <c r="C206" s="0" t="s">
        <v>39</v>
      </c>
      <c r="D206" s="0" t="n">
        <v>100</v>
      </c>
      <c r="E206" s="0" t="s">
        <v>44</v>
      </c>
      <c r="F206" s="0" t="n">
        <v>1</v>
      </c>
      <c r="G206" s="0" t="str">
        <f aca="false">CONCATENATE(B206, "-",C206, "-", D206, "-", F206)</f>
        <v>M0111-B-100-1</v>
      </c>
      <c r="H206" s="0" t="n">
        <v>258.93</v>
      </c>
      <c r="I206" s="0" t="n">
        <v>260.43</v>
      </c>
    </row>
    <row r="207" customFormat="false" ht="14.25" hidden="false" customHeight="false" outlineLevel="0" collapsed="false">
      <c r="A207" s="0" t="n">
        <v>501</v>
      </c>
      <c r="B207" s="0" t="s">
        <v>38</v>
      </c>
      <c r="C207" s="0" t="s">
        <v>39</v>
      </c>
      <c r="D207" s="0" t="n">
        <v>100</v>
      </c>
      <c r="E207" s="0" t="s">
        <v>44</v>
      </c>
      <c r="F207" s="0" t="n">
        <v>2</v>
      </c>
      <c r="G207" s="0" t="str">
        <f aca="false">CONCATENATE(B207, "-",C207, "-", D207, "-", F207)</f>
        <v>M0111-B-100-2</v>
      </c>
      <c r="H207" s="0" t="n">
        <v>260.43</v>
      </c>
      <c r="I207" s="0" t="n">
        <v>261.02</v>
      </c>
    </row>
    <row r="208" customFormat="false" ht="14.25" hidden="false" customHeight="false" outlineLevel="0" collapsed="false">
      <c r="A208" s="0" t="n">
        <v>501</v>
      </c>
      <c r="B208" s="0" t="s">
        <v>38</v>
      </c>
      <c r="C208" s="0" t="s">
        <v>39</v>
      </c>
      <c r="D208" s="0" t="n">
        <v>101</v>
      </c>
      <c r="E208" s="0" t="s">
        <v>44</v>
      </c>
      <c r="F208" s="0" t="n">
        <v>1</v>
      </c>
      <c r="G208" s="0" t="str">
        <f aca="false">CONCATENATE(B208, "-",C208, "-", D208, "-", F208)</f>
        <v>M0111-B-101-1</v>
      </c>
      <c r="H208" s="0" t="n">
        <v>261.98</v>
      </c>
      <c r="I208" s="0" t="n">
        <v>263.46</v>
      </c>
    </row>
    <row r="209" customFormat="false" ht="14.25" hidden="false" customHeight="false" outlineLevel="0" collapsed="false">
      <c r="A209" s="0" t="n">
        <v>501</v>
      </c>
      <c r="B209" s="0" t="s">
        <v>38</v>
      </c>
      <c r="C209" s="0" t="s">
        <v>39</v>
      </c>
      <c r="D209" s="0" t="n">
        <v>101</v>
      </c>
      <c r="E209" s="0" t="s">
        <v>44</v>
      </c>
      <c r="F209" s="0" t="n">
        <v>2</v>
      </c>
      <c r="G209" s="0" t="str">
        <f aca="false">CONCATENATE(B209, "-",C209, "-", D209, "-", F209)</f>
        <v>M0111-B-101-2</v>
      </c>
      <c r="H209" s="0" t="n">
        <v>263.46</v>
      </c>
      <c r="I209" s="0" t="n">
        <v>264.3</v>
      </c>
    </row>
    <row r="210" customFormat="false" ht="14.25" hidden="false" customHeight="false" outlineLevel="0" collapsed="false">
      <c r="A210" s="0" t="n">
        <v>501</v>
      </c>
      <c r="B210" s="0" t="s">
        <v>38</v>
      </c>
      <c r="C210" s="0" t="s">
        <v>39</v>
      </c>
      <c r="D210" s="0" t="n">
        <v>102</v>
      </c>
      <c r="E210" s="0" t="s">
        <v>44</v>
      </c>
      <c r="F210" s="0" t="n">
        <v>1</v>
      </c>
      <c r="G210" s="0" t="str">
        <f aca="false">CONCATENATE(B210, "-",C210, "-", D210, "-", F210)</f>
        <v>M0111-B-102-1</v>
      </c>
      <c r="H210" s="0" t="n">
        <v>265.03</v>
      </c>
      <c r="I210" s="0" t="n">
        <v>265.93</v>
      </c>
    </row>
    <row r="211" customFormat="false" ht="14.25" hidden="false" customHeight="false" outlineLevel="0" collapsed="false">
      <c r="A211" s="0" t="n">
        <v>501</v>
      </c>
      <c r="B211" s="0" t="s">
        <v>38</v>
      </c>
      <c r="C211" s="0" t="s">
        <v>39</v>
      </c>
      <c r="D211" s="0" t="n">
        <v>103</v>
      </c>
      <c r="E211" s="0" t="s">
        <v>44</v>
      </c>
      <c r="F211" s="0" t="n">
        <v>1</v>
      </c>
      <c r="G211" s="0" t="str">
        <f aca="false">CONCATENATE(B211, "-",C211, "-", D211, "-", F211)</f>
        <v>M0111-B-103-1</v>
      </c>
      <c r="H211" s="0" t="n">
        <v>268.08</v>
      </c>
      <c r="I211" s="0" t="n">
        <v>268.84</v>
      </c>
    </row>
    <row r="212" customFormat="false" ht="14.25" hidden="false" customHeight="false" outlineLevel="0" collapsed="false">
      <c r="A212" s="0" t="n">
        <v>501</v>
      </c>
      <c r="B212" s="0" t="s">
        <v>38</v>
      </c>
      <c r="C212" s="0" t="s">
        <v>39</v>
      </c>
      <c r="D212" s="0" t="n">
        <v>103</v>
      </c>
      <c r="E212" s="0" t="s">
        <v>44</v>
      </c>
      <c r="F212" s="0" t="n">
        <v>2</v>
      </c>
      <c r="G212" s="0" t="str">
        <f aca="false">CONCATENATE(B212, "-",C212, "-", D212, "-", F212)</f>
        <v>M0111-B-103-2</v>
      </c>
      <c r="H212" s="0" t="n">
        <v>268.84</v>
      </c>
      <c r="I212" s="0" t="n">
        <v>270.34</v>
      </c>
    </row>
    <row r="213" customFormat="false" ht="14.25" hidden="false" customHeight="false" outlineLevel="0" collapsed="false">
      <c r="A213" s="0" t="n">
        <v>501</v>
      </c>
      <c r="B213" s="0" t="s">
        <v>38</v>
      </c>
      <c r="C213" s="0" t="s">
        <v>39</v>
      </c>
      <c r="D213" s="0" t="n">
        <v>103</v>
      </c>
      <c r="E213" s="0" t="s">
        <v>44</v>
      </c>
      <c r="F213" s="0" t="n">
        <v>3</v>
      </c>
      <c r="G213" s="0" t="str">
        <f aca="false">CONCATENATE(B213, "-",C213, "-", D213, "-", F213)</f>
        <v>M0111-B-103-3</v>
      </c>
      <c r="H213" s="0" t="n">
        <v>270.34</v>
      </c>
      <c r="I213" s="0" t="n">
        <v>271.13</v>
      </c>
    </row>
    <row r="214" customFormat="false" ht="14.25" hidden="false" customHeight="false" outlineLevel="0" collapsed="false">
      <c r="A214" s="0" t="n">
        <v>501</v>
      </c>
      <c r="B214" s="0" t="s">
        <v>38</v>
      </c>
      <c r="C214" s="0" t="s">
        <v>39</v>
      </c>
      <c r="D214" s="0" t="n">
        <v>103</v>
      </c>
      <c r="E214" s="0" t="s">
        <v>44</v>
      </c>
      <c r="F214" s="0" t="n">
        <v>4</v>
      </c>
      <c r="G214" s="0" t="str">
        <f aca="false">CONCATENATE(B214, "-",C214, "-", D214, "-", F214)</f>
        <v>M0111-B-103-4</v>
      </c>
      <c r="H214" s="0" t="n">
        <v>271.13</v>
      </c>
      <c r="I214" s="0" t="n">
        <v>271.2</v>
      </c>
    </row>
    <row r="215" customFormat="false" ht="14.25" hidden="false" customHeight="false" outlineLevel="0" collapsed="false">
      <c r="A215" s="0" t="n">
        <v>501</v>
      </c>
      <c r="B215" s="0" t="s">
        <v>38</v>
      </c>
      <c r="C215" s="0" t="s">
        <v>39</v>
      </c>
      <c r="D215" s="0" t="n">
        <v>104</v>
      </c>
      <c r="E215" s="0" t="s">
        <v>44</v>
      </c>
      <c r="F215" s="0" t="n">
        <v>1</v>
      </c>
      <c r="G215" s="0" t="str">
        <f aca="false">CONCATENATE(B215, "-",C215, "-", D215, "-", F215)</f>
        <v>M0111-B-104-1</v>
      </c>
      <c r="H215" s="0" t="n">
        <v>271.13</v>
      </c>
      <c r="I215" s="0" t="n">
        <v>271.42</v>
      </c>
    </row>
    <row r="216" customFormat="false" ht="14.25" hidden="false" customHeight="false" outlineLevel="0" collapsed="false">
      <c r="A216" s="0" t="n">
        <v>501</v>
      </c>
      <c r="B216" s="0" t="s">
        <v>38</v>
      </c>
      <c r="C216" s="0" t="s">
        <v>39</v>
      </c>
      <c r="D216" s="0" t="n">
        <v>104</v>
      </c>
      <c r="E216" s="0" t="s">
        <v>44</v>
      </c>
      <c r="F216" s="0" t="n">
        <v>2</v>
      </c>
      <c r="G216" s="0" t="str">
        <f aca="false">CONCATENATE(B216, "-",C216, "-", D216, "-", F216)</f>
        <v>M0111-B-104-2</v>
      </c>
      <c r="H216" s="0" t="n">
        <v>271.42</v>
      </c>
      <c r="I216" s="0" t="n">
        <v>272.92</v>
      </c>
    </row>
    <row r="217" customFormat="false" ht="14.25" hidden="false" customHeight="false" outlineLevel="0" collapsed="false">
      <c r="A217" s="0" t="n">
        <v>501</v>
      </c>
      <c r="B217" s="0" t="s">
        <v>38</v>
      </c>
      <c r="C217" s="0" t="s">
        <v>39</v>
      </c>
      <c r="D217" s="0" t="n">
        <v>104</v>
      </c>
      <c r="E217" s="0" t="s">
        <v>44</v>
      </c>
      <c r="F217" s="0" t="n">
        <v>3</v>
      </c>
      <c r="G217" s="0" t="str">
        <f aca="false">CONCATENATE(B217, "-",C217, "-", D217, "-", F217)</f>
        <v>M0111-B-104-3</v>
      </c>
      <c r="H217" s="0" t="n">
        <v>272.92</v>
      </c>
      <c r="I217" s="0" t="n">
        <v>273.9</v>
      </c>
    </row>
    <row r="218" customFormat="false" ht="14.25" hidden="false" customHeight="false" outlineLevel="0" collapsed="false">
      <c r="A218" s="0" t="n">
        <v>501</v>
      </c>
      <c r="B218" s="0" t="s">
        <v>38</v>
      </c>
      <c r="C218" s="0" t="s">
        <v>39</v>
      </c>
      <c r="D218" s="0" t="n">
        <v>105</v>
      </c>
      <c r="E218" s="0" t="s">
        <v>44</v>
      </c>
      <c r="F218" s="0" t="n">
        <v>1</v>
      </c>
      <c r="G218" s="0" t="str">
        <f aca="false">CONCATENATE(B218, "-",C218, "-", D218, "-", F218)</f>
        <v>M0111-B-105-1</v>
      </c>
      <c r="H218" s="0" t="n">
        <v>274.18</v>
      </c>
      <c r="I218" s="0" t="n">
        <v>274.66</v>
      </c>
    </row>
    <row r="219" customFormat="false" ht="14.25" hidden="false" customHeight="false" outlineLevel="0" collapsed="false">
      <c r="A219" s="0" t="n">
        <v>501</v>
      </c>
      <c r="B219" s="0" t="s">
        <v>38</v>
      </c>
      <c r="C219" s="0" t="s">
        <v>39</v>
      </c>
      <c r="D219" s="0" t="n">
        <v>106</v>
      </c>
      <c r="E219" s="0" t="s">
        <v>44</v>
      </c>
      <c r="F219" s="0" t="n">
        <v>1</v>
      </c>
      <c r="G219" s="0" t="str">
        <f aca="false">CONCATENATE(B219, "-",C219, "-", D219, "-", F219)</f>
        <v>M0111-B-106-1</v>
      </c>
      <c r="H219" s="0" t="n">
        <v>275.18</v>
      </c>
      <c r="I219" s="0" t="n">
        <v>276.68</v>
      </c>
    </row>
    <row r="220" customFormat="false" ht="14.25" hidden="false" customHeight="false" outlineLevel="0" collapsed="false">
      <c r="A220" s="0" t="n">
        <v>501</v>
      </c>
      <c r="B220" s="0" t="s">
        <v>38</v>
      </c>
      <c r="C220" s="0" t="s">
        <v>39</v>
      </c>
      <c r="D220" s="0" t="n">
        <v>106</v>
      </c>
      <c r="E220" s="0" t="s">
        <v>44</v>
      </c>
      <c r="F220" s="0" t="n">
        <v>2</v>
      </c>
      <c r="G220" s="0" t="str">
        <f aca="false">CONCATENATE(B220, "-",C220, "-", D220, "-", F220)</f>
        <v>M0111-B-106-2</v>
      </c>
      <c r="H220" s="0" t="n">
        <v>276.68</v>
      </c>
      <c r="I220" s="0" t="n">
        <v>277.47</v>
      </c>
    </row>
    <row r="221" customFormat="false" ht="14.25" hidden="false" customHeight="false" outlineLevel="0" collapsed="false">
      <c r="A221" s="0" t="n">
        <v>501</v>
      </c>
      <c r="B221" s="0" t="s">
        <v>38</v>
      </c>
      <c r="C221" s="0" t="s">
        <v>39</v>
      </c>
      <c r="D221" s="0" t="n">
        <v>107</v>
      </c>
      <c r="E221" s="0" t="s">
        <v>44</v>
      </c>
      <c r="F221" s="0" t="n">
        <v>1</v>
      </c>
      <c r="G221" s="0" t="str">
        <f aca="false">CONCATENATE(B221, "-",C221, "-", D221, "-", F221)</f>
        <v>M0111-B-107-1</v>
      </c>
      <c r="H221" s="0" t="n">
        <v>277.23</v>
      </c>
      <c r="I221" s="0" t="n">
        <v>278.19</v>
      </c>
    </row>
    <row r="222" customFormat="false" ht="14.25" hidden="false" customHeight="false" outlineLevel="0" collapsed="false">
      <c r="A222" s="0" t="n">
        <v>501</v>
      </c>
      <c r="B222" s="0" t="s">
        <v>38</v>
      </c>
      <c r="C222" s="0" t="s">
        <v>39</v>
      </c>
      <c r="D222" s="0" t="n">
        <v>108</v>
      </c>
      <c r="E222" s="0" t="s">
        <v>44</v>
      </c>
      <c r="F222" s="0" t="n">
        <v>1</v>
      </c>
      <c r="G222" s="0" t="str">
        <f aca="false">CONCATENATE(B222, "-",C222, "-", D222, "-", F222)</f>
        <v>M0111-B-108-1</v>
      </c>
      <c r="H222" s="0" t="n">
        <v>278.13</v>
      </c>
      <c r="I222" s="0" t="n">
        <v>278.51</v>
      </c>
    </row>
    <row r="223" customFormat="false" ht="14.25" hidden="false" customHeight="false" outlineLevel="0" collapsed="false">
      <c r="A223" s="0" t="n">
        <v>501</v>
      </c>
      <c r="B223" s="0" t="s">
        <v>38</v>
      </c>
      <c r="C223" s="0" t="s">
        <v>39</v>
      </c>
      <c r="D223" s="0" t="n">
        <v>109</v>
      </c>
      <c r="E223" s="0" t="s">
        <v>44</v>
      </c>
      <c r="F223" s="0" t="n">
        <v>1</v>
      </c>
      <c r="G223" s="0" t="str">
        <f aca="false">CONCATENATE(B223, "-",C223, "-", D223, "-", F223)</f>
        <v>M0111-B-109-1</v>
      </c>
      <c r="H223" s="0" t="n">
        <v>278.38</v>
      </c>
      <c r="I223" s="0" t="n">
        <v>278.98</v>
      </c>
    </row>
    <row r="224" customFormat="false" ht="14.25" hidden="false" customHeight="false" outlineLevel="0" collapsed="false">
      <c r="A224" s="0" t="n">
        <v>501</v>
      </c>
      <c r="B224" s="0" t="s">
        <v>38</v>
      </c>
      <c r="C224" s="0" t="s">
        <v>39</v>
      </c>
      <c r="D224" s="0" t="n">
        <v>110</v>
      </c>
      <c r="E224" s="0" t="s">
        <v>44</v>
      </c>
      <c r="F224" s="0" t="n">
        <v>1</v>
      </c>
      <c r="G224" s="0" t="str">
        <f aca="false">CONCATENATE(B224, "-",C224, "-", D224, "-", F224)</f>
        <v>M0111-B-110-1</v>
      </c>
      <c r="H224" s="0" t="n">
        <v>280.28</v>
      </c>
      <c r="I224" s="0" t="n">
        <v>280.5</v>
      </c>
    </row>
    <row r="225" customFormat="false" ht="14.25" hidden="false" customHeight="false" outlineLevel="0" collapsed="false">
      <c r="A225" s="0" t="n">
        <v>501</v>
      </c>
      <c r="B225" s="0" t="s">
        <v>38</v>
      </c>
      <c r="C225" s="0" t="s">
        <v>39</v>
      </c>
      <c r="D225" s="0" t="n">
        <v>113</v>
      </c>
      <c r="E225" s="0" t="s">
        <v>44</v>
      </c>
      <c r="F225" s="0" t="n">
        <v>1</v>
      </c>
      <c r="G225" s="0" t="str">
        <f aca="false">CONCATENATE(B225, "-",C225, "-", D225, "-", F225)</f>
        <v>M0111-B-113-1</v>
      </c>
      <c r="H225" s="0" t="n">
        <v>281.53</v>
      </c>
      <c r="I225" s="0" t="n">
        <v>282.69</v>
      </c>
    </row>
    <row r="226" customFormat="false" ht="14.25" hidden="false" customHeight="false" outlineLevel="0" collapsed="false">
      <c r="A226" s="0" t="n">
        <v>501</v>
      </c>
      <c r="B226" s="0" t="s">
        <v>38</v>
      </c>
      <c r="C226" s="0" t="s">
        <v>39</v>
      </c>
      <c r="D226" s="0" t="n">
        <v>114</v>
      </c>
      <c r="E226" s="0" t="s">
        <v>44</v>
      </c>
      <c r="F226" s="0" t="n">
        <v>1</v>
      </c>
      <c r="G226" s="0" t="str">
        <f aca="false">CONCATENATE(B226, "-",C226, "-", D226, "-", F226)</f>
        <v>M0111-B-114-1</v>
      </c>
      <c r="H226" s="0" t="n">
        <v>281.53</v>
      </c>
      <c r="I226" s="0" t="n">
        <v>282.54</v>
      </c>
    </row>
    <row r="227" customFormat="false" ht="14.25" hidden="false" customHeight="false" outlineLevel="0" collapsed="false">
      <c r="A227" s="0" t="n">
        <v>501</v>
      </c>
      <c r="B227" s="0" t="s">
        <v>38</v>
      </c>
      <c r="C227" s="0" t="s">
        <v>39</v>
      </c>
      <c r="D227" s="0" t="n">
        <v>114</v>
      </c>
      <c r="E227" s="0" t="s">
        <v>44</v>
      </c>
      <c r="F227" s="0" t="n">
        <v>1</v>
      </c>
      <c r="G227" s="0" t="str">
        <f aca="false">CONCATENATE(B227, "-",C227, "-", D227, "-", F227)</f>
        <v>M0111-B-114-1</v>
      </c>
      <c r="H227" s="0" t="n">
        <v>282.54</v>
      </c>
      <c r="I227" s="0" t="n">
        <v>283.3</v>
      </c>
    </row>
    <row r="228" customFormat="false" ht="14.25" hidden="false" customHeight="false" outlineLevel="0" collapsed="false">
      <c r="A228" s="0" t="n">
        <v>501</v>
      </c>
      <c r="B228" s="0" t="s">
        <v>38</v>
      </c>
      <c r="C228" s="0" t="s">
        <v>39</v>
      </c>
      <c r="D228" s="0" t="n">
        <v>115</v>
      </c>
      <c r="E228" s="0" t="s">
        <v>44</v>
      </c>
      <c r="F228" s="0" t="n">
        <v>2</v>
      </c>
      <c r="G228" s="0" t="str">
        <f aca="false">CONCATENATE(B228, "-",C228, "-", D228, "-", F228)</f>
        <v>M0111-B-115-2</v>
      </c>
      <c r="H228" s="0" t="n">
        <v>284.93</v>
      </c>
      <c r="I228" s="0" t="n">
        <v>286.38</v>
      </c>
    </row>
    <row r="229" customFormat="false" ht="14.25" hidden="false" customHeight="false" outlineLevel="0" collapsed="false">
      <c r="A229" s="0" t="n">
        <v>501</v>
      </c>
      <c r="B229" s="0" t="s">
        <v>38</v>
      </c>
      <c r="C229" s="0" t="s">
        <v>39</v>
      </c>
      <c r="D229" s="0" t="n">
        <v>115</v>
      </c>
      <c r="E229" s="0" t="s">
        <v>44</v>
      </c>
      <c r="F229" s="0" t="n">
        <v>1</v>
      </c>
      <c r="G229" s="0" t="str">
        <f aca="false">CONCATENATE(B229, "-",C229, "-", D229, "-", F229)</f>
        <v>M0111-B-115-1</v>
      </c>
      <c r="H229" s="0" t="n">
        <v>284.93</v>
      </c>
      <c r="I229" s="0" t="n">
        <v>286.38</v>
      </c>
    </row>
    <row r="230" customFormat="false" ht="14.25" hidden="false" customHeight="false" outlineLevel="0" collapsed="false">
      <c r="A230" s="0" t="n">
        <v>501</v>
      </c>
      <c r="B230" s="0" t="s">
        <v>38</v>
      </c>
      <c r="C230" s="0" t="s">
        <v>39</v>
      </c>
      <c r="D230" s="0" t="n">
        <v>116</v>
      </c>
      <c r="E230" s="0" t="s">
        <v>44</v>
      </c>
      <c r="F230" s="0" t="n">
        <v>2</v>
      </c>
      <c r="G230" s="0" t="str">
        <f aca="false">CONCATENATE(B230, "-",C230, "-", D230, "-", F230)</f>
        <v>M0111-B-116-2</v>
      </c>
      <c r="H230" s="0" t="n">
        <v>286.48</v>
      </c>
      <c r="I230" s="0" t="n">
        <v>287.99</v>
      </c>
    </row>
    <row r="231" customFormat="false" ht="14.25" hidden="false" customHeight="false" outlineLevel="0" collapsed="false">
      <c r="A231" s="0" t="n">
        <v>501</v>
      </c>
      <c r="B231" s="0" t="s">
        <v>38</v>
      </c>
      <c r="C231" s="0" t="s">
        <v>39</v>
      </c>
      <c r="D231" s="0" t="n">
        <v>116</v>
      </c>
      <c r="E231" s="0" t="s">
        <v>44</v>
      </c>
      <c r="F231" s="0" t="n">
        <v>1</v>
      </c>
      <c r="G231" s="0" t="str">
        <f aca="false">CONCATENATE(B231, "-",C231, "-", D231, "-", F231)</f>
        <v>M0111-B-116-1</v>
      </c>
      <c r="H231" s="0" t="n">
        <v>287.99</v>
      </c>
      <c r="I231" s="0" t="n">
        <v>288.62</v>
      </c>
    </row>
    <row r="232" customFormat="false" ht="14.25" hidden="false" customHeight="false" outlineLevel="0" collapsed="false">
      <c r="A232" s="0" t="n">
        <v>501</v>
      </c>
      <c r="B232" s="0" t="s">
        <v>38</v>
      </c>
      <c r="C232" s="0" t="s">
        <v>39</v>
      </c>
      <c r="D232" s="0" t="n">
        <v>116</v>
      </c>
      <c r="E232" s="0" t="s">
        <v>44</v>
      </c>
      <c r="F232" s="0" t="n">
        <v>2</v>
      </c>
      <c r="G232" s="0" t="str">
        <f aca="false">CONCATENATE(B232, "-",C232, "-", D232, "-", F232)</f>
        <v>M0111-B-116-2</v>
      </c>
      <c r="H232" s="0" t="n">
        <v>288.62</v>
      </c>
      <c r="I232" s="0" t="n">
        <v>288.78</v>
      </c>
    </row>
    <row r="233" customFormat="false" ht="14.25" hidden="false" customHeight="false" outlineLevel="0" collapsed="false">
      <c r="A233" s="0" t="n">
        <v>501</v>
      </c>
      <c r="B233" s="0" t="s">
        <v>38</v>
      </c>
      <c r="C233" s="0" t="s">
        <v>39</v>
      </c>
      <c r="D233" s="0" t="n">
        <v>117</v>
      </c>
      <c r="E233" s="0" t="s">
        <v>44</v>
      </c>
      <c r="F233" s="0" t="n">
        <v>1</v>
      </c>
      <c r="G233" s="0" t="str">
        <f aca="false">CONCATENATE(B233, "-",C233, "-", D233, "-", F233)</f>
        <v>M0111-B-117-1</v>
      </c>
      <c r="H233" s="0" t="n">
        <v>289.33</v>
      </c>
      <c r="I233" s="0" t="n">
        <v>290.29</v>
      </c>
    </row>
    <row r="234" customFormat="false" ht="14.25" hidden="false" customHeight="false" outlineLevel="0" collapsed="false">
      <c r="A234" s="0" t="n">
        <v>501</v>
      </c>
      <c r="B234" s="0" t="s">
        <v>38</v>
      </c>
      <c r="C234" s="0" t="s">
        <v>39</v>
      </c>
      <c r="D234" s="0" t="n">
        <v>119</v>
      </c>
      <c r="E234" s="0" t="s">
        <v>44</v>
      </c>
      <c r="F234" s="0" t="n">
        <v>1</v>
      </c>
      <c r="G234" s="0" t="str">
        <f aca="false">CONCATENATE(B234, "-",C234, "-", D234, "-", F234)</f>
        <v>M0111-B-119-1</v>
      </c>
      <c r="H234" s="0" t="n">
        <v>292.83</v>
      </c>
      <c r="I234" s="0" t="n">
        <v>293.49</v>
      </c>
    </row>
    <row r="235" customFormat="false" ht="14.25" hidden="false" customHeight="false" outlineLevel="0" collapsed="false">
      <c r="A235" s="0" t="n">
        <v>501</v>
      </c>
      <c r="B235" s="0" t="s">
        <v>38</v>
      </c>
      <c r="C235" s="0" t="s">
        <v>39</v>
      </c>
      <c r="D235" s="0" t="n">
        <v>120</v>
      </c>
      <c r="E235" s="0" t="s">
        <v>44</v>
      </c>
      <c r="F235" s="0" t="n">
        <v>1</v>
      </c>
      <c r="G235" s="0" t="str">
        <f aca="false">CONCATENATE(B235, "-",C235, "-", D235, "-", F235)</f>
        <v>M0111-B-120-1</v>
      </c>
      <c r="H235" s="0" t="n">
        <v>295.63</v>
      </c>
      <c r="I235" s="0" t="n">
        <v>296.71</v>
      </c>
    </row>
    <row r="236" customFormat="false" ht="14.25" hidden="false" customHeight="false" outlineLevel="0" collapsed="false">
      <c r="A236" s="0" t="n">
        <v>501</v>
      </c>
      <c r="B236" s="0" t="s">
        <v>38</v>
      </c>
      <c r="C236" s="0" t="s">
        <v>39</v>
      </c>
      <c r="D236" s="0" t="n">
        <v>121</v>
      </c>
      <c r="E236" s="0" t="s">
        <v>44</v>
      </c>
      <c r="F236" s="0" t="n">
        <v>1</v>
      </c>
      <c r="G236" s="0" t="str">
        <f aca="false">CONCATENATE(B236, "-",C236, "-", D236, "-", F236)</f>
        <v>M0111-B-121-1</v>
      </c>
      <c r="H236" s="0" t="n">
        <v>298.68</v>
      </c>
      <c r="I236" s="0" t="n">
        <v>299.68</v>
      </c>
    </row>
    <row r="237" customFormat="false" ht="14.25" hidden="false" customHeight="false" outlineLevel="0" collapsed="false">
      <c r="A237" s="0" t="n">
        <v>501</v>
      </c>
      <c r="B237" s="0" t="s">
        <v>38</v>
      </c>
      <c r="C237" s="0" t="s">
        <v>39</v>
      </c>
      <c r="D237" s="0" t="n">
        <v>121</v>
      </c>
      <c r="E237" s="0" t="s">
        <v>44</v>
      </c>
      <c r="F237" s="0" t="n">
        <v>1</v>
      </c>
      <c r="G237" s="0" t="str">
        <f aca="false">CONCATENATE(B237, "-",C237, "-", D237, "-", F237)</f>
        <v>M0111-B-121-1</v>
      </c>
      <c r="H237" s="0" t="n">
        <v>299.68</v>
      </c>
      <c r="I237" s="0" t="n">
        <v>300.34</v>
      </c>
    </row>
    <row r="238" customFormat="false" ht="14.25" hidden="false" customHeight="false" outlineLevel="0" collapsed="false">
      <c r="A238" s="0" t="n">
        <v>501</v>
      </c>
      <c r="B238" s="0" t="s">
        <v>38</v>
      </c>
      <c r="C238" s="0" t="s">
        <v>39</v>
      </c>
      <c r="D238" s="0" t="n">
        <v>122</v>
      </c>
      <c r="E238" s="0" t="s">
        <v>44</v>
      </c>
      <c r="F238" s="0" t="n">
        <v>2</v>
      </c>
      <c r="G238" s="0" t="str">
        <f aca="false">CONCATENATE(B238, "-",C238, "-", D238, "-", F238)</f>
        <v>M0111-B-122-2</v>
      </c>
      <c r="H238" s="0" t="n">
        <v>300.23</v>
      </c>
      <c r="I238" s="0" t="n">
        <v>301.14</v>
      </c>
    </row>
    <row r="239" customFormat="false" ht="14.25" hidden="false" customHeight="false" outlineLevel="0" collapsed="false">
      <c r="A239" s="0" t="n">
        <v>501</v>
      </c>
      <c r="B239" s="0" t="s">
        <v>38</v>
      </c>
      <c r="C239" s="0" t="s">
        <v>39</v>
      </c>
      <c r="D239" s="0" t="n">
        <v>122</v>
      </c>
      <c r="E239" s="0" t="s">
        <v>44</v>
      </c>
      <c r="F239" s="0" t="n">
        <v>1</v>
      </c>
      <c r="G239" s="0" t="str">
        <f aca="false">CONCATENATE(B239, "-",C239, "-", D239, "-", F239)</f>
        <v>M0111-B-122-1</v>
      </c>
      <c r="H239" s="0" t="n">
        <v>301.14</v>
      </c>
      <c r="I239" s="0" t="n">
        <v>301.65</v>
      </c>
    </row>
    <row r="240" customFormat="false" ht="14.25" hidden="false" customHeight="false" outlineLevel="0" collapsed="false">
      <c r="A240" s="0" t="n">
        <v>501</v>
      </c>
      <c r="B240" s="0" t="s">
        <v>38</v>
      </c>
      <c r="C240" s="0" t="s">
        <v>39</v>
      </c>
      <c r="D240" s="0" t="n">
        <v>125</v>
      </c>
      <c r="E240" s="0" t="s">
        <v>44</v>
      </c>
      <c r="F240" s="0" t="n">
        <v>1</v>
      </c>
      <c r="G240" s="0" t="str">
        <f aca="false">CONCATENATE(B240, "-",C240, "-", D240, "-", F240)</f>
        <v>M0111-B-125-1</v>
      </c>
      <c r="H240" s="0" t="n">
        <v>306.33</v>
      </c>
      <c r="I240" s="0" t="n">
        <v>306.8</v>
      </c>
    </row>
    <row r="241" customFormat="false" ht="14.25" hidden="false" customHeight="false" outlineLevel="0" collapsed="false">
      <c r="A241" s="0" t="n">
        <v>501</v>
      </c>
      <c r="B241" s="0" t="s">
        <v>38</v>
      </c>
      <c r="C241" s="0" t="s">
        <v>39</v>
      </c>
      <c r="D241" s="0" t="n">
        <v>126</v>
      </c>
      <c r="E241" s="0" t="s">
        <v>44</v>
      </c>
      <c r="F241" s="0" t="n">
        <v>1</v>
      </c>
      <c r="G241" s="0" t="str">
        <f aca="false">CONCATENATE(B241, "-",C241, "-", D241, "-", F241)</f>
        <v>M0111-B-126-1</v>
      </c>
      <c r="H241" s="0" t="n">
        <v>307.08</v>
      </c>
      <c r="I241" s="0" t="n">
        <v>307.5</v>
      </c>
    </row>
    <row r="242" customFormat="false" ht="14.25" hidden="false" customHeight="false" outlineLevel="0" collapsed="false">
      <c r="A242" s="0" t="n">
        <v>501</v>
      </c>
      <c r="B242" s="0" t="s">
        <v>38</v>
      </c>
      <c r="C242" s="0" t="s">
        <v>39</v>
      </c>
      <c r="D242" s="0" t="n">
        <v>127</v>
      </c>
      <c r="E242" s="0" t="s">
        <v>44</v>
      </c>
      <c r="F242" s="0" t="n">
        <v>1</v>
      </c>
      <c r="G242" s="0" t="str">
        <f aca="false">CONCATENATE(B242, "-",C242, "-", D242, "-", F242)</f>
        <v>M0111-B-127-1</v>
      </c>
      <c r="H242" s="0" t="n">
        <v>310.13</v>
      </c>
      <c r="I242" s="0" t="n">
        <v>311.13</v>
      </c>
    </row>
    <row r="243" customFormat="false" ht="14.25" hidden="false" customHeight="false" outlineLevel="0" collapsed="false">
      <c r="A243" s="0" t="n">
        <v>501</v>
      </c>
      <c r="B243" s="0" t="s">
        <v>38</v>
      </c>
      <c r="C243" s="0" t="s">
        <v>39</v>
      </c>
      <c r="D243" s="0" t="n">
        <v>127</v>
      </c>
      <c r="E243" s="0" t="s">
        <v>44</v>
      </c>
      <c r="F243" s="0" t="n">
        <v>1</v>
      </c>
      <c r="G243" s="0" t="str">
        <f aca="false">CONCATENATE(B243, "-",C243, "-", D243, "-", F243)</f>
        <v>M0111-B-127-1</v>
      </c>
      <c r="H243" s="0" t="n">
        <v>311.13</v>
      </c>
      <c r="I243" s="0" t="n">
        <v>311.97</v>
      </c>
    </row>
    <row r="244" customFormat="false" ht="14.25" hidden="false" customHeight="false" outlineLevel="0" collapsed="false">
      <c r="A244" s="0" t="n">
        <v>501</v>
      </c>
      <c r="B244" s="0" t="s">
        <v>38</v>
      </c>
      <c r="C244" s="0" t="s">
        <v>39</v>
      </c>
      <c r="D244" s="0" t="n">
        <v>128</v>
      </c>
      <c r="E244" s="0" t="s">
        <v>44</v>
      </c>
      <c r="F244" s="0" t="n">
        <v>2</v>
      </c>
      <c r="G244" s="0" t="str">
        <f aca="false">CONCATENATE(B244, "-",C244, "-", D244, "-", F244)</f>
        <v>M0111-B-128-2</v>
      </c>
      <c r="H244" s="0" t="n">
        <v>312.78</v>
      </c>
      <c r="I244" s="0" t="n">
        <v>314.29</v>
      </c>
    </row>
    <row r="245" customFormat="false" ht="14.25" hidden="false" customHeight="false" outlineLevel="0" collapsed="false">
      <c r="A245" s="0" t="n">
        <v>501</v>
      </c>
      <c r="B245" s="0" t="s">
        <v>38</v>
      </c>
      <c r="C245" s="0" t="s">
        <v>39</v>
      </c>
      <c r="D245" s="0" t="n">
        <v>128</v>
      </c>
      <c r="E245" s="0" t="s">
        <v>44</v>
      </c>
      <c r="F245" s="0" t="n">
        <v>1</v>
      </c>
      <c r="G245" s="0" t="str">
        <f aca="false">CONCATENATE(B245, "-",C245, "-", D245, "-", F245)</f>
        <v>M0111-B-128-1</v>
      </c>
      <c r="H245" s="0" t="n">
        <v>314.29</v>
      </c>
      <c r="I245" s="0" t="n">
        <v>315.3</v>
      </c>
    </row>
    <row r="246" customFormat="false" ht="14.25" hidden="false" customHeight="false" outlineLevel="0" collapsed="false">
      <c r="A246" s="0" t="n">
        <v>501</v>
      </c>
      <c r="B246" s="0" t="s">
        <v>38</v>
      </c>
      <c r="C246" s="0" t="s">
        <v>39</v>
      </c>
      <c r="D246" s="0" t="n">
        <v>128</v>
      </c>
      <c r="E246" s="0" t="s">
        <v>44</v>
      </c>
      <c r="F246" s="0" t="n">
        <v>2</v>
      </c>
      <c r="G246" s="0" t="str">
        <f aca="false">CONCATENATE(B246, "-",C246, "-", D246, "-", F246)</f>
        <v>M0111-B-128-2</v>
      </c>
      <c r="H246" s="0" t="n">
        <v>315.3</v>
      </c>
      <c r="I246" s="0" t="n">
        <v>315.96</v>
      </c>
    </row>
    <row r="247" customFormat="false" ht="14.25" hidden="false" customHeight="false" outlineLevel="0" collapsed="false">
      <c r="A247" s="0" t="n">
        <v>501</v>
      </c>
      <c r="B247" s="0" t="s">
        <v>38</v>
      </c>
      <c r="C247" s="0" t="s">
        <v>39</v>
      </c>
      <c r="D247" s="0" t="n">
        <v>129</v>
      </c>
      <c r="E247" s="0" t="s">
        <v>44</v>
      </c>
      <c r="F247" s="0" t="n">
        <v>1</v>
      </c>
      <c r="G247" s="0" t="str">
        <f aca="false">CONCATENATE(B247, "-",C247, "-", D247, "-", F247)</f>
        <v>M0111-B-129-1</v>
      </c>
      <c r="H247" s="0" t="n">
        <v>315.83</v>
      </c>
      <c r="I247" s="0" t="n">
        <v>317.33</v>
      </c>
    </row>
    <row r="248" customFormat="false" ht="14.25" hidden="false" customHeight="false" outlineLevel="0" collapsed="false">
      <c r="A248" s="0" t="n">
        <v>501</v>
      </c>
      <c r="B248" s="0" t="s">
        <v>38</v>
      </c>
      <c r="C248" s="0" t="s">
        <v>39</v>
      </c>
      <c r="D248" s="0" t="n">
        <v>129</v>
      </c>
      <c r="E248" s="0" t="s">
        <v>44</v>
      </c>
      <c r="F248" s="0" t="n">
        <v>2</v>
      </c>
      <c r="G248" s="0" t="str">
        <f aca="false">CONCATENATE(B248, "-",C248, "-", D248, "-", F248)</f>
        <v>M0111-B-129-2</v>
      </c>
      <c r="H248" s="0" t="n">
        <v>317.33</v>
      </c>
      <c r="I248" s="0" t="n">
        <v>318.64</v>
      </c>
    </row>
    <row r="249" customFormat="false" ht="14.25" hidden="false" customHeight="false" outlineLevel="0" collapsed="false">
      <c r="A249" s="0" t="n">
        <v>501</v>
      </c>
      <c r="B249" s="0" t="s">
        <v>38</v>
      </c>
      <c r="C249" s="0" t="s">
        <v>39</v>
      </c>
      <c r="D249" s="0" t="n">
        <v>130</v>
      </c>
      <c r="E249" s="0" t="s">
        <v>44</v>
      </c>
      <c r="F249" s="0" t="n">
        <v>1</v>
      </c>
      <c r="G249" s="0" t="str">
        <f aca="false">CONCATENATE(B249, "-",C249, "-", D249, "-", F249)</f>
        <v>M0111-B-130-1</v>
      </c>
      <c r="H249" s="0" t="n">
        <v>318.88</v>
      </c>
      <c r="I249" s="0" t="n">
        <v>320.38</v>
      </c>
    </row>
    <row r="250" customFormat="false" ht="14.25" hidden="false" customHeight="false" outlineLevel="0" collapsed="false">
      <c r="A250" s="0" t="n">
        <v>501</v>
      </c>
      <c r="B250" s="0" t="s">
        <v>38</v>
      </c>
      <c r="C250" s="0" t="s">
        <v>39</v>
      </c>
      <c r="D250" s="0" t="n">
        <v>130</v>
      </c>
      <c r="E250" s="0" t="s">
        <v>44</v>
      </c>
      <c r="F250" s="0" t="n">
        <v>2</v>
      </c>
      <c r="G250" s="0" t="str">
        <f aca="false">CONCATENATE(B250, "-",C250, "-", D250, "-", F250)</f>
        <v>M0111-B-130-2</v>
      </c>
      <c r="H250" s="0" t="n">
        <v>320.38</v>
      </c>
      <c r="I250" s="0" t="n">
        <v>321.46</v>
      </c>
    </row>
    <row r="251" customFormat="false" ht="14.25" hidden="false" customHeight="false" outlineLevel="0" collapsed="false">
      <c r="A251" s="0" t="n">
        <v>501</v>
      </c>
      <c r="B251" s="0" t="s">
        <v>38</v>
      </c>
      <c r="C251" s="0" t="s">
        <v>39</v>
      </c>
      <c r="D251" s="0" t="n">
        <v>131</v>
      </c>
      <c r="E251" s="0" t="s">
        <v>44</v>
      </c>
      <c r="F251" s="0" t="n">
        <v>1</v>
      </c>
      <c r="G251" s="0" t="str">
        <f aca="false">CONCATENATE(B251, "-",C251, "-", D251, "-", F251)</f>
        <v>M0111-B-131-1</v>
      </c>
      <c r="H251" s="0" t="n">
        <v>321.93</v>
      </c>
      <c r="I251" s="0" t="n">
        <v>322.47</v>
      </c>
    </row>
    <row r="252" customFormat="false" ht="14.25" hidden="false" customHeight="false" outlineLevel="0" collapsed="false">
      <c r="A252" s="0" t="n">
        <v>501</v>
      </c>
      <c r="B252" s="0" t="s">
        <v>38</v>
      </c>
      <c r="C252" s="0" t="s">
        <v>39</v>
      </c>
      <c r="D252" s="0" t="n">
        <v>132</v>
      </c>
      <c r="E252" s="0" t="s">
        <v>44</v>
      </c>
      <c r="F252" s="0" t="n">
        <v>1</v>
      </c>
      <c r="G252" s="0" t="str">
        <f aca="false">CONCATENATE(B252, "-",C252, "-", D252, "-", F252)</f>
        <v>M0111-B-132-1</v>
      </c>
      <c r="H252" s="0" t="n">
        <v>323.83</v>
      </c>
      <c r="I252" s="0" t="n">
        <v>324.06</v>
      </c>
    </row>
    <row r="253" customFormat="false" ht="14.25" hidden="false" customHeight="false" outlineLevel="0" collapsed="false">
      <c r="A253" s="0" t="n">
        <v>501</v>
      </c>
      <c r="B253" s="0" t="s">
        <v>38</v>
      </c>
      <c r="C253" s="0" t="s">
        <v>39</v>
      </c>
      <c r="D253" s="0" t="n">
        <v>133</v>
      </c>
      <c r="E253" s="0" t="s">
        <v>44</v>
      </c>
      <c r="F253" s="0" t="n">
        <v>1</v>
      </c>
      <c r="G253" s="0" t="str">
        <f aca="false">CONCATENATE(B253, "-",C253, "-", D253, "-", F253)</f>
        <v>M0111-B-133-1</v>
      </c>
      <c r="H253" s="0" t="n">
        <v>326.13</v>
      </c>
      <c r="I253" s="0" t="n">
        <v>327.63</v>
      </c>
    </row>
    <row r="254" customFormat="false" ht="14.25" hidden="false" customHeight="false" outlineLevel="0" collapsed="false">
      <c r="A254" s="0" t="n">
        <v>501</v>
      </c>
      <c r="B254" s="0" t="s">
        <v>38</v>
      </c>
      <c r="C254" s="0" t="s">
        <v>39</v>
      </c>
      <c r="D254" s="0" t="n">
        <v>133</v>
      </c>
      <c r="E254" s="0" t="s">
        <v>44</v>
      </c>
      <c r="F254" s="0" t="n">
        <v>2</v>
      </c>
      <c r="G254" s="0" t="str">
        <f aca="false">CONCATENATE(B254, "-",C254, "-", D254, "-", F254)</f>
        <v>M0111-B-133-2</v>
      </c>
      <c r="H254" s="0" t="n">
        <v>327.63</v>
      </c>
      <c r="I254" s="0" t="n">
        <v>328.33</v>
      </c>
    </row>
    <row r="255" customFormat="false" ht="14.25" hidden="false" customHeight="false" outlineLevel="0" collapsed="false">
      <c r="A255" s="0" t="n">
        <v>501</v>
      </c>
      <c r="B255" s="0" t="s">
        <v>38</v>
      </c>
      <c r="C255" s="0" t="s">
        <v>39</v>
      </c>
      <c r="D255" s="0" t="n">
        <v>134</v>
      </c>
      <c r="E255" s="0" t="s">
        <v>44</v>
      </c>
      <c r="F255" s="0" t="n">
        <v>1</v>
      </c>
      <c r="G255" s="0" t="str">
        <f aca="false">CONCATENATE(B255, "-",C255, "-", D255, "-", F255)</f>
        <v>M0111-B-134-1</v>
      </c>
      <c r="H255" s="0" t="n">
        <v>328.98</v>
      </c>
      <c r="I255" s="0" t="n">
        <v>329.69</v>
      </c>
    </row>
    <row r="256" customFormat="false" ht="14.25" hidden="false" customHeight="false" outlineLevel="0" collapsed="false">
      <c r="A256" s="0" t="n">
        <v>501</v>
      </c>
      <c r="B256" s="0" t="s">
        <v>38</v>
      </c>
      <c r="C256" s="0" t="s">
        <v>39</v>
      </c>
      <c r="D256" s="0" t="n">
        <v>135</v>
      </c>
      <c r="E256" s="0" t="s">
        <v>44</v>
      </c>
      <c r="F256" s="0" t="n">
        <v>1</v>
      </c>
      <c r="G256" s="0" t="str">
        <f aca="false">CONCATENATE(B256, "-",C256, "-", D256, "-", F256)</f>
        <v>M0111-B-135-1</v>
      </c>
      <c r="H256" s="0" t="n">
        <v>330.83</v>
      </c>
      <c r="I256" s="0" t="n">
        <v>331.55</v>
      </c>
    </row>
    <row r="257" customFormat="false" ht="14.25" hidden="false" customHeight="false" outlineLevel="0" collapsed="false">
      <c r="A257" s="0" t="n">
        <v>501</v>
      </c>
      <c r="B257" s="0" t="s">
        <v>38</v>
      </c>
      <c r="C257" s="0" t="s">
        <v>39</v>
      </c>
      <c r="D257" s="0" t="n">
        <v>137</v>
      </c>
      <c r="E257" s="0" t="s">
        <v>44</v>
      </c>
      <c r="F257" s="0" t="n">
        <v>1</v>
      </c>
      <c r="G257" s="0" t="str">
        <f aca="false">CONCATENATE(B257, "-",C257, "-", D257, "-", F257)</f>
        <v>M0111-B-137-1</v>
      </c>
      <c r="H257" s="0" t="n">
        <v>332.58</v>
      </c>
      <c r="I257" s="0" t="n">
        <v>333.22</v>
      </c>
    </row>
    <row r="258" customFormat="false" ht="14.25" hidden="false" customHeight="false" outlineLevel="0" collapsed="false">
      <c r="A258" s="0" t="n">
        <v>501</v>
      </c>
      <c r="B258" s="0" t="s">
        <v>38</v>
      </c>
      <c r="C258" s="0" t="s">
        <v>39</v>
      </c>
      <c r="D258" s="0" t="n">
        <v>138</v>
      </c>
      <c r="E258" s="0" t="s">
        <v>44</v>
      </c>
      <c r="F258" s="0" t="n">
        <v>1</v>
      </c>
      <c r="G258" s="0" t="str">
        <f aca="false">CONCATENATE(B258, "-",C258, "-", D258, "-", F258)</f>
        <v>M0111-B-138-1</v>
      </c>
      <c r="H258" s="0" t="n">
        <v>334.98</v>
      </c>
      <c r="I258" s="0" t="n">
        <v>336.37</v>
      </c>
    </row>
    <row r="259" customFormat="false" ht="14.25" hidden="false" customHeight="false" outlineLevel="0" collapsed="false">
      <c r="A259" s="0" t="n">
        <v>501</v>
      </c>
      <c r="B259" s="0" t="s">
        <v>38</v>
      </c>
      <c r="C259" s="0" t="s">
        <v>39</v>
      </c>
      <c r="D259" s="0" t="n">
        <v>139</v>
      </c>
      <c r="E259" s="0" t="s">
        <v>44</v>
      </c>
      <c r="F259" s="0" t="n">
        <v>1</v>
      </c>
      <c r="G259" s="0" t="str">
        <f aca="false">CONCATENATE(B259, "-",C259, "-", D259, "-", F259)</f>
        <v>M0111-B-139-1</v>
      </c>
      <c r="H259" s="0" t="n">
        <v>336.33</v>
      </c>
      <c r="I259" s="0" t="n">
        <v>337.24</v>
      </c>
    </row>
    <row r="260" customFormat="false" ht="14.25" hidden="false" customHeight="false" outlineLevel="0" collapsed="false">
      <c r="A260" s="0" t="n">
        <v>501</v>
      </c>
      <c r="B260" s="0" t="s">
        <v>38</v>
      </c>
      <c r="C260" s="0" t="s">
        <v>39</v>
      </c>
      <c r="D260" s="0" t="n">
        <v>140</v>
      </c>
      <c r="E260" s="0" t="s">
        <v>44</v>
      </c>
      <c r="F260" s="0" t="n">
        <v>1</v>
      </c>
      <c r="G260" s="0" t="str">
        <f aca="false">CONCATENATE(B260, "-",C260, "-", D260, "-", F260)</f>
        <v>M0111-B-140-1</v>
      </c>
      <c r="H260" s="0" t="n">
        <v>338.03</v>
      </c>
      <c r="I260" s="0" t="n">
        <v>338.65</v>
      </c>
    </row>
    <row r="261" customFormat="false" ht="14.25" hidden="false" customHeight="false" outlineLevel="0" collapsed="false">
      <c r="A261" s="0" t="n">
        <v>501</v>
      </c>
      <c r="B261" s="0" t="s">
        <v>38</v>
      </c>
      <c r="C261" s="0" t="s">
        <v>39</v>
      </c>
      <c r="D261" s="0" t="n">
        <v>141</v>
      </c>
      <c r="E261" s="0" t="s">
        <v>44</v>
      </c>
      <c r="F261" s="0" t="n">
        <v>1</v>
      </c>
      <c r="G261" s="0" t="str">
        <f aca="false">CONCATENATE(B261, "-",C261, "-", D261, "-", F261)</f>
        <v>M0111-B-141-1</v>
      </c>
      <c r="H261" s="0" t="n">
        <v>339.68</v>
      </c>
      <c r="I261" s="0" t="n">
        <v>339.81</v>
      </c>
    </row>
    <row r="262" customFormat="false" ht="14.25" hidden="false" customHeight="false" outlineLevel="0" collapsed="false">
      <c r="A262" s="0" t="n">
        <v>501</v>
      </c>
      <c r="B262" s="0" t="s">
        <v>38</v>
      </c>
      <c r="C262" s="0" t="s">
        <v>39</v>
      </c>
      <c r="D262" s="0" t="n">
        <v>144</v>
      </c>
      <c r="E262" s="0" t="s">
        <v>44</v>
      </c>
      <c r="F262" s="0" t="n">
        <v>1</v>
      </c>
      <c r="G262" s="0" t="str">
        <f aca="false">CONCATENATE(B262, "-",C262, "-", D262, "-", F262)</f>
        <v>M0111-B-144-1</v>
      </c>
      <c r="H262" s="0" t="n">
        <v>344.43</v>
      </c>
      <c r="I262" s="0" t="n">
        <v>344.89</v>
      </c>
    </row>
    <row r="263" customFormat="false" ht="14.25" hidden="false" customHeight="false" outlineLevel="0" collapsed="false">
      <c r="A263" s="0" t="n">
        <v>501</v>
      </c>
      <c r="B263" s="0" t="s">
        <v>38</v>
      </c>
      <c r="C263" s="0" t="s">
        <v>39</v>
      </c>
      <c r="D263" s="0" t="n">
        <v>146</v>
      </c>
      <c r="E263" s="0" t="s">
        <v>44</v>
      </c>
      <c r="F263" s="0" t="n">
        <v>1</v>
      </c>
      <c r="G263" s="0" t="str">
        <f aca="false">CONCATENATE(B263, "-",C263, "-", D263, "-", F263)</f>
        <v>M0111-B-146-1</v>
      </c>
      <c r="H263" s="0" t="n">
        <v>345.78</v>
      </c>
      <c r="I263" s="0" t="n">
        <v>345.82</v>
      </c>
    </row>
    <row r="264" customFormat="false" ht="14.25" hidden="false" customHeight="false" outlineLevel="0" collapsed="false">
      <c r="A264" s="0" t="n">
        <v>501</v>
      </c>
      <c r="B264" s="0" t="s">
        <v>38</v>
      </c>
      <c r="C264" s="0" t="s">
        <v>39</v>
      </c>
      <c r="D264" s="0" t="n">
        <v>147</v>
      </c>
      <c r="E264" s="0" t="s">
        <v>44</v>
      </c>
      <c r="F264" s="0" t="n">
        <v>1</v>
      </c>
      <c r="G264" s="0" t="str">
        <f aca="false">CONCATENATE(B264, "-",C264, "-", D264, "-", F264)</f>
        <v>M0111-B-147-1</v>
      </c>
      <c r="H264" s="0" t="n">
        <v>346.13</v>
      </c>
      <c r="I264" s="0" t="n">
        <v>346.57</v>
      </c>
    </row>
    <row r="265" customFormat="false" ht="14.25" hidden="false" customHeight="false" outlineLevel="0" collapsed="false">
      <c r="A265" s="0" t="n">
        <v>501</v>
      </c>
      <c r="B265" s="0" t="s">
        <v>38</v>
      </c>
      <c r="C265" s="0" t="s">
        <v>39</v>
      </c>
      <c r="D265" s="0" t="n">
        <v>149</v>
      </c>
      <c r="E265" s="0" t="s">
        <v>44</v>
      </c>
      <c r="F265" s="0" t="n">
        <v>1</v>
      </c>
      <c r="G265" s="0" t="str">
        <f aca="false">CONCATENATE(B265, "-",C265, "-", D265, "-", F265)</f>
        <v>M0111-B-149-1</v>
      </c>
      <c r="H265" s="0" t="n">
        <v>348.03</v>
      </c>
      <c r="I265" s="0" t="n">
        <v>349.15</v>
      </c>
    </row>
    <row r="266" customFormat="false" ht="14.25" hidden="false" customHeight="false" outlineLevel="0" collapsed="false">
      <c r="A266" s="0" t="n">
        <v>501</v>
      </c>
      <c r="B266" s="0" t="s">
        <v>38</v>
      </c>
      <c r="C266" s="0" t="s">
        <v>39</v>
      </c>
      <c r="D266" s="0" t="n">
        <v>150</v>
      </c>
      <c r="E266" s="0" t="s">
        <v>44</v>
      </c>
      <c r="F266" s="0" t="n">
        <v>1</v>
      </c>
      <c r="G266" s="0" t="str">
        <f aca="false">CONCATENATE(B266, "-",C266, "-", D266, "-", F266)</f>
        <v>M0111-B-150-1</v>
      </c>
      <c r="H266" s="0" t="n">
        <v>349.03</v>
      </c>
      <c r="I266" s="0" t="n">
        <v>349.13</v>
      </c>
    </row>
    <row r="267" customFormat="false" ht="14.25" hidden="false" customHeight="false" outlineLevel="0" collapsed="false">
      <c r="A267" s="0" t="n">
        <v>501</v>
      </c>
      <c r="B267" s="0" t="s">
        <v>38</v>
      </c>
      <c r="C267" s="0" t="s">
        <v>39</v>
      </c>
      <c r="D267" s="0" t="n">
        <v>151</v>
      </c>
      <c r="E267" s="0" t="s">
        <v>44</v>
      </c>
      <c r="F267" s="0" t="n">
        <v>1</v>
      </c>
      <c r="G267" s="0" t="str">
        <f aca="false">CONCATENATE(B267, "-",C267, "-", D267, "-", F267)</f>
        <v>M0111-B-151-1</v>
      </c>
      <c r="H267" s="0" t="n">
        <v>350.03</v>
      </c>
      <c r="I267" s="0" t="n">
        <v>350.67</v>
      </c>
    </row>
    <row r="268" customFormat="false" ht="14.25" hidden="false" customHeight="false" outlineLevel="0" collapsed="false">
      <c r="A268" s="0" t="n">
        <v>501</v>
      </c>
      <c r="B268" s="0" t="s">
        <v>38</v>
      </c>
      <c r="C268" s="0" t="s">
        <v>39</v>
      </c>
      <c r="D268" s="0" t="n">
        <v>152</v>
      </c>
      <c r="E268" s="0" t="s">
        <v>44</v>
      </c>
      <c r="F268" s="0" t="n">
        <v>1</v>
      </c>
      <c r="G268" s="0" t="str">
        <f aca="false">CONCATENATE(B268, "-",C268, "-", D268, "-", F268)</f>
        <v>M0111-B-152-1</v>
      </c>
      <c r="H268" s="0" t="n">
        <v>351.28</v>
      </c>
      <c r="I268" s="0" t="n">
        <v>351.62</v>
      </c>
    </row>
    <row r="269" customFormat="false" ht="14.25" hidden="false" customHeight="false" outlineLevel="0" collapsed="false">
      <c r="A269" s="0" t="n">
        <v>501</v>
      </c>
      <c r="B269" s="0" t="s">
        <v>38</v>
      </c>
      <c r="C269" s="0" t="s">
        <v>39</v>
      </c>
      <c r="D269" s="0" t="n">
        <v>154</v>
      </c>
      <c r="E269" s="0" t="s">
        <v>44</v>
      </c>
      <c r="F269" s="0" t="n">
        <v>1</v>
      </c>
      <c r="G269" s="0" t="str">
        <f aca="false">CONCATENATE(B269, "-",C269, "-", D269, "-", F269)</f>
        <v>M0111-B-154-1</v>
      </c>
      <c r="H269" s="0" t="n">
        <v>353.58</v>
      </c>
      <c r="I269" s="0" t="n">
        <v>353.81</v>
      </c>
    </row>
    <row r="270" customFormat="false" ht="14.25" hidden="false" customHeight="false" outlineLevel="0" collapsed="false">
      <c r="A270" s="0" t="n">
        <v>501</v>
      </c>
      <c r="B270" s="0" t="s">
        <v>38</v>
      </c>
      <c r="C270" s="0" t="s">
        <v>39</v>
      </c>
      <c r="D270" s="0" t="n">
        <v>155</v>
      </c>
      <c r="E270" s="0" t="s">
        <v>44</v>
      </c>
      <c r="F270" s="0" t="n">
        <v>1</v>
      </c>
      <c r="G270" s="0" t="str">
        <f aca="false">CONCATENATE(B270, "-",C270, "-", D270, "-", F270)</f>
        <v>M0111-B-155-1</v>
      </c>
      <c r="H270" s="0" t="n">
        <v>355.55</v>
      </c>
      <c r="I270" s="0" t="n">
        <v>356.52</v>
      </c>
    </row>
    <row r="271" customFormat="false" ht="14.25" hidden="false" customHeight="false" outlineLevel="0" collapsed="false">
      <c r="A271" s="0" t="n">
        <v>501</v>
      </c>
      <c r="B271" s="0" t="s">
        <v>38</v>
      </c>
      <c r="C271" s="0" t="s">
        <v>39</v>
      </c>
      <c r="D271" s="0" t="n">
        <v>156</v>
      </c>
      <c r="E271" s="0" t="s">
        <v>44</v>
      </c>
      <c r="F271" s="0" t="n">
        <v>1</v>
      </c>
      <c r="G271" s="0" t="str">
        <f aca="false">CONCATENATE(B271, "-",C271, "-", D271, "-", F271)</f>
        <v>M0111-B-156-1</v>
      </c>
      <c r="H271" s="0" t="n">
        <v>358.6</v>
      </c>
      <c r="I271" s="0" t="n">
        <v>358.75</v>
      </c>
    </row>
    <row r="272" customFormat="false" ht="14.25" hidden="false" customHeight="false" outlineLevel="0" collapsed="false">
      <c r="A272" s="0" t="n">
        <v>501</v>
      </c>
      <c r="B272" s="0" t="s">
        <v>38</v>
      </c>
      <c r="C272" s="0" t="s">
        <v>39</v>
      </c>
      <c r="D272" s="0" t="n">
        <v>157</v>
      </c>
      <c r="E272" s="0" t="s">
        <v>44</v>
      </c>
      <c r="F272" s="0" t="n">
        <v>1</v>
      </c>
      <c r="G272" s="0" t="str">
        <f aca="false">CONCATENATE(B272, "-",C272, "-", D272, "-", F272)</f>
        <v>M0111-B-157-1</v>
      </c>
      <c r="H272" s="0" t="n">
        <v>360.83</v>
      </c>
      <c r="I272" s="0" t="n">
        <v>361.57</v>
      </c>
    </row>
    <row r="273" customFormat="false" ht="14.25" hidden="false" customHeight="false" outlineLevel="0" collapsed="false">
      <c r="A273" s="0" t="n">
        <v>501</v>
      </c>
      <c r="B273" s="0" t="s">
        <v>38</v>
      </c>
      <c r="C273" s="0" t="s">
        <v>39</v>
      </c>
      <c r="D273" s="0" t="n">
        <v>158</v>
      </c>
      <c r="E273" s="0" t="s">
        <v>44</v>
      </c>
      <c r="F273" s="0" t="n">
        <v>1</v>
      </c>
      <c r="G273" s="0" t="str">
        <f aca="false">CONCATENATE(B273, "-",C273, "-", D273, "-", F273)</f>
        <v>M0111-B-158-1</v>
      </c>
      <c r="H273" s="0" t="n">
        <v>361.73</v>
      </c>
      <c r="I273" s="0" t="n">
        <v>362.35</v>
      </c>
    </row>
    <row r="274" customFormat="false" ht="14.25" hidden="false" customHeight="false" outlineLevel="0" collapsed="false">
      <c r="A274" s="0" t="n">
        <v>501</v>
      </c>
      <c r="B274" s="0" t="s">
        <v>38</v>
      </c>
      <c r="C274" s="0" t="s">
        <v>39</v>
      </c>
      <c r="D274" s="0" t="n">
        <v>158</v>
      </c>
      <c r="E274" s="0" t="s">
        <v>44</v>
      </c>
      <c r="F274" s="0" t="n">
        <v>2</v>
      </c>
      <c r="G274" s="0" t="str">
        <f aca="false">CONCATENATE(B274, "-",C274, "-", D274, "-", F274)</f>
        <v>M0111-B-158-2</v>
      </c>
      <c r="H274" s="0" t="n">
        <v>362.35</v>
      </c>
      <c r="I274" s="0" t="n">
        <v>362.72</v>
      </c>
    </row>
    <row r="275" customFormat="false" ht="14.25" hidden="false" customHeight="false" outlineLevel="0" collapsed="false">
      <c r="A275" s="0" t="n">
        <v>501</v>
      </c>
      <c r="B275" s="0" t="s">
        <v>38</v>
      </c>
      <c r="C275" s="0" t="s">
        <v>39</v>
      </c>
      <c r="D275" s="0" t="n">
        <v>159</v>
      </c>
      <c r="E275" s="0" t="s">
        <v>44</v>
      </c>
      <c r="F275" s="0" t="n">
        <v>1</v>
      </c>
      <c r="G275" s="0" t="str">
        <f aca="false">CONCATENATE(B275, "-",C275, "-", D275, "-", F275)</f>
        <v>M0111-B-159-1</v>
      </c>
      <c r="H275" s="0" t="n">
        <v>364.78</v>
      </c>
      <c r="I275" s="0" t="n">
        <v>365.38</v>
      </c>
    </row>
    <row r="276" customFormat="false" ht="14.25" hidden="false" customHeight="false" outlineLevel="0" collapsed="false">
      <c r="A276" s="0" t="n">
        <v>501</v>
      </c>
      <c r="B276" s="0" t="s">
        <v>38</v>
      </c>
      <c r="C276" s="0" t="s">
        <v>39</v>
      </c>
      <c r="D276" s="0" t="n">
        <v>160</v>
      </c>
      <c r="E276" s="0" t="s">
        <v>44</v>
      </c>
      <c r="F276" s="0" t="n">
        <v>1</v>
      </c>
      <c r="G276" s="0" t="str">
        <f aca="false">CONCATENATE(B276, "-",C276, "-", D276, "-", F276)</f>
        <v>M0111-B-160-1</v>
      </c>
      <c r="H276" s="0" t="n">
        <v>366.08</v>
      </c>
      <c r="I276" s="0" t="n">
        <v>366.5</v>
      </c>
    </row>
    <row r="277" customFormat="false" ht="14.25" hidden="false" customHeight="false" outlineLevel="0" collapsed="false">
      <c r="A277" s="0" t="n">
        <v>501</v>
      </c>
      <c r="B277" s="0" t="s">
        <v>38</v>
      </c>
      <c r="C277" s="0" t="s">
        <v>39</v>
      </c>
      <c r="D277" s="0" t="n">
        <v>161</v>
      </c>
      <c r="E277" s="0" t="s">
        <v>44</v>
      </c>
      <c r="F277" s="0" t="n">
        <v>1</v>
      </c>
      <c r="G277" s="0" t="str">
        <f aca="false">CONCATENATE(B277, "-",C277, "-", D277, "-", F277)</f>
        <v>M0111-B-161-1</v>
      </c>
      <c r="H277" s="0" t="n">
        <v>368.83</v>
      </c>
      <c r="I277" s="0" t="n">
        <v>369.83</v>
      </c>
    </row>
    <row r="278" customFormat="false" ht="14.25" hidden="false" customHeight="false" outlineLevel="0" collapsed="false">
      <c r="A278" s="0" t="n">
        <v>501</v>
      </c>
      <c r="B278" s="0" t="s">
        <v>38</v>
      </c>
      <c r="C278" s="0" t="s">
        <v>39</v>
      </c>
      <c r="D278" s="0" t="n">
        <v>165</v>
      </c>
      <c r="E278" s="0" t="s">
        <v>44</v>
      </c>
      <c r="F278" s="0" t="n">
        <v>1</v>
      </c>
      <c r="G278" s="0" t="str">
        <f aca="false">CONCATENATE(B278, "-",C278, "-", D278, "-", F278)</f>
        <v>M0111-B-165-1</v>
      </c>
      <c r="H278" s="0" t="n">
        <v>377.98</v>
      </c>
      <c r="I278" s="0" t="n">
        <v>379.48</v>
      </c>
    </row>
    <row r="279" customFormat="false" ht="14.25" hidden="false" customHeight="false" outlineLevel="0" collapsed="false">
      <c r="A279" s="0" t="n">
        <v>501</v>
      </c>
      <c r="B279" s="0" t="s">
        <v>38</v>
      </c>
      <c r="C279" s="0" t="s">
        <v>39</v>
      </c>
      <c r="D279" s="0" t="n">
        <v>165</v>
      </c>
      <c r="E279" s="0" t="s">
        <v>44</v>
      </c>
      <c r="F279" s="0" t="n">
        <v>2</v>
      </c>
      <c r="G279" s="0" t="str">
        <f aca="false">CONCATENATE(B279, "-",C279, "-", D279, "-", F279)</f>
        <v>M0111-B-165-2</v>
      </c>
      <c r="H279" s="0" t="n">
        <v>379.48</v>
      </c>
      <c r="I279" s="0" t="n">
        <v>379.91</v>
      </c>
    </row>
    <row r="280" customFormat="false" ht="14.25" hidden="false" customHeight="false" outlineLevel="0" collapsed="false">
      <c r="A280" s="0" t="n">
        <v>501</v>
      </c>
      <c r="B280" s="0" t="s">
        <v>38</v>
      </c>
      <c r="C280" s="0" t="s">
        <v>39</v>
      </c>
      <c r="D280" s="0" t="n">
        <v>166</v>
      </c>
      <c r="E280" s="0" t="s">
        <v>44</v>
      </c>
      <c r="F280" s="0" t="n">
        <v>1</v>
      </c>
      <c r="G280" s="0" t="str">
        <f aca="false">CONCATENATE(B280, "-",C280, "-", D280, "-", F280)</f>
        <v>M0111-B-166-1</v>
      </c>
      <c r="H280" s="0" t="n">
        <v>381.03</v>
      </c>
      <c r="I280" s="0" t="n">
        <v>381.93</v>
      </c>
    </row>
    <row r="281" customFormat="false" ht="14.25" hidden="false" customHeight="false" outlineLevel="0" collapsed="false">
      <c r="A281" s="0" t="n">
        <v>501</v>
      </c>
      <c r="B281" s="0" t="s">
        <v>38</v>
      </c>
      <c r="C281" s="0" t="s">
        <v>39</v>
      </c>
      <c r="D281" s="0" t="n">
        <v>168</v>
      </c>
      <c r="E281" s="0" t="s">
        <v>44</v>
      </c>
      <c r="F281" s="0" t="n">
        <v>1</v>
      </c>
      <c r="G281" s="0" t="str">
        <f aca="false">CONCATENATE(B281, "-",C281, "-", D281, "-", F281)</f>
        <v>M0111-B-168-1</v>
      </c>
      <c r="H281" s="0" t="n">
        <v>383.08</v>
      </c>
      <c r="I281" s="0" t="n">
        <v>383.25</v>
      </c>
    </row>
    <row r="282" customFormat="false" ht="14.25" hidden="false" customHeight="false" outlineLevel="0" collapsed="false">
      <c r="A282" s="0" t="n">
        <v>501</v>
      </c>
      <c r="B282" s="0" t="s">
        <v>38</v>
      </c>
      <c r="C282" s="0" t="s">
        <v>39</v>
      </c>
      <c r="D282" s="0" t="n">
        <v>169</v>
      </c>
      <c r="E282" s="0" t="s">
        <v>44</v>
      </c>
      <c r="F282" s="0" t="n">
        <v>1</v>
      </c>
      <c r="G282" s="0" t="str">
        <f aca="false">CONCATENATE(B282, "-",C282, "-", D282, "-", F282)</f>
        <v>M0111-B-169-1</v>
      </c>
      <c r="H282" s="0" t="n">
        <v>384.08</v>
      </c>
      <c r="I282" s="0" t="n">
        <v>384.26</v>
      </c>
    </row>
    <row r="283" customFormat="false" ht="14.25" hidden="false" customHeight="false" outlineLevel="0" collapsed="false">
      <c r="A283" s="0" t="n">
        <v>501</v>
      </c>
      <c r="B283" s="0" t="s">
        <v>38</v>
      </c>
      <c r="C283" s="0" t="s">
        <v>39</v>
      </c>
      <c r="D283" s="0" t="n">
        <v>171</v>
      </c>
      <c r="E283" s="0" t="s">
        <v>44</v>
      </c>
      <c r="F283" s="0" t="n">
        <v>1</v>
      </c>
      <c r="G283" s="0" t="str">
        <f aca="false">CONCATENATE(B283, "-",C283, "-", D283, "-", F283)</f>
        <v>M0111-B-171-1</v>
      </c>
      <c r="H283" s="0" t="n">
        <v>389.18</v>
      </c>
      <c r="I283" s="0" t="n">
        <v>389.3</v>
      </c>
    </row>
    <row r="284" customFormat="false" ht="14.25" hidden="false" customHeight="false" outlineLevel="0" collapsed="false">
      <c r="A284" s="0" t="n">
        <v>501</v>
      </c>
      <c r="B284" s="0" t="s">
        <v>38</v>
      </c>
      <c r="C284" s="0" t="s">
        <v>87</v>
      </c>
      <c r="D284" s="0" t="n">
        <v>1</v>
      </c>
      <c r="E284" s="0" t="s">
        <v>40</v>
      </c>
      <c r="F284" s="0" t="n">
        <v>1</v>
      </c>
      <c r="G284" s="0" t="str">
        <f aca="false">CONCATENATE(B284, "-",C284, "-", D284, "-", F284)</f>
        <v>M0111-C-1-1</v>
      </c>
      <c r="H284" s="0" t="n">
        <v>45.56</v>
      </c>
      <c r="I284" s="0" t="n">
        <v>47.06</v>
      </c>
    </row>
    <row r="285" customFormat="false" ht="14.25" hidden="false" customHeight="false" outlineLevel="0" collapsed="false">
      <c r="A285" s="0" t="n">
        <v>501</v>
      </c>
      <c r="B285" s="0" t="s">
        <v>38</v>
      </c>
      <c r="C285" s="0" t="s">
        <v>87</v>
      </c>
      <c r="D285" s="0" t="n">
        <v>1</v>
      </c>
      <c r="E285" s="0" t="s">
        <v>40</v>
      </c>
      <c r="F285" s="0" t="n">
        <v>2</v>
      </c>
      <c r="G285" s="0" t="str">
        <f aca="false">CONCATENATE(B285, "-",C285, "-", D285, "-", F285)</f>
        <v>M0111-C-1-2</v>
      </c>
      <c r="H285" s="0" t="n">
        <v>47.06</v>
      </c>
      <c r="I285" s="0" t="n">
        <v>47.67</v>
      </c>
    </row>
    <row r="286" customFormat="false" ht="14.25" hidden="false" customHeight="false" outlineLevel="0" collapsed="false">
      <c r="A286" s="0" t="n">
        <v>501</v>
      </c>
      <c r="B286" s="0" t="s">
        <v>38</v>
      </c>
      <c r="C286" s="0" t="s">
        <v>87</v>
      </c>
      <c r="D286" s="0" t="n">
        <v>2</v>
      </c>
      <c r="E286" s="0" t="s">
        <v>40</v>
      </c>
      <c r="F286" s="0" t="n">
        <v>1</v>
      </c>
      <c r="G286" s="0" t="str">
        <f aca="false">CONCATENATE(B286, "-",C286, "-", D286, "-", F286)</f>
        <v>M0111-C-2-1</v>
      </c>
      <c r="H286" s="0" t="n">
        <v>47.67</v>
      </c>
      <c r="I286" s="0" t="n">
        <v>48.24</v>
      </c>
    </row>
    <row r="287" customFormat="false" ht="14.25" hidden="false" customHeight="false" outlineLevel="0" collapsed="false">
      <c r="A287" s="0" t="n">
        <v>501</v>
      </c>
      <c r="B287" s="0" t="s">
        <v>38</v>
      </c>
      <c r="C287" s="0" t="s">
        <v>87</v>
      </c>
      <c r="D287" s="0" t="n">
        <v>2</v>
      </c>
      <c r="E287" s="0" t="s">
        <v>40</v>
      </c>
      <c r="F287" s="0" t="n">
        <v>2</v>
      </c>
      <c r="G287" s="0" t="str">
        <f aca="false">CONCATENATE(B287, "-",C287, "-", D287, "-", F287)</f>
        <v>M0111-C-2-2</v>
      </c>
      <c r="H287" s="0" t="n">
        <v>48.24</v>
      </c>
      <c r="I287" s="0" t="n">
        <v>48.56</v>
      </c>
    </row>
    <row r="288" customFormat="false" ht="14.25" hidden="false" customHeight="false" outlineLevel="0" collapsed="false">
      <c r="A288" s="0" t="n">
        <v>501</v>
      </c>
      <c r="B288" s="0" t="s">
        <v>38</v>
      </c>
      <c r="C288" s="0" t="s">
        <v>87</v>
      </c>
      <c r="D288" s="0" t="n">
        <v>3</v>
      </c>
      <c r="E288" s="0" t="s">
        <v>40</v>
      </c>
      <c r="F288" s="0" t="n">
        <v>1</v>
      </c>
      <c r="G288" s="0" t="str">
        <f aca="false">CONCATENATE(B288, "-",C288, "-", D288, "-", F288)</f>
        <v>M0111-C-3-1</v>
      </c>
      <c r="H288" s="0" t="n">
        <v>48.56</v>
      </c>
      <c r="I288" s="0" t="n">
        <v>49.77</v>
      </c>
    </row>
    <row r="289" customFormat="false" ht="14.25" hidden="false" customHeight="false" outlineLevel="0" collapsed="false">
      <c r="A289" s="0" t="n">
        <v>501</v>
      </c>
      <c r="B289" s="0" t="s">
        <v>38</v>
      </c>
      <c r="C289" s="0" t="s">
        <v>87</v>
      </c>
      <c r="D289" s="0" t="n">
        <v>3</v>
      </c>
      <c r="E289" s="0" t="s">
        <v>40</v>
      </c>
      <c r="F289" s="0" t="n">
        <v>2</v>
      </c>
      <c r="G289" s="0" t="str">
        <f aca="false">CONCATENATE(B289, "-",C289, "-", D289, "-", F289)</f>
        <v>M0111-C-3-2</v>
      </c>
      <c r="H289" s="0" t="n">
        <v>49.77</v>
      </c>
      <c r="I289" s="0" t="n">
        <v>50</v>
      </c>
    </row>
    <row r="290" customFormat="false" ht="14.25" hidden="false" customHeight="false" outlineLevel="0" collapsed="false">
      <c r="A290" s="0" t="n">
        <v>501</v>
      </c>
      <c r="B290" s="0" t="s">
        <v>38</v>
      </c>
      <c r="C290" s="0" t="s">
        <v>87</v>
      </c>
      <c r="D290" s="0" t="n">
        <v>4</v>
      </c>
      <c r="E290" s="0" t="s">
        <v>40</v>
      </c>
      <c r="F290" s="0" t="n">
        <v>1</v>
      </c>
      <c r="G290" s="0" t="str">
        <f aca="false">CONCATENATE(B290, "-",C290, "-", D290, "-", F290)</f>
        <v>M0111-C-4-1</v>
      </c>
      <c r="H290" s="0" t="n">
        <v>50</v>
      </c>
      <c r="I290" s="0" t="n">
        <v>51.1</v>
      </c>
    </row>
    <row r="291" customFormat="false" ht="14.25" hidden="false" customHeight="false" outlineLevel="0" collapsed="false">
      <c r="A291" s="0" t="n">
        <v>501</v>
      </c>
      <c r="B291" s="0" t="s">
        <v>38</v>
      </c>
      <c r="C291" s="0" t="s">
        <v>87</v>
      </c>
      <c r="D291" s="0" t="n">
        <v>5</v>
      </c>
      <c r="E291" s="0" t="s">
        <v>40</v>
      </c>
      <c r="F291" s="0" t="n">
        <v>1</v>
      </c>
      <c r="G291" s="0" t="str">
        <f aca="false">CONCATENATE(B291, "-",C291, "-", D291, "-", F291)</f>
        <v>M0111-C-5-1</v>
      </c>
      <c r="H291" s="0" t="n">
        <v>110</v>
      </c>
      <c r="I291" s="0" t="n">
        <v>110.77</v>
      </c>
    </row>
    <row r="292" customFormat="false" ht="14.25" hidden="false" customHeight="false" outlineLevel="0" collapsed="false">
      <c r="A292" s="0" t="n">
        <v>501</v>
      </c>
      <c r="B292" s="0" t="s">
        <v>38</v>
      </c>
      <c r="C292" s="0" t="s">
        <v>87</v>
      </c>
      <c r="D292" s="0" t="n">
        <v>6</v>
      </c>
      <c r="E292" s="0" t="s">
        <v>40</v>
      </c>
      <c r="F292" s="0" t="n">
        <v>1</v>
      </c>
      <c r="G292" s="0" t="str">
        <f aca="false">CONCATENATE(B292, "-",C292, "-", D292, "-", F292)</f>
        <v>M0111-C-6-1</v>
      </c>
      <c r="H292" s="0" t="n">
        <v>111.36</v>
      </c>
      <c r="I292" s="0" t="n">
        <v>112.09</v>
      </c>
    </row>
    <row r="293" customFormat="false" ht="14.25" hidden="false" customHeight="false" outlineLevel="0" collapsed="false">
      <c r="A293" s="0" t="n">
        <v>501</v>
      </c>
      <c r="B293" s="0" t="s">
        <v>38</v>
      </c>
      <c r="C293" s="0" t="s">
        <v>87</v>
      </c>
      <c r="D293" s="0" t="n">
        <v>6</v>
      </c>
      <c r="E293" s="0" t="s">
        <v>40</v>
      </c>
      <c r="F293" s="0" t="n">
        <v>2</v>
      </c>
      <c r="G293" s="0" t="str">
        <f aca="false">CONCATENATE(B293, "-",C293, "-", D293, "-", F293)</f>
        <v>M0111-C-6-2</v>
      </c>
      <c r="H293" s="0" t="n">
        <v>112.09</v>
      </c>
      <c r="I293" s="0" t="n">
        <v>112.66</v>
      </c>
    </row>
    <row r="294" customFormat="false" ht="14.25" hidden="false" customHeight="false" outlineLevel="0" collapsed="false">
      <c r="A294" s="0" t="n">
        <v>501</v>
      </c>
      <c r="B294" s="0" t="s">
        <v>38</v>
      </c>
      <c r="C294" s="0" t="s">
        <v>87</v>
      </c>
      <c r="D294" s="0" t="n">
        <v>7</v>
      </c>
      <c r="E294" s="0" t="s">
        <v>44</v>
      </c>
      <c r="F294" s="0" t="n">
        <v>1</v>
      </c>
      <c r="G294" s="0" t="str">
        <f aca="false">CONCATENATE(B294, "-",C294, "-", D294, "-", F294)</f>
        <v>M0111-C-7-1</v>
      </c>
      <c r="H294" s="0" t="n">
        <v>120.36</v>
      </c>
      <c r="I294" s="0" t="n">
        <v>121.87</v>
      </c>
    </row>
    <row r="295" customFormat="false" ht="14.25" hidden="false" customHeight="false" outlineLevel="0" collapsed="false">
      <c r="A295" s="0" t="n">
        <v>501</v>
      </c>
      <c r="B295" s="0" t="s">
        <v>38</v>
      </c>
      <c r="C295" s="0" t="s">
        <v>87</v>
      </c>
      <c r="D295" s="0" t="n">
        <v>7</v>
      </c>
      <c r="E295" s="0" t="s">
        <v>44</v>
      </c>
      <c r="F295" s="0" t="n">
        <v>2</v>
      </c>
      <c r="G295" s="0" t="str">
        <f aca="false">CONCATENATE(B295, "-",C295, "-", D295, "-", F295)</f>
        <v>M0111-C-7-2</v>
      </c>
      <c r="H295" s="0" t="n">
        <v>121.87</v>
      </c>
      <c r="I295" s="0" t="n">
        <v>123.29</v>
      </c>
    </row>
    <row r="296" customFormat="false" ht="14.25" hidden="false" customHeight="false" outlineLevel="0" collapsed="false">
      <c r="A296" s="0" t="n">
        <v>501</v>
      </c>
      <c r="B296" s="0" t="s">
        <v>38</v>
      </c>
      <c r="C296" s="0" t="s">
        <v>87</v>
      </c>
      <c r="D296" s="0" t="n">
        <v>8</v>
      </c>
      <c r="E296" s="0" t="s">
        <v>44</v>
      </c>
      <c r="F296" s="0" t="n">
        <v>1</v>
      </c>
      <c r="G296" s="0" t="str">
        <f aca="false">CONCATENATE(B296, "-",C296, "-", D296, "-", F296)</f>
        <v>M0111-C-8-1</v>
      </c>
      <c r="H296" s="0" t="n">
        <v>125</v>
      </c>
      <c r="I296" s="0" t="n">
        <v>126.01</v>
      </c>
    </row>
    <row r="297" customFormat="false" ht="14.25" hidden="false" customHeight="false" outlineLevel="0" collapsed="false">
      <c r="A297" s="0" t="n">
        <v>501</v>
      </c>
      <c r="B297" s="0" t="s">
        <v>38</v>
      </c>
      <c r="C297" s="0" t="s">
        <v>87</v>
      </c>
      <c r="D297" s="0" t="n">
        <v>8</v>
      </c>
      <c r="E297" s="0" t="s">
        <v>44</v>
      </c>
      <c r="F297" s="0" t="n">
        <v>2</v>
      </c>
      <c r="G297" s="0" t="str">
        <f aca="false">CONCATENATE(B297, "-",C297, "-", D297, "-", F297)</f>
        <v>M0111-C-8-2</v>
      </c>
      <c r="H297" s="0" t="n">
        <v>126.01</v>
      </c>
      <c r="I297" s="0" t="n">
        <v>126.45</v>
      </c>
    </row>
    <row r="298" customFormat="false" ht="14.25" hidden="false" customHeight="false" outlineLevel="0" collapsed="false">
      <c r="A298" s="0" t="n">
        <v>501</v>
      </c>
      <c r="B298" s="0" t="s">
        <v>38</v>
      </c>
      <c r="C298" s="0" t="s">
        <v>87</v>
      </c>
      <c r="D298" s="0" t="n">
        <v>9</v>
      </c>
      <c r="E298" s="0" t="s">
        <v>44</v>
      </c>
      <c r="F298" s="0" t="n">
        <v>1</v>
      </c>
      <c r="G298" s="0" t="str">
        <f aca="false">CONCATENATE(B298, "-",C298, "-", D298, "-", F298)</f>
        <v>M0111-C-9-1</v>
      </c>
      <c r="H298" s="0" t="n">
        <v>126.36</v>
      </c>
      <c r="I298" s="0" t="n">
        <v>127.87</v>
      </c>
    </row>
    <row r="299" customFormat="false" ht="14.25" hidden="false" customHeight="false" outlineLevel="0" collapsed="false">
      <c r="A299" s="0" t="n">
        <v>501</v>
      </c>
      <c r="B299" s="0" t="s">
        <v>38</v>
      </c>
      <c r="C299" s="0" t="s">
        <v>87</v>
      </c>
      <c r="D299" s="0" t="n">
        <v>9</v>
      </c>
      <c r="E299" s="0" t="s">
        <v>44</v>
      </c>
      <c r="F299" s="0" t="n">
        <v>2</v>
      </c>
      <c r="G299" s="0" t="str">
        <f aca="false">CONCATENATE(B299, "-",C299, "-", D299, "-", F299)</f>
        <v>M0111-C-9-2</v>
      </c>
      <c r="H299" s="0" t="n">
        <v>127.87</v>
      </c>
      <c r="I299" s="0" t="n">
        <v>129.19</v>
      </c>
    </row>
    <row r="300" customFormat="false" ht="14.25" hidden="false" customHeight="false" outlineLevel="0" collapsed="false">
      <c r="A300" s="0" t="n">
        <v>501</v>
      </c>
      <c r="B300" s="0" t="s">
        <v>38</v>
      </c>
      <c r="C300" s="0" t="s">
        <v>87</v>
      </c>
      <c r="D300" s="0" t="n">
        <v>10</v>
      </c>
      <c r="E300" s="0" t="s">
        <v>44</v>
      </c>
      <c r="F300" s="0" t="n">
        <v>1</v>
      </c>
      <c r="G300" s="0" t="str">
        <f aca="false">CONCATENATE(B300, "-",C300, "-", D300, "-", F300)</f>
        <v>M0111-C-10-1</v>
      </c>
      <c r="H300" s="0" t="n">
        <v>150</v>
      </c>
      <c r="I300" s="0" t="n">
        <v>151.5</v>
      </c>
    </row>
    <row r="301" customFormat="false" ht="14.25" hidden="false" customHeight="false" outlineLevel="0" collapsed="false">
      <c r="A301" s="0" t="n">
        <v>501</v>
      </c>
      <c r="B301" s="0" t="s">
        <v>38</v>
      </c>
      <c r="C301" s="0" t="s">
        <v>87</v>
      </c>
      <c r="D301" s="0" t="n">
        <v>10</v>
      </c>
      <c r="E301" s="0" t="s">
        <v>44</v>
      </c>
      <c r="F301" s="0" t="n">
        <v>2</v>
      </c>
      <c r="G301" s="0" t="str">
        <f aca="false">CONCATENATE(B301, "-",C301, "-", D301, "-", F301)</f>
        <v>M0111-C-10-2</v>
      </c>
      <c r="H301" s="0" t="n">
        <v>151.5</v>
      </c>
      <c r="I301" s="0" t="n">
        <v>152.5</v>
      </c>
    </row>
    <row r="302" customFormat="false" ht="14.25" hidden="false" customHeight="false" outlineLevel="0" collapsed="false">
      <c r="A302" s="0" t="n">
        <v>501</v>
      </c>
      <c r="B302" s="0" t="s">
        <v>38</v>
      </c>
      <c r="C302" s="0" t="s">
        <v>87</v>
      </c>
      <c r="D302" s="0" t="n">
        <v>10</v>
      </c>
      <c r="E302" s="0" t="s">
        <v>44</v>
      </c>
      <c r="F302" s="0" t="n">
        <v>3</v>
      </c>
      <c r="G302" s="0" t="str">
        <f aca="false">CONCATENATE(B302, "-",C302, "-", D302, "-", F302)</f>
        <v>M0111-C-10-3</v>
      </c>
      <c r="H302" s="0" t="n">
        <v>152.5</v>
      </c>
      <c r="I302" s="0" t="n">
        <v>153.12</v>
      </c>
    </row>
    <row r="303" customFormat="false" ht="14.25" hidden="false" customHeight="false" outlineLevel="0" collapsed="false">
      <c r="A303" s="0" t="n">
        <v>501</v>
      </c>
      <c r="B303" s="0" t="s">
        <v>38</v>
      </c>
      <c r="C303" s="0" t="s">
        <v>87</v>
      </c>
      <c r="D303" s="0" t="n">
        <v>11</v>
      </c>
      <c r="E303" s="0" t="s">
        <v>44</v>
      </c>
      <c r="F303" s="0" t="n">
        <v>1</v>
      </c>
      <c r="G303" s="0" t="str">
        <f aca="false">CONCATENATE(B303, "-",C303, "-", D303, "-", F303)</f>
        <v>M0111-C-11-1</v>
      </c>
      <c r="H303" s="0" t="n">
        <v>153</v>
      </c>
      <c r="I303" s="0" t="n">
        <v>154.5</v>
      </c>
    </row>
    <row r="304" customFormat="false" ht="14.25" hidden="false" customHeight="false" outlineLevel="0" collapsed="false">
      <c r="A304" s="0" t="n">
        <v>501</v>
      </c>
      <c r="B304" s="0" t="s">
        <v>38</v>
      </c>
      <c r="C304" s="0" t="s">
        <v>87</v>
      </c>
      <c r="D304" s="0" t="n">
        <v>11</v>
      </c>
      <c r="E304" s="0" t="s">
        <v>44</v>
      </c>
      <c r="F304" s="0" t="n">
        <v>2</v>
      </c>
      <c r="G304" s="0" t="str">
        <f aca="false">CONCATENATE(B304, "-",C304, "-", D304, "-", F304)</f>
        <v>M0111-C-11-2</v>
      </c>
      <c r="H304" s="0" t="n">
        <v>154.5</v>
      </c>
      <c r="I304" s="0" t="n">
        <v>155.49</v>
      </c>
    </row>
    <row r="305" customFormat="false" ht="14.25" hidden="false" customHeight="false" outlineLevel="0" collapsed="false">
      <c r="A305" s="0" t="n">
        <v>501</v>
      </c>
      <c r="B305" s="0" t="s">
        <v>38</v>
      </c>
      <c r="C305" s="0" t="s">
        <v>87</v>
      </c>
      <c r="D305" s="0" t="n">
        <v>11</v>
      </c>
      <c r="E305" s="0" t="s">
        <v>44</v>
      </c>
      <c r="F305" s="0" t="n">
        <v>3</v>
      </c>
      <c r="G305" s="0" t="str">
        <f aca="false">CONCATENATE(B305, "-",C305, "-", D305, "-", F305)</f>
        <v>M0111-C-11-3</v>
      </c>
      <c r="H305" s="0" t="n">
        <v>155.49</v>
      </c>
      <c r="I305" s="0" t="n">
        <v>156.12</v>
      </c>
    </row>
    <row r="306" customFormat="false" ht="14.25" hidden="false" customHeight="false" outlineLevel="0" collapsed="false">
      <c r="A306" s="0" t="n">
        <v>501</v>
      </c>
      <c r="B306" s="0" t="s">
        <v>38</v>
      </c>
      <c r="C306" s="0" t="s">
        <v>87</v>
      </c>
      <c r="D306" s="0" t="n">
        <v>12</v>
      </c>
      <c r="E306" s="0" t="s">
        <v>44</v>
      </c>
      <c r="F306" s="0" t="n">
        <v>1</v>
      </c>
      <c r="G306" s="0" t="str">
        <f aca="false">CONCATENATE(B306, "-",C306, "-", D306, "-", F306)</f>
        <v>M0111-C-12-1</v>
      </c>
      <c r="H306" s="0" t="n">
        <v>156</v>
      </c>
      <c r="I306" s="0" t="n">
        <v>157.48</v>
      </c>
    </row>
    <row r="307" customFormat="false" ht="14.25" hidden="false" customHeight="false" outlineLevel="0" collapsed="false">
      <c r="A307" s="0" t="n">
        <v>501</v>
      </c>
      <c r="B307" s="0" t="s">
        <v>38</v>
      </c>
      <c r="C307" s="0" t="s">
        <v>87</v>
      </c>
      <c r="D307" s="0" t="n">
        <v>12</v>
      </c>
      <c r="E307" s="0" t="s">
        <v>44</v>
      </c>
      <c r="F307" s="0" t="n">
        <v>2</v>
      </c>
      <c r="G307" s="0" t="str">
        <f aca="false">CONCATENATE(B307, "-",C307, "-", D307, "-", F307)</f>
        <v>M0111-C-12-2</v>
      </c>
      <c r="H307" s="0" t="n">
        <v>157.48</v>
      </c>
      <c r="I307" s="0" t="n">
        <v>158.11</v>
      </c>
    </row>
    <row r="308" customFormat="false" ht="14.25" hidden="false" customHeight="false" outlineLevel="0" collapsed="false">
      <c r="A308" s="0" t="n">
        <v>501</v>
      </c>
      <c r="B308" s="0" t="s">
        <v>38</v>
      </c>
      <c r="C308" s="0" t="s">
        <v>87</v>
      </c>
      <c r="D308" s="0" t="n">
        <v>13</v>
      </c>
      <c r="E308" s="0" t="s">
        <v>44</v>
      </c>
      <c r="F308" s="0" t="n">
        <v>1</v>
      </c>
      <c r="G308" s="0" t="str">
        <f aca="false">CONCATENATE(B308, "-",C308, "-", D308, "-", F308)</f>
        <v>M0111-C-13-1</v>
      </c>
      <c r="H308" s="0" t="n">
        <v>159</v>
      </c>
      <c r="I308" s="0" t="n">
        <v>159.83</v>
      </c>
    </row>
    <row r="309" customFormat="false" ht="14.25" hidden="false" customHeight="false" outlineLevel="0" collapsed="false">
      <c r="A309" s="0" t="n">
        <v>501</v>
      </c>
      <c r="B309" s="0" t="s">
        <v>38</v>
      </c>
      <c r="C309" s="0" t="s">
        <v>87</v>
      </c>
      <c r="D309" s="0" t="n">
        <v>14</v>
      </c>
      <c r="E309" s="0" t="s">
        <v>44</v>
      </c>
      <c r="F309" s="0" t="n">
        <v>1</v>
      </c>
      <c r="G309" s="0" t="str">
        <f aca="false">CONCATENATE(B309, "-",C309, "-", D309, "-", F309)</f>
        <v>M0111-C-14-1</v>
      </c>
      <c r="H309" s="0" t="n">
        <v>161.16</v>
      </c>
      <c r="I309" s="0" t="n">
        <v>162.14</v>
      </c>
    </row>
    <row r="310" customFormat="false" ht="14.25" hidden="false" customHeight="false" outlineLevel="0" collapsed="false">
      <c r="A310" s="0" t="n">
        <v>501</v>
      </c>
      <c r="B310" s="0" t="s">
        <v>38</v>
      </c>
      <c r="C310" s="0" t="s">
        <v>87</v>
      </c>
      <c r="D310" s="0" t="n">
        <v>15</v>
      </c>
      <c r="E310" s="0" t="s">
        <v>44</v>
      </c>
      <c r="F310" s="0" t="n">
        <v>1</v>
      </c>
      <c r="G310" s="0" t="str">
        <f aca="false">CONCATENATE(B310, "-",C310, "-", D310, "-", F310)</f>
        <v>M0111-C-15-1</v>
      </c>
      <c r="H310" s="0" t="n">
        <v>162.36</v>
      </c>
      <c r="I310" s="0" t="n">
        <v>163.25</v>
      </c>
    </row>
    <row r="311" customFormat="false" ht="14.25" hidden="false" customHeight="false" outlineLevel="0" collapsed="false">
      <c r="A311" s="0" t="n">
        <v>501</v>
      </c>
      <c r="B311" s="0" t="s">
        <v>38</v>
      </c>
      <c r="C311" s="0" t="s">
        <v>87</v>
      </c>
      <c r="D311" s="0" t="n">
        <v>17</v>
      </c>
      <c r="E311" s="0" t="s">
        <v>44</v>
      </c>
      <c r="F311" s="0" t="n">
        <v>1</v>
      </c>
      <c r="G311" s="0" t="str">
        <f aca="false">CONCATENATE(B311, "-",C311, "-", D311, "-", F311)</f>
        <v>M0111-C-17-1</v>
      </c>
      <c r="H311" s="0" t="n">
        <v>166.36</v>
      </c>
      <c r="I311" s="0" t="n">
        <v>166.53</v>
      </c>
    </row>
    <row r="312" customFormat="false" ht="14.25" hidden="false" customHeight="false" outlineLevel="0" collapsed="false">
      <c r="A312" s="0" t="n">
        <v>501</v>
      </c>
      <c r="B312" s="0" t="s">
        <v>38</v>
      </c>
      <c r="C312" s="0" t="s">
        <v>87</v>
      </c>
      <c r="D312" s="0" t="n">
        <v>18</v>
      </c>
      <c r="E312" s="0" t="s">
        <v>44</v>
      </c>
      <c r="F312" s="0" t="n">
        <v>1</v>
      </c>
      <c r="G312" s="0" t="str">
        <f aca="false">CONCATENATE(B312, "-",C312, "-", D312, "-", F312)</f>
        <v>M0111-C-18-1</v>
      </c>
      <c r="H312" s="0" t="n">
        <v>168.36</v>
      </c>
      <c r="I312" s="0" t="n">
        <v>169.86</v>
      </c>
    </row>
    <row r="313" customFormat="false" ht="14.25" hidden="false" customHeight="false" outlineLevel="0" collapsed="false">
      <c r="A313" s="0" t="n">
        <v>501</v>
      </c>
      <c r="B313" s="0" t="s">
        <v>38</v>
      </c>
      <c r="C313" s="0" t="s">
        <v>87</v>
      </c>
      <c r="D313" s="0" t="n">
        <v>18</v>
      </c>
      <c r="E313" s="0" t="s">
        <v>44</v>
      </c>
      <c r="F313" s="0" t="n">
        <v>2</v>
      </c>
      <c r="G313" s="0" t="str">
        <f aca="false">CONCATENATE(B313, "-",C313, "-", D313, "-", F313)</f>
        <v>M0111-C-18-2</v>
      </c>
      <c r="H313" s="0" t="n">
        <v>169.86</v>
      </c>
      <c r="I313" s="0" t="n">
        <v>171.22</v>
      </c>
    </row>
    <row r="314" customFormat="false" ht="14.25" hidden="false" customHeight="false" outlineLevel="0" collapsed="false">
      <c r="A314" s="0" t="n">
        <v>501</v>
      </c>
      <c r="B314" s="0" t="s">
        <v>38</v>
      </c>
      <c r="C314" s="0" t="s">
        <v>87</v>
      </c>
      <c r="D314" s="0" t="n">
        <v>19</v>
      </c>
      <c r="E314" s="0" t="s">
        <v>88</v>
      </c>
      <c r="F314" s="0" t="n">
        <v>1</v>
      </c>
      <c r="G314" s="0" t="str">
        <f aca="false">CONCATENATE(B314, "-",C314, "-", D314, "-", F314)</f>
        <v>M0111-C-19-1</v>
      </c>
      <c r="H314" s="0" t="n">
        <v>150.36</v>
      </c>
      <c r="I314" s="0" t="n">
        <v>165.36</v>
      </c>
    </row>
    <row r="315" customFormat="false" ht="14.25" hidden="false" customHeight="false" outlineLevel="0" collapsed="false">
      <c r="A315" s="0" t="n">
        <v>501</v>
      </c>
      <c r="B315" s="0" t="s">
        <v>38</v>
      </c>
      <c r="C315" s="0" t="s">
        <v>87</v>
      </c>
      <c r="D315" s="0" t="n">
        <v>20</v>
      </c>
      <c r="E315" s="0" t="s">
        <v>44</v>
      </c>
      <c r="F315" s="0" t="n">
        <v>1</v>
      </c>
      <c r="G315" s="0" t="str">
        <f aca="false">CONCATENATE(B315, "-",C315, "-", D315, "-", F315)</f>
        <v>M0111-C-20-1</v>
      </c>
      <c r="H315" s="0" t="n">
        <v>171.36</v>
      </c>
      <c r="I315" s="0" t="n">
        <v>172.86</v>
      </c>
    </row>
    <row r="316" customFormat="false" ht="14.25" hidden="false" customHeight="false" outlineLevel="0" collapsed="false">
      <c r="A316" s="0" t="n">
        <v>501</v>
      </c>
      <c r="B316" s="0" t="s">
        <v>38</v>
      </c>
      <c r="C316" s="0" t="s">
        <v>87</v>
      </c>
      <c r="D316" s="0" t="n">
        <v>20</v>
      </c>
      <c r="E316" s="0" t="s">
        <v>44</v>
      </c>
      <c r="F316" s="0" t="n">
        <v>2</v>
      </c>
      <c r="G316" s="0" t="str">
        <f aca="false">CONCATENATE(B316, "-",C316, "-", D316, "-", F316)</f>
        <v>M0111-C-20-2</v>
      </c>
      <c r="H316" s="0" t="n">
        <v>172.86</v>
      </c>
      <c r="I316" s="0" t="n">
        <v>174.36</v>
      </c>
    </row>
    <row r="317" customFormat="false" ht="14.25" hidden="false" customHeight="false" outlineLevel="0" collapsed="false">
      <c r="A317" s="0" t="n">
        <v>501</v>
      </c>
      <c r="B317" s="0" t="s">
        <v>38</v>
      </c>
      <c r="C317" s="0" t="s">
        <v>87</v>
      </c>
      <c r="D317" s="0" t="n">
        <v>20</v>
      </c>
      <c r="E317" s="0" t="s">
        <v>44</v>
      </c>
      <c r="F317" s="0" t="n">
        <v>3</v>
      </c>
      <c r="G317" s="0" t="str">
        <f aca="false">CONCATENATE(B317, "-",C317, "-", D317, "-", F317)</f>
        <v>M0111-C-20-3</v>
      </c>
      <c r="H317" s="0" t="n">
        <v>174.36</v>
      </c>
      <c r="I317" s="0" t="n">
        <v>174.68</v>
      </c>
    </row>
    <row r="318" customFormat="false" ht="14.25" hidden="false" customHeight="false" outlineLevel="0" collapsed="false">
      <c r="A318" s="0" t="n">
        <v>501</v>
      </c>
      <c r="B318" s="0" t="s">
        <v>38</v>
      </c>
      <c r="C318" s="0" t="s">
        <v>87</v>
      </c>
      <c r="D318" s="0" t="n">
        <v>21</v>
      </c>
      <c r="E318" s="0" t="s">
        <v>44</v>
      </c>
      <c r="F318" s="0" t="n">
        <v>1</v>
      </c>
      <c r="G318" s="0" t="str">
        <f aca="false">CONCATENATE(B318, "-",C318, "-", D318, "-", F318)</f>
        <v>M0111-C-21-1</v>
      </c>
      <c r="H318" s="0" t="n">
        <v>177.36</v>
      </c>
      <c r="I318" s="0" t="n">
        <v>178.88</v>
      </c>
    </row>
    <row r="319" customFormat="false" ht="14.25" hidden="false" customHeight="false" outlineLevel="0" collapsed="false">
      <c r="A319" s="0" t="n">
        <v>501</v>
      </c>
      <c r="B319" s="0" t="s">
        <v>38</v>
      </c>
      <c r="C319" s="0" t="s">
        <v>87</v>
      </c>
      <c r="D319" s="0" t="n">
        <v>21</v>
      </c>
      <c r="E319" s="0" t="s">
        <v>44</v>
      </c>
      <c r="F319" s="0" t="n">
        <v>2</v>
      </c>
      <c r="G319" s="0" t="str">
        <f aca="false">CONCATENATE(B319, "-",C319, "-", D319, "-", F319)</f>
        <v>M0111-C-21-2</v>
      </c>
      <c r="H319" s="0" t="n">
        <v>178.88</v>
      </c>
      <c r="I319" s="0" t="n">
        <v>180.39</v>
      </c>
    </row>
    <row r="320" customFormat="false" ht="14.25" hidden="false" customHeight="false" outlineLevel="0" collapsed="false">
      <c r="A320" s="0" t="n">
        <v>501</v>
      </c>
      <c r="B320" s="0" t="s">
        <v>38</v>
      </c>
      <c r="C320" s="0" t="s">
        <v>87</v>
      </c>
      <c r="D320" s="0" t="n">
        <v>21</v>
      </c>
      <c r="E320" s="0" t="s">
        <v>44</v>
      </c>
      <c r="F320" s="0" t="n">
        <v>3</v>
      </c>
      <c r="G320" s="0" t="str">
        <f aca="false">CONCATENATE(B320, "-",C320, "-", D320, "-", F320)</f>
        <v>M0111-C-21-3</v>
      </c>
      <c r="H320" s="0" t="n">
        <v>180.39</v>
      </c>
      <c r="I320" s="0" t="n">
        <v>180.72</v>
      </c>
    </row>
    <row r="321" customFormat="false" ht="14.25" hidden="false" customHeight="false" outlineLevel="0" collapsed="false">
      <c r="A321" s="0" t="n">
        <v>501</v>
      </c>
      <c r="B321" s="0" t="s">
        <v>38</v>
      </c>
      <c r="C321" s="0" t="s">
        <v>87</v>
      </c>
      <c r="D321" s="0" t="n">
        <v>22</v>
      </c>
      <c r="E321" s="0" t="s">
        <v>44</v>
      </c>
      <c r="F321" s="0" t="n">
        <v>1</v>
      </c>
      <c r="G321" s="0" t="str">
        <f aca="false">CONCATENATE(B321, "-",C321, "-", D321, "-", F321)</f>
        <v>M0111-C-22-1</v>
      </c>
      <c r="H321" s="0" t="n">
        <v>185</v>
      </c>
      <c r="I321" s="0" t="n">
        <v>185.79</v>
      </c>
    </row>
    <row r="322" customFormat="false" ht="14.25" hidden="false" customHeight="false" outlineLevel="0" collapsed="false">
      <c r="A322" s="0" t="n">
        <v>501</v>
      </c>
      <c r="B322" s="0" t="s">
        <v>38</v>
      </c>
      <c r="C322" s="0" t="s">
        <v>87</v>
      </c>
      <c r="D322" s="0" t="n">
        <v>23</v>
      </c>
      <c r="E322" s="0" t="s">
        <v>44</v>
      </c>
      <c r="F322" s="0" t="n">
        <v>1</v>
      </c>
      <c r="G322" s="0" t="str">
        <f aca="false">CONCATENATE(B322, "-",C322, "-", D322, "-", F322)</f>
        <v>M0111-C-23-1</v>
      </c>
      <c r="H322" s="0" t="n">
        <v>186.36</v>
      </c>
      <c r="I322" s="0" t="n">
        <v>187.87</v>
      </c>
    </row>
    <row r="323" customFormat="false" ht="14.25" hidden="false" customHeight="false" outlineLevel="0" collapsed="false">
      <c r="A323" s="0" t="n">
        <v>501</v>
      </c>
      <c r="B323" s="0" t="s">
        <v>38</v>
      </c>
      <c r="C323" s="0" t="s">
        <v>87</v>
      </c>
      <c r="D323" s="0" t="n">
        <v>23</v>
      </c>
      <c r="E323" s="0" t="s">
        <v>44</v>
      </c>
      <c r="F323" s="0" t="n">
        <v>2</v>
      </c>
      <c r="G323" s="0" t="str">
        <f aca="false">CONCATENATE(B323, "-",C323, "-", D323, "-", F323)</f>
        <v>M0111-C-23-2</v>
      </c>
      <c r="H323" s="0" t="n">
        <v>187.87</v>
      </c>
      <c r="I323" s="0" t="n">
        <v>189.37</v>
      </c>
    </row>
    <row r="324" customFormat="false" ht="14.25" hidden="false" customHeight="false" outlineLevel="0" collapsed="false">
      <c r="A324" s="0" t="n">
        <v>501</v>
      </c>
      <c r="B324" s="0" t="s">
        <v>38</v>
      </c>
      <c r="C324" s="0" t="s">
        <v>87</v>
      </c>
      <c r="D324" s="0" t="n">
        <v>23</v>
      </c>
      <c r="E324" s="0" t="s">
        <v>44</v>
      </c>
      <c r="F324" s="0" t="n">
        <v>3</v>
      </c>
      <c r="G324" s="0" t="str">
        <f aca="false">CONCATENATE(B324, "-",C324, "-", D324, "-", F324)</f>
        <v>M0111-C-23-3</v>
      </c>
      <c r="H324" s="0" t="n">
        <v>189.37</v>
      </c>
      <c r="I324" s="0" t="n">
        <v>189.71</v>
      </c>
    </row>
    <row r="325" customFormat="false" ht="14.25" hidden="false" customHeight="false" outlineLevel="0" collapsed="false">
      <c r="A325" s="0" t="n">
        <v>501</v>
      </c>
      <c r="B325" s="0" t="s">
        <v>38</v>
      </c>
      <c r="C325" s="0" t="s">
        <v>87</v>
      </c>
      <c r="D325" s="0" t="n">
        <v>24</v>
      </c>
      <c r="E325" s="0" t="s">
        <v>44</v>
      </c>
      <c r="F325" s="0" t="n">
        <v>1</v>
      </c>
      <c r="G325" s="0" t="str">
        <f aca="false">CONCATENATE(B325, "-",C325, "-", D325, "-", F325)</f>
        <v>M0111-C-24-1</v>
      </c>
      <c r="H325" s="0" t="n">
        <v>189.36</v>
      </c>
      <c r="I325" s="0" t="n">
        <v>190.86</v>
      </c>
    </row>
    <row r="326" customFormat="false" ht="14.25" hidden="false" customHeight="false" outlineLevel="0" collapsed="false">
      <c r="A326" s="0" t="n">
        <v>501</v>
      </c>
      <c r="B326" s="0" t="s">
        <v>38</v>
      </c>
      <c r="C326" s="0" t="s">
        <v>87</v>
      </c>
      <c r="D326" s="0" t="n">
        <v>24</v>
      </c>
      <c r="E326" s="0" t="s">
        <v>44</v>
      </c>
      <c r="F326" s="0" t="n">
        <v>2</v>
      </c>
      <c r="G326" s="0" t="str">
        <f aca="false">CONCATENATE(B326, "-",C326, "-", D326, "-", F326)</f>
        <v>M0111-C-24-2</v>
      </c>
      <c r="H326" s="0" t="n">
        <v>190.86</v>
      </c>
      <c r="I326" s="0" t="n">
        <v>192.36</v>
      </c>
    </row>
    <row r="327" customFormat="false" ht="14.25" hidden="false" customHeight="false" outlineLevel="0" collapsed="false">
      <c r="A327" s="0" t="n">
        <v>501</v>
      </c>
      <c r="B327" s="0" t="s">
        <v>38</v>
      </c>
      <c r="C327" s="0" t="s">
        <v>87</v>
      </c>
      <c r="D327" s="0" t="n">
        <v>24</v>
      </c>
      <c r="E327" s="0" t="s">
        <v>44</v>
      </c>
      <c r="F327" s="0" t="n">
        <v>3</v>
      </c>
      <c r="G327" s="0" t="str">
        <f aca="false">CONCATENATE(B327, "-",C327, "-", D327, "-", F327)</f>
        <v>M0111-C-24-3</v>
      </c>
      <c r="H327" s="0" t="n">
        <v>192.36</v>
      </c>
      <c r="I327" s="0" t="n">
        <v>192.51</v>
      </c>
    </row>
    <row r="328" customFormat="false" ht="14.25" hidden="false" customHeight="false" outlineLevel="0" collapsed="false">
      <c r="A328" s="0" t="n">
        <v>501</v>
      </c>
      <c r="B328" s="0" t="s">
        <v>38</v>
      </c>
      <c r="C328" s="0" t="s">
        <v>87</v>
      </c>
      <c r="D328" s="0" t="n">
        <v>25</v>
      </c>
      <c r="E328" s="0" t="s">
        <v>44</v>
      </c>
      <c r="F328" s="0" t="n">
        <v>1</v>
      </c>
      <c r="G328" s="0" t="str">
        <f aca="false">CONCATENATE(B328, "-",C328, "-", D328, "-", F328)</f>
        <v>M0111-C-25-1</v>
      </c>
      <c r="H328" s="0" t="n">
        <v>192.36</v>
      </c>
      <c r="I328" s="0" t="n">
        <v>193.86</v>
      </c>
    </row>
    <row r="329" customFormat="false" ht="14.25" hidden="false" customHeight="false" outlineLevel="0" collapsed="false">
      <c r="A329" s="0" t="n">
        <v>501</v>
      </c>
      <c r="B329" s="0" t="s">
        <v>38</v>
      </c>
      <c r="C329" s="0" t="s">
        <v>87</v>
      </c>
      <c r="D329" s="0" t="n">
        <v>25</v>
      </c>
      <c r="E329" s="0" t="s">
        <v>44</v>
      </c>
      <c r="F329" s="0" t="n">
        <v>2</v>
      </c>
      <c r="G329" s="0" t="str">
        <f aca="false">CONCATENATE(B329, "-",C329, "-", D329, "-", F329)</f>
        <v>M0111-C-25-2</v>
      </c>
      <c r="H329" s="0" t="n">
        <v>193.86</v>
      </c>
      <c r="I329" s="0" t="n">
        <v>195.17</v>
      </c>
    </row>
    <row r="330" customFormat="false" ht="14.25" hidden="false" customHeight="false" outlineLevel="0" collapsed="false">
      <c r="A330" s="0" t="n">
        <v>501</v>
      </c>
      <c r="B330" s="0" t="s">
        <v>38</v>
      </c>
      <c r="C330" s="0" t="s">
        <v>87</v>
      </c>
      <c r="D330" s="0" t="n">
        <v>26</v>
      </c>
      <c r="E330" s="0" t="s">
        <v>44</v>
      </c>
      <c r="F330" s="0" t="n">
        <v>1</v>
      </c>
      <c r="G330" s="0" t="str">
        <f aca="false">CONCATENATE(B330, "-",C330, "-", D330, "-", F330)</f>
        <v>M0111-C-26-1</v>
      </c>
      <c r="H330" s="0" t="n">
        <v>195.36</v>
      </c>
      <c r="I330" s="0" t="n">
        <v>196.87</v>
      </c>
    </row>
    <row r="331" customFormat="false" ht="14.25" hidden="false" customHeight="false" outlineLevel="0" collapsed="false">
      <c r="A331" s="0" t="n">
        <v>501</v>
      </c>
      <c r="B331" s="0" t="s">
        <v>38</v>
      </c>
      <c r="C331" s="0" t="s">
        <v>87</v>
      </c>
      <c r="D331" s="0" t="n">
        <v>26</v>
      </c>
      <c r="E331" s="0" t="s">
        <v>44</v>
      </c>
      <c r="F331" s="0" t="n">
        <v>2</v>
      </c>
      <c r="G331" s="0" t="str">
        <f aca="false">CONCATENATE(B331, "-",C331, "-", D331, "-", F331)</f>
        <v>M0111-C-26-2</v>
      </c>
      <c r="H331" s="0" t="n">
        <v>196.87</v>
      </c>
      <c r="I331" s="0" t="n">
        <v>197.67</v>
      </c>
    </row>
    <row r="332" customFormat="false" ht="14.25" hidden="false" customHeight="false" outlineLevel="0" collapsed="false">
      <c r="A332" s="0" t="n">
        <v>501</v>
      </c>
      <c r="B332" s="0" t="s">
        <v>38</v>
      </c>
      <c r="C332" s="0" t="s">
        <v>87</v>
      </c>
      <c r="D332" s="0" t="n">
        <v>27</v>
      </c>
      <c r="E332" s="0" t="s">
        <v>44</v>
      </c>
      <c r="F332" s="0" t="n">
        <v>1</v>
      </c>
      <c r="G332" s="0" t="str">
        <f aca="false">CONCATENATE(B332, "-",C332, "-", D332, "-", F332)</f>
        <v>M0111-C-27-1</v>
      </c>
      <c r="H332" s="0" t="n">
        <v>198.36</v>
      </c>
      <c r="I332" s="0" t="n">
        <v>199.86</v>
      </c>
    </row>
    <row r="333" customFormat="false" ht="14.25" hidden="false" customHeight="false" outlineLevel="0" collapsed="false">
      <c r="A333" s="0" t="n">
        <v>501</v>
      </c>
      <c r="B333" s="0" t="s">
        <v>38</v>
      </c>
      <c r="C333" s="0" t="s">
        <v>87</v>
      </c>
      <c r="D333" s="0" t="n">
        <v>27</v>
      </c>
      <c r="E333" s="0" t="s">
        <v>44</v>
      </c>
      <c r="F333" s="0" t="n">
        <v>2</v>
      </c>
      <c r="G333" s="0" t="str">
        <f aca="false">CONCATENATE(B333, "-",C333, "-", D333, "-", F333)</f>
        <v>M0111-C-27-2</v>
      </c>
      <c r="H333" s="0" t="n">
        <v>199.86</v>
      </c>
      <c r="I333" s="0" t="n">
        <v>200.97</v>
      </c>
    </row>
    <row r="334" customFormat="false" ht="14.25" hidden="false" customHeight="false" outlineLevel="0" collapsed="false">
      <c r="A334" s="0" t="n">
        <v>501</v>
      </c>
      <c r="B334" s="0" t="s">
        <v>38</v>
      </c>
      <c r="C334" s="0" t="s">
        <v>87</v>
      </c>
      <c r="D334" s="0" t="n">
        <v>28</v>
      </c>
      <c r="E334" s="0" t="s">
        <v>44</v>
      </c>
      <c r="F334" s="0" t="n">
        <v>1</v>
      </c>
      <c r="G334" s="0" t="str">
        <f aca="false">CONCATENATE(B334, "-",C334, "-", D334, "-", F334)</f>
        <v>M0111-C-28-1</v>
      </c>
      <c r="H334" s="0" t="n">
        <v>201.36</v>
      </c>
      <c r="I334" s="0" t="n">
        <v>202.86</v>
      </c>
    </row>
    <row r="335" customFormat="false" ht="14.25" hidden="false" customHeight="false" outlineLevel="0" collapsed="false">
      <c r="A335" s="0" t="n">
        <v>501</v>
      </c>
      <c r="B335" s="0" t="s">
        <v>38</v>
      </c>
      <c r="C335" s="0" t="s">
        <v>87</v>
      </c>
      <c r="D335" s="0" t="n">
        <v>28</v>
      </c>
      <c r="E335" s="0" t="s">
        <v>44</v>
      </c>
      <c r="F335" s="0" t="n">
        <v>2</v>
      </c>
      <c r="G335" s="0" t="str">
        <f aca="false">CONCATENATE(B335, "-",C335, "-", D335, "-", F335)</f>
        <v>M0111-C-28-2</v>
      </c>
      <c r="H335" s="0" t="n">
        <v>202.86</v>
      </c>
      <c r="I335" s="0" t="n">
        <v>204.33</v>
      </c>
    </row>
    <row r="336" customFormat="false" ht="14.25" hidden="false" customHeight="false" outlineLevel="0" collapsed="false">
      <c r="A336" s="0" t="n">
        <v>501</v>
      </c>
      <c r="B336" s="0" t="s">
        <v>38</v>
      </c>
      <c r="C336" s="0" t="s">
        <v>87</v>
      </c>
      <c r="D336" s="0" t="n">
        <v>28</v>
      </c>
      <c r="E336" s="0" t="s">
        <v>44</v>
      </c>
      <c r="F336" s="0" t="n">
        <v>3</v>
      </c>
      <c r="G336" s="0" t="str">
        <f aca="false">CONCATENATE(B336, "-",C336, "-", D336, "-", F336)</f>
        <v>M0111-C-28-3</v>
      </c>
      <c r="H336" s="0" t="n">
        <v>204.33</v>
      </c>
      <c r="I336" s="0" t="n">
        <v>204.51</v>
      </c>
    </row>
    <row r="337" customFormat="false" ht="14.25" hidden="false" customHeight="false" outlineLevel="0" collapsed="false">
      <c r="A337" s="0" t="n">
        <v>501</v>
      </c>
      <c r="B337" s="0" t="s">
        <v>38</v>
      </c>
      <c r="C337" s="0" t="s">
        <v>87</v>
      </c>
      <c r="D337" s="0" t="n">
        <v>29</v>
      </c>
      <c r="E337" s="0" t="s">
        <v>44</v>
      </c>
      <c r="F337" s="0" t="n">
        <v>1</v>
      </c>
      <c r="G337" s="0" t="str">
        <f aca="false">CONCATENATE(B337, "-",C337, "-", D337, "-", F337)</f>
        <v>M0111-C-29-1</v>
      </c>
      <c r="H337" s="0" t="n">
        <v>204.36</v>
      </c>
      <c r="I337" s="0" t="n">
        <v>204.69</v>
      </c>
    </row>
    <row r="338" customFormat="false" ht="14.25" hidden="false" customHeight="false" outlineLevel="0" collapsed="false">
      <c r="A338" s="0" t="n">
        <v>501</v>
      </c>
      <c r="B338" s="0" t="s">
        <v>38</v>
      </c>
      <c r="C338" s="0" t="s">
        <v>87</v>
      </c>
      <c r="D338" s="0" t="n">
        <v>30</v>
      </c>
      <c r="E338" s="0" t="s">
        <v>44</v>
      </c>
      <c r="F338" s="0" t="n">
        <v>1</v>
      </c>
      <c r="G338" s="0" t="str">
        <f aca="false">CONCATENATE(B338, "-",C338, "-", D338, "-", F338)</f>
        <v>M0111-C-30-1</v>
      </c>
      <c r="H338" s="0" t="n">
        <v>207.36</v>
      </c>
      <c r="I338" s="0" t="n">
        <v>208.87</v>
      </c>
    </row>
    <row r="339" customFormat="false" ht="14.25" hidden="false" customHeight="false" outlineLevel="0" collapsed="false">
      <c r="A339" s="0" t="n">
        <v>501</v>
      </c>
      <c r="B339" s="0" t="s">
        <v>38</v>
      </c>
      <c r="C339" s="0" t="s">
        <v>87</v>
      </c>
      <c r="D339" s="0" t="n">
        <v>30</v>
      </c>
      <c r="E339" s="0" t="s">
        <v>44</v>
      </c>
      <c r="F339" s="0" t="n">
        <v>2</v>
      </c>
      <c r="G339" s="0" t="str">
        <f aca="false">CONCATENATE(B339, "-",C339, "-", D339, "-", F339)</f>
        <v>M0111-C-30-2</v>
      </c>
      <c r="H339" s="0" t="n">
        <v>208.87</v>
      </c>
      <c r="I339" s="0" t="n">
        <v>209.97</v>
      </c>
    </row>
    <row r="340" customFormat="false" ht="14.25" hidden="false" customHeight="false" outlineLevel="0" collapsed="false">
      <c r="A340" s="0" t="n">
        <v>501</v>
      </c>
      <c r="B340" s="0" t="s">
        <v>38</v>
      </c>
      <c r="C340" s="0" t="s">
        <v>87</v>
      </c>
      <c r="D340" s="0" t="n">
        <v>30</v>
      </c>
      <c r="E340" s="0" t="s">
        <v>44</v>
      </c>
      <c r="F340" s="0" t="n">
        <v>3</v>
      </c>
      <c r="G340" s="0" t="str">
        <f aca="false">CONCATENATE(B340, "-",C340, "-", D340, "-", F340)</f>
        <v>M0111-C-30-3</v>
      </c>
      <c r="H340" s="0" t="n">
        <v>209.97</v>
      </c>
      <c r="I340" s="0" t="n">
        <v>210.25</v>
      </c>
    </row>
    <row r="341" customFormat="false" ht="14.25" hidden="false" customHeight="false" outlineLevel="0" collapsed="false">
      <c r="A341" s="0" t="n">
        <v>501</v>
      </c>
      <c r="B341" s="0" t="s">
        <v>38</v>
      </c>
      <c r="C341" s="0" t="s">
        <v>87</v>
      </c>
      <c r="D341" s="0" t="n">
        <v>31</v>
      </c>
      <c r="E341" s="0" t="s">
        <v>44</v>
      </c>
      <c r="F341" s="0" t="n">
        <v>1</v>
      </c>
      <c r="G341" s="0" t="str">
        <f aca="false">CONCATENATE(B341, "-",C341, "-", D341, "-", F341)</f>
        <v>M0111-C-31-1</v>
      </c>
      <c r="H341" s="0" t="n">
        <v>210.36</v>
      </c>
      <c r="I341" s="0" t="n">
        <v>211.67</v>
      </c>
    </row>
    <row r="342" customFormat="false" ht="14.25" hidden="false" customHeight="false" outlineLevel="0" collapsed="false">
      <c r="A342" s="0" t="n">
        <v>501</v>
      </c>
      <c r="B342" s="0" t="s">
        <v>38</v>
      </c>
      <c r="C342" s="0" t="s">
        <v>87</v>
      </c>
      <c r="D342" s="0" t="n">
        <v>32</v>
      </c>
      <c r="E342" s="0" t="s">
        <v>44</v>
      </c>
      <c r="F342" s="0" t="n">
        <v>1</v>
      </c>
      <c r="G342" s="0" t="str">
        <f aca="false">CONCATENATE(B342, "-",C342, "-", D342, "-", F342)</f>
        <v>M0111-C-32-1</v>
      </c>
      <c r="H342" s="0" t="n">
        <v>213.36</v>
      </c>
      <c r="I342" s="0" t="n">
        <v>213.83</v>
      </c>
    </row>
    <row r="343" customFormat="false" ht="14.25" hidden="false" customHeight="false" outlineLevel="0" collapsed="false">
      <c r="A343" s="0" t="n">
        <v>501</v>
      </c>
      <c r="B343" s="0" t="s">
        <v>38</v>
      </c>
      <c r="C343" s="0" t="s">
        <v>87</v>
      </c>
      <c r="D343" s="0" t="n">
        <v>33</v>
      </c>
      <c r="E343" s="0" t="s">
        <v>44</v>
      </c>
      <c r="F343" s="0" t="n">
        <v>1</v>
      </c>
      <c r="G343" s="0" t="str">
        <f aca="false">CONCATENATE(B343, "-",C343, "-", D343, "-", F343)</f>
        <v>M0111-C-33-1</v>
      </c>
      <c r="H343" s="0" t="n">
        <v>216.36</v>
      </c>
      <c r="I343" s="0" t="n">
        <v>217.79</v>
      </c>
    </row>
    <row r="344" customFormat="false" ht="14.25" hidden="false" customHeight="false" outlineLevel="0" collapsed="false">
      <c r="A344" s="0" t="n">
        <v>501</v>
      </c>
      <c r="B344" s="0" t="s">
        <v>38</v>
      </c>
      <c r="C344" s="0" t="s">
        <v>87</v>
      </c>
      <c r="D344" s="0" t="n">
        <v>33</v>
      </c>
      <c r="E344" s="0" t="s">
        <v>44</v>
      </c>
      <c r="F344" s="0" t="n">
        <v>2</v>
      </c>
      <c r="G344" s="0" t="str">
        <f aca="false">CONCATENATE(B344, "-",C344, "-", D344, "-", F344)</f>
        <v>M0111-C-33-2</v>
      </c>
      <c r="H344" s="0" t="n">
        <v>217.79</v>
      </c>
      <c r="I344" s="0" t="n">
        <v>218.68</v>
      </c>
    </row>
    <row r="345" customFormat="false" ht="14.25" hidden="false" customHeight="false" outlineLevel="0" collapsed="false">
      <c r="A345" s="0" t="n">
        <v>501</v>
      </c>
      <c r="B345" s="0" t="s">
        <v>38</v>
      </c>
      <c r="C345" s="0" t="s">
        <v>87</v>
      </c>
      <c r="D345" s="0" t="n">
        <v>34</v>
      </c>
      <c r="E345" s="0" t="s">
        <v>44</v>
      </c>
      <c r="F345" s="0" t="n">
        <v>1</v>
      </c>
      <c r="G345" s="0" t="str">
        <f aca="false">CONCATENATE(B345, "-",C345, "-", D345, "-", F345)</f>
        <v>M0111-C-34-1</v>
      </c>
      <c r="H345" s="0" t="n">
        <v>219.36</v>
      </c>
      <c r="I345" s="0" t="n">
        <v>220.86</v>
      </c>
    </row>
    <row r="346" customFormat="false" ht="14.25" hidden="false" customHeight="false" outlineLevel="0" collapsed="false">
      <c r="A346" s="0" t="n">
        <v>501</v>
      </c>
      <c r="B346" s="0" t="s">
        <v>38</v>
      </c>
      <c r="C346" s="0" t="s">
        <v>87</v>
      </c>
      <c r="D346" s="0" t="n">
        <v>34</v>
      </c>
      <c r="E346" s="0" t="s">
        <v>44</v>
      </c>
      <c r="F346" s="0" t="n">
        <v>2</v>
      </c>
      <c r="G346" s="0" t="str">
        <f aca="false">CONCATENATE(B346, "-",C346, "-", D346, "-", F346)</f>
        <v>M0111-C-34-2</v>
      </c>
      <c r="H346" s="0" t="n">
        <v>220.86</v>
      </c>
      <c r="I346" s="0" t="n">
        <v>221.74</v>
      </c>
    </row>
    <row r="347" customFormat="false" ht="14.25" hidden="false" customHeight="false" outlineLevel="0" collapsed="false">
      <c r="A347" s="0" t="n">
        <v>501</v>
      </c>
      <c r="B347" s="0" t="s">
        <v>38</v>
      </c>
      <c r="C347" s="0" t="s">
        <v>87</v>
      </c>
      <c r="D347" s="0" t="n">
        <v>35</v>
      </c>
      <c r="E347" s="0" t="s">
        <v>44</v>
      </c>
      <c r="F347" s="0" t="n">
        <v>1</v>
      </c>
      <c r="G347" s="0" t="str">
        <f aca="false">CONCATENATE(B347, "-",C347, "-", D347, "-", F347)</f>
        <v>M0111-C-35-1</v>
      </c>
      <c r="H347" s="0" t="n">
        <v>222.36</v>
      </c>
      <c r="I347" s="0" t="n">
        <v>222.99</v>
      </c>
    </row>
    <row r="348" customFormat="false" ht="14.25" hidden="false" customHeight="false" outlineLevel="0" collapsed="false">
      <c r="A348" s="0" t="n">
        <v>501</v>
      </c>
      <c r="B348" s="0" t="s">
        <v>38</v>
      </c>
      <c r="C348" s="0" t="s">
        <v>87</v>
      </c>
      <c r="D348" s="0" t="n">
        <v>36</v>
      </c>
      <c r="E348" s="0" t="s">
        <v>44</v>
      </c>
      <c r="F348" s="0" t="n">
        <v>1</v>
      </c>
      <c r="G348" s="0" t="str">
        <f aca="false">CONCATENATE(B348, "-",C348, "-", D348, "-", F348)</f>
        <v>M0111-C-36-1</v>
      </c>
      <c r="H348" s="0" t="n">
        <v>223.16</v>
      </c>
      <c r="I348" s="0" t="n">
        <v>223.66</v>
      </c>
    </row>
    <row r="349" customFormat="false" ht="14.25" hidden="false" customHeight="false" outlineLevel="0" collapsed="false">
      <c r="A349" s="0" t="n">
        <v>501</v>
      </c>
      <c r="B349" s="0" t="s">
        <v>38</v>
      </c>
      <c r="C349" s="0" t="s">
        <v>87</v>
      </c>
      <c r="D349" s="0" t="n">
        <v>37</v>
      </c>
      <c r="E349" s="0" t="s">
        <v>44</v>
      </c>
      <c r="F349" s="0" t="n">
        <v>1</v>
      </c>
      <c r="G349" s="0" t="str">
        <f aca="false">CONCATENATE(B349, "-",C349, "-", D349, "-", F349)</f>
        <v>M0111-C-37-1</v>
      </c>
      <c r="H349" s="0" t="n">
        <v>225.36</v>
      </c>
      <c r="I349" s="0" t="n">
        <v>225.39</v>
      </c>
    </row>
    <row r="350" customFormat="false" ht="14.25" hidden="false" customHeight="false" outlineLevel="0" collapsed="false">
      <c r="A350" s="0" t="n">
        <v>501</v>
      </c>
      <c r="B350" s="0" t="s">
        <v>38</v>
      </c>
      <c r="C350" s="0" t="s">
        <v>87</v>
      </c>
      <c r="D350" s="0" t="n">
        <v>38</v>
      </c>
      <c r="E350" s="0" t="s">
        <v>44</v>
      </c>
      <c r="F350" s="0" t="n">
        <v>1</v>
      </c>
      <c r="G350" s="0" t="str">
        <f aca="false">CONCATENATE(B350, "-",C350, "-", D350, "-", F350)</f>
        <v>M0111-C-38-1</v>
      </c>
      <c r="H350" s="0" t="n">
        <v>228.36</v>
      </c>
      <c r="I350" s="0" t="n">
        <v>228.38</v>
      </c>
    </row>
    <row r="351" customFormat="false" ht="14.25" hidden="false" customHeight="false" outlineLevel="0" collapsed="false">
      <c r="A351" s="0" t="n">
        <v>501</v>
      </c>
      <c r="B351" s="0" t="s">
        <v>38</v>
      </c>
      <c r="C351" s="0" t="s">
        <v>87</v>
      </c>
      <c r="D351" s="0" t="n">
        <v>39</v>
      </c>
      <c r="E351" s="0" t="s">
        <v>44</v>
      </c>
      <c r="F351" s="0" t="n">
        <v>1</v>
      </c>
      <c r="G351" s="0" t="str">
        <f aca="false">CONCATENATE(B351, "-",C351, "-", D351, "-", F351)</f>
        <v>M0111-C-39-1</v>
      </c>
      <c r="H351" s="0" t="n">
        <v>229.36</v>
      </c>
      <c r="I351" s="0" t="n">
        <v>230.3</v>
      </c>
    </row>
    <row r="352" customFormat="false" ht="14.25" hidden="false" customHeight="false" outlineLevel="0" collapsed="false">
      <c r="A352" s="0" t="n">
        <v>501</v>
      </c>
      <c r="B352" s="0" t="s">
        <v>89</v>
      </c>
      <c r="C352" s="0" t="s">
        <v>85</v>
      </c>
      <c r="D352" s="0" t="n">
        <v>1</v>
      </c>
      <c r="E352" s="0" t="s">
        <v>40</v>
      </c>
      <c r="F352" s="0" t="n">
        <v>1</v>
      </c>
      <c r="G352" s="0" t="str">
        <f aca="false">CONCATENATE(B352, "-",C352, "-", D352, "-", F352)</f>
        <v>M0112-A-1-1</v>
      </c>
      <c r="H352" s="0" t="n">
        <v>0</v>
      </c>
      <c r="I352" s="0" t="n">
        <v>0.71</v>
      </c>
    </row>
    <row r="353" customFormat="false" ht="14.25" hidden="false" customHeight="false" outlineLevel="0" collapsed="false">
      <c r="A353" s="0" t="n">
        <v>501</v>
      </c>
      <c r="B353" s="0" t="s">
        <v>89</v>
      </c>
      <c r="C353" s="0" t="s">
        <v>85</v>
      </c>
      <c r="D353" s="0" t="n">
        <v>1</v>
      </c>
      <c r="E353" s="0" t="s">
        <v>40</v>
      </c>
      <c r="F353" s="0" t="n">
        <v>2</v>
      </c>
      <c r="G353" s="0" t="str">
        <f aca="false">CONCATENATE(B353, "-",C353, "-", D353, "-", F353)</f>
        <v>M0112-A-1-2</v>
      </c>
      <c r="H353" s="0" t="n">
        <v>0.71</v>
      </c>
      <c r="I353" s="0" t="n">
        <v>2.21</v>
      </c>
    </row>
    <row r="354" customFormat="false" ht="14.25" hidden="false" customHeight="false" outlineLevel="0" collapsed="false">
      <c r="A354" s="0" t="n">
        <v>501</v>
      </c>
      <c r="B354" s="0" t="s">
        <v>89</v>
      </c>
      <c r="C354" s="0" t="s">
        <v>85</v>
      </c>
      <c r="D354" s="0" t="n">
        <v>2</v>
      </c>
      <c r="E354" s="0" t="s">
        <v>40</v>
      </c>
      <c r="F354" s="0" t="n">
        <v>1</v>
      </c>
      <c r="G354" s="0" t="str">
        <f aca="false">CONCATENATE(B354, "-",C354, "-", D354, "-", F354)</f>
        <v>M0112-A-2-1</v>
      </c>
      <c r="H354" s="0" t="n">
        <v>2.21</v>
      </c>
      <c r="I354" s="0" t="n">
        <v>3.71</v>
      </c>
    </row>
    <row r="355" customFormat="false" ht="14.25" hidden="false" customHeight="false" outlineLevel="0" collapsed="false">
      <c r="A355" s="0" t="n">
        <v>501</v>
      </c>
      <c r="B355" s="0" t="s">
        <v>89</v>
      </c>
      <c r="C355" s="0" t="s">
        <v>85</v>
      </c>
      <c r="D355" s="0" t="n">
        <v>2</v>
      </c>
      <c r="E355" s="0" t="s">
        <v>40</v>
      </c>
      <c r="F355" s="0" t="n">
        <v>2</v>
      </c>
      <c r="G355" s="0" t="str">
        <f aca="false">CONCATENATE(B355, "-",C355, "-", D355, "-", F355)</f>
        <v>M0112-A-2-2</v>
      </c>
      <c r="H355" s="0" t="n">
        <v>3.71</v>
      </c>
      <c r="I355" s="0" t="n">
        <v>5.01</v>
      </c>
    </row>
    <row r="356" customFormat="false" ht="14.25" hidden="false" customHeight="false" outlineLevel="0" collapsed="false">
      <c r="A356" s="0" t="n">
        <v>501</v>
      </c>
      <c r="B356" s="0" t="s">
        <v>89</v>
      </c>
      <c r="C356" s="0" t="s">
        <v>85</v>
      </c>
      <c r="D356" s="0" t="n">
        <v>3</v>
      </c>
      <c r="E356" s="0" t="s">
        <v>40</v>
      </c>
      <c r="F356" s="0" t="n">
        <v>1</v>
      </c>
      <c r="G356" s="0" t="str">
        <f aca="false">CONCATENATE(B356, "-",C356, "-", D356, "-", F356)</f>
        <v>M0112-A-3-1</v>
      </c>
      <c r="H356" s="0" t="n">
        <v>5.01</v>
      </c>
      <c r="I356" s="0" t="n">
        <v>6.52</v>
      </c>
    </row>
    <row r="357" customFormat="false" ht="14.25" hidden="false" customHeight="false" outlineLevel="0" collapsed="false">
      <c r="A357" s="0" t="n">
        <v>501</v>
      </c>
      <c r="B357" s="0" t="s">
        <v>89</v>
      </c>
      <c r="C357" s="0" t="s">
        <v>85</v>
      </c>
      <c r="D357" s="0" t="n">
        <v>3</v>
      </c>
      <c r="E357" s="0" t="s">
        <v>40</v>
      </c>
      <c r="F357" s="0" t="n">
        <v>2</v>
      </c>
      <c r="G357" s="0" t="str">
        <f aca="false">CONCATENATE(B357, "-",C357, "-", D357, "-", F357)</f>
        <v>M0112-A-3-2</v>
      </c>
      <c r="H357" s="0" t="n">
        <v>6.52</v>
      </c>
      <c r="I357" s="0" t="n">
        <v>7.17</v>
      </c>
    </row>
    <row r="358" customFormat="false" ht="14.25" hidden="false" customHeight="false" outlineLevel="0" collapsed="false">
      <c r="A358" s="0" t="n">
        <v>501</v>
      </c>
      <c r="B358" s="0" t="s">
        <v>89</v>
      </c>
      <c r="C358" s="0" t="s">
        <v>85</v>
      </c>
      <c r="D358" s="0" t="n">
        <v>4</v>
      </c>
      <c r="E358" s="0" t="s">
        <v>40</v>
      </c>
      <c r="F358" s="0" t="n">
        <v>1</v>
      </c>
      <c r="G358" s="0" t="str">
        <f aca="false">CONCATENATE(B358, "-",C358, "-", D358, "-", F358)</f>
        <v>M0112-A-4-1</v>
      </c>
      <c r="H358" s="0" t="n">
        <v>7.17</v>
      </c>
      <c r="I358" s="0" t="n">
        <v>8.67</v>
      </c>
    </row>
    <row r="359" customFormat="false" ht="14.25" hidden="false" customHeight="false" outlineLevel="0" collapsed="false">
      <c r="A359" s="0" t="n">
        <v>501</v>
      </c>
      <c r="B359" s="0" t="s">
        <v>89</v>
      </c>
      <c r="C359" s="0" t="s">
        <v>85</v>
      </c>
      <c r="D359" s="0" t="n">
        <v>4</v>
      </c>
      <c r="E359" s="0" t="s">
        <v>40</v>
      </c>
      <c r="F359" s="0" t="n">
        <v>2</v>
      </c>
      <c r="G359" s="0" t="str">
        <f aca="false">CONCATENATE(B359, "-",C359, "-", D359, "-", F359)</f>
        <v>M0112-A-4-2</v>
      </c>
      <c r="H359" s="0" t="n">
        <v>8.67</v>
      </c>
      <c r="I359" s="0" t="n">
        <v>9.25</v>
      </c>
    </row>
    <row r="360" customFormat="false" ht="14.25" hidden="false" customHeight="false" outlineLevel="0" collapsed="false">
      <c r="A360" s="0" t="n">
        <v>501</v>
      </c>
      <c r="B360" s="0" t="s">
        <v>89</v>
      </c>
      <c r="C360" s="0" t="s">
        <v>85</v>
      </c>
      <c r="D360" s="0" t="n">
        <v>5</v>
      </c>
      <c r="E360" s="0" t="s">
        <v>40</v>
      </c>
      <c r="F360" s="0" t="n">
        <v>1</v>
      </c>
      <c r="G360" s="0" t="str">
        <f aca="false">CONCATENATE(B360, "-",C360, "-", D360, "-", F360)</f>
        <v>M0112-A-5-1</v>
      </c>
      <c r="H360" s="0" t="n">
        <v>9.25</v>
      </c>
      <c r="I360" s="0" t="n">
        <v>10.5</v>
      </c>
    </row>
    <row r="361" customFormat="false" ht="14.25" hidden="false" customHeight="false" outlineLevel="0" collapsed="false">
      <c r="A361" s="0" t="n">
        <v>501</v>
      </c>
      <c r="B361" s="0" t="s">
        <v>89</v>
      </c>
      <c r="C361" s="0" t="s">
        <v>85</v>
      </c>
      <c r="D361" s="0" t="n">
        <v>5</v>
      </c>
      <c r="E361" s="0" t="s">
        <v>40</v>
      </c>
      <c r="F361" s="0" t="n">
        <v>2</v>
      </c>
      <c r="G361" s="0" t="str">
        <f aca="false">CONCATENATE(B361, "-",C361, "-", D361, "-", F361)</f>
        <v>M0112-A-5-2</v>
      </c>
      <c r="H361" s="0" t="n">
        <v>10.5</v>
      </c>
      <c r="I361" s="0" t="n">
        <v>11.45</v>
      </c>
    </row>
    <row r="362" customFormat="false" ht="14.25" hidden="false" customHeight="false" outlineLevel="0" collapsed="false">
      <c r="A362" s="0" t="n">
        <v>501</v>
      </c>
      <c r="B362" s="0" t="s">
        <v>89</v>
      </c>
      <c r="C362" s="0" t="s">
        <v>85</v>
      </c>
      <c r="D362" s="0" t="n">
        <v>6</v>
      </c>
      <c r="E362" s="0" t="s">
        <v>40</v>
      </c>
      <c r="F362" s="0" t="n">
        <v>1</v>
      </c>
      <c r="G362" s="0" t="str">
        <f aca="false">CONCATENATE(B362, "-",C362, "-", D362, "-", F362)</f>
        <v>M0112-A-6-1</v>
      </c>
      <c r="H362" s="0" t="n">
        <v>11.45</v>
      </c>
      <c r="I362" s="0" t="n">
        <v>12.21</v>
      </c>
    </row>
    <row r="363" customFormat="false" ht="14.25" hidden="false" customHeight="false" outlineLevel="0" collapsed="false">
      <c r="A363" s="0" t="n">
        <v>501</v>
      </c>
      <c r="B363" s="0" t="s">
        <v>89</v>
      </c>
      <c r="C363" s="0" t="s">
        <v>85</v>
      </c>
      <c r="D363" s="0" t="n">
        <v>7</v>
      </c>
      <c r="E363" s="0" t="s">
        <v>40</v>
      </c>
      <c r="F363" s="0" t="n">
        <v>1</v>
      </c>
      <c r="G363" s="0" t="str">
        <f aca="false">CONCATENATE(B363, "-",C363, "-", D363, "-", F363)</f>
        <v>M0112-A-7-1</v>
      </c>
      <c r="H363" s="0" t="n">
        <v>12.21</v>
      </c>
      <c r="I363" s="0" t="n">
        <v>13.71</v>
      </c>
    </row>
    <row r="364" customFormat="false" ht="14.25" hidden="false" customHeight="false" outlineLevel="0" collapsed="false">
      <c r="A364" s="0" t="n">
        <v>501</v>
      </c>
      <c r="B364" s="0" t="s">
        <v>89</v>
      </c>
      <c r="C364" s="0" t="s">
        <v>85</v>
      </c>
      <c r="D364" s="0" t="n">
        <v>7</v>
      </c>
      <c r="E364" s="0" t="s">
        <v>40</v>
      </c>
      <c r="F364" s="0" t="n">
        <v>2</v>
      </c>
      <c r="G364" s="0" t="str">
        <f aca="false">CONCATENATE(B364, "-",C364, "-", D364, "-", F364)</f>
        <v>M0112-A-7-2</v>
      </c>
      <c r="H364" s="0" t="n">
        <v>13.71</v>
      </c>
      <c r="I364" s="0" t="n">
        <v>14.58</v>
      </c>
    </row>
    <row r="365" customFormat="false" ht="14.25" hidden="false" customHeight="false" outlineLevel="0" collapsed="false">
      <c r="A365" s="0" t="n">
        <v>501</v>
      </c>
      <c r="B365" s="0" t="s">
        <v>89</v>
      </c>
      <c r="C365" s="0" t="s">
        <v>85</v>
      </c>
      <c r="D365" s="0" t="n">
        <v>8</v>
      </c>
      <c r="E365" s="0" t="s">
        <v>40</v>
      </c>
      <c r="F365" s="0" t="n">
        <v>1</v>
      </c>
      <c r="G365" s="0" t="str">
        <f aca="false">CONCATENATE(B365, "-",C365, "-", D365, "-", F365)</f>
        <v>M0112-A-8-1</v>
      </c>
      <c r="H365" s="0" t="n">
        <v>14.58</v>
      </c>
      <c r="I365" s="0" t="n">
        <v>16.07</v>
      </c>
    </row>
    <row r="366" customFormat="false" ht="14.25" hidden="false" customHeight="false" outlineLevel="0" collapsed="false">
      <c r="A366" s="0" t="n">
        <v>501</v>
      </c>
      <c r="B366" s="0" t="s">
        <v>89</v>
      </c>
      <c r="C366" s="0" t="s">
        <v>85</v>
      </c>
      <c r="D366" s="0" t="n">
        <v>8</v>
      </c>
      <c r="E366" s="0" t="s">
        <v>40</v>
      </c>
      <c r="F366" s="0" t="n">
        <v>2</v>
      </c>
      <c r="G366" s="0" t="str">
        <f aca="false">CONCATENATE(B366, "-",C366, "-", D366, "-", F366)</f>
        <v>M0112-A-8-2</v>
      </c>
      <c r="H366" s="0" t="n">
        <v>16.07</v>
      </c>
      <c r="I366" s="0" t="n">
        <v>17.23</v>
      </c>
    </row>
    <row r="367" customFormat="false" ht="14.25" hidden="false" customHeight="false" outlineLevel="0" collapsed="false">
      <c r="A367" s="0" t="n">
        <v>501</v>
      </c>
      <c r="B367" s="0" t="s">
        <v>89</v>
      </c>
      <c r="C367" s="0" t="s">
        <v>85</v>
      </c>
      <c r="D367" s="0" t="n">
        <v>9</v>
      </c>
      <c r="E367" s="0" t="s">
        <v>40</v>
      </c>
      <c r="F367" s="0" t="n">
        <v>1</v>
      </c>
      <c r="G367" s="0" t="str">
        <f aca="false">CONCATENATE(B367, "-",C367, "-", D367, "-", F367)</f>
        <v>M0112-A-9-1</v>
      </c>
      <c r="H367" s="0" t="n">
        <v>17.23</v>
      </c>
      <c r="I367" s="0" t="n">
        <v>18.73</v>
      </c>
    </row>
    <row r="368" customFormat="false" ht="14.25" hidden="false" customHeight="false" outlineLevel="0" collapsed="false">
      <c r="A368" s="0" t="n">
        <v>501</v>
      </c>
      <c r="B368" s="0" t="s">
        <v>89</v>
      </c>
      <c r="C368" s="0" t="s">
        <v>85</v>
      </c>
      <c r="D368" s="0" t="n">
        <v>9</v>
      </c>
      <c r="E368" s="0" t="s">
        <v>40</v>
      </c>
      <c r="F368" s="0" t="n">
        <v>2</v>
      </c>
      <c r="G368" s="0" t="str">
        <f aca="false">CONCATENATE(B368, "-",C368, "-", D368, "-", F368)</f>
        <v>M0112-A-9-2</v>
      </c>
      <c r="H368" s="0" t="n">
        <v>18.73</v>
      </c>
      <c r="I368" s="0" t="n">
        <v>19.87</v>
      </c>
    </row>
    <row r="369" customFormat="false" ht="14.25" hidden="false" customHeight="false" outlineLevel="0" collapsed="false">
      <c r="A369" s="0" t="n">
        <v>501</v>
      </c>
      <c r="B369" s="0" t="s">
        <v>89</v>
      </c>
      <c r="C369" s="0" t="s">
        <v>85</v>
      </c>
      <c r="D369" s="0" t="n">
        <v>10</v>
      </c>
      <c r="E369" s="0" t="s">
        <v>40</v>
      </c>
      <c r="F369" s="0" t="n">
        <v>1</v>
      </c>
      <c r="G369" s="0" t="str">
        <f aca="false">CONCATENATE(B369, "-",C369, "-", D369, "-", F369)</f>
        <v>M0112-A-10-1</v>
      </c>
      <c r="H369" s="0" t="n">
        <v>19.87</v>
      </c>
      <c r="I369" s="0" t="n">
        <v>21.28</v>
      </c>
    </row>
    <row r="370" customFormat="false" ht="14.25" hidden="false" customHeight="false" outlineLevel="0" collapsed="false">
      <c r="A370" s="0" t="n">
        <v>501</v>
      </c>
      <c r="B370" s="0" t="s">
        <v>89</v>
      </c>
      <c r="C370" s="0" t="s">
        <v>85</v>
      </c>
      <c r="D370" s="0" t="n">
        <v>11</v>
      </c>
      <c r="E370" s="0" t="s">
        <v>40</v>
      </c>
      <c r="F370" s="0" t="n">
        <v>1</v>
      </c>
      <c r="G370" s="0" t="str">
        <f aca="false">CONCATENATE(B370, "-",C370, "-", D370, "-", F370)</f>
        <v>M0112-A-11-1</v>
      </c>
      <c r="H370" s="0" t="n">
        <v>21.28</v>
      </c>
      <c r="I370" s="0" t="n">
        <v>22.79</v>
      </c>
    </row>
    <row r="371" customFormat="false" ht="14.25" hidden="false" customHeight="false" outlineLevel="0" collapsed="false">
      <c r="A371" s="0" t="n">
        <v>501</v>
      </c>
      <c r="B371" s="0" t="s">
        <v>89</v>
      </c>
      <c r="C371" s="0" t="s">
        <v>85</v>
      </c>
      <c r="D371" s="0" t="n">
        <v>11</v>
      </c>
      <c r="E371" s="0" t="s">
        <v>40</v>
      </c>
      <c r="F371" s="0" t="n">
        <v>2</v>
      </c>
      <c r="G371" s="0" t="str">
        <f aca="false">CONCATENATE(B371, "-",C371, "-", D371, "-", F371)</f>
        <v>M0112-A-11-2</v>
      </c>
      <c r="H371" s="0" t="n">
        <v>22.79</v>
      </c>
      <c r="I371" s="0" t="n">
        <v>23.91</v>
      </c>
    </row>
    <row r="372" customFormat="false" ht="14.25" hidden="false" customHeight="false" outlineLevel="0" collapsed="false">
      <c r="A372" s="0" t="n">
        <v>501</v>
      </c>
      <c r="B372" s="0" t="s">
        <v>89</v>
      </c>
      <c r="C372" s="0" t="s">
        <v>85</v>
      </c>
      <c r="D372" s="0" t="n">
        <v>12</v>
      </c>
      <c r="E372" s="0" t="s">
        <v>40</v>
      </c>
      <c r="F372" s="0" t="n">
        <v>1</v>
      </c>
      <c r="G372" s="0" t="str">
        <f aca="false">CONCATENATE(B372, "-",C372, "-", D372, "-", F372)</f>
        <v>M0112-A-12-1</v>
      </c>
      <c r="H372" s="0" t="n">
        <v>23.91</v>
      </c>
      <c r="I372" s="0" t="n">
        <v>23.92</v>
      </c>
    </row>
    <row r="373" customFormat="false" ht="14.25" hidden="false" customHeight="false" outlineLevel="0" collapsed="false">
      <c r="A373" s="0" t="n">
        <v>501</v>
      </c>
      <c r="B373" s="0" t="s">
        <v>89</v>
      </c>
      <c r="C373" s="0" t="s">
        <v>85</v>
      </c>
      <c r="D373" s="0" t="n">
        <v>13</v>
      </c>
      <c r="E373" s="0" t="s">
        <v>40</v>
      </c>
      <c r="F373" s="0" t="n">
        <v>1</v>
      </c>
      <c r="G373" s="0" t="str">
        <f aca="false">CONCATENATE(B373, "-",C373, "-", D373, "-", F373)</f>
        <v>M0112-A-13-1</v>
      </c>
      <c r="H373" s="0" t="n">
        <v>23.92</v>
      </c>
      <c r="I373" s="0" t="n">
        <v>24.33</v>
      </c>
    </row>
    <row r="374" customFormat="false" ht="14.25" hidden="false" customHeight="false" outlineLevel="0" collapsed="false">
      <c r="A374" s="0" t="n">
        <v>501</v>
      </c>
      <c r="B374" s="0" t="s">
        <v>89</v>
      </c>
      <c r="C374" s="0" t="s">
        <v>85</v>
      </c>
      <c r="D374" s="0" t="n">
        <v>14</v>
      </c>
      <c r="E374" s="0" t="s">
        <v>40</v>
      </c>
      <c r="F374" s="0" t="n">
        <v>1</v>
      </c>
      <c r="G374" s="0" t="str">
        <f aca="false">CONCATENATE(B374, "-",C374, "-", D374, "-", F374)</f>
        <v>M0112-A-14-1</v>
      </c>
      <c r="H374" s="0" t="n">
        <v>24.33</v>
      </c>
      <c r="I374" s="0" t="n">
        <v>25.79</v>
      </c>
    </row>
    <row r="375" customFormat="false" ht="14.25" hidden="false" customHeight="false" outlineLevel="0" collapsed="false">
      <c r="A375" s="0" t="n">
        <v>501</v>
      </c>
      <c r="B375" s="0" t="s">
        <v>89</v>
      </c>
      <c r="C375" s="0" t="s">
        <v>85</v>
      </c>
      <c r="D375" s="0" t="n">
        <v>15</v>
      </c>
      <c r="E375" s="0" t="s">
        <v>40</v>
      </c>
      <c r="F375" s="0" t="n">
        <v>1</v>
      </c>
      <c r="G375" s="0" t="str">
        <f aca="false">CONCATENATE(B375, "-",C375, "-", D375, "-", F375)</f>
        <v>M0112-A-15-1</v>
      </c>
      <c r="H375" s="0" t="n">
        <v>25.79</v>
      </c>
      <c r="I375" s="0" t="n">
        <v>27.3</v>
      </c>
    </row>
    <row r="376" customFormat="false" ht="14.25" hidden="false" customHeight="false" outlineLevel="0" collapsed="false">
      <c r="A376" s="0" t="n">
        <v>501</v>
      </c>
      <c r="B376" s="0" t="s">
        <v>89</v>
      </c>
      <c r="C376" s="0" t="s">
        <v>85</v>
      </c>
      <c r="D376" s="0" t="n">
        <v>15</v>
      </c>
      <c r="E376" s="0" t="s">
        <v>40</v>
      </c>
      <c r="F376" s="0" t="n">
        <v>2</v>
      </c>
      <c r="G376" s="0" t="str">
        <f aca="false">CONCATENATE(B376, "-",C376, "-", D376, "-", F376)</f>
        <v>M0112-A-15-2</v>
      </c>
      <c r="H376" s="0" t="n">
        <v>27.3</v>
      </c>
      <c r="I376" s="0" t="n">
        <v>27.67</v>
      </c>
    </row>
    <row r="377" customFormat="false" ht="14.25" hidden="false" customHeight="false" outlineLevel="0" collapsed="false">
      <c r="A377" s="0" t="n">
        <v>501</v>
      </c>
      <c r="B377" s="0" t="s">
        <v>89</v>
      </c>
      <c r="C377" s="0" t="s">
        <v>85</v>
      </c>
      <c r="D377" s="0" t="n">
        <v>16</v>
      </c>
      <c r="E377" s="0" t="s">
        <v>40</v>
      </c>
      <c r="F377" s="0" t="n">
        <v>1</v>
      </c>
      <c r="G377" s="0" t="str">
        <f aca="false">CONCATENATE(B377, "-",C377, "-", D377, "-", F377)</f>
        <v>M0112-A-16-1</v>
      </c>
      <c r="H377" s="0" t="n">
        <v>27.67</v>
      </c>
      <c r="I377" s="0" t="n">
        <v>29.16</v>
      </c>
    </row>
    <row r="378" customFormat="false" ht="14.25" hidden="false" customHeight="false" outlineLevel="0" collapsed="false">
      <c r="A378" s="0" t="n">
        <v>501</v>
      </c>
      <c r="B378" s="0" t="s">
        <v>89</v>
      </c>
      <c r="C378" s="0" t="s">
        <v>85</v>
      </c>
      <c r="D378" s="0" t="n">
        <v>16</v>
      </c>
      <c r="E378" s="0" t="s">
        <v>40</v>
      </c>
      <c r="F378" s="0" t="n">
        <v>2</v>
      </c>
      <c r="G378" s="0" t="str">
        <f aca="false">CONCATENATE(B378, "-",C378, "-", D378, "-", F378)</f>
        <v>M0112-A-16-2</v>
      </c>
      <c r="H378" s="0" t="n">
        <v>29.16</v>
      </c>
      <c r="I378" s="0" t="n">
        <v>29.48</v>
      </c>
    </row>
    <row r="379" customFormat="false" ht="14.25" hidden="false" customHeight="false" outlineLevel="0" collapsed="false">
      <c r="A379" s="0" t="n">
        <v>501</v>
      </c>
      <c r="B379" s="0" t="s">
        <v>89</v>
      </c>
      <c r="C379" s="0" t="s">
        <v>85</v>
      </c>
      <c r="D379" s="0" t="n">
        <v>17</v>
      </c>
      <c r="E379" s="0" t="s">
        <v>40</v>
      </c>
      <c r="F379" s="0" t="n">
        <v>1</v>
      </c>
      <c r="G379" s="0" t="str">
        <f aca="false">CONCATENATE(B379, "-",C379, "-", D379, "-", F379)</f>
        <v>M0112-A-17-1</v>
      </c>
      <c r="H379" s="0" t="n">
        <v>29.48</v>
      </c>
      <c r="I379" s="0" t="n">
        <v>30.1</v>
      </c>
    </row>
    <row r="380" customFormat="false" ht="14.25" hidden="false" customHeight="false" outlineLevel="0" collapsed="false">
      <c r="A380" s="0" t="n">
        <v>501</v>
      </c>
      <c r="B380" s="0" t="s">
        <v>89</v>
      </c>
      <c r="C380" s="0" t="s">
        <v>85</v>
      </c>
      <c r="D380" s="0" t="n">
        <v>19</v>
      </c>
      <c r="E380" s="0" t="s">
        <v>40</v>
      </c>
      <c r="F380" s="0" t="n">
        <v>1</v>
      </c>
      <c r="G380" s="0" t="str">
        <f aca="false">CONCATENATE(B380, "-",C380, "-", D380, "-", F380)</f>
        <v>M0112-A-19-1</v>
      </c>
      <c r="H380" s="0" t="n">
        <v>32.21</v>
      </c>
      <c r="I380" s="0" t="n">
        <v>32.8</v>
      </c>
    </row>
    <row r="381" customFormat="false" ht="14.25" hidden="false" customHeight="false" outlineLevel="0" collapsed="false">
      <c r="A381" s="0" t="n">
        <v>501</v>
      </c>
      <c r="B381" s="0" t="s">
        <v>89</v>
      </c>
      <c r="C381" s="0" t="s">
        <v>85</v>
      </c>
      <c r="D381" s="0" t="n">
        <v>19</v>
      </c>
      <c r="E381" s="0" t="s">
        <v>40</v>
      </c>
      <c r="F381" s="0" t="n">
        <v>2</v>
      </c>
      <c r="G381" s="0" t="str">
        <f aca="false">CONCATENATE(B381, "-",C381, "-", D381, "-", F381)</f>
        <v>M0112-A-19-2</v>
      </c>
      <c r="H381" s="0" t="n">
        <v>32.8</v>
      </c>
      <c r="I381" s="0" t="n">
        <v>33.13</v>
      </c>
    </row>
    <row r="382" customFormat="false" ht="14.25" hidden="false" customHeight="false" outlineLevel="0" collapsed="false">
      <c r="A382" s="0" t="n">
        <v>501</v>
      </c>
      <c r="B382" s="0" t="s">
        <v>89</v>
      </c>
      <c r="C382" s="0" t="s">
        <v>85</v>
      </c>
      <c r="D382" s="0" t="n">
        <v>20</v>
      </c>
      <c r="E382" s="0" t="s">
        <v>40</v>
      </c>
      <c r="F382" s="0" t="n">
        <v>1</v>
      </c>
      <c r="G382" s="0" t="str">
        <f aca="false">CONCATENATE(B382, "-",C382, "-", D382, "-", F382)</f>
        <v>M0112-A-20-1</v>
      </c>
      <c r="H382" s="0" t="n">
        <v>33.13</v>
      </c>
      <c r="I382" s="0" t="n">
        <v>34.61</v>
      </c>
    </row>
    <row r="383" customFormat="false" ht="14.25" hidden="false" customHeight="false" outlineLevel="0" collapsed="false">
      <c r="A383" s="0" t="n">
        <v>501</v>
      </c>
      <c r="B383" s="0" t="s">
        <v>89</v>
      </c>
      <c r="C383" s="0" t="s">
        <v>85</v>
      </c>
      <c r="D383" s="0" t="n">
        <v>20</v>
      </c>
      <c r="E383" s="0" t="s">
        <v>40</v>
      </c>
      <c r="F383" s="0" t="n">
        <v>2</v>
      </c>
      <c r="G383" s="0" t="str">
        <f aca="false">CONCATENATE(B383, "-",C383, "-", D383, "-", F383)</f>
        <v>M0112-A-20-2</v>
      </c>
      <c r="H383" s="0" t="n">
        <v>34.61</v>
      </c>
      <c r="I383" s="0" t="n">
        <v>34.81</v>
      </c>
    </row>
    <row r="384" customFormat="false" ht="14.25" hidden="false" customHeight="false" outlineLevel="0" collapsed="false">
      <c r="A384" s="0" t="n">
        <v>501</v>
      </c>
      <c r="B384" s="0" t="s">
        <v>89</v>
      </c>
      <c r="C384" s="0" t="s">
        <v>85</v>
      </c>
      <c r="D384" s="0" t="n">
        <v>21</v>
      </c>
      <c r="E384" s="0" t="s">
        <v>40</v>
      </c>
      <c r="F384" s="0" t="n">
        <v>1</v>
      </c>
      <c r="G384" s="0" t="str">
        <f aca="false">CONCATENATE(B384, "-",C384, "-", D384, "-", F384)</f>
        <v>M0112-A-21-1</v>
      </c>
      <c r="H384" s="0" t="n">
        <v>34.81</v>
      </c>
      <c r="I384" s="0" t="n">
        <v>36.31</v>
      </c>
    </row>
    <row r="385" customFormat="false" ht="14.25" hidden="false" customHeight="false" outlineLevel="0" collapsed="false">
      <c r="A385" s="0" t="n">
        <v>501</v>
      </c>
      <c r="B385" s="0" t="s">
        <v>89</v>
      </c>
      <c r="C385" s="0" t="s">
        <v>85</v>
      </c>
      <c r="D385" s="0" t="n">
        <v>21</v>
      </c>
      <c r="E385" s="0" t="s">
        <v>40</v>
      </c>
      <c r="F385" s="0" t="n">
        <v>2</v>
      </c>
      <c r="G385" s="0" t="str">
        <f aca="false">CONCATENATE(B385, "-",C385, "-", D385, "-", F385)</f>
        <v>M0112-A-21-2</v>
      </c>
      <c r="H385" s="0" t="n">
        <v>36.31</v>
      </c>
      <c r="I385" s="0" t="n">
        <v>36.79</v>
      </c>
    </row>
    <row r="386" customFormat="false" ht="14.25" hidden="false" customHeight="false" outlineLevel="0" collapsed="false">
      <c r="A386" s="0" t="n">
        <v>501</v>
      </c>
      <c r="B386" s="0" t="s">
        <v>89</v>
      </c>
      <c r="C386" s="0" t="s">
        <v>85</v>
      </c>
      <c r="D386" s="0" t="n">
        <v>22</v>
      </c>
      <c r="E386" s="0" t="s">
        <v>40</v>
      </c>
      <c r="F386" s="0" t="n">
        <v>1</v>
      </c>
      <c r="G386" s="0" t="str">
        <f aca="false">CONCATENATE(B386, "-",C386, "-", D386, "-", F386)</f>
        <v>M0112-A-22-1</v>
      </c>
      <c r="H386" s="0" t="n">
        <v>36.79</v>
      </c>
      <c r="I386" s="0" t="n">
        <v>38.23</v>
      </c>
    </row>
    <row r="387" customFormat="false" ht="14.25" hidden="false" customHeight="false" outlineLevel="0" collapsed="false">
      <c r="A387" s="0" t="n">
        <v>501</v>
      </c>
      <c r="B387" s="0" t="s">
        <v>89</v>
      </c>
      <c r="C387" s="0" t="s">
        <v>85</v>
      </c>
      <c r="D387" s="0" t="n">
        <v>22</v>
      </c>
      <c r="E387" s="0" t="s">
        <v>40</v>
      </c>
      <c r="F387" s="0" t="n">
        <v>2</v>
      </c>
      <c r="G387" s="0" t="str">
        <f aca="false">CONCATENATE(B387, "-",C387, "-", D387, "-", F387)</f>
        <v>M0112-A-22-2</v>
      </c>
      <c r="H387" s="0" t="n">
        <v>38.23</v>
      </c>
      <c r="I387" s="0" t="n">
        <v>38.59</v>
      </c>
    </row>
    <row r="388" customFormat="false" ht="14.25" hidden="false" customHeight="false" outlineLevel="0" collapsed="false">
      <c r="A388" s="0" t="n">
        <v>501</v>
      </c>
      <c r="B388" s="0" t="s">
        <v>89</v>
      </c>
      <c r="C388" s="0" t="s">
        <v>85</v>
      </c>
      <c r="D388" s="0" t="n">
        <v>23</v>
      </c>
      <c r="E388" s="0" t="s">
        <v>40</v>
      </c>
      <c r="F388" s="0" t="n">
        <v>1</v>
      </c>
      <c r="G388" s="0" t="str">
        <f aca="false">CONCATENATE(B388, "-",C388, "-", D388, "-", F388)</f>
        <v>M0112-A-23-1</v>
      </c>
      <c r="H388" s="0" t="n">
        <v>38.59</v>
      </c>
      <c r="I388" s="0" t="n">
        <v>40.07</v>
      </c>
    </row>
    <row r="389" customFormat="false" ht="14.25" hidden="false" customHeight="false" outlineLevel="0" collapsed="false">
      <c r="A389" s="0" t="n">
        <v>501</v>
      </c>
      <c r="B389" s="0" t="s">
        <v>89</v>
      </c>
      <c r="C389" s="0" t="s">
        <v>85</v>
      </c>
      <c r="D389" s="0" t="n">
        <v>23</v>
      </c>
      <c r="E389" s="0" t="s">
        <v>40</v>
      </c>
      <c r="F389" s="0" t="n">
        <v>2</v>
      </c>
      <c r="G389" s="0" t="str">
        <f aca="false">CONCATENATE(B389, "-",C389, "-", D389, "-", F389)</f>
        <v>M0112-A-23-2</v>
      </c>
      <c r="H389" s="0" t="n">
        <v>40.07</v>
      </c>
      <c r="I389" s="0" t="n">
        <v>41.48</v>
      </c>
    </row>
    <row r="390" customFormat="false" ht="14.25" hidden="false" customHeight="false" outlineLevel="0" collapsed="false">
      <c r="A390" s="0" t="n">
        <v>501</v>
      </c>
      <c r="B390" s="0" t="s">
        <v>89</v>
      </c>
      <c r="C390" s="0" t="s">
        <v>85</v>
      </c>
      <c r="D390" s="0" t="n">
        <v>24</v>
      </c>
      <c r="E390" s="0" t="s">
        <v>40</v>
      </c>
      <c r="F390" s="0" t="n">
        <v>1</v>
      </c>
      <c r="G390" s="0" t="str">
        <f aca="false">CONCATENATE(B390, "-",C390, "-", D390, "-", F390)</f>
        <v>M0112-A-24-1</v>
      </c>
      <c r="H390" s="0" t="n">
        <v>41.38</v>
      </c>
      <c r="I390" s="0" t="n">
        <v>42.87</v>
      </c>
    </row>
    <row r="391" customFormat="false" ht="14.25" hidden="false" customHeight="false" outlineLevel="0" collapsed="false">
      <c r="A391" s="0" t="n">
        <v>501</v>
      </c>
      <c r="B391" s="0" t="s">
        <v>89</v>
      </c>
      <c r="C391" s="0" t="s">
        <v>85</v>
      </c>
      <c r="D391" s="0" t="n">
        <v>24</v>
      </c>
      <c r="E391" s="0" t="s">
        <v>40</v>
      </c>
      <c r="F391" s="0" t="n">
        <v>2</v>
      </c>
      <c r="G391" s="0" t="str">
        <f aca="false">CONCATENATE(B391, "-",C391, "-", D391, "-", F391)</f>
        <v>M0112-A-24-2</v>
      </c>
      <c r="H391" s="0" t="n">
        <v>42.87</v>
      </c>
      <c r="I391" s="0" t="n">
        <v>44.31</v>
      </c>
    </row>
    <row r="392" customFormat="false" ht="14.25" hidden="false" customHeight="false" outlineLevel="0" collapsed="false">
      <c r="A392" s="0" t="n">
        <v>501</v>
      </c>
      <c r="B392" s="0" t="s">
        <v>89</v>
      </c>
      <c r="C392" s="0" t="s">
        <v>85</v>
      </c>
      <c r="D392" s="0" t="n">
        <v>25</v>
      </c>
      <c r="E392" s="0" t="s">
        <v>40</v>
      </c>
      <c r="F392" s="0" t="n">
        <v>1</v>
      </c>
      <c r="G392" s="0" t="str">
        <f aca="false">CONCATENATE(B392, "-",C392, "-", D392, "-", F392)</f>
        <v>M0112-A-25-1</v>
      </c>
      <c r="H392" s="0" t="n">
        <v>44.14</v>
      </c>
      <c r="I392" s="0" t="n">
        <v>45.36</v>
      </c>
    </row>
    <row r="393" customFormat="false" ht="14.25" hidden="false" customHeight="false" outlineLevel="0" collapsed="false">
      <c r="A393" s="0" t="n">
        <v>501</v>
      </c>
      <c r="B393" s="0" t="s">
        <v>89</v>
      </c>
      <c r="C393" s="0" t="s">
        <v>85</v>
      </c>
      <c r="D393" s="0" t="n">
        <v>27</v>
      </c>
      <c r="E393" s="0" t="s">
        <v>40</v>
      </c>
      <c r="F393" s="0" t="n">
        <v>1</v>
      </c>
      <c r="G393" s="0" t="str">
        <f aca="false">CONCATENATE(B393, "-",C393, "-", D393, "-", F393)</f>
        <v>M0112-A-27-1</v>
      </c>
      <c r="H393" s="0" t="n">
        <v>45.36</v>
      </c>
      <c r="I393" s="0" t="n">
        <v>46.43</v>
      </c>
    </row>
    <row r="394" customFormat="false" ht="14.25" hidden="false" customHeight="false" outlineLevel="0" collapsed="false">
      <c r="A394" s="0" t="n">
        <v>501</v>
      </c>
      <c r="B394" s="0" t="s">
        <v>89</v>
      </c>
      <c r="C394" s="0" t="s">
        <v>85</v>
      </c>
      <c r="D394" s="0" t="n">
        <v>28</v>
      </c>
      <c r="E394" s="0" t="s">
        <v>40</v>
      </c>
      <c r="F394" s="0" t="n">
        <v>1</v>
      </c>
      <c r="G394" s="0" t="str">
        <f aca="false">CONCATENATE(B394, "-",C394, "-", D394, "-", F394)</f>
        <v>M0112-A-28-1</v>
      </c>
      <c r="H394" s="0" t="n">
        <v>46.43</v>
      </c>
      <c r="I394" s="0" t="n">
        <v>47.43</v>
      </c>
    </row>
    <row r="395" customFormat="false" ht="14.25" hidden="false" customHeight="false" outlineLevel="0" collapsed="false">
      <c r="A395" s="0" t="n">
        <v>501</v>
      </c>
      <c r="B395" s="0" t="s">
        <v>89</v>
      </c>
      <c r="C395" s="0" t="s">
        <v>85</v>
      </c>
      <c r="D395" s="0" t="n">
        <v>29</v>
      </c>
      <c r="E395" s="0" t="s">
        <v>40</v>
      </c>
      <c r="F395" s="0" t="n">
        <v>1</v>
      </c>
      <c r="G395" s="0" t="str">
        <f aca="false">CONCATENATE(B395, "-",C395, "-", D395, "-", F395)</f>
        <v>M0112-A-29-1</v>
      </c>
      <c r="H395" s="0" t="n">
        <v>47.43</v>
      </c>
      <c r="I395" s="0" t="n">
        <v>47.96</v>
      </c>
    </row>
    <row r="396" customFormat="false" ht="14.25" hidden="false" customHeight="false" outlineLevel="0" collapsed="false">
      <c r="A396" s="0" t="n">
        <v>501</v>
      </c>
      <c r="B396" s="0" t="s">
        <v>89</v>
      </c>
      <c r="C396" s="0" t="s">
        <v>85</v>
      </c>
      <c r="D396" s="0" t="n">
        <v>30</v>
      </c>
      <c r="E396" s="0" t="s">
        <v>40</v>
      </c>
      <c r="F396" s="0" t="n">
        <v>1</v>
      </c>
      <c r="G396" s="0" t="str">
        <f aca="false">CONCATENATE(B396, "-",C396, "-", D396, "-", F396)</f>
        <v>M0112-A-30-1</v>
      </c>
      <c r="H396" s="0" t="n">
        <v>47.96</v>
      </c>
      <c r="I396" s="0" t="n">
        <v>48.18</v>
      </c>
    </row>
    <row r="397" customFormat="false" ht="14.25" hidden="false" customHeight="false" outlineLevel="0" collapsed="false">
      <c r="A397" s="0" t="n">
        <v>501</v>
      </c>
      <c r="B397" s="0" t="s">
        <v>89</v>
      </c>
      <c r="C397" s="0" t="s">
        <v>85</v>
      </c>
      <c r="D397" s="0" t="n">
        <v>31</v>
      </c>
      <c r="E397" s="0" t="s">
        <v>40</v>
      </c>
      <c r="F397" s="0" t="n">
        <v>1</v>
      </c>
      <c r="G397" s="0" t="str">
        <f aca="false">CONCATENATE(B397, "-",C397, "-", D397, "-", F397)</f>
        <v>M0112-A-31-1</v>
      </c>
      <c r="H397" s="0" t="n">
        <v>49.96</v>
      </c>
      <c r="I397" s="0" t="n">
        <v>51.45</v>
      </c>
    </row>
    <row r="398" customFormat="false" ht="14.25" hidden="false" customHeight="false" outlineLevel="0" collapsed="false">
      <c r="A398" s="0" t="n">
        <v>501</v>
      </c>
      <c r="B398" s="0" t="s">
        <v>89</v>
      </c>
      <c r="C398" s="0" t="s">
        <v>85</v>
      </c>
      <c r="D398" s="0" t="n">
        <v>32</v>
      </c>
      <c r="E398" s="0" t="s">
        <v>40</v>
      </c>
      <c r="F398" s="0" t="n">
        <v>1</v>
      </c>
      <c r="G398" s="0" t="str">
        <f aca="false">CONCATENATE(B398, "-",C398, "-", D398, "-", F398)</f>
        <v>M0112-A-32-1</v>
      </c>
      <c r="H398" s="0" t="n">
        <v>51.45</v>
      </c>
      <c r="I398" s="0" t="n">
        <v>52.95</v>
      </c>
    </row>
    <row r="399" customFormat="false" ht="14.25" hidden="false" customHeight="false" outlineLevel="0" collapsed="false">
      <c r="A399" s="0" t="n">
        <v>501</v>
      </c>
      <c r="B399" s="0" t="s">
        <v>89</v>
      </c>
      <c r="C399" s="0" t="s">
        <v>85</v>
      </c>
      <c r="D399" s="0" t="n">
        <v>32</v>
      </c>
      <c r="E399" s="0" t="s">
        <v>40</v>
      </c>
      <c r="F399" s="0" t="n">
        <v>2</v>
      </c>
      <c r="G399" s="0" t="str">
        <f aca="false">CONCATENATE(B399, "-",C399, "-", D399, "-", F399)</f>
        <v>M0112-A-32-2</v>
      </c>
      <c r="H399" s="0" t="n">
        <v>52.95</v>
      </c>
      <c r="I399" s="0" t="n">
        <v>53.61</v>
      </c>
    </row>
    <row r="400" customFormat="false" ht="14.25" hidden="false" customHeight="false" outlineLevel="0" collapsed="false">
      <c r="A400" s="0" t="n">
        <v>501</v>
      </c>
      <c r="B400" s="0" t="s">
        <v>89</v>
      </c>
      <c r="C400" s="0" t="s">
        <v>85</v>
      </c>
      <c r="D400" s="0" t="n">
        <v>33</v>
      </c>
      <c r="E400" s="0" t="s">
        <v>40</v>
      </c>
      <c r="F400" s="0" t="n">
        <v>1</v>
      </c>
      <c r="G400" s="0" t="str">
        <f aca="false">CONCATENATE(B400, "-",C400, "-", D400, "-", F400)</f>
        <v>M0112-A-33-1</v>
      </c>
      <c r="H400" s="0" t="n">
        <v>53.61</v>
      </c>
      <c r="I400" s="0" t="n">
        <v>54.51</v>
      </c>
    </row>
    <row r="401" customFormat="false" ht="14.25" hidden="false" customHeight="false" outlineLevel="0" collapsed="false">
      <c r="A401" s="0" t="n">
        <v>501</v>
      </c>
      <c r="B401" s="0" t="s">
        <v>89</v>
      </c>
      <c r="C401" s="0" t="s">
        <v>85</v>
      </c>
      <c r="D401" s="0" t="n">
        <v>33</v>
      </c>
      <c r="E401" s="0" t="s">
        <v>40</v>
      </c>
      <c r="F401" s="0" t="n">
        <v>2</v>
      </c>
      <c r="G401" s="0" t="str">
        <f aca="false">CONCATENATE(B401, "-",C401, "-", D401, "-", F401)</f>
        <v>M0112-A-33-2</v>
      </c>
      <c r="H401" s="0" t="n">
        <v>54.51</v>
      </c>
      <c r="I401" s="0" t="n">
        <v>55.15</v>
      </c>
    </row>
    <row r="402" customFormat="false" ht="14.25" hidden="false" customHeight="false" outlineLevel="0" collapsed="false">
      <c r="A402" s="0" t="n">
        <v>501</v>
      </c>
      <c r="B402" s="0" t="s">
        <v>89</v>
      </c>
      <c r="C402" s="0" t="s">
        <v>85</v>
      </c>
      <c r="D402" s="0" t="n">
        <v>34</v>
      </c>
      <c r="E402" s="0" t="s">
        <v>40</v>
      </c>
      <c r="F402" s="0" t="n">
        <v>1</v>
      </c>
      <c r="G402" s="0" t="str">
        <f aca="false">CONCATENATE(B402, "-",C402, "-", D402, "-", F402)</f>
        <v>M0112-A-34-1</v>
      </c>
      <c r="H402" s="0" t="n">
        <v>55.15</v>
      </c>
      <c r="I402" s="0" t="n">
        <v>56.15</v>
      </c>
    </row>
    <row r="403" customFormat="false" ht="14.25" hidden="false" customHeight="false" outlineLevel="0" collapsed="false">
      <c r="A403" s="0" t="n">
        <v>501</v>
      </c>
      <c r="B403" s="0" t="s">
        <v>89</v>
      </c>
      <c r="C403" s="0" t="s">
        <v>85</v>
      </c>
      <c r="D403" s="0" t="n">
        <v>34</v>
      </c>
      <c r="E403" s="0" t="s">
        <v>40</v>
      </c>
      <c r="F403" s="0" t="n">
        <v>2</v>
      </c>
      <c r="G403" s="0" t="str">
        <f aca="false">CONCATENATE(B403, "-",C403, "-", D403, "-", F403)</f>
        <v>M0112-A-34-2</v>
      </c>
      <c r="H403" s="0" t="n">
        <v>56.15</v>
      </c>
      <c r="I403" s="0" t="n">
        <v>56.31</v>
      </c>
    </row>
    <row r="404" customFormat="false" ht="14.25" hidden="false" customHeight="false" outlineLevel="0" collapsed="false">
      <c r="A404" s="0" t="n">
        <v>501</v>
      </c>
      <c r="B404" s="0" t="s">
        <v>89</v>
      </c>
      <c r="C404" s="0" t="s">
        <v>85</v>
      </c>
      <c r="D404" s="0" t="n">
        <v>35</v>
      </c>
      <c r="E404" s="0" t="s">
        <v>44</v>
      </c>
      <c r="F404" s="0" t="n">
        <v>1</v>
      </c>
      <c r="G404" s="0" t="str">
        <f aca="false">CONCATENATE(B404, "-",C404, "-", D404, "-", F404)</f>
        <v>M0112-A-35-1</v>
      </c>
      <c r="H404" s="0" t="n">
        <v>56.3</v>
      </c>
      <c r="I404" s="0" t="n">
        <v>56.68</v>
      </c>
    </row>
    <row r="405" customFormat="false" ht="14.25" hidden="false" customHeight="false" outlineLevel="0" collapsed="false">
      <c r="A405" s="0" t="n">
        <v>501</v>
      </c>
      <c r="B405" s="0" t="s">
        <v>89</v>
      </c>
      <c r="C405" s="0" t="s">
        <v>85</v>
      </c>
      <c r="D405" s="0" t="n">
        <v>36</v>
      </c>
      <c r="E405" s="0" t="s">
        <v>44</v>
      </c>
      <c r="F405" s="0" t="n">
        <v>1</v>
      </c>
      <c r="G405" s="0" t="str">
        <f aca="false">CONCATENATE(B405, "-",C405, "-", D405, "-", F405)</f>
        <v>M0112-A-36-1</v>
      </c>
      <c r="H405" s="0" t="n">
        <v>56.3</v>
      </c>
      <c r="I405" s="0" t="n">
        <v>57.8</v>
      </c>
    </row>
    <row r="406" customFormat="false" ht="14.25" hidden="false" customHeight="false" outlineLevel="0" collapsed="false">
      <c r="A406" s="0" t="n">
        <v>501</v>
      </c>
      <c r="B406" s="0" t="s">
        <v>89</v>
      </c>
      <c r="C406" s="0" t="s">
        <v>85</v>
      </c>
      <c r="D406" s="0" t="n">
        <v>36</v>
      </c>
      <c r="E406" s="0" t="s">
        <v>44</v>
      </c>
      <c r="F406" s="0" t="n">
        <v>2</v>
      </c>
      <c r="G406" s="0" t="str">
        <f aca="false">CONCATENATE(B406, "-",C406, "-", D406, "-", F406)</f>
        <v>M0112-A-36-2</v>
      </c>
      <c r="H406" s="0" t="n">
        <v>57.8</v>
      </c>
      <c r="I406" s="0" t="n">
        <v>59.3</v>
      </c>
    </row>
    <row r="407" customFormat="false" ht="14.25" hidden="false" customHeight="false" outlineLevel="0" collapsed="false">
      <c r="A407" s="0" t="n">
        <v>501</v>
      </c>
      <c r="B407" s="0" t="s">
        <v>89</v>
      </c>
      <c r="C407" s="0" t="s">
        <v>85</v>
      </c>
      <c r="D407" s="0" t="n">
        <v>37</v>
      </c>
      <c r="E407" s="0" t="s">
        <v>44</v>
      </c>
      <c r="F407" s="0" t="n">
        <v>1</v>
      </c>
      <c r="G407" s="0" t="str">
        <f aca="false">CONCATENATE(B407, "-",C407, "-", D407, "-", F407)</f>
        <v>M0112-A-37-1</v>
      </c>
      <c r="H407" s="0" t="n">
        <v>59.21</v>
      </c>
      <c r="I407" s="0" t="n">
        <v>59.52</v>
      </c>
    </row>
    <row r="408" customFormat="false" ht="14.25" hidden="false" customHeight="false" outlineLevel="0" collapsed="false">
      <c r="A408" s="0" t="n">
        <v>501</v>
      </c>
      <c r="B408" s="0" t="s">
        <v>89</v>
      </c>
      <c r="C408" s="0" t="s">
        <v>85</v>
      </c>
      <c r="D408" s="0" t="n">
        <v>38</v>
      </c>
      <c r="E408" s="0" t="s">
        <v>44</v>
      </c>
      <c r="F408" s="0" t="n">
        <v>1</v>
      </c>
      <c r="G408" s="0" t="str">
        <f aca="false">CONCATENATE(B408, "-",C408, "-", D408, "-", F408)</f>
        <v>M0112-A-38-1</v>
      </c>
      <c r="H408" s="0" t="n">
        <v>59.61</v>
      </c>
      <c r="I408" s="0" t="n">
        <v>60.11</v>
      </c>
    </row>
    <row r="409" customFormat="false" ht="14.25" hidden="false" customHeight="false" outlineLevel="0" collapsed="false">
      <c r="A409" s="0" t="n">
        <v>501</v>
      </c>
      <c r="B409" s="0" t="s">
        <v>89</v>
      </c>
      <c r="C409" s="0" t="s">
        <v>85</v>
      </c>
      <c r="D409" s="0" t="n">
        <v>39</v>
      </c>
      <c r="E409" s="0" t="s">
        <v>44</v>
      </c>
      <c r="F409" s="0" t="n">
        <v>1</v>
      </c>
      <c r="G409" s="0" t="str">
        <f aca="false">CONCATENATE(B409, "-",C409, "-", D409, "-", F409)</f>
        <v>M0112-A-39-1</v>
      </c>
      <c r="H409" s="0" t="n">
        <v>60.51</v>
      </c>
      <c r="I409" s="0" t="n">
        <v>61.27</v>
      </c>
    </row>
    <row r="410" customFormat="false" ht="14.25" hidden="false" customHeight="false" outlineLevel="0" collapsed="false">
      <c r="A410" s="0" t="n">
        <v>501</v>
      </c>
      <c r="B410" s="0" t="s">
        <v>89</v>
      </c>
      <c r="C410" s="0" t="s">
        <v>85</v>
      </c>
      <c r="D410" s="0" t="n">
        <v>40</v>
      </c>
      <c r="E410" s="0" t="s">
        <v>44</v>
      </c>
      <c r="F410" s="0" t="n">
        <v>1</v>
      </c>
      <c r="G410" s="0" t="str">
        <f aca="false">CONCATENATE(B410, "-",C410, "-", D410, "-", F410)</f>
        <v>M0112-A-40-1</v>
      </c>
      <c r="H410" s="0" t="n">
        <v>62.21</v>
      </c>
      <c r="I410" s="0" t="n">
        <v>63.21</v>
      </c>
    </row>
    <row r="411" customFormat="false" ht="14.25" hidden="false" customHeight="false" outlineLevel="0" collapsed="false">
      <c r="A411" s="0" t="n">
        <v>501</v>
      </c>
      <c r="B411" s="0" t="s">
        <v>89</v>
      </c>
      <c r="C411" s="0" t="s">
        <v>85</v>
      </c>
      <c r="D411" s="0" t="n">
        <v>40</v>
      </c>
      <c r="E411" s="0" t="s">
        <v>44</v>
      </c>
      <c r="F411" s="0" t="n">
        <v>2</v>
      </c>
      <c r="G411" s="0" t="str">
        <f aca="false">CONCATENATE(B411, "-",C411, "-", D411, "-", F411)</f>
        <v>M0112-A-40-2</v>
      </c>
      <c r="H411" s="0" t="n">
        <v>63.21</v>
      </c>
      <c r="I411" s="0" t="n">
        <v>63.56</v>
      </c>
    </row>
    <row r="412" customFormat="false" ht="14.25" hidden="false" customHeight="false" outlineLevel="0" collapsed="false">
      <c r="A412" s="0" t="n">
        <v>501</v>
      </c>
      <c r="B412" s="0" t="s">
        <v>89</v>
      </c>
      <c r="C412" s="0" t="s">
        <v>85</v>
      </c>
      <c r="D412" s="0" t="n">
        <v>41</v>
      </c>
      <c r="E412" s="0" t="s">
        <v>40</v>
      </c>
      <c r="F412" s="0" t="n">
        <v>1</v>
      </c>
      <c r="G412" s="0" t="str">
        <f aca="false">CONCATENATE(B412, "-",C412, "-", D412, "-", F412)</f>
        <v>M0112-A-41-1</v>
      </c>
      <c r="H412" s="0" t="n">
        <v>65.21</v>
      </c>
      <c r="I412" s="0" t="n">
        <v>66.7</v>
      </c>
    </row>
    <row r="413" customFormat="false" ht="14.25" hidden="false" customHeight="false" outlineLevel="0" collapsed="false">
      <c r="A413" s="0" t="n">
        <v>501</v>
      </c>
      <c r="B413" s="0" t="s">
        <v>89</v>
      </c>
      <c r="C413" s="0" t="s">
        <v>85</v>
      </c>
      <c r="D413" s="0" t="n">
        <v>41</v>
      </c>
      <c r="E413" s="0" t="s">
        <v>40</v>
      </c>
      <c r="F413" s="0" t="n">
        <v>2</v>
      </c>
      <c r="G413" s="0" t="str">
        <f aca="false">CONCATENATE(B413, "-",C413, "-", D413, "-", F413)</f>
        <v>M0112-A-41-2</v>
      </c>
      <c r="H413" s="0" t="n">
        <v>66.7</v>
      </c>
      <c r="I413" s="0" t="n">
        <v>68.09</v>
      </c>
    </row>
    <row r="414" customFormat="false" ht="14.25" hidden="false" customHeight="false" outlineLevel="0" collapsed="false">
      <c r="A414" s="0" t="n">
        <v>501</v>
      </c>
      <c r="B414" s="0" t="s">
        <v>89</v>
      </c>
      <c r="C414" s="0" t="s">
        <v>85</v>
      </c>
      <c r="D414" s="0" t="n">
        <v>42</v>
      </c>
      <c r="E414" s="0" t="s">
        <v>40</v>
      </c>
      <c r="F414" s="0" t="n">
        <v>1</v>
      </c>
      <c r="G414" s="0" t="str">
        <f aca="false">CONCATENATE(B414, "-",C414, "-", D414, "-", F414)</f>
        <v>M0112-A-42-1</v>
      </c>
      <c r="H414" s="0" t="n">
        <v>67.59</v>
      </c>
      <c r="I414" s="0" t="n">
        <v>68.34</v>
      </c>
    </row>
    <row r="415" customFormat="false" ht="14.25" hidden="false" customHeight="false" outlineLevel="0" collapsed="false">
      <c r="A415" s="0" t="n">
        <v>501</v>
      </c>
      <c r="B415" s="0" t="s">
        <v>89</v>
      </c>
      <c r="C415" s="0" t="s">
        <v>85</v>
      </c>
      <c r="D415" s="0" t="n">
        <v>43</v>
      </c>
      <c r="E415" s="0" t="s">
        <v>40</v>
      </c>
      <c r="F415" s="0" t="n">
        <v>1</v>
      </c>
      <c r="G415" s="0" t="str">
        <f aca="false">CONCATENATE(B415, "-",C415, "-", D415, "-", F415)</f>
        <v>M0112-A-43-1</v>
      </c>
      <c r="H415" s="0" t="n">
        <v>68.34</v>
      </c>
      <c r="I415" s="0" t="n">
        <v>69.14</v>
      </c>
    </row>
    <row r="416" customFormat="false" ht="14.25" hidden="false" customHeight="false" outlineLevel="0" collapsed="false">
      <c r="A416" s="0" t="n">
        <v>501</v>
      </c>
      <c r="B416" s="0" t="s">
        <v>89</v>
      </c>
      <c r="C416" s="0" t="s">
        <v>85</v>
      </c>
      <c r="D416" s="0" t="n">
        <v>43</v>
      </c>
      <c r="E416" s="0" t="s">
        <v>40</v>
      </c>
      <c r="F416" s="0" t="n">
        <v>2</v>
      </c>
      <c r="G416" s="0" t="str">
        <f aca="false">CONCATENATE(B416, "-",C416, "-", D416, "-", F416)</f>
        <v>M0112-A-43-2</v>
      </c>
      <c r="H416" s="0" t="n">
        <v>69.14</v>
      </c>
      <c r="I416" s="0" t="n">
        <v>69.42</v>
      </c>
    </row>
    <row r="417" customFormat="false" ht="14.25" hidden="false" customHeight="false" outlineLevel="0" collapsed="false">
      <c r="A417" s="0" t="n">
        <v>501</v>
      </c>
      <c r="B417" s="0" t="s">
        <v>89</v>
      </c>
      <c r="C417" s="0" t="s">
        <v>85</v>
      </c>
      <c r="D417" s="0" t="n">
        <v>44</v>
      </c>
      <c r="E417" s="0" t="s">
        <v>40</v>
      </c>
      <c r="F417" s="0" t="n">
        <v>1</v>
      </c>
      <c r="G417" s="0" t="str">
        <f aca="false">CONCATENATE(B417, "-",C417, "-", D417, "-", F417)</f>
        <v>M0112-A-44-1</v>
      </c>
      <c r="H417" s="0" t="n">
        <v>69.42</v>
      </c>
      <c r="I417" s="0" t="n">
        <v>70.29</v>
      </c>
    </row>
    <row r="418" customFormat="false" ht="14.25" hidden="false" customHeight="false" outlineLevel="0" collapsed="false">
      <c r="A418" s="0" t="n">
        <v>501</v>
      </c>
      <c r="B418" s="0" t="s">
        <v>89</v>
      </c>
      <c r="C418" s="0" t="s">
        <v>85</v>
      </c>
      <c r="D418" s="0" t="n">
        <v>45</v>
      </c>
      <c r="E418" s="0" t="s">
        <v>40</v>
      </c>
      <c r="F418" s="0" t="n">
        <v>1</v>
      </c>
      <c r="G418" s="0" t="str">
        <f aca="false">CONCATENATE(B418, "-",C418, "-", D418, "-", F418)</f>
        <v>M0112-A-45-1</v>
      </c>
      <c r="H418" s="0" t="n">
        <v>70.08</v>
      </c>
      <c r="I418" s="0" t="n">
        <v>71.11</v>
      </c>
    </row>
    <row r="419" customFormat="false" ht="14.25" hidden="false" customHeight="false" outlineLevel="0" collapsed="false">
      <c r="A419" s="0" t="n">
        <v>501</v>
      </c>
      <c r="B419" s="0" t="s">
        <v>89</v>
      </c>
      <c r="C419" s="0" t="s">
        <v>85</v>
      </c>
      <c r="D419" s="0" t="n">
        <v>46</v>
      </c>
      <c r="E419" s="0" t="s">
        <v>40</v>
      </c>
      <c r="F419" s="0" t="n">
        <v>1</v>
      </c>
      <c r="G419" s="0" t="str">
        <f aca="false">CONCATENATE(B419, "-",C419, "-", D419, "-", F419)</f>
        <v>M0112-A-46-1</v>
      </c>
      <c r="H419" s="0" t="n">
        <v>71.11</v>
      </c>
      <c r="I419" s="0" t="n">
        <v>71.96</v>
      </c>
    </row>
    <row r="420" customFormat="false" ht="14.25" hidden="false" customHeight="false" outlineLevel="0" collapsed="false">
      <c r="A420" s="0" t="n">
        <v>501</v>
      </c>
      <c r="B420" s="0" t="s">
        <v>89</v>
      </c>
      <c r="C420" s="0" t="s">
        <v>85</v>
      </c>
      <c r="D420" s="0" t="n">
        <v>46</v>
      </c>
      <c r="E420" s="0" t="s">
        <v>40</v>
      </c>
      <c r="F420" s="0" t="n">
        <v>2</v>
      </c>
      <c r="G420" s="0" t="str">
        <f aca="false">CONCATENATE(B420, "-",C420, "-", D420, "-", F420)</f>
        <v>M0112-A-46-2</v>
      </c>
      <c r="H420" s="0" t="n">
        <v>71.96</v>
      </c>
      <c r="I420" s="0" t="n">
        <v>72.18</v>
      </c>
    </row>
    <row r="421" customFormat="false" ht="14.25" hidden="false" customHeight="false" outlineLevel="0" collapsed="false">
      <c r="A421" s="0" t="n">
        <v>501</v>
      </c>
      <c r="B421" s="0" t="s">
        <v>89</v>
      </c>
      <c r="C421" s="0" t="s">
        <v>85</v>
      </c>
      <c r="D421" s="0" t="n">
        <v>47</v>
      </c>
      <c r="E421" s="0" t="s">
        <v>40</v>
      </c>
      <c r="F421" s="0" t="n">
        <v>1</v>
      </c>
      <c r="G421" s="0" t="str">
        <f aca="false">CONCATENATE(B421, "-",C421, "-", D421, "-", F421)</f>
        <v>M0112-A-47-1</v>
      </c>
      <c r="H421" s="0" t="n">
        <v>72.18</v>
      </c>
      <c r="I421" s="0" t="n">
        <v>72.86</v>
      </c>
    </row>
    <row r="422" customFormat="false" ht="14.25" hidden="false" customHeight="false" outlineLevel="0" collapsed="false">
      <c r="A422" s="0" t="n">
        <v>501</v>
      </c>
      <c r="B422" s="0" t="s">
        <v>89</v>
      </c>
      <c r="C422" s="0" t="s">
        <v>85</v>
      </c>
      <c r="D422" s="0" t="n">
        <v>48</v>
      </c>
      <c r="E422" s="0" t="s">
        <v>40</v>
      </c>
      <c r="F422" s="0" t="n">
        <v>1</v>
      </c>
      <c r="G422" s="0" t="str">
        <f aca="false">CONCATENATE(B422, "-",C422, "-", D422, "-", F422)</f>
        <v>M0112-A-48-1</v>
      </c>
      <c r="H422" s="0" t="n">
        <v>72.86</v>
      </c>
      <c r="I422" s="0" t="n">
        <v>73.01</v>
      </c>
    </row>
    <row r="423" customFormat="false" ht="14.25" hidden="false" customHeight="false" outlineLevel="0" collapsed="false">
      <c r="A423" s="0" t="n">
        <v>501</v>
      </c>
      <c r="B423" s="0" t="s">
        <v>89</v>
      </c>
      <c r="C423" s="0" t="s">
        <v>85</v>
      </c>
      <c r="D423" s="0" t="n">
        <v>48</v>
      </c>
      <c r="E423" s="0" t="s">
        <v>40</v>
      </c>
      <c r="F423" s="0" t="n">
        <v>2</v>
      </c>
      <c r="G423" s="0" t="str">
        <f aca="false">CONCATENATE(B423, "-",C423, "-", D423, "-", F423)</f>
        <v>M0112-A-48-2</v>
      </c>
      <c r="H423" s="0" t="n">
        <v>73.01</v>
      </c>
      <c r="I423" s="0" t="n">
        <v>74.19</v>
      </c>
    </row>
    <row r="424" customFormat="false" ht="14.25" hidden="false" customHeight="false" outlineLevel="0" collapsed="false">
      <c r="A424" s="0" t="n">
        <v>501</v>
      </c>
      <c r="B424" s="0" t="s">
        <v>89</v>
      </c>
      <c r="C424" s="0" t="s">
        <v>85</v>
      </c>
      <c r="D424" s="0" t="n">
        <v>49</v>
      </c>
      <c r="E424" s="0" t="s">
        <v>40</v>
      </c>
      <c r="F424" s="0" t="n">
        <v>1</v>
      </c>
      <c r="G424" s="0" t="str">
        <f aca="false">CONCATENATE(B424, "-",C424, "-", D424, "-", F424)</f>
        <v>M0112-A-49-1</v>
      </c>
      <c r="H424" s="0" t="n">
        <v>74.19</v>
      </c>
      <c r="I424" s="0" t="n">
        <v>75.39</v>
      </c>
    </row>
    <row r="425" customFormat="false" ht="14.25" hidden="false" customHeight="false" outlineLevel="0" collapsed="false">
      <c r="A425" s="0" t="n">
        <v>501</v>
      </c>
      <c r="B425" s="0" t="s">
        <v>89</v>
      </c>
      <c r="C425" s="0" t="s">
        <v>85</v>
      </c>
      <c r="D425" s="0" t="n">
        <v>50</v>
      </c>
      <c r="E425" s="0" t="s">
        <v>44</v>
      </c>
      <c r="F425" s="0" t="n">
        <v>1</v>
      </c>
      <c r="G425" s="0" t="str">
        <f aca="false">CONCATENATE(B425, "-",C425, "-", D425, "-", F425)</f>
        <v>M0112-A-50-1</v>
      </c>
      <c r="H425" s="0" t="n">
        <v>75.39</v>
      </c>
      <c r="I425" s="0" t="n">
        <v>76.69</v>
      </c>
    </row>
    <row r="426" customFormat="false" ht="14.25" hidden="false" customHeight="false" outlineLevel="0" collapsed="false">
      <c r="A426" s="0" t="n">
        <v>501</v>
      </c>
      <c r="B426" s="0" t="s">
        <v>89</v>
      </c>
      <c r="C426" s="0" t="s">
        <v>85</v>
      </c>
      <c r="D426" s="0" t="n">
        <v>50</v>
      </c>
      <c r="E426" s="0" t="s">
        <v>44</v>
      </c>
      <c r="F426" s="0" t="n">
        <v>2</v>
      </c>
      <c r="G426" s="0" t="str">
        <f aca="false">CONCATENATE(B426, "-",C426, "-", D426, "-", F426)</f>
        <v>M0112-A-50-2</v>
      </c>
      <c r="H426" s="0" t="n">
        <v>76.69</v>
      </c>
      <c r="I426" s="0" t="n">
        <v>77.42</v>
      </c>
    </row>
    <row r="427" customFormat="false" ht="14.25" hidden="false" customHeight="false" outlineLevel="0" collapsed="false">
      <c r="A427" s="0" t="n">
        <v>501</v>
      </c>
      <c r="B427" s="0" t="s">
        <v>89</v>
      </c>
      <c r="C427" s="0" t="s">
        <v>85</v>
      </c>
      <c r="D427" s="0" t="n">
        <v>51</v>
      </c>
      <c r="E427" s="0" t="s">
        <v>44</v>
      </c>
      <c r="F427" s="0" t="n">
        <v>1</v>
      </c>
      <c r="G427" s="0" t="str">
        <f aca="false">CONCATENATE(B427, "-",C427, "-", D427, "-", F427)</f>
        <v>M0112-A-51-1</v>
      </c>
      <c r="H427" s="0" t="n">
        <v>77.24</v>
      </c>
      <c r="I427" s="0" t="n">
        <v>78.74</v>
      </c>
    </row>
    <row r="428" customFormat="false" ht="14.25" hidden="false" customHeight="false" outlineLevel="0" collapsed="false">
      <c r="A428" s="0" t="n">
        <v>501</v>
      </c>
      <c r="B428" s="0" t="s">
        <v>89</v>
      </c>
      <c r="C428" s="0" t="s">
        <v>85</v>
      </c>
      <c r="D428" s="0" t="n">
        <v>51</v>
      </c>
      <c r="E428" s="0" t="s">
        <v>44</v>
      </c>
      <c r="F428" s="0" t="n">
        <v>2</v>
      </c>
      <c r="G428" s="0" t="str">
        <f aca="false">CONCATENATE(B428, "-",C428, "-", D428, "-", F428)</f>
        <v>M0112-A-51-2</v>
      </c>
      <c r="H428" s="0" t="n">
        <v>78.74</v>
      </c>
      <c r="I428" s="0" t="n">
        <v>79.99</v>
      </c>
    </row>
    <row r="429" customFormat="false" ht="14.25" hidden="false" customHeight="false" outlineLevel="0" collapsed="false">
      <c r="A429" s="0" t="n">
        <v>501</v>
      </c>
      <c r="B429" s="0" t="s">
        <v>89</v>
      </c>
      <c r="C429" s="0" t="s">
        <v>85</v>
      </c>
      <c r="D429" s="0" t="n">
        <v>51</v>
      </c>
      <c r="E429" s="0" t="s">
        <v>44</v>
      </c>
      <c r="F429" s="0" t="n">
        <v>3</v>
      </c>
      <c r="G429" s="0" t="str">
        <f aca="false">CONCATENATE(B429, "-",C429, "-", D429, "-", F429)</f>
        <v>M0112-A-51-3</v>
      </c>
      <c r="H429" s="0" t="n">
        <v>79.99</v>
      </c>
      <c r="I429" s="0" t="n">
        <v>80.34</v>
      </c>
    </row>
    <row r="430" customFormat="false" ht="14.25" hidden="false" customHeight="false" outlineLevel="0" collapsed="false">
      <c r="A430" s="0" t="n">
        <v>501</v>
      </c>
      <c r="B430" s="0" t="s">
        <v>89</v>
      </c>
      <c r="C430" s="0" t="s">
        <v>85</v>
      </c>
      <c r="D430" s="0" t="n">
        <v>52</v>
      </c>
      <c r="E430" s="0" t="s">
        <v>44</v>
      </c>
      <c r="F430" s="0" t="n">
        <v>1</v>
      </c>
      <c r="G430" s="0" t="str">
        <f aca="false">CONCATENATE(B430, "-",C430, "-", D430, "-", F430)</f>
        <v>M0112-A-52-1</v>
      </c>
      <c r="H430" s="0" t="n">
        <v>80.21</v>
      </c>
      <c r="I430" s="0" t="n">
        <v>81.71</v>
      </c>
    </row>
    <row r="431" customFormat="false" ht="14.25" hidden="false" customHeight="false" outlineLevel="0" collapsed="false">
      <c r="A431" s="0" t="n">
        <v>501</v>
      </c>
      <c r="B431" s="0" t="s">
        <v>89</v>
      </c>
      <c r="C431" s="0" t="s">
        <v>85</v>
      </c>
      <c r="D431" s="0" t="n">
        <v>52</v>
      </c>
      <c r="E431" s="0" t="s">
        <v>44</v>
      </c>
      <c r="F431" s="0" t="n">
        <v>2</v>
      </c>
      <c r="G431" s="0" t="str">
        <f aca="false">CONCATENATE(B431, "-",C431, "-", D431, "-", F431)</f>
        <v>M0112-A-52-2</v>
      </c>
      <c r="H431" s="0" t="n">
        <v>81.71</v>
      </c>
      <c r="I431" s="0" t="n">
        <v>82.56</v>
      </c>
    </row>
    <row r="432" customFormat="false" ht="14.25" hidden="false" customHeight="false" outlineLevel="0" collapsed="false">
      <c r="A432" s="0" t="n">
        <v>501</v>
      </c>
      <c r="B432" s="0" t="s">
        <v>89</v>
      </c>
      <c r="C432" s="0" t="s">
        <v>85</v>
      </c>
      <c r="D432" s="0" t="n">
        <v>53</v>
      </c>
      <c r="E432" s="0" t="s">
        <v>44</v>
      </c>
      <c r="F432" s="0" t="n">
        <v>1</v>
      </c>
      <c r="G432" s="0" t="str">
        <f aca="false">CONCATENATE(B432, "-",C432, "-", D432, "-", F432)</f>
        <v>M0112-A-53-1</v>
      </c>
      <c r="H432" s="0" t="n">
        <v>83.21</v>
      </c>
      <c r="I432" s="0" t="n">
        <v>83.93</v>
      </c>
    </row>
    <row r="433" customFormat="false" ht="14.25" hidden="false" customHeight="false" outlineLevel="0" collapsed="false">
      <c r="A433" s="0" t="n">
        <v>501</v>
      </c>
      <c r="B433" s="0" t="s">
        <v>89</v>
      </c>
      <c r="C433" s="0" t="s">
        <v>85</v>
      </c>
      <c r="D433" s="0" t="n">
        <v>54</v>
      </c>
      <c r="E433" s="0" t="s">
        <v>44</v>
      </c>
      <c r="F433" s="0" t="n">
        <v>1</v>
      </c>
      <c r="G433" s="0" t="str">
        <f aca="false">CONCATENATE(B433, "-",C433, "-", D433, "-", F433)</f>
        <v>M0112-A-54-1</v>
      </c>
      <c r="H433" s="0" t="n">
        <v>86.21</v>
      </c>
      <c r="I433" s="0" t="n">
        <v>86.98</v>
      </c>
    </row>
    <row r="434" customFormat="false" ht="14.25" hidden="false" customHeight="false" outlineLevel="0" collapsed="false">
      <c r="A434" s="0" t="n">
        <v>501</v>
      </c>
      <c r="B434" s="0" t="s">
        <v>89</v>
      </c>
      <c r="C434" s="0" t="s">
        <v>85</v>
      </c>
      <c r="D434" s="0" t="n">
        <v>55</v>
      </c>
      <c r="E434" s="0" t="s">
        <v>44</v>
      </c>
      <c r="F434" s="0" t="n">
        <v>1</v>
      </c>
      <c r="G434" s="0" t="str">
        <f aca="false">CONCATENATE(B434, "-",C434, "-", D434, "-", F434)</f>
        <v>M0112-A-55-1</v>
      </c>
      <c r="H434" s="0" t="n">
        <v>87.71</v>
      </c>
      <c r="I434" s="0" t="n">
        <v>88.89</v>
      </c>
    </row>
    <row r="435" customFormat="false" ht="14.25" hidden="false" customHeight="false" outlineLevel="0" collapsed="false">
      <c r="A435" s="0" t="n">
        <v>501</v>
      </c>
      <c r="B435" s="0" t="s">
        <v>89</v>
      </c>
      <c r="C435" s="0" t="s">
        <v>85</v>
      </c>
      <c r="D435" s="0" t="n">
        <v>55</v>
      </c>
      <c r="E435" s="0" t="s">
        <v>44</v>
      </c>
      <c r="F435" s="0" t="n">
        <v>2</v>
      </c>
      <c r="G435" s="0" t="str">
        <f aca="false">CONCATENATE(B435, "-",C435, "-", D435, "-", F435)</f>
        <v>M0112-A-55-2</v>
      </c>
      <c r="H435" s="0" t="n">
        <v>88.89</v>
      </c>
      <c r="I435" s="0" t="n">
        <v>89.24</v>
      </c>
    </row>
    <row r="436" customFormat="false" ht="14.25" hidden="false" customHeight="false" outlineLevel="0" collapsed="false">
      <c r="A436" s="0" t="n">
        <v>501</v>
      </c>
      <c r="B436" s="0" t="s">
        <v>89</v>
      </c>
      <c r="C436" s="0" t="s">
        <v>85</v>
      </c>
      <c r="D436" s="0" t="n">
        <v>56</v>
      </c>
      <c r="E436" s="0" t="s">
        <v>44</v>
      </c>
      <c r="F436" s="0" t="n">
        <v>1</v>
      </c>
      <c r="G436" s="0" t="str">
        <f aca="false">CONCATENATE(B436, "-",C436, "-", D436, "-", F436)</f>
        <v>M0112-A-56-1</v>
      </c>
      <c r="H436" s="0" t="n">
        <v>89.21</v>
      </c>
      <c r="I436" s="0" t="n">
        <v>90.69</v>
      </c>
    </row>
    <row r="437" customFormat="false" ht="14.25" hidden="false" customHeight="false" outlineLevel="0" collapsed="false">
      <c r="A437" s="0" t="n">
        <v>501</v>
      </c>
      <c r="B437" s="0" t="s">
        <v>89</v>
      </c>
      <c r="C437" s="0" t="s">
        <v>85</v>
      </c>
      <c r="D437" s="0" t="n">
        <v>57</v>
      </c>
      <c r="E437" s="0" t="s">
        <v>44</v>
      </c>
      <c r="F437" s="0" t="n">
        <v>1</v>
      </c>
      <c r="G437" s="0" t="str">
        <f aca="false">CONCATENATE(B437, "-",C437, "-", D437, "-", F437)</f>
        <v>M0112-A-57-1</v>
      </c>
      <c r="H437" s="0" t="n">
        <v>90.71</v>
      </c>
      <c r="I437" s="0" t="n">
        <v>91.94</v>
      </c>
    </row>
    <row r="438" customFormat="false" ht="14.25" hidden="false" customHeight="false" outlineLevel="0" collapsed="false">
      <c r="A438" s="0" t="n">
        <v>501</v>
      </c>
      <c r="B438" s="0" t="s">
        <v>89</v>
      </c>
      <c r="C438" s="0" t="s">
        <v>85</v>
      </c>
      <c r="D438" s="0" t="n">
        <v>57</v>
      </c>
      <c r="E438" s="0" t="s">
        <v>44</v>
      </c>
      <c r="F438" s="0" t="n">
        <v>2</v>
      </c>
      <c r="G438" s="0" t="str">
        <f aca="false">CONCATENATE(B438, "-",C438, "-", D438, "-", F438)</f>
        <v>M0112-A-57-2</v>
      </c>
      <c r="H438" s="0" t="n">
        <v>91.94</v>
      </c>
      <c r="I438" s="0" t="n">
        <v>92.37</v>
      </c>
    </row>
    <row r="439" customFormat="false" ht="14.25" hidden="false" customHeight="false" outlineLevel="0" collapsed="false">
      <c r="A439" s="0" t="n">
        <v>501</v>
      </c>
      <c r="B439" s="0" t="s">
        <v>89</v>
      </c>
      <c r="C439" s="0" t="s">
        <v>85</v>
      </c>
      <c r="D439" s="0" t="n">
        <v>58</v>
      </c>
      <c r="E439" s="0" t="s">
        <v>44</v>
      </c>
      <c r="F439" s="0" t="n">
        <v>1</v>
      </c>
      <c r="G439" s="0" t="str">
        <f aca="false">CONCATENATE(B439, "-",C439, "-", D439, "-", F439)</f>
        <v>M0112-A-58-1</v>
      </c>
      <c r="H439" s="0" t="n">
        <v>92.21</v>
      </c>
      <c r="I439" s="0" t="n">
        <v>93.27</v>
      </c>
    </row>
    <row r="440" customFormat="false" ht="14.25" hidden="false" customHeight="false" outlineLevel="0" collapsed="false">
      <c r="A440" s="0" t="n">
        <v>501</v>
      </c>
      <c r="B440" s="0" t="s">
        <v>89</v>
      </c>
      <c r="C440" s="0" t="s">
        <v>85</v>
      </c>
      <c r="D440" s="0" t="n">
        <v>58</v>
      </c>
      <c r="E440" s="0" t="s">
        <v>44</v>
      </c>
      <c r="F440" s="0" t="n">
        <v>2</v>
      </c>
      <c r="G440" s="0" t="str">
        <f aca="false">CONCATENATE(B440, "-",C440, "-", D440, "-", F440)</f>
        <v>M0112-A-58-2</v>
      </c>
      <c r="H440" s="0" t="n">
        <v>93.27</v>
      </c>
      <c r="I440" s="0" t="n">
        <v>93.86</v>
      </c>
    </row>
    <row r="441" customFormat="false" ht="14.25" hidden="false" customHeight="false" outlineLevel="0" collapsed="false">
      <c r="A441" s="0" t="n">
        <v>501</v>
      </c>
      <c r="B441" s="0" t="s">
        <v>89</v>
      </c>
      <c r="C441" s="0" t="s">
        <v>85</v>
      </c>
      <c r="D441" s="0" t="n">
        <v>59</v>
      </c>
      <c r="E441" s="0" t="s">
        <v>44</v>
      </c>
      <c r="F441" s="0" t="n">
        <v>1</v>
      </c>
      <c r="G441" s="0" t="str">
        <f aca="false">CONCATENATE(B441, "-",C441, "-", D441, "-", F441)</f>
        <v>M0112-A-59-1</v>
      </c>
      <c r="H441" s="0" t="n">
        <v>93.71</v>
      </c>
      <c r="I441" s="0" t="n">
        <v>95.13</v>
      </c>
    </row>
    <row r="442" customFormat="false" ht="14.25" hidden="false" customHeight="false" outlineLevel="0" collapsed="false">
      <c r="A442" s="0" t="n">
        <v>501</v>
      </c>
      <c r="B442" s="0" t="s">
        <v>89</v>
      </c>
      <c r="C442" s="0" t="s">
        <v>85</v>
      </c>
      <c r="D442" s="0" t="n">
        <v>60</v>
      </c>
      <c r="E442" s="0" t="s">
        <v>44</v>
      </c>
      <c r="F442" s="0" t="n">
        <v>1</v>
      </c>
      <c r="G442" s="0" t="str">
        <f aca="false">CONCATENATE(B442, "-",C442, "-", D442, "-", F442)</f>
        <v>M0112-A-60-1</v>
      </c>
      <c r="H442" s="0" t="n">
        <v>95.21</v>
      </c>
      <c r="I442" s="0" t="n">
        <v>95.88</v>
      </c>
    </row>
    <row r="443" customFormat="false" ht="14.25" hidden="false" customHeight="false" outlineLevel="0" collapsed="false">
      <c r="A443" s="0" t="n">
        <v>501</v>
      </c>
      <c r="B443" s="0" t="s">
        <v>89</v>
      </c>
      <c r="C443" s="0" t="s">
        <v>85</v>
      </c>
      <c r="D443" s="0" t="n">
        <v>62</v>
      </c>
      <c r="E443" s="0" t="s">
        <v>40</v>
      </c>
      <c r="F443" s="0" t="n">
        <v>1</v>
      </c>
      <c r="G443" s="0" t="str">
        <f aca="false">CONCATENATE(B443, "-",C443, "-", D443, "-", F443)</f>
        <v>M0112-A-62-1</v>
      </c>
      <c r="H443" s="0" t="n">
        <v>97.41</v>
      </c>
      <c r="I443" s="0" t="n">
        <v>98.61</v>
      </c>
    </row>
    <row r="444" customFormat="false" ht="14.25" hidden="false" customHeight="false" outlineLevel="0" collapsed="false">
      <c r="A444" s="0" t="n">
        <v>501</v>
      </c>
      <c r="B444" s="0" t="s">
        <v>89</v>
      </c>
      <c r="C444" s="0" t="s">
        <v>85</v>
      </c>
      <c r="D444" s="0" t="n">
        <v>62</v>
      </c>
      <c r="E444" s="0" t="s">
        <v>40</v>
      </c>
      <c r="F444" s="0" t="n">
        <v>2</v>
      </c>
      <c r="G444" s="0" t="str">
        <f aca="false">CONCATENATE(B444, "-",C444, "-", D444, "-", F444)</f>
        <v>M0112-A-62-2</v>
      </c>
      <c r="H444" s="0" t="n">
        <v>98.61</v>
      </c>
      <c r="I444" s="0" t="n">
        <v>99.26</v>
      </c>
    </row>
    <row r="445" customFormat="false" ht="14.25" hidden="false" customHeight="false" outlineLevel="0" collapsed="false">
      <c r="A445" s="0" t="n">
        <v>501</v>
      </c>
      <c r="B445" s="0" t="s">
        <v>89</v>
      </c>
      <c r="C445" s="0" t="s">
        <v>85</v>
      </c>
      <c r="D445" s="0" t="n">
        <v>63</v>
      </c>
      <c r="E445" s="0" t="s">
        <v>44</v>
      </c>
      <c r="F445" s="0" t="n">
        <v>1</v>
      </c>
      <c r="G445" s="0" t="str">
        <f aca="false">CONCATENATE(B445, "-",C445, "-", D445, "-", F445)</f>
        <v>M0112-A-63-1</v>
      </c>
      <c r="H445" s="0" t="n">
        <v>98.86</v>
      </c>
      <c r="I445" s="0" t="n">
        <v>98.98</v>
      </c>
    </row>
    <row r="446" customFormat="false" ht="14.25" hidden="false" customHeight="false" outlineLevel="0" collapsed="false">
      <c r="A446" s="0" t="n">
        <v>501</v>
      </c>
      <c r="B446" s="0" t="s">
        <v>89</v>
      </c>
      <c r="C446" s="0" t="s">
        <v>85</v>
      </c>
      <c r="D446" s="0" t="n">
        <v>64</v>
      </c>
      <c r="E446" s="0" t="s">
        <v>44</v>
      </c>
      <c r="F446" s="0" t="n">
        <v>1</v>
      </c>
      <c r="G446" s="0" t="str">
        <f aca="false">CONCATENATE(B446, "-",C446, "-", D446, "-", F446)</f>
        <v>M0112-A-64-1</v>
      </c>
      <c r="H446" s="0" t="n">
        <v>99.46</v>
      </c>
      <c r="I446" s="0" t="n">
        <v>99.73</v>
      </c>
    </row>
    <row r="447" customFormat="false" ht="14.25" hidden="false" customHeight="false" outlineLevel="0" collapsed="false">
      <c r="A447" s="0" t="n">
        <v>501</v>
      </c>
      <c r="B447" s="0" t="s">
        <v>89</v>
      </c>
      <c r="C447" s="0" t="s">
        <v>85</v>
      </c>
      <c r="D447" s="0" t="n">
        <v>66</v>
      </c>
      <c r="E447" s="0" t="s">
        <v>40</v>
      </c>
      <c r="F447" s="0" t="n">
        <v>1</v>
      </c>
      <c r="G447" s="0" t="str">
        <f aca="false">CONCATENATE(B447, "-",C447, "-", D447, "-", F447)</f>
        <v>M0112-A-66-1</v>
      </c>
      <c r="H447" s="0" t="n">
        <v>102.21</v>
      </c>
      <c r="I447" s="0" t="n">
        <v>102.33</v>
      </c>
    </row>
    <row r="448" customFormat="false" ht="14.25" hidden="false" customHeight="false" outlineLevel="0" collapsed="false">
      <c r="A448" s="0" t="n">
        <v>501</v>
      </c>
      <c r="B448" s="0" t="s">
        <v>89</v>
      </c>
      <c r="C448" s="0" t="s">
        <v>85</v>
      </c>
      <c r="D448" s="0" t="n">
        <v>67</v>
      </c>
      <c r="E448" s="0" t="s">
        <v>40</v>
      </c>
      <c r="F448" s="0" t="n">
        <v>1</v>
      </c>
      <c r="G448" s="0" t="str">
        <f aca="false">CONCATENATE(B448, "-",C448, "-", D448, "-", F448)</f>
        <v>M0112-A-67-1</v>
      </c>
      <c r="H448" s="0" t="n">
        <v>102.33</v>
      </c>
      <c r="I448" s="0" t="n">
        <v>103.24</v>
      </c>
    </row>
    <row r="449" customFormat="false" ht="14.25" hidden="false" customHeight="false" outlineLevel="0" collapsed="false">
      <c r="A449" s="0" t="n">
        <v>501</v>
      </c>
      <c r="B449" s="0" t="s">
        <v>89</v>
      </c>
      <c r="C449" s="0" t="s">
        <v>85</v>
      </c>
      <c r="D449" s="0" t="n">
        <v>68</v>
      </c>
      <c r="E449" s="0" t="s">
        <v>40</v>
      </c>
      <c r="F449" s="0" t="n">
        <v>1</v>
      </c>
      <c r="G449" s="0" t="str">
        <f aca="false">CONCATENATE(B449, "-",C449, "-", D449, "-", F449)</f>
        <v>M0112-A-68-1</v>
      </c>
      <c r="H449" s="0" t="n">
        <v>103.24</v>
      </c>
      <c r="I449" s="0" t="n">
        <v>103.38</v>
      </c>
    </row>
    <row r="450" customFormat="false" ht="14.25" hidden="false" customHeight="false" outlineLevel="0" collapsed="false">
      <c r="A450" s="0" t="n">
        <v>501</v>
      </c>
      <c r="B450" s="0" t="s">
        <v>89</v>
      </c>
      <c r="C450" s="0" t="s">
        <v>85</v>
      </c>
      <c r="D450" s="0" t="n">
        <v>69</v>
      </c>
      <c r="E450" s="0" t="s">
        <v>44</v>
      </c>
      <c r="F450" s="0" t="n">
        <v>1</v>
      </c>
      <c r="G450" s="0" t="str">
        <f aca="false">CONCATENATE(B450, "-",C450, "-", D450, "-", F450)</f>
        <v>M0112-A-69-1</v>
      </c>
      <c r="H450" s="0" t="n">
        <v>103.38</v>
      </c>
      <c r="I450" s="0" t="n">
        <v>103.65</v>
      </c>
    </row>
    <row r="451" customFormat="false" ht="14.25" hidden="false" customHeight="false" outlineLevel="0" collapsed="false">
      <c r="A451" s="0" t="n">
        <v>501</v>
      </c>
      <c r="B451" s="0" t="s">
        <v>89</v>
      </c>
      <c r="C451" s="0" t="s">
        <v>85</v>
      </c>
      <c r="D451" s="0" t="n">
        <v>70</v>
      </c>
      <c r="E451" s="0" t="s">
        <v>44</v>
      </c>
      <c r="F451" s="0" t="n">
        <v>1</v>
      </c>
      <c r="G451" s="0" t="str">
        <f aca="false">CONCATENATE(B451, "-",C451, "-", D451, "-", F451)</f>
        <v>M0112-A-70-1</v>
      </c>
      <c r="H451" s="0" t="n">
        <v>104.28</v>
      </c>
      <c r="I451" s="0" t="n">
        <v>104.91</v>
      </c>
    </row>
    <row r="452" customFormat="false" ht="14.25" hidden="false" customHeight="false" outlineLevel="0" collapsed="false">
      <c r="A452" s="0" t="n">
        <v>501</v>
      </c>
      <c r="B452" s="0" t="s">
        <v>89</v>
      </c>
      <c r="C452" s="0" t="s">
        <v>85</v>
      </c>
      <c r="D452" s="0" t="n">
        <v>71</v>
      </c>
      <c r="E452" s="0" t="s">
        <v>44</v>
      </c>
      <c r="F452" s="0" t="n">
        <v>1</v>
      </c>
      <c r="G452" s="0" t="str">
        <f aca="false">CONCATENATE(B452, "-",C452, "-", D452, "-", F452)</f>
        <v>M0112-A-71-1</v>
      </c>
      <c r="H452" s="0" t="n">
        <v>107.21</v>
      </c>
      <c r="I452" s="0" t="n">
        <v>107.47</v>
      </c>
    </row>
    <row r="453" customFormat="false" ht="14.25" hidden="false" customHeight="false" outlineLevel="0" collapsed="false">
      <c r="A453" s="0" t="n">
        <v>501</v>
      </c>
      <c r="B453" s="0" t="s">
        <v>89</v>
      </c>
      <c r="C453" s="0" t="s">
        <v>85</v>
      </c>
      <c r="D453" s="0" t="n">
        <v>72</v>
      </c>
      <c r="E453" s="0" t="s">
        <v>40</v>
      </c>
      <c r="F453" s="0" t="n">
        <v>1</v>
      </c>
      <c r="G453" s="0" t="str">
        <f aca="false">CONCATENATE(B453, "-",C453, "-", D453, "-", F453)</f>
        <v>M0112-A-72-1</v>
      </c>
      <c r="H453" s="0" t="n">
        <v>110.21</v>
      </c>
      <c r="I453" s="0" t="n">
        <v>110.54</v>
      </c>
    </row>
    <row r="454" customFormat="false" ht="14.25" hidden="false" customHeight="false" outlineLevel="0" collapsed="false">
      <c r="A454" s="0" t="n">
        <v>501</v>
      </c>
      <c r="B454" s="0" t="s">
        <v>89</v>
      </c>
      <c r="C454" s="0" t="s">
        <v>85</v>
      </c>
      <c r="D454" s="0" t="n">
        <v>75</v>
      </c>
      <c r="E454" s="0" t="s">
        <v>40</v>
      </c>
      <c r="F454" s="0" t="n">
        <v>1</v>
      </c>
      <c r="G454" s="0" t="str">
        <f aca="false">CONCATENATE(B454, "-",C454, "-", D454, "-", F454)</f>
        <v>M0112-A-75-1</v>
      </c>
      <c r="H454" s="0" t="n">
        <v>113.21</v>
      </c>
      <c r="I454" s="0" t="n">
        <v>113.35</v>
      </c>
    </row>
    <row r="455" customFormat="false" ht="14.25" hidden="false" customHeight="false" outlineLevel="0" collapsed="false">
      <c r="A455" s="0" t="n">
        <v>501</v>
      </c>
      <c r="B455" s="0" t="s">
        <v>89</v>
      </c>
      <c r="C455" s="0" t="s">
        <v>85</v>
      </c>
      <c r="D455" s="0" t="n">
        <v>77</v>
      </c>
      <c r="E455" s="0" t="s">
        <v>40</v>
      </c>
      <c r="F455" s="0" t="n">
        <v>1</v>
      </c>
      <c r="G455" s="0" t="str">
        <f aca="false">CONCATENATE(B455, "-",C455, "-", D455, "-", F455)</f>
        <v>M0112-A-77-1</v>
      </c>
      <c r="H455" s="0" t="n">
        <v>115.21</v>
      </c>
      <c r="I455" s="0" t="n">
        <v>115.23</v>
      </c>
    </row>
    <row r="456" customFormat="false" ht="14.25" hidden="false" customHeight="false" outlineLevel="0" collapsed="false">
      <c r="A456" s="0" t="n">
        <v>501</v>
      </c>
      <c r="B456" s="0" t="s">
        <v>89</v>
      </c>
      <c r="C456" s="0" t="s">
        <v>85</v>
      </c>
      <c r="D456" s="0" t="n">
        <v>78</v>
      </c>
      <c r="E456" s="0" t="s">
        <v>40</v>
      </c>
      <c r="F456" s="0" t="n">
        <v>1</v>
      </c>
      <c r="G456" s="0" t="str">
        <f aca="false">CONCATENATE(B456, "-",C456, "-", D456, "-", F456)</f>
        <v>M0112-A-78-1</v>
      </c>
      <c r="H456" s="0" t="n">
        <v>115.21</v>
      </c>
      <c r="I456" s="0" t="n">
        <v>116.7</v>
      </c>
    </row>
    <row r="457" customFormat="false" ht="14.25" hidden="false" customHeight="false" outlineLevel="0" collapsed="false">
      <c r="A457" s="0" t="n">
        <v>501</v>
      </c>
      <c r="B457" s="0" t="s">
        <v>89</v>
      </c>
      <c r="C457" s="0" t="s">
        <v>85</v>
      </c>
      <c r="D457" s="0" t="n">
        <v>78</v>
      </c>
      <c r="E457" s="0" t="s">
        <v>40</v>
      </c>
      <c r="F457" s="0" t="n">
        <v>2</v>
      </c>
      <c r="G457" s="0" t="str">
        <f aca="false">CONCATENATE(B457, "-",C457, "-", D457, "-", F457)</f>
        <v>M0112-A-78-2</v>
      </c>
      <c r="H457" s="0" t="n">
        <v>116.7</v>
      </c>
      <c r="I457" s="0" t="n">
        <v>117.2</v>
      </c>
    </row>
    <row r="458" customFormat="false" ht="14.25" hidden="false" customHeight="false" outlineLevel="0" collapsed="false">
      <c r="A458" s="0" t="n">
        <v>501</v>
      </c>
      <c r="B458" s="0" t="s">
        <v>89</v>
      </c>
      <c r="C458" s="0" t="s">
        <v>85</v>
      </c>
      <c r="D458" s="0" t="n">
        <v>80</v>
      </c>
      <c r="E458" s="0" t="s">
        <v>40</v>
      </c>
      <c r="F458" s="0" t="n">
        <v>1</v>
      </c>
      <c r="G458" s="0" t="str">
        <f aca="false">CONCATENATE(B458, "-",C458, "-", D458, "-", F458)</f>
        <v>M0112-A-80-1</v>
      </c>
      <c r="H458" s="0" t="n">
        <v>117.2</v>
      </c>
      <c r="I458" s="0" t="n">
        <v>117.22</v>
      </c>
    </row>
    <row r="459" customFormat="false" ht="14.25" hidden="false" customHeight="false" outlineLevel="0" collapsed="false">
      <c r="A459" s="0" t="n">
        <v>501</v>
      </c>
      <c r="B459" s="0" t="s">
        <v>89</v>
      </c>
      <c r="C459" s="0" t="s">
        <v>85</v>
      </c>
      <c r="D459" s="0" t="n">
        <v>81</v>
      </c>
      <c r="E459" s="0" t="s">
        <v>44</v>
      </c>
      <c r="F459" s="0" t="n">
        <v>1</v>
      </c>
      <c r="G459" s="0" t="str">
        <f aca="false">CONCATENATE(B459, "-",C459, "-", D459, "-", F459)</f>
        <v>M0112-A-81-1</v>
      </c>
      <c r="H459" s="0" t="n">
        <v>117.2</v>
      </c>
      <c r="I459" s="0" t="n">
        <v>117.36</v>
      </c>
    </row>
    <row r="460" customFormat="false" ht="14.25" hidden="false" customHeight="false" outlineLevel="0" collapsed="false">
      <c r="A460" s="0" t="n">
        <v>501</v>
      </c>
      <c r="B460" s="0" t="s">
        <v>89</v>
      </c>
      <c r="C460" s="0" t="s">
        <v>85</v>
      </c>
      <c r="D460" s="0" t="n">
        <v>82</v>
      </c>
      <c r="E460" s="0" t="s">
        <v>40</v>
      </c>
      <c r="F460" s="0" t="n">
        <v>1</v>
      </c>
      <c r="G460" s="0" t="str">
        <f aca="false">CONCATENATE(B460, "-",C460, "-", D460, "-", F460)</f>
        <v>M0112-A-82-1</v>
      </c>
      <c r="H460" s="0" t="n">
        <v>119.21</v>
      </c>
      <c r="I460" s="0" t="n">
        <v>120.24</v>
      </c>
    </row>
    <row r="461" customFormat="false" ht="14.25" hidden="false" customHeight="false" outlineLevel="0" collapsed="false">
      <c r="A461" s="0" t="n">
        <v>501</v>
      </c>
      <c r="B461" s="0" t="s">
        <v>89</v>
      </c>
      <c r="C461" s="0" t="s">
        <v>85</v>
      </c>
      <c r="D461" s="0" t="n">
        <v>83</v>
      </c>
      <c r="E461" s="0" t="s">
        <v>40</v>
      </c>
      <c r="F461" s="0" t="n">
        <v>1</v>
      </c>
      <c r="G461" s="0" t="str">
        <f aca="false">CONCATENATE(B461, "-",C461, "-", D461, "-", F461)</f>
        <v>M0112-A-83-1</v>
      </c>
      <c r="H461" s="0" t="n">
        <v>120.24</v>
      </c>
      <c r="I461" s="0" t="n">
        <v>120.36</v>
      </c>
    </row>
    <row r="462" customFormat="false" ht="14.25" hidden="false" customHeight="false" outlineLevel="0" collapsed="false">
      <c r="A462" s="0" t="n">
        <v>501</v>
      </c>
      <c r="B462" s="0" t="s">
        <v>89</v>
      </c>
      <c r="C462" s="0" t="s">
        <v>85</v>
      </c>
      <c r="D462" s="0" t="n">
        <v>84</v>
      </c>
      <c r="E462" s="0" t="s">
        <v>40</v>
      </c>
      <c r="F462" s="0" t="n">
        <v>1</v>
      </c>
      <c r="G462" s="0" t="str">
        <f aca="false">CONCATENATE(B462, "-",C462, "-", D462, "-", F462)</f>
        <v>M0112-A-84-1</v>
      </c>
      <c r="H462" s="0" t="n">
        <v>120.36</v>
      </c>
      <c r="I462" s="0" t="n">
        <v>121.57</v>
      </c>
    </row>
    <row r="463" customFormat="false" ht="14.25" hidden="false" customHeight="false" outlineLevel="0" collapsed="false">
      <c r="A463" s="0" t="n">
        <v>501</v>
      </c>
      <c r="B463" s="0" t="s">
        <v>89</v>
      </c>
      <c r="C463" s="0" t="s">
        <v>85</v>
      </c>
      <c r="D463" s="0" t="n">
        <v>85</v>
      </c>
      <c r="E463" s="0" t="s">
        <v>40</v>
      </c>
      <c r="F463" s="0" t="n">
        <v>1</v>
      </c>
      <c r="G463" s="0" t="str">
        <f aca="false">CONCATENATE(B463, "-",C463, "-", D463, "-", F463)</f>
        <v>M0112-A-85-1</v>
      </c>
      <c r="H463" s="0" t="n">
        <v>121.57</v>
      </c>
      <c r="I463" s="0" t="n">
        <v>122.12</v>
      </c>
    </row>
    <row r="464" customFormat="false" ht="14.25" hidden="false" customHeight="false" outlineLevel="0" collapsed="false">
      <c r="A464" s="0" t="n">
        <v>501</v>
      </c>
      <c r="B464" s="0" t="s">
        <v>89</v>
      </c>
      <c r="C464" s="0" t="s">
        <v>85</v>
      </c>
      <c r="D464" s="0" t="n">
        <v>86</v>
      </c>
      <c r="E464" s="0" t="s">
        <v>40</v>
      </c>
      <c r="F464" s="0" t="n">
        <v>1</v>
      </c>
      <c r="G464" s="0" t="str">
        <f aca="false">CONCATENATE(B464, "-",C464, "-", D464, "-", F464)</f>
        <v>M0112-A-86-1</v>
      </c>
      <c r="H464" s="0" t="n">
        <v>122.12</v>
      </c>
      <c r="I464" s="0" t="n">
        <v>123.62</v>
      </c>
    </row>
    <row r="465" customFormat="false" ht="14.25" hidden="false" customHeight="false" outlineLevel="0" collapsed="false">
      <c r="A465" s="0" t="n">
        <v>501</v>
      </c>
      <c r="B465" s="0" t="s">
        <v>89</v>
      </c>
      <c r="C465" s="0" t="s">
        <v>85</v>
      </c>
      <c r="D465" s="0" t="n">
        <v>86</v>
      </c>
      <c r="E465" s="0" t="s">
        <v>40</v>
      </c>
      <c r="F465" s="0" t="n">
        <v>2</v>
      </c>
      <c r="G465" s="0" t="str">
        <f aca="false">CONCATENATE(B465, "-",C465, "-", D465, "-", F465)</f>
        <v>M0112-A-86-2</v>
      </c>
      <c r="H465" s="0" t="n">
        <v>123.62</v>
      </c>
      <c r="I465" s="0" t="n">
        <v>124.15</v>
      </c>
    </row>
    <row r="466" customFormat="false" ht="14.25" hidden="false" customHeight="false" outlineLevel="0" collapsed="false">
      <c r="A466" s="0" t="n">
        <v>501</v>
      </c>
      <c r="B466" s="0" t="s">
        <v>89</v>
      </c>
      <c r="C466" s="0" t="s">
        <v>85</v>
      </c>
      <c r="D466" s="0" t="n">
        <v>87</v>
      </c>
      <c r="E466" s="0" t="s">
        <v>40</v>
      </c>
      <c r="F466" s="0" t="n">
        <v>1</v>
      </c>
      <c r="G466" s="0" t="str">
        <f aca="false">CONCATENATE(B466, "-",C466, "-", D466, "-", F466)</f>
        <v>M0112-A-87-1</v>
      </c>
      <c r="H466" s="0" t="n">
        <v>124.15</v>
      </c>
      <c r="I466" s="0" t="n">
        <v>124.34</v>
      </c>
    </row>
    <row r="467" customFormat="false" ht="14.25" hidden="false" customHeight="false" outlineLevel="0" collapsed="false">
      <c r="A467" s="0" t="n">
        <v>501</v>
      </c>
      <c r="B467" s="0" t="s">
        <v>89</v>
      </c>
      <c r="C467" s="0" t="s">
        <v>85</v>
      </c>
      <c r="D467" s="0" t="n">
        <v>88</v>
      </c>
      <c r="E467" s="0" t="s">
        <v>40</v>
      </c>
      <c r="F467" s="0" t="n">
        <v>1</v>
      </c>
      <c r="G467" s="0" t="str">
        <f aca="false">CONCATENATE(B467, "-",C467, "-", D467, "-", F467)</f>
        <v>M0112-A-88-1</v>
      </c>
      <c r="H467" s="0" t="n">
        <v>124.34</v>
      </c>
      <c r="I467" s="0" t="n">
        <v>124.47</v>
      </c>
    </row>
    <row r="468" customFormat="false" ht="14.25" hidden="false" customHeight="false" outlineLevel="0" collapsed="false">
      <c r="A468" s="0" t="n">
        <v>501</v>
      </c>
      <c r="B468" s="0" t="s">
        <v>89</v>
      </c>
      <c r="C468" s="0" t="s">
        <v>85</v>
      </c>
      <c r="D468" s="0" t="n">
        <v>89</v>
      </c>
      <c r="E468" s="0" t="s">
        <v>40</v>
      </c>
      <c r="F468" s="0" t="n">
        <v>1</v>
      </c>
      <c r="G468" s="0" t="str">
        <f aca="false">CONCATENATE(B468, "-",C468, "-", D468, "-", F468)</f>
        <v>M0112-A-89-1</v>
      </c>
      <c r="H468" s="0" t="n">
        <v>124.47</v>
      </c>
      <c r="I468" s="0" t="n">
        <v>125.13</v>
      </c>
    </row>
    <row r="469" customFormat="false" ht="14.25" hidden="false" customHeight="false" outlineLevel="0" collapsed="false">
      <c r="A469" s="0" t="n">
        <v>501</v>
      </c>
      <c r="B469" s="0" t="s">
        <v>89</v>
      </c>
      <c r="C469" s="0" t="s">
        <v>85</v>
      </c>
      <c r="D469" s="0" t="n">
        <v>89</v>
      </c>
      <c r="E469" s="0" t="s">
        <v>40</v>
      </c>
      <c r="F469" s="0" t="n">
        <v>2</v>
      </c>
      <c r="G469" s="0" t="str">
        <f aca="false">CONCATENATE(B469, "-",C469, "-", D469, "-", F469)</f>
        <v>M0112-A-89-2</v>
      </c>
      <c r="H469" s="0" t="n">
        <v>125.13</v>
      </c>
      <c r="I469" s="0" t="n">
        <v>125.89</v>
      </c>
    </row>
    <row r="470" customFormat="false" ht="14.25" hidden="false" customHeight="false" outlineLevel="0" collapsed="false">
      <c r="A470" s="0" t="n">
        <v>501</v>
      </c>
      <c r="B470" s="0" t="s">
        <v>89</v>
      </c>
      <c r="C470" s="0" t="s">
        <v>85</v>
      </c>
      <c r="D470" s="0" t="n">
        <v>90</v>
      </c>
      <c r="E470" s="0" t="s">
        <v>40</v>
      </c>
      <c r="F470" s="0" t="n">
        <v>1</v>
      </c>
      <c r="G470" s="0" t="str">
        <f aca="false">CONCATENATE(B470, "-",C470, "-", D470, "-", F470)</f>
        <v>M0112-A-90-1</v>
      </c>
      <c r="H470" s="0" t="n">
        <v>125.89</v>
      </c>
      <c r="I470" s="0" t="n">
        <v>126.41</v>
      </c>
    </row>
    <row r="471" customFormat="false" ht="14.25" hidden="false" customHeight="false" outlineLevel="0" collapsed="false">
      <c r="A471" s="0" t="n">
        <v>501</v>
      </c>
      <c r="B471" s="0" t="s">
        <v>89</v>
      </c>
      <c r="C471" s="0" t="s">
        <v>85</v>
      </c>
      <c r="D471" s="0" t="n">
        <v>91</v>
      </c>
      <c r="E471" s="0" t="s">
        <v>40</v>
      </c>
      <c r="F471" s="0" t="n">
        <v>1</v>
      </c>
      <c r="G471" s="0" t="str">
        <f aca="false">CONCATENATE(B471, "-",C471, "-", D471, "-", F471)</f>
        <v>M0112-A-91-1</v>
      </c>
      <c r="H471" s="0" t="n">
        <v>126.41</v>
      </c>
      <c r="I471" s="0" t="n">
        <v>126.88</v>
      </c>
    </row>
    <row r="472" customFormat="false" ht="14.25" hidden="false" customHeight="false" outlineLevel="0" collapsed="false">
      <c r="A472" s="0" t="n">
        <v>501</v>
      </c>
      <c r="B472" s="0" t="s">
        <v>89</v>
      </c>
      <c r="C472" s="0" t="s">
        <v>85</v>
      </c>
      <c r="D472" s="0" t="n">
        <v>91</v>
      </c>
      <c r="E472" s="0" t="s">
        <v>40</v>
      </c>
      <c r="F472" s="0" t="n">
        <v>2</v>
      </c>
      <c r="G472" s="0" t="str">
        <f aca="false">CONCATENATE(B472, "-",C472, "-", D472, "-", F472)</f>
        <v>M0112-A-91-2</v>
      </c>
      <c r="H472" s="0" t="n">
        <v>126.88</v>
      </c>
      <c r="I472" s="0" t="n">
        <v>127.89</v>
      </c>
    </row>
    <row r="473" customFormat="false" ht="14.25" hidden="false" customHeight="false" outlineLevel="0" collapsed="false">
      <c r="A473" s="0" t="n">
        <v>501</v>
      </c>
      <c r="B473" s="0" t="s">
        <v>89</v>
      </c>
      <c r="C473" s="0" t="s">
        <v>85</v>
      </c>
      <c r="D473" s="0" t="n">
        <v>91</v>
      </c>
      <c r="E473" s="0" t="s">
        <v>40</v>
      </c>
      <c r="F473" s="0" t="n">
        <v>3</v>
      </c>
      <c r="G473" s="0" t="str">
        <f aca="false">CONCATENATE(B473, "-",C473, "-", D473, "-", F473)</f>
        <v>M0112-A-91-3</v>
      </c>
      <c r="H473" s="0" t="n">
        <v>127.89</v>
      </c>
      <c r="I473" s="0" t="n">
        <v>128.43</v>
      </c>
    </row>
    <row r="474" customFormat="false" ht="14.25" hidden="false" customHeight="false" outlineLevel="0" collapsed="false">
      <c r="A474" s="0" t="n">
        <v>501</v>
      </c>
      <c r="B474" s="0" t="s">
        <v>89</v>
      </c>
      <c r="C474" s="0" t="s">
        <v>85</v>
      </c>
      <c r="D474" s="0" t="n">
        <v>92</v>
      </c>
      <c r="E474" s="0" t="s">
        <v>40</v>
      </c>
      <c r="F474" s="0" t="n">
        <v>1</v>
      </c>
      <c r="G474" s="0" t="str">
        <f aca="false">CONCATENATE(B474, "-",C474, "-", D474, "-", F474)</f>
        <v>M0112-A-92-1</v>
      </c>
      <c r="H474" s="0" t="n">
        <v>128.43</v>
      </c>
      <c r="I474" s="0" t="n">
        <v>129.93</v>
      </c>
    </row>
    <row r="475" customFormat="false" ht="14.25" hidden="false" customHeight="false" outlineLevel="0" collapsed="false">
      <c r="A475" s="0" t="n">
        <v>501</v>
      </c>
      <c r="B475" s="0" t="s">
        <v>89</v>
      </c>
      <c r="C475" s="0" t="s">
        <v>85</v>
      </c>
      <c r="D475" s="0" t="n">
        <v>92</v>
      </c>
      <c r="E475" s="0" t="s">
        <v>40</v>
      </c>
      <c r="F475" s="0" t="n">
        <v>2</v>
      </c>
      <c r="G475" s="0" t="str">
        <f aca="false">CONCATENATE(B475, "-",C475, "-", D475, "-", F475)</f>
        <v>M0112-A-92-2</v>
      </c>
      <c r="H475" s="0" t="n">
        <v>129.93</v>
      </c>
      <c r="I475" s="0" t="n">
        <v>130.73</v>
      </c>
    </row>
    <row r="476" customFormat="false" ht="14.25" hidden="false" customHeight="false" outlineLevel="0" collapsed="false">
      <c r="A476" s="0" t="n">
        <v>501</v>
      </c>
      <c r="B476" s="0" t="s">
        <v>89</v>
      </c>
      <c r="C476" s="0" t="s">
        <v>85</v>
      </c>
      <c r="D476" s="0" t="n">
        <v>93</v>
      </c>
      <c r="E476" s="0" t="s">
        <v>40</v>
      </c>
      <c r="F476" s="0" t="n">
        <v>1</v>
      </c>
      <c r="G476" s="0" t="str">
        <f aca="false">CONCATENATE(B476, "-",C476, "-", D476, "-", F476)</f>
        <v>M0112-A-93-1</v>
      </c>
      <c r="H476" s="0" t="n">
        <v>130.73</v>
      </c>
      <c r="I476" s="0" t="n">
        <v>132.23</v>
      </c>
    </row>
    <row r="477" customFormat="false" ht="14.25" hidden="false" customHeight="false" outlineLevel="0" collapsed="false">
      <c r="A477" s="0" t="n">
        <v>501</v>
      </c>
      <c r="B477" s="0" t="s">
        <v>89</v>
      </c>
      <c r="C477" s="0" t="s">
        <v>85</v>
      </c>
      <c r="D477" s="0" t="n">
        <v>93</v>
      </c>
      <c r="E477" s="0" t="s">
        <v>40</v>
      </c>
      <c r="F477" s="0" t="n">
        <v>2</v>
      </c>
      <c r="G477" s="0" t="str">
        <f aca="false">CONCATENATE(B477, "-",C477, "-", D477, "-", F477)</f>
        <v>M0112-A-93-2</v>
      </c>
      <c r="H477" s="0" t="n">
        <v>132.23</v>
      </c>
      <c r="I477" s="0" t="n">
        <v>133.59</v>
      </c>
    </row>
    <row r="478" customFormat="false" ht="14.25" hidden="false" customHeight="false" outlineLevel="0" collapsed="false">
      <c r="A478" s="0" t="n">
        <v>501</v>
      </c>
      <c r="B478" s="0" t="s">
        <v>89</v>
      </c>
      <c r="C478" s="0" t="s">
        <v>85</v>
      </c>
      <c r="D478" s="0" t="n">
        <v>94</v>
      </c>
      <c r="E478" s="0" t="s">
        <v>40</v>
      </c>
      <c r="F478" s="0" t="n">
        <v>1</v>
      </c>
      <c r="G478" s="0" t="str">
        <f aca="false">CONCATENATE(B478, "-",C478, "-", D478, "-", F478)</f>
        <v>M0112-A-94-1</v>
      </c>
      <c r="H478" s="0" t="n">
        <v>133.59</v>
      </c>
      <c r="I478" s="0" t="n">
        <v>135.09</v>
      </c>
    </row>
    <row r="479" customFormat="false" ht="14.25" hidden="false" customHeight="false" outlineLevel="0" collapsed="false">
      <c r="A479" s="0" t="n">
        <v>501</v>
      </c>
      <c r="B479" s="0" t="s">
        <v>89</v>
      </c>
      <c r="C479" s="0" t="s">
        <v>85</v>
      </c>
      <c r="D479" s="0" t="n">
        <v>94</v>
      </c>
      <c r="E479" s="0" t="s">
        <v>40</v>
      </c>
      <c r="F479" s="0" t="n">
        <v>2</v>
      </c>
      <c r="G479" s="0" t="str">
        <f aca="false">CONCATENATE(B479, "-",C479, "-", D479, "-", F479)</f>
        <v>M0112-A-94-2</v>
      </c>
      <c r="H479" s="0" t="n">
        <v>135.09</v>
      </c>
      <c r="I479" s="0" t="n">
        <v>136.34</v>
      </c>
    </row>
    <row r="480" customFormat="false" ht="14.25" hidden="false" customHeight="false" outlineLevel="0" collapsed="false">
      <c r="A480" s="0" t="n">
        <v>501</v>
      </c>
      <c r="B480" s="0" t="s">
        <v>89</v>
      </c>
      <c r="C480" s="0" t="s">
        <v>85</v>
      </c>
      <c r="D480" s="0" t="n">
        <v>95</v>
      </c>
      <c r="E480" s="0" t="s">
        <v>40</v>
      </c>
      <c r="F480" s="0" t="n">
        <v>1</v>
      </c>
      <c r="G480" s="0" t="str">
        <f aca="false">CONCATENATE(B480, "-",C480, "-", D480, "-", F480)</f>
        <v>M0112-A-95-1</v>
      </c>
      <c r="H480" s="0" t="n">
        <v>136.24</v>
      </c>
      <c r="I480" s="0" t="n">
        <v>136.79</v>
      </c>
    </row>
    <row r="481" customFormat="false" ht="14.25" hidden="false" customHeight="false" outlineLevel="0" collapsed="false">
      <c r="A481" s="0" t="n">
        <v>501</v>
      </c>
      <c r="B481" s="0" t="s">
        <v>89</v>
      </c>
      <c r="C481" s="0" t="s">
        <v>85</v>
      </c>
      <c r="D481" s="0" t="n">
        <v>95</v>
      </c>
      <c r="E481" s="0" t="s">
        <v>40</v>
      </c>
      <c r="F481" s="0" t="n">
        <v>2</v>
      </c>
      <c r="G481" s="0" t="str">
        <f aca="false">CONCATENATE(B481, "-",C481, "-", D481, "-", F481)</f>
        <v>M0112-A-95-2</v>
      </c>
      <c r="H481" s="0" t="n">
        <v>136.79</v>
      </c>
      <c r="I481" s="0" t="n">
        <v>138.22</v>
      </c>
    </row>
    <row r="482" customFormat="false" ht="14.25" hidden="false" customHeight="false" outlineLevel="0" collapsed="false">
      <c r="A482" s="0" t="n">
        <v>501</v>
      </c>
      <c r="B482" s="0" t="s">
        <v>89</v>
      </c>
      <c r="C482" s="0" t="s">
        <v>85</v>
      </c>
      <c r="D482" s="0" t="n">
        <v>96</v>
      </c>
      <c r="E482" s="0" t="s">
        <v>40</v>
      </c>
      <c r="F482" s="0" t="n">
        <v>1</v>
      </c>
      <c r="G482" s="0" t="str">
        <f aca="false">CONCATENATE(B482, "-",C482, "-", D482, "-", F482)</f>
        <v>M0112-A-96-1</v>
      </c>
      <c r="H482" s="0" t="n">
        <v>138.22</v>
      </c>
      <c r="I482" s="0" t="n">
        <v>139.04</v>
      </c>
    </row>
    <row r="483" customFormat="false" ht="14.25" hidden="false" customHeight="false" outlineLevel="0" collapsed="false">
      <c r="A483" s="0" t="n">
        <v>501</v>
      </c>
      <c r="B483" s="0" t="s">
        <v>89</v>
      </c>
      <c r="C483" s="0" t="s">
        <v>85</v>
      </c>
      <c r="D483" s="0" t="n">
        <v>96</v>
      </c>
      <c r="E483" s="0" t="s">
        <v>40</v>
      </c>
      <c r="F483" s="0" t="n">
        <v>2</v>
      </c>
      <c r="G483" s="0" t="str">
        <f aca="false">CONCATENATE(B483, "-",C483, "-", D483, "-", F483)</f>
        <v>M0112-A-96-2</v>
      </c>
      <c r="H483" s="0" t="n">
        <v>139.04</v>
      </c>
      <c r="I483" s="0" t="n">
        <v>139.16</v>
      </c>
    </row>
    <row r="484" customFormat="false" ht="14.25" hidden="false" customHeight="false" outlineLevel="0" collapsed="false">
      <c r="A484" s="0" t="n">
        <v>501</v>
      </c>
      <c r="B484" s="0" t="s">
        <v>89</v>
      </c>
      <c r="C484" s="0" t="s">
        <v>85</v>
      </c>
      <c r="D484" s="0" t="n">
        <v>98</v>
      </c>
      <c r="E484" s="0" t="s">
        <v>40</v>
      </c>
      <c r="F484" s="0" t="n">
        <v>1</v>
      </c>
      <c r="G484" s="0" t="str">
        <f aca="false">CONCATENATE(B484, "-",C484, "-", D484, "-", F484)</f>
        <v>M0112-A-98-1</v>
      </c>
      <c r="H484" s="0" t="n">
        <v>140.21</v>
      </c>
      <c r="I484" s="0" t="n">
        <v>140.33</v>
      </c>
    </row>
    <row r="485" customFormat="false" ht="14.25" hidden="false" customHeight="false" outlineLevel="0" collapsed="false">
      <c r="A485" s="0" t="n">
        <v>501</v>
      </c>
      <c r="B485" s="0" t="s">
        <v>89</v>
      </c>
      <c r="C485" s="0" t="s">
        <v>85</v>
      </c>
      <c r="D485" s="0" t="n">
        <v>99</v>
      </c>
      <c r="E485" s="0" t="s">
        <v>44</v>
      </c>
      <c r="F485" s="0" t="n">
        <v>1</v>
      </c>
      <c r="G485" s="0" t="str">
        <f aca="false">CONCATENATE(B485, "-",C485, "-", D485, "-", F485)</f>
        <v>M0112-A-99-1</v>
      </c>
      <c r="H485" s="0" t="n">
        <v>141.21</v>
      </c>
      <c r="I485" s="0" t="n">
        <v>142.42</v>
      </c>
    </row>
    <row r="486" customFormat="false" ht="14.25" hidden="false" customHeight="false" outlineLevel="0" collapsed="false">
      <c r="A486" s="0" t="n">
        <v>501</v>
      </c>
      <c r="B486" s="0" t="s">
        <v>89</v>
      </c>
      <c r="C486" s="0" t="s">
        <v>85</v>
      </c>
      <c r="D486" s="0" t="n">
        <v>99</v>
      </c>
      <c r="E486" s="0" t="s">
        <v>44</v>
      </c>
      <c r="F486" s="0" t="n">
        <v>2</v>
      </c>
      <c r="G486" s="0" t="str">
        <f aca="false">CONCATENATE(B486, "-",C486, "-", D486, "-", F486)</f>
        <v>M0112-A-99-2</v>
      </c>
      <c r="H486" s="0" t="n">
        <v>142.42</v>
      </c>
      <c r="I486" s="0" t="n">
        <v>142.88</v>
      </c>
    </row>
    <row r="487" customFormat="false" ht="14.25" hidden="false" customHeight="false" outlineLevel="0" collapsed="false">
      <c r="A487" s="0" t="n">
        <v>501</v>
      </c>
      <c r="B487" s="0" t="s">
        <v>89</v>
      </c>
      <c r="C487" s="0" t="s">
        <v>85</v>
      </c>
      <c r="D487" s="0" t="n">
        <v>100</v>
      </c>
      <c r="E487" s="0" t="s">
        <v>44</v>
      </c>
      <c r="F487" s="0" t="n">
        <v>1</v>
      </c>
      <c r="G487" s="0" t="str">
        <f aca="false">CONCATENATE(B487, "-",C487, "-", D487, "-", F487)</f>
        <v>M0112-A-100-1</v>
      </c>
      <c r="H487" s="0" t="n">
        <v>142.21</v>
      </c>
      <c r="I487" s="0" t="n">
        <v>143.18</v>
      </c>
    </row>
    <row r="488" customFormat="false" ht="14.25" hidden="false" customHeight="false" outlineLevel="0" collapsed="false">
      <c r="A488" s="0" t="n">
        <v>501</v>
      </c>
      <c r="B488" s="0" t="s">
        <v>89</v>
      </c>
      <c r="C488" s="0" t="s">
        <v>85</v>
      </c>
      <c r="D488" s="0" t="n">
        <v>101</v>
      </c>
      <c r="E488" s="0" t="s">
        <v>44</v>
      </c>
      <c r="F488" s="0" t="n">
        <v>1</v>
      </c>
      <c r="G488" s="0" t="str">
        <f aca="false">CONCATENATE(B488, "-",C488, "-", D488, "-", F488)</f>
        <v>M0112-A-101-1</v>
      </c>
      <c r="H488" s="0" t="n">
        <v>143.21</v>
      </c>
      <c r="I488" s="0" t="n">
        <v>144.4</v>
      </c>
    </row>
    <row r="489" customFormat="false" ht="14.25" hidden="false" customHeight="false" outlineLevel="0" collapsed="false">
      <c r="A489" s="0" t="n">
        <v>501</v>
      </c>
      <c r="B489" s="0" t="s">
        <v>89</v>
      </c>
      <c r="C489" s="0" t="s">
        <v>85</v>
      </c>
      <c r="D489" s="0" t="n">
        <v>101</v>
      </c>
      <c r="E489" s="0" t="s">
        <v>44</v>
      </c>
      <c r="F489" s="0" t="n">
        <v>2</v>
      </c>
      <c r="G489" s="0" t="str">
        <f aca="false">CONCATENATE(B489, "-",C489, "-", D489, "-", F489)</f>
        <v>M0112-A-101-2</v>
      </c>
      <c r="H489" s="0" t="n">
        <v>144.4</v>
      </c>
      <c r="I489" s="0" t="n">
        <v>144.97</v>
      </c>
    </row>
    <row r="490" customFormat="false" ht="14.25" hidden="false" customHeight="false" outlineLevel="0" collapsed="false">
      <c r="A490" s="0" t="n">
        <v>501</v>
      </c>
      <c r="B490" s="0" t="s">
        <v>89</v>
      </c>
      <c r="C490" s="0" t="s">
        <v>85</v>
      </c>
      <c r="D490" s="0" t="n">
        <v>102</v>
      </c>
      <c r="E490" s="0" t="s">
        <v>44</v>
      </c>
      <c r="F490" s="0" t="n">
        <v>1</v>
      </c>
      <c r="G490" s="0" t="str">
        <f aca="false">CONCATENATE(B490, "-",C490, "-", D490, "-", F490)</f>
        <v>M0112-A-102-1</v>
      </c>
      <c r="H490" s="0" t="n">
        <v>146.21</v>
      </c>
      <c r="I490" s="0" t="n">
        <v>147.26</v>
      </c>
    </row>
    <row r="491" customFormat="false" ht="14.25" hidden="false" customHeight="false" outlineLevel="0" collapsed="false">
      <c r="A491" s="0" t="n">
        <v>501</v>
      </c>
      <c r="B491" s="0" t="s">
        <v>89</v>
      </c>
      <c r="C491" s="0" t="s">
        <v>85</v>
      </c>
      <c r="D491" s="0" t="n">
        <v>103</v>
      </c>
      <c r="E491" s="0" t="s">
        <v>44</v>
      </c>
      <c r="F491" s="0" t="n">
        <v>1</v>
      </c>
      <c r="G491" s="0" t="str">
        <f aca="false">CONCATENATE(B491, "-",C491, "-", D491, "-", F491)</f>
        <v>M0112-A-103-1</v>
      </c>
      <c r="H491" s="0" t="n">
        <v>148.21</v>
      </c>
      <c r="I491" s="0" t="n">
        <v>149.09</v>
      </c>
    </row>
    <row r="492" customFormat="false" ht="14.25" hidden="false" customHeight="false" outlineLevel="0" collapsed="false">
      <c r="A492" s="0" t="n">
        <v>501</v>
      </c>
      <c r="B492" s="0" t="s">
        <v>89</v>
      </c>
      <c r="C492" s="0" t="s">
        <v>85</v>
      </c>
      <c r="D492" s="0" t="n">
        <v>104</v>
      </c>
      <c r="E492" s="0" t="s">
        <v>44</v>
      </c>
      <c r="F492" s="0" t="n">
        <v>1</v>
      </c>
      <c r="G492" s="0" t="str">
        <f aca="false">CONCATENATE(B492, "-",C492, "-", D492, "-", F492)</f>
        <v>M0112-A-104-1</v>
      </c>
      <c r="H492" s="0" t="n">
        <v>150.21</v>
      </c>
      <c r="I492" s="0" t="n">
        <v>150.62</v>
      </c>
    </row>
    <row r="493" customFormat="false" ht="14.25" hidden="false" customHeight="false" outlineLevel="0" collapsed="false">
      <c r="A493" s="0" t="n">
        <v>501</v>
      </c>
      <c r="B493" s="0" t="s">
        <v>89</v>
      </c>
      <c r="C493" s="0" t="s">
        <v>85</v>
      </c>
      <c r="D493" s="0" t="n">
        <v>106</v>
      </c>
      <c r="E493" s="0" t="s">
        <v>40</v>
      </c>
      <c r="F493" s="0" t="n">
        <v>1</v>
      </c>
      <c r="G493" s="0" t="str">
        <f aca="false">CONCATENATE(B493, "-",C493, "-", D493, "-", F493)</f>
        <v>M0112-A-106-1</v>
      </c>
      <c r="H493" s="0" t="n">
        <v>153.36</v>
      </c>
      <c r="I493" s="0" t="n">
        <v>153.5</v>
      </c>
    </row>
    <row r="494" customFormat="false" ht="14.25" hidden="false" customHeight="false" outlineLevel="0" collapsed="false">
      <c r="A494" s="0" t="n">
        <v>501</v>
      </c>
      <c r="B494" s="0" t="s">
        <v>89</v>
      </c>
      <c r="C494" s="0" t="s">
        <v>85</v>
      </c>
      <c r="D494" s="0" t="n">
        <v>107</v>
      </c>
      <c r="E494" s="0" t="s">
        <v>40</v>
      </c>
      <c r="F494" s="0" t="n">
        <v>1</v>
      </c>
      <c r="G494" s="0" t="str">
        <f aca="false">CONCATENATE(B494, "-",C494, "-", D494, "-", F494)</f>
        <v>M0112-A-107-1</v>
      </c>
      <c r="H494" s="0" t="n">
        <v>153.5</v>
      </c>
      <c r="I494" s="0" t="n">
        <v>153.7</v>
      </c>
    </row>
    <row r="495" customFormat="false" ht="14.25" hidden="false" customHeight="false" outlineLevel="0" collapsed="false">
      <c r="A495" s="0" t="n">
        <v>501</v>
      </c>
      <c r="B495" s="0" t="s">
        <v>89</v>
      </c>
      <c r="C495" s="0" t="s">
        <v>85</v>
      </c>
      <c r="D495" s="0" t="n">
        <v>108</v>
      </c>
      <c r="E495" s="0" t="s">
        <v>44</v>
      </c>
      <c r="F495" s="0" t="n">
        <v>1</v>
      </c>
      <c r="G495" s="0" t="str">
        <f aca="false">CONCATENATE(B495, "-",C495, "-", D495, "-", F495)</f>
        <v>M0112-A-108-1</v>
      </c>
      <c r="H495" s="0" t="n">
        <v>153.7</v>
      </c>
      <c r="I495" s="0" t="n">
        <v>153.8</v>
      </c>
    </row>
    <row r="496" customFormat="false" ht="14.25" hidden="false" customHeight="false" outlineLevel="0" collapsed="false">
      <c r="A496" s="0" t="n">
        <v>501</v>
      </c>
      <c r="B496" s="0" t="s">
        <v>89</v>
      </c>
      <c r="C496" s="0" t="s">
        <v>85</v>
      </c>
      <c r="D496" s="0" t="n">
        <v>109</v>
      </c>
      <c r="E496" s="0" t="s">
        <v>40</v>
      </c>
      <c r="F496" s="0" t="n">
        <v>1</v>
      </c>
      <c r="G496" s="0" t="str">
        <f aca="false">CONCATENATE(B496, "-",C496, "-", D496, "-", F496)</f>
        <v>M0112-A-109-1</v>
      </c>
      <c r="H496" s="0" t="n">
        <v>155.21</v>
      </c>
      <c r="I496" s="0" t="n">
        <v>155.37</v>
      </c>
    </row>
    <row r="497" customFormat="false" ht="14.25" hidden="false" customHeight="false" outlineLevel="0" collapsed="false">
      <c r="A497" s="0" t="n">
        <v>501</v>
      </c>
      <c r="B497" s="0" t="s">
        <v>89</v>
      </c>
      <c r="C497" s="0" t="s">
        <v>85</v>
      </c>
      <c r="D497" s="0" t="n">
        <v>110</v>
      </c>
      <c r="E497" s="0" t="s">
        <v>40</v>
      </c>
      <c r="F497" s="0" t="n">
        <v>1</v>
      </c>
      <c r="G497" s="0" t="str">
        <f aca="false">CONCATENATE(B497, "-",C497, "-", D497, "-", F497)</f>
        <v>M0112-A-110-1</v>
      </c>
      <c r="H497" s="0" t="n">
        <v>155.37</v>
      </c>
      <c r="I497" s="0" t="n">
        <v>155.49</v>
      </c>
    </row>
    <row r="498" customFormat="false" ht="14.25" hidden="false" customHeight="false" outlineLevel="0" collapsed="false">
      <c r="A498" s="0" t="n">
        <v>501</v>
      </c>
      <c r="B498" s="0" t="s">
        <v>89</v>
      </c>
      <c r="C498" s="0" t="s">
        <v>85</v>
      </c>
      <c r="D498" s="0" t="n">
        <v>111</v>
      </c>
      <c r="E498" s="0" t="s">
        <v>40</v>
      </c>
      <c r="F498" s="0" t="n">
        <v>1</v>
      </c>
      <c r="G498" s="0" t="str">
        <f aca="false">CONCATENATE(B498, "-",C498, "-", D498, "-", F498)</f>
        <v>M0112-A-111-1</v>
      </c>
      <c r="H498" s="0" t="n">
        <v>155.49</v>
      </c>
      <c r="I498" s="0" t="n">
        <v>156.36</v>
      </c>
    </row>
    <row r="499" customFormat="false" ht="14.25" hidden="false" customHeight="false" outlineLevel="0" collapsed="false">
      <c r="A499" s="0" t="n">
        <v>501</v>
      </c>
      <c r="B499" s="0" t="s">
        <v>89</v>
      </c>
      <c r="C499" s="0" t="s">
        <v>85</v>
      </c>
      <c r="D499" s="0" t="n">
        <v>111</v>
      </c>
      <c r="E499" s="0" t="s">
        <v>40</v>
      </c>
      <c r="F499" s="0" t="n">
        <v>2</v>
      </c>
      <c r="G499" s="0" t="str">
        <f aca="false">CONCATENATE(B499, "-",C499, "-", D499, "-", F499)</f>
        <v>M0112-A-111-2</v>
      </c>
      <c r="H499" s="0" t="n">
        <v>156.36</v>
      </c>
      <c r="I499" s="0" t="n">
        <v>157.54</v>
      </c>
    </row>
    <row r="500" customFormat="false" ht="14.25" hidden="false" customHeight="false" outlineLevel="0" collapsed="false">
      <c r="A500" s="0" t="n">
        <v>501</v>
      </c>
      <c r="B500" s="0" t="s">
        <v>89</v>
      </c>
      <c r="C500" s="0" t="s">
        <v>85</v>
      </c>
      <c r="D500" s="0" t="n">
        <v>112</v>
      </c>
      <c r="E500" s="0" t="s">
        <v>40</v>
      </c>
      <c r="F500" s="0" t="n">
        <v>1</v>
      </c>
      <c r="G500" s="0" t="str">
        <f aca="false">CONCATENATE(B500, "-",C500, "-", D500, "-", F500)</f>
        <v>M0112-A-112-1</v>
      </c>
      <c r="H500" s="0" t="n">
        <v>157.54</v>
      </c>
      <c r="I500" s="0" t="n">
        <v>158.79</v>
      </c>
    </row>
    <row r="501" customFormat="false" ht="14.25" hidden="false" customHeight="false" outlineLevel="0" collapsed="false">
      <c r="A501" s="0" t="n">
        <v>501</v>
      </c>
      <c r="B501" s="0" t="s">
        <v>89</v>
      </c>
      <c r="C501" s="0" t="s">
        <v>85</v>
      </c>
      <c r="D501" s="0" t="n">
        <v>113</v>
      </c>
      <c r="E501" s="0" t="s">
        <v>40</v>
      </c>
      <c r="F501" s="0" t="n">
        <v>1</v>
      </c>
      <c r="G501" s="0" t="str">
        <f aca="false">CONCATENATE(B501, "-",C501, "-", D501, "-", F501)</f>
        <v>M0112-A-113-1</v>
      </c>
      <c r="H501" s="0" t="n">
        <v>158.79</v>
      </c>
      <c r="I501" s="0" t="n">
        <v>159.79</v>
      </c>
    </row>
    <row r="502" customFormat="false" ht="14.25" hidden="false" customHeight="false" outlineLevel="0" collapsed="false">
      <c r="A502" s="0" t="n">
        <v>501</v>
      </c>
      <c r="B502" s="0" t="s">
        <v>89</v>
      </c>
      <c r="C502" s="0" t="s">
        <v>85</v>
      </c>
      <c r="D502" s="0" t="n">
        <v>113</v>
      </c>
      <c r="E502" s="0" t="s">
        <v>40</v>
      </c>
      <c r="F502" s="0" t="n">
        <v>2</v>
      </c>
      <c r="G502" s="0" t="str">
        <f aca="false">CONCATENATE(B502, "-",C502, "-", D502, "-", F502)</f>
        <v>M0112-A-113-2</v>
      </c>
      <c r="H502" s="0" t="n">
        <v>159.79</v>
      </c>
      <c r="I502" s="0" t="n">
        <v>160.6</v>
      </c>
    </row>
    <row r="503" customFormat="false" ht="14.25" hidden="false" customHeight="false" outlineLevel="0" collapsed="false">
      <c r="A503" s="0" t="n">
        <v>501</v>
      </c>
      <c r="B503" s="0" t="s">
        <v>89</v>
      </c>
      <c r="C503" s="0" t="s">
        <v>85</v>
      </c>
      <c r="D503" s="0" t="n">
        <v>114</v>
      </c>
      <c r="E503" s="0" t="s">
        <v>40</v>
      </c>
      <c r="F503" s="0" t="n">
        <v>1</v>
      </c>
      <c r="G503" s="0" t="str">
        <f aca="false">CONCATENATE(B503, "-",C503, "-", D503, "-", F503)</f>
        <v>M0112-A-114-1</v>
      </c>
      <c r="H503" s="0" t="n">
        <v>160.6</v>
      </c>
      <c r="I503" s="0" t="n">
        <v>160.78</v>
      </c>
    </row>
    <row r="504" customFormat="false" ht="14.25" hidden="false" customHeight="false" outlineLevel="0" collapsed="false">
      <c r="A504" s="0" t="n">
        <v>501</v>
      </c>
      <c r="B504" s="0" t="s">
        <v>89</v>
      </c>
      <c r="C504" s="0" t="s">
        <v>85</v>
      </c>
      <c r="D504" s="0" t="n">
        <v>115</v>
      </c>
      <c r="E504" s="0" t="s">
        <v>40</v>
      </c>
      <c r="F504" s="0" t="n">
        <v>1</v>
      </c>
      <c r="G504" s="0" t="str">
        <f aca="false">CONCATENATE(B504, "-",C504, "-", D504, "-", F504)</f>
        <v>M0112-A-115-1</v>
      </c>
      <c r="H504" s="0" t="n">
        <v>160.78</v>
      </c>
      <c r="I504" s="0" t="n">
        <v>161.98</v>
      </c>
    </row>
    <row r="505" customFormat="false" ht="14.25" hidden="false" customHeight="false" outlineLevel="0" collapsed="false">
      <c r="A505" s="0" t="n">
        <v>501</v>
      </c>
      <c r="B505" s="0" t="s">
        <v>89</v>
      </c>
      <c r="C505" s="0" t="s">
        <v>85</v>
      </c>
      <c r="D505" s="0" t="n">
        <v>115</v>
      </c>
      <c r="E505" s="0" t="s">
        <v>40</v>
      </c>
      <c r="F505" s="0" t="n">
        <v>2</v>
      </c>
      <c r="G505" s="0" t="str">
        <f aca="false">CONCATENATE(B505, "-",C505, "-", D505, "-", F505)</f>
        <v>M0112-A-115-2</v>
      </c>
      <c r="H505" s="0" t="n">
        <v>161.98</v>
      </c>
      <c r="I505" s="0" t="n">
        <v>162.62</v>
      </c>
    </row>
    <row r="506" customFormat="false" ht="14.25" hidden="false" customHeight="false" outlineLevel="0" collapsed="false">
      <c r="A506" s="0" t="n">
        <v>501</v>
      </c>
      <c r="B506" s="0" t="s">
        <v>89</v>
      </c>
      <c r="C506" s="0" t="s">
        <v>85</v>
      </c>
      <c r="D506" s="0" t="n">
        <v>116</v>
      </c>
      <c r="E506" s="0" t="s">
        <v>40</v>
      </c>
      <c r="F506" s="0" t="n">
        <v>1</v>
      </c>
      <c r="G506" s="0" t="str">
        <f aca="false">CONCATENATE(B506, "-",C506, "-", D506, "-", F506)</f>
        <v>M0112-A-116-1</v>
      </c>
      <c r="H506" s="0" t="n">
        <v>162.62</v>
      </c>
      <c r="I506" s="0" t="n">
        <v>164.14</v>
      </c>
    </row>
    <row r="507" customFormat="false" ht="14.25" hidden="false" customHeight="false" outlineLevel="0" collapsed="false">
      <c r="A507" s="0" t="n">
        <v>501</v>
      </c>
      <c r="B507" s="0" t="s">
        <v>89</v>
      </c>
      <c r="C507" s="0" t="s">
        <v>85</v>
      </c>
      <c r="D507" s="0" t="n">
        <v>116</v>
      </c>
      <c r="E507" s="0" t="s">
        <v>40</v>
      </c>
      <c r="F507" s="0" t="n">
        <v>2</v>
      </c>
      <c r="G507" s="0" t="str">
        <f aca="false">CONCATENATE(B507, "-",C507, "-", D507, "-", F507)</f>
        <v>M0112-A-116-2</v>
      </c>
      <c r="H507" s="0" t="n">
        <v>164.14</v>
      </c>
      <c r="I507" s="0" t="n">
        <v>164.78</v>
      </c>
    </row>
    <row r="508" customFormat="false" ht="14.25" hidden="false" customHeight="false" outlineLevel="0" collapsed="false">
      <c r="A508" s="0" t="n">
        <v>501</v>
      </c>
      <c r="B508" s="0" t="s">
        <v>89</v>
      </c>
      <c r="C508" s="0" t="s">
        <v>85</v>
      </c>
      <c r="D508" s="0" t="n">
        <v>117</v>
      </c>
      <c r="E508" s="0" t="s">
        <v>40</v>
      </c>
      <c r="F508" s="0" t="n">
        <v>1</v>
      </c>
      <c r="G508" s="0" t="str">
        <f aca="false">CONCATENATE(B508, "-",C508, "-", D508, "-", F508)</f>
        <v>M0112-A-117-1</v>
      </c>
      <c r="H508" s="0" t="n">
        <v>164.78</v>
      </c>
      <c r="I508" s="0" t="n">
        <v>166.28</v>
      </c>
    </row>
    <row r="509" customFormat="false" ht="14.25" hidden="false" customHeight="false" outlineLevel="0" collapsed="false">
      <c r="A509" s="0" t="n">
        <v>501</v>
      </c>
      <c r="B509" s="0" t="s">
        <v>89</v>
      </c>
      <c r="C509" s="0" t="s">
        <v>85</v>
      </c>
      <c r="D509" s="0" t="n">
        <v>117</v>
      </c>
      <c r="E509" s="0" t="s">
        <v>40</v>
      </c>
      <c r="F509" s="0" t="n">
        <v>2</v>
      </c>
      <c r="G509" s="0" t="str">
        <f aca="false">CONCATENATE(B509, "-",C509, "-", D509, "-", F509)</f>
        <v>M0112-A-117-2</v>
      </c>
      <c r="H509" s="0" t="n">
        <v>166.28</v>
      </c>
      <c r="I509" s="0" t="n">
        <v>167.54</v>
      </c>
    </row>
    <row r="510" customFormat="false" ht="14.25" hidden="false" customHeight="false" outlineLevel="0" collapsed="false">
      <c r="A510" s="0" t="n">
        <v>501</v>
      </c>
      <c r="B510" s="0" t="s">
        <v>89</v>
      </c>
      <c r="C510" s="0" t="s">
        <v>85</v>
      </c>
      <c r="D510" s="0" t="n">
        <v>118</v>
      </c>
      <c r="E510" s="0" t="s">
        <v>40</v>
      </c>
      <c r="F510" s="0" t="n">
        <v>1</v>
      </c>
      <c r="G510" s="0" t="str">
        <f aca="false">CONCATENATE(B510, "-",C510, "-", D510, "-", F510)</f>
        <v>M0112-A-118-1</v>
      </c>
      <c r="H510" s="0" t="n">
        <v>167.54</v>
      </c>
      <c r="I510" s="0" t="n">
        <v>169.04</v>
      </c>
    </row>
    <row r="511" customFormat="false" ht="14.25" hidden="false" customHeight="false" outlineLevel="0" collapsed="false">
      <c r="A511" s="0" t="n">
        <v>501</v>
      </c>
      <c r="B511" s="0" t="s">
        <v>89</v>
      </c>
      <c r="C511" s="0" t="s">
        <v>85</v>
      </c>
      <c r="D511" s="0" t="n">
        <v>118</v>
      </c>
      <c r="E511" s="0" t="s">
        <v>40</v>
      </c>
      <c r="F511" s="0" t="n">
        <v>2</v>
      </c>
      <c r="G511" s="0" t="str">
        <f aca="false">CONCATENATE(B511, "-",C511, "-", D511, "-", F511)</f>
        <v>M0112-A-118-2</v>
      </c>
      <c r="H511" s="0" t="n">
        <v>169.04</v>
      </c>
      <c r="I511" s="0" t="n">
        <v>170.4</v>
      </c>
    </row>
    <row r="512" customFormat="false" ht="14.25" hidden="false" customHeight="false" outlineLevel="0" collapsed="false">
      <c r="A512" s="0" t="n">
        <v>501</v>
      </c>
      <c r="B512" s="0" t="s">
        <v>89</v>
      </c>
      <c r="C512" s="0" t="s">
        <v>85</v>
      </c>
      <c r="D512" s="0" t="n">
        <v>119</v>
      </c>
      <c r="E512" s="0" t="s">
        <v>40</v>
      </c>
      <c r="F512" s="0" t="n">
        <v>1</v>
      </c>
      <c r="G512" s="0" t="str">
        <f aca="false">CONCATENATE(B512, "-",C512, "-", D512, "-", F512)</f>
        <v>M0112-A-119-1</v>
      </c>
      <c r="H512" s="0" t="n">
        <v>170.4</v>
      </c>
      <c r="I512" s="0" t="n">
        <v>171.9</v>
      </c>
    </row>
    <row r="513" customFormat="false" ht="14.25" hidden="false" customHeight="false" outlineLevel="0" collapsed="false">
      <c r="A513" s="0" t="n">
        <v>501</v>
      </c>
      <c r="B513" s="0" t="s">
        <v>89</v>
      </c>
      <c r="C513" s="0" t="s">
        <v>85</v>
      </c>
      <c r="D513" s="0" t="n">
        <v>119</v>
      </c>
      <c r="E513" s="0" t="s">
        <v>40</v>
      </c>
      <c r="F513" s="0" t="n">
        <v>2</v>
      </c>
      <c r="G513" s="0" t="str">
        <f aca="false">CONCATENATE(B513, "-",C513, "-", D513, "-", F513)</f>
        <v>M0112-A-119-2</v>
      </c>
      <c r="H513" s="0" t="n">
        <v>171.9</v>
      </c>
      <c r="I513" s="0" t="n">
        <v>173.02</v>
      </c>
    </row>
    <row r="514" customFormat="false" ht="14.25" hidden="false" customHeight="false" outlineLevel="0" collapsed="false">
      <c r="A514" s="0" t="n">
        <v>501</v>
      </c>
      <c r="B514" s="0" t="s">
        <v>89</v>
      </c>
      <c r="C514" s="0" t="s">
        <v>85</v>
      </c>
      <c r="D514" s="0" t="n">
        <v>120</v>
      </c>
      <c r="E514" s="0" t="s">
        <v>40</v>
      </c>
      <c r="F514" s="0" t="n">
        <v>1</v>
      </c>
      <c r="G514" s="0" t="str">
        <f aca="false">CONCATENATE(B514, "-",C514, "-", D514, "-", F514)</f>
        <v>M0112-A-120-1</v>
      </c>
      <c r="H514" s="0" t="n">
        <v>173.02</v>
      </c>
      <c r="I514" s="0" t="n">
        <v>174.46</v>
      </c>
    </row>
    <row r="515" customFormat="false" ht="14.25" hidden="false" customHeight="false" outlineLevel="0" collapsed="false">
      <c r="A515" s="0" t="n">
        <v>501</v>
      </c>
      <c r="B515" s="0" t="s">
        <v>89</v>
      </c>
      <c r="C515" s="0" t="s">
        <v>85</v>
      </c>
      <c r="D515" s="0" t="n">
        <v>120</v>
      </c>
      <c r="E515" s="0" t="s">
        <v>40</v>
      </c>
      <c r="F515" s="0" t="n">
        <v>2</v>
      </c>
      <c r="G515" s="0" t="str">
        <f aca="false">CONCATENATE(B515, "-",C515, "-", D515, "-", F515)</f>
        <v>M0112-A-120-2</v>
      </c>
      <c r="H515" s="0" t="n">
        <v>174.46</v>
      </c>
      <c r="I515" s="0" t="n">
        <v>175.65</v>
      </c>
    </row>
    <row r="516" customFormat="false" ht="14.25" hidden="false" customHeight="false" outlineLevel="0" collapsed="false">
      <c r="A516" s="0" t="n">
        <v>501</v>
      </c>
      <c r="B516" s="0" t="s">
        <v>89</v>
      </c>
      <c r="C516" s="0" t="s">
        <v>85</v>
      </c>
      <c r="D516" s="0" t="n">
        <v>121</v>
      </c>
      <c r="E516" s="0" t="s">
        <v>40</v>
      </c>
      <c r="F516" s="0" t="n">
        <v>1</v>
      </c>
      <c r="G516" s="0" t="str">
        <f aca="false">CONCATENATE(B516, "-",C516, "-", D516, "-", F516)</f>
        <v>M0112-A-121-1</v>
      </c>
      <c r="H516" s="0" t="n">
        <v>175.65</v>
      </c>
      <c r="I516" s="0" t="n">
        <v>177.09</v>
      </c>
    </row>
    <row r="517" customFormat="false" ht="14.25" hidden="false" customHeight="false" outlineLevel="0" collapsed="false">
      <c r="A517" s="0" t="n">
        <v>501</v>
      </c>
      <c r="B517" s="0" t="s">
        <v>89</v>
      </c>
      <c r="C517" s="0" t="s">
        <v>85</v>
      </c>
      <c r="D517" s="0" t="n">
        <v>121</v>
      </c>
      <c r="E517" s="0" t="s">
        <v>40</v>
      </c>
      <c r="F517" s="0" t="n">
        <v>2</v>
      </c>
      <c r="G517" s="0" t="str">
        <f aca="false">CONCATENATE(B517, "-",C517, "-", D517, "-", F517)</f>
        <v>M0112-A-121-2</v>
      </c>
      <c r="H517" s="0" t="n">
        <v>177.09</v>
      </c>
      <c r="I517" s="0" t="n">
        <v>177.89</v>
      </c>
    </row>
    <row r="518" customFormat="false" ht="14.25" hidden="false" customHeight="false" outlineLevel="0" collapsed="false">
      <c r="A518" s="0" t="n">
        <v>501</v>
      </c>
      <c r="B518" s="0" t="s">
        <v>89</v>
      </c>
      <c r="C518" s="0" t="s">
        <v>85</v>
      </c>
      <c r="D518" s="0" t="n">
        <v>122</v>
      </c>
      <c r="E518" s="0" t="s">
        <v>40</v>
      </c>
      <c r="F518" s="0" t="n">
        <v>1</v>
      </c>
      <c r="G518" s="0" t="str">
        <f aca="false">CONCATENATE(B518, "-",C518, "-", D518, "-", F518)</f>
        <v>M0112-A-122-1</v>
      </c>
      <c r="H518" s="0" t="n">
        <v>177.89</v>
      </c>
      <c r="I518" s="0" t="n">
        <v>179.39</v>
      </c>
    </row>
    <row r="519" customFormat="false" ht="14.25" hidden="false" customHeight="false" outlineLevel="0" collapsed="false">
      <c r="A519" s="0" t="n">
        <v>501</v>
      </c>
      <c r="B519" s="0" t="s">
        <v>89</v>
      </c>
      <c r="C519" s="0" t="s">
        <v>85</v>
      </c>
      <c r="D519" s="0" t="n">
        <v>122</v>
      </c>
      <c r="E519" s="0" t="s">
        <v>40</v>
      </c>
      <c r="F519" s="0" t="n">
        <v>2</v>
      </c>
      <c r="G519" s="0" t="str">
        <f aca="false">CONCATENATE(B519, "-",C519, "-", D519, "-", F519)</f>
        <v>M0112-A-122-2</v>
      </c>
      <c r="H519" s="0" t="n">
        <v>179.39</v>
      </c>
      <c r="I519" s="0" t="n">
        <v>180.25</v>
      </c>
    </row>
    <row r="520" customFormat="false" ht="14.25" hidden="false" customHeight="false" outlineLevel="0" collapsed="false">
      <c r="A520" s="0" t="n">
        <v>501</v>
      </c>
      <c r="B520" s="0" t="s">
        <v>89</v>
      </c>
      <c r="C520" s="0" t="s">
        <v>85</v>
      </c>
      <c r="D520" s="0" t="n">
        <v>123</v>
      </c>
      <c r="E520" s="0" t="s">
        <v>40</v>
      </c>
      <c r="F520" s="0" t="n">
        <v>1</v>
      </c>
      <c r="G520" s="0" t="str">
        <f aca="false">CONCATENATE(B520, "-",C520, "-", D520, "-", F520)</f>
        <v>M0112-A-123-1</v>
      </c>
      <c r="H520" s="0" t="n">
        <v>180.25</v>
      </c>
      <c r="I520" s="0" t="n">
        <v>181.74</v>
      </c>
    </row>
    <row r="521" customFormat="false" ht="14.25" hidden="false" customHeight="false" outlineLevel="0" collapsed="false">
      <c r="A521" s="0" t="n">
        <v>501</v>
      </c>
      <c r="B521" s="0" t="s">
        <v>89</v>
      </c>
      <c r="C521" s="0" t="s">
        <v>85</v>
      </c>
      <c r="D521" s="0" t="n">
        <v>123</v>
      </c>
      <c r="E521" s="0" t="s">
        <v>40</v>
      </c>
      <c r="F521" s="0" t="n">
        <v>2</v>
      </c>
      <c r="G521" s="0" t="str">
        <f aca="false">CONCATENATE(B521, "-",C521, "-", D521, "-", F521)</f>
        <v>M0112-A-123-2</v>
      </c>
      <c r="H521" s="0" t="n">
        <v>181.74</v>
      </c>
      <c r="I521" s="0" t="n">
        <v>182.93</v>
      </c>
    </row>
    <row r="522" customFormat="false" ht="14.25" hidden="false" customHeight="false" outlineLevel="0" collapsed="false">
      <c r="A522" s="0" t="n">
        <v>501</v>
      </c>
      <c r="B522" s="0" t="s">
        <v>89</v>
      </c>
      <c r="C522" s="0" t="s">
        <v>85</v>
      </c>
      <c r="D522" s="0" t="n">
        <v>124</v>
      </c>
      <c r="E522" s="0" t="s">
        <v>40</v>
      </c>
      <c r="F522" s="0" t="n">
        <v>1</v>
      </c>
      <c r="G522" s="0" t="str">
        <f aca="false">CONCATENATE(B522, "-",C522, "-", D522, "-", F522)</f>
        <v>M0112-A-124-1</v>
      </c>
      <c r="H522" s="0" t="n">
        <v>182.93</v>
      </c>
      <c r="I522" s="0" t="n">
        <v>184.43</v>
      </c>
    </row>
    <row r="523" customFormat="false" ht="14.25" hidden="false" customHeight="false" outlineLevel="0" collapsed="false">
      <c r="A523" s="0" t="n">
        <v>501</v>
      </c>
      <c r="B523" s="0" t="s">
        <v>89</v>
      </c>
      <c r="C523" s="0" t="s">
        <v>85</v>
      </c>
      <c r="D523" s="0" t="n">
        <v>124</v>
      </c>
      <c r="E523" s="0" t="s">
        <v>40</v>
      </c>
      <c r="F523" s="0" t="n">
        <v>2</v>
      </c>
      <c r="G523" s="0" t="str">
        <f aca="false">CONCATENATE(B523, "-",C523, "-", D523, "-", F523)</f>
        <v>M0112-A-124-2</v>
      </c>
      <c r="H523" s="0" t="n">
        <v>184.43</v>
      </c>
      <c r="I523" s="0" t="n">
        <v>185.42</v>
      </c>
    </row>
    <row r="524" customFormat="false" ht="14.25" hidden="false" customHeight="false" outlineLevel="0" collapsed="false">
      <c r="A524" s="0" t="n">
        <v>501</v>
      </c>
      <c r="B524" s="0" t="s">
        <v>89</v>
      </c>
      <c r="C524" s="0" t="s">
        <v>85</v>
      </c>
      <c r="D524" s="0" t="n">
        <v>125</v>
      </c>
      <c r="E524" s="0" t="s">
        <v>40</v>
      </c>
      <c r="F524" s="0" t="n">
        <v>1</v>
      </c>
      <c r="G524" s="0" t="str">
        <f aca="false">CONCATENATE(B524, "-",C524, "-", D524, "-", F524)</f>
        <v>M0112-A-125-1</v>
      </c>
      <c r="H524" s="0" t="n">
        <v>185.42</v>
      </c>
      <c r="I524" s="0" t="n">
        <v>186.92</v>
      </c>
    </row>
    <row r="525" customFormat="false" ht="14.25" hidden="false" customHeight="false" outlineLevel="0" collapsed="false">
      <c r="A525" s="0" t="n">
        <v>501</v>
      </c>
      <c r="B525" s="0" t="s">
        <v>89</v>
      </c>
      <c r="C525" s="0" t="s">
        <v>85</v>
      </c>
      <c r="D525" s="0" t="n">
        <v>125</v>
      </c>
      <c r="E525" s="0" t="s">
        <v>40</v>
      </c>
      <c r="F525" s="0" t="n">
        <v>2</v>
      </c>
      <c r="G525" s="0" t="str">
        <f aca="false">CONCATENATE(B525, "-",C525, "-", D525, "-", F525)</f>
        <v>M0112-A-125-2</v>
      </c>
      <c r="H525" s="0" t="n">
        <v>186.92</v>
      </c>
      <c r="I525" s="0" t="n">
        <v>188.09</v>
      </c>
    </row>
    <row r="526" customFormat="false" ht="14.25" hidden="false" customHeight="false" outlineLevel="0" collapsed="false">
      <c r="A526" s="0" t="n">
        <v>501</v>
      </c>
      <c r="B526" s="0" t="s">
        <v>89</v>
      </c>
      <c r="C526" s="0" t="s">
        <v>85</v>
      </c>
      <c r="D526" s="0" t="n">
        <v>126</v>
      </c>
      <c r="E526" s="0" t="s">
        <v>40</v>
      </c>
      <c r="F526" s="0" t="n">
        <v>1</v>
      </c>
      <c r="G526" s="0" t="str">
        <f aca="false">CONCATENATE(B526, "-",C526, "-", D526, "-", F526)</f>
        <v>M0112-A-126-1</v>
      </c>
      <c r="H526" s="0" t="n">
        <v>197.88</v>
      </c>
      <c r="I526" s="0" t="n">
        <v>188.63</v>
      </c>
    </row>
    <row r="527" customFormat="false" ht="14.25" hidden="false" customHeight="false" outlineLevel="0" collapsed="false">
      <c r="A527" s="0" t="n">
        <v>501</v>
      </c>
      <c r="B527" s="0" t="s">
        <v>89</v>
      </c>
      <c r="C527" s="0" t="s">
        <v>85</v>
      </c>
      <c r="D527" s="0" t="n">
        <v>127</v>
      </c>
      <c r="E527" s="0" t="s">
        <v>40</v>
      </c>
      <c r="F527" s="0" t="n">
        <v>1</v>
      </c>
      <c r="G527" s="0" t="str">
        <f aca="false">CONCATENATE(B527, "-",C527, "-", D527, "-", F527)</f>
        <v>M0112-A-127-1</v>
      </c>
      <c r="H527" s="0" t="n">
        <v>188.63</v>
      </c>
      <c r="I527" s="0" t="n">
        <v>190.13</v>
      </c>
    </row>
    <row r="528" customFormat="false" ht="14.25" hidden="false" customHeight="false" outlineLevel="0" collapsed="false">
      <c r="A528" s="0" t="n">
        <v>501</v>
      </c>
      <c r="B528" s="0" t="s">
        <v>89</v>
      </c>
      <c r="C528" s="0" t="s">
        <v>85</v>
      </c>
      <c r="D528" s="0" t="n">
        <v>127</v>
      </c>
      <c r="E528" s="0" t="s">
        <v>40</v>
      </c>
      <c r="F528" s="0" t="n">
        <v>2</v>
      </c>
      <c r="G528" s="0" t="str">
        <f aca="false">CONCATENATE(B528, "-",C528, "-", D528, "-", F528)</f>
        <v>M0112-A-127-2</v>
      </c>
      <c r="H528" s="0" t="n">
        <v>190.13</v>
      </c>
      <c r="I528" s="0" t="n">
        <v>191.38</v>
      </c>
    </row>
    <row r="529" customFormat="false" ht="14.25" hidden="false" customHeight="false" outlineLevel="0" collapsed="false">
      <c r="A529" s="0" t="n">
        <v>501</v>
      </c>
      <c r="B529" s="0" t="s">
        <v>89</v>
      </c>
      <c r="C529" s="0" t="s">
        <v>85</v>
      </c>
      <c r="D529" s="0" t="n">
        <v>128</v>
      </c>
      <c r="E529" s="0" t="s">
        <v>40</v>
      </c>
      <c r="F529" s="0" t="n">
        <v>1</v>
      </c>
      <c r="G529" s="0" t="str">
        <f aca="false">CONCATENATE(B529, "-",C529, "-", D529, "-", F529)</f>
        <v>M0112-A-128-1</v>
      </c>
      <c r="H529" s="0" t="n">
        <v>191.38</v>
      </c>
      <c r="I529" s="0" t="n">
        <v>192.7</v>
      </c>
    </row>
    <row r="530" customFormat="false" ht="14.25" hidden="false" customHeight="false" outlineLevel="0" collapsed="false">
      <c r="A530" s="0" t="n">
        <v>501</v>
      </c>
      <c r="B530" s="0" t="s">
        <v>89</v>
      </c>
      <c r="C530" s="0" t="s">
        <v>85</v>
      </c>
      <c r="D530" s="0" t="n">
        <v>128</v>
      </c>
      <c r="E530" s="0" t="s">
        <v>40</v>
      </c>
      <c r="F530" s="0" t="n">
        <v>2</v>
      </c>
      <c r="G530" s="0" t="str">
        <f aca="false">CONCATENATE(B530, "-",C530, "-", D530, "-", F530)</f>
        <v>M0112-A-128-2</v>
      </c>
      <c r="H530" s="0" t="n">
        <v>192.7</v>
      </c>
      <c r="I530" s="0" t="n">
        <v>192.88</v>
      </c>
    </row>
    <row r="531" customFormat="false" ht="14.25" hidden="false" customHeight="false" outlineLevel="0" collapsed="false">
      <c r="A531" s="0" t="n">
        <v>501</v>
      </c>
      <c r="B531" s="0" t="s">
        <v>89</v>
      </c>
      <c r="C531" s="0" t="s">
        <v>85</v>
      </c>
      <c r="D531" s="0" t="n">
        <v>129</v>
      </c>
      <c r="E531" s="0" t="s">
        <v>40</v>
      </c>
      <c r="F531" s="0" t="n">
        <v>1</v>
      </c>
      <c r="G531" s="0" t="str">
        <f aca="false">CONCATENATE(B531, "-",C531, "-", D531, "-", F531)</f>
        <v>M0112-A-129-1</v>
      </c>
      <c r="H531" s="0" t="n">
        <v>192.88</v>
      </c>
      <c r="I531" s="0" t="n">
        <v>193.73</v>
      </c>
    </row>
    <row r="532" customFormat="false" ht="14.25" hidden="false" customHeight="false" outlineLevel="0" collapsed="false">
      <c r="A532" s="0" t="n">
        <v>501</v>
      </c>
      <c r="B532" s="0" t="s">
        <v>89</v>
      </c>
      <c r="C532" s="0" t="s">
        <v>85</v>
      </c>
      <c r="D532" s="0" t="n">
        <v>130</v>
      </c>
      <c r="E532" s="0" t="s">
        <v>40</v>
      </c>
      <c r="F532" s="0" t="n">
        <v>1</v>
      </c>
      <c r="G532" s="0" t="str">
        <f aca="false">CONCATENATE(B532, "-",C532, "-", D532, "-", F532)</f>
        <v>M0112-A-130-1</v>
      </c>
      <c r="H532" s="0" t="n">
        <v>193.73</v>
      </c>
      <c r="I532" s="0" t="n">
        <v>194.25</v>
      </c>
    </row>
    <row r="533" customFormat="false" ht="14.25" hidden="false" customHeight="false" outlineLevel="0" collapsed="false">
      <c r="A533" s="0" t="n">
        <v>501</v>
      </c>
      <c r="B533" s="0" t="s">
        <v>89</v>
      </c>
      <c r="C533" s="0" t="s">
        <v>85</v>
      </c>
      <c r="D533" s="0" t="n">
        <v>131</v>
      </c>
      <c r="E533" s="0" t="s">
        <v>44</v>
      </c>
      <c r="F533" s="0" t="n">
        <v>1</v>
      </c>
      <c r="G533" s="0" t="str">
        <f aca="false">CONCATENATE(B533, "-",C533, "-", D533, "-", F533)</f>
        <v>M0112-A-131-1</v>
      </c>
      <c r="H533" s="0" t="n">
        <v>194.25</v>
      </c>
      <c r="I533" s="0" t="n">
        <v>195.14</v>
      </c>
    </row>
    <row r="534" customFormat="false" ht="14.25" hidden="false" customHeight="false" outlineLevel="0" collapsed="false">
      <c r="A534" s="0" t="n">
        <v>501</v>
      </c>
      <c r="B534" s="0" t="s">
        <v>89</v>
      </c>
      <c r="C534" s="0" t="s">
        <v>85</v>
      </c>
      <c r="D534" s="0" t="n">
        <v>132</v>
      </c>
      <c r="E534" s="0" t="s">
        <v>44</v>
      </c>
      <c r="F534" s="0" t="n">
        <v>1</v>
      </c>
      <c r="G534" s="0" t="str">
        <f aca="false">CONCATENATE(B534, "-",C534, "-", D534, "-", F534)</f>
        <v>M0112-A-132-1</v>
      </c>
      <c r="H534" s="0" t="n">
        <v>195.21</v>
      </c>
      <c r="I534" s="0" t="n">
        <v>196.71</v>
      </c>
    </row>
    <row r="535" customFormat="false" ht="14.25" hidden="false" customHeight="false" outlineLevel="0" collapsed="false">
      <c r="A535" s="0" t="n">
        <v>501</v>
      </c>
      <c r="B535" s="0" t="s">
        <v>89</v>
      </c>
      <c r="C535" s="0" t="s">
        <v>85</v>
      </c>
      <c r="D535" s="0" t="n">
        <v>132</v>
      </c>
      <c r="E535" s="0" t="s">
        <v>44</v>
      </c>
      <c r="F535" s="0" t="n">
        <v>2</v>
      </c>
      <c r="G535" s="0" t="str">
        <f aca="false">CONCATENATE(B535, "-",C535, "-", D535, "-", F535)</f>
        <v>M0112-A-132-2</v>
      </c>
      <c r="H535" s="0" t="n">
        <v>196.71</v>
      </c>
      <c r="I535" s="0" t="n">
        <v>197.21</v>
      </c>
    </row>
    <row r="536" customFormat="false" ht="14.25" hidden="false" customHeight="false" outlineLevel="0" collapsed="false">
      <c r="A536" s="0" t="n">
        <v>501</v>
      </c>
      <c r="B536" s="0" t="s">
        <v>89</v>
      </c>
      <c r="C536" s="0" t="s">
        <v>85</v>
      </c>
      <c r="D536" s="0" t="n">
        <v>133</v>
      </c>
      <c r="E536" s="0" t="s">
        <v>44</v>
      </c>
      <c r="F536" s="0" t="n">
        <v>1</v>
      </c>
      <c r="G536" s="0" t="str">
        <f aca="false">CONCATENATE(B536, "-",C536, "-", D536, "-", F536)</f>
        <v>M0112-A-133-1</v>
      </c>
      <c r="H536" s="0" t="n">
        <v>197.21</v>
      </c>
      <c r="I536" s="0" t="n">
        <v>197.81</v>
      </c>
    </row>
    <row r="537" customFormat="false" ht="14.25" hidden="false" customHeight="false" outlineLevel="0" collapsed="false">
      <c r="A537" s="0" t="n">
        <v>501</v>
      </c>
      <c r="B537" s="0" t="s">
        <v>89</v>
      </c>
      <c r="C537" s="0" t="s">
        <v>85</v>
      </c>
      <c r="D537" s="0" t="n">
        <v>133</v>
      </c>
      <c r="E537" s="0" t="s">
        <v>44</v>
      </c>
      <c r="F537" s="0" t="n">
        <v>2</v>
      </c>
      <c r="G537" s="0" t="str">
        <f aca="false">CONCATENATE(B537, "-",C537, "-", D537, "-", F537)</f>
        <v>M0112-A-133-2</v>
      </c>
      <c r="H537" s="0" t="n">
        <v>197.81</v>
      </c>
      <c r="I537" s="0" t="n">
        <v>198.36</v>
      </c>
    </row>
    <row r="538" customFormat="false" ht="14.25" hidden="false" customHeight="false" outlineLevel="0" collapsed="false">
      <c r="A538" s="0" t="n">
        <v>501</v>
      </c>
      <c r="B538" s="0" t="s">
        <v>89</v>
      </c>
      <c r="C538" s="0" t="s">
        <v>85</v>
      </c>
      <c r="D538" s="0" t="n">
        <v>134</v>
      </c>
      <c r="E538" s="0" t="s">
        <v>44</v>
      </c>
      <c r="F538" s="0" t="n">
        <v>1</v>
      </c>
      <c r="G538" s="0" t="str">
        <f aca="false">CONCATENATE(B538, "-",C538, "-", D538, "-", F538)</f>
        <v>M0112-A-134-1</v>
      </c>
      <c r="H538" s="0" t="n">
        <v>200.21</v>
      </c>
      <c r="I538" s="0" t="n">
        <v>200.55</v>
      </c>
    </row>
    <row r="539" customFormat="false" ht="14.25" hidden="false" customHeight="false" outlineLevel="0" collapsed="false">
      <c r="A539" s="0" t="n">
        <v>501</v>
      </c>
      <c r="B539" s="0" t="s">
        <v>89</v>
      </c>
      <c r="C539" s="0" t="s">
        <v>85</v>
      </c>
      <c r="D539" s="0" t="n">
        <v>136</v>
      </c>
      <c r="E539" s="0" t="s">
        <v>40</v>
      </c>
      <c r="F539" s="0" t="n">
        <v>1</v>
      </c>
      <c r="G539" s="0" t="str">
        <f aca="false">CONCATENATE(B539, "-",C539, "-", D539, "-", F539)</f>
        <v>M0112-A-136-1</v>
      </c>
      <c r="H539" s="0" t="n">
        <v>203.21</v>
      </c>
      <c r="I539" s="0" t="n">
        <v>204.78</v>
      </c>
    </row>
    <row r="540" customFormat="false" ht="14.25" hidden="false" customHeight="false" outlineLevel="0" collapsed="false">
      <c r="A540" s="0" t="n">
        <v>501</v>
      </c>
      <c r="B540" s="0" t="s">
        <v>89</v>
      </c>
      <c r="C540" s="0" t="s">
        <v>85</v>
      </c>
      <c r="D540" s="0" t="n">
        <v>136</v>
      </c>
      <c r="E540" s="0" t="s">
        <v>40</v>
      </c>
      <c r="F540" s="0" t="n">
        <v>2</v>
      </c>
      <c r="G540" s="0" t="str">
        <f aca="false">CONCATENATE(B540, "-",C540, "-", D540, "-", F540)</f>
        <v>M0112-A-136-2</v>
      </c>
      <c r="H540" s="0" t="n">
        <v>204.78</v>
      </c>
      <c r="I540" s="0" t="n">
        <v>205.28</v>
      </c>
    </row>
    <row r="541" customFormat="false" ht="14.25" hidden="false" customHeight="false" outlineLevel="0" collapsed="false">
      <c r="A541" s="0" t="n">
        <v>501</v>
      </c>
      <c r="B541" s="0" t="s">
        <v>89</v>
      </c>
      <c r="C541" s="0" t="s">
        <v>85</v>
      </c>
      <c r="D541" s="0" t="n">
        <v>137</v>
      </c>
      <c r="E541" s="0" t="s">
        <v>40</v>
      </c>
      <c r="F541" s="0" t="n">
        <v>1</v>
      </c>
      <c r="G541" s="0" t="str">
        <f aca="false">CONCATENATE(B541, "-",C541, "-", D541, "-", F541)</f>
        <v>M0112-A-137-1</v>
      </c>
      <c r="H541" s="0" t="n">
        <v>205.28</v>
      </c>
      <c r="I541" s="0" t="n">
        <v>206.2</v>
      </c>
    </row>
    <row r="542" customFormat="false" ht="14.25" hidden="false" customHeight="false" outlineLevel="0" collapsed="false">
      <c r="A542" s="0" t="n">
        <v>501</v>
      </c>
      <c r="B542" s="0" t="s">
        <v>89</v>
      </c>
      <c r="C542" s="0" t="s">
        <v>85</v>
      </c>
      <c r="D542" s="0" t="n">
        <v>137</v>
      </c>
      <c r="E542" s="0" t="s">
        <v>40</v>
      </c>
      <c r="F542" s="0" t="n">
        <v>2</v>
      </c>
      <c r="G542" s="0" t="str">
        <f aca="false">CONCATENATE(B542, "-",C542, "-", D542, "-", F542)</f>
        <v>M0112-A-137-2</v>
      </c>
      <c r="H542" s="0" t="n">
        <v>206.2</v>
      </c>
      <c r="I542" s="0" t="n">
        <v>207.71</v>
      </c>
    </row>
    <row r="543" customFormat="false" ht="14.25" hidden="false" customHeight="false" outlineLevel="0" collapsed="false">
      <c r="A543" s="0" t="n">
        <v>501</v>
      </c>
      <c r="B543" s="0" t="s">
        <v>89</v>
      </c>
      <c r="C543" s="0" t="s">
        <v>85</v>
      </c>
      <c r="D543" s="0" t="n">
        <v>138</v>
      </c>
      <c r="E543" s="0" t="s">
        <v>40</v>
      </c>
      <c r="F543" s="0" t="n">
        <v>1</v>
      </c>
      <c r="G543" s="0" t="str">
        <f aca="false">CONCATENATE(B543, "-",C543, "-", D543, "-", F543)</f>
        <v>M0112-A-138-1</v>
      </c>
      <c r="H543" s="0" t="n">
        <v>207.71</v>
      </c>
      <c r="I543" s="0" t="n">
        <v>208.14</v>
      </c>
    </row>
    <row r="544" customFormat="false" ht="14.25" hidden="false" customHeight="false" outlineLevel="0" collapsed="false">
      <c r="A544" s="0" t="n">
        <v>501</v>
      </c>
      <c r="B544" s="0" t="s">
        <v>89</v>
      </c>
      <c r="C544" s="0" t="s">
        <v>85</v>
      </c>
      <c r="D544" s="0" t="n">
        <v>139</v>
      </c>
      <c r="E544" s="0" t="s">
        <v>40</v>
      </c>
      <c r="F544" s="0" t="n">
        <v>1</v>
      </c>
      <c r="G544" s="0" t="str">
        <f aca="false">CONCATENATE(B544, "-",C544, "-", D544, "-", F544)</f>
        <v>M0112-A-139-1</v>
      </c>
      <c r="H544" s="0" t="n">
        <v>208.14</v>
      </c>
      <c r="I544" s="0" t="n">
        <v>209.64</v>
      </c>
    </row>
    <row r="545" customFormat="false" ht="14.25" hidden="false" customHeight="false" outlineLevel="0" collapsed="false">
      <c r="A545" s="0" t="n">
        <v>501</v>
      </c>
      <c r="B545" s="0" t="s">
        <v>89</v>
      </c>
      <c r="C545" s="0" t="s">
        <v>85</v>
      </c>
      <c r="D545" s="0" t="n">
        <v>139</v>
      </c>
      <c r="E545" s="0" t="s">
        <v>40</v>
      </c>
      <c r="F545" s="0" t="n">
        <v>2</v>
      </c>
      <c r="G545" s="0" t="str">
        <f aca="false">CONCATENATE(B545, "-",C545, "-", D545, "-", F545)</f>
        <v>M0112-A-139-2</v>
      </c>
      <c r="H545" s="0" t="n">
        <v>209.64</v>
      </c>
      <c r="I545" s="0" t="n">
        <v>210.33</v>
      </c>
    </row>
    <row r="546" customFormat="false" ht="14.25" hidden="false" customHeight="false" outlineLevel="0" collapsed="false">
      <c r="A546" s="0" t="n">
        <v>501</v>
      </c>
      <c r="B546" s="0" t="s">
        <v>89</v>
      </c>
      <c r="C546" s="0" t="s">
        <v>85</v>
      </c>
      <c r="D546" s="0" t="n">
        <v>140</v>
      </c>
      <c r="E546" s="0" t="s">
        <v>40</v>
      </c>
      <c r="F546" s="0" t="n">
        <v>1</v>
      </c>
      <c r="G546" s="0" t="str">
        <f aca="false">CONCATENATE(B546, "-",C546, "-", D546, "-", F546)</f>
        <v>M0112-A-140-1</v>
      </c>
      <c r="H546" s="0" t="n">
        <v>210.33</v>
      </c>
      <c r="I546" s="0" t="n">
        <v>211.83</v>
      </c>
    </row>
    <row r="547" customFormat="false" ht="14.25" hidden="false" customHeight="false" outlineLevel="0" collapsed="false">
      <c r="A547" s="0" t="n">
        <v>501</v>
      </c>
      <c r="B547" s="0" t="s">
        <v>89</v>
      </c>
      <c r="C547" s="0" t="s">
        <v>85</v>
      </c>
      <c r="D547" s="0" t="n">
        <v>140</v>
      </c>
      <c r="E547" s="0" t="s">
        <v>40</v>
      </c>
      <c r="F547" s="0" t="n">
        <v>2</v>
      </c>
      <c r="G547" s="0" t="str">
        <f aca="false">CONCATENATE(B547, "-",C547, "-", D547, "-", F547)</f>
        <v>M0112-A-140-2</v>
      </c>
      <c r="H547" s="0" t="n">
        <v>211.83</v>
      </c>
      <c r="I547" s="0" t="n">
        <v>212.68</v>
      </c>
    </row>
    <row r="548" customFormat="false" ht="14.25" hidden="false" customHeight="false" outlineLevel="0" collapsed="false">
      <c r="A548" s="0" t="n">
        <v>501</v>
      </c>
      <c r="B548" s="0" t="s">
        <v>89</v>
      </c>
      <c r="C548" s="0" t="s">
        <v>85</v>
      </c>
      <c r="D548" s="0" t="n">
        <v>141</v>
      </c>
      <c r="E548" s="0" t="s">
        <v>40</v>
      </c>
      <c r="F548" s="0" t="n">
        <v>1</v>
      </c>
      <c r="G548" s="0" t="str">
        <f aca="false">CONCATENATE(B548, "-",C548, "-", D548, "-", F548)</f>
        <v>M0112-A-141-1</v>
      </c>
      <c r="H548" s="0" t="n">
        <v>212.68</v>
      </c>
      <c r="I548" s="0" t="n">
        <v>214.18</v>
      </c>
    </row>
    <row r="549" customFormat="false" ht="14.25" hidden="false" customHeight="false" outlineLevel="0" collapsed="false">
      <c r="A549" s="0" t="n">
        <v>501</v>
      </c>
      <c r="B549" s="0" t="s">
        <v>89</v>
      </c>
      <c r="C549" s="0" t="s">
        <v>85</v>
      </c>
      <c r="D549" s="0" t="n">
        <v>141</v>
      </c>
      <c r="E549" s="0" t="s">
        <v>40</v>
      </c>
      <c r="F549" s="0" t="n">
        <v>2</v>
      </c>
      <c r="G549" s="0" t="str">
        <f aca="false">CONCATENATE(B549, "-",C549, "-", D549, "-", F549)</f>
        <v>M0112-A-141-2</v>
      </c>
      <c r="H549" s="0" t="n">
        <v>214.18</v>
      </c>
      <c r="I549" s="0" t="n">
        <v>215.34</v>
      </c>
    </row>
    <row r="550" customFormat="false" ht="14.25" hidden="false" customHeight="false" outlineLevel="0" collapsed="false">
      <c r="A550" s="0" t="n">
        <v>501</v>
      </c>
      <c r="B550" s="0" t="s">
        <v>89</v>
      </c>
      <c r="C550" s="0" t="s">
        <v>85</v>
      </c>
      <c r="D550" s="0" t="n">
        <v>142</v>
      </c>
      <c r="E550" s="0" t="s">
        <v>40</v>
      </c>
      <c r="F550" s="0" t="n">
        <v>1</v>
      </c>
      <c r="G550" s="0" t="str">
        <f aca="false">CONCATENATE(B550, "-",C550, "-", D550, "-", F550)</f>
        <v>M0112-A-142-1</v>
      </c>
      <c r="H550" s="0" t="n">
        <v>215.34</v>
      </c>
      <c r="I550" s="0" t="n">
        <v>216.11</v>
      </c>
    </row>
    <row r="551" customFormat="false" ht="14.25" hidden="false" customHeight="false" outlineLevel="0" collapsed="false">
      <c r="A551" s="0" t="n">
        <v>501</v>
      </c>
      <c r="B551" s="0" t="s">
        <v>89</v>
      </c>
      <c r="C551" s="0" t="s">
        <v>85</v>
      </c>
      <c r="D551" s="0" t="n">
        <v>143</v>
      </c>
      <c r="E551" s="0" t="s">
        <v>44</v>
      </c>
      <c r="F551" s="0" t="n">
        <v>1</v>
      </c>
      <c r="G551" s="0" t="str">
        <f aca="false">CONCATENATE(B551, "-",C551, "-", D551, "-", F551)</f>
        <v>M0112-A-143-1</v>
      </c>
      <c r="H551" s="0" t="n">
        <v>216.11</v>
      </c>
      <c r="I551" s="0" t="n">
        <v>216.66</v>
      </c>
    </row>
    <row r="552" customFormat="false" ht="14.25" hidden="false" customHeight="false" outlineLevel="0" collapsed="false">
      <c r="A552" s="0" t="n">
        <v>501</v>
      </c>
      <c r="B552" s="0" t="s">
        <v>89</v>
      </c>
      <c r="C552" s="0" t="s">
        <v>85</v>
      </c>
      <c r="D552" s="0" t="n">
        <v>144</v>
      </c>
      <c r="E552" s="0" t="s">
        <v>44</v>
      </c>
      <c r="F552" s="0" t="n">
        <v>1</v>
      </c>
      <c r="G552" s="0" t="str">
        <f aca="false">CONCATENATE(B552, "-",C552, "-", D552, "-", F552)</f>
        <v>M0112-A-144-1</v>
      </c>
      <c r="H552" s="0" t="n">
        <v>216.36</v>
      </c>
      <c r="I552" s="0" t="n">
        <v>217.36</v>
      </c>
    </row>
    <row r="553" customFormat="false" ht="14.25" hidden="false" customHeight="false" outlineLevel="0" collapsed="false">
      <c r="A553" s="0" t="n">
        <v>501</v>
      </c>
      <c r="B553" s="0" t="s">
        <v>89</v>
      </c>
      <c r="C553" s="0" t="s">
        <v>85</v>
      </c>
      <c r="D553" s="0" t="n">
        <v>144</v>
      </c>
      <c r="E553" s="0" t="s">
        <v>44</v>
      </c>
      <c r="F553" s="0" t="n">
        <v>2</v>
      </c>
      <c r="G553" s="0" t="str">
        <f aca="false">CONCATENATE(B553, "-",C553, "-", D553, "-", F553)</f>
        <v>M0112-A-144-2</v>
      </c>
      <c r="H553" s="0" t="n">
        <v>217.36</v>
      </c>
      <c r="I553" s="0" t="n">
        <v>218.18</v>
      </c>
    </row>
    <row r="554" customFormat="false" ht="14.25" hidden="false" customHeight="false" outlineLevel="0" collapsed="false">
      <c r="A554" s="0" t="n">
        <v>501</v>
      </c>
      <c r="B554" s="0" t="s">
        <v>89</v>
      </c>
      <c r="C554" s="0" t="s">
        <v>85</v>
      </c>
      <c r="D554" s="0" t="n">
        <v>145</v>
      </c>
      <c r="E554" s="0" t="s">
        <v>44</v>
      </c>
      <c r="F554" s="0" t="n">
        <v>1</v>
      </c>
      <c r="G554" s="0" t="str">
        <f aca="false">CONCATENATE(B554, "-",C554, "-", D554, "-", F554)</f>
        <v>M0112-A-145-1</v>
      </c>
      <c r="H554" s="0" t="n">
        <v>218.21</v>
      </c>
      <c r="I554" s="0" t="n">
        <v>218.96</v>
      </c>
    </row>
    <row r="555" customFormat="false" ht="14.25" hidden="false" customHeight="false" outlineLevel="0" collapsed="false">
      <c r="A555" s="0" t="n">
        <v>501</v>
      </c>
      <c r="B555" s="0" t="s">
        <v>89</v>
      </c>
      <c r="C555" s="0" t="s">
        <v>85</v>
      </c>
      <c r="D555" s="0" t="n">
        <v>145</v>
      </c>
      <c r="E555" s="0" t="s">
        <v>44</v>
      </c>
      <c r="F555" s="0" t="n">
        <v>2</v>
      </c>
      <c r="G555" s="0" t="str">
        <f aca="false">CONCATENATE(B555, "-",C555, "-", D555, "-", F555)</f>
        <v>M0112-A-145-2</v>
      </c>
      <c r="H555" s="0" t="n">
        <v>218.96</v>
      </c>
      <c r="I555" s="0" t="n">
        <v>219.49</v>
      </c>
    </row>
    <row r="556" customFormat="false" ht="14.25" hidden="false" customHeight="false" outlineLevel="0" collapsed="false">
      <c r="A556" s="0" t="n">
        <v>501</v>
      </c>
      <c r="B556" s="0" t="s">
        <v>89</v>
      </c>
      <c r="C556" s="0" t="s">
        <v>85</v>
      </c>
      <c r="D556" s="0" t="n">
        <v>145</v>
      </c>
      <c r="E556" s="0" t="s">
        <v>44</v>
      </c>
      <c r="F556" s="0" t="n">
        <v>3</v>
      </c>
      <c r="G556" s="0" t="str">
        <f aca="false">CONCATENATE(B556, "-",C556, "-", D556, "-", F556)</f>
        <v>M0112-A-145-3</v>
      </c>
      <c r="H556" s="0" t="n">
        <v>219.49</v>
      </c>
      <c r="I556" s="0" t="n">
        <v>219.58</v>
      </c>
    </row>
    <row r="557" customFormat="false" ht="14.25" hidden="false" customHeight="false" outlineLevel="0" collapsed="false">
      <c r="A557" s="0" t="n">
        <v>501</v>
      </c>
      <c r="B557" s="0" t="s">
        <v>89</v>
      </c>
      <c r="C557" s="0" t="s">
        <v>85</v>
      </c>
      <c r="D557" s="0" t="n">
        <v>146</v>
      </c>
      <c r="E557" s="0" t="s">
        <v>44</v>
      </c>
      <c r="F557" s="0" t="n">
        <v>1</v>
      </c>
      <c r="G557" s="0" t="str">
        <f aca="false">CONCATENATE(B557, "-",C557, "-", D557, "-", F557)</f>
        <v>M0112-A-146-1</v>
      </c>
      <c r="H557" s="0" t="n">
        <v>219.61</v>
      </c>
      <c r="I557" s="0" t="n">
        <v>219.62</v>
      </c>
    </row>
    <row r="558" customFormat="false" ht="14.25" hidden="false" customHeight="false" outlineLevel="0" collapsed="false">
      <c r="A558" s="0" t="n">
        <v>501</v>
      </c>
      <c r="B558" s="0" t="s">
        <v>89</v>
      </c>
      <c r="C558" s="0" t="s">
        <v>85</v>
      </c>
      <c r="D558" s="0" t="n">
        <v>147</v>
      </c>
      <c r="E558" s="0" t="s">
        <v>44</v>
      </c>
      <c r="F558" s="0" t="n">
        <v>1</v>
      </c>
      <c r="G558" s="0" t="str">
        <f aca="false">CONCATENATE(B558, "-",C558, "-", D558, "-", F558)</f>
        <v>M0112-A-147-1</v>
      </c>
      <c r="H558" s="0" t="n">
        <v>219.81</v>
      </c>
      <c r="I558" s="0" t="n">
        <v>220.06</v>
      </c>
    </row>
    <row r="559" customFormat="false" ht="14.25" hidden="false" customHeight="false" outlineLevel="0" collapsed="false">
      <c r="A559" s="0" t="n">
        <v>501</v>
      </c>
      <c r="B559" s="0" t="s">
        <v>89</v>
      </c>
      <c r="C559" s="0" t="s">
        <v>85</v>
      </c>
      <c r="D559" s="0" t="n">
        <v>148</v>
      </c>
      <c r="E559" s="0" t="s">
        <v>44</v>
      </c>
      <c r="F559" s="0" t="n">
        <v>1</v>
      </c>
      <c r="G559" s="0" t="str">
        <f aca="false">CONCATENATE(B559, "-",C559, "-", D559, "-", F559)</f>
        <v>M0112-A-148-1</v>
      </c>
      <c r="H559" s="0" t="n">
        <v>221.21</v>
      </c>
      <c r="I559" s="0" t="n">
        <v>221.42</v>
      </c>
    </row>
    <row r="560" customFormat="false" ht="14.25" hidden="false" customHeight="false" outlineLevel="0" collapsed="false">
      <c r="A560" s="0" t="n">
        <v>501</v>
      </c>
      <c r="B560" s="0" t="s">
        <v>89</v>
      </c>
      <c r="C560" s="0" t="s">
        <v>85</v>
      </c>
      <c r="D560" s="0" t="n">
        <v>149</v>
      </c>
      <c r="E560" s="0" t="s">
        <v>44</v>
      </c>
      <c r="F560" s="0" t="n">
        <v>1</v>
      </c>
      <c r="G560" s="0" t="str">
        <f aca="false">CONCATENATE(B560, "-",C560, "-", D560, "-", F560)</f>
        <v>M0112-A-149-1</v>
      </c>
      <c r="H560" s="0" t="n">
        <v>223.21</v>
      </c>
      <c r="I560" s="0" t="n">
        <v>223.23</v>
      </c>
    </row>
    <row r="561" customFormat="false" ht="14.25" hidden="false" customHeight="false" outlineLevel="0" collapsed="false">
      <c r="A561" s="0" t="n">
        <v>501</v>
      </c>
      <c r="B561" s="0" t="s">
        <v>89</v>
      </c>
      <c r="C561" s="0" t="s">
        <v>85</v>
      </c>
      <c r="D561" s="0" t="n">
        <v>150</v>
      </c>
      <c r="E561" s="0" t="s">
        <v>40</v>
      </c>
      <c r="F561" s="0" t="n">
        <v>1</v>
      </c>
      <c r="G561" s="0" t="str">
        <f aca="false">CONCATENATE(B561, "-",C561, "-", D561, "-", F561)</f>
        <v>M0112-A-150-1</v>
      </c>
      <c r="H561" s="0" t="n">
        <v>224.21</v>
      </c>
      <c r="I561" s="0" t="n">
        <v>224.66</v>
      </c>
    </row>
    <row r="562" customFormat="false" ht="14.25" hidden="false" customHeight="false" outlineLevel="0" collapsed="false">
      <c r="A562" s="0" t="n">
        <v>501</v>
      </c>
      <c r="B562" s="0" t="s">
        <v>89</v>
      </c>
      <c r="C562" s="0" t="s">
        <v>85</v>
      </c>
      <c r="D562" s="0" t="n">
        <v>151</v>
      </c>
      <c r="E562" s="0" t="s">
        <v>44</v>
      </c>
      <c r="F562" s="0" t="n">
        <v>1</v>
      </c>
      <c r="G562" s="0" t="str">
        <f aca="false">CONCATENATE(B562, "-",C562, "-", D562, "-", F562)</f>
        <v>M0112-A-151-1</v>
      </c>
      <c r="H562" s="0" t="n">
        <v>224.66</v>
      </c>
      <c r="I562" s="0" t="n">
        <v>225.92</v>
      </c>
    </row>
    <row r="563" customFormat="false" ht="14.25" hidden="false" customHeight="false" outlineLevel="0" collapsed="false">
      <c r="A563" s="0" t="n">
        <v>501</v>
      </c>
      <c r="B563" s="0" t="s">
        <v>89</v>
      </c>
      <c r="C563" s="0" t="s">
        <v>85</v>
      </c>
      <c r="D563" s="0" t="n">
        <v>152</v>
      </c>
      <c r="E563" s="0" t="s">
        <v>44</v>
      </c>
      <c r="F563" s="0" t="n">
        <v>1</v>
      </c>
      <c r="G563" s="0" t="str">
        <f aca="false">CONCATENATE(B563, "-",C563, "-", D563, "-", F563)</f>
        <v>M0112-A-152-1</v>
      </c>
      <c r="H563" s="0" t="n">
        <v>225.66</v>
      </c>
      <c r="I563" s="0" t="n">
        <v>225.94</v>
      </c>
    </row>
    <row r="564" customFormat="false" ht="14.25" hidden="false" customHeight="false" outlineLevel="0" collapsed="false">
      <c r="A564" s="0" t="n">
        <v>501</v>
      </c>
      <c r="B564" s="0" t="s">
        <v>89</v>
      </c>
      <c r="C564" s="0" t="s">
        <v>85</v>
      </c>
      <c r="D564" s="0" t="n">
        <v>153</v>
      </c>
      <c r="E564" s="0" t="s">
        <v>44</v>
      </c>
      <c r="F564" s="0" t="n">
        <v>1</v>
      </c>
      <c r="G564" s="0" t="str">
        <f aca="false">CONCATENATE(B564, "-",C564, "-", D564, "-", F564)</f>
        <v>M0112-A-153-1</v>
      </c>
      <c r="H564" s="0" t="n">
        <v>227.21</v>
      </c>
      <c r="I564" s="0" t="n">
        <v>227.87</v>
      </c>
    </row>
    <row r="565" customFormat="false" ht="14.25" hidden="false" customHeight="false" outlineLevel="0" collapsed="false">
      <c r="A565" s="0" t="n">
        <v>501</v>
      </c>
      <c r="B565" s="0" t="s">
        <v>89</v>
      </c>
      <c r="C565" s="0" t="s">
        <v>85</v>
      </c>
      <c r="D565" s="0" t="n">
        <v>154</v>
      </c>
      <c r="E565" s="0" t="s">
        <v>40</v>
      </c>
      <c r="F565" s="0" t="n">
        <v>1</v>
      </c>
      <c r="G565" s="0" t="str">
        <f aca="false">CONCATENATE(B565, "-",C565, "-", D565, "-", F565)</f>
        <v>M0112-A-154-1</v>
      </c>
      <c r="H565" s="0" t="n">
        <v>228.21</v>
      </c>
      <c r="I565" s="0" t="n">
        <v>228.84</v>
      </c>
    </row>
    <row r="566" customFormat="false" ht="14.25" hidden="false" customHeight="false" outlineLevel="0" collapsed="false">
      <c r="A566" s="0" t="n">
        <v>501</v>
      </c>
      <c r="B566" s="0" t="s">
        <v>89</v>
      </c>
      <c r="C566" s="0" t="s">
        <v>85</v>
      </c>
      <c r="D566" s="0" t="n">
        <v>155</v>
      </c>
      <c r="E566" s="0" t="s">
        <v>40</v>
      </c>
      <c r="F566" s="0" t="n">
        <v>1</v>
      </c>
      <c r="G566" s="0" t="str">
        <f aca="false">CONCATENATE(B566, "-",C566, "-", D566, "-", F566)</f>
        <v>M0112-A-155-1</v>
      </c>
      <c r="H566" s="0" t="n">
        <v>228.84</v>
      </c>
      <c r="I566" s="0" t="n">
        <v>229.09</v>
      </c>
    </row>
    <row r="567" customFormat="false" ht="14.25" hidden="false" customHeight="false" outlineLevel="0" collapsed="false">
      <c r="A567" s="0" t="n">
        <v>501</v>
      </c>
      <c r="B567" s="0" t="s">
        <v>89</v>
      </c>
      <c r="C567" s="0" t="s">
        <v>85</v>
      </c>
      <c r="D567" s="0" t="n">
        <v>155</v>
      </c>
      <c r="E567" s="0" t="s">
        <v>40</v>
      </c>
      <c r="F567" s="0" t="n">
        <v>2</v>
      </c>
      <c r="G567" s="0" t="str">
        <f aca="false">CONCATENATE(B567, "-",C567, "-", D567, "-", F567)</f>
        <v>M0112-A-155-2</v>
      </c>
      <c r="H567" s="0" t="n">
        <v>229.09</v>
      </c>
      <c r="I567" s="0" t="n">
        <v>230.45</v>
      </c>
    </row>
    <row r="568" customFormat="false" ht="14.25" hidden="false" customHeight="false" outlineLevel="0" collapsed="false">
      <c r="A568" s="0" t="n">
        <v>501</v>
      </c>
      <c r="B568" s="0" t="s">
        <v>89</v>
      </c>
      <c r="C568" s="0" t="s">
        <v>85</v>
      </c>
      <c r="D568" s="0" t="n">
        <v>156</v>
      </c>
      <c r="E568" s="0" t="s">
        <v>40</v>
      </c>
      <c r="F568" s="0" t="n">
        <v>1</v>
      </c>
      <c r="G568" s="0" t="str">
        <f aca="false">CONCATENATE(B568, "-",C568, "-", D568, "-", F568)</f>
        <v>M0112-A-156-1</v>
      </c>
      <c r="H568" s="0" t="n">
        <v>230.45</v>
      </c>
      <c r="I568" s="0" t="n">
        <v>231.18</v>
      </c>
    </row>
    <row r="569" customFormat="false" ht="14.25" hidden="false" customHeight="false" outlineLevel="0" collapsed="false">
      <c r="A569" s="0" t="n">
        <v>501</v>
      </c>
      <c r="B569" s="0" t="s">
        <v>89</v>
      </c>
      <c r="C569" s="0" t="s">
        <v>85</v>
      </c>
      <c r="D569" s="0" t="n">
        <v>157</v>
      </c>
      <c r="E569" s="0" t="s">
        <v>40</v>
      </c>
      <c r="F569" s="0" t="n">
        <v>1</v>
      </c>
      <c r="G569" s="0" t="str">
        <f aca="false">CONCATENATE(B569, "-",C569, "-", D569, "-", F569)</f>
        <v>M0112-A-157-1</v>
      </c>
      <c r="H569" s="0" t="n">
        <v>231.18</v>
      </c>
      <c r="I569" s="0" t="n">
        <v>231.83</v>
      </c>
    </row>
    <row r="570" customFormat="false" ht="14.25" hidden="false" customHeight="false" outlineLevel="0" collapsed="false">
      <c r="A570" s="0" t="n">
        <v>501</v>
      </c>
      <c r="B570" s="0" t="s">
        <v>89</v>
      </c>
      <c r="C570" s="0" t="s">
        <v>85</v>
      </c>
      <c r="D570" s="0" t="n">
        <v>157</v>
      </c>
      <c r="E570" s="0" t="s">
        <v>40</v>
      </c>
      <c r="F570" s="0" t="n">
        <v>2</v>
      </c>
      <c r="G570" s="0" t="str">
        <f aca="false">CONCATENATE(B570, "-",C570, "-", D570, "-", F570)</f>
        <v>M0112-A-157-2</v>
      </c>
      <c r="H570" s="0" t="n">
        <v>231.83</v>
      </c>
      <c r="I570" s="0" t="n">
        <v>232.37</v>
      </c>
    </row>
    <row r="571" customFormat="false" ht="14.25" hidden="false" customHeight="false" outlineLevel="0" collapsed="false">
      <c r="A571" s="0" t="n">
        <v>501</v>
      </c>
      <c r="B571" s="0" t="s">
        <v>89</v>
      </c>
      <c r="C571" s="0" t="s">
        <v>85</v>
      </c>
      <c r="D571" s="0" t="n">
        <v>158</v>
      </c>
      <c r="E571" s="0" t="s">
        <v>40</v>
      </c>
      <c r="F571" s="0" t="n">
        <v>1</v>
      </c>
      <c r="G571" s="0" t="str">
        <f aca="false">CONCATENATE(B571, "-",C571, "-", D571, "-", F571)</f>
        <v>M0112-A-158-1</v>
      </c>
      <c r="H571" s="0" t="n">
        <v>232.37</v>
      </c>
      <c r="I571" s="0" t="n">
        <v>233.07</v>
      </c>
    </row>
    <row r="572" customFormat="false" ht="14.25" hidden="false" customHeight="false" outlineLevel="0" collapsed="false">
      <c r="A572" s="0" t="n">
        <v>501</v>
      </c>
      <c r="B572" s="0" t="s">
        <v>89</v>
      </c>
      <c r="C572" s="0" t="s">
        <v>85</v>
      </c>
      <c r="D572" s="0" t="n">
        <v>159</v>
      </c>
      <c r="E572" s="0" t="s">
        <v>44</v>
      </c>
      <c r="F572" s="0" t="n">
        <v>1</v>
      </c>
      <c r="G572" s="0" t="str">
        <f aca="false">CONCATENATE(B572, "-",C572, "-", D572, "-", F572)</f>
        <v>M0112-A-159-1</v>
      </c>
      <c r="H572" s="0" t="n">
        <v>233.07</v>
      </c>
      <c r="I572" s="0" t="n">
        <v>234.21</v>
      </c>
    </row>
    <row r="573" customFormat="false" ht="14.25" hidden="false" customHeight="false" outlineLevel="0" collapsed="false">
      <c r="A573" s="0" t="n">
        <v>501</v>
      </c>
      <c r="B573" s="0" t="s">
        <v>89</v>
      </c>
      <c r="C573" s="0" t="s">
        <v>85</v>
      </c>
      <c r="D573" s="0" t="n">
        <v>159</v>
      </c>
      <c r="E573" s="0" t="s">
        <v>44</v>
      </c>
      <c r="F573" s="0" t="n">
        <v>2</v>
      </c>
      <c r="G573" s="0" t="str">
        <f aca="false">CONCATENATE(B573, "-",C573, "-", D573, "-", F573)</f>
        <v>M0112-A-159-2</v>
      </c>
      <c r="H573" s="0" t="n">
        <v>234.21</v>
      </c>
      <c r="I573" s="0" t="n">
        <v>234.83</v>
      </c>
    </row>
    <row r="574" customFormat="false" ht="14.25" hidden="false" customHeight="false" outlineLevel="0" collapsed="false">
      <c r="A574" s="0" t="n">
        <v>501</v>
      </c>
      <c r="B574" s="0" t="s">
        <v>89</v>
      </c>
      <c r="C574" s="0" t="s">
        <v>85</v>
      </c>
      <c r="D574" s="0" t="n">
        <v>160</v>
      </c>
      <c r="E574" s="0" t="s">
        <v>44</v>
      </c>
      <c r="F574" s="0" t="n">
        <v>1</v>
      </c>
      <c r="G574" s="0" t="str">
        <f aca="false">CONCATENATE(B574, "-",C574, "-", D574, "-", F574)</f>
        <v>M0112-A-160-1</v>
      </c>
      <c r="H574" s="0" t="n">
        <v>235.21</v>
      </c>
      <c r="I574" s="0" t="n">
        <v>236.31</v>
      </c>
    </row>
    <row r="575" customFormat="false" ht="14.25" hidden="false" customHeight="false" outlineLevel="0" collapsed="false">
      <c r="A575" s="0" t="n">
        <v>501</v>
      </c>
      <c r="B575" s="0" t="s">
        <v>89</v>
      </c>
      <c r="C575" s="0" t="s">
        <v>85</v>
      </c>
      <c r="D575" s="0" t="n">
        <v>160</v>
      </c>
      <c r="E575" s="0" t="s">
        <v>44</v>
      </c>
      <c r="F575" s="0" t="n">
        <v>2</v>
      </c>
      <c r="G575" s="0" t="str">
        <f aca="false">CONCATENATE(B575, "-",C575, "-", D575, "-", F575)</f>
        <v>M0112-A-160-2</v>
      </c>
      <c r="H575" s="0" t="n">
        <v>236.31</v>
      </c>
      <c r="I575" s="0" t="n">
        <v>237.03</v>
      </c>
    </row>
    <row r="576" customFormat="false" ht="14.25" hidden="false" customHeight="false" outlineLevel="0" collapsed="false">
      <c r="A576" s="0" t="n">
        <v>501</v>
      </c>
      <c r="B576" s="0" t="s">
        <v>89</v>
      </c>
      <c r="C576" s="0" t="s">
        <v>85</v>
      </c>
      <c r="D576" s="0" t="n">
        <v>161</v>
      </c>
      <c r="E576" s="0" t="s">
        <v>44</v>
      </c>
      <c r="F576" s="0" t="n">
        <v>1</v>
      </c>
      <c r="G576" s="0" t="str">
        <f aca="false">CONCATENATE(B576, "-",C576, "-", D576, "-", F576)</f>
        <v>M0112-A-161-1</v>
      </c>
      <c r="H576" s="0" t="n">
        <v>238.21</v>
      </c>
      <c r="I576" s="0" t="n">
        <v>238.86</v>
      </c>
    </row>
    <row r="577" customFormat="false" ht="14.25" hidden="false" customHeight="false" outlineLevel="0" collapsed="false">
      <c r="A577" s="0" t="n">
        <v>501</v>
      </c>
      <c r="B577" s="0" t="s">
        <v>89</v>
      </c>
      <c r="C577" s="0" t="s">
        <v>85</v>
      </c>
      <c r="D577" s="0" t="n">
        <v>161</v>
      </c>
      <c r="E577" s="0" t="s">
        <v>44</v>
      </c>
      <c r="F577" s="0" t="n">
        <v>2</v>
      </c>
      <c r="G577" s="0" t="str">
        <f aca="false">CONCATENATE(B577, "-",C577, "-", D577, "-", F577)</f>
        <v>M0112-A-161-2</v>
      </c>
      <c r="H577" s="0" t="n">
        <v>238.86</v>
      </c>
      <c r="I577" s="0" t="n">
        <v>239.36</v>
      </c>
    </row>
    <row r="578" customFormat="false" ht="14.25" hidden="false" customHeight="false" outlineLevel="0" collapsed="false">
      <c r="A578" s="0" t="n">
        <v>501</v>
      </c>
      <c r="B578" s="0" t="s">
        <v>89</v>
      </c>
      <c r="C578" s="0" t="s">
        <v>85</v>
      </c>
      <c r="D578" s="0" t="n">
        <v>162</v>
      </c>
      <c r="E578" s="0" t="s">
        <v>44</v>
      </c>
      <c r="F578" s="0" t="n">
        <v>1</v>
      </c>
      <c r="G578" s="0" t="str">
        <f aca="false">CONCATENATE(B578, "-",C578, "-", D578, "-", F578)</f>
        <v>M0112-A-162-1</v>
      </c>
      <c r="H578" s="0" t="n">
        <v>240.21</v>
      </c>
      <c r="I578" s="0" t="n">
        <v>240.83</v>
      </c>
    </row>
    <row r="579" customFormat="false" ht="14.25" hidden="false" customHeight="false" outlineLevel="0" collapsed="false">
      <c r="A579" s="0" t="n">
        <v>501</v>
      </c>
      <c r="B579" s="0" t="s">
        <v>89</v>
      </c>
      <c r="C579" s="0" t="s">
        <v>85</v>
      </c>
      <c r="D579" s="0" t="n">
        <v>163</v>
      </c>
      <c r="E579" s="0" t="s">
        <v>44</v>
      </c>
      <c r="F579" s="0" t="n">
        <v>1</v>
      </c>
      <c r="G579" s="0" t="str">
        <f aca="false">CONCATENATE(B579, "-",C579, "-", D579, "-", F579)</f>
        <v>M0112-A-163-1</v>
      </c>
      <c r="H579" s="0" t="n">
        <v>242.21</v>
      </c>
      <c r="I579" s="0" t="n">
        <v>242.64</v>
      </c>
    </row>
    <row r="580" customFormat="false" ht="14.25" hidden="false" customHeight="false" outlineLevel="0" collapsed="false">
      <c r="A580" s="0" t="n">
        <v>501</v>
      </c>
      <c r="B580" s="0" t="s">
        <v>89</v>
      </c>
      <c r="C580" s="0" t="s">
        <v>85</v>
      </c>
      <c r="D580" s="0" t="n">
        <v>163</v>
      </c>
      <c r="E580" s="0" t="s">
        <v>44</v>
      </c>
      <c r="F580" s="0" t="n">
        <v>2</v>
      </c>
      <c r="G580" s="0" t="str">
        <f aca="false">CONCATENATE(B580, "-",C580, "-", D580, "-", F580)</f>
        <v>M0112-A-163-2</v>
      </c>
      <c r="H580" s="0" t="n">
        <v>242.64</v>
      </c>
      <c r="I580" s="0" t="n">
        <v>242.73</v>
      </c>
    </row>
    <row r="581" customFormat="false" ht="14.25" hidden="false" customHeight="false" outlineLevel="0" collapsed="false">
      <c r="A581" s="0" t="n">
        <v>501</v>
      </c>
      <c r="B581" s="0" t="s">
        <v>89</v>
      </c>
      <c r="C581" s="0" t="s">
        <v>85</v>
      </c>
      <c r="D581" s="0" t="n">
        <v>164</v>
      </c>
      <c r="E581" s="0" t="s">
        <v>44</v>
      </c>
      <c r="F581" s="0" t="n">
        <v>1</v>
      </c>
      <c r="G581" s="0" t="str">
        <f aca="false">CONCATENATE(B581, "-",C581, "-", D581, "-", F581)</f>
        <v>M0112-A-164-1</v>
      </c>
      <c r="H581" s="0" t="n">
        <v>243.71</v>
      </c>
      <c r="I581" s="0" t="n">
        <v>244.51</v>
      </c>
    </row>
    <row r="582" customFormat="false" ht="14.25" hidden="false" customHeight="false" outlineLevel="0" collapsed="false">
      <c r="A582" s="0" t="n">
        <v>501</v>
      </c>
      <c r="B582" s="0" t="s">
        <v>89</v>
      </c>
      <c r="C582" s="0" t="s">
        <v>85</v>
      </c>
      <c r="D582" s="0" t="n">
        <v>164</v>
      </c>
      <c r="E582" s="0" t="s">
        <v>44</v>
      </c>
      <c r="F582" s="0" t="n">
        <v>2</v>
      </c>
      <c r="G582" s="0" t="str">
        <f aca="false">CONCATENATE(B582, "-",C582, "-", D582, "-", F582)</f>
        <v>M0112-A-164-2</v>
      </c>
      <c r="H582" s="0" t="n">
        <v>244.51</v>
      </c>
      <c r="I582" s="0" t="n">
        <v>245.09</v>
      </c>
    </row>
    <row r="583" customFormat="false" ht="14.25" hidden="false" customHeight="false" outlineLevel="0" collapsed="false">
      <c r="A583" s="0" t="n">
        <v>501</v>
      </c>
      <c r="B583" s="0" t="s">
        <v>89</v>
      </c>
      <c r="C583" s="0" t="s">
        <v>85</v>
      </c>
      <c r="D583" s="0" t="n">
        <v>165</v>
      </c>
      <c r="E583" s="0" t="s">
        <v>44</v>
      </c>
      <c r="F583" s="0" t="n">
        <v>1</v>
      </c>
      <c r="G583" s="0" t="str">
        <f aca="false">CONCATENATE(B583, "-",C583, "-", D583, "-", F583)</f>
        <v>M0112-A-165-1</v>
      </c>
      <c r="H583" s="0" t="n">
        <v>245.21</v>
      </c>
      <c r="I583" s="0" t="n">
        <v>246.71</v>
      </c>
    </row>
    <row r="584" customFormat="false" ht="14.25" hidden="false" customHeight="false" outlineLevel="0" collapsed="false">
      <c r="A584" s="0" t="n">
        <v>501</v>
      </c>
      <c r="B584" s="0" t="s">
        <v>89</v>
      </c>
      <c r="C584" s="0" t="s">
        <v>85</v>
      </c>
      <c r="D584" s="0" t="n">
        <v>165</v>
      </c>
      <c r="E584" s="0" t="s">
        <v>44</v>
      </c>
      <c r="F584" s="0" t="n">
        <v>2</v>
      </c>
      <c r="G584" s="0" t="str">
        <f aca="false">CONCATENATE(B584, "-",C584, "-", D584, "-", F584)</f>
        <v>M0112-A-165-2</v>
      </c>
      <c r="H584" s="0" t="n">
        <v>246.71</v>
      </c>
      <c r="I584" s="0" t="n">
        <v>247.73</v>
      </c>
    </row>
    <row r="585" customFormat="false" ht="14.25" hidden="false" customHeight="false" outlineLevel="0" collapsed="false">
      <c r="A585" s="0" t="n">
        <v>501</v>
      </c>
      <c r="B585" s="0" t="s">
        <v>89</v>
      </c>
      <c r="C585" s="0" t="s">
        <v>85</v>
      </c>
      <c r="D585" s="0" t="n">
        <v>166</v>
      </c>
      <c r="E585" s="0" t="s">
        <v>44</v>
      </c>
      <c r="F585" s="0" t="n">
        <v>1</v>
      </c>
      <c r="G585" s="0" t="str">
        <f aca="false">CONCATENATE(B585, "-",C585, "-", D585, "-", F585)</f>
        <v>M0112-A-166-1</v>
      </c>
      <c r="H585" s="0" t="n">
        <v>247.56</v>
      </c>
      <c r="I585" s="0" t="n">
        <v>248.11</v>
      </c>
    </row>
    <row r="586" customFormat="false" ht="14.25" hidden="false" customHeight="false" outlineLevel="0" collapsed="false">
      <c r="A586" s="0" t="n">
        <v>501</v>
      </c>
      <c r="B586" s="0" t="s">
        <v>89</v>
      </c>
      <c r="C586" s="0" t="s">
        <v>85</v>
      </c>
      <c r="D586" s="0" t="n">
        <v>167</v>
      </c>
      <c r="E586" s="0" t="s">
        <v>40</v>
      </c>
      <c r="F586" s="0" t="n">
        <v>1</v>
      </c>
      <c r="G586" s="0" t="str">
        <f aca="false">CONCATENATE(B586, "-",C586, "-", D586, "-", F586)</f>
        <v>M0112-A-167-1</v>
      </c>
      <c r="H586" s="0" t="n">
        <v>248.81</v>
      </c>
      <c r="I586" s="0" t="n">
        <v>250.31</v>
      </c>
    </row>
    <row r="587" customFormat="false" ht="14.25" hidden="false" customHeight="false" outlineLevel="0" collapsed="false">
      <c r="A587" s="0" t="n">
        <v>501</v>
      </c>
      <c r="B587" s="0" t="s">
        <v>89</v>
      </c>
      <c r="C587" s="0" t="s">
        <v>85</v>
      </c>
      <c r="D587" s="0" t="n">
        <v>167</v>
      </c>
      <c r="E587" s="0" t="s">
        <v>40</v>
      </c>
      <c r="F587" s="0" t="n">
        <v>2</v>
      </c>
      <c r="G587" s="0" t="str">
        <f aca="false">CONCATENATE(B587, "-",C587, "-", D587, "-", F587)</f>
        <v>M0112-A-167-2</v>
      </c>
      <c r="H587" s="0" t="n">
        <v>250.31</v>
      </c>
      <c r="I587" s="0" t="n">
        <v>251.64</v>
      </c>
    </row>
    <row r="588" customFormat="false" ht="14.25" hidden="false" customHeight="false" outlineLevel="0" collapsed="false">
      <c r="A588" s="0" t="n">
        <v>501</v>
      </c>
      <c r="B588" s="0" t="s">
        <v>89</v>
      </c>
      <c r="C588" s="0" t="s">
        <v>85</v>
      </c>
      <c r="D588" s="0" t="n">
        <v>168</v>
      </c>
      <c r="E588" s="0" t="s">
        <v>40</v>
      </c>
      <c r="F588" s="0" t="n">
        <v>1</v>
      </c>
      <c r="G588" s="0" t="str">
        <f aca="false">CONCATENATE(B588, "-",C588, "-", D588, "-", F588)</f>
        <v>M0112-A-168-1</v>
      </c>
      <c r="H588" s="0" t="n">
        <v>251.64</v>
      </c>
      <c r="I588" s="0" t="n">
        <v>253.14</v>
      </c>
    </row>
    <row r="589" customFormat="false" ht="14.25" hidden="false" customHeight="false" outlineLevel="0" collapsed="false">
      <c r="A589" s="0" t="n">
        <v>501</v>
      </c>
      <c r="B589" s="0" t="s">
        <v>89</v>
      </c>
      <c r="C589" s="0" t="s">
        <v>85</v>
      </c>
      <c r="D589" s="0" t="n">
        <v>168</v>
      </c>
      <c r="E589" s="0" t="s">
        <v>40</v>
      </c>
      <c r="F589" s="0" t="n">
        <v>2</v>
      </c>
      <c r="G589" s="0" t="str">
        <f aca="false">CONCATENATE(B589, "-",C589, "-", D589, "-", F589)</f>
        <v>M0112-A-168-2</v>
      </c>
      <c r="H589" s="0" t="n">
        <v>253.14</v>
      </c>
      <c r="I589" s="0" t="n">
        <v>254.06</v>
      </c>
    </row>
    <row r="590" customFormat="false" ht="14.25" hidden="false" customHeight="false" outlineLevel="0" collapsed="false">
      <c r="A590" s="0" t="n">
        <v>501</v>
      </c>
      <c r="B590" s="0" t="s">
        <v>89</v>
      </c>
      <c r="C590" s="0" t="s">
        <v>85</v>
      </c>
      <c r="D590" s="0" t="n">
        <v>169</v>
      </c>
      <c r="E590" s="0" t="s">
        <v>40</v>
      </c>
      <c r="F590" s="0" t="n">
        <v>1</v>
      </c>
      <c r="G590" s="0" t="str">
        <f aca="false">CONCATENATE(B590, "-",C590, "-", D590, "-", F590)</f>
        <v>M0112-A-169-1</v>
      </c>
      <c r="H590" s="0" t="n">
        <v>254.06</v>
      </c>
      <c r="I590" s="0" t="n">
        <v>255.56</v>
      </c>
    </row>
    <row r="591" customFormat="false" ht="14.25" hidden="false" customHeight="false" outlineLevel="0" collapsed="false">
      <c r="A591" s="0" t="n">
        <v>501</v>
      </c>
      <c r="B591" s="0" t="s">
        <v>89</v>
      </c>
      <c r="C591" s="0" t="s">
        <v>85</v>
      </c>
      <c r="D591" s="0" t="n">
        <v>169</v>
      </c>
      <c r="E591" s="0" t="s">
        <v>40</v>
      </c>
      <c r="F591" s="0" t="n">
        <v>2</v>
      </c>
      <c r="G591" s="0" t="str">
        <f aca="false">CONCATENATE(B591, "-",C591, "-", D591, "-", F591)</f>
        <v>M0112-A-169-2</v>
      </c>
      <c r="H591" s="0" t="n">
        <v>255.56</v>
      </c>
      <c r="I591" s="0" t="n">
        <v>257.02</v>
      </c>
    </row>
    <row r="592" customFormat="false" ht="14.25" hidden="false" customHeight="false" outlineLevel="0" collapsed="false">
      <c r="A592" s="0" t="n">
        <v>501</v>
      </c>
      <c r="B592" s="0" t="s">
        <v>89</v>
      </c>
      <c r="C592" s="0" t="s">
        <v>85</v>
      </c>
      <c r="D592" s="0" t="n">
        <v>170</v>
      </c>
      <c r="E592" s="0" t="s">
        <v>40</v>
      </c>
      <c r="F592" s="0" t="n">
        <v>1</v>
      </c>
      <c r="G592" s="0" t="str">
        <f aca="false">CONCATENATE(B592, "-",C592, "-", D592, "-", F592)</f>
        <v>M0112-A-170-1</v>
      </c>
      <c r="H592" s="0" t="n">
        <v>257.02</v>
      </c>
      <c r="I592" s="0" t="n">
        <v>258.52</v>
      </c>
    </row>
    <row r="593" customFormat="false" ht="14.25" hidden="false" customHeight="false" outlineLevel="0" collapsed="false">
      <c r="A593" s="0" t="n">
        <v>501</v>
      </c>
      <c r="B593" s="0" t="s">
        <v>89</v>
      </c>
      <c r="C593" s="0" t="s">
        <v>85</v>
      </c>
      <c r="D593" s="0" t="n">
        <v>170</v>
      </c>
      <c r="E593" s="0" t="s">
        <v>40</v>
      </c>
      <c r="F593" s="0" t="n">
        <v>2</v>
      </c>
      <c r="G593" s="0" t="str">
        <f aca="false">CONCATENATE(B593, "-",C593, "-", D593, "-", F593)</f>
        <v>M0112-A-170-2</v>
      </c>
      <c r="H593" s="0" t="n">
        <v>258.52</v>
      </c>
      <c r="I593" s="0" t="n">
        <v>259.52</v>
      </c>
    </row>
    <row r="594" customFormat="false" ht="14.25" hidden="false" customHeight="false" outlineLevel="0" collapsed="false">
      <c r="A594" s="0" t="n">
        <v>501</v>
      </c>
      <c r="B594" s="0" t="s">
        <v>89</v>
      </c>
      <c r="C594" s="0" t="s">
        <v>85</v>
      </c>
      <c r="D594" s="0" t="n">
        <v>171</v>
      </c>
      <c r="E594" s="0" t="s">
        <v>40</v>
      </c>
      <c r="F594" s="0" t="n">
        <v>1</v>
      </c>
      <c r="G594" s="0" t="str">
        <f aca="false">CONCATENATE(B594, "-",C594, "-", D594, "-", F594)</f>
        <v>M0112-A-171-1</v>
      </c>
      <c r="H594" s="0" t="n">
        <v>259.52</v>
      </c>
      <c r="I594" s="0" t="n">
        <v>261.01</v>
      </c>
    </row>
    <row r="595" customFormat="false" ht="14.25" hidden="false" customHeight="false" outlineLevel="0" collapsed="false">
      <c r="A595" s="0" t="n">
        <v>501</v>
      </c>
      <c r="B595" s="0" t="s">
        <v>89</v>
      </c>
      <c r="C595" s="0" t="s">
        <v>85</v>
      </c>
      <c r="D595" s="0" t="n">
        <v>171</v>
      </c>
      <c r="E595" s="0" t="s">
        <v>40</v>
      </c>
      <c r="F595" s="0" t="n">
        <v>2</v>
      </c>
      <c r="G595" s="0" t="str">
        <f aca="false">CONCATENATE(B595, "-",C595, "-", D595, "-", F595)</f>
        <v>M0112-A-171-2</v>
      </c>
      <c r="H595" s="0" t="n">
        <v>261.01</v>
      </c>
      <c r="I595" s="0" t="n">
        <v>261.82</v>
      </c>
    </row>
    <row r="596" customFormat="false" ht="14.25" hidden="false" customHeight="false" outlineLevel="0" collapsed="false">
      <c r="A596" s="0" t="n">
        <v>501</v>
      </c>
      <c r="B596" s="0" t="s">
        <v>89</v>
      </c>
      <c r="C596" s="0" t="s">
        <v>85</v>
      </c>
      <c r="D596" s="0" t="n">
        <v>172</v>
      </c>
      <c r="E596" s="0" t="s">
        <v>40</v>
      </c>
      <c r="F596" s="0" t="n">
        <v>1</v>
      </c>
      <c r="G596" s="0" t="str">
        <f aca="false">CONCATENATE(B596, "-",C596, "-", D596, "-", F596)</f>
        <v>M0112-A-172-1</v>
      </c>
      <c r="H596" s="0" t="n">
        <v>261.82</v>
      </c>
      <c r="I596" s="0" t="n">
        <v>263.31</v>
      </c>
    </row>
    <row r="597" customFormat="false" ht="14.25" hidden="false" customHeight="false" outlineLevel="0" collapsed="false">
      <c r="A597" s="0" t="n">
        <v>501</v>
      </c>
      <c r="B597" s="0" t="s">
        <v>89</v>
      </c>
      <c r="C597" s="0" t="s">
        <v>85</v>
      </c>
      <c r="D597" s="0" t="n">
        <v>172</v>
      </c>
      <c r="E597" s="0" t="s">
        <v>40</v>
      </c>
      <c r="F597" s="0" t="n">
        <v>2</v>
      </c>
      <c r="G597" s="0" t="str">
        <f aca="false">CONCATENATE(B597, "-",C597, "-", D597, "-", F597)</f>
        <v>M0112-A-172-2</v>
      </c>
      <c r="H597" s="0" t="n">
        <v>263.31</v>
      </c>
      <c r="I597" s="0" t="n">
        <v>263.86</v>
      </c>
    </row>
    <row r="598" customFormat="false" ht="14.25" hidden="false" customHeight="false" outlineLevel="0" collapsed="false">
      <c r="A598" s="0" t="n">
        <v>501</v>
      </c>
      <c r="B598" s="0" t="s">
        <v>89</v>
      </c>
      <c r="C598" s="0" t="s">
        <v>85</v>
      </c>
      <c r="D598" s="0" t="n">
        <v>173</v>
      </c>
      <c r="E598" s="0" t="s">
        <v>40</v>
      </c>
      <c r="F598" s="0" t="n">
        <v>1</v>
      </c>
      <c r="G598" s="0" t="str">
        <f aca="false">CONCATENATE(B598, "-",C598, "-", D598, "-", F598)</f>
        <v>M0112-A-173-1</v>
      </c>
      <c r="H598" s="0" t="n">
        <v>263.86</v>
      </c>
      <c r="I598" s="0" t="n">
        <v>264.7</v>
      </c>
    </row>
    <row r="599" customFormat="false" ht="14.25" hidden="false" customHeight="false" outlineLevel="0" collapsed="false">
      <c r="A599" s="0" t="n">
        <v>501</v>
      </c>
      <c r="B599" s="0" t="s">
        <v>89</v>
      </c>
      <c r="C599" s="0" t="s">
        <v>85</v>
      </c>
      <c r="D599" s="0" t="n">
        <v>174</v>
      </c>
      <c r="E599" s="0" t="s">
        <v>40</v>
      </c>
      <c r="F599" s="0" t="n">
        <v>1</v>
      </c>
      <c r="G599" s="0" t="str">
        <f aca="false">CONCATENATE(B599, "-",C599, "-", D599, "-", F599)</f>
        <v>M0112-A-174-1</v>
      </c>
      <c r="H599" s="0" t="n">
        <v>264.7</v>
      </c>
      <c r="I599" s="0" t="n">
        <v>265.25</v>
      </c>
    </row>
    <row r="600" customFormat="false" ht="14.25" hidden="false" customHeight="false" outlineLevel="0" collapsed="false">
      <c r="A600" s="0" t="n">
        <v>501</v>
      </c>
      <c r="B600" s="0" t="s">
        <v>89</v>
      </c>
      <c r="C600" s="0" t="s">
        <v>85</v>
      </c>
      <c r="D600" s="0" t="n">
        <v>174</v>
      </c>
      <c r="E600" s="0" t="s">
        <v>40</v>
      </c>
      <c r="F600" s="0" t="n">
        <v>2</v>
      </c>
      <c r="G600" s="0" t="str">
        <f aca="false">CONCATENATE(B600, "-",C600, "-", D600, "-", F600)</f>
        <v>M0112-A-174-2</v>
      </c>
      <c r="H600" s="0" t="n">
        <v>265.25</v>
      </c>
      <c r="I600" s="0" t="n">
        <v>266.43</v>
      </c>
    </row>
    <row r="601" customFormat="false" ht="14.25" hidden="false" customHeight="false" outlineLevel="0" collapsed="false">
      <c r="A601" s="0" t="n">
        <v>501</v>
      </c>
      <c r="B601" s="0" t="s">
        <v>89</v>
      </c>
      <c r="C601" s="0" t="s">
        <v>85</v>
      </c>
      <c r="D601" s="0" t="n">
        <v>175</v>
      </c>
      <c r="E601" s="0" t="s">
        <v>40</v>
      </c>
      <c r="F601" s="0" t="n">
        <v>1</v>
      </c>
      <c r="G601" s="0" t="str">
        <f aca="false">CONCATENATE(B601, "-",C601, "-", D601, "-", F601)</f>
        <v>M0112-A-175-1</v>
      </c>
      <c r="H601" s="0" t="n">
        <v>266.43</v>
      </c>
      <c r="I601" s="0" t="n">
        <v>267.92</v>
      </c>
    </row>
    <row r="602" customFormat="false" ht="14.25" hidden="false" customHeight="false" outlineLevel="0" collapsed="false">
      <c r="A602" s="0" t="n">
        <v>501</v>
      </c>
      <c r="B602" s="0" t="s">
        <v>89</v>
      </c>
      <c r="C602" s="0" t="s">
        <v>85</v>
      </c>
      <c r="D602" s="0" t="n">
        <v>175</v>
      </c>
      <c r="E602" s="0" t="s">
        <v>40</v>
      </c>
      <c r="F602" s="0" t="n">
        <v>2</v>
      </c>
      <c r="G602" s="0" t="str">
        <f aca="false">CONCATENATE(B602, "-",C602, "-", D602, "-", F602)</f>
        <v>M0112-A-175-2</v>
      </c>
      <c r="H602" s="0" t="n">
        <v>267.92</v>
      </c>
      <c r="I602" s="0" t="n">
        <v>269.34</v>
      </c>
    </row>
    <row r="603" customFormat="false" ht="14.25" hidden="false" customHeight="false" outlineLevel="0" collapsed="false">
      <c r="A603" s="0" t="n">
        <v>501</v>
      </c>
      <c r="B603" s="0" t="s">
        <v>89</v>
      </c>
      <c r="C603" s="0" t="s">
        <v>85</v>
      </c>
      <c r="D603" s="0" t="n">
        <v>176</v>
      </c>
      <c r="E603" s="0" t="s">
        <v>40</v>
      </c>
      <c r="F603" s="0" t="n">
        <v>1</v>
      </c>
      <c r="G603" s="0" t="str">
        <f aca="false">CONCATENATE(B603, "-",C603, "-", D603, "-", F603)</f>
        <v>M0112-A-176-1</v>
      </c>
      <c r="H603" s="0" t="n">
        <v>269.34</v>
      </c>
      <c r="I603" s="0" t="n">
        <v>269.59</v>
      </c>
    </row>
    <row r="604" customFormat="false" ht="14.25" hidden="false" customHeight="false" outlineLevel="0" collapsed="false">
      <c r="A604" s="0" t="n">
        <v>501</v>
      </c>
      <c r="B604" s="0" t="s">
        <v>89</v>
      </c>
      <c r="C604" s="0" t="s">
        <v>85</v>
      </c>
      <c r="D604" s="0" t="n">
        <v>176</v>
      </c>
      <c r="E604" s="0" t="s">
        <v>40</v>
      </c>
      <c r="F604" s="0" t="n">
        <v>2</v>
      </c>
      <c r="G604" s="0" t="str">
        <f aca="false">CONCATENATE(B604, "-",C604, "-", D604, "-", F604)</f>
        <v>M0112-A-176-2</v>
      </c>
      <c r="H604" s="0" t="n">
        <v>269.59</v>
      </c>
      <c r="I604" s="0" t="n">
        <v>270.54</v>
      </c>
    </row>
    <row r="605" customFormat="false" ht="14.25" hidden="false" customHeight="false" outlineLevel="0" collapsed="false">
      <c r="A605" s="0" t="n">
        <v>501</v>
      </c>
      <c r="B605" s="0" t="s">
        <v>89</v>
      </c>
      <c r="C605" s="0" t="s">
        <v>85</v>
      </c>
      <c r="D605" s="0" t="n">
        <v>177</v>
      </c>
      <c r="E605" s="0" t="s">
        <v>40</v>
      </c>
      <c r="F605" s="0" t="n">
        <v>1</v>
      </c>
      <c r="G605" s="0" t="str">
        <f aca="false">CONCATENATE(B605, "-",C605, "-", D605, "-", F605)</f>
        <v>M0112-A-177-1</v>
      </c>
      <c r="H605" s="0" t="n">
        <v>270.54</v>
      </c>
      <c r="I605" s="0" t="n">
        <v>270.68</v>
      </c>
    </row>
    <row r="606" customFormat="false" ht="14.25" hidden="false" customHeight="false" outlineLevel="0" collapsed="false">
      <c r="A606" s="0" t="n">
        <v>501</v>
      </c>
      <c r="B606" s="0" t="s">
        <v>89</v>
      </c>
      <c r="C606" s="0" t="s">
        <v>85</v>
      </c>
      <c r="D606" s="0" t="n">
        <v>177</v>
      </c>
      <c r="E606" s="0" t="s">
        <v>40</v>
      </c>
      <c r="F606" s="0" t="n">
        <v>2</v>
      </c>
      <c r="G606" s="0" t="str">
        <f aca="false">CONCATENATE(B606, "-",C606, "-", D606, "-", F606)</f>
        <v>M0112-A-177-2</v>
      </c>
      <c r="H606" s="0" t="n">
        <v>270.68</v>
      </c>
      <c r="I606" s="0" t="n">
        <v>272.18</v>
      </c>
    </row>
    <row r="607" customFormat="false" ht="14.25" hidden="false" customHeight="false" outlineLevel="0" collapsed="false">
      <c r="A607" s="0" t="n">
        <v>501</v>
      </c>
      <c r="B607" s="0" t="s">
        <v>89</v>
      </c>
      <c r="C607" s="0" t="s">
        <v>85</v>
      </c>
      <c r="D607" s="0" t="n">
        <v>177</v>
      </c>
      <c r="E607" s="0" t="s">
        <v>40</v>
      </c>
      <c r="F607" s="0" t="n">
        <v>3</v>
      </c>
      <c r="G607" s="0" t="str">
        <f aca="false">CONCATENATE(B607, "-",C607, "-", D607, "-", F607)</f>
        <v>M0112-A-177-3</v>
      </c>
      <c r="H607" s="0" t="n">
        <v>272.18</v>
      </c>
      <c r="I607" s="0" t="n">
        <v>273.35</v>
      </c>
    </row>
    <row r="608" customFormat="false" ht="14.25" hidden="false" customHeight="false" outlineLevel="0" collapsed="false">
      <c r="A608" s="0" t="n">
        <v>501</v>
      </c>
      <c r="B608" s="0" t="s">
        <v>89</v>
      </c>
      <c r="C608" s="0" t="s">
        <v>85</v>
      </c>
      <c r="D608" s="0" t="n">
        <v>178</v>
      </c>
      <c r="E608" s="0" t="s">
        <v>40</v>
      </c>
      <c r="F608" s="0" t="n">
        <v>1</v>
      </c>
      <c r="G608" s="0" t="str">
        <f aca="false">CONCATENATE(B608, "-",C608, "-", D608, "-", F608)</f>
        <v>M0112-A-178-1</v>
      </c>
      <c r="H608" s="0" t="n">
        <v>273.35</v>
      </c>
      <c r="I608" s="0" t="n">
        <v>274.84</v>
      </c>
    </row>
    <row r="609" customFormat="false" ht="14.25" hidden="false" customHeight="false" outlineLevel="0" collapsed="false">
      <c r="A609" s="0" t="n">
        <v>501</v>
      </c>
      <c r="B609" s="0" t="s">
        <v>89</v>
      </c>
      <c r="C609" s="0" t="s">
        <v>85</v>
      </c>
      <c r="D609" s="0" t="n">
        <v>178</v>
      </c>
      <c r="E609" s="0" t="s">
        <v>40</v>
      </c>
      <c r="F609" s="0" t="n">
        <v>2</v>
      </c>
      <c r="G609" s="0" t="str">
        <f aca="false">CONCATENATE(B609, "-",C609, "-", D609, "-", F609)</f>
        <v>M0112-A-178-2</v>
      </c>
      <c r="H609" s="0" t="n">
        <v>274.84</v>
      </c>
      <c r="I609" s="0" t="n">
        <v>275.93</v>
      </c>
    </row>
    <row r="610" customFormat="false" ht="14.25" hidden="false" customHeight="false" outlineLevel="0" collapsed="false">
      <c r="A610" s="0" t="n">
        <v>501</v>
      </c>
      <c r="B610" s="0" t="s">
        <v>89</v>
      </c>
      <c r="C610" s="0" t="s">
        <v>85</v>
      </c>
      <c r="D610" s="0" t="n">
        <v>179</v>
      </c>
      <c r="E610" s="0" t="s">
        <v>40</v>
      </c>
      <c r="F610" s="0" t="n">
        <v>1</v>
      </c>
      <c r="G610" s="0" t="str">
        <f aca="false">CONCATENATE(B610, "-",C610, "-", D610, "-", F610)</f>
        <v>M0112-A-179-1</v>
      </c>
      <c r="H610" s="0" t="n">
        <v>275.93</v>
      </c>
      <c r="I610" s="0" t="n">
        <v>276.93</v>
      </c>
    </row>
    <row r="611" customFormat="false" ht="14.25" hidden="false" customHeight="false" outlineLevel="0" collapsed="false">
      <c r="A611" s="0" t="n">
        <v>501</v>
      </c>
      <c r="B611" s="0" t="s">
        <v>89</v>
      </c>
      <c r="C611" s="0" t="s">
        <v>85</v>
      </c>
      <c r="D611" s="0" t="n">
        <v>179</v>
      </c>
      <c r="E611" s="0" t="s">
        <v>40</v>
      </c>
      <c r="F611" s="0" t="n">
        <v>2</v>
      </c>
      <c r="G611" s="0" t="str">
        <f aca="false">CONCATENATE(B611, "-",C611, "-", D611, "-", F611)</f>
        <v>M0112-A-179-2</v>
      </c>
      <c r="H611" s="0" t="n">
        <v>276.93</v>
      </c>
      <c r="I611" s="0" t="n">
        <v>277.74</v>
      </c>
    </row>
    <row r="612" customFormat="false" ht="14.25" hidden="false" customHeight="false" outlineLevel="0" collapsed="false">
      <c r="A612" s="0" t="n">
        <v>501</v>
      </c>
      <c r="B612" s="0" t="s">
        <v>89</v>
      </c>
      <c r="C612" s="0" t="s">
        <v>85</v>
      </c>
      <c r="D612" s="0" t="n">
        <v>180</v>
      </c>
      <c r="E612" s="0" t="s">
        <v>40</v>
      </c>
      <c r="F612" s="0" t="n">
        <v>1</v>
      </c>
      <c r="G612" s="0" t="str">
        <f aca="false">CONCATENATE(B612, "-",C612, "-", D612, "-", F612)</f>
        <v>M0112-A-180-1</v>
      </c>
      <c r="H612" s="0" t="n">
        <v>277.74</v>
      </c>
      <c r="I612" s="0" t="n">
        <v>278.24</v>
      </c>
    </row>
    <row r="613" customFormat="false" ht="14.25" hidden="false" customHeight="false" outlineLevel="0" collapsed="false">
      <c r="A613" s="0" t="n">
        <v>501</v>
      </c>
      <c r="B613" s="0" t="s">
        <v>89</v>
      </c>
      <c r="C613" s="0" t="s">
        <v>85</v>
      </c>
      <c r="D613" s="0" t="n">
        <v>181</v>
      </c>
      <c r="E613" s="0" t="s">
        <v>44</v>
      </c>
      <c r="F613" s="0" t="n">
        <v>1</v>
      </c>
      <c r="G613" s="0" t="str">
        <f aca="false">CONCATENATE(B613, "-",C613, "-", D613, "-", F613)</f>
        <v>M0112-A-181-1</v>
      </c>
      <c r="H613" s="0" t="n">
        <v>278.24</v>
      </c>
      <c r="I613" s="0" t="n">
        <v>278.45</v>
      </c>
    </row>
    <row r="614" customFormat="false" ht="14.25" hidden="false" customHeight="false" outlineLevel="0" collapsed="false">
      <c r="A614" s="0" t="n">
        <v>501</v>
      </c>
      <c r="B614" s="0" t="s">
        <v>89</v>
      </c>
      <c r="C614" s="0" t="s">
        <v>85</v>
      </c>
      <c r="D614" s="0" t="n">
        <v>182</v>
      </c>
      <c r="E614" s="0" t="s">
        <v>44</v>
      </c>
      <c r="F614" s="0" t="n">
        <v>1</v>
      </c>
      <c r="G614" s="0" t="str">
        <f aca="false">CONCATENATE(B614, "-",C614, "-", D614, "-", F614)</f>
        <v>M0112-A-182-1</v>
      </c>
      <c r="H614" s="0" t="n">
        <v>279.74</v>
      </c>
      <c r="I614" s="0" t="n">
        <v>279.87</v>
      </c>
    </row>
    <row r="615" customFormat="false" ht="14.25" hidden="false" customHeight="false" outlineLevel="0" collapsed="false">
      <c r="A615" s="0" t="n">
        <v>501</v>
      </c>
      <c r="B615" s="0" t="s">
        <v>89</v>
      </c>
      <c r="C615" s="0" t="s">
        <v>85</v>
      </c>
      <c r="D615" s="0" t="n">
        <v>183</v>
      </c>
      <c r="E615" s="0" t="s">
        <v>44</v>
      </c>
      <c r="F615" s="0" t="n">
        <v>1</v>
      </c>
      <c r="G615" s="0" t="str">
        <f aca="false">CONCATENATE(B615, "-",C615, "-", D615, "-", F615)</f>
        <v>M0112-A-183-1</v>
      </c>
      <c r="H615" s="0" t="n">
        <v>281.21</v>
      </c>
      <c r="I615" s="0" t="n">
        <v>281.29</v>
      </c>
    </row>
    <row r="616" customFormat="false" ht="14.25" hidden="false" customHeight="false" outlineLevel="0" collapsed="false">
      <c r="A616" s="0" t="n">
        <v>501</v>
      </c>
      <c r="B616" s="0" t="s">
        <v>89</v>
      </c>
      <c r="C616" s="0" t="s">
        <v>85</v>
      </c>
      <c r="D616" s="0" t="n">
        <v>185</v>
      </c>
      <c r="E616" s="0" t="s">
        <v>44</v>
      </c>
      <c r="F616" s="0" t="n">
        <v>1</v>
      </c>
      <c r="G616" s="0" t="str">
        <f aca="false">CONCATENATE(B616, "-",C616, "-", D616, "-", F616)</f>
        <v>M0112-A-185-1</v>
      </c>
      <c r="H616" s="0" t="n">
        <v>284.21</v>
      </c>
      <c r="I616" s="0" t="n">
        <v>285.36</v>
      </c>
    </row>
    <row r="617" customFormat="false" ht="14.25" hidden="false" customHeight="false" outlineLevel="0" collapsed="false">
      <c r="A617" s="0" t="n">
        <v>501</v>
      </c>
      <c r="B617" s="0" t="s">
        <v>89</v>
      </c>
      <c r="C617" s="0" t="s">
        <v>85</v>
      </c>
      <c r="D617" s="0" t="n">
        <v>185</v>
      </c>
      <c r="E617" s="0" t="s">
        <v>44</v>
      </c>
      <c r="F617" s="0" t="n">
        <v>2</v>
      </c>
      <c r="G617" s="0" t="str">
        <f aca="false">CONCATENATE(B617, "-",C617, "-", D617, "-", F617)</f>
        <v>M0112-A-185-2</v>
      </c>
      <c r="H617" s="0" t="n">
        <v>285.36</v>
      </c>
      <c r="I617" s="0" t="n">
        <v>285.96</v>
      </c>
    </row>
    <row r="618" customFormat="false" ht="14.25" hidden="false" customHeight="false" outlineLevel="0" collapsed="false">
      <c r="A618" s="0" t="n">
        <v>501</v>
      </c>
      <c r="B618" s="0" t="s">
        <v>89</v>
      </c>
      <c r="C618" s="0" t="s">
        <v>85</v>
      </c>
      <c r="D618" s="0" t="n">
        <v>186</v>
      </c>
      <c r="E618" s="0" t="s">
        <v>44</v>
      </c>
      <c r="F618" s="0" t="n">
        <v>1</v>
      </c>
      <c r="G618" s="0" t="str">
        <f aca="false">CONCATENATE(B618, "-",C618, "-", D618, "-", F618)</f>
        <v>M0112-A-186-1</v>
      </c>
      <c r="H618" s="0" t="n">
        <v>286.21</v>
      </c>
      <c r="I618" s="0" t="n">
        <v>286.81</v>
      </c>
    </row>
    <row r="619" customFormat="false" ht="14.25" hidden="false" customHeight="false" outlineLevel="0" collapsed="false">
      <c r="A619" s="0" t="n">
        <v>501</v>
      </c>
      <c r="B619" s="0" t="s">
        <v>89</v>
      </c>
      <c r="C619" s="0" t="s">
        <v>85</v>
      </c>
      <c r="D619" s="0" t="n">
        <v>187</v>
      </c>
      <c r="E619" s="0" t="s">
        <v>44</v>
      </c>
      <c r="F619" s="0" t="n">
        <v>1</v>
      </c>
      <c r="G619" s="0" t="str">
        <f aca="false">CONCATENATE(B619, "-",C619, "-", D619, "-", F619)</f>
        <v>M0112-A-187-1</v>
      </c>
      <c r="H619" s="0" t="n">
        <v>288.21</v>
      </c>
      <c r="I619" s="0" t="n">
        <v>288.35</v>
      </c>
    </row>
    <row r="620" customFormat="false" ht="14.25" hidden="false" customHeight="false" outlineLevel="0" collapsed="false">
      <c r="A620" s="0" t="n">
        <v>501</v>
      </c>
      <c r="B620" s="0" t="s">
        <v>89</v>
      </c>
      <c r="C620" s="0" t="s">
        <v>85</v>
      </c>
      <c r="D620" s="0" t="n">
        <v>189</v>
      </c>
      <c r="E620" s="0" t="s">
        <v>44</v>
      </c>
      <c r="F620" s="0" t="n">
        <v>1</v>
      </c>
      <c r="G620" s="0" t="str">
        <f aca="false">CONCATENATE(B620, "-",C620, "-", D620, "-", F620)</f>
        <v>M0112-A-189-1</v>
      </c>
      <c r="H620" s="0" t="n">
        <v>290.21</v>
      </c>
      <c r="I620" s="0" t="n">
        <v>290.88</v>
      </c>
    </row>
    <row r="621" customFormat="false" ht="14.25" hidden="false" customHeight="false" outlineLevel="0" collapsed="false">
      <c r="A621" s="0" t="n">
        <v>501</v>
      </c>
      <c r="B621" s="0" t="s">
        <v>89</v>
      </c>
      <c r="C621" s="0" t="s">
        <v>85</v>
      </c>
      <c r="D621" s="0" t="n">
        <v>190</v>
      </c>
      <c r="E621" s="0" t="s">
        <v>44</v>
      </c>
      <c r="F621" s="0" t="n">
        <v>1</v>
      </c>
      <c r="G621" s="0" t="str">
        <f aca="false">CONCATENATE(B621, "-",C621, "-", D621, "-", F621)</f>
        <v>M0112-A-190-1</v>
      </c>
      <c r="H621" s="0" t="n">
        <v>291.21</v>
      </c>
      <c r="I621" s="0" t="n">
        <v>291.36</v>
      </c>
    </row>
    <row r="622" customFormat="false" ht="14.25" hidden="false" customHeight="false" outlineLevel="0" collapsed="false">
      <c r="A622" s="0" t="n">
        <v>501</v>
      </c>
      <c r="B622" s="0" t="s">
        <v>89</v>
      </c>
      <c r="C622" s="0" t="s">
        <v>85</v>
      </c>
      <c r="D622" s="0" t="n">
        <v>191</v>
      </c>
      <c r="E622" s="0" t="s">
        <v>44</v>
      </c>
      <c r="F622" s="0" t="n">
        <v>1</v>
      </c>
      <c r="G622" s="0" t="str">
        <f aca="false">CONCATENATE(B622, "-",C622, "-", D622, "-", F622)</f>
        <v>M0112-A-191-1</v>
      </c>
      <c r="H622" s="0" t="n">
        <v>292.21</v>
      </c>
      <c r="I622" s="0" t="n">
        <v>292.35</v>
      </c>
    </row>
    <row r="623" customFormat="false" ht="14.25" hidden="false" customHeight="false" outlineLevel="0" collapsed="false">
      <c r="A623" s="0" t="n">
        <v>501</v>
      </c>
      <c r="B623" s="0" t="s">
        <v>89</v>
      </c>
      <c r="C623" s="0" t="s">
        <v>85</v>
      </c>
      <c r="D623" s="0" t="n">
        <v>194</v>
      </c>
      <c r="E623" s="0" t="s">
        <v>44</v>
      </c>
      <c r="F623" s="0" t="n">
        <v>1</v>
      </c>
      <c r="G623" s="0" t="str">
        <f aca="false">CONCATENATE(B623, "-",C623, "-", D623, "-", F623)</f>
        <v>M0112-A-194-1</v>
      </c>
      <c r="H623" s="0" t="n">
        <v>294.41</v>
      </c>
      <c r="I623" s="0" t="n">
        <v>294.43</v>
      </c>
    </row>
    <row r="624" customFormat="false" ht="14.25" hidden="false" customHeight="false" outlineLevel="0" collapsed="false">
      <c r="A624" s="0" t="n">
        <v>501</v>
      </c>
      <c r="B624" s="0" t="s">
        <v>89</v>
      </c>
      <c r="C624" s="0" t="s">
        <v>85</v>
      </c>
      <c r="D624" s="0" t="n">
        <v>195</v>
      </c>
      <c r="E624" s="0" t="s">
        <v>44</v>
      </c>
      <c r="F624" s="0" t="n">
        <v>1</v>
      </c>
      <c r="G624" s="0" t="str">
        <f aca="false">CONCATENATE(B624, "-",C624, "-", D624, "-", F624)</f>
        <v>M0112-A-195-1</v>
      </c>
      <c r="H624" s="0" t="n">
        <v>295.41</v>
      </c>
      <c r="I624" s="0" t="n">
        <v>295.7</v>
      </c>
    </row>
    <row r="625" customFormat="false" ht="14.25" hidden="false" customHeight="false" outlineLevel="0" collapsed="false">
      <c r="A625" s="0" t="n">
        <v>501</v>
      </c>
      <c r="B625" s="0" t="s">
        <v>89</v>
      </c>
      <c r="C625" s="0" t="s">
        <v>85</v>
      </c>
      <c r="D625" s="0" t="n">
        <v>196</v>
      </c>
      <c r="E625" s="0" t="s">
        <v>44</v>
      </c>
      <c r="F625" s="0" t="n">
        <v>1</v>
      </c>
      <c r="G625" s="0" t="str">
        <f aca="false">CONCATENATE(B625, "-",C625, "-", D625, "-", F625)</f>
        <v>M0112-A-196-1</v>
      </c>
      <c r="H625" s="0" t="n">
        <v>295.66</v>
      </c>
      <c r="I625" s="0" t="n">
        <v>296.5</v>
      </c>
    </row>
    <row r="626" customFormat="false" ht="14.25" hidden="false" customHeight="false" outlineLevel="0" collapsed="false">
      <c r="A626" s="0" t="n">
        <v>501</v>
      </c>
      <c r="B626" s="0" t="s">
        <v>89</v>
      </c>
      <c r="C626" s="0" t="s">
        <v>85</v>
      </c>
      <c r="D626" s="0" t="n">
        <v>197</v>
      </c>
      <c r="E626" s="0" t="s">
        <v>44</v>
      </c>
      <c r="F626" s="0" t="n">
        <v>1</v>
      </c>
      <c r="G626" s="0" t="str">
        <f aca="false">CONCATENATE(B626, "-",C626, "-", D626, "-", F626)</f>
        <v>M0112-A-197-1</v>
      </c>
      <c r="H626" s="0" t="n">
        <v>297.21</v>
      </c>
      <c r="I626" s="0" t="n">
        <v>298.16</v>
      </c>
    </row>
    <row r="627" customFormat="false" ht="14.25" hidden="false" customHeight="false" outlineLevel="0" collapsed="false">
      <c r="A627" s="0" t="n">
        <v>501</v>
      </c>
      <c r="B627" s="0" t="s">
        <v>89</v>
      </c>
      <c r="C627" s="0" t="s">
        <v>85</v>
      </c>
      <c r="D627" s="0" t="n">
        <v>198</v>
      </c>
      <c r="E627" s="0" t="s">
        <v>44</v>
      </c>
      <c r="F627" s="0" t="n">
        <v>1</v>
      </c>
      <c r="G627" s="0" t="str">
        <f aca="false">CONCATENATE(B627, "-",C627, "-", D627, "-", F627)</f>
        <v>M0112-A-198-1</v>
      </c>
      <c r="H627" s="0" t="n">
        <v>298.21</v>
      </c>
      <c r="I627" s="0" t="n">
        <v>299.21</v>
      </c>
    </row>
    <row r="628" customFormat="false" ht="14.25" hidden="false" customHeight="false" outlineLevel="0" collapsed="false">
      <c r="A628" s="0" t="n">
        <v>501</v>
      </c>
      <c r="B628" s="0" t="s">
        <v>89</v>
      </c>
      <c r="C628" s="0" t="s">
        <v>85</v>
      </c>
      <c r="D628" s="0" t="n">
        <v>199</v>
      </c>
      <c r="E628" s="0" t="s">
        <v>44</v>
      </c>
      <c r="F628" s="0" t="n">
        <v>1</v>
      </c>
      <c r="G628" s="0" t="str">
        <f aca="false">CONCATENATE(B628, "-",C628, "-", D628, "-", F628)</f>
        <v>M0112-A-199-1</v>
      </c>
      <c r="H628" s="0" t="n">
        <v>299.21</v>
      </c>
      <c r="I628" s="0" t="n">
        <v>299.51</v>
      </c>
    </row>
    <row r="629" customFormat="false" ht="14.25" hidden="false" customHeight="false" outlineLevel="0" collapsed="false">
      <c r="A629" s="0" t="n">
        <v>501</v>
      </c>
      <c r="B629" s="0" t="s">
        <v>89</v>
      </c>
      <c r="C629" s="0" t="s">
        <v>85</v>
      </c>
      <c r="D629" s="0" t="n">
        <v>200</v>
      </c>
      <c r="E629" s="0" t="s">
        <v>44</v>
      </c>
      <c r="F629" s="0" t="n">
        <v>1</v>
      </c>
      <c r="G629" s="0" t="str">
        <f aca="false">CONCATENATE(B629, "-",C629, "-", D629, "-", F629)</f>
        <v>M0112-A-200-1</v>
      </c>
      <c r="H629" s="0" t="n">
        <v>300.21</v>
      </c>
      <c r="I629" s="0" t="n">
        <v>300.68</v>
      </c>
    </row>
    <row r="630" customFormat="false" ht="14.25" hidden="false" customHeight="false" outlineLevel="0" collapsed="false">
      <c r="A630" s="0" t="n">
        <v>501</v>
      </c>
      <c r="B630" s="0" t="s">
        <v>89</v>
      </c>
      <c r="C630" s="0" t="s">
        <v>85</v>
      </c>
      <c r="D630" s="0" t="n">
        <v>201</v>
      </c>
      <c r="E630" s="0" t="s">
        <v>44</v>
      </c>
      <c r="F630" s="0" t="n">
        <v>1</v>
      </c>
      <c r="G630" s="0" t="str">
        <f aca="false">CONCATENATE(B630, "-",C630, "-", D630, "-", F630)</f>
        <v>M0112-A-201-1</v>
      </c>
      <c r="H630" s="0" t="n">
        <v>301.21</v>
      </c>
      <c r="I630" s="0" t="n">
        <v>301.28</v>
      </c>
    </row>
    <row r="631" customFormat="false" ht="14.25" hidden="false" customHeight="false" outlineLevel="0" collapsed="false">
      <c r="A631" s="0" t="n">
        <v>501</v>
      </c>
      <c r="B631" s="0" t="s">
        <v>89</v>
      </c>
      <c r="C631" s="0" t="s">
        <v>85</v>
      </c>
      <c r="D631" s="0" t="n">
        <v>202</v>
      </c>
      <c r="E631" s="0" t="s">
        <v>44</v>
      </c>
      <c r="F631" s="0" t="n">
        <v>1</v>
      </c>
      <c r="G631" s="0" t="str">
        <f aca="false">CONCATENATE(B631, "-",C631, "-", D631, "-", F631)</f>
        <v>M0112-A-202-1</v>
      </c>
      <c r="H631" s="0" t="n">
        <v>302.21</v>
      </c>
      <c r="I631" s="0" t="n">
        <v>302.25</v>
      </c>
    </row>
    <row r="632" customFormat="false" ht="14.25" hidden="false" customHeight="false" outlineLevel="0" collapsed="false">
      <c r="A632" s="0" t="n">
        <v>501</v>
      </c>
      <c r="B632" s="0" t="s">
        <v>89</v>
      </c>
      <c r="C632" s="0" t="s">
        <v>85</v>
      </c>
      <c r="D632" s="0" t="n">
        <v>204</v>
      </c>
      <c r="E632" s="0" t="s">
        <v>44</v>
      </c>
      <c r="F632" s="0" t="n">
        <v>1</v>
      </c>
      <c r="G632" s="0" t="str">
        <f aca="false">CONCATENATE(B632, "-",C632, "-", D632, "-", F632)</f>
        <v>M0112-A-204-1</v>
      </c>
      <c r="H632" s="0" t="n">
        <v>304.21</v>
      </c>
      <c r="I632" s="0" t="n">
        <v>305.75</v>
      </c>
    </row>
    <row r="633" customFormat="false" ht="14.25" hidden="false" customHeight="false" outlineLevel="0" collapsed="false">
      <c r="A633" s="0" t="n">
        <v>501</v>
      </c>
      <c r="B633" s="0" t="s">
        <v>89</v>
      </c>
      <c r="C633" s="0" t="s">
        <v>85</v>
      </c>
      <c r="D633" s="0" t="n">
        <v>205</v>
      </c>
      <c r="E633" s="0" t="s">
        <v>44</v>
      </c>
      <c r="F633" s="0" t="n">
        <v>1</v>
      </c>
      <c r="G633" s="0" t="str">
        <f aca="false">CONCATENATE(B633, "-",C633, "-", D633, "-", F633)</f>
        <v>M0112-A-205-1</v>
      </c>
      <c r="H633" s="0" t="n">
        <v>305.21</v>
      </c>
      <c r="I633" s="0" t="n">
        <v>306.15</v>
      </c>
    </row>
    <row r="634" customFormat="false" ht="14.25" hidden="false" customHeight="false" outlineLevel="0" collapsed="false">
      <c r="A634" s="0" t="n">
        <v>501</v>
      </c>
      <c r="B634" s="0" t="s">
        <v>89</v>
      </c>
      <c r="C634" s="0" t="s">
        <v>85</v>
      </c>
      <c r="D634" s="0" t="n">
        <v>206</v>
      </c>
      <c r="E634" s="0" t="s">
        <v>44</v>
      </c>
      <c r="F634" s="0" t="n">
        <v>1</v>
      </c>
      <c r="G634" s="0" t="str">
        <f aca="false">CONCATENATE(B634, "-",C634, "-", D634, "-", F634)</f>
        <v>M0112-A-206-1</v>
      </c>
      <c r="H634" s="0" t="n">
        <v>306.21</v>
      </c>
      <c r="I634" s="0" t="n">
        <v>306.72</v>
      </c>
    </row>
    <row r="635" customFormat="false" ht="14.25" hidden="false" customHeight="false" outlineLevel="0" collapsed="false">
      <c r="A635" s="0" t="n">
        <v>501</v>
      </c>
      <c r="B635" s="0" t="s">
        <v>89</v>
      </c>
      <c r="C635" s="0" t="s">
        <v>85</v>
      </c>
      <c r="D635" s="0" t="n">
        <v>207</v>
      </c>
      <c r="E635" s="0" t="s">
        <v>44</v>
      </c>
      <c r="F635" s="0" t="n">
        <v>1</v>
      </c>
      <c r="G635" s="0" t="str">
        <f aca="false">CONCATENATE(B635, "-",C635, "-", D635, "-", F635)</f>
        <v>M0112-A-207-1</v>
      </c>
      <c r="H635" s="0" t="n">
        <v>307.21</v>
      </c>
      <c r="I635" s="0" t="n">
        <v>307.22</v>
      </c>
    </row>
    <row r="636" customFormat="false" ht="14.25" hidden="false" customHeight="false" outlineLevel="0" collapsed="false">
      <c r="A636" s="0" t="n">
        <v>501</v>
      </c>
      <c r="B636" s="0" t="s">
        <v>89</v>
      </c>
      <c r="C636" s="0" t="s">
        <v>85</v>
      </c>
      <c r="D636" s="0" t="n">
        <v>209</v>
      </c>
      <c r="E636" s="0" t="s">
        <v>44</v>
      </c>
      <c r="F636" s="0" t="n">
        <v>1</v>
      </c>
      <c r="G636" s="0" t="str">
        <f aca="false">CONCATENATE(B636, "-",C636, "-", D636, "-", F636)</f>
        <v>M0112-A-209-1</v>
      </c>
      <c r="H636" s="0" t="n">
        <v>309.21</v>
      </c>
      <c r="I636" s="0" t="n">
        <v>309.41</v>
      </c>
    </row>
    <row r="637" customFormat="false" ht="14.25" hidden="false" customHeight="false" outlineLevel="0" collapsed="false">
      <c r="A637" s="0" t="n">
        <v>501</v>
      </c>
      <c r="B637" s="0" t="s">
        <v>89</v>
      </c>
      <c r="C637" s="0" t="s">
        <v>85</v>
      </c>
      <c r="D637" s="0" t="n">
        <v>210</v>
      </c>
      <c r="E637" s="0" t="s">
        <v>44</v>
      </c>
      <c r="F637" s="0" t="n">
        <v>1</v>
      </c>
      <c r="G637" s="0" t="str">
        <f aca="false">CONCATENATE(B637, "-",C637, "-", D637, "-", F637)</f>
        <v>M0112-A-210-1</v>
      </c>
      <c r="H637" s="0" t="n">
        <v>310.21</v>
      </c>
      <c r="I637" s="0" t="n">
        <v>310.49</v>
      </c>
    </row>
    <row r="638" customFormat="false" ht="14.25" hidden="false" customHeight="false" outlineLevel="0" collapsed="false">
      <c r="A638" s="0" t="n">
        <v>501</v>
      </c>
      <c r="B638" s="0" t="s">
        <v>89</v>
      </c>
      <c r="C638" s="0" t="s">
        <v>85</v>
      </c>
      <c r="D638" s="0" t="n">
        <v>211</v>
      </c>
      <c r="E638" s="0" t="s">
        <v>44</v>
      </c>
      <c r="F638" s="0" t="n">
        <v>1</v>
      </c>
      <c r="G638" s="0" t="str">
        <f aca="false">CONCATENATE(B638, "-",C638, "-", D638, "-", F638)</f>
        <v>M0112-A-211-1</v>
      </c>
      <c r="H638" s="0" t="n">
        <v>311.21</v>
      </c>
      <c r="I638" s="0" t="n">
        <v>311.29</v>
      </c>
    </row>
    <row r="639" customFormat="false" ht="14.25" hidden="false" customHeight="false" outlineLevel="0" collapsed="false">
      <c r="A639" s="0" t="n">
        <v>501</v>
      </c>
      <c r="B639" s="0" t="s">
        <v>89</v>
      </c>
      <c r="C639" s="0" t="s">
        <v>85</v>
      </c>
      <c r="D639" s="0" t="n">
        <v>212</v>
      </c>
      <c r="E639" s="0" t="s">
        <v>44</v>
      </c>
      <c r="F639" s="0" t="n">
        <v>1</v>
      </c>
      <c r="G639" s="0" t="str">
        <f aca="false">CONCATENATE(B639, "-",C639, "-", D639, "-", F639)</f>
        <v>M0112-A-212-1</v>
      </c>
      <c r="H639" s="0" t="n">
        <v>312.21</v>
      </c>
      <c r="I639" s="0" t="n">
        <v>313.01</v>
      </c>
    </row>
    <row r="640" customFormat="false" ht="14.25" hidden="false" customHeight="false" outlineLevel="0" collapsed="false">
      <c r="A640" s="0" t="n">
        <v>501</v>
      </c>
      <c r="B640" s="0" t="s">
        <v>89</v>
      </c>
      <c r="C640" s="0" t="s">
        <v>85</v>
      </c>
      <c r="D640" s="0" t="n">
        <v>212</v>
      </c>
      <c r="E640" s="0" t="s">
        <v>44</v>
      </c>
      <c r="F640" s="0" t="n">
        <v>2</v>
      </c>
      <c r="G640" s="0" t="str">
        <f aca="false">CONCATENATE(B640, "-",C640, "-", D640, "-", F640)</f>
        <v>M0112-A-212-2</v>
      </c>
      <c r="H640" s="0" t="n">
        <v>313.01</v>
      </c>
      <c r="I640" s="0" t="n">
        <v>313.53</v>
      </c>
    </row>
    <row r="641" customFormat="false" ht="14.25" hidden="false" customHeight="false" outlineLevel="0" collapsed="false">
      <c r="A641" s="0" t="n">
        <v>501</v>
      </c>
      <c r="B641" s="0" t="s">
        <v>89</v>
      </c>
      <c r="C641" s="0" t="s">
        <v>85</v>
      </c>
      <c r="D641" s="0" t="n">
        <v>213</v>
      </c>
      <c r="E641" s="0" t="s">
        <v>44</v>
      </c>
      <c r="F641" s="0" t="n">
        <v>1</v>
      </c>
      <c r="G641" s="0" t="str">
        <f aca="false">CONCATENATE(B641, "-",C641, "-", D641, "-", F641)</f>
        <v>M0112-A-213-1</v>
      </c>
      <c r="H641" s="0" t="n">
        <v>313.21</v>
      </c>
      <c r="I641" s="0" t="n">
        <v>313.22</v>
      </c>
    </row>
    <row r="642" customFormat="false" ht="14.25" hidden="false" customHeight="false" outlineLevel="0" collapsed="false">
      <c r="A642" s="0" t="n">
        <v>501</v>
      </c>
      <c r="B642" s="0" t="s">
        <v>89</v>
      </c>
      <c r="C642" s="0" t="s">
        <v>85</v>
      </c>
      <c r="D642" s="0" t="n">
        <v>214</v>
      </c>
      <c r="E642" s="0" t="s">
        <v>44</v>
      </c>
      <c r="F642" s="0" t="n">
        <v>1</v>
      </c>
      <c r="G642" s="0" t="str">
        <f aca="false">CONCATENATE(B642, "-",C642, "-", D642, "-", F642)</f>
        <v>M0112-A-214-1</v>
      </c>
      <c r="H642" s="0" t="n">
        <v>314.21</v>
      </c>
      <c r="I642" s="0" t="n">
        <v>315.71</v>
      </c>
    </row>
    <row r="643" customFormat="false" ht="14.25" hidden="false" customHeight="false" outlineLevel="0" collapsed="false">
      <c r="A643" s="0" t="n">
        <v>501</v>
      </c>
      <c r="B643" s="0" t="s">
        <v>89</v>
      </c>
      <c r="C643" s="0" t="s">
        <v>85</v>
      </c>
      <c r="D643" s="0" t="n">
        <v>214</v>
      </c>
      <c r="E643" s="0" t="s">
        <v>44</v>
      </c>
      <c r="F643" s="0" t="n">
        <v>2</v>
      </c>
      <c r="G643" s="0" t="str">
        <f aca="false">CONCATENATE(B643, "-",C643, "-", D643, "-", F643)</f>
        <v>M0112-A-214-2</v>
      </c>
      <c r="H643" s="0" t="n">
        <v>315.71</v>
      </c>
      <c r="I643" s="0" t="n">
        <v>316.39</v>
      </c>
    </row>
    <row r="644" customFormat="false" ht="14.25" hidden="false" customHeight="false" outlineLevel="0" collapsed="false">
      <c r="A644" s="0" t="n">
        <v>501</v>
      </c>
      <c r="B644" s="0" t="s">
        <v>89</v>
      </c>
      <c r="C644" s="0" t="s">
        <v>85</v>
      </c>
      <c r="D644" s="0" t="n">
        <v>215</v>
      </c>
      <c r="E644" s="0" t="s">
        <v>44</v>
      </c>
      <c r="F644" s="0" t="n">
        <v>1</v>
      </c>
      <c r="G644" s="0" t="str">
        <f aca="false">CONCATENATE(B644, "-",C644, "-", D644, "-", F644)</f>
        <v>M0112-A-215-1</v>
      </c>
      <c r="H644" s="0" t="n">
        <v>315.21</v>
      </c>
      <c r="I644" s="0" t="n">
        <v>316.47</v>
      </c>
    </row>
    <row r="645" customFormat="false" ht="14.25" hidden="false" customHeight="false" outlineLevel="0" collapsed="false">
      <c r="A645" s="0" t="n">
        <v>501</v>
      </c>
      <c r="B645" s="0" t="s">
        <v>89</v>
      </c>
      <c r="C645" s="0" t="s">
        <v>85</v>
      </c>
      <c r="D645" s="0" t="n">
        <v>215</v>
      </c>
      <c r="E645" s="0" t="s">
        <v>44</v>
      </c>
      <c r="F645" s="0" t="n">
        <v>2</v>
      </c>
      <c r="G645" s="0" t="str">
        <f aca="false">CONCATENATE(B645, "-",C645, "-", D645, "-", F645)</f>
        <v>M0112-A-215-2</v>
      </c>
      <c r="H645" s="0" t="n">
        <v>316.47</v>
      </c>
      <c r="I645" s="0" t="n">
        <v>317.02</v>
      </c>
    </row>
    <row r="646" customFormat="false" ht="14.25" hidden="false" customHeight="false" outlineLevel="0" collapsed="false">
      <c r="A646" s="0" t="n">
        <v>501</v>
      </c>
      <c r="B646" s="0" t="s">
        <v>89</v>
      </c>
      <c r="C646" s="0" t="s">
        <v>85</v>
      </c>
      <c r="D646" s="0" t="n">
        <v>216</v>
      </c>
      <c r="E646" s="0" t="s">
        <v>44</v>
      </c>
      <c r="F646" s="0" t="n">
        <v>1</v>
      </c>
      <c r="G646" s="0" t="str">
        <f aca="false">CONCATENATE(B646, "-",C646, "-", D646, "-", F646)</f>
        <v>M0112-A-216-1</v>
      </c>
      <c r="H646" s="0" t="n">
        <v>317.21</v>
      </c>
      <c r="I646" s="0" t="n">
        <v>318.71</v>
      </c>
    </row>
    <row r="647" customFormat="false" ht="14.25" hidden="false" customHeight="false" outlineLevel="0" collapsed="false">
      <c r="A647" s="0" t="n">
        <v>501</v>
      </c>
      <c r="B647" s="0" t="s">
        <v>89</v>
      </c>
      <c r="C647" s="0" t="s">
        <v>85</v>
      </c>
      <c r="D647" s="0" t="n">
        <v>216</v>
      </c>
      <c r="E647" s="0" t="s">
        <v>44</v>
      </c>
      <c r="F647" s="0" t="n">
        <v>2</v>
      </c>
      <c r="G647" s="0" t="str">
        <f aca="false">CONCATENATE(B647, "-",C647, "-", D647, "-", F647)</f>
        <v>M0112-A-216-2</v>
      </c>
      <c r="H647" s="0" t="n">
        <v>318.71</v>
      </c>
      <c r="I647" s="0" t="n">
        <v>319.66</v>
      </c>
    </row>
    <row r="648" customFormat="false" ht="14.25" hidden="false" customHeight="false" outlineLevel="0" collapsed="false">
      <c r="A648" s="0" t="n">
        <v>501</v>
      </c>
      <c r="B648" s="0" t="s">
        <v>89</v>
      </c>
      <c r="C648" s="0" t="s">
        <v>85</v>
      </c>
      <c r="D648" s="0" t="n">
        <v>217</v>
      </c>
      <c r="E648" s="0" t="s">
        <v>44</v>
      </c>
      <c r="F648" s="0" t="n">
        <v>1</v>
      </c>
      <c r="G648" s="0" t="str">
        <f aca="false">CONCATENATE(B648, "-",C648, "-", D648, "-", F648)</f>
        <v>M0112-A-217-1</v>
      </c>
      <c r="H648" s="0" t="n">
        <v>320.21</v>
      </c>
      <c r="I648" s="0" t="n">
        <v>321.71</v>
      </c>
    </row>
    <row r="649" customFormat="false" ht="14.25" hidden="false" customHeight="false" outlineLevel="0" collapsed="false">
      <c r="A649" s="0" t="n">
        <v>501</v>
      </c>
      <c r="B649" s="0" t="s">
        <v>89</v>
      </c>
      <c r="C649" s="0" t="s">
        <v>85</v>
      </c>
      <c r="D649" s="0" t="n">
        <v>217</v>
      </c>
      <c r="E649" s="0" t="s">
        <v>44</v>
      </c>
      <c r="F649" s="0" t="n">
        <v>2</v>
      </c>
      <c r="G649" s="0" t="str">
        <f aca="false">CONCATENATE(B649, "-",C649, "-", D649, "-", F649)</f>
        <v>M0112-A-217-2</v>
      </c>
      <c r="H649" s="0" t="n">
        <v>321.71</v>
      </c>
      <c r="I649" s="0" t="n">
        <v>323.18</v>
      </c>
    </row>
    <row r="650" customFormat="false" ht="14.25" hidden="false" customHeight="false" outlineLevel="0" collapsed="false">
      <c r="A650" s="0" t="n">
        <v>501</v>
      </c>
      <c r="B650" s="0" t="s">
        <v>89</v>
      </c>
      <c r="C650" s="0" t="s">
        <v>85</v>
      </c>
      <c r="D650" s="0" t="n">
        <v>218</v>
      </c>
      <c r="E650" s="0" t="s">
        <v>44</v>
      </c>
      <c r="F650" s="0" t="n">
        <v>1</v>
      </c>
      <c r="G650" s="0" t="str">
        <f aca="false">CONCATENATE(B650, "-",C650, "-", D650, "-", F650)</f>
        <v>M0112-A-218-1</v>
      </c>
      <c r="H650" s="0" t="n">
        <v>322.21</v>
      </c>
      <c r="I650" s="0" t="n">
        <v>323.53</v>
      </c>
    </row>
    <row r="651" customFormat="false" ht="14.25" hidden="false" customHeight="false" outlineLevel="0" collapsed="false">
      <c r="A651" s="0" t="n">
        <v>501</v>
      </c>
      <c r="B651" s="0" t="s">
        <v>89</v>
      </c>
      <c r="C651" s="0" t="s">
        <v>85</v>
      </c>
      <c r="D651" s="0" t="n">
        <v>218</v>
      </c>
      <c r="E651" s="0" t="s">
        <v>44</v>
      </c>
      <c r="F651" s="0" t="n">
        <v>2</v>
      </c>
      <c r="G651" s="0" t="str">
        <f aca="false">CONCATENATE(B651, "-",C651, "-", D651, "-", F651)</f>
        <v>M0112-A-218-2</v>
      </c>
      <c r="H651" s="0" t="n">
        <v>322.21</v>
      </c>
      <c r="I651" s="0" t="n">
        <v>323.53</v>
      </c>
    </row>
    <row r="652" customFormat="false" ht="14.25" hidden="false" customHeight="false" outlineLevel="0" collapsed="false">
      <c r="A652" s="0" t="n">
        <v>501</v>
      </c>
      <c r="B652" s="0" t="s">
        <v>89</v>
      </c>
      <c r="C652" s="0" t="s">
        <v>85</v>
      </c>
      <c r="D652" s="0" t="n">
        <v>219</v>
      </c>
      <c r="E652" s="0" t="s">
        <v>44</v>
      </c>
      <c r="F652" s="0" t="n">
        <v>1</v>
      </c>
      <c r="G652" s="0" t="str">
        <f aca="false">CONCATENATE(B652, "-",C652, "-", D652, "-", F652)</f>
        <v>M0112-A-219-1</v>
      </c>
      <c r="H652" s="0" t="n">
        <v>324.01</v>
      </c>
      <c r="I652" s="0" t="n">
        <v>324.96</v>
      </c>
    </row>
    <row r="653" customFormat="false" ht="14.25" hidden="false" customHeight="false" outlineLevel="0" collapsed="false">
      <c r="A653" s="0" t="n">
        <v>501</v>
      </c>
      <c r="B653" s="0" t="s">
        <v>89</v>
      </c>
      <c r="C653" s="0" t="s">
        <v>85</v>
      </c>
      <c r="D653" s="0" t="n">
        <v>219</v>
      </c>
      <c r="E653" s="0" t="s">
        <v>44</v>
      </c>
      <c r="F653" s="0" t="n">
        <v>2</v>
      </c>
      <c r="G653" s="0" t="str">
        <f aca="false">CONCATENATE(B653, "-",C653, "-", D653, "-", F653)</f>
        <v>M0112-A-219-2</v>
      </c>
      <c r="H653" s="0" t="n">
        <v>324.96</v>
      </c>
      <c r="I653" s="0" t="n">
        <v>325.81</v>
      </c>
    </row>
    <row r="654" customFormat="false" ht="14.25" hidden="false" customHeight="false" outlineLevel="0" collapsed="false">
      <c r="A654" s="0" t="n">
        <v>501</v>
      </c>
      <c r="B654" s="0" t="s">
        <v>89</v>
      </c>
      <c r="C654" s="0" t="s">
        <v>85</v>
      </c>
      <c r="D654" s="0" t="n">
        <v>221</v>
      </c>
      <c r="E654" s="0" t="s">
        <v>44</v>
      </c>
      <c r="F654" s="0" t="n">
        <v>1</v>
      </c>
      <c r="G654" s="0" t="str">
        <f aca="false">CONCATENATE(B654, "-",C654, "-", D654, "-", F654)</f>
        <v>M0112-A-221-1</v>
      </c>
      <c r="H654" s="0" t="n">
        <v>328.21</v>
      </c>
      <c r="I654" s="0" t="n">
        <v>328.49</v>
      </c>
    </row>
    <row r="655" customFormat="false" ht="14.25" hidden="false" customHeight="false" outlineLevel="0" collapsed="false">
      <c r="A655" s="0" t="n">
        <v>501</v>
      </c>
      <c r="B655" s="0" t="s">
        <v>89</v>
      </c>
      <c r="C655" s="0" t="s">
        <v>39</v>
      </c>
      <c r="D655" s="0" t="n">
        <v>2</v>
      </c>
      <c r="E655" s="0" t="s">
        <v>40</v>
      </c>
      <c r="F655" s="0" t="n">
        <v>1</v>
      </c>
      <c r="G655" s="0" t="str">
        <f aca="false">CONCATENATE(B655, "-",C655, "-", D655, "-", F655)</f>
        <v>M0112-B-2-1</v>
      </c>
      <c r="H655" s="0" t="n">
        <v>28.22</v>
      </c>
      <c r="I655" s="0" t="n">
        <v>29.73</v>
      </c>
    </row>
    <row r="656" customFormat="false" ht="14.25" hidden="false" customHeight="false" outlineLevel="0" collapsed="false">
      <c r="A656" s="0" t="n">
        <v>501</v>
      </c>
      <c r="B656" s="0" t="s">
        <v>89</v>
      </c>
      <c r="C656" s="0" t="s">
        <v>39</v>
      </c>
      <c r="D656" s="0" t="n">
        <v>2</v>
      </c>
      <c r="E656" s="0" t="s">
        <v>40</v>
      </c>
      <c r="F656" s="0" t="n">
        <v>2</v>
      </c>
      <c r="G656" s="0" t="str">
        <f aca="false">CONCATENATE(B656, "-",C656, "-", D656, "-", F656)</f>
        <v>M0112-B-2-2</v>
      </c>
      <c r="H656" s="0" t="n">
        <v>29.73</v>
      </c>
      <c r="I656" s="0" t="n">
        <v>30.39</v>
      </c>
    </row>
    <row r="657" customFormat="false" ht="14.25" hidden="false" customHeight="false" outlineLevel="0" collapsed="false">
      <c r="A657" s="0" t="n">
        <v>501</v>
      </c>
      <c r="B657" s="0" t="s">
        <v>89</v>
      </c>
      <c r="C657" s="0" t="s">
        <v>39</v>
      </c>
      <c r="D657" s="0" t="n">
        <v>3</v>
      </c>
      <c r="E657" s="0" t="s">
        <v>40</v>
      </c>
      <c r="F657" s="0" t="n">
        <v>1</v>
      </c>
      <c r="G657" s="0" t="str">
        <f aca="false">CONCATENATE(B657, "-",C657, "-", D657, "-", F657)</f>
        <v>M0112-B-3-1</v>
      </c>
      <c r="H657" s="0" t="n">
        <v>30.39</v>
      </c>
      <c r="I657" s="0" t="n">
        <v>31.9</v>
      </c>
    </row>
    <row r="658" customFormat="false" ht="14.25" hidden="false" customHeight="false" outlineLevel="0" collapsed="false">
      <c r="A658" s="0" t="n">
        <v>501</v>
      </c>
      <c r="B658" s="0" t="s">
        <v>89</v>
      </c>
      <c r="C658" s="0" t="s">
        <v>39</v>
      </c>
      <c r="D658" s="0" t="n">
        <v>3</v>
      </c>
      <c r="E658" s="0" t="s">
        <v>40</v>
      </c>
      <c r="F658" s="0" t="n">
        <v>2</v>
      </c>
      <c r="G658" s="0" t="str">
        <f aca="false">CONCATENATE(B658, "-",C658, "-", D658, "-", F658)</f>
        <v>M0112-B-3-2</v>
      </c>
      <c r="H658" s="0" t="n">
        <v>31.9</v>
      </c>
      <c r="I658" s="0" t="n">
        <v>32.72</v>
      </c>
    </row>
    <row r="659" customFormat="false" ht="14.25" hidden="false" customHeight="false" outlineLevel="0" collapsed="false">
      <c r="A659" s="0" t="n">
        <v>501</v>
      </c>
      <c r="B659" s="0" t="s">
        <v>89</v>
      </c>
      <c r="C659" s="0" t="s">
        <v>39</v>
      </c>
      <c r="D659" s="0" t="n">
        <v>5</v>
      </c>
      <c r="E659" s="0" t="s">
        <v>40</v>
      </c>
      <c r="F659" s="0" t="n">
        <v>1</v>
      </c>
      <c r="G659" s="0" t="str">
        <f aca="false">CONCATENATE(B659, "-",C659, "-", D659, "-", F659)</f>
        <v>M0112-B-5-1</v>
      </c>
      <c r="H659" s="0" t="n">
        <v>54</v>
      </c>
      <c r="I659" s="0" t="n">
        <v>55.19</v>
      </c>
    </row>
    <row r="660" customFormat="false" ht="14.25" hidden="false" customHeight="false" outlineLevel="0" collapsed="false">
      <c r="A660" s="0" t="n">
        <v>501</v>
      </c>
      <c r="B660" s="0" t="s">
        <v>89</v>
      </c>
      <c r="C660" s="0" t="s">
        <v>39</v>
      </c>
      <c r="D660" s="0" t="n">
        <v>5</v>
      </c>
      <c r="E660" s="0" t="s">
        <v>40</v>
      </c>
      <c r="F660" s="0" t="n">
        <v>2</v>
      </c>
      <c r="G660" s="0" t="str">
        <f aca="false">CONCATENATE(B660, "-",C660, "-", D660, "-", F660)</f>
        <v>M0112-B-5-2</v>
      </c>
      <c r="H660" s="0" t="n">
        <v>55.19</v>
      </c>
      <c r="I660" s="0" t="n">
        <v>55.52</v>
      </c>
    </row>
    <row r="661" customFormat="false" ht="14.25" hidden="false" customHeight="false" outlineLevel="0" collapsed="false">
      <c r="A661" s="0" t="n">
        <v>501</v>
      </c>
      <c r="B661" s="0" t="s">
        <v>89</v>
      </c>
      <c r="C661" s="0" t="s">
        <v>39</v>
      </c>
      <c r="D661" s="0" t="n">
        <v>6</v>
      </c>
      <c r="E661" s="0" t="s">
        <v>44</v>
      </c>
      <c r="F661" s="0" t="n">
        <v>1</v>
      </c>
      <c r="G661" s="0" t="str">
        <f aca="false">CONCATENATE(B661, "-",C661, "-", D661, "-", F661)</f>
        <v>M0112-B-6-1</v>
      </c>
      <c r="H661" s="0" t="n">
        <v>55.52</v>
      </c>
      <c r="I661" s="0" t="n">
        <v>56.32</v>
      </c>
    </row>
    <row r="662" customFormat="false" ht="14.25" hidden="false" customHeight="false" outlineLevel="0" collapsed="false">
      <c r="A662" s="0" t="n">
        <v>501</v>
      </c>
      <c r="B662" s="0" t="s">
        <v>89</v>
      </c>
      <c r="C662" s="0" t="s">
        <v>39</v>
      </c>
      <c r="D662" s="0" t="n">
        <v>7</v>
      </c>
      <c r="E662" s="0" t="s">
        <v>44</v>
      </c>
      <c r="F662" s="0" t="n">
        <v>1</v>
      </c>
      <c r="G662" s="0" t="str">
        <f aca="false">CONCATENATE(B662, "-",C662, "-", D662, "-", F662)</f>
        <v>M0112-B-7-1</v>
      </c>
      <c r="H662" s="0" t="n">
        <v>56.82</v>
      </c>
      <c r="I662" s="0" t="n">
        <v>57.4</v>
      </c>
    </row>
    <row r="663" customFormat="false" ht="14.25" hidden="false" customHeight="false" outlineLevel="0" collapsed="false">
      <c r="A663" s="0" t="n">
        <v>501</v>
      </c>
      <c r="B663" s="0" t="s">
        <v>89</v>
      </c>
      <c r="C663" s="0" t="s">
        <v>39</v>
      </c>
      <c r="D663" s="0" t="n">
        <v>8</v>
      </c>
      <c r="E663" s="0" t="s">
        <v>44</v>
      </c>
      <c r="F663" s="0" t="n">
        <v>1</v>
      </c>
      <c r="G663" s="0" t="str">
        <f aca="false">CONCATENATE(B663, "-",C663, "-", D663, "-", F663)</f>
        <v>M0112-B-8-1</v>
      </c>
      <c r="H663" s="0" t="n">
        <v>58.32</v>
      </c>
      <c r="I663" s="0" t="n">
        <v>58.72</v>
      </c>
    </row>
    <row r="664" customFormat="false" ht="14.25" hidden="false" customHeight="false" outlineLevel="0" collapsed="false">
      <c r="A664" s="0" t="n">
        <v>501</v>
      </c>
      <c r="B664" s="0" t="s">
        <v>89</v>
      </c>
      <c r="C664" s="0" t="s">
        <v>39</v>
      </c>
      <c r="D664" s="0" t="n">
        <v>9</v>
      </c>
      <c r="E664" s="0" t="s">
        <v>44</v>
      </c>
      <c r="F664" s="0" t="n">
        <v>1</v>
      </c>
      <c r="G664" s="0" t="str">
        <f aca="false">CONCATENATE(B664, "-",C664, "-", D664, "-", F664)</f>
        <v>M0112-B-9-1</v>
      </c>
      <c r="H664" s="0" t="n">
        <v>59.82</v>
      </c>
      <c r="I664" s="0" t="n">
        <v>60.89</v>
      </c>
    </row>
    <row r="665" customFormat="false" ht="14.25" hidden="false" customHeight="false" outlineLevel="0" collapsed="false">
      <c r="A665" s="0" t="n">
        <v>501</v>
      </c>
      <c r="B665" s="0" t="s">
        <v>89</v>
      </c>
      <c r="C665" s="0" t="s">
        <v>39</v>
      </c>
      <c r="D665" s="0" t="n">
        <v>9</v>
      </c>
      <c r="E665" s="0" t="s">
        <v>44</v>
      </c>
      <c r="F665" s="0" t="n">
        <v>2</v>
      </c>
      <c r="G665" s="0" t="str">
        <f aca="false">CONCATENATE(B665, "-",C665, "-", D665, "-", F665)</f>
        <v>M0112-B-9-2</v>
      </c>
      <c r="H665" s="0" t="n">
        <v>60.89</v>
      </c>
      <c r="I665" s="0" t="n">
        <v>61.37</v>
      </c>
    </row>
    <row r="666" customFormat="false" ht="14.25" hidden="false" customHeight="false" outlineLevel="0" collapsed="false">
      <c r="A666" s="0" t="n">
        <v>501</v>
      </c>
      <c r="B666" s="0" t="s">
        <v>89</v>
      </c>
      <c r="C666" s="0" t="s">
        <v>39</v>
      </c>
      <c r="D666" s="0" t="n">
        <v>10</v>
      </c>
      <c r="E666" s="0" t="s">
        <v>44</v>
      </c>
      <c r="F666" s="0" t="n">
        <v>1</v>
      </c>
      <c r="G666" s="0" t="str">
        <f aca="false">CONCATENATE(B666, "-",C666, "-", D666, "-", F666)</f>
        <v>M0112-B-10-1</v>
      </c>
      <c r="H666" s="0" t="n">
        <v>61.32</v>
      </c>
      <c r="I666" s="0" t="n">
        <v>62.82</v>
      </c>
    </row>
    <row r="667" customFormat="false" ht="14.25" hidden="false" customHeight="false" outlineLevel="0" collapsed="false">
      <c r="A667" s="0" t="n">
        <v>501</v>
      </c>
      <c r="B667" s="0" t="s">
        <v>89</v>
      </c>
      <c r="C667" s="0" t="s">
        <v>39</v>
      </c>
      <c r="D667" s="0" t="n">
        <v>12</v>
      </c>
      <c r="E667" s="0" t="s">
        <v>44</v>
      </c>
      <c r="F667" s="0" t="n">
        <v>1</v>
      </c>
      <c r="G667" s="0" t="str">
        <f aca="false">CONCATENATE(B667, "-",C667, "-", D667, "-", F667)</f>
        <v>M0112-B-12-1</v>
      </c>
      <c r="H667" s="0" t="n">
        <v>82</v>
      </c>
      <c r="I667" s="0" t="n">
        <v>83.48</v>
      </c>
    </row>
    <row r="668" customFormat="false" ht="14.25" hidden="false" customHeight="false" outlineLevel="0" collapsed="false">
      <c r="A668" s="0" t="n">
        <v>501</v>
      </c>
      <c r="B668" s="0" t="s">
        <v>89</v>
      </c>
      <c r="C668" s="0" t="s">
        <v>39</v>
      </c>
      <c r="D668" s="0" t="n">
        <v>13</v>
      </c>
      <c r="E668" s="0" t="s">
        <v>44</v>
      </c>
      <c r="F668" s="0" t="n">
        <v>1</v>
      </c>
      <c r="G668" s="0" t="str">
        <f aca="false">CONCATENATE(B668, "-",C668, "-", D668, "-", F668)</f>
        <v>M0112-B-13-1</v>
      </c>
      <c r="H668" s="0" t="n">
        <v>83.5</v>
      </c>
      <c r="I668" s="0" t="n">
        <v>85</v>
      </c>
    </row>
    <row r="669" customFormat="false" ht="14.25" hidden="false" customHeight="false" outlineLevel="0" collapsed="false">
      <c r="A669" s="0" t="n">
        <v>501</v>
      </c>
      <c r="B669" s="0" t="s">
        <v>89</v>
      </c>
      <c r="C669" s="0" t="s">
        <v>39</v>
      </c>
      <c r="D669" s="0" t="n">
        <v>13</v>
      </c>
      <c r="E669" s="0" t="s">
        <v>44</v>
      </c>
      <c r="F669" s="0" t="n">
        <v>2</v>
      </c>
      <c r="G669" s="0" t="str">
        <f aca="false">CONCATENATE(B669, "-",C669, "-", D669, "-", F669)</f>
        <v>M0112-B-13-2</v>
      </c>
      <c r="H669" s="0" t="n">
        <v>85</v>
      </c>
      <c r="I669" s="0" t="n">
        <v>86.02</v>
      </c>
    </row>
    <row r="670" customFormat="false" ht="14.25" hidden="false" customHeight="false" outlineLevel="0" collapsed="false">
      <c r="A670" s="0" t="n">
        <v>501</v>
      </c>
      <c r="B670" s="0" t="s">
        <v>89</v>
      </c>
      <c r="C670" s="0" t="s">
        <v>39</v>
      </c>
      <c r="D670" s="0" t="n">
        <v>14</v>
      </c>
      <c r="E670" s="0" t="s">
        <v>44</v>
      </c>
      <c r="F670" s="0" t="n">
        <v>1</v>
      </c>
      <c r="G670" s="0" t="str">
        <f aca="false">CONCATENATE(B670, "-",C670, "-", D670, "-", F670)</f>
        <v>M0112-B-14-1</v>
      </c>
      <c r="H670" s="0" t="n">
        <v>86.5</v>
      </c>
      <c r="I670" s="0" t="n">
        <v>87.75</v>
      </c>
    </row>
    <row r="671" customFormat="false" ht="14.25" hidden="false" customHeight="false" outlineLevel="0" collapsed="false">
      <c r="A671" s="0" t="n">
        <v>501</v>
      </c>
      <c r="B671" s="0" t="s">
        <v>89</v>
      </c>
      <c r="C671" s="0" t="s">
        <v>39</v>
      </c>
      <c r="D671" s="0" t="n">
        <v>15</v>
      </c>
      <c r="E671" s="0" t="s">
        <v>44</v>
      </c>
      <c r="F671" s="0" t="n">
        <v>1</v>
      </c>
      <c r="G671" s="0" t="str">
        <f aca="false">CONCATENATE(B671, "-",C671, "-", D671, "-", F671)</f>
        <v>M0112-B-15-1</v>
      </c>
      <c r="H671" s="0" t="n">
        <v>89.5</v>
      </c>
      <c r="I671" s="0" t="n">
        <v>91</v>
      </c>
    </row>
    <row r="672" customFormat="false" ht="14.25" hidden="false" customHeight="false" outlineLevel="0" collapsed="false">
      <c r="A672" s="0" t="n">
        <v>501</v>
      </c>
      <c r="B672" s="0" t="s">
        <v>89</v>
      </c>
      <c r="C672" s="0" t="s">
        <v>39</v>
      </c>
      <c r="D672" s="0" t="n">
        <v>15</v>
      </c>
      <c r="E672" s="0" t="s">
        <v>44</v>
      </c>
      <c r="F672" s="0" t="n">
        <v>2</v>
      </c>
      <c r="G672" s="0" t="str">
        <f aca="false">CONCATENATE(B672, "-",C672, "-", D672, "-", F672)</f>
        <v>M0112-B-15-2</v>
      </c>
      <c r="H672" s="0" t="n">
        <v>91</v>
      </c>
      <c r="I672" s="0" t="n">
        <v>92.27</v>
      </c>
    </row>
    <row r="673" customFormat="false" ht="14.25" hidden="false" customHeight="false" outlineLevel="0" collapsed="false">
      <c r="A673" s="0" t="n">
        <v>501</v>
      </c>
      <c r="B673" s="0" t="s">
        <v>89</v>
      </c>
      <c r="C673" s="0" t="s">
        <v>39</v>
      </c>
      <c r="D673" s="0" t="n">
        <v>16</v>
      </c>
      <c r="E673" s="0" t="s">
        <v>44</v>
      </c>
      <c r="F673" s="0" t="n">
        <v>1</v>
      </c>
      <c r="G673" s="0" t="str">
        <f aca="false">CONCATENATE(B673, "-",C673, "-", D673, "-", F673)</f>
        <v>M0112-B-16-1</v>
      </c>
      <c r="H673" s="0" t="n">
        <v>92.5</v>
      </c>
      <c r="I673" s="0" t="n">
        <v>94</v>
      </c>
    </row>
    <row r="674" customFormat="false" ht="14.25" hidden="false" customHeight="false" outlineLevel="0" collapsed="false">
      <c r="A674" s="0" t="n">
        <v>501</v>
      </c>
      <c r="B674" s="0" t="s">
        <v>89</v>
      </c>
      <c r="C674" s="0" t="s">
        <v>39</v>
      </c>
      <c r="D674" s="0" t="n">
        <v>16</v>
      </c>
      <c r="E674" s="0" t="s">
        <v>44</v>
      </c>
      <c r="F674" s="0" t="n">
        <v>2</v>
      </c>
      <c r="G674" s="0" t="str">
        <f aca="false">CONCATENATE(B674, "-",C674, "-", D674, "-", F674)</f>
        <v>M0112-B-16-2</v>
      </c>
      <c r="H674" s="0" t="n">
        <v>94</v>
      </c>
      <c r="I674" s="0" t="n">
        <v>94.91</v>
      </c>
    </row>
    <row r="675" customFormat="false" ht="14.25" hidden="false" customHeight="false" outlineLevel="0" collapsed="false">
      <c r="A675" s="0" t="n">
        <v>501</v>
      </c>
      <c r="B675" s="0" t="s">
        <v>89</v>
      </c>
      <c r="C675" s="0" t="s">
        <v>39</v>
      </c>
      <c r="D675" s="0" t="n">
        <v>17</v>
      </c>
      <c r="E675" s="0" t="s">
        <v>44</v>
      </c>
      <c r="F675" s="0" t="n">
        <v>1</v>
      </c>
      <c r="G675" s="0" t="str">
        <f aca="false">CONCATENATE(B675, "-",C675, "-", D675, "-", F675)</f>
        <v>M0112-B-17-1</v>
      </c>
      <c r="H675" s="0" t="n">
        <v>95.5</v>
      </c>
      <c r="I675" s="0" t="n">
        <v>96.91</v>
      </c>
    </row>
    <row r="676" customFormat="false" ht="14.25" hidden="false" customHeight="false" outlineLevel="0" collapsed="false">
      <c r="A676" s="0" t="n">
        <v>501</v>
      </c>
      <c r="B676" s="0" t="s">
        <v>89</v>
      </c>
      <c r="C676" s="0" t="s">
        <v>39</v>
      </c>
      <c r="D676" s="0" t="n">
        <v>18</v>
      </c>
      <c r="E676" s="0" t="s">
        <v>44</v>
      </c>
      <c r="F676" s="0" t="n">
        <v>1</v>
      </c>
      <c r="G676" s="0" t="str">
        <f aca="false">CONCATENATE(B676, "-",C676, "-", D676, "-", F676)</f>
        <v>M0112-B-18-1</v>
      </c>
      <c r="H676" s="0" t="n">
        <v>98.5</v>
      </c>
      <c r="I676" s="0" t="n">
        <v>98.82</v>
      </c>
    </row>
    <row r="677" customFormat="false" ht="14.25" hidden="false" customHeight="false" outlineLevel="0" collapsed="false">
      <c r="A677" s="0" t="n">
        <v>501</v>
      </c>
      <c r="B677" s="0" t="s">
        <v>89</v>
      </c>
      <c r="C677" s="0" t="s">
        <v>39</v>
      </c>
      <c r="D677" s="0" t="n">
        <v>19</v>
      </c>
      <c r="E677" s="0" t="s">
        <v>44</v>
      </c>
      <c r="F677" s="0" t="n">
        <v>1</v>
      </c>
      <c r="G677" s="0" t="str">
        <f aca="false">CONCATENATE(B677, "-",C677, "-", D677, "-", F677)</f>
        <v>M0112-B-19-1</v>
      </c>
      <c r="H677" s="0" t="n">
        <v>101.5</v>
      </c>
      <c r="I677" s="0" t="n">
        <v>102.11</v>
      </c>
    </row>
    <row r="678" customFormat="false" ht="14.25" hidden="false" customHeight="false" outlineLevel="0" collapsed="false">
      <c r="A678" s="0" t="n">
        <v>501</v>
      </c>
      <c r="B678" s="0" t="s">
        <v>89</v>
      </c>
      <c r="C678" s="0" t="s">
        <v>39</v>
      </c>
      <c r="D678" s="0" t="n">
        <v>19</v>
      </c>
      <c r="E678" s="0" t="s">
        <v>44</v>
      </c>
      <c r="F678" s="0" t="n">
        <v>2</v>
      </c>
      <c r="G678" s="0" t="str">
        <f aca="false">CONCATENATE(B678, "-",C678, "-", D678, "-", F678)</f>
        <v>M0112-B-19-2</v>
      </c>
      <c r="H678" s="0" t="n">
        <v>102.11</v>
      </c>
      <c r="I678" s="0" t="n">
        <v>102.55</v>
      </c>
    </row>
    <row r="679" customFormat="false" ht="14.25" hidden="false" customHeight="false" outlineLevel="0" collapsed="false">
      <c r="A679" s="0" t="n">
        <v>501</v>
      </c>
      <c r="B679" s="0" t="s">
        <v>89</v>
      </c>
      <c r="C679" s="0" t="s">
        <v>39</v>
      </c>
      <c r="D679" s="0" t="n">
        <v>20</v>
      </c>
      <c r="E679" s="0" t="s">
        <v>44</v>
      </c>
      <c r="F679" s="0" t="n">
        <v>1</v>
      </c>
      <c r="G679" s="0" t="str">
        <f aca="false">CONCATENATE(B679, "-",C679, "-", D679, "-", F679)</f>
        <v>M0112-B-20-1</v>
      </c>
      <c r="H679" s="0" t="n">
        <v>103.42</v>
      </c>
      <c r="I679" s="0" t="n">
        <v>103.6</v>
      </c>
    </row>
    <row r="680" customFormat="false" ht="14.25" hidden="false" customHeight="false" outlineLevel="0" collapsed="false">
      <c r="A680" s="0" t="n">
        <v>501</v>
      </c>
      <c r="B680" s="0" t="s">
        <v>89</v>
      </c>
      <c r="C680" s="0" t="s">
        <v>39</v>
      </c>
      <c r="D680" s="0" t="n">
        <v>21</v>
      </c>
      <c r="E680" s="0" t="s">
        <v>44</v>
      </c>
      <c r="F680" s="0" t="n">
        <v>1</v>
      </c>
      <c r="G680" s="0" t="str">
        <f aca="false">CONCATENATE(B680, "-",C680, "-", D680, "-", F680)</f>
        <v>M0112-B-21-1</v>
      </c>
      <c r="H680" s="0" t="n">
        <v>104.82</v>
      </c>
      <c r="I680" s="0" t="n">
        <v>105.06</v>
      </c>
    </row>
    <row r="681" customFormat="false" ht="14.25" hidden="false" customHeight="false" outlineLevel="0" collapsed="false">
      <c r="A681" s="0" t="n">
        <v>501</v>
      </c>
      <c r="B681" s="0" t="s">
        <v>89</v>
      </c>
      <c r="C681" s="0" t="s">
        <v>39</v>
      </c>
      <c r="D681" s="0" t="n">
        <v>22</v>
      </c>
      <c r="E681" s="0" t="s">
        <v>44</v>
      </c>
      <c r="F681" s="0" t="n">
        <v>1</v>
      </c>
      <c r="G681" s="0" t="str">
        <f aca="false">CONCATENATE(B681, "-",C681, "-", D681, "-", F681)</f>
        <v>M0112-B-22-1</v>
      </c>
      <c r="H681" s="0" t="n">
        <v>107.82</v>
      </c>
      <c r="I681" s="0" t="n">
        <v>107.93</v>
      </c>
    </row>
    <row r="682" customFormat="false" ht="14.25" hidden="false" customHeight="false" outlineLevel="0" collapsed="false">
      <c r="A682" s="0" t="n">
        <v>501</v>
      </c>
      <c r="B682" s="0" t="s">
        <v>89</v>
      </c>
      <c r="C682" s="0" t="s">
        <v>39</v>
      </c>
      <c r="D682" s="0" t="n">
        <v>24</v>
      </c>
      <c r="E682" s="0" t="s">
        <v>44</v>
      </c>
      <c r="F682" s="0" t="n">
        <v>1</v>
      </c>
      <c r="G682" s="0" t="str">
        <f aca="false">CONCATENATE(B682, "-",C682, "-", D682, "-", F682)</f>
        <v>M0112-B-24-1</v>
      </c>
      <c r="H682" s="0" t="n">
        <v>110.22</v>
      </c>
      <c r="I682" s="0" t="n">
        <v>110.77</v>
      </c>
    </row>
    <row r="683" customFormat="false" ht="14.25" hidden="false" customHeight="false" outlineLevel="0" collapsed="false">
      <c r="A683" s="0" t="n">
        <v>501</v>
      </c>
      <c r="B683" s="0" t="s">
        <v>89</v>
      </c>
      <c r="C683" s="0" t="s">
        <v>39</v>
      </c>
      <c r="D683" s="0" t="n">
        <v>25</v>
      </c>
      <c r="E683" s="0" t="s">
        <v>88</v>
      </c>
      <c r="F683" s="0" t="n">
        <v>1</v>
      </c>
      <c r="G683" s="0" t="str">
        <f aca="false">CONCATENATE(B683, "-",C683, "-", D683, "-", F683)</f>
        <v>M0112-B-25-1</v>
      </c>
      <c r="H683" s="0" t="n">
        <v>80.82</v>
      </c>
      <c r="I683" s="0" t="n">
        <v>110.82</v>
      </c>
    </row>
    <row r="684" customFormat="false" ht="14.25" hidden="false" customHeight="false" outlineLevel="0" collapsed="false">
      <c r="A684" s="0" t="n">
        <v>501</v>
      </c>
      <c r="B684" s="0" t="s">
        <v>89</v>
      </c>
      <c r="C684" s="0" t="s">
        <v>39</v>
      </c>
      <c r="D684" s="0" t="n">
        <v>27</v>
      </c>
      <c r="E684" s="0" t="s">
        <v>44</v>
      </c>
      <c r="F684" s="0" t="n">
        <v>1</v>
      </c>
      <c r="G684" s="0" t="str">
        <f aca="false">CONCATENATE(B684, "-",C684, "-", D684, "-", F684)</f>
        <v>M0112-B-27-1</v>
      </c>
      <c r="H684" s="0" t="n">
        <v>138</v>
      </c>
      <c r="I684" s="0" t="n">
        <v>139.5</v>
      </c>
    </row>
    <row r="685" customFormat="false" ht="14.25" hidden="false" customHeight="false" outlineLevel="0" collapsed="false">
      <c r="A685" s="0" t="n">
        <v>501</v>
      </c>
      <c r="B685" s="0" t="s">
        <v>89</v>
      </c>
      <c r="C685" s="0" t="s">
        <v>39</v>
      </c>
      <c r="D685" s="0" t="n">
        <v>27</v>
      </c>
      <c r="E685" s="0" t="s">
        <v>44</v>
      </c>
      <c r="F685" s="0" t="n">
        <v>2</v>
      </c>
      <c r="G685" s="0" t="str">
        <f aca="false">CONCATENATE(B685, "-",C685, "-", D685, "-", F685)</f>
        <v>M0112-B-27-2</v>
      </c>
      <c r="H685" s="0" t="n">
        <v>139.5</v>
      </c>
      <c r="I685" s="0" t="n">
        <v>140.66</v>
      </c>
    </row>
    <row r="686" customFormat="false" ht="14.25" hidden="false" customHeight="false" outlineLevel="0" collapsed="false">
      <c r="A686" s="0" t="n">
        <v>501</v>
      </c>
      <c r="B686" s="0" t="s">
        <v>89</v>
      </c>
      <c r="C686" s="0" t="s">
        <v>39</v>
      </c>
      <c r="D686" s="0" t="n">
        <v>28</v>
      </c>
      <c r="E686" s="0" t="s">
        <v>44</v>
      </c>
      <c r="F686" s="0" t="n">
        <v>1</v>
      </c>
      <c r="G686" s="0" t="str">
        <f aca="false">CONCATENATE(B686, "-",C686, "-", D686, "-", F686)</f>
        <v>M0112-B-28-1</v>
      </c>
      <c r="H686" s="0" t="n">
        <v>141</v>
      </c>
      <c r="I686" s="0" t="n">
        <v>142.5</v>
      </c>
    </row>
    <row r="687" customFormat="false" ht="14.25" hidden="false" customHeight="false" outlineLevel="0" collapsed="false">
      <c r="A687" s="0" t="n">
        <v>501</v>
      </c>
      <c r="B687" s="0" t="s">
        <v>89</v>
      </c>
      <c r="C687" s="0" t="s">
        <v>39</v>
      </c>
      <c r="D687" s="0" t="n">
        <v>28</v>
      </c>
      <c r="E687" s="0" t="s">
        <v>44</v>
      </c>
      <c r="F687" s="0" t="n">
        <v>2</v>
      </c>
      <c r="G687" s="0" t="str">
        <f aca="false">CONCATENATE(B687, "-",C687, "-", D687, "-", F687)</f>
        <v>M0112-B-28-2</v>
      </c>
      <c r="H687" s="0" t="n">
        <v>142.5</v>
      </c>
      <c r="I687" s="0" t="n">
        <v>143.5</v>
      </c>
    </row>
    <row r="688" customFormat="false" ht="14.25" hidden="false" customHeight="false" outlineLevel="0" collapsed="false">
      <c r="A688" s="0" t="n">
        <v>501</v>
      </c>
      <c r="B688" s="0" t="s">
        <v>89</v>
      </c>
      <c r="C688" s="0" t="s">
        <v>39</v>
      </c>
      <c r="D688" s="0" t="n">
        <v>28</v>
      </c>
      <c r="E688" s="0" t="s">
        <v>44</v>
      </c>
      <c r="F688" s="0" t="n">
        <v>3</v>
      </c>
      <c r="G688" s="0" t="str">
        <f aca="false">CONCATENATE(B688, "-",C688, "-", D688, "-", F688)</f>
        <v>M0112-B-28-3</v>
      </c>
      <c r="H688" s="0" t="n">
        <v>143.5</v>
      </c>
      <c r="I688" s="0" t="n">
        <v>144.14</v>
      </c>
    </row>
    <row r="689" customFormat="false" ht="14.25" hidden="false" customHeight="false" outlineLevel="0" collapsed="false">
      <c r="A689" s="0" t="n">
        <v>501</v>
      </c>
      <c r="B689" s="0" t="s">
        <v>89</v>
      </c>
      <c r="C689" s="0" t="s">
        <v>39</v>
      </c>
      <c r="D689" s="0" t="n">
        <v>29</v>
      </c>
      <c r="E689" s="0" t="s">
        <v>44</v>
      </c>
      <c r="F689" s="0" t="n">
        <v>1</v>
      </c>
      <c r="G689" s="0" t="str">
        <f aca="false">CONCATENATE(B689, "-",C689, "-", D689, "-", F689)</f>
        <v>M0112-B-29-1</v>
      </c>
      <c r="H689" s="0" t="n">
        <v>144</v>
      </c>
      <c r="I689" s="0" t="n">
        <v>145.5</v>
      </c>
    </row>
    <row r="690" customFormat="false" ht="14.25" hidden="false" customHeight="false" outlineLevel="0" collapsed="false">
      <c r="A690" s="0" t="n">
        <v>501</v>
      </c>
      <c r="B690" s="0" t="s">
        <v>89</v>
      </c>
      <c r="C690" s="0" t="s">
        <v>39</v>
      </c>
      <c r="D690" s="0" t="n">
        <v>29</v>
      </c>
      <c r="E690" s="0" t="s">
        <v>44</v>
      </c>
      <c r="F690" s="0" t="n">
        <v>2</v>
      </c>
      <c r="G690" s="0" t="str">
        <f aca="false">CONCATENATE(B690, "-",C690, "-", D690, "-", F690)</f>
        <v>M0112-B-29-2</v>
      </c>
      <c r="H690" s="0" t="n">
        <v>145.5</v>
      </c>
      <c r="I690" s="0" t="n">
        <v>146.5</v>
      </c>
    </row>
    <row r="691" customFormat="false" ht="14.25" hidden="false" customHeight="false" outlineLevel="0" collapsed="false">
      <c r="A691" s="0" t="n">
        <v>501</v>
      </c>
      <c r="B691" s="0" t="s">
        <v>89</v>
      </c>
      <c r="C691" s="0" t="s">
        <v>39</v>
      </c>
      <c r="D691" s="0" t="n">
        <v>29</v>
      </c>
      <c r="E691" s="0" t="s">
        <v>44</v>
      </c>
      <c r="F691" s="0" t="n">
        <v>3</v>
      </c>
      <c r="G691" s="0" t="str">
        <f aca="false">CONCATENATE(B691, "-",C691, "-", D691, "-", F691)</f>
        <v>M0112-B-29-3</v>
      </c>
      <c r="H691" s="0" t="n">
        <v>146.5</v>
      </c>
      <c r="I691" s="0" t="n">
        <v>147.09</v>
      </c>
    </row>
    <row r="692" customFormat="false" ht="14.25" hidden="false" customHeight="false" outlineLevel="0" collapsed="false">
      <c r="A692" s="0" t="n">
        <v>501</v>
      </c>
      <c r="B692" s="0" t="s">
        <v>89</v>
      </c>
      <c r="C692" s="0" t="s">
        <v>39</v>
      </c>
      <c r="D692" s="0" t="n">
        <v>30</v>
      </c>
      <c r="E692" s="0" t="s">
        <v>44</v>
      </c>
      <c r="F692" s="0" t="n">
        <v>1</v>
      </c>
      <c r="G692" s="0" t="str">
        <f aca="false">CONCATENATE(B692, "-",C692, "-", D692, "-", F692)</f>
        <v>M0112-B-30-1</v>
      </c>
      <c r="H692" s="0" t="n">
        <v>147</v>
      </c>
      <c r="I692" s="0" t="n">
        <v>148.5</v>
      </c>
    </row>
    <row r="693" customFormat="false" ht="14.25" hidden="false" customHeight="false" outlineLevel="0" collapsed="false">
      <c r="A693" s="0" t="n">
        <v>501</v>
      </c>
      <c r="B693" s="0" t="s">
        <v>89</v>
      </c>
      <c r="C693" s="0" t="s">
        <v>39</v>
      </c>
      <c r="D693" s="0" t="n">
        <v>30</v>
      </c>
      <c r="E693" s="0" t="s">
        <v>44</v>
      </c>
      <c r="F693" s="0" t="n">
        <v>2</v>
      </c>
      <c r="G693" s="0" t="str">
        <f aca="false">CONCATENATE(B693, "-",C693, "-", D693, "-", F693)</f>
        <v>M0112-B-30-2</v>
      </c>
      <c r="H693" s="0" t="n">
        <v>148.5</v>
      </c>
      <c r="I693" s="0" t="n">
        <v>149.54</v>
      </c>
    </row>
    <row r="694" customFormat="false" ht="14.25" hidden="false" customHeight="false" outlineLevel="0" collapsed="false">
      <c r="A694" s="0" t="n">
        <v>501</v>
      </c>
      <c r="B694" s="0" t="s">
        <v>89</v>
      </c>
      <c r="C694" s="0" t="s">
        <v>39</v>
      </c>
      <c r="D694" s="0" t="n">
        <v>31</v>
      </c>
      <c r="E694" s="0" t="s">
        <v>44</v>
      </c>
      <c r="F694" s="0" t="n">
        <v>1</v>
      </c>
      <c r="G694" s="0" t="str">
        <f aca="false">CONCATENATE(B694, "-",C694, "-", D694, "-", F694)</f>
        <v>M0112-B-31-1</v>
      </c>
      <c r="H694" s="0" t="n">
        <v>149.37</v>
      </c>
      <c r="I694" s="0" t="n">
        <v>150.37</v>
      </c>
    </row>
    <row r="695" customFormat="false" ht="14.25" hidden="false" customHeight="false" outlineLevel="0" collapsed="false">
      <c r="A695" s="0" t="n">
        <v>501</v>
      </c>
      <c r="B695" s="0" t="s">
        <v>89</v>
      </c>
      <c r="C695" s="0" t="s">
        <v>39</v>
      </c>
      <c r="D695" s="0" t="n">
        <v>31</v>
      </c>
      <c r="E695" s="0" t="s">
        <v>44</v>
      </c>
      <c r="F695" s="0" t="n">
        <v>2</v>
      </c>
      <c r="G695" s="0" t="str">
        <f aca="false">CONCATENATE(B695, "-",C695, "-", D695, "-", F695)</f>
        <v>M0112-B-31-2</v>
      </c>
      <c r="H695" s="0" t="n">
        <v>150.37</v>
      </c>
      <c r="I695" s="0" t="n">
        <v>150.92</v>
      </c>
    </row>
    <row r="696" customFormat="false" ht="14.25" hidden="false" customHeight="false" outlineLevel="0" collapsed="false">
      <c r="A696" s="0" t="n">
        <v>501</v>
      </c>
      <c r="B696" s="0" t="s">
        <v>89</v>
      </c>
      <c r="C696" s="0" t="s">
        <v>39</v>
      </c>
      <c r="D696" s="0" t="n">
        <v>35</v>
      </c>
      <c r="E696" s="0" t="s">
        <v>44</v>
      </c>
      <c r="F696" s="0" t="n">
        <v>1</v>
      </c>
      <c r="G696" s="0" t="str">
        <f aca="false">CONCATENATE(B696, "-",C696, "-", D696, "-", F696)</f>
        <v>M0112-B-35-1</v>
      </c>
      <c r="H696" s="0" t="n">
        <v>200</v>
      </c>
      <c r="I696" s="0" t="n">
        <v>200.27</v>
      </c>
    </row>
    <row r="697" customFormat="false" ht="14.25" hidden="false" customHeight="false" outlineLevel="0" collapsed="false">
      <c r="A697" s="0" t="n">
        <v>501</v>
      </c>
      <c r="B697" s="0" t="s">
        <v>89</v>
      </c>
      <c r="C697" s="0" t="s">
        <v>39</v>
      </c>
      <c r="D697" s="0" t="n">
        <v>36</v>
      </c>
      <c r="E697" s="0" t="s">
        <v>44</v>
      </c>
      <c r="F697" s="0" t="n">
        <v>1</v>
      </c>
      <c r="G697" s="0" t="str">
        <f aca="false">CONCATENATE(B697, "-",C697, "-", D697, "-", F697)</f>
        <v>M0112-B-36-1</v>
      </c>
      <c r="H697" s="0" t="n">
        <v>201.82</v>
      </c>
      <c r="I697" s="0" t="n">
        <v>201.97</v>
      </c>
    </row>
    <row r="698" customFormat="false" ht="14.25" hidden="false" customHeight="false" outlineLevel="0" collapsed="false">
      <c r="A698" s="0" t="n">
        <v>501</v>
      </c>
      <c r="B698" s="0" t="s">
        <v>89</v>
      </c>
      <c r="C698" s="0" t="s">
        <v>39</v>
      </c>
      <c r="D698" s="0" t="n">
        <v>37</v>
      </c>
      <c r="E698" s="0" t="s">
        <v>44</v>
      </c>
      <c r="F698" s="0" t="n">
        <v>1</v>
      </c>
      <c r="G698" s="0" t="str">
        <f aca="false">CONCATENATE(B698, "-",C698, "-", D698, "-", F698)</f>
        <v>M0112-B-37-1</v>
      </c>
      <c r="H698" s="0" t="n">
        <v>203.32</v>
      </c>
      <c r="I698" s="0" t="n">
        <v>203.77</v>
      </c>
    </row>
    <row r="699" customFormat="false" ht="14.25" hidden="false" customHeight="false" outlineLevel="0" collapsed="false">
      <c r="A699" s="0" t="n">
        <v>501</v>
      </c>
      <c r="B699" s="0" t="s">
        <v>89</v>
      </c>
      <c r="C699" s="0" t="s">
        <v>39</v>
      </c>
      <c r="D699" s="0" t="n">
        <v>39</v>
      </c>
      <c r="E699" s="0" t="s">
        <v>44</v>
      </c>
      <c r="F699" s="0" t="n">
        <v>1</v>
      </c>
      <c r="G699" s="0" t="str">
        <f aca="false">CONCATENATE(B699, "-",C699, "-", D699, "-", F699)</f>
        <v>M0112-B-39-1</v>
      </c>
      <c r="H699" s="0" t="n">
        <v>230.32</v>
      </c>
      <c r="I699" s="0" t="n">
        <v>231.39</v>
      </c>
    </row>
    <row r="700" customFormat="false" ht="14.25" hidden="false" customHeight="false" outlineLevel="0" collapsed="false">
      <c r="A700" s="0" t="n">
        <v>501</v>
      </c>
      <c r="B700" s="0" t="s">
        <v>89</v>
      </c>
      <c r="C700" s="0" t="s">
        <v>39</v>
      </c>
      <c r="D700" s="0" t="n">
        <v>40</v>
      </c>
      <c r="E700" s="0" t="s">
        <v>44</v>
      </c>
      <c r="F700" s="0" t="n">
        <v>1</v>
      </c>
      <c r="G700" s="0" t="str">
        <f aca="false">CONCATENATE(B700, "-",C700, "-", D700, "-", F700)</f>
        <v>M0112-B-40-1</v>
      </c>
      <c r="H700" s="0" t="n">
        <v>231.82</v>
      </c>
      <c r="I700" s="0" t="n">
        <v>232.72</v>
      </c>
    </row>
    <row r="701" customFormat="false" ht="14.25" hidden="false" customHeight="false" outlineLevel="0" collapsed="false">
      <c r="A701" s="0" t="n">
        <v>501</v>
      </c>
      <c r="B701" s="0" t="s">
        <v>89</v>
      </c>
      <c r="C701" s="0" t="s">
        <v>39</v>
      </c>
      <c r="D701" s="0" t="n">
        <v>40</v>
      </c>
      <c r="E701" s="0" t="s">
        <v>44</v>
      </c>
      <c r="F701" s="0" t="n">
        <v>2</v>
      </c>
      <c r="G701" s="0" t="str">
        <f aca="false">CONCATENATE(B701, "-",C701, "-", D701, "-", F701)</f>
        <v>M0112-B-40-2</v>
      </c>
      <c r="H701" s="0" t="n">
        <v>232.72</v>
      </c>
      <c r="I701" s="0" t="n">
        <v>232.79</v>
      </c>
    </row>
    <row r="702" customFormat="false" ht="14.25" hidden="false" customHeight="false" outlineLevel="0" collapsed="false">
      <c r="A702" s="0" t="n">
        <v>501</v>
      </c>
      <c r="B702" s="0" t="s">
        <v>89</v>
      </c>
      <c r="C702" s="0" t="s">
        <v>39</v>
      </c>
      <c r="D702" s="0" t="n">
        <v>41</v>
      </c>
      <c r="E702" s="0" t="s">
        <v>44</v>
      </c>
      <c r="F702" s="0" t="n">
        <v>1</v>
      </c>
      <c r="G702" s="0" t="str">
        <f aca="false">CONCATENATE(B702, "-",C702, "-", D702, "-", F702)</f>
        <v>M0112-B-41-1</v>
      </c>
      <c r="H702" s="0" t="n">
        <v>234.82</v>
      </c>
      <c r="I702" s="0" t="n">
        <v>235.7</v>
      </c>
    </row>
    <row r="703" customFormat="false" ht="14.25" hidden="false" customHeight="false" outlineLevel="0" collapsed="false">
      <c r="A703" s="0" t="n">
        <v>501</v>
      </c>
      <c r="B703" s="0" t="s">
        <v>89</v>
      </c>
      <c r="C703" s="0" t="s">
        <v>39</v>
      </c>
      <c r="D703" s="0" t="n">
        <v>41</v>
      </c>
      <c r="E703" s="0" t="s">
        <v>44</v>
      </c>
      <c r="F703" s="0" t="n">
        <v>2</v>
      </c>
      <c r="G703" s="0" t="str">
        <f aca="false">CONCATENATE(B703, "-",C703, "-", D703, "-", F703)</f>
        <v>M0112-B-41-2</v>
      </c>
      <c r="H703" s="0" t="n">
        <v>235.7</v>
      </c>
      <c r="I703" s="0" t="n">
        <v>236.25</v>
      </c>
    </row>
    <row r="704" customFormat="false" ht="14.25" hidden="false" customHeight="false" outlineLevel="0" collapsed="false">
      <c r="A704" s="0" t="n">
        <v>501</v>
      </c>
      <c r="B704" s="0" t="s">
        <v>89</v>
      </c>
      <c r="C704" s="0" t="s">
        <v>39</v>
      </c>
      <c r="D704" s="0" t="n">
        <v>42</v>
      </c>
      <c r="E704" s="0" t="s">
        <v>44</v>
      </c>
      <c r="F704" s="0" t="n">
        <v>1</v>
      </c>
      <c r="G704" s="0" t="str">
        <f aca="false">CONCATENATE(B704, "-",C704, "-", D704, "-", F704)</f>
        <v>M0112-B-42-1</v>
      </c>
      <c r="H704" s="0" t="n">
        <v>236.32</v>
      </c>
      <c r="I704" s="0" t="n">
        <v>236.93</v>
      </c>
    </row>
    <row r="705" customFormat="false" ht="14.25" hidden="false" customHeight="false" outlineLevel="0" collapsed="false">
      <c r="A705" s="0" t="n">
        <v>501</v>
      </c>
      <c r="B705" s="0" t="s">
        <v>89</v>
      </c>
      <c r="C705" s="0" t="s">
        <v>39</v>
      </c>
      <c r="D705" s="0" t="n">
        <v>42</v>
      </c>
      <c r="E705" s="0" t="s">
        <v>44</v>
      </c>
      <c r="F705" s="0" t="n">
        <v>2</v>
      </c>
      <c r="G705" s="0" t="str">
        <f aca="false">CONCATENATE(B705, "-",C705, "-", D705, "-", F705)</f>
        <v>M0112-B-42-2</v>
      </c>
      <c r="H705" s="0" t="n">
        <v>236.93</v>
      </c>
      <c r="I705" s="0" t="n">
        <v>237.05</v>
      </c>
    </row>
    <row r="706" customFormat="false" ht="14.25" hidden="false" customHeight="false" outlineLevel="0" collapsed="false">
      <c r="A706" s="0" t="n">
        <v>501</v>
      </c>
      <c r="B706" s="0" t="s">
        <v>89</v>
      </c>
      <c r="C706" s="0" t="s">
        <v>39</v>
      </c>
      <c r="D706" s="0" t="n">
        <v>43</v>
      </c>
      <c r="E706" s="0" t="s">
        <v>44</v>
      </c>
      <c r="F706" s="0" t="n">
        <v>1</v>
      </c>
      <c r="G706" s="0" t="str">
        <f aca="false">CONCATENATE(B706, "-",C706, "-", D706, "-", F706)</f>
        <v>M0112-B-43-1</v>
      </c>
      <c r="H706" s="0" t="n">
        <v>237.82</v>
      </c>
      <c r="I706" s="0" t="n">
        <v>238.9</v>
      </c>
    </row>
    <row r="707" customFormat="false" ht="14.25" hidden="false" customHeight="false" outlineLevel="0" collapsed="false">
      <c r="A707" s="0" t="n">
        <v>501</v>
      </c>
      <c r="B707" s="0" t="s">
        <v>89</v>
      </c>
      <c r="C707" s="0" t="s">
        <v>39</v>
      </c>
      <c r="D707" s="0" t="n">
        <v>44</v>
      </c>
      <c r="E707" s="0" t="s">
        <v>44</v>
      </c>
      <c r="F707" s="0" t="n">
        <v>1</v>
      </c>
      <c r="G707" s="0" t="str">
        <f aca="false">CONCATENATE(B707, "-",C707, "-", D707, "-", F707)</f>
        <v>M0112-B-44-1</v>
      </c>
      <c r="H707" s="0" t="n">
        <v>239.32</v>
      </c>
      <c r="I707" s="0" t="n">
        <v>240.44</v>
      </c>
    </row>
    <row r="708" customFormat="false" ht="14.25" hidden="false" customHeight="false" outlineLevel="0" collapsed="false">
      <c r="A708" s="0" t="n">
        <v>501</v>
      </c>
      <c r="B708" s="0" t="s">
        <v>89</v>
      </c>
      <c r="C708" s="0" t="s">
        <v>39</v>
      </c>
      <c r="D708" s="0" t="n">
        <v>45</v>
      </c>
      <c r="E708" s="0" t="s">
        <v>44</v>
      </c>
      <c r="F708" s="0" t="n">
        <v>1</v>
      </c>
      <c r="G708" s="0" t="str">
        <f aca="false">CONCATENATE(B708, "-",C708, "-", D708, "-", F708)</f>
        <v>M0112-B-45-1</v>
      </c>
      <c r="H708" s="0" t="n">
        <v>240.82</v>
      </c>
      <c r="I708" s="0" t="n">
        <v>242.06</v>
      </c>
    </row>
    <row r="709" customFormat="false" ht="14.25" hidden="false" customHeight="false" outlineLevel="0" collapsed="false">
      <c r="A709" s="0" t="n">
        <v>501</v>
      </c>
      <c r="B709" s="0" t="s">
        <v>89</v>
      </c>
      <c r="C709" s="0" t="s">
        <v>39</v>
      </c>
      <c r="D709" s="0" t="n">
        <v>46</v>
      </c>
      <c r="E709" s="0" t="s">
        <v>44</v>
      </c>
      <c r="F709" s="0" t="n">
        <v>1</v>
      </c>
      <c r="G709" s="0" t="str">
        <f aca="false">CONCATENATE(B709, "-",C709, "-", D709, "-", F709)</f>
        <v>M0112-B-46-1</v>
      </c>
      <c r="H709" s="0" t="n">
        <v>242.32</v>
      </c>
      <c r="I709" s="0" t="n">
        <v>243.75</v>
      </c>
    </row>
    <row r="710" customFormat="false" ht="14.25" hidden="false" customHeight="false" outlineLevel="0" collapsed="false">
      <c r="A710" s="0" t="n">
        <v>501</v>
      </c>
      <c r="B710" s="0" t="s">
        <v>89</v>
      </c>
      <c r="C710" s="0" t="s">
        <v>39</v>
      </c>
      <c r="D710" s="0" t="n">
        <v>47</v>
      </c>
      <c r="E710" s="0" t="s">
        <v>44</v>
      </c>
      <c r="F710" s="0" t="n">
        <v>1</v>
      </c>
      <c r="G710" s="0" t="str">
        <f aca="false">CONCATENATE(B710, "-",C710, "-", D710, "-", F710)</f>
        <v>M0112-B-47-1</v>
      </c>
      <c r="H710" s="0" t="n">
        <v>243.82</v>
      </c>
      <c r="I710" s="0" t="n">
        <v>243.93</v>
      </c>
    </row>
    <row r="711" customFormat="false" ht="14.25" hidden="false" customHeight="false" outlineLevel="0" collapsed="false">
      <c r="A711" s="0" t="n">
        <v>501</v>
      </c>
      <c r="B711" s="0" t="s">
        <v>89</v>
      </c>
      <c r="C711" s="0" t="s">
        <v>39</v>
      </c>
      <c r="D711" s="0" t="n">
        <v>48</v>
      </c>
      <c r="E711" s="0" t="s">
        <v>44</v>
      </c>
      <c r="F711" s="0" t="n">
        <v>1</v>
      </c>
      <c r="G711" s="0" t="str">
        <f aca="false">CONCATENATE(B711, "-",C711, "-", D711, "-", F711)</f>
        <v>M0112-B-48-1</v>
      </c>
      <c r="H711" s="0" t="n">
        <v>245.32</v>
      </c>
      <c r="I711" s="0" t="n">
        <v>245.45</v>
      </c>
    </row>
    <row r="712" customFormat="false" ht="14.25" hidden="false" customHeight="false" outlineLevel="0" collapsed="false">
      <c r="A712" s="0" t="n">
        <v>501</v>
      </c>
      <c r="B712" s="0" t="s">
        <v>89</v>
      </c>
      <c r="C712" s="0" t="s">
        <v>39</v>
      </c>
      <c r="D712" s="0" t="n">
        <v>49</v>
      </c>
      <c r="E712" s="0" t="s">
        <v>44</v>
      </c>
      <c r="F712" s="0" t="n">
        <v>1</v>
      </c>
      <c r="G712" s="0" t="str">
        <f aca="false">CONCATENATE(B712, "-",C712, "-", D712, "-", F712)</f>
        <v>M0112-B-49-1</v>
      </c>
      <c r="H712" s="0" t="n">
        <v>246.82</v>
      </c>
      <c r="I712" s="0" t="n">
        <v>248.32</v>
      </c>
    </row>
    <row r="713" customFormat="false" ht="14.25" hidden="false" customHeight="false" outlineLevel="0" collapsed="false">
      <c r="A713" s="0" t="n">
        <v>501</v>
      </c>
      <c r="B713" s="0" t="s">
        <v>89</v>
      </c>
      <c r="C713" s="0" t="s">
        <v>39</v>
      </c>
      <c r="D713" s="0" t="n">
        <v>49</v>
      </c>
      <c r="E713" s="0" t="s">
        <v>44</v>
      </c>
      <c r="F713" s="0" t="n">
        <v>2</v>
      </c>
      <c r="G713" s="0" t="str">
        <f aca="false">CONCATENATE(B713, "-",C713, "-", D713, "-", F713)</f>
        <v>M0112-B-49-2</v>
      </c>
      <c r="H713" s="0" t="n">
        <v>248.32</v>
      </c>
      <c r="I713" s="0" t="n">
        <v>248.77</v>
      </c>
    </row>
    <row r="714" customFormat="false" ht="14.25" hidden="false" customHeight="false" outlineLevel="0" collapsed="false">
      <c r="A714" s="0" t="n">
        <v>501</v>
      </c>
      <c r="B714" s="0" t="s">
        <v>89</v>
      </c>
      <c r="C714" s="0" t="s">
        <v>39</v>
      </c>
      <c r="D714" s="0" t="n">
        <v>49</v>
      </c>
      <c r="E714" s="0" t="s">
        <v>44</v>
      </c>
      <c r="F714" s="0" t="n">
        <v>3</v>
      </c>
      <c r="G714" s="0" t="str">
        <f aca="false">CONCATENATE(B714, "-",C714, "-", D714, "-", F714)</f>
        <v>M0112-B-49-3</v>
      </c>
      <c r="H714" s="0" t="n">
        <v>248.77</v>
      </c>
      <c r="I714" s="0" t="n">
        <v>248.85</v>
      </c>
    </row>
    <row r="715" customFormat="false" ht="14.25" hidden="false" customHeight="false" outlineLevel="0" collapsed="false">
      <c r="A715" s="0" t="n">
        <v>501</v>
      </c>
      <c r="B715" s="0" t="s">
        <v>89</v>
      </c>
      <c r="C715" s="0" t="s">
        <v>39</v>
      </c>
      <c r="D715" s="0" t="n">
        <v>50</v>
      </c>
      <c r="E715" s="0" t="s">
        <v>44</v>
      </c>
      <c r="F715" s="0" t="n">
        <v>1</v>
      </c>
      <c r="G715" s="0" t="str">
        <f aca="false">CONCATENATE(B715, "-",C715, "-", D715, "-", F715)</f>
        <v>M0112-B-50-1</v>
      </c>
      <c r="H715" s="0" t="n">
        <v>249.82</v>
      </c>
      <c r="I715" s="0" t="n">
        <v>250.24</v>
      </c>
    </row>
    <row r="716" customFormat="false" ht="14.25" hidden="false" customHeight="false" outlineLevel="0" collapsed="false">
      <c r="A716" s="0" t="n">
        <v>501</v>
      </c>
      <c r="B716" s="0" t="s">
        <v>89</v>
      </c>
      <c r="C716" s="0" t="s">
        <v>39</v>
      </c>
      <c r="D716" s="0" t="n">
        <v>51</v>
      </c>
      <c r="E716" s="0" t="s">
        <v>44</v>
      </c>
      <c r="F716" s="0" t="n">
        <v>1</v>
      </c>
      <c r="G716" s="0" t="str">
        <f aca="false">CONCATENATE(B716, "-",C716, "-", D716, "-", F716)</f>
        <v>M0112-B-51-1</v>
      </c>
      <c r="H716" s="0" t="n">
        <v>250.82</v>
      </c>
      <c r="I716" s="0" t="n">
        <v>251.11</v>
      </c>
    </row>
    <row r="717" customFormat="false" ht="14.25" hidden="false" customHeight="false" outlineLevel="0" collapsed="false">
      <c r="A717" s="0" t="n">
        <v>501</v>
      </c>
      <c r="B717" s="0" t="s">
        <v>89</v>
      </c>
      <c r="C717" s="0" t="s">
        <v>39</v>
      </c>
      <c r="D717" s="0" t="n">
        <v>52</v>
      </c>
      <c r="E717" s="0" t="s">
        <v>44</v>
      </c>
      <c r="F717" s="0" t="n">
        <v>1</v>
      </c>
      <c r="G717" s="0" t="str">
        <f aca="false">CONCATENATE(B717, "-",C717, "-", D717, "-", F717)</f>
        <v>M0112-B-52-1</v>
      </c>
      <c r="H717" s="0" t="n">
        <v>252.82</v>
      </c>
      <c r="I717" s="0" t="n">
        <v>252.98</v>
      </c>
    </row>
    <row r="718" customFormat="false" ht="14.25" hidden="false" customHeight="false" outlineLevel="0" collapsed="false">
      <c r="A718" s="0" t="n">
        <v>501</v>
      </c>
      <c r="B718" s="0" t="s">
        <v>89</v>
      </c>
      <c r="C718" s="0" t="s">
        <v>39</v>
      </c>
      <c r="D718" s="0" t="n">
        <v>53</v>
      </c>
      <c r="E718" s="0" t="s">
        <v>44</v>
      </c>
      <c r="F718" s="0" t="n">
        <v>1</v>
      </c>
      <c r="G718" s="0" t="str">
        <f aca="false">CONCATENATE(B718, "-",C718, "-", D718, "-", F718)</f>
        <v>M0112-B-53-1</v>
      </c>
      <c r="H718" s="0" t="n">
        <v>254.42</v>
      </c>
      <c r="I718" s="0" t="n">
        <v>254.54</v>
      </c>
    </row>
    <row r="719" customFormat="false" ht="14.25" hidden="false" customHeight="false" outlineLevel="0" collapsed="false">
      <c r="A719" s="0" t="n">
        <v>501</v>
      </c>
      <c r="B719" s="0" t="s">
        <v>89</v>
      </c>
      <c r="C719" s="0" t="s">
        <v>39</v>
      </c>
      <c r="D719" s="0" t="n">
        <v>54</v>
      </c>
      <c r="E719" s="0" t="s">
        <v>88</v>
      </c>
      <c r="F719" s="0" t="n">
        <v>1</v>
      </c>
      <c r="G719" s="0" t="str">
        <f aca="false">CONCATENATE(B719, "-",C719, "-", D719, "-", F719)</f>
        <v>M0112-B-54-1</v>
      </c>
      <c r="H719" s="0" t="n">
        <v>235.82</v>
      </c>
      <c r="I719" s="0" t="n">
        <v>255.82</v>
      </c>
    </row>
    <row r="720" customFormat="false" ht="14.25" hidden="false" customHeight="false" outlineLevel="0" collapsed="false">
      <c r="A720" s="0" t="n">
        <v>501</v>
      </c>
      <c r="B720" s="0" t="s">
        <v>89</v>
      </c>
      <c r="C720" s="0" t="s">
        <v>39</v>
      </c>
      <c r="D720" s="0" t="n">
        <v>56</v>
      </c>
      <c r="E720" s="0" t="s">
        <v>44</v>
      </c>
      <c r="F720" s="0" t="n">
        <v>1</v>
      </c>
      <c r="G720" s="0" t="str">
        <f aca="false">CONCATENATE(B720, "-",C720, "-", D720, "-", F720)</f>
        <v>M0112-B-56-1</v>
      </c>
      <c r="H720" s="0" t="n">
        <v>321.82</v>
      </c>
      <c r="I720" s="0" t="n">
        <v>322.83</v>
      </c>
    </row>
    <row r="721" customFormat="false" ht="14.25" hidden="false" customHeight="false" outlineLevel="0" collapsed="false">
      <c r="A721" s="0" t="n">
        <v>501</v>
      </c>
      <c r="B721" s="0" t="s">
        <v>89</v>
      </c>
      <c r="C721" s="0" t="s">
        <v>39</v>
      </c>
      <c r="D721" s="0" t="n">
        <v>56</v>
      </c>
      <c r="E721" s="0" t="s">
        <v>44</v>
      </c>
      <c r="F721" s="0" t="n">
        <v>2</v>
      </c>
      <c r="G721" s="0" t="str">
        <f aca="false">CONCATENATE(B721, "-",C721, "-", D721, "-", F721)</f>
        <v>M0112-B-56-2</v>
      </c>
      <c r="H721" s="0" t="n">
        <v>322.83</v>
      </c>
      <c r="I721" s="0" t="n">
        <v>323.5</v>
      </c>
    </row>
    <row r="722" customFormat="false" ht="14.25" hidden="false" customHeight="false" outlineLevel="0" collapsed="false">
      <c r="A722" s="0" t="n">
        <v>501</v>
      </c>
      <c r="B722" s="0" t="s">
        <v>89</v>
      </c>
      <c r="C722" s="0" t="s">
        <v>39</v>
      </c>
      <c r="D722" s="0" t="n">
        <v>56</v>
      </c>
      <c r="E722" s="0" t="s">
        <v>44</v>
      </c>
      <c r="F722" s="0" t="n">
        <v>3</v>
      </c>
      <c r="G722" s="0" t="str">
        <f aca="false">CONCATENATE(B722, "-",C722, "-", D722, "-", F722)</f>
        <v>M0112-B-56-3</v>
      </c>
      <c r="H722" s="0" t="n">
        <v>323.5</v>
      </c>
      <c r="I722" s="0" t="n">
        <v>323.71</v>
      </c>
    </row>
    <row r="723" customFormat="false" ht="14.25" hidden="false" customHeight="false" outlineLevel="0" collapsed="false">
      <c r="A723" s="0" t="n">
        <v>501</v>
      </c>
      <c r="B723" s="0" t="s">
        <v>89</v>
      </c>
      <c r="C723" s="0" t="s">
        <v>39</v>
      </c>
      <c r="D723" s="0" t="n">
        <v>57</v>
      </c>
      <c r="E723" s="0" t="s">
        <v>44</v>
      </c>
      <c r="F723" s="0" t="n">
        <v>1</v>
      </c>
      <c r="G723" s="0" t="str">
        <f aca="false">CONCATENATE(B723, "-",C723, "-", D723, "-", F723)</f>
        <v>M0112-B-57-1</v>
      </c>
      <c r="H723" s="0" t="n">
        <v>323.62</v>
      </c>
      <c r="I723" s="0" t="n">
        <v>324.13</v>
      </c>
    </row>
    <row r="724" customFormat="false" ht="14.25" hidden="false" customHeight="false" outlineLevel="0" collapsed="false">
      <c r="A724" s="0" t="n">
        <v>501</v>
      </c>
      <c r="B724" s="0" t="s">
        <v>89</v>
      </c>
      <c r="C724" s="0" t="s">
        <v>39</v>
      </c>
      <c r="D724" s="0" t="n">
        <v>57</v>
      </c>
      <c r="E724" s="0" t="s">
        <v>44</v>
      </c>
      <c r="F724" s="0" t="n">
        <v>2</v>
      </c>
      <c r="G724" s="0" t="str">
        <f aca="false">CONCATENATE(B724, "-",C724, "-", D724, "-", F724)</f>
        <v>M0112-B-57-2</v>
      </c>
      <c r="H724" s="0" t="n">
        <v>324.13</v>
      </c>
      <c r="I724" s="0" t="n">
        <v>324.55</v>
      </c>
    </row>
    <row r="725" customFormat="false" ht="14.25" hidden="false" customHeight="false" outlineLevel="0" collapsed="false">
      <c r="A725" s="0" t="n">
        <v>501</v>
      </c>
      <c r="B725" s="0" t="s">
        <v>89</v>
      </c>
      <c r="C725" s="0" t="s">
        <v>39</v>
      </c>
      <c r="D725" s="0" t="n">
        <v>58</v>
      </c>
      <c r="E725" s="0" t="s">
        <v>44</v>
      </c>
      <c r="F725" s="0" t="n">
        <v>1</v>
      </c>
      <c r="G725" s="0" t="str">
        <f aca="false">CONCATENATE(B725, "-",C725, "-", D725, "-", F725)</f>
        <v>M0112-B-58-1</v>
      </c>
      <c r="H725" s="0" t="n">
        <v>324.82</v>
      </c>
      <c r="I725" s="0" t="n">
        <v>325.71</v>
      </c>
    </row>
    <row r="726" customFormat="false" ht="14.25" hidden="false" customHeight="false" outlineLevel="0" collapsed="false">
      <c r="A726" s="0" t="n">
        <v>501</v>
      </c>
      <c r="B726" s="0" t="s">
        <v>89</v>
      </c>
      <c r="C726" s="0" t="s">
        <v>39</v>
      </c>
      <c r="D726" s="0" t="n">
        <v>59</v>
      </c>
      <c r="E726" s="0" t="s">
        <v>44</v>
      </c>
      <c r="F726" s="0" t="n">
        <v>1</v>
      </c>
      <c r="G726" s="0" t="str">
        <f aca="false">CONCATENATE(B726, "-",C726, "-", D726, "-", F726)</f>
        <v>M0112-B-59-1</v>
      </c>
      <c r="H726" s="0" t="n">
        <v>327.82</v>
      </c>
      <c r="I726" s="0" t="n">
        <v>327.91</v>
      </c>
    </row>
    <row r="727" customFormat="false" ht="14.25" hidden="false" customHeight="false" outlineLevel="0" collapsed="false">
      <c r="A727" s="0" t="n">
        <v>501</v>
      </c>
      <c r="B727" s="0" t="s">
        <v>89</v>
      </c>
      <c r="C727" s="0" t="s">
        <v>39</v>
      </c>
      <c r="D727" s="0" t="n">
        <v>60</v>
      </c>
      <c r="E727" s="0" t="s">
        <v>44</v>
      </c>
      <c r="F727" s="0" t="n">
        <v>1</v>
      </c>
      <c r="G727" s="0" t="str">
        <f aca="false">CONCATENATE(B727, "-",C727, "-", D727, "-", F727)</f>
        <v>M0112-B-60-1</v>
      </c>
      <c r="H727" s="0" t="n">
        <v>329.32</v>
      </c>
      <c r="I727" s="0" t="n">
        <v>329.33</v>
      </c>
    </row>
    <row r="728" customFormat="false" ht="14.25" hidden="false" customHeight="false" outlineLevel="0" collapsed="false">
      <c r="A728" s="0" t="n">
        <v>501</v>
      </c>
      <c r="B728" s="0" t="s">
        <v>89</v>
      </c>
      <c r="C728" s="0" t="s">
        <v>39</v>
      </c>
      <c r="D728" s="0" t="n">
        <v>61</v>
      </c>
      <c r="E728" s="0" t="s">
        <v>44</v>
      </c>
      <c r="F728" s="0" t="n">
        <v>1</v>
      </c>
      <c r="G728" s="0" t="str">
        <f aca="false">CONCATENATE(B728, "-",C728, "-", D728, "-", F728)</f>
        <v>M0112-B-61-1</v>
      </c>
      <c r="H728" s="0" t="n">
        <v>330.82</v>
      </c>
      <c r="I728" s="0" t="n">
        <v>331.44</v>
      </c>
    </row>
    <row r="729" customFormat="false" ht="14.25" hidden="false" customHeight="false" outlineLevel="0" collapsed="false">
      <c r="A729" s="0" t="n">
        <v>501</v>
      </c>
      <c r="B729" s="0" t="s">
        <v>89</v>
      </c>
      <c r="C729" s="0" t="s">
        <v>39</v>
      </c>
      <c r="D729" s="0" t="n">
        <v>63</v>
      </c>
      <c r="E729" s="0" t="s">
        <v>44</v>
      </c>
      <c r="F729" s="0" t="n">
        <v>1</v>
      </c>
      <c r="G729" s="0" t="str">
        <f aca="false">CONCATENATE(B729, "-",C729, "-", D729, "-", F729)</f>
        <v>M0112-B-63-1</v>
      </c>
      <c r="H729" s="0" t="n">
        <v>333.82</v>
      </c>
      <c r="I729" s="0" t="n">
        <v>334.66</v>
      </c>
    </row>
    <row r="730" customFormat="false" ht="14.25" hidden="false" customHeight="false" outlineLevel="0" collapsed="false">
      <c r="A730" s="0" t="n">
        <v>501</v>
      </c>
      <c r="B730" s="0" t="s">
        <v>89</v>
      </c>
      <c r="C730" s="0" t="s">
        <v>39</v>
      </c>
      <c r="D730" s="0" t="n">
        <v>64</v>
      </c>
      <c r="E730" s="0" t="s">
        <v>44</v>
      </c>
      <c r="F730" s="0" t="n">
        <v>1</v>
      </c>
      <c r="G730" s="0" t="str">
        <f aca="false">CONCATENATE(B730, "-",C730, "-", D730, "-", F730)</f>
        <v>M0112-B-64-1</v>
      </c>
      <c r="H730" s="0" t="n">
        <v>335.32</v>
      </c>
      <c r="I730" s="0" t="n">
        <v>336.25</v>
      </c>
    </row>
    <row r="731" customFormat="false" ht="14.25" hidden="false" customHeight="false" outlineLevel="0" collapsed="false">
      <c r="A731" s="0" t="n">
        <v>501</v>
      </c>
      <c r="B731" s="0" t="s">
        <v>89</v>
      </c>
      <c r="C731" s="0" t="s">
        <v>39</v>
      </c>
      <c r="D731" s="0" t="n">
        <v>65</v>
      </c>
      <c r="E731" s="0" t="s">
        <v>44</v>
      </c>
      <c r="F731" s="0" t="n">
        <v>1</v>
      </c>
      <c r="G731" s="0" t="str">
        <f aca="false">CONCATENATE(B731, "-",C731, "-", D731, "-", F731)</f>
        <v>M0112-B-65-1</v>
      </c>
      <c r="H731" s="0" t="n">
        <v>336.82</v>
      </c>
      <c r="I731" s="0" t="n">
        <v>337.82</v>
      </c>
    </row>
    <row r="732" customFormat="false" ht="14.25" hidden="false" customHeight="false" outlineLevel="0" collapsed="false">
      <c r="A732" s="0" t="n">
        <v>501</v>
      </c>
      <c r="B732" s="0" t="s">
        <v>90</v>
      </c>
      <c r="C732" s="0" t="s">
        <v>85</v>
      </c>
      <c r="D732" s="0" t="n">
        <v>1</v>
      </c>
      <c r="E732" s="0" t="s">
        <v>40</v>
      </c>
      <c r="F732" s="0" t="n">
        <v>1</v>
      </c>
      <c r="G732" s="0" t="str">
        <f aca="false">CONCATENATE(B732, "-",C732, "-", D732, "-", F732)</f>
        <v>M0113-A-1-1</v>
      </c>
      <c r="H732" s="0" t="n">
        <v>0</v>
      </c>
      <c r="I732" s="0" t="n">
        <v>1.5</v>
      </c>
    </row>
    <row r="733" customFormat="false" ht="14.25" hidden="false" customHeight="false" outlineLevel="0" collapsed="false">
      <c r="A733" s="0" t="n">
        <v>501</v>
      </c>
      <c r="B733" s="0" t="s">
        <v>90</v>
      </c>
      <c r="C733" s="0" t="s">
        <v>85</v>
      </c>
      <c r="D733" s="0" t="n">
        <v>1</v>
      </c>
      <c r="E733" s="0" t="s">
        <v>40</v>
      </c>
      <c r="F733" s="0" t="n">
        <v>2</v>
      </c>
      <c r="G733" s="0" t="str">
        <f aca="false">CONCATENATE(B733, "-",C733, "-", D733, "-", F733)</f>
        <v>M0113-A-1-2</v>
      </c>
      <c r="H733" s="0" t="n">
        <v>1.5</v>
      </c>
      <c r="I733" s="0" t="n">
        <v>2.9</v>
      </c>
    </row>
    <row r="734" customFormat="false" ht="14.25" hidden="false" customHeight="false" outlineLevel="0" collapsed="false">
      <c r="A734" s="0" t="n">
        <v>501</v>
      </c>
      <c r="B734" s="0" t="s">
        <v>90</v>
      </c>
      <c r="C734" s="0" t="s">
        <v>85</v>
      </c>
      <c r="D734" s="0" t="n">
        <v>2</v>
      </c>
      <c r="E734" s="0" t="s">
        <v>40</v>
      </c>
      <c r="F734" s="0" t="n">
        <v>1</v>
      </c>
      <c r="G734" s="0" t="str">
        <f aca="false">CONCATENATE(B734, "-",C734, "-", D734, "-", F734)</f>
        <v>M0113-A-2-1</v>
      </c>
      <c r="H734" s="0" t="n">
        <v>2.9</v>
      </c>
      <c r="I734" s="0" t="n">
        <v>4.4</v>
      </c>
    </row>
    <row r="735" customFormat="false" ht="14.25" hidden="false" customHeight="false" outlineLevel="0" collapsed="false">
      <c r="A735" s="0" t="n">
        <v>501</v>
      </c>
      <c r="B735" s="0" t="s">
        <v>90</v>
      </c>
      <c r="C735" s="0" t="s">
        <v>85</v>
      </c>
      <c r="D735" s="0" t="n">
        <v>2</v>
      </c>
      <c r="E735" s="0" t="s">
        <v>40</v>
      </c>
      <c r="F735" s="0" t="n">
        <v>2</v>
      </c>
      <c r="G735" s="0" t="str">
        <f aca="false">CONCATENATE(B735, "-",C735, "-", D735, "-", F735)</f>
        <v>M0113-A-2-2</v>
      </c>
      <c r="H735" s="0" t="n">
        <v>4.4</v>
      </c>
      <c r="I735" s="0" t="n">
        <v>5.3</v>
      </c>
    </row>
    <row r="736" customFormat="false" ht="14.25" hidden="false" customHeight="false" outlineLevel="0" collapsed="false">
      <c r="A736" s="0" t="n">
        <v>501</v>
      </c>
      <c r="B736" s="0" t="s">
        <v>90</v>
      </c>
      <c r="C736" s="0" t="s">
        <v>85</v>
      </c>
      <c r="D736" s="0" t="n">
        <v>3</v>
      </c>
      <c r="E736" s="0" t="s">
        <v>40</v>
      </c>
      <c r="F736" s="0" t="n">
        <v>1</v>
      </c>
      <c r="G736" s="0" t="str">
        <f aca="false">CONCATENATE(B736, "-",C736, "-", D736, "-", F736)</f>
        <v>M0113-A-3-1</v>
      </c>
      <c r="H736" s="0" t="n">
        <v>5.3</v>
      </c>
      <c r="I736" s="0" t="n">
        <v>6.8</v>
      </c>
    </row>
    <row r="737" customFormat="false" ht="14.25" hidden="false" customHeight="false" outlineLevel="0" collapsed="false">
      <c r="A737" s="0" t="n">
        <v>501</v>
      </c>
      <c r="B737" s="0" t="s">
        <v>90</v>
      </c>
      <c r="C737" s="0" t="s">
        <v>85</v>
      </c>
      <c r="D737" s="0" t="n">
        <v>3</v>
      </c>
      <c r="E737" s="0" t="s">
        <v>40</v>
      </c>
      <c r="F737" s="0" t="n">
        <v>2</v>
      </c>
      <c r="G737" s="0" t="str">
        <f aca="false">CONCATENATE(B737, "-",C737, "-", D737, "-", F737)</f>
        <v>M0113-A-3-2</v>
      </c>
      <c r="H737" s="0" t="n">
        <v>6.8</v>
      </c>
      <c r="I737" s="0" t="n">
        <v>8</v>
      </c>
    </row>
    <row r="738" customFormat="false" ht="14.25" hidden="false" customHeight="false" outlineLevel="0" collapsed="false">
      <c r="A738" s="0" t="n">
        <v>501</v>
      </c>
      <c r="B738" s="0" t="s">
        <v>90</v>
      </c>
      <c r="C738" s="0" t="s">
        <v>85</v>
      </c>
      <c r="D738" s="0" t="n">
        <v>4</v>
      </c>
      <c r="E738" s="0" t="s">
        <v>40</v>
      </c>
      <c r="F738" s="0" t="n">
        <v>1</v>
      </c>
      <c r="G738" s="0" t="str">
        <f aca="false">CONCATENATE(B738, "-",C738, "-", D738, "-", F738)</f>
        <v>M0113-A-4-1</v>
      </c>
      <c r="H738" s="0" t="n">
        <v>8</v>
      </c>
      <c r="I738" s="0" t="n">
        <v>9.5</v>
      </c>
    </row>
    <row r="739" customFormat="false" ht="14.25" hidden="false" customHeight="false" outlineLevel="0" collapsed="false">
      <c r="A739" s="0" t="n">
        <v>501</v>
      </c>
      <c r="B739" s="0" t="s">
        <v>90</v>
      </c>
      <c r="C739" s="0" t="s">
        <v>85</v>
      </c>
      <c r="D739" s="0" t="n">
        <v>4</v>
      </c>
      <c r="E739" s="0" t="s">
        <v>40</v>
      </c>
      <c r="F739" s="0" t="n">
        <v>2</v>
      </c>
      <c r="G739" s="0" t="str">
        <f aca="false">CONCATENATE(B739, "-",C739, "-", D739, "-", F739)</f>
        <v>M0113-A-4-2</v>
      </c>
      <c r="H739" s="0" t="n">
        <v>9.5</v>
      </c>
      <c r="I739" s="0" t="n">
        <v>10.5</v>
      </c>
    </row>
    <row r="740" customFormat="false" ht="14.25" hidden="false" customHeight="false" outlineLevel="0" collapsed="false">
      <c r="A740" s="0" t="n">
        <v>501</v>
      </c>
      <c r="B740" s="0" t="s">
        <v>90</v>
      </c>
      <c r="C740" s="0" t="s">
        <v>85</v>
      </c>
      <c r="D740" s="0" t="n">
        <v>5</v>
      </c>
      <c r="E740" s="0" t="s">
        <v>40</v>
      </c>
      <c r="F740" s="0" t="n">
        <v>1</v>
      </c>
      <c r="G740" s="0" t="str">
        <f aca="false">CONCATENATE(B740, "-",C740, "-", D740, "-", F740)</f>
        <v>M0113-A-5-1</v>
      </c>
      <c r="H740" s="0" t="n">
        <v>10.5</v>
      </c>
      <c r="I740" s="0" t="n">
        <v>11</v>
      </c>
    </row>
    <row r="741" customFormat="false" ht="14.25" hidden="false" customHeight="false" outlineLevel="0" collapsed="false">
      <c r="A741" s="0" t="n">
        <v>501</v>
      </c>
      <c r="B741" s="0" t="s">
        <v>90</v>
      </c>
      <c r="C741" s="0" t="s">
        <v>85</v>
      </c>
      <c r="D741" s="0" t="n">
        <v>6</v>
      </c>
      <c r="E741" s="0" t="s">
        <v>40</v>
      </c>
      <c r="F741" s="0" t="n">
        <v>1</v>
      </c>
      <c r="G741" s="0" t="str">
        <f aca="false">CONCATENATE(B741, "-",C741, "-", D741, "-", F741)</f>
        <v>M0113-A-6-1</v>
      </c>
      <c r="H741" s="0" t="n">
        <v>11</v>
      </c>
      <c r="I741" s="0" t="n">
        <v>12.51</v>
      </c>
    </row>
    <row r="742" customFormat="false" ht="14.25" hidden="false" customHeight="false" outlineLevel="0" collapsed="false">
      <c r="A742" s="0" t="n">
        <v>501</v>
      </c>
      <c r="B742" s="0" t="s">
        <v>90</v>
      </c>
      <c r="C742" s="0" t="s">
        <v>85</v>
      </c>
      <c r="D742" s="0" t="n">
        <v>6</v>
      </c>
      <c r="E742" s="0" t="s">
        <v>40</v>
      </c>
      <c r="F742" s="0" t="n">
        <v>2</v>
      </c>
      <c r="G742" s="0" t="str">
        <f aca="false">CONCATENATE(B742, "-",C742, "-", D742, "-", F742)</f>
        <v>M0113-A-6-2</v>
      </c>
      <c r="H742" s="0" t="n">
        <v>12.51</v>
      </c>
      <c r="I742" s="0" t="n">
        <v>13.77</v>
      </c>
    </row>
    <row r="743" customFormat="false" ht="14.25" hidden="false" customHeight="false" outlineLevel="0" collapsed="false">
      <c r="A743" s="0" t="n">
        <v>501</v>
      </c>
      <c r="B743" s="0" t="s">
        <v>90</v>
      </c>
      <c r="C743" s="0" t="s">
        <v>85</v>
      </c>
      <c r="D743" s="0" t="n">
        <v>7</v>
      </c>
      <c r="E743" s="0" t="s">
        <v>40</v>
      </c>
      <c r="F743" s="0" t="n">
        <v>1</v>
      </c>
      <c r="G743" s="0" t="str">
        <f aca="false">CONCATENATE(B743, "-",C743, "-", D743, "-", F743)</f>
        <v>M0113-A-7-1</v>
      </c>
      <c r="H743" s="0" t="n">
        <v>13.77</v>
      </c>
      <c r="I743" s="0" t="n">
        <v>15.27</v>
      </c>
    </row>
    <row r="744" customFormat="false" ht="14.25" hidden="false" customHeight="false" outlineLevel="0" collapsed="false">
      <c r="A744" s="0" t="n">
        <v>501</v>
      </c>
      <c r="B744" s="0" t="s">
        <v>90</v>
      </c>
      <c r="C744" s="0" t="s">
        <v>85</v>
      </c>
      <c r="D744" s="0" t="n">
        <v>7</v>
      </c>
      <c r="E744" s="0" t="s">
        <v>40</v>
      </c>
      <c r="F744" s="0" t="n">
        <v>2</v>
      </c>
      <c r="G744" s="0" t="str">
        <f aca="false">CONCATENATE(B744, "-",C744, "-", D744, "-", F744)</f>
        <v>M0113-A-7-2</v>
      </c>
      <c r="H744" s="0" t="n">
        <v>15.27</v>
      </c>
      <c r="I744" s="0" t="n">
        <v>15.88</v>
      </c>
    </row>
    <row r="745" customFormat="false" ht="14.25" hidden="false" customHeight="false" outlineLevel="0" collapsed="false">
      <c r="A745" s="0" t="n">
        <v>501</v>
      </c>
      <c r="B745" s="0" t="s">
        <v>90</v>
      </c>
      <c r="C745" s="0" t="s">
        <v>85</v>
      </c>
      <c r="D745" s="0" t="n">
        <v>8</v>
      </c>
      <c r="E745" s="0" t="s">
        <v>40</v>
      </c>
      <c r="F745" s="0" t="n">
        <v>1</v>
      </c>
      <c r="G745" s="0" t="str">
        <f aca="false">CONCATENATE(B745, "-",C745, "-", D745, "-", F745)</f>
        <v>M0113-A-8-1</v>
      </c>
      <c r="H745" s="0" t="n">
        <v>15.88</v>
      </c>
      <c r="I745" s="0" t="n">
        <v>17.23</v>
      </c>
    </row>
    <row r="746" customFormat="false" ht="14.25" hidden="false" customHeight="false" outlineLevel="0" collapsed="false">
      <c r="A746" s="0" t="n">
        <v>501</v>
      </c>
      <c r="B746" s="0" t="s">
        <v>90</v>
      </c>
      <c r="C746" s="0" t="s">
        <v>85</v>
      </c>
      <c r="D746" s="0" t="n">
        <v>9</v>
      </c>
      <c r="E746" s="0" t="s">
        <v>40</v>
      </c>
      <c r="F746" s="0" t="n">
        <v>1</v>
      </c>
      <c r="G746" s="0" t="str">
        <f aca="false">CONCATENATE(B746, "-",C746, "-", D746, "-", F746)</f>
        <v>M0113-A-9-1</v>
      </c>
      <c r="H746" s="0" t="n">
        <v>17.23</v>
      </c>
      <c r="I746" s="0" t="n">
        <v>18.73</v>
      </c>
    </row>
    <row r="747" customFormat="false" ht="14.25" hidden="false" customHeight="false" outlineLevel="0" collapsed="false">
      <c r="A747" s="0" t="n">
        <v>501</v>
      </c>
      <c r="B747" s="0" t="s">
        <v>90</v>
      </c>
      <c r="C747" s="0" t="s">
        <v>85</v>
      </c>
      <c r="D747" s="0" t="n">
        <v>9</v>
      </c>
      <c r="E747" s="0" t="s">
        <v>40</v>
      </c>
      <c r="F747" s="0" t="n">
        <v>2</v>
      </c>
      <c r="G747" s="0" t="str">
        <f aca="false">CONCATENATE(B747, "-",C747, "-", D747, "-", F747)</f>
        <v>M0113-A-9-2</v>
      </c>
      <c r="H747" s="0" t="n">
        <v>18.73</v>
      </c>
      <c r="I747" s="0" t="n">
        <v>19.19</v>
      </c>
    </row>
    <row r="748" customFormat="false" ht="14.25" hidden="false" customHeight="false" outlineLevel="0" collapsed="false">
      <c r="A748" s="0" t="n">
        <v>501</v>
      </c>
      <c r="B748" s="0" t="s">
        <v>90</v>
      </c>
      <c r="C748" s="0" t="s">
        <v>85</v>
      </c>
      <c r="D748" s="0" t="n">
        <v>10</v>
      </c>
      <c r="E748" s="0" t="s">
        <v>40</v>
      </c>
      <c r="F748" s="0" t="n">
        <v>1</v>
      </c>
      <c r="G748" s="0" t="str">
        <f aca="false">CONCATENATE(B748, "-",C748, "-", D748, "-", F748)</f>
        <v>M0113-A-10-1</v>
      </c>
      <c r="H748" s="0" t="n">
        <v>19.19</v>
      </c>
      <c r="I748" s="0" t="n">
        <v>20.69</v>
      </c>
    </row>
    <row r="749" customFormat="false" ht="14.25" hidden="false" customHeight="false" outlineLevel="0" collapsed="false">
      <c r="A749" s="0" t="n">
        <v>501</v>
      </c>
      <c r="B749" s="0" t="s">
        <v>90</v>
      </c>
      <c r="C749" s="0" t="s">
        <v>85</v>
      </c>
      <c r="D749" s="0" t="n">
        <v>10</v>
      </c>
      <c r="E749" s="0" t="s">
        <v>40</v>
      </c>
      <c r="F749" s="0" t="n">
        <v>2</v>
      </c>
      <c r="G749" s="0" t="str">
        <f aca="false">CONCATENATE(B749, "-",C749, "-", D749, "-", F749)</f>
        <v>M0113-A-10-2</v>
      </c>
      <c r="H749" s="0" t="n">
        <v>20.69</v>
      </c>
      <c r="I749" s="0" t="n">
        <v>21.38</v>
      </c>
    </row>
    <row r="750" customFormat="false" ht="14.25" hidden="false" customHeight="false" outlineLevel="0" collapsed="false">
      <c r="A750" s="0" t="n">
        <v>501</v>
      </c>
      <c r="B750" s="0" t="s">
        <v>90</v>
      </c>
      <c r="C750" s="0" t="s">
        <v>85</v>
      </c>
      <c r="D750" s="0" t="n">
        <v>11</v>
      </c>
      <c r="E750" s="0" t="s">
        <v>40</v>
      </c>
      <c r="F750" s="0" t="n">
        <v>1</v>
      </c>
      <c r="G750" s="0" t="str">
        <f aca="false">CONCATENATE(B750, "-",C750, "-", D750, "-", F750)</f>
        <v>M0113-A-11-1</v>
      </c>
      <c r="H750" s="0" t="n">
        <v>21.38</v>
      </c>
      <c r="I750" s="0" t="n">
        <v>21.98</v>
      </c>
    </row>
    <row r="751" customFormat="false" ht="14.25" hidden="false" customHeight="false" outlineLevel="0" collapsed="false">
      <c r="A751" s="0" t="n">
        <v>501</v>
      </c>
      <c r="B751" s="0" t="s">
        <v>90</v>
      </c>
      <c r="C751" s="0" t="s">
        <v>85</v>
      </c>
      <c r="D751" s="0" t="n">
        <v>11</v>
      </c>
      <c r="E751" s="0" t="s">
        <v>40</v>
      </c>
      <c r="F751" s="0" t="n">
        <v>2</v>
      </c>
      <c r="G751" s="0" t="str">
        <f aca="false">CONCATENATE(B751, "-",C751, "-", D751, "-", F751)</f>
        <v>M0113-A-11-2</v>
      </c>
      <c r="H751" s="0" t="n">
        <v>21.98</v>
      </c>
      <c r="I751" s="0" t="n">
        <v>22.51</v>
      </c>
    </row>
    <row r="752" customFormat="false" ht="14.25" hidden="false" customHeight="false" outlineLevel="0" collapsed="false">
      <c r="A752" s="0" t="n">
        <v>501</v>
      </c>
      <c r="B752" s="0" t="s">
        <v>90</v>
      </c>
      <c r="C752" s="0" t="s">
        <v>85</v>
      </c>
      <c r="D752" s="0" t="n">
        <v>12</v>
      </c>
      <c r="E752" s="0" t="s">
        <v>40</v>
      </c>
      <c r="F752" s="0" t="n">
        <v>1</v>
      </c>
      <c r="G752" s="0" t="str">
        <f aca="false">CONCATENATE(B752, "-",C752, "-", D752, "-", F752)</f>
        <v>M0113-A-12-1</v>
      </c>
      <c r="H752" s="0" t="n">
        <v>22.51</v>
      </c>
      <c r="I752" s="0" t="n">
        <v>24.02</v>
      </c>
    </row>
    <row r="753" customFormat="false" ht="14.25" hidden="false" customHeight="false" outlineLevel="0" collapsed="false">
      <c r="A753" s="0" t="n">
        <v>501</v>
      </c>
      <c r="B753" s="0" t="s">
        <v>90</v>
      </c>
      <c r="C753" s="0" t="s">
        <v>85</v>
      </c>
      <c r="D753" s="0" t="n">
        <v>13</v>
      </c>
      <c r="E753" s="0" t="s">
        <v>40</v>
      </c>
      <c r="F753" s="0" t="n">
        <v>1</v>
      </c>
      <c r="G753" s="0" t="str">
        <f aca="false">CONCATENATE(B753, "-",C753, "-", D753, "-", F753)</f>
        <v>M0113-A-13-1</v>
      </c>
      <c r="H753" s="0" t="n">
        <v>24.02</v>
      </c>
      <c r="I753" s="0" t="n">
        <v>25.39</v>
      </c>
    </row>
    <row r="754" customFormat="false" ht="14.25" hidden="false" customHeight="false" outlineLevel="0" collapsed="false">
      <c r="A754" s="0" t="n">
        <v>501</v>
      </c>
      <c r="B754" s="0" t="s">
        <v>90</v>
      </c>
      <c r="C754" s="0" t="s">
        <v>85</v>
      </c>
      <c r="D754" s="0" t="n">
        <v>14</v>
      </c>
      <c r="E754" s="0" t="s">
        <v>40</v>
      </c>
      <c r="F754" s="0" t="n">
        <v>1</v>
      </c>
      <c r="G754" s="0" t="str">
        <f aca="false">CONCATENATE(B754, "-",C754, "-", D754, "-", F754)</f>
        <v>M0113-A-14-1</v>
      </c>
      <c r="H754" s="0" t="n">
        <v>25.39</v>
      </c>
      <c r="I754" s="0" t="n">
        <v>26.73</v>
      </c>
    </row>
    <row r="755" customFormat="false" ht="14.25" hidden="false" customHeight="false" outlineLevel="0" collapsed="false">
      <c r="A755" s="0" t="n">
        <v>501</v>
      </c>
      <c r="B755" s="0" t="s">
        <v>90</v>
      </c>
      <c r="C755" s="0" t="s">
        <v>85</v>
      </c>
      <c r="D755" s="0" t="n">
        <v>15</v>
      </c>
      <c r="E755" s="0" t="s">
        <v>40</v>
      </c>
      <c r="F755" s="0" t="n">
        <v>1</v>
      </c>
      <c r="G755" s="0" t="str">
        <f aca="false">CONCATENATE(B755, "-",C755, "-", D755, "-", F755)</f>
        <v>M0113-A-15-1</v>
      </c>
      <c r="H755" s="0" t="n">
        <v>26.73</v>
      </c>
      <c r="I755" s="0" t="n">
        <v>28.22</v>
      </c>
    </row>
    <row r="756" customFormat="false" ht="14.25" hidden="false" customHeight="false" outlineLevel="0" collapsed="false">
      <c r="A756" s="0" t="n">
        <v>501</v>
      </c>
      <c r="B756" s="0" t="s">
        <v>90</v>
      </c>
      <c r="C756" s="0" t="s">
        <v>85</v>
      </c>
      <c r="D756" s="0" t="n">
        <v>15</v>
      </c>
      <c r="E756" s="0" t="s">
        <v>40</v>
      </c>
      <c r="F756" s="0" t="n">
        <v>2</v>
      </c>
      <c r="G756" s="0" t="str">
        <f aca="false">CONCATENATE(B756, "-",C756, "-", D756, "-", F756)</f>
        <v>M0113-A-15-2</v>
      </c>
      <c r="H756" s="0" t="n">
        <v>28.22</v>
      </c>
      <c r="I756" s="0" t="n">
        <v>28.74</v>
      </c>
    </row>
    <row r="757" customFormat="false" ht="14.25" hidden="false" customHeight="false" outlineLevel="0" collapsed="false">
      <c r="A757" s="0" t="n">
        <v>501</v>
      </c>
      <c r="B757" s="0" t="s">
        <v>90</v>
      </c>
      <c r="C757" s="0" t="s">
        <v>85</v>
      </c>
      <c r="D757" s="0" t="n">
        <v>16</v>
      </c>
      <c r="E757" s="0" t="s">
        <v>40</v>
      </c>
      <c r="F757" s="0" t="n">
        <v>1</v>
      </c>
      <c r="G757" s="0" t="str">
        <f aca="false">CONCATENATE(B757, "-",C757, "-", D757, "-", F757)</f>
        <v>M0113-A-16-1</v>
      </c>
      <c r="H757" s="0" t="n">
        <v>28.74</v>
      </c>
      <c r="I757" s="0" t="n">
        <v>29.34</v>
      </c>
    </row>
    <row r="758" customFormat="false" ht="14.25" hidden="false" customHeight="false" outlineLevel="0" collapsed="false">
      <c r="A758" s="0" t="n">
        <v>501</v>
      </c>
      <c r="B758" s="0" t="s">
        <v>90</v>
      </c>
      <c r="C758" s="0" t="s">
        <v>85</v>
      </c>
      <c r="D758" s="0" t="n">
        <v>16</v>
      </c>
      <c r="E758" s="0" t="s">
        <v>40</v>
      </c>
      <c r="F758" s="0" t="n">
        <v>2</v>
      </c>
      <c r="G758" s="0" t="str">
        <f aca="false">CONCATENATE(B758, "-",C758, "-", D758, "-", F758)</f>
        <v>M0113-A-16-2</v>
      </c>
      <c r="H758" s="0" t="n">
        <v>29.34</v>
      </c>
      <c r="I758" s="0" t="n">
        <v>30.36</v>
      </c>
    </row>
    <row r="759" customFormat="false" ht="14.25" hidden="false" customHeight="false" outlineLevel="0" collapsed="false">
      <c r="A759" s="0" t="n">
        <v>501</v>
      </c>
      <c r="B759" s="0" t="s">
        <v>90</v>
      </c>
      <c r="C759" s="0" t="s">
        <v>85</v>
      </c>
      <c r="D759" s="0" t="n">
        <v>16</v>
      </c>
      <c r="E759" s="0" t="s">
        <v>40</v>
      </c>
      <c r="F759" s="0" t="n">
        <v>3</v>
      </c>
      <c r="G759" s="0" t="str">
        <f aca="false">CONCATENATE(B759, "-",C759, "-", D759, "-", F759)</f>
        <v>M0113-A-16-3</v>
      </c>
      <c r="H759" s="0" t="n">
        <v>30.36</v>
      </c>
      <c r="I759" s="0" t="n">
        <v>31.15</v>
      </c>
    </row>
    <row r="760" customFormat="false" ht="14.25" hidden="false" customHeight="false" outlineLevel="0" collapsed="false">
      <c r="A760" s="0" t="n">
        <v>501</v>
      </c>
      <c r="B760" s="0" t="s">
        <v>90</v>
      </c>
      <c r="C760" s="0" t="s">
        <v>85</v>
      </c>
      <c r="D760" s="0" t="n">
        <v>17</v>
      </c>
      <c r="E760" s="0" t="s">
        <v>40</v>
      </c>
      <c r="F760" s="0" t="n">
        <v>1</v>
      </c>
      <c r="G760" s="0" t="str">
        <f aca="false">CONCATENATE(B760, "-",C760, "-", D760, "-", F760)</f>
        <v>M0113-A-17-1</v>
      </c>
      <c r="H760" s="0" t="n">
        <v>31.15</v>
      </c>
      <c r="I760" s="0" t="n">
        <v>32.15</v>
      </c>
    </row>
    <row r="761" customFormat="false" ht="14.25" hidden="false" customHeight="false" outlineLevel="0" collapsed="false">
      <c r="A761" s="0" t="n">
        <v>501</v>
      </c>
      <c r="B761" s="0" t="s">
        <v>90</v>
      </c>
      <c r="C761" s="0" t="s">
        <v>85</v>
      </c>
      <c r="D761" s="0" t="n">
        <v>17</v>
      </c>
      <c r="E761" s="0" t="s">
        <v>40</v>
      </c>
      <c r="F761" s="0" t="n">
        <v>2</v>
      </c>
      <c r="G761" s="0" t="str">
        <f aca="false">CONCATENATE(B761, "-",C761, "-", D761, "-", F761)</f>
        <v>M0113-A-17-2</v>
      </c>
      <c r="H761" s="0" t="n">
        <v>32.15</v>
      </c>
      <c r="I761" s="0" t="n">
        <v>33.03</v>
      </c>
    </row>
    <row r="762" customFormat="false" ht="14.25" hidden="false" customHeight="false" outlineLevel="0" collapsed="false">
      <c r="A762" s="0" t="n">
        <v>501</v>
      </c>
      <c r="B762" s="0" t="s">
        <v>90</v>
      </c>
      <c r="C762" s="0" t="s">
        <v>85</v>
      </c>
      <c r="D762" s="0" t="n">
        <v>18</v>
      </c>
      <c r="E762" s="0" t="s">
        <v>40</v>
      </c>
      <c r="F762" s="0" t="n">
        <v>1</v>
      </c>
      <c r="G762" s="0" t="str">
        <f aca="false">CONCATENATE(B762, "-",C762, "-", D762, "-", F762)</f>
        <v>M0113-A-18-1</v>
      </c>
      <c r="H762" s="0" t="n">
        <v>33.03</v>
      </c>
      <c r="I762" s="0" t="n">
        <v>34.53</v>
      </c>
    </row>
    <row r="763" customFormat="false" ht="14.25" hidden="false" customHeight="false" outlineLevel="0" collapsed="false">
      <c r="A763" s="0" t="n">
        <v>501</v>
      </c>
      <c r="B763" s="0" t="s">
        <v>90</v>
      </c>
      <c r="C763" s="0" t="s">
        <v>85</v>
      </c>
      <c r="D763" s="0" t="n">
        <v>18</v>
      </c>
      <c r="E763" s="0" t="s">
        <v>40</v>
      </c>
      <c r="F763" s="0" t="n">
        <v>2</v>
      </c>
      <c r="G763" s="0" t="str">
        <f aca="false">CONCATENATE(B763, "-",C763, "-", D763, "-", F763)</f>
        <v>M0113-A-18-2</v>
      </c>
      <c r="H763" s="0" t="n">
        <v>34.53</v>
      </c>
      <c r="I763" s="0" t="n">
        <v>35.36</v>
      </c>
    </row>
    <row r="764" customFormat="false" ht="14.25" hidden="false" customHeight="false" outlineLevel="0" collapsed="false">
      <c r="A764" s="0" t="n">
        <v>501</v>
      </c>
      <c r="B764" s="0" t="s">
        <v>90</v>
      </c>
      <c r="C764" s="0" t="s">
        <v>85</v>
      </c>
      <c r="D764" s="0" t="n">
        <v>19</v>
      </c>
      <c r="E764" s="0" t="s">
        <v>40</v>
      </c>
      <c r="F764" s="0" t="n">
        <v>1</v>
      </c>
      <c r="G764" s="0" t="str">
        <f aca="false">CONCATENATE(B764, "-",C764, "-", D764, "-", F764)</f>
        <v>M0113-A-19-1</v>
      </c>
      <c r="H764" s="0" t="n">
        <v>35.36</v>
      </c>
      <c r="I764" s="0" t="n">
        <v>36.63</v>
      </c>
    </row>
    <row r="765" customFormat="false" ht="14.25" hidden="false" customHeight="false" outlineLevel="0" collapsed="false">
      <c r="A765" s="0" t="n">
        <v>501</v>
      </c>
      <c r="B765" s="0" t="s">
        <v>90</v>
      </c>
      <c r="C765" s="0" t="s">
        <v>85</v>
      </c>
      <c r="D765" s="0" t="n">
        <v>20</v>
      </c>
      <c r="E765" s="0" t="s">
        <v>40</v>
      </c>
      <c r="F765" s="0" t="n">
        <v>1</v>
      </c>
      <c r="G765" s="0" t="str">
        <f aca="false">CONCATENATE(B765, "-",C765, "-", D765, "-", F765)</f>
        <v>M0113-A-20-1</v>
      </c>
      <c r="H765" s="0" t="n">
        <v>36.63</v>
      </c>
      <c r="I765" s="0" t="n">
        <v>37.63</v>
      </c>
    </row>
    <row r="766" customFormat="false" ht="14.25" hidden="false" customHeight="false" outlineLevel="0" collapsed="false">
      <c r="A766" s="0" t="n">
        <v>501</v>
      </c>
      <c r="B766" s="0" t="s">
        <v>90</v>
      </c>
      <c r="C766" s="0" t="s">
        <v>85</v>
      </c>
      <c r="D766" s="0" t="n">
        <v>20</v>
      </c>
      <c r="E766" s="0" t="s">
        <v>40</v>
      </c>
      <c r="F766" s="0" t="n">
        <v>2</v>
      </c>
      <c r="G766" s="0" t="str">
        <f aca="false">CONCATENATE(B766, "-",C766, "-", D766, "-", F766)</f>
        <v>M0113-A-20-2</v>
      </c>
      <c r="H766" s="0" t="n">
        <v>37.63</v>
      </c>
      <c r="I766" s="0" t="n">
        <v>38.37</v>
      </c>
    </row>
    <row r="767" customFormat="false" ht="14.25" hidden="false" customHeight="false" outlineLevel="0" collapsed="false">
      <c r="A767" s="0" t="n">
        <v>501</v>
      </c>
      <c r="B767" s="0" t="s">
        <v>90</v>
      </c>
      <c r="C767" s="0" t="s">
        <v>85</v>
      </c>
      <c r="D767" s="0" t="n">
        <v>21</v>
      </c>
      <c r="E767" s="0" t="s">
        <v>40</v>
      </c>
      <c r="F767" s="0" t="n">
        <v>1</v>
      </c>
      <c r="G767" s="0" t="str">
        <f aca="false">CONCATENATE(B767, "-",C767, "-", D767, "-", F767)</f>
        <v>M0113-A-21-1</v>
      </c>
      <c r="H767" s="0" t="n">
        <v>38.37</v>
      </c>
      <c r="I767" s="0" t="n">
        <v>39.47</v>
      </c>
    </row>
    <row r="768" customFormat="false" ht="14.25" hidden="false" customHeight="false" outlineLevel="0" collapsed="false">
      <c r="A768" s="0" t="n">
        <v>501</v>
      </c>
      <c r="B768" s="0" t="s">
        <v>90</v>
      </c>
      <c r="C768" s="0" t="s">
        <v>85</v>
      </c>
      <c r="D768" s="0" t="n">
        <v>21</v>
      </c>
      <c r="E768" s="0" t="s">
        <v>40</v>
      </c>
      <c r="F768" s="0" t="n">
        <v>2</v>
      </c>
      <c r="G768" s="0" t="str">
        <f aca="false">CONCATENATE(B768, "-",C768, "-", D768, "-", F768)</f>
        <v>M0113-A-21-2</v>
      </c>
      <c r="H768" s="0" t="n">
        <v>39.47</v>
      </c>
      <c r="I768" s="0" t="n">
        <v>40.3</v>
      </c>
    </row>
    <row r="769" customFormat="false" ht="14.25" hidden="false" customHeight="false" outlineLevel="0" collapsed="false">
      <c r="A769" s="0" t="n">
        <v>501</v>
      </c>
      <c r="B769" s="0" t="s">
        <v>90</v>
      </c>
      <c r="C769" s="0" t="s">
        <v>85</v>
      </c>
      <c r="D769" s="0" t="n">
        <v>22</v>
      </c>
      <c r="E769" s="0" t="s">
        <v>40</v>
      </c>
      <c r="F769" s="0" t="n">
        <v>1</v>
      </c>
      <c r="G769" s="0" t="str">
        <f aca="false">CONCATENATE(B769, "-",C769, "-", D769, "-", F769)</f>
        <v>M0113-A-22-1</v>
      </c>
      <c r="H769" s="0" t="n">
        <v>40.3</v>
      </c>
      <c r="I769" s="0" t="n">
        <v>40.43</v>
      </c>
    </row>
    <row r="770" customFormat="false" ht="14.25" hidden="false" customHeight="false" outlineLevel="0" collapsed="false">
      <c r="A770" s="0" t="n">
        <v>501</v>
      </c>
      <c r="B770" s="0" t="s">
        <v>90</v>
      </c>
      <c r="C770" s="0" t="s">
        <v>85</v>
      </c>
      <c r="D770" s="0" t="n">
        <v>23</v>
      </c>
      <c r="E770" s="0" t="s">
        <v>40</v>
      </c>
      <c r="F770" s="0" t="n">
        <v>1</v>
      </c>
      <c r="G770" s="0" t="str">
        <f aca="false">CONCATENATE(B770, "-",C770, "-", D770, "-", F770)</f>
        <v>M0113-A-23-1</v>
      </c>
      <c r="H770" s="0" t="n">
        <v>40.43</v>
      </c>
      <c r="I770" s="0" t="n">
        <v>40.62</v>
      </c>
    </row>
    <row r="771" customFormat="false" ht="14.25" hidden="false" customHeight="false" outlineLevel="0" collapsed="false">
      <c r="A771" s="0" t="n">
        <v>501</v>
      </c>
      <c r="B771" s="0" t="s">
        <v>90</v>
      </c>
      <c r="C771" s="0" t="s">
        <v>85</v>
      </c>
      <c r="D771" s="0" t="n">
        <v>23</v>
      </c>
      <c r="E771" s="0" t="s">
        <v>40</v>
      </c>
      <c r="F771" s="0" t="n">
        <v>2</v>
      </c>
      <c r="G771" s="0" t="str">
        <f aca="false">CONCATENATE(B771, "-",C771, "-", D771, "-", F771)</f>
        <v>M0113-A-23-2</v>
      </c>
      <c r="H771" s="0" t="n">
        <v>40.62</v>
      </c>
      <c r="I771" s="0" t="n">
        <v>41.48</v>
      </c>
    </row>
    <row r="772" customFormat="false" ht="14.25" hidden="false" customHeight="false" outlineLevel="0" collapsed="false">
      <c r="A772" s="0" t="n">
        <v>501</v>
      </c>
      <c r="B772" s="0" t="s">
        <v>90</v>
      </c>
      <c r="C772" s="0" t="s">
        <v>85</v>
      </c>
      <c r="D772" s="0" t="n">
        <v>23</v>
      </c>
      <c r="E772" s="0" t="s">
        <v>40</v>
      </c>
      <c r="F772" s="0" t="n">
        <v>3</v>
      </c>
      <c r="G772" s="0" t="str">
        <f aca="false">CONCATENATE(B772, "-",C772, "-", D772, "-", F772)</f>
        <v>M0113-A-23-3</v>
      </c>
      <c r="H772" s="0" t="n">
        <v>41.48</v>
      </c>
      <c r="I772" s="0" t="n">
        <v>42.44</v>
      </c>
    </row>
    <row r="773" customFormat="false" ht="14.25" hidden="false" customHeight="false" outlineLevel="0" collapsed="false">
      <c r="A773" s="0" t="n">
        <v>501</v>
      </c>
      <c r="B773" s="0" t="s">
        <v>90</v>
      </c>
      <c r="C773" s="0" t="s">
        <v>85</v>
      </c>
      <c r="D773" s="0" t="n">
        <v>24</v>
      </c>
      <c r="E773" s="0" t="s">
        <v>40</v>
      </c>
      <c r="F773" s="0" t="n">
        <v>1</v>
      </c>
      <c r="G773" s="0" t="str">
        <f aca="false">CONCATENATE(B773, "-",C773, "-", D773, "-", F773)</f>
        <v>M0113-A-24-1</v>
      </c>
      <c r="H773" s="0" t="n">
        <v>42.44</v>
      </c>
      <c r="I773" s="0" t="n">
        <v>42.57</v>
      </c>
    </row>
    <row r="774" customFormat="false" ht="14.25" hidden="false" customHeight="false" outlineLevel="0" collapsed="false">
      <c r="A774" s="0" t="n">
        <v>501</v>
      </c>
      <c r="B774" s="0" t="s">
        <v>90</v>
      </c>
      <c r="C774" s="0" t="s">
        <v>85</v>
      </c>
      <c r="D774" s="0" t="n">
        <v>25</v>
      </c>
      <c r="E774" s="0" t="s">
        <v>40</v>
      </c>
      <c r="F774" s="0" t="n">
        <v>1</v>
      </c>
      <c r="G774" s="0" t="str">
        <f aca="false">CONCATENATE(B774, "-",C774, "-", D774, "-", F774)</f>
        <v>M0113-A-25-1</v>
      </c>
      <c r="H774" s="0" t="n">
        <v>42.57</v>
      </c>
      <c r="I774" s="0" t="n">
        <v>43.57</v>
      </c>
    </row>
    <row r="775" customFormat="false" ht="14.25" hidden="false" customHeight="false" outlineLevel="0" collapsed="false">
      <c r="A775" s="0" t="n">
        <v>501</v>
      </c>
      <c r="B775" s="0" t="s">
        <v>90</v>
      </c>
      <c r="C775" s="0" t="s">
        <v>85</v>
      </c>
      <c r="D775" s="0" t="n">
        <v>25</v>
      </c>
      <c r="E775" s="0" t="s">
        <v>40</v>
      </c>
      <c r="F775" s="0" t="n">
        <v>2</v>
      </c>
      <c r="G775" s="0" t="str">
        <f aca="false">CONCATENATE(B775, "-",C775, "-", D775, "-", F775)</f>
        <v>M0113-A-25-2</v>
      </c>
      <c r="H775" s="0" t="n">
        <v>43.57</v>
      </c>
      <c r="I775" s="0" t="n">
        <v>44.54</v>
      </c>
    </row>
    <row r="776" customFormat="false" ht="14.25" hidden="false" customHeight="false" outlineLevel="0" collapsed="false">
      <c r="A776" s="0" t="n">
        <v>501</v>
      </c>
      <c r="B776" s="0" t="s">
        <v>90</v>
      </c>
      <c r="C776" s="0" t="s">
        <v>85</v>
      </c>
      <c r="D776" s="0" t="n">
        <v>26</v>
      </c>
      <c r="E776" s="0" t="s">
        <v>40</v>
      </c>
      <c r="F776" s="0" t="n">
        <v>1</v>
      </c>
      <c r="G776" s="0" t="str">
        <f aca="false">CONCATENATE(B776, "-",C776, "-", D776, "-", F776)</f>
        <v>M0113-A-26-1</v>
      </c>
      <c r="H776" s="0" t="n">
        <v>44.54</v>
      </c>
      <c r="I776" s="0" t="n">
        <v>45.54</v>
      </c>
    </row>
    <row r="777" customFormat="false" ht="14.25" hidden="false" customHeight="false" outlineLevel="0" collapsed="false">
      <c r="A777" s="0" t="n">
        <v>501</v>
      </c>
      <c r="B777" s="0" t="s">
        <v>90</v>
      </c>
      <c r="C777" s="0" t="s">
        <v>85</v>
      </c>
      <c r="D777" s="0" t="n">
        <v>26</v>
      </c>
      <c r="E777" s="0" t="s">
        <v>40</v>
      </c>
      <c r="F777" s="0" t="n">
        <v>2</v>
      </c>
      <c r="G777" s="0" t="str">
        <f aca="false">CONCATENATE(B777, "-",C777, "-", D777, "-", F777)</f>
        <v>M0113-A-26-2</v>
      </c>
      <c r="H777" s="0" t="n">
        <v>45.54</v>
      </c>
      <c r="I777" s="0" t="n">
        <v>46.48</v>
      </c>
    </row>
    <row r="778" customFormat="false" ht="14.25" hidden="false" customHeight="false" outlineLevel="0" collapsed="false">
      <c r="A778" s="0" t="n">
        <v>501</v>
      </c>
      <c r="B778" s="0" t="s">
        <v>90</v>
      </c>
      <c r="C778" s="0" t="s">
        <v>85</v>
      </c>
      <c r="D778" s="0" t="n">
        <v>27</v>
      </c>
      <c r="E778" s="0" t="s">
        <v>40</v>
      </c>
      <c r="F778" s="0" t="n">
        <v>1</v>
      </c>
      <c r="G778" s="0" t="str">
        <f aca="false">CONCATENATE(B778, "-",C778, "-", D778, "-", F778)</f>
        <v>M0113-A-27-1</v>
      </c>
      <c r="H778" s="0" t="n">
        <v>46.48</v>
      </c>
      <c r="I778" s="0" t="n">
        <v>47.48</v>
      </c>
    </row>
    <row r="779" customFormat="false" ht="14.25" hidden="false" customHeight="false" outlineLevel="0" collapsed="false">
      <c r="A779" s="0" t="n">
        <v>501</v>
      </c>
      <c r="B779" s="0" t="s">
        <v>90</v>
      </c>
      <c r="C779" s="0" t="s">
        <v>85</v>
      </c>
      <c r="D779" s="0" t="n">
        <v>27</v>
      </c>
      <c r="E779" s="0" t="s">
        <v>40</v>
      </c>
      <c r="F779" s="0" t="n">
        <v>2</v>
      </c>
      <c r="G779" s="0" t="str">
        <f aca="false">CONCATENATE(B779, "-",C779, "-", D779, "-", F779)</f>
        <v>M0113-A-27-2</v>
      </c>
      <c r="H779" s="0" t="n">
        <v>47.48</v>
      </c>
      <c r="I779" s="0" t="n">
        <v>48.47</v>
      </c>
    </row>
    <row r="780" customFormat="false" ht="14.25" hidden="false" customHeight="false" outlineLevel="0" collapsed="false">
      <c r="A780" s="0" t="n">
        <v>501</v>
      </c>
      <c r="B780" s="0" t="s">
        <v>90</v>
      </c>
      <c r="C780" s="0" t="s">
        <v>85</v>
      </c>
      <c r="D780" s="0" t="n">
        <v>28</v>
      </c>
      <c r="E780" s="0" t="s">
        <v>40</v>
      </c>
      <c r="F780" s="0" t="n">
        <v>1</v>
      </c>
      <c r="G780" s="0" t="str">
        <f aca="false">CONCATENATE(B780, "-",C780, "-", D780, "-", F780)</f>
        <v>M0113-A-28-1</v>
      </c>
      <c r="H780" s="0" t="n">
        <v>48.47</v>
      </c>
      <c r="I780" s="0" t="n">
        <v>49.47</v>
      </c>
    </row>
    <row r="781" customFormat="false" ht="14.25" hidden="false" customHeight="false" outlineLevel="0" collapsed="false">
      <c r="A781" s="0" t="n">
        <v>501</v>
      </c>
      <c r="B781" s="0" t="s">
        <v>90</v>
      </c>
      <c r="C781" s="0" t="s">
        <v>85</v>
      </c>
      <c r="D781" s="0" t="n">
        <v>28</v>
      </c>
      <c r="E781" s="0" t="s">
        <v>40</v>
      </c>
      <c r="F781" s="0" t="n">
        <v>2</v>
      </c>
      <c r="G781" s="0" t="str">
        <f aca="false">CONCATENATE(B781, "-",C781, "-", D781, "-", F781)</f>
        <v>M0113-A-28-2</v>
      </c>
      <c r="H781" s="0" t="n">
        <v>49.47</v>
      </c>
      <c r="I781" s="0" t="n">
        <v>50.41</v>
      </c>
    </row>
    <row r="782" customFormat="false" ht="14.25" hidden="false" customHeight="false" outlineLevel="0" collapsed="false">
      <c r="A782" s="0" t="n">
        <v>501</v>
      </c>
      <c r="B782" s="0" t="s">
        <v>90</v>
      </c>
      <c r="C782" s="0" t="s">
        <v>85</v>
      </c>
      <c r="D782" s="0" t="n">
        <v>29</v>
      </c>
      <c r="E782" s="0" t="s">
        <v>40</v>
      </c>
      <c r="F782" s="0" t="n">
        <v>1</v>
      </c>
      <c r="G782" s="0" t="str">
        <f aca="false">CONCATENATE(B782, "-",C782, "-", D782, "-", F782)</f>
        <v>M0113-A-29-1</v>
      </c>
      <c r="H782" s="0" t="n">
        <v>50.41</v>
      </c>
      <c r="I782" s="0" t="n">
        <v>51.91</v>
      </c>
    </row>
    <row r="783" customFormat="false" ht="14.25" hidden="false" customHeight="false" outlineLevel="0" collapsed="false">
      <c r="A783" s="0" t="n">
        <v>501</v>
      </c>
      <c r="B783" s="0" t="s">
        <v>90</v>
      </c>
      <c r="C783" s="0" t="s">
        <v>85</v>
      </c>
      <c r="D783" s="0" t="n">
        <v>30</v>
      </c>
      <c r="E783" s="0" t="s">
        <v>40</v>
      </c>
      <c r="F783" s="0" t="n">
        <v>1</v>
      </c>
      <c r="G783" s="0" t="str">
        <f aca="false">CONCATENATE(B783, "-",C783, "-", D783, "-", F783)</f>
        <v>M0113-A-30-1</v>
      </c>
      <c r="H783" s="0" t="n">
        <v>51.91</v>
      </c>
      <c r="I783" s="0" t="n">
        <v>52.89</v>
      </c>
    </row>
    <row r="784" customFormat="false" ht="14.25" hidden="false" customHeight="false" outlineLevel="0" collapsed="false">
      <c r="A784" s="0" t="n">
        <v>501</v>
      </c>
      <c r="B784" s="0" t="s">
        <v>90</v>
      </c>
      <c r="C784" s="0" t="s">
        <v>85</v>
      </c>
      <c r="D784" s="0" t="n">
        <v>30</v>
      </c>
      <c r="E784" s="0" t="s">
        <v>40</v>
      </c>
      <c r="F784" s="0" t="n">
        <v>2</v>
      </c>
      <c r="G784" s="0" t="str">
        <f aca="false">CONCATENATE(B784, "-",C784, "-", D784, "-", F784)</f>
        <v>M0113-A-30-2</v>
      </c>
      <c r="H784" s="0" t="n">
        <v>52.89</v>
      </c>
      <c r="I784" s="0" t="n">
        <v>53.73</v>
      </c>
    </row>
    <row r="785" customFormat="false" ht="14.25" hidden="false" customHeight="false" outlineLevel="0" collapsed="false">
      <c r="A785" s="0" t="n">
        <v>501</v>
      </c>
      <c r="B785" s="0" t="s">
        <v>90</v>
      </c>
      <c r="C785" s="0" t="s">
        <v>85</v>
      </c>
      <c r="D785" s="0" t="n">
        <v>30</v>
      </c>
      <c r="E785" s="0" t="s">
        <v>40</v>
      </c>
      <c r="F785" s="0" t="n">
        <v>3</v>
      </c>
      <c r="G785" s="0" t="str">
        <f aca="false">CONCATENATE(B785, "-",C785, "-", D785, "-", F785)</f>
        <v>M0113-A-30-3</v>
      </c>
      <c r="H785" s="0" t="n">
        <v>53.73</v>
      </c>
      <c r="I785" s="0" t="n">
        <v>53.89</v>
      </c>
    </row>
    <row r="786" customFormat="false" ht="14.25" hidden="false" customHeight="false" outlineLevel="0" collapsed="false">
      <c r="A786" s="0" t="n">
        <v>501</v>
      </c>
      <c r="B786" s="0" t="s">
        <v>90</v>
      </c>
      <c r="C786" s="0" t="s">
        <v>85</v>
      </c>
      <c r="D786" s="0" t="n">
        <v>31</v>
      </c>
      <c r="E786" s="0" t="s">
        <v>40</v>
      </c>
      <c r="F786" s="0" t="n">
        <v>1</v>
      </c>
      <c r="G786" s="0" t="str">
        <f aca="false">CONCATENATE(B786, "-",C786, "-", D786, "-", F786)</f>
        <v>M0113-A-31-1</v>
      </c>
      <c r="H786" s="0" t="n">
        <v>53.89</v>
      </c>
      <c r="I786" s="0" t="n">
        <v>55.02</v>
      </c>
    </row>
    <row r="787" customFormat="false" ht="14.25" hidden="false" customHeight="false" outlineLevel="0" collapsed="false">
      <c r="A787" s="0" t="n">
        <v>501</v>
      </c>
      <c r="B787" s="0" t="s">
        <v>90</v>
      </c>
      <c r="C787" s="0" t="s">
        <v>85</v>
      </c>
      <c r="D787" s="0" t="n">
        <v>32</v>
      </c>
      <c r="E787" s="0" t="s">
        <v>40</v>
      </c>
      <c r="F787" s="0" t="n">
        <v>1</v>
      </c>
      <c r="G787" s="0" t="str">
        <f aca="false">CONCATENATE(B787, "-",C787, "-", D787, "-", F787)</f>
        <v>M0113-A-32-1</v>
      </c>
      <c r="H787" s="0" t="n">
        <v>55.02</v>
      </c>
      <c r="I787" s="0" t="n">
        <v>56.52</v>
      </c>
    </row>
    <row r="788" customFormat="false" ht="14.25" hidden="false" customHeight="false" outlineLevel="0" collapsed="false">
      <c r="A788" s="0" t="n">
        <v>501</v>
      </c>
      <c r="B788" s="0" t="s">
        <v>90</v>
      </c>
      <c r="C788" s="0" t="s">
        <v>85</v>
      </c>
      <c r="D788" s="0" t="n">
        <v>32</v>
      </c>
      <c r="E788" s="0" t="s">
        <v>40</v>
      </c>
      <c r="F788" s="0" t="n">
        <v>2</v>
      </c>
      <c r="G788" s="0" t="str">
        <f aca="false">CONCATENATE(B788, "-",C788, "-", D788, "-", F788)</f>
        <v>M0113-A-32-2</v>
      </c>
      <c r="H788" s="0" t="n">
        <v>56.52</v>
      </c>
      <c r="I788" s="0" t="n">
        <v>57.52</v>
      </c>
    </row>
    <row r="789" customFormat="false" ht="14.25" hidden="false" customHeight="false" outlineLevel="0" collapsed="false">
      <c r="A789" s="0" t="n">
        <v>501</v>
      </c>
      <c r="B789" s="0" t="s">
        <v>90</v>
      </c>
      <c r="C789" s="0" t="s">
        <v>85</v>
      </c>
      <c r="D789" s="0" t="n">
        <v>33</v>
      </c>
      <c r="E789" s="0" t="s">
        <v>40</v>
      </c>
      <c r="F789" s="0" t="n">
        <v>1</v>
      </c>
      <c r="G789" s="0" t="str">
        <f aca="false">CONCATENATE(B789, "-",C789, "-", D789, "-", F789)</f>
        <v>M0113-A-33-1</v>
      </c>
      <c r="H789" s="0" t="n">
        <v>57.52</v>
      </c>
      <c r="I789" s="0" t="n">
        <v>58.52</v>
      </c>
    </row>
    <row r="790" customFormat="false" ht="14.25" hidden="false" customHeight="false" outlineLevel="0" collapsed="false">
      <c r="A790" s="0" t="n">
        <v>501</v>
      </c>
      <c r="B790" s="0" t="s">
        <v>90</v>
      </c>
      <c r="C790" s="0" t="s">
        <v>85</v>
      </c>
      <c r="D790" s="0" t="n">
        <v>33</v>
      </c>
      <c r="E790" s="0" t="s">
        <v>40</v>
      </c>
      <c r="F790" s="0" t="n">
        <v>2</v>
      </c>
      <c r="G790" s="0" t="str">
        <f aca="false">CONCATENATE(B790, "-",C790, "-", D790, "-", F790)</f>
        <v>M0113-A-33-2</v>
      </c>
      <c r="H790" s="0" t="n">
        <v>58.52</v>
      </c>
      <c r="I790" s="0" t="n">
        <v>59.94</v>
      </c>
    </row>
    <row r="791" customFormat="false" ht="14.25" hidden="false" customHeight="false" outlineLevel="0" collapsed="false">
      <c r="A791" s="0" t="n">
        <v>501</v>
      </c>
      <c r="B791" s="0" t="s">
        <v>90</v>
      </c>
      <c r="C791" s="0" t="s">
        <v>85</v>
      </c>
      <c r="D791" s="0" t="n">
        <v>34</v>
      </c>
      <c r="E791" s="0" t="s">
        <v>40</v>
      </c>
      <c r="F791" s="0" t="n">
        <v>1</v>
      </c>
      <c r="G791" s="0" t="str">
        <f aca="false">CONCATENATE(B791, "-",C791, "-", D791, "-", F791)</f>
        <v>M0113-A-34-1</v>
      </c>
      <c r="H791" s="0" t="n">
        <v>59.94</v>
      </c>
      <c r="I791" s="0" t="n">
        <v>60.94</v>
      </c>
    </row>
    <row r="792" customFormat="false" ht="14.25" hidden="false" customHeight="false" outlineLevel="0" collapsed="false">
      <c r="A792" s="0" t="n">
        <v>501</v>
      </c>
      <c r="B792" s="0" t="s">
        <v>90</v>
      </c>
      <c r="C792" s="0" t="s">
        <v>85</v>
      </c>
      <c r="D792" s="0" t="n">
        <v>34</v>
      </c>
      <c r="E792" s="0" t="s">
        <v>40</v>
      </c>
      <c r="F792" s="0" t="n">
        <v>2</v>
      </c>
      <c r="G792" s="0" t="str">
        <f aca="false">CONCATENATE(B792, "-",C792, "-", D792, "-", F792)</f>
        <v>M0113-A-34-2</v>
      </c>
      <c r="H792" s="0" t="n">
        <v>60.94</v>
      </c>
      <c r="I792" s="0" t="n">
        <v>61.74</v>
      </c>
    </row>
    <row r="793" customFormat="false" ht="14.25" hidden="false" customHeight="false" outlineLevel="0" collapsed="false">
      <c r="A793" s="0" t="n">
        <v>501</v>
      </c>
      <c r="B793" s="0" t="s">
        <v>90</v>
      </c>
      <c r="C793" s="0" t="s">
        <v>85</v>
      </c>
      <c r="D793" s="0" t="n">
        <v>35</v>
      </c>
      <c r="E793" s="0" t="s">
        <v>40</v>
      </c>
      <c r="F793" s="0" t="n">
        <v>1</v>
      </c>
      <c r="G793" s="0" t="str">
        <f aca="false">CONCATENATE(B793, "-",C793, "-", D793, "-", F793)</f>
        <v>M0113-A-35-1</v>
      </c>
      <c r="H793" s="0" t="n">
        <v>61.74</v>
      </c>
      <c r="I793" s="0" t="n">
        <v>62.75</v>
      </c>
    </row>
    <row r="794" customFormat="false" ht="14.25" hidden="false" customHeight="false" outlineLevel="0" collapsed="false">
      <c r="A794" s="0" t="n">
        <v>501</v>
      </c>
      <c r="B794" s="0" t="s">
        <v>90</v>
      </c>
      <c r="C794" s="0" t="s">
        <v>85</v>
      </c>
      <c r="D794" s="0" t="n">
        <v>35</v>
      </c>
      <c r="E794" s="0" t="s">
        <v>40</v>
      </c>
      <c r="F794" s="0" t="n">
        <v>2</v>
      </c>
      <c r="G794" s="0" t="str">
        <f aca="false">CONCATENATE(B794, "-",C794, "-", D794, "-", F794)</f>
        <v>M0113-A-35-2</v>
      </c>
      <c r="H794" s="0" t="n">
        <v>62.75</v>
      </c>
      <c r="I794" s="0" t="n">
        <v>63.68</v>
      </c>
    </row>
    <row r="795" customFormat="false" ht="14.25" hidden="false" customHeight="false" outlineLevel="0" collapsed="false">
      <c r="A795" s="0" t="n">
        <v>501</v>
      </c>
      <c r="B795" s="0" t="s">
        <v>90</v>
      </c>
      <c r="C795" s="0" t="s">
        <v>85</v>
      </c>
      <c r="D795" s="0" t="n">
        <v>36</v>
      </c>
      <c r="E795" s="0" t="s">
        <v>40</v>
      </c>
      <c r="F795" s="0" t="n">
        <v>1</v>
      </c>
      <c r="G795" s="0" t="str">
        <f aca="false">CONCATENATE(B795, "-",C795, "-", D795, "-", F795)</f>
        <v>M0113-A-36-1</v>
      </c>
      <c r="H795" s="0" t="n">
        <v>63.68</v>
      </c>
      <c r="I795" s="0" t="n">
        <v>64.68</v>
      </c>
    </row>
    <row r="796" customFormat="false" ht="14.25" hidden="false" customHeight="false" outlineLevel="0" collapsed="false">
      <c r="A796" s="0" t="n">
        <v>501</v>
      </c>
      <c r="B796" s="0" t="s">
        <v>90</v>
      </c>
      <c r="C796" s="0" t="s">
        <v>85</v>
      </c>
      <c r="D796" s="0" t="n">
        <v>36</v>
      </c>
      <c r="E796" s="0" t="s">
        <v>40</v>
      </c>
      <c r="F796" s="0" t="n">
        <v>2</v>
      </c>
      <c r="G796" s="0" t="str">
        <f aca="false">CONCATENATE(B796, "-",C796, "-", D796, "-", F796)</f>
        <v>M0113-A-36-2</v>
      </c>
      <c r="H796" s="0" t="n">
        <v>64.68</v>
      </c>
      <c r="I796" s="0" t="n">
        <v>65.54</v>
      </c>
    </row>
    <row r="797" customFormat="false" ht="14.25" hidden="false" customHeight="false" outlineLevel="0" collapsed="false">
      <c r="A797" s="0" t="n">
        <v>501</v>
      </c>
      <c r="B797" s="0" t="s">
        <v>90</v>
      </c>
      <c r="C797" s="0" t="s">
        <v>85</v>
      </c>
      <c r="D797" s="0" t="n">
        <v>37</v>
      </c>
      <c r="E797" s="0" t="s">
        <v>40</v>
      </c>
      <c r="F797" s="0" t="n">
        <v>1</v>
      </c>
      <c r="G797" s="0" t="str">
        <f aca="false">CONCATENATE(B797, "-",C797, "-", D797, "-", F797)</f>
        <v>M0113-A-37-1</v>
      </c>
      <c r="H797" s="0" t="n">
        <v>65.44</v>
      </c>
      <c r="I797" s="0" t="n">
        <v>66.44</v>
      </c>
    </row>
    <row r="798" customFormat="false" ht="14.25" hidden="false" customHeight="false" outlineLevel="0" collapsed="false">
      <c r="A798" s="0" t="n">
        <v>501</v>
      </c>
      <c r="B798" s="0" t="s">
        <v>90</v>
      </c>
      <c r="C798" s="0" t="s">
        <v>85</v>
      </c>
      <c r="D798" s="0" t="n">
        <v>37</v>
      </c>
      <c r="E798" s="0" t="s">
        <v>40</v>
      </c>
      <c r="F798" s="0" t="n">
        <v>2</v>
      </c>
      <c r="G798" s="0" t="str">
        <f aca="false">CONCATENATE(B798, "-",C798, "-", D798, "-", F798)</f>
        <v>M0113-A-37-2</v>
      </c>
      <c r="H798" s="0" t="n">
        <v>66.44</v>
      </c>
      <c r="I798" s="0" t="n">
        <v>67.21</v>
      </c>
    </row>
    <row r="799" customFormat="false" ht="14.25" hidden="false" customHeight="false" outlineLevel="0" collapsed="false">
      <c r="A799" s="0" t="n">
        <v>501</v>
      </c>
      <c r="B799" s="0" t="s">
        <v>90</v>
      </c>
      <c r="C799" s="0" t="s">
        <v>85</v>
      </c>
      <c r="D799" s="0" t="n">
        <v>38</v>
      </c>
      <c r="E799" s="0" t="s">
        <v>40</v>
      </c>
      <c r="F799" s="0" t="n">
        <v>1</v>
      </c>
      <c r="G799" s="0" t="str">
        <f aca="false">CONCATENATE(B799, "-",C799, "-", D799, "-", F799)</f>
        <v>M0113-A-38-1</v>
      </c>
      <c r="H799" s="0" t="n">
        <v>67.01</v>
      </c>
      <c r="I799" s="0" t="n">
        <v>67.2</v>
      </c>
    </row>
    <row r="800" customFormat="false" ht="14.25" hidden="false" customHeight="false" outlineLevel="0" collapsed="false">
      <c r="A800" s="0" t="n">
        <v>501</v>
      </c>
      <c r="B800" s="0" t="s">
        <v>90</v>
      </c>
      <c r="C800" s="0" t="s">
        <v>85</v>
      </c>
      <c r="D800" s="0" t="n">
        <v>38</v>
      </c>
      <c r="E800" s="0" t="s">
        <v>40</v>
      </c>
      <c r="F800" s="0" t="n">
        <v>2</v>
      </c>
      <c r="G800" s="0" t="str">
        <f aca="false">CONCATENATE(B800, "-",C800, "-", D800, "-", F800)</f>
        <v>M0113-A-38-2</v>
      </c>
      <c r="H800" s="0" t="n">
        <v>67.2</v>
      </c>
      <c r="I800" s="0" t="n">
        <v>67.66</v>
      </c>
    </row>
    <row r="801" customFormat="false" ht="14.25" hidden="false" customHeight="false" outlineLevel="0" collapsed="false">
      <c r="A801" s="0" t="n">
        <v>501</v>
      </c>
      <c r="B801" s="0" t="s">
        <v>90</v>
      </c>
      <c r="C801" s="0" t="s">
        <v>85</v>
      </c>
      <c r="D801" s="0" t="n">
        <v>38</v>
      </c>
      <c r="E801" s="0" t="s">
        <v>40</v>
      </c>
      <c r="F801" s="0" t="n">
        <v>3</v>
      </c>
      <c r="G801" s="0" t="str">
        <f aca="false">CONCATENATE(B801, "-",C801, "-", D801, "-", F801)</f>
        <v>M0113-A-38-3</v>
      </c>
      <c r="H801" s="0" t="n">
        <v>67.66</v>
      </c>
      <c r="I801" s="0" t="n">
        <v>68.18</v>
      </c>
    </row>
    <row r="802" customFormat="false" ht="14.25" hidden="false" customHeight="false" outlineLevel="0" collapsed="false">
      <c r="A802" s="0" t="n">
        <v>501</v>
      </c>
      <c r="B802" s="0" t="s">
        <v>90</v>
      </c>
      <c r="C802" s="0" t="s">
        <v>85</v>
      </c>
      <c r="D802" s="0" t="n">
        <v>38</v>
      </c>
      <c r="E802" s="0" t="s">
        <v>40</v>
      </c>
      <c r="F802" s="0" t="n">
        <v>4</v>
      </c>
      <c r="G802" s="0" t="str">
        <f aca="false">CONCATENATE(B802, "-",C802, "-", D802, "-", F802)</f>
        <v>M0113-A-38-4</v>
      </c>
      <c r="H802" s="0" t="n">
        <v>68.18</v>
      </c>
      <c r="I802" s="0" t="n">
        <v>68.27</v>
      </c>
    </row>
    <row r="803" customFormat="false" ht="14.25" hidden="false" customHeight="false" outlineLevel="0" collapsed="false">
      <c r="A803" s="0" t="n">
        <v>501</v>
      </c>
      <c r="B803" s="0" t="s">
        <v>90</v>
      </c>
      <c r="C803" s="0" t="s">
        <v>85</v>
      </c>
      <c r="D803" s="0" t="n">
        <v>39</v>
      </c>
      <c r="E803" s="0" t="s">
        <v>44</v>
      </c>
      <c r="F803" s="0" t="n">
        <v>1</v>
      </c>
      <c r="G803" s="0" t="str">
        <f aca="false">CONCATENATE(B803, "-",C803, "-", D803, "-", F803)</f>
        <v>M0113-A-39-1</v>
      </c>
      <c r="H803" s="0" t="n">
        <v>68.27</v>
      </c>
      <c r="I803" s="0" t="n">
        <v>68.8</v>
      </c>
    </row>
    <row r="804" customFormat="false" ht="14.25" hidden="false" customHeight="false" outlineLevel="0" collapsed="false">
      <c r="A804" s="0" t="n">
        <v>501</v>
      </c>
      <c r="B804" s="0" t="s">
        <v>90</v>
      </c>
      <c r="C804" s="0" t="s">
        <v>85</v>
      </c>
      <c r="D804" s="0" t="n">
        <v>41</v>
      </c>
      <c r="E804" s="0" t="s">
        <v>40</v>
      </c>
      <c r="F804" s="0" t="n">
        <v>1</v>
      </c>
      <c r="G804" s="0" t="str">
        <f aca="false">CONCATENATE(B804, "-",C804, "-", D804, "-", F804)</f>
        <v>M0113-A-41-1</v>
      </c>
      <c r="H804" s="0" t="n">
        <v>68.27</v>
      </c>
      <c r="I804" s="0" t="n">
        <v>69.63</v>
      </c>
    </row>
    <row r="805" customFormat="false" ht="14.25" hidden="false" customHeight="false" outlineLevel="0" collapsed="false">
      <c r="A805" s="0" t="n">
        <v>501</v>
      </c>
      <c r="B805" s="0" t="s">
        <v>90</v>
      </c>
      <c r="C805" s="0" t="s">
        <v>85</v>
      </c>
      <c r="D805" s="0" t="n">
        <v>42</v>
      </c>
      <c r="E805" s="0" t="s">
        <v>40</v>
      </c>
      <c r="F805" s="0" t="n">
        <v>1</v>
      </c>
      <c r="G805" s="0" t="str">
        <f aca="false">CONCATENATE(B805, "-",C805, "-", D805, "-", F805)</f>
        <v>M0113-A-42-1</v>
      </c>
      <c r="H805" s="0" t="n">
        <v>79.4</v>
      </c>
      <c r="I805" s="0" t="n">
        <v>79.76</v>
      </c>
    </row>
    <row r="806" customFormat="false" ht="14.25" hidden="false" customHeight="false" outlineLevel="0" collapsed="false">
      <c r="A806" s="0" t="n">
        <v>501</v>
      </c>
      <c r="B806" s="0" t="s">
        <v>90</v>
      </c>
      <c r="C806" s="0" t="s">
        <v>85</v>
      </c>
      <c r="D806" s="0" t="n">
        <v>43</v>
      </c>
      <c r="E806" s="0" t="s">
        <v>40</v>
      </c>
      <c r="F806" s="0" t="n">
        <v>1</v>
      </c>
      <c r="G806" s="0" t="str">
        <f aca="false">CONCATENATE(B806, "-",C806, "-", D806, "-", F806)</f>
        <v>M0113-A-43-1</v>
      </c>
      <c r="H806" s="0" t="n">
        <v>79.76</v>
      </c>
      <c r="I806" s="0" t="n">
        <v>80.97</v>
      </c>
    </row>
    <row r="807" customFormat="false" ht="14.25" hidden="false" customHeight="false" outlineLevel="0" collapsed="false">
      <c r="A807" s="0" t="n">
        <v>501</v>
      </c>
      <c r="B807" s="0" t="s">
        <v>90</v>
      </c>
      <c r="C807" s="0" t="s">
        <v>85</v>
      </c>
      <c r="D807" s="0" t="n">
        <v>43</v>
      </c>
      <c r="E807" s="0" t="s">
        <v>40</v>
      </c>
      <c r="F807" s="0" t="n">
        <v>2</v>
      </c>
      <c r="G807" s="0" t="str">
        <f aca="false">CONCATENATE(B807, "-",C807, "-", D807, "-", F807)</f>
        <v>M0113-A-43-2</v>
      </c>
      <c r="H807" s="0" t="n">
        <v>80.97</v>
      </c>
      <c r="I807" s="0" t="n">
        <v>81.08</v>
      </c>
    </row>
    <row r="808" customFormat="false" ht="14.25" hidden="false" customHeight="false" outlineLevel="0" collapsed="false">
      <c r="A808" s="0" t="n">
        <v>501</v>
      </c>
      <c r="B808" s="0" t="s">
        <v>90</v>
      </c>
      <c r="C808" s="0" t="s">
        <v>85</v>
      </c>
      <c r="D808" s="0" t="n">
        <v>44</v>
      </c>
      <c r="E808" s="0" t="s">
        <v>40</v>
      </c>
      <c r="F808" s="0" t="n">
        <v>1</v>
      </c>
      <c r="G808" s="0" t="str">
        <f aca="false">CONCATENATE(B808, "-",C808, "-", D808, "-", F808)</f>
        <v>M0113-A-44-1</v>
      </c>
      <c r="H808" s="0" t="n">
        <v>81.08</v>
      </c>
      <c r="I808" s="0" t="n">
        <v>81.19</v>
      </c>
    </row>
    <row r="809" customFormat="false" ht="14.25" hidden="false" customHeight="false" outlineLevel="0" collapsed="false">
      <c r="A809" s="0" t="n">
        <v>501</v>
      </c>
      <c r="B809" s="0" t="s">
        <v>90</v>
      </c>
      <c r="C809" s="0" t="s">
        <v>85</v>
      </c>
      <c r="D809" s="0" t="n">
        <v>44</v>
      </c>
      <c r="E809" s="0" t="s">
        <v>40</v>
      </c>
      <c r="F809" s="0" t="n">
        <v>2</v>
      </c>
      <c r="G809" s="0" t="str">
        <f aca="false">CONCATENATE(B809, "-",C809, "-", D809, "-", F809)</f>
        <v>M0113-A-44-2</v>
      </c>
      <c r="H809" s="0" t="n">
        <v>81.19</v>
      </c>
      <c r="I809" s="0" t="n">
        <v>82.02</v>
      </c>
    </row>
    <row r="810" customFormat="false" ht="14.25" hidden="false" customHeight="false" outlineLevel="0" collapsed="false">
      <c r="A810" s="0" t="n">
        <v>501</v>
      </c>
      <c r="B810" s="0" t="s">
        <v>90</v>
      </c>
      <c r="C810" s="0" t="s">
        <v>85</v>
      </c>
      <c r="D810" s="0" t="n">
        <v>44</v>
      </c>
      <c r="E810" s="0" t="s">
        <v>40</v>
      </c>
      <c r="F810" s="0" t="n">
        <v>3</v>
      </c>
      <c r="G810" s="0" t="str">
        <f aca="false">CONCATENATE(B810, "-",C810, "-", D810, "-", F810)</f>
        <v>M0113-A-44-3</v>
      </c>
      <c r="H810" s="0" t="n">
        <v>82.02</v>
      </c>
      <c r="I810" s="0" t="n">
        <v>82.56</v>
      </c>
    </row>
    <row r="811" customFormat="false" ht="14.25" hidden="false" customHeight="false" outlineLevel="0" collapsed="false">
      <c r="A811" s="0" t="n">
        <v>501</v>
      </c>
      <c r="B811" s="0" t="s">
        <v>90</v>
      </c>
      <c r="C811" s="0" t="s">
        <v>85</v>
      </c>
      <c r="D811" s="0" t="n">
        <v>45</v>
      </c>
      <c r="E811" s="0" t="s">
        <v>44</v>
      </c>
      <c r="F811" s="0" t="n">
        <v>1</v>
      </c>
      <c r="G811" s="0" t="str">
        <f aca="false">CONCATENATE(B811, "-",C811, "-", D811, "-", F811)</f>
        <v>M0113-A-45-1</v>
      </c>
      <c r="H811" s="0" t="n">
        <v>82.56</v>
      </c>
      <c r="I811" s="0" t="n">
        <v>83.92</v>
      </c>
    </row>
    <row r="812" customFormat="false" ht="14.25" hidden="false" customHeight="false" outlineLevel="0" collapsed="false">
      <c r="A812" s="0" t="n">
        <v>501</v>
      </c>
      <c r="B812" s="0" t="s">
        <v>90</v>
      </c>
      <c r="C812" s="0" t="s">
        <v>85</v>
      </c>
      <c r="D812" s="0" t="n">
        <v>46</v>
      </c>
      <c r="E812" s="0" t="s">
        <v>40</v>
      </c>
      <c r="F812" s="0" t="n">
        <v>1</v>
      </c>
      <c r="G812" s="0" t="str">
        <f aca="false">CONCATENATE(B812, "-",C812, "-", D812, "-", F812)</f>
        <v>M0113-A-46-1</v>
      </c>
      <c r="H812" s="0" t="n">
        <v>83.49</v>
      </c>
      <c r="I812" s="0" t="n">
        <v>83.9</v>
      </c>
    </row>
    <row r="813" customFormat="false" ht="14.25" hidden="false" customHeight="false" outlineLevel="0" collapsed="false">
      <c r="A813" s="0" t="n">
        <v>501</v>
      </c>
      <c r="B813" s="0" t="s">
        <v>90</v>
      </c>
      <c r="C813" s="0" t="s">
        <v>85</v>
      </c>
      <c r="D813" s="0" t="n">
        <v>46</v>
      </c>
      <c r="E813" s="0" t="s">
        <v>40</v>
      </c>
      <c r="F813" s="0" t="n">
        <v>2</v>
      </c>
      <c r="G813" s="0" t="str">
        <f aca="false">CONCATENATE(B813, "-",C813, "-", D813, "-", F813)</f>
        <v>M0113-A-46-2</v>
      </c>
      <c r="H813" s="0" t="n">
        <v>83.9</v>
      </c>
      <c r="I813" s="0" t="n">
        <v>85.33</v>
      </c>
    </row>
    <row r="814" customFormat="false" ht="14.25" hidden="false" customHeight="false" outlineLevel="0" collapsed="false">
      <c r="A814" s="0" t="n">
        <v>501</v>
      </c>
      <c r="B814" s="0" t="s">
        <v>90</v>
      </c>
      <c r="C814" s="0" t="s">
        <v>85</v>
      </c>
      <c r="D814" s="0" t="n">
        <v>47</v>
      </c>
      <c r="E814" s="0" t="s">
        <v>40</v>
      </c>
      <c r="F814" s="0" t="n">
        <v>1</v>
      </c>
      <c r="G814" s="0" t="str">
        <f aca="false">CONCATENATE(B814, "-",C814, "-", D814, "-", F814)</f>
        <v>M0113-A-47-1</v>
      </c>
      <c r="H814" s="0" t="n">
        <v>85.33</v>
      </c>
      <c r="I814" s="0" t="n">
        <v>85.82</v>
      </c>
    </row>
    <row r="815" customFormat="false" ht="14.25" hidden="false" customHeight="false" outlineLevel="0" collapsed="false">
      <c r="A815" s="0" t="n">
        <v>501</v>
      </c>
      <c r="B815" s="0" t="s">
        <v>90</v>
      </c>
      <c r="C815" s="0" t="s">
        <v>85</v>
      </c>
      <c r="D815" s="0" t="n">
        <v>47</v>
      </c>
      <c r="E815" s="0" t="s">
        <v>40</v>
      </c>
      <c r="F815" s="0" t="n">
        <v>2</v>
      </c>
      <c r="G815" s="0" t="str">
        <f aca="false">CONCATENATE(B815, "-",C815, "-", D815, "-", F815)</f>
        <v>M0113-A-47-2</v>
      </c>
      <c r="H815" s="0" t="n">
        <v>85.82</v>
      </c>
      <c r="I815" s="0" t="n">
        <v>86.34</v>
      </c>
    </row>
    <row r="816" customFormat="false" ht="14.25" hidden="false" customHeight="false" outlineLevel="0" collapsed="false">
      <c r="A816" s="0" t="n">
        <v>501</v>
      </c>
      <c r="B816" s="0" t="s">
        <v>90</v>
      </c>
      <c r="C816" s="0" t="s">
        <v>85</v>
      </c>
      <c r="D816" s="0" t="n">
        <v>48</v>
      </c>
      <c r="E816" s="0" t="s">
        <v>40</v>
      </c>
      <c r="F816" s="0" t="n">
        <v>1</v>
      </c>
      <c r="G816" s="0" t="str">
        <f aca="false">CONCATENATE(B816, "-",C816, "-", D816, "-", F816)</f>
        <v>M0113-A-48-1</v>
      </c>
      <c r="H816" s="0" t="n">
        <v>86.34</v>
      </c>
      <c r="I816" s="0" t="n">
        <v>87.27</v>
      </c>
    </row>
    <row r="817" customFormat="false" ht="14.25" hidden="false" customHeight="false" outlineLevel="0" collapsed="false">
      <c r="A817" s="0" t="n">
        <v>501</v>
      </c>
      <c r="B817" s="0" t="s">
        <v>90</v>
      </c>
      <c r="C817" s="0" t="s">
        <v>85</v>
      </c>
      <c r="D817" s="0" t="n">
        <v>49</v>
      </c>
      <c r="E817" s="0" t="s">
        <v>44</v>
      </c>
      <c r="F817" s="0" t="n">
        <v>1</v>
      </c>
      <c r="G817" s="0" t="str">
        <f aca="false">CONCATENATE(B817, "-",C817, "-", D817, "-", F817)</f>
        <v>M0113-A-49-1</v>
      </c>
      <c r="H817" s="0" t="n">
        <v>87.27</v>
      </c>
      <c r="I817" s="0" t="n">
        <v>88.21</v>
      </c>
    </row>
    <row r="818" customFormat="false" ht="14.25" hidden="false" customHeight="false" outlineLevel="0" collapsed="false">
      <c r="A818" s="0" t="n">
        <v>501</v>
      </c>
      <c r="B818" s="0" t="s">
        <v>90</v>
      </c>
      <c r="C818" s="0" t="s">
        <v>85</v>
      </c>
      <c r="D818" s="0" t="n">
        <v>49</v>
      </c>
      <c r="E818" s="0" t="s">
        <v>44</v>
      </c>
      <c r="F818" s="0" t="n">
        <v>2</v>
      </c>
      <c r="G818" s="0" t="str">
        <f aca="false">CONCATENATE(B818, "-",C818, "-", D818, "-", F818)</f>
        <v>M0113-A-49-2</v>
      </c>
      <c r="H818" s="0" t="n">
        <v>88.21</v>
      </c>
      <c r="I818" s="0" t="n">
        <v>88.7</v>
      </c>
    </row>
    <row r="819" customFormat="false" ht="14.25" hidden="false" customHeight="false" outlineLevel="0" collapsed="false">
      <c r="A819" s="0" t="n">
        <v>501</v>
      </c>
      <c r="B819" s="0" t="s">
        <v>90</v>
      </c>
      <c r="C819" s="0" t="s">
        <v>85</v>
      </c>
      <c r="D819" s="0" t="n">
        <v>50</v>
      </c>
      <c r="E819" s="0" t="s">
        <v>44</v>
      </c>
      <c r="F819" s="0" t="n">
        <v>1</v>
      </c>
      <c r="G819" s="0" t="str">
        <f aca="false">CONCATENATE(B819, "-",C819, "-", D819, "-", F819)</f>
        <v>M0113-A-50-1</v>
      </c>
      <c r="H819" s="0" t="n">
        <v>89.49</v>
      </c>
      <c r="I819" s="0" t="n">
        <v>90.4</v>
      </c>
    </row>
    <row r="820" customFormat="false" ht="14.25" hidden="false" customHeight="false" outlineLevel="0" collapsed="false">
      <c r="A820" s="0" t="n">
        <v>501</v>
      </c>
      <c r="B820" s="0" t="s">
        <v>90</v>
      </c>
      <c r="C820" s="0" t="s">
        <v>85</v>
      </c>
      <c r="D820" s="0" t="n">
        <v>51</v>
      </c>
      <c r="E820" s="0" t="s">
        <v>44</v>
      </c>
      <c r="F820" s="0" t="n">
        <v>1</v>
      </c>
      <c r="G820" s="0" t="str">
        <f aca="false">CONCATENATE(B820, "-",C820, "-", D820, "-", F820)</f>
        <v>M0113-A-51-1</v>
      </c>
      <c r="H820" s="0" t="n">
        <v>90.99</v>
      </c>
      <c r="I820" s="0" t="n">
        <v>92.15</v>
      </c>
    </row>
    <row r="821" customFormat="false" ht="14.25" hidden="false" customHeight="false" outlineLevel="0" collapsed="false">
      <c r="A821" s="0" t="n">
        <v>501</v>
      </c>
      <c r="B821" s="0" t="s">
        <v>90</v>
      </c>
      <c r="C821" s="0" t="s">
        <v>85</v>
      </c>
      <c r="D821" s="0" t="n">
        <v>53</v>
      </c>
      <c r="E821" s="0" t="s">
        <v>44</v>
      </c>
      <c r="F821" s="0" t="n">
        <v>1</v>
      </c>
      <c r="G821" s="0" t="str">
        <f aca="false">CONCATENATE(B821, "-",C821, "-", D821, "-", F821)</f>
        <v>M0113-A-53-1</v>
      </c>
      <c r="H821" s="0" t="n">
        <v>93.99</v>
      </c>
      <c r="I821" s="0" t="n">
        <v>95.49</v>
      </c>
    </row>
    <row r="822" customFormat="false" ht="14.25" hidden="false" customHeight="false" outlineLevel="0" collapsed="false">
      <c r="A822" s="0" t="n">
        <v>501</v>
      </c>
      <c r="B822" s="0" t="s">
        <v>90</v>
      </c>
      <c r="C822" s="0" t="s">
        <v>85</v>
      </c>
      <c r="D822" s="0" t="n">
        <v>53</v>
      </c>
      <c r="E822" s="0" t="s">
        <v>44</v>
      </c>
      <c r="F822" s="0" t="n">
        <v>2</v>
      </c>
      <c r="G822" s="0" t="str">
        <f aca="false">CONCATENATE(B822, "-",C822, "-", D822, "-", F822)</f>
        <v>M0113-A-53-2</v>
      </c>
      <c r="H822" s="0" t="n">
        <v>95.49</v>
      </c>
      <c r="I822" s="0" t="n">
        <v>96.69</v>
      </c>
    </row>
    <row r="823" customFormat="false" ht="14.25" hidden="false" customHeight="false" outlineLevel="0" collapsed="false">
      <c r="A823" s="0" t="n">
        <v>501</v>
      </c>
      <c r="B823" s="0" t="s">
        <v>90</v>
      </c>
      <c r="C823" s="0" t="s">
        <v>85</v>
      </c>
      <c r="D823" s="0" t="n">
        <v>54</v>
      </c>
      <c r="E823" s="0" t="s">
        <v>44</v>
      </c>
      <c r="F823" s="0" t="n">
        <v>1</v>
      </c>
      <c r="G823" s="0" t="str">
        <f aca="false">CONCATENATE(B823, "-",C823, "-", D823, "-", F823)</f>
        <v>M0113-A-54-1</v>
      </c>
      <c r="H823" s="0" t="n">
        <v>95.49</v>
      </c>
      <c r="I823" s="0" t="n">
        <v>96.72</v>
      </c>
    </row>
    <row r="824" customFormat="false" ht="14.25" hidden="false" customHeight="false" outlineLevel="0" collapsed="false">
      <c r="A824" s="0" t="n">
        <v>501</v>
      </c>
      <c r="B824" s="0" t="s">
        <v>90</v>
      </c>
      <c r="C824" s="0" t="s">
        <v>85</v>
      </c>
      <c r="D824" s="0" t="n">
        <v>55</v>
      </c>
      <c r="E824" s="0" t="s">
        <v>40</v>
      </c>
      <c r="F824" s="0" t="n">
        <v>1</v>
      </c>
      <c r="G824" s="0" t="str">
        <f aca="false">CONCATENATE(B824, "-",C824, "-", D824, "-", F824)</f>
        <v>M0113-A-55-1</v>
      </c>
      <c r="H824" s="0" t="n">
        <v>96.99</v>
      </c>
      <c r="I824" s="0" t="n">
        <v>97.99</v>
      </c>
    </row>
    <row r="825" customFormat="false" ht="14.25" hidden="false" customHeight="false" outlineLevel="0" collapsed="false">
      <c r="A825" s="0" t="n">
        <v>501</v>
      </c>
      <c r="B825" s="0" t="s">
        <v>90</v>
      </c>
      <c r="C825" s="0" t="s">
        <v>85</v>
      </c>
      <c r="D825" s="0" t="n">
        <v>55</v>
      </c>
      <c r="E825" s="0" t="s">
        <v>40</v>
      </c>
      <c r="F825" s="0" t="n">
        <v>2</v>
      </c>
      <c r="G825" s="0" t="str">
        <f aca="false">CONCATENATE(B825, "-",C825, "-", D825, "-", F825)</f>
        <v>M0113-A-55-2</v>
      </c>
      <c r="H825" s="0" t="n">
        <v>97.99</v>
      </c>
      <c r="I825" s="0" t="n">
        <v>98.99</v>
      </c>
    </row>
    <row r="826" customFormat="false" ht="14.25" hidden="false" customHeight="false" outlineLevel="0" collapsed="false">
      <c r="A826" s="0" t="n">
        <v>501</v>
      </c>
      <c r="B826" s="0" t="s">
        <v>90</v>
      </c>
      <c r="C826" s="0" t="s">
        <v>85</v>
      </c>
      <c r="D826" s="0" t="n">
        <v>56</v>
      </c>
      <c r="E826" s="0" t="s">
        <v>40</v>
      </c>
      <c r="F826" s="0" t="n">
        <v>1</v>
      </c>
      <c r="G826" s="0" t="str">
        <f aca="false">CONCATENATE(B826, "-",C826, "-", D826, "-", F826)</f>
        <v>M0113-A-56-1</v>
      </c>
      <c r="H826" s="0" t="n">
        <v>98.99</v>
      </c>
      <c r="I826" s="0" t="n">
        <v>100.49</v>
      </c>
    </row>
    <row r="827" customFormat="false" ht="14.25" hidden="false" customHeight="false" outlineLevel="0" collapsed="false">
      <c r="A827" s="0" t="n">
        <v>501</v>
      </c>
      <c r="B827" s="0" t="s">
        <v>90</v>
      </c>
      <c r="C827" s="0" t="s">
        <v>85</v>
      </c>
      <c r="D827" s="0" t="n">
        <v>56</v>
      </c>
      <c r="E827" s="0" t="s">
        <v>40</v>
      </c>
      <c r="F827" s="0" t="n">
        <v>2</v>
      </c>
      <c r="G827" s="0" t="str">
        <f aca="false">CONCATENATE(B827, "-",C827, "-", D827, "-", F827)</f>
        <v>M0113-A-56-2</v>
      </c>
      <c r="H827" s="0" t="n">
        <v>100.49</v>
      </c>
      <c r="I827" s="0" t="n">
        <v>101.4</v>
      </c>
    </row>
    <row r="828" customFormat="false" ht="14.25" hidden="false" customHeight="false" outlineLevel="0" collapsed="false">
      <c r="A828" s="0" t="n">
        <v>501</v>
      </c>
      <c r="B828" s="0" t="s">
        <v>90</v>
      </c>
      <c r="C828" s="0" t="s">
        <v>85</v>
      </c>
      <c r="D828" s="0" t="n">
        <v>57</v>
      </c>
      <c r="E828" s="0" t="s">
        <v>40</v>
      </c>
      <c r="F828" s="0" t="n">
        <v>1</v>
      </c>
      <c r="G828" s="0" t="str">
        <f aca="false">CONCATENATE(B828, "-",C828, "-", D828, "-", F828)</f>
        <v>M0113-A-57-1</v>
      </c>
      <c r="H828" s="0" t="n">
        <v>101.4</v>
      </c>
      <c r="I828" s="0" t="n">
        <v>102.35</v>
      </c>
    </row>
    <row r="829" customFormat="false" ht="14.25" hidden="false" customHeight="false" outlineLevel="0" collapsed="false">
      <c r="A829" s="0" t="n">
        <v>501</v>
      </c>
      <c r="B829" s="0" t="s">
        <v>90</v>
      </c>
      <c r="C829" s="0" t="s">
        <v>85</v>
      </c>
      <c r="D829" s="0" t="n">
        <v>57</v>
      </c>
      <c r="E829" s="0" t="s">
        <v>40</v>
      </c>
      <c r="F829" s="0" t="n">
        <v>2</v>
      </c>
      <c r="G829" s="0" t="str">
        <f aca="false">CONCATENATE(B829, "-",C829, "-", D829, "-", F829)</f>
        <v>M0113-A-57-2</v>
      </c>
      <c r="H829" s="0" t="n">
        <v>102.35</v>
      </c>
      <c r="I829" s="0" t="n">
        <v>103.38</v>
      </c>
    </row>
    <row r="830" customFormat="false" ht="14.25" hidden="false" customHeight="false" outlineLevel="0" collapsed="false">
      <c r="A830" s="0" t="n">
        <v>501</v>
      </c>
      <c r="B830" s="0" t="s">
        <v>90</v>
      </c>
      <c r="C830" s="0" t="s">
        <v>85</v>
      </c>
      <c r="D830" s="0" t="n">
        <v>58</v>
      </c>
      <c r="E830" s="0" t="s">
        <v>40</v>
      </c>
      <c r="F830" s="0" t="n">
        <v>1</v>
      </c>
      <c r="G830" s="0" t="str">
        <f aca="false">CONCATENATE(B830, "-",C830, "-", D830, "-", F830)</f>
        <v>M0113-A-58-1</v>
      </c>
      <c r="H830" s="0" t="n">
        <v>103.38</v>
      </c>
      <c r="I830" s="0" t="n">
        <v>104.38</v>
      </c>
    </row>
    <row r="831" customFormat="false" ht="14.25" hidden="false" customHeight="false" outlineLevel="0" collapsed="false">
      <c r="A831" s="0" t="n">
        <v>501</v>
      </c>
      <c r="B831" s="0" t="s">
        <v>90</v>
      </c>
      <c r="C831" s="0" t="s">
        <v>85</v>
      </c>
      <c r="D831" s="0" t="n">
        <v>58</v>
      </c>
      <c r="E831" s="0" t="s">
        <v>40</v>
      </c>
      <c r="F831" s="0" t="n">
        <v>2</v>
      </c>
      <c r="G831" s="0" t="str">
        <f aca="false">CONCATENATE(B831, "-",C831, "-", D831, "-", F831)</f>
        <v>M0113-A-58-2</v>
      </c>
      <c r="H831" s="0" t="n">
        <v>104.38</v>
      </c>
      <c r="I831" s="0" t="n">
        <v>105.03</v>
      </c>
    </row>
    <row r="832" customFormat="false" ht="14.25" hidden="false" customHeight="false" outlineLevel="0" collapsed="false">
      <c r="A832" s="0" t="n">
        <v>501</v>
      </c>
      <c r="B832" s="0" t="s">
        <v>90</v>
      </c>
      <c r="C832" s="0" t="s">
        <v>85</v>
      </c>
      <c r="D832" s="0" t="n">
        <v>59</v>
      </c>
      <c r="E832" s="0" t="s">
        <v>40</v>
      </c>
      <c r="F832" s="0" t="n">
        <v>1</v>
      </c>
      <c r="G832" s="0" t="str">
        <f aca="false">CONCATENATE(B832, "-",C832, "-", D832, "-", F832)</f>
        <v>M0113-A-59-1</v>
      </c>
      <c r="H832" s="0" t="n">
        <v>104.22</v>
      </c>
      <c r="I832" s="0" t="n">
        <v>104.9</v>
      </c>
    </row>
    <row r="833" customFormat="false" ht="14.25" hidden="false" customHeight="false" outlineLevel="0" collapsed="false">
      <c r="A833" s="0" t="n">
        <v>501</v>
      </c>
      <c r="B833" s="0" t="s">
        <v>90</v>
      </c>
      <c r="C833" s="0" t="s">
        <v>85</v>
      </c>
      <c r="D833" s="0" t="n">
        <v>59</v>
      </c>
      <c r="E833" s="0" t="s">
        <v>40</v>
      </c>
      <c r="F833" s="0" t="n">
        <v>2</v>
      </c>
      <c r="G833" s="0" t="str">
        <f aca="false">CONCATENATE(B833, "-",C833, "-", D833, "-", F833)</f>
        <v>M0113-A-59-2</v>
      </c>
      <c r="H833" s="0" t="n">
        <v>104.9</v>
      </c>
      <c r="I833" s="0" t="n">
        <v>105.03</v>
      </c>
    </row>
    <row r="834" customFormat="false" ht="14.25" hidden="false" customHeight="false" outlineLevel="0" collapsed="false">
      <c r="A834" s="0" t="n">
        <v>501</v>
      </c>
      <c r="B834" s="0" t="s">
        <v>90</v>
      </c>
      <c r="C834" s="0" t="s">
        <v>85</v>
      </c>
      <c r="D834" s="0" t="n">
        <v>60</v>
      </c>
      <c r="E834" s="0" t="s">
        <v>40</v>
      </c>
      <c r="F834" s="0" t="n">
        <v>1</v>
      </c>
      <c r="G834" s="0" t="str">
        <f aca="false">CONCATENATE(B834, "-",C834, "-", D834, "-", F834)</f>
        <v>M0113-A-60-1</v>
      </c>
      <c r="H834" s="0" t="n">
        <v>105.03</v>
      </c>
      <c r="I834" s="0" t="n">
        <v>105.75</v>
      </c>
    </row>
    <row r="835" customFormat="false" ht="14.25" hidden="false" customHeight="false" outlineLevel="0" collapsed="false">
      <c r="A835" s="0" t="n">
        <v>501</v>
      </c>
      <c r="B835" s="0" t="s">
        <v>90</v>
      </c>
      <c r="C835" s="0" t="s">
        <v>85</v>
      </c>
      <c r="D835" s="0" t="n">
        <v>60</v>
      </c>
      <c r="E835" s="0" t="s">
        <v>40</v>
      </c>
      <c r="F835" s="0" t="n">
        <v>2</v>
      </c>
      <c r="G835" s="0" t="str">
        <f aca="false">CONCATENATE(B835, "-",C835, "-", D835, "-", F835)</f>
        <v>M0113-A-60-2</v>
      </c>
      <c r="H835" s="0" t="n">
        <v>105.75</v>
      </c>
      <c r="I835" s="0" t="n">
        <v>105.9</v>
      </c>
    </row>
    <row r="836" customFormat="false" ht="14.25" hidden="false" customHeight="false" outlineLevel="0" collapsed="false">
      <c r="A836" s="0" t="n">
        <v>501</v>
      </c>
      <c r="B836" s="0" t="s">
        <v>90</v>
      </c>
      <c r="C836" s="0" t="s">
        <v>85</v>
      </c>
      <c r="D836" s="0" t="n">
        <v>61</v>
      </c>
      <c r="E836" s="0" t="s">
        <v>44</v>
      </c>
      <c r="F836" s="0" t="n">
        <v>1</v>
      </c>
      <c r="G836" s="0" t="str">
        <f aca="false">CONCATENATE(B836, "-",C836, "-", D836, "-", F836)</f>
        <v>M0113-A-61-1</v>
      </c>
      <c r="H836" s="0" t="n">
        <v>105.9</v>
      </c>
      <c r="I836" s="0" t="n">
        <v>106.49</v>
      </c>
    </row>
    <row r="837" customFormat="false" ht="14.25" hidden="false" customHeight="false" outlineLevel="0" collapsed="false">
      <c r="A837" s="0" t="n">
        <v>501</v>
      </c>
      <c r="B837" s="0" t="s">
        <v>90</v>
      </c>
      <c r="C837" s="0" t="s">
        <v>85</v>
      </c>
      <c r="D837" s="0" t="n">
        <v>62</v>
      </c>
      <c r="E837" s="0" t="s">
        <v>44</v>
      </c>
      <c r="F837" s="0" t="n">
        <v>1</v>
      </c>
      <c r="G837" s="0" t="str">
        <f aca="false">CONCATENATE(B837, "-",C837, "-", D837, "-", F837)</f>
        <v>M0113-A-62-1</v>
      </c>
      <c r="H837" s="0" t="n">
        <v>107.49</v>
      </c>
      <c r="I837" s="0" t="n">
        <v>107.96</v>
      </c>
    </row>
    <row r="838" customFormat="false" ht="14.25" hidden="false" customHeight="false" outlineLevel="0" collapsed="false">
      <c r="A838" s="0" t="n">
        <v>501</v>
      </c>
      <c r="B838" s="0" t="s">
        <v>90</v>
      </c>
      <c r="C838" s="0" t="s">
        <v>85</v>
      </c>
      <c r="D838" s="0" t="n">
        <v>63</v>
      </c>
      <c r="E838" s="0" t="s">
        <v>40</v>
      </c>
      <c r="F838" s="0" t="n">
        <v>1</v>
      </c>
      <c r="G838" s="0" t="str">
        <f aca="false">CONCATENATE(B838, "-",C838, "-", D838, "-", F838)</f>
        <v>M0113-A-63-1</v>
      </c>
      <c r="H838" s="0" t="n">
        <v>108.99</v>
      </c>
      <c r="I838" s="0" t="n">
        <v>109.8</v>
      </c>
    </row>
    <row r="839" customFormat="false" ht="14.25" hidden="false" customHeight="false" outlineLevel="0" collapsed="false">
      <c r="A839" s="0" t="n">
        <v>501</v>
      </c>
      <c r="B839" s="0" t="s">
        <v>90</v>
      </c>
      <c r="C839" s="0" t="s">
        <v>85</v>
      </c>
      <c r="D839" s="0" t="n">
        <v>63</v>
      </c>
      <c r="E839" s="0" t="s">
        <v>40</v>
      </c>
      <c r="F839" s="0" t="n">
        <v>2</v>
      </c>
      <c r="G839" s="0" t="str">
        <f aca="false">CONCATENATE(B839, "-",C839, "-", D839, "-", F839)</f>
        <v>M0113-A-63-2</v>
      </c>
      <c r="H839" s="0" t="n">
        <v>109.8</v>
      </c>
      <c r="I839" s="0" t="n">
        <v>109.93</v>
      </c>
    </row>
    <row r="840" customFormat="false" ht="14.25" hidden="false" customHeight="false" outlineLevel="0" collapsed="false">
      <c r="A840" s="0" t="n">
        <v>501</v>
      </c>
      <c r="B840" s="0" t="s">
        <v>90</v>
      </c>
      <c r="C840" s="0" t="s">
        <v>85</v>
      </c>
      <c r="D840" s="0" t="n">
        <v>65</v>
      </c>
      <c r="E840" s="0" t="s">
        <v>44</v>
      </c>
      <c r="F840" s="0" t="n">
        <v>1</v>
      </c>
      <c r="G840" s="0" t="str">
        <f aca="false">CONCATENATE(B840, "-",C840, "-", D840, "-", F840)</f>
        <v>M0113-A-65-1</v>
      </c>
      <c r="H840" s="0" t="n">
        <v>109.93</v>
      </c>
      <c r="I840" s="0" t="n">
        <v>110.92</v>
      </c>
    </row>
    <row r="841" customFormat="false" ht="14.25" hidden="false" customHeight="false" outlineLevel="0" collapsed="false">
      <c r="A841" s="0" t="n">
        <v>501</v>
      </c>
      <c r="B841" s="0" t="s">
        <v>90</v>
      </c>
      <c r="C841" s="0" t="s">
        <v>85</v>
      </c>
      <c r="D841" s="0" t="n">
        <v>65</v>
      </c>
      <c r="E841" s="0" t="s">
        <v>44</v>
      </c>
      <c r="F841" s="0" t="n">
        <v>2</v>
      </c>
      <c r="G841" s="0" t="str">
        <f aca="false">CONCATENATE(B841, "-",C841, "-", D841, "-", F841)</f>
        <v>M0113-A-65-2</v>
      </c>
      <c r="H841" s="0" t="n">
        <v>110.92</v>
      </c>
      <c r="I841" s="0" t="n">
        <v>111.31</v>
      </c>
    </row>
    <row r="842" customFormat="false" ht="14.25" hidden="false" customHeight="false" outlineLevel="0" collapsed="false">
      <c r="A842" s="0" t="n">
        <v>501</v>
      </c>
      <c r="B842" s="0" t="s">
        <v>90</v>
      </c>
      <c r="C842" s="0" t="s">
        <v>85</v>
      </c>
      <c r="D842" s="0" t="n">
        <v>66</v>
      </c>
      <c r="E842" s="0" t="s">
        <v>44</v>
      </c>
      <c r="F842" s="0" t="n">
        <v>1</v>
      </c>
      <c r="G842" s="0" t="str">
        <f aca="false">CONCATENATE(B842, "-",C842, "-", D842, "-", F842)</f>
        <v>M0113-A-66-1</v>
      </c>
      <c r="H842" s="0" t="n">
        <v>111.99</v>
      </c>
      <c r="I842" s="0" t="n">
        <v>112.23</v>
      </c>
    </row>
    <row r="843" customFormat="false" ht="14.25" hidden="false" customHeight="false" outlineLevel="0" collapsed="false">
      <c r="A843" s="0" t="n">
        <v>501</v>
      </c>
      <c r="B843" s="0" t="s">
        <v>90</v>
      </c>
      <c r="C843" s="0" t="s">
        <v>85</v>
      </c>
      <c r="D843" s="0" t="n">
        <v>67</v>
      </c>
      <c r="E843" s="0" t="s">
        <v>44</v>
      </c>
      <c r="F843" s="0" t="n">
        <v>1</v>
      </c>
      <c r="G843" s="0" t="str">
        <f aca="false">CONCATENATE(B843, "-",C843, "-", D843, "-", F843)</f>
        <v>M0113-A-67-1</v>
      </c>
      <c r="H843" s="0" t="n">
        <v>113.49</v>
      </c>
      <c r="I843" s="0" t="n">
        <v>114.99</v>
      </c>
    </row>
    <row r="844" customFormat="false" ht="14.25" hidden="false" customHeight="false" outlineLevel="0" collapsed="false">
      <c r="A844" s="0" t="n">
        <v>501</v>
      </c>
      <c r="B844" s="0" t="s">
        <v>90</v>
      </c>
      <c r="C844" s="0" t="s">
        <v>85</v>
      </c>
      <c r="D844" s="0" t="n">
        <v>64</v>
      </c>
      <c r="E844" s="0" t="s">
        <v>40</v>
      </c>
      <c r="F844" s="0" t="n">
        <v>1</v>
      </c>
      <c r="G844" s="0" t="str">
        <f aca="false">CONCATENATE(B844, "-",C844, "-", D844, "-", F844)</f>
        <v>M0113-A-64-1</v>
      </c>
      <c r="H844" s="0" t="n">
        <v>109.93</v>
      </c>
      <c r="I844" s="0" t="n">
        <v>110.14</v>
      </c>
    </row>
    <row r="845" customFormat="false" ht="14.25" hidden="false" customHeight="false" outlineLevel="0" collapsed="false">
      <c r="A845" s="0" t="n">
        <v>501</v>
      </c>
      <c r="B845" s="0" t="s">
        <v>90</v>
      </c>
      <c r="C845" s="0" t="s">
        <v>85</v>
      </c>
      <c r="D845" s="0" t="n">
        <v>68</v>
      </c>
      <c r="E845" s="0" t="s">
        <v>44</v>
      </c>
      <c r="F845" s="0" t="n">
        <v>1</v>
      </c>
      <c r="G845" s="0" t="str">
        <f aca="false">CONCATENATE(B845, "-",C845, "-", D845, "-", F845)</f>
        <v>M0113-A-68-1</v>
      </c>
      <c r="H845" s="0" t="n">
        <v>114.99</v>
      </c>
      <c r="I845" s="0" t="n">
        <v>115.44</v>
      </c>
    </row>
    <row r="846" customFormat="false" ht="14.25" hidden="false" customHeight="false" outlineLevel="0" collapsed="false">
      <c r="A846" s="0" t="n">
        <v>501</v>
      </c>
      <c r="B846" s="0" t="s">
        <v>90</v>
      </c>
      <c r="C846" s="0" t="s">
        <v>85</v>
      </c>
      <c r="D846" s="0" t="n">
        <v>69</v>
      </c>
      <c r="E846" s="0" t="s">
        <v>44</v>
      </c>
      <c r="F846" s="0" t="n">
        <v>1</v>
      </c>
      <c r="G846" s="0" t="str">
        <f aca="false">CONCATENATE(B846, "-",C846, "-", D846, "-", F846)</f>
        <v>M0113-A-69-1</v>
      </c>
      <c r="H846" s="0" t="n">
        <v>116.49</v>
      </c>
      <c r="I846" s="0" t="n">
        <v>116.92</v>
      </c>
    </row>
    <row r="847" customFormat="false" ht="14.25" hidden="false" customHeight="false" outlineLevel="0" collapsed="false">
      <c r="A847" s="0" t="n">
        <v>501</v>
      </c>
      <c r="B847" s="0" t="s">
        <v>90</v>
      </c>
      <c r="C847" s="0" t="s">
        <v>85</v>
      </c>
      <c r="D847" s="0" t="n">
        <v>70</v>
      </c>
      <c r="E847" s="0" t="s">
        <v>44</v>
      </c>
      <c r="F847" s="0" t="n">
        <v>1</v>
      </c>
      <c r="G847" s="0" t="str">
        <f aca="false">CONCATENATE(B847, "-",C847, "-", D847, "-", F847)</f>
        <v>M0113-A-70-1</v>
      </c>
      <c r="H847" s="0" t="n">
        <v>117.99</v>
      </c>
      <c r="I847" s="0" t="n">
        <v>118.97</v>
      </c>
    </row>
    <row r="848" customFormat="false" ht="14.25" hidden="false" customHeight="false" outlineLevel="0" collapsed="false">
      <c r="A848" s="0" t="n">
        <v>501</v>
      </c>
      <c r="B848" s="0" t="s">
        <v>90</v>
      </c>
      <c r="C848" s="0" t="s">
        <v>85</v>
      </c>
      <c r="D848" s="0" t="n">
        <v>71</v>
      </c>
      <c r="E848" s="0" t="s">
        <v>44</v>
      </c>
      <c r="F848" s="0" t="n">
        <v>1</v>
      </c>
      <c r="G848" s="0" t="str">
        <f aca="false">CONCATENATE(B848, "-",C848, "-", D848, "-", F848)</f>
        <v>M0113-A-71-1</v>
      </c>
      <c r="H848" s="0" t="n">
        <v>119.49</v>
      </c>
      <c r="I848" s="0" t="n">
        <v>119.85</v>
      </c>
    </row>
    <row r="849" customFormat="false" ht="14.25" hidden="false" customHeight="false" outlineLevel="0" collapsed="false">
      <c r="A849" s="0" t="n">
        <v>501</v>
      </c>
      <c r="B849" s="0" t="s">
        <v>90</v>
      </c>
      <c r="C849" s="0" t="s">
        <v>85</v>
      </c>
      <c r="D849" s="0" t="n">
        <v>72</v>
      </c>
      <c r="E849" s="0" t="s">
        <v>44</v>
      </c>
      <c r="F849" s="0" t="n">
        <v>1</v>
      </c>
      <c r="G849" s="0" t="str">
        <f aca="false">CONCATENATE(B849, "-",C849, "-", D849, "-", F849)</f>
        <v>M0113-A-72-1</v>
      </c>
      <c r="H849" s="0" t="n">
        <v>120.99</v>
      </c>
      <c r="I849" s="0" t="n">
        <v>122.11</v>
      </c>
    </row>
    <row r="850" customFormat="false" ht="14.25" hidden="false" customHeight="false" outlineLevel="0" collapsed="false">
      <c r="A850" s="0" t="n">
        <v>501</v>
      </c>
      <c r="B850" s="0" t="s">
        <v>90</v>
      </c>
      <c r="C850" s="0" t="s">
        <v>85</v>
      </c>
      <c r="D850" s="0" t="n">
        <v>73</v>
      </c>
      <c r="E850" s="0" t="s">
        <v>44</v>
      </c>
      <c r="F850" s="0" t="n">
        <v>1</v>
      </c>
      <c r="G850" s="0" t="str">
        <f aca="false">CONCATENATE(B850, "-",C850, "-", D850, "-", F850)</f>
        <v>M0113-A-73-1</v>
      </c>
      <c r="H850" s="0" t="n">
        <v>122.49</v>
      </c>
      <c r="I850" s="0" t="n">
        <v>122.99</v>
      </c>
    </row>
    <row r="851" customFormat="false" ht="14.25" hidden="false" customHeight="false" outlineLevel="0" collapsed="false">
      <c r="A851" s="0" t="n">
        <v>501</v>
      </c>
      <c r="B851" s="0" t="s">
        <v>90</v>
      </c>
      <c r="C851" s="0" t="s">
        <v>85</v>
      </c>
      <c r="D851" s="0" t="n">
        <v>74</v>
      </c>
      <c r="E851" s="0" t="s">
        <v>44</v>
      </c>
      <c r="F851" s="0" t="n">
        <v>1</v>
      </c>
      <c r="G851" s="0" t="str">
        <f aca="false">CONCATENATE(B851, "-",C851, "-", D851, "-", F851)</f>
        <v>M0113-A-74-1</v>
      </c>
      <c r="H851" s="0" t="n">
        <v>123.99</v>
      </c>
      <c r="I851" s="0" t="n">
        <v>124.53</v>
      </c>
    </row>
    <row r="852" customFormat="false" ht="14.25" hidden="false" customHeight="false" outlineLevel="0" collapsed="false">
      <c r="A852" s="0" t="n">
        <v>501</v>
      </c>
      <c r="B852" s="0" t="s">
        <v>90</v>
      </c>
      <c r="C852" s="0" t="s">
        <v>85</v>
      </c>
      <c r="D852" s="0" t="n">
        <v>75</v>
      </c>
      <c r="E852" s="0" t="s">
        <v>44</v>
      </c>
      <c r="F852" s="0" t="n">
        <v>1</v>
      </c>
      <c r="G852" s="0" t="str">
        <f aca="false">CONCATENATE(B852, "-",C852, "-", D852, "-", F852)</f>
        <v>M0113-A-75-1</v>
      </c>
      <c r="H852" s="0" t="n">
        <v>125.49</v>
      </c>
      <c r="I852" s="0" t="n">
        <v>126.11</v>
      </c>
    </row>
    <row r="853" customFormat="false" ht="14.25" hidden="false" customHeight="false" outlineLevel="0" collapsed="false">
      <c r="A853" s="0" t="n">
        <v>501</v>
      </c>
      <c r="B853" s="0" t="s">
        <v>90</v>
      </c>
      <c r="C853" s="0" t="s">
        <v>85</v>
      </c>
      <c r="D853" s="0" t="n">
        <v>75</v>
      </c>
      <c r="E853" s="0" t="s">
        <v>44</v>
      </c>
      <c r="F853" s="0" t="n">
        <v>2</v>
      </c>
      <c r="G853" s="0" t="str">
        <f aca="false">CONCATENATE(B853, "-",C853, "-", D853, "-", F853)</f>
        <v>M0113-A-75-2</v>
      </c>
      <c r="H853" s="0" t="n">
        <v>126.11</v>
      </c>
      <c r="I853" s="0" t="n">
        <v>126.51</v>
      </c>
    </row>
    <row r="854" customFormat="false" ht="14.25" hidden="false" customHeight="false" outlineLevel="0" collapsed="false">
      <c r="A854" s="0" t="n">
        <v>501</v>
      </c>
      <c r="B854" s="0" t="s">
        <v>90</v>
      </c>
      <c r="C854" s="0" t="s">
        <v>85</v>
      </c>
      <c r="D854" s="0" t="n">
        <v>76</v>
      </c>
      <c r="E854" s="0" t="s">
        <v>44</v>
      </c>
      <c r="F854" s="0" t="n">
        <v>1</v>
      </c>
      <c r="G854" s="0" t="str">
        <f aca="false">CONCATENATE(B854, "-",C854, "-", D854, "-", F854)</f>
        <v>M0113-A-76-1</v>
      </c>
      <c r="H854" s="0" t="n">
        <v>126.99</v>
      </c>
      <c r="I854" s="0" t="n">
        <v>127.08</v>
      </c>
    </row>
    <row r="855" customFormat="false" ht="14.25" hidden="false" customHeight="false" outlineLevel="0" collapsed="false">
      <c r="A855" s="0" t="n">
        <v>501</v>
      </c>
      <c r="B855" s="0" t="s">
        <v>90</v>
      </c>
      <c r="C855" s="0" t="s">
        <v>85</v>
      </c>
      <c r="D855" s="0" t="n">
        <v>77</v>
      </c>
      <c r="E855" s="0" t="s">
        <v>44</v>
      </c>
      <c r="F855" s="0" t="n">
        <v>1</v>
      </c>
      <c r="G855" s="0" t="str">
        <f aca="false">CONCATENATE(B855, "-",C855, "-", D855, "-", F855)</f>
        <v>M0113-A-77-1</v>
      </c>
      <c r="H855" s="0" t="n">
        <v>128.49</v>
      </c>
      <c r="I855" s="0" t="n">
        <v>128.69</v>
      </c>
    </row>
    <row r="856" customFormat="false" ht="14.25" hidden="false" customHeight="false" outlineLevel="0" collapsed="false">
      <c r="A856" s="0" t="n">
        <v>501</v>
      </c>
      <c r="B856" s="0" t="s">
        <v>90</v>
      </c>
      <c r="C856" s="0" t="s">
        <v>85</v>
      </c>
      <c r="D856" s="0" t="n">
        <v>78</v>
      </c>
      <c r="E856" s="0" t="s">
        <v>40</v>
      </c>
      <c r="F856" s="0" t="n">
        <v>1</v>
      </c>
      <c r="G856" s="0" t="str">
        <f aca="false">CONCATENATE(B856, "-",C856, "-", D856, "-", F856)</f>
        <v>M0113-A-78-1</v>
      </c>
      <c r="H856" s="0" t="n">
        <v>129.99</v>
      </c>
      <c r="I856" s="0" t="n">
        <v>131.49</v>
      </c>
    </row>
    <row r="857" customFormat="false" ht="14.25" hidden="false" customHeight="false" outlineLevel="0" collapsed="false">
      <c r="A857" s="0" t="n">
        <v>501</v>
      </c>
      <c r="B857" s="0" t="s">
        <v>90</v>
      </c>
      <c r="C857" s="0" t="s">
        <v>85</v>
      </c>
      <c r="D857" s="0" t="n">
        <v>78</v>
      </c>
      <c r="E857" s="0" t="s">
        <v>40</v>
      </c>
      <c r="F857" s="0" t="n">
        <v>2</v>
      </c>
      <c r="G857" s="0" t="str">
        <f aca="false">CONCATENATE(B857, "-",C857, "-", D857, "-", F857)</f>
        <v>M0113-A-78-2</v>
      </c>
      <c r="H857" s="0" t="n">
        <v>131.49</v>
      </c>
      <c r="I857" s="0" t="n">
        <v>132.29</v>
      </c>
    </row>
    <row r="858" customFormat="false" ht="14.25" hidden="false" customHeight="false" outlineLevel="0" collapsed="false">
      <c r="A858" s="0" t="n">
        <v>501</v>
      </c>
      <c r="B858" s="0" t="s">
        <v>90</v>
      </c>
      <c r="C858" s="0" t="s">
        <v>85</v>
      </c>
      <c r="D858" s="0" t="n">
        <v>80</v>
      </c>
      <c r="E858" s="0" t="s">
        <v>44</v>
      </c>
      <c r="F858" s="0" t="n">
        <v>1</v>
      </c>
      <c r="G858" s="0" t="str">
        <f aca="false">CONCATENATE(B858, "-",C858, "-", D858, "-", F858)</f>
        <v>M0113-A-80-1</v>
      </c>
      <c r="H858" s="0" t="n">
        <v>132.29</v>
      </c>
      <c r="I858" s="0" t="n">
        <v>132.91</v>
      </c>
    </row>
    <row r="859" customFormat="false" ht="14.25" hidden="false" customHeight="false" outlineLevel="0" collapsed="false">
      <c r="A859" s="0" t="n">
        <v>501</v>
      </c>
      <c r="B859" s="0" t="s">
        <v>90</v>
      </c>
      <c r="C859" s="0" t="s">
        <v>85</v>
      </c>
      <c r="D859" s="0" t="n">
        <v>81</v>
      </c>
      <c r="E859" s="0" t="s">
        <v>44</v>
      </c>
      <c r="F859" s="0" t="n">
        <v>1</v>
      </c>
      <c r="G859" s="0" t="str">
        <f aca="false">CONCATENATE(B859, "-",C859, "-", D859, "-", F859)</f>
        <v>M0113-A-81-1</v>
      </c>
      <c r="H859" s="0" t="n">
        <v>134.49</v>
      </c>
      <c r="I859" s="0" t="n">
        <v>135.05</v>
      </c>
    </row>
    <row r="860" customFormat="false" ht="14.25" hidden="false" customHeight="false" outlineLevel="0" collapsed="false">
      <c r="A860" s="0" t="n">
        <v>501</v>
      </c>
      <c r="B860" s="0" t="s">
        <v>90</v>
      </c>
      <c r="C860" s="0" t="s">
        <v>85</v>
      </c>
      <c r="D860" s="0" t="n">
        <v>81</v>
      </c>
      <c r="E860" s="0" t="s">
        <v>44</v>
      </c>
      <c r="F860" s="0" t="n">
        <v>2</v>
      </c>
      <c r="G860" s="0" t="str">
        <f aca="false">CONCATENATE(B860, "-",C860, "-", D860, "-", F860)</f>
        <v>M0113-A-81-2</v>
      </c>
      <c r="H860" s="0" t="n">
        <v>135.05</v>
      </c>
      <c r="I860" s="0" t="n">
        <v>135.44</v>
      </c>
    </row>
    <row r="861" customFormat="false" ht="14.25" hidden="false" customHeight="false" outlineLevel="0" collapsed="false">
      <c r="A861" s="0" t="n">
        <v>501</v>
      </c>
      <c r="B861" s="0" t="s">
        <v>90</v>
      </c>
      <c r="C861" s="0" t="s">
        <v>85</v>
      </c>
      <c r="D861" s="0" t="n">
        <v>82</v>
      </c>
      <c r="E861" s="0" t="s">
        <v>44</v>
      </c>
      <c r="F861" s="0" t="n">
        <v>1</v>
      </c>
      <c r="G861" s="0" t="str">
        <f aca="false">CONCATENATE(B861, "-",C861, "-", D861, "-", F861)</f>
        <v>M0113-A-82-1</v>
      </c>
      <c r="H861" s="0" t="n">
        <v>135.99</v>
      </c>
      <c r="I861" s="0" t="n">
        <v>137.06</v>
      </c>
    </row>
    <row r="862" customFormat="false" ht="14.25" hidden="false" customHeight="false" outlineLevel="0" collapsed="false">
      <c r="A862" s="0" t="n">
        <v>501</v>
      </c>
      <c r="B862" s="0" t="s">
        <v>90</v>
      </c>
      <c r="C862" s="0" t="s">
        <v>85</v>
      </c>
      <c r="D862" s="0" t="n">
        <v>83</v>
      </c>
      <c r="E862" s="0" t="s">
        <v>44</v>
      </c>
      <c r="F862" s="0" t="n">
        <v>1</v>
      </c>
      <c r="G862" s="0" t="str">
        <f aca="false">CONCATENATE(B862, "-",C862, "-", D862, "-", F862)</f>
        <v>M0113-A-83-1</v>
      </c>
      <c r="H862" s="0" t="n">
        <v>137.49</v>
      </c>
      <c r="I862" s="0" t="n">
        <v>138.92</v>
      </c>
    </row>
    <row r="863" customFormat="false" ht="14.25" hidden="false" customHeight="false" outlineLevel="0" collapsed="false">
      <c r="A863" s="0" t="n">
        <v>501</v>
      </c>
      <c r="B863" s="0" t="s">
        <v>90</v>
      </c>
      <c r="C863" s="0" t="s">
        <v>85</v>
      </c>
      <c r="D863" s="0" t="n">
        <v>83</v>
      </c>
      <c r="E863" s="0" t="s">
        <v>44</v>
      </c>
      <c r="F863" s="0" t="n">
        <v>2</v>
      </c>
      <c r="G863" s="0" t="str">
        <f aca="false">CONCATENATE(B863, "-",C863, "-", D863, "-", F863)</f>
        <v>M0113-A-83-2</v>
      </c>
      <c r="H863" s="0" t="n">
        <v>138.92</v>
      </c>
      <c r="I863" s="0" t="n">
        <v>139.02</v>
      </c>
    </row>
    <row r="864" customFormat="false" ht="14.25" hidden="false" customHeight="false" outlineLevel="0" collapsed="false">
      <c r="A864" s="0" t="n">
        <v>501</v>
      </c>
      <c r="B864" s="0" t="s">
        <v>90</v>
      </c>
      <c r="C864" s="0" t="s">
        <v>85</v>
      </c>
      <c r="D864" s="0" t="n">
        <v>84</v>
      </c>
      <c r="E864" s="0" t="s">
        <v>44</v>
      </c>
      <c r="F864" s="0" t="n">
        <v>1</v>
      </c>
      <c r="G864" s="0" t="str">
        <f aca="false">CONCATENATE(B864, "-",C864, "-", D864, "-", F864)</f>
        <v>M0113-A-84-1</v>
      </c>
      <c r="H864" s="0" t="n">
        <v>138.99</v>
      </c>
      <c r="I864" s="0" t="n">
        <v>139.69</v>
      </c>
    </row>
    <row r="865" customFormat="false" ht="14.25" hidden="false" customHeight="false" outlineLevel="0" collapsed="false">
      <c r="A865" s="0" t="n">
        <v>501</v>
      </c>
      <c r="B865" s="0" t="s">
        <v>90</v>
      </c>
      <c r="C865" s="0" t="s">
        <v>85</v>
      </c>
      <c r="D865" s="0" t="n">
        <v>84</v>
      </c>
      <c r="E865" s="0" t="s">
        <v>44</v>
      </c>
      <c r="F865" s="0" t="n">
        <v>2</v>
      </c>
      <c r="G865" s="0" t="str">
        <f aca="false">CONCATENATE(B865, "-",C865, "-", D865, "-", F865)</f>
        <v>M0113-A-84-2</v>
      </c>
      <c r="H865" s="0" t="n">
        <v>139.69</v>
      </c>
      <c r="I865" s="0" t="n">
        <v>140.3</v>
      </c>
    </row>
    <row r="866" customFormat="false" ht="14.25" hidden="false" customHeight="false" outlineLevel="0" collapsed="false">
      <c r="A866" s="0" t="n">
        <v>501</v>
      </c>
      <c r="B866" s="0" t="s">
        <v>90</v>
      </c>
      <c r="C866" s="0" t="s">
        <v>85</v>
      </c>
      <c r="D866" s="0" t="n">
        <v>85</v>
      </c>
      <c r="E866" s="0" t="s">
        <v>44</v>
      </c>
      <c r="F866" s="0" t="n">
        <v>1</v>
      </c>
      <c r="G866" s="0" t="str">
        <f aca="false">CONCATENATE(B866, "-",C866, "-", D866, "-", F866)</f>
        <v>M0113-A-85-1</v>
      </c>
      <c r="H866" s="0" t="n">
        <v>140.49</v>
      </c>
      <c r="I866" s="0" t="n">
        <v>141.99</v>
      </c>
    </row>
    <row r="867" customFormat="false" ht="14.25" hidden="false" customHeight="false" outlineLevel="0" collapsed="false">
      <c r="A867" s="0" t="n">
        <v>501</v>
      </c>
      <c r="B867" s="0" t="s">
        <v>90</v>
      </c>
      <c r="C867" s="0" t="s">
        <v>85</v>
      </c>
      <c r="D867" s="0" t="n">
        <v>85</v>
      </c>
      <c r="E867" s="0" t="s">
        <v>44</v>
      </c>
      <c r="F867" s="0" t="n">
        <v>2</v>
      </c>
      <c r="G867" s="0" t="str">
        <f aca="false">CONCATENATE(B867, "-",C867, "-", D867, "-", F867)</f>
        <v>M0113-A-85-2</v>
      </c>
      <c r="H867" s="0" t="n">
        <v>141.99</v>
      </c>
      <c r="I867" s="0" t="n">
        <v>143.24</v>
      </c>
    </row>
    <row r="868" customFormat="false" ht="14.25" hidden="false" customHeight="false" outlineLevel="0" collapsed="false">
      <c r="A868" s="0" t="n">
        <v>501</v>
      </c>
      <c r="B868" s="0" t="s">
        <v>90</v>
      </c>
      <c r="C868" s="0" t="s">
        <v>85</v>
      </c>
      <c r="D868" s="0" t="n">
        <v>86</v>
      </c>
      <c r="E868" s="0" t="s">
        <v>44</v>
      </c>
      <c r="F868" s="0" t="n">
        <v>1</v>
      </c>
      <c r="G868" s="0" t="str">
        <f aca="false">CONCATENATE(B868, "-",C868, "-", D868, "-", F868)</f>
        <v>M0113-A-86-1</v>
      </c>
      <c r="H868" s="0" t="n">
        <v>143.49</v>
      </c>
      <c r="I868" s="0" t="n">
        <v>144.49</v>
      </c>
    </row>
    <row r="869" customFormat="false" ht="14.25" hidden="false" customHeight="false" outlineLevel="0" collapsed="false">
      <c r="A869" s="0" t="n">
        <v>501</v>
      </c>
      <c r="B869" s="0" t="s">
        <v>90</v>
      </c>
      <c r="C869" s="0" t="s">
        <v>85</v>
      </c>
      <c r="D869" s="0" t="n">
        <v>86</v>
      </c>
      <c r="E869" s="0" t="s">
        <v>44</v>
      </c>
      <c r="F869" s="0" t="n">
        <v>2</v>
      </c>
      <c r="G869" s="0" t="str">
        <f aca="false">CONCATENATE(B869, "-",C869, "-", D869, "-", F869)</f>
        <v>M0113-A-86-2</v>
      </c>
      <c r="H869" s="0" t="n">
        <v>144.49</v>
      </c>
      <c r="I869" s="0" t="n">
        <v>145.16</v>
      </c>
    </row>
    <row r="870" customFormat="false" ht="14.25" hidden="false" customHeight="false" outlineLevel="0" collapsed="false">
      <c r="A870" s="0" t="n">
        <v>501</v>
      </c>
      <c r="B870" s="0" t="s">
        <v>90</v>
      </c>
      <c r="C870" s="0" t="s">
        <v>85</v>
      </c>
      <c r="D870" s="0" t="n">
        <v>87</v>
      </c>
      <c r="E870" s="0" t="s">
        <v>44</v>
      </c>
      <c r="F870" s="0" t="n">
        <v>1</v>
      </c>
      <c r="G870" s="0" t="str">
        <f aca="false">CONCATENATE(B870, "-",C870, "-", D870, "-", F870)</f>
        <v>M0113-A-87-1</v>
      </c>
      <c r="H870" s="0" t="n">
        <v>146.49</v>
      </c>
      <c r="I870" s="0" t="n">
        <v>147.49</v>
      </c>
    </row>
    <row r="871" customFormat="false" ht="14.25" hidden="false" customHeight="false" outlineLevel="0" collapsed="false">
      <c r="A871" s="0" t="n">
        <v>501</v>
      </c>
      <c r="B871" s="0" t="s">
        <v>90</v>
      </c>
      <c r="C871" s="0" t="s">
        <v>85</v>
      </c>
      <c r="D871" s="0" t="n">
        <v>87</v>
      </c>
      <c r="E871" s="0" t="s">
        <v>44</v>
      </c>
      <c r="F871" s="0" t="n">
        <v>2</v>
      </c>
      <c r="G871" s="0" t="str">
        <f aca="false">CONCATENATE(B871, "-",C871, "-", D871, "-", F871)</f>
        <v>M0113-A-87-2</v>
      </c>
      <c r="H871" s="0" t="n">
        <v>147.49</v>
      </c>
      <c r="I871" s="0" t="n">
        <v>148</v>
      </c>
    </row>
    <row r="872" customFormat="false" ht="14.25" hidden="false" customHeight="false" outlineLevel="0" collapsed="false">
      <c r="A872" s="0" t="n">
        <v>501</v>
      </c>
      <c r="B872" s="0" t="s">
        <v>90</v>
      </c>
      <c r="C872" s="0" t="s">
        <v>85</v>
      </c>
      <c r="D872" s="0" t="n">
        <v>88</v>
      </c>
      <c r="E872" s="0" t="s">
        <v>44</v>
      </c>
      <c r="F872" s="0" t="n">
        <v>1</v>
      </c>
      <c r="G872" s="0" t="str">
        <f aca="false">CONCATENATE(B872, "-",C872, "-", D872, "-", F872)</f>
        <v>M0113-A-88-1</v>
      </c>
      <c r="H872" s="0" t="n">
        <v>148.49</v>
      </c>
      <c r="I872" s="0" t="n">
        <v>149.99</v>
      </c>
    </row>
    <row r="873" customFormat="false" ht="14.25" hidden="false" customHeight="false" outlineLevel="0" collapsed="false">
      <c r="A873" s="0" t="n">
        <v>501</v>
      </c>
      <c r="B873" s="0" t="s">
        <v>90</v>
      </c>
      <c r="C873" s="0" t="s">
        <v>85</v>
      </c>
      <c r="D873" s="0" t="n">
        <v>88</v>
      </c>
      <c r="E873" s="0" t="s">
        <v>44</v>
      </c>
      <c r="F873" s="0" t="n">
        <v>2</v>
      </c>
      <c r="G873" s="0" t="str">
        <f aca="false">CONCATENATE(B873, "-",C873, "-", D873, "-", F873)</f>
        <v>M0113-A-88-2</v>
      </c>
      <c r="H873" s="0" t="n">
        <v>149.99</v>
      </c>
      <c r="I873" s="0" t="n">
        <v>150.54</v>
      </c>
    </row>
    <row r="874" customFormat="false" ht="14.25" hidden="false" customHeight="false" outlineLevel="0" collapsed="false">
      <c r="A874" s="0" t="n">
        <v>501</v>
      </c>
      <c r="B874" s="0" t="s">
        <v>90</v>
      </c>
      <c r="C874" s="0" t="s">
        <v>85</v>
      </c>
      <c r="D874" s="0" t="n">
        <v>89</v>
      </c>
      <c r="E874" s="0" t="s">
        <v>44</v>
      </c>
      <c r="F874" s="0" t="n">
        <v>1</v>
      </c>
      <c r="G874" s="0" t="str">
        <f aca="false">CONCATENATE(B874, "-",C874, "-", D874, "-", F874)</f>
        <v>M0113-A-89-1</v>
      </c>
      <c r="H874" s="0" t="n">
        <v>151.49</v>
      </c>
      <c r="I874" s="0" t="n">
        <v>152.34</v>
      </c>
    </row>
    <row r="875" customFormat="false" ht="14.25" hidden="false" customHeight="false" outlineLevel="0" collapsed="false">
      <c r="A875" s="0" t="n">
        <v>501</v>
      </c>
      <c r="B875" s="0" t="s">
        <v>90</v>
      </c>
      <c r="C875" s="0" t="s">
        <v>85</v>
      </c>
      <c r="D875" s="0" t="n">
        <v>79</v>
      </c>
      <c r="E875" s="0" t="s">
        <v>40</v>
      </c>
      <c r="F875" s="0" t="n">
        <v>1</v>
      </c>
      <c r="G875" s="0" t="str">
        <f aca="false">CONCATENATE(B875, "-",C875, "-", D875, "-", F875)</f>
        <v>M0113-A-79-1</v>
      </c>
      <c r="H875" s="0" t="n">
        <v>131.59</v>
      </c>
      <c r="I875" s="0" t="n">
        <v>131.75</v>
      </c>
    </row>
    <row r="876" customFormat="false" ht="14.25" hidden="false" customHeight="false" outlineLevel="0" collapsed="false">
      <c r="A876" s="0" t="n">
        <v>501</v>
      </c>
      <c r="B876" s="0" t="s">
        <v>90</v>
      </c>
      <c r="C876" s="0" t="s">
        <v>85</v>
      </c>
      <c r="D876" s="0" t="n">
        <v>90</v>
      </c>
      <c r="E876" s="0" t="s">
        <v>44</v>
      </c>
      <c r="F876" s="0" t="n">
        <v>1</v>
      </c>
      <c r="G876" s="0" t="str">
        <f aca="false">CONCATENATE(B876, "-",C876, "-", D876, "-", F876)</f>
        <v>M0113-A-90-1</v>
      </c>
      <c r="H876" s="0" t="n">
        <v>152.59</v>
      </c>
      <c r="I876" s="0" t="n">
        <v>153.64</v>
      </c>
    </row>
    <row r="877" customFormat="false" ht="14.25" hidden="false" customHeight="false" outlineLevel="0" collapsed="false">
      <c r="A877" s="0" t="n">
        <v>501</v>
      </c>
      <c r="B877" s="0" t="s">
        <v>90</v>
      </c>
      <c r="C877" s="0" t="s">
        <v>85</v>
      </c>
      <c r="D877" s="0" t="n">
        <v>90</v>
      </c>
      <c r="E877" s="0" t="s">
        <v>44</v>
      </c>
      <c r="F877" s="0" t="n">
        <v>2</v>
      </c>
      <c r="G877" s="0" t="str">
        <f aca="false">CONCATENATE(B877, "-",C877, "-", D877, "-", F877)</f>
        <v>M0113-A-90-2</v>
      </c>
      <c r="H877" s="0" t="n">
        <v>153.64</v>
      </c>
      <c r="I877" s="0" t="n">
        <v>154.14</v>
      </c>
    </row>
    <row r="878" customFormat="false" ht="14.25" hidden="false" customHeight="false" outlineLevel="0" collapsed="false">
      <c r="A878" s="0" t="n">
        <v>501</v>
      </c>
      <c r="B878" s="0" t="s">
        <v>90</v>
      </c>
      <c r="C878" s="0" t="s">
        <v>85</v>
      </c>
      <c r="D878" s="0" t="n">
        <v>91</v>
      </c>
      <c r="E878" s="0" t="s">
        <v>44</v>
      </c>
      <c r="F878" s="0" t="n">
        <v>1</v>
      </c>
      <c r="G878" s="0" t="str">
        <f aca="false">CONCATENATE(B878, "-",C878, "-", D878, "-", F878)</f>
        <v>M0113-A-91-1</v>
      </c>
      <c r="H878" s="0" t="n">
        <v>155.49</v>
      </c>
      <c r="I878" s="0" t="n">
        <v>155.89</v>
      </c>
    </row>
    <row r="879" customFormat="false" ht="14.25" hidden="false" customHeight="false" outlineLevel="0" collapsed="false">
      <c r="A879" s="0" t="n">
        <v>501</v>
      </c>
      <c r="B879" s="0" t="s">
        <v>90</v>
      </c>
      <c r="C879" s="0" t="s">
        <v>85</v>
      </c>
      <c r="D879" s="0" t="n">
        <v>92</v>
      </c>
      <c r="E879" s="0" t="s">
        <v>44</v>
      </c>
      <c r="F879" s="0" t="n">
        <v>1</v>
      </c>
      <c r="G879" s="0" t="str">
        <f aca="false">CONCATENATE(B879, "-",C879, "-", D879, "-", F879)</f>
        <v>M0113-A-92-1</v>
      </c>
      <c r="H879" s="0" t="n">
        <v>158.49</v>
      </c>
      <c r="I879" s="0" t="n">
        <v>159.07</v>
      </c>
    </row>
    <row r="880" customFormat="false" ht="14.25" hidden="false" customHeight="false" outlineLevel="0" collapsed="false">
      <c r="A880" s="0" t="n">
        <v>501</v>
      </c>
      <c r="B880" s="0" t="s">
        <v>90</v>
      </c>
      <c r="C880" s="0" t="s">
        <v>85</v>
      </c>
      <c r="D880" s="0" t="n">
        <v>93</v>
      </c>
      <c r="E880" s="0" t="s">
        <v>44</v>
      </c>
      <c r="F880" s="0" t="n">
        <v>1</v>
      </c>
      <c r="G880" s="0" t="str">
        <f aca="false">CONCATENATE(B880, "-",C880, "-", D880, "-", F880)</f>
        <v>M0113-A-93-1</v>
      </c>
      <c r="H880" s="0" t="n">
        <v>161.49</v>
      </c>
      <c r="I880" s="0" t="n">
        <v>162.01</v>
      </c>
    </row>
    <row r="881" customFormat="false" ht="14.25" hidden="false" customHeight="false" outlineLevel="0" collapsed="false">
      <c r="A881" s="0" t="n">
        <v>501</v>
      </c>
      <c r="B881" s="0" t="s">
        <v>90</v>
      </c>
      <c r="C881" s="0" t="s">
        <v>85</v>
      </c>
      <c r="D881" s="0" t="n">
        <v>94</v>
      </c>
      <c r="E881" s="0" t="s">
        <v>44</v>
      </c>
      <c r="F881" s="0" t="n">
        <v>1</v>
      </c>
      <c r="G881" s="0" t="str">
        <f aca="false">CONCATENATE(B881, "-",C881, "-", D881, "-", F881)</f>
        <v>M0113-A-94-1</v>
      </c>
      <c r="H881" s="0" t="n">
        <v>162.99</v>
      </c>
      <c r="I881" s="0" t="n">
        <v>163.31</v>
      </c>
    </row>
    <row r="882" customFormat="false" ht="14.25" hidden="false" customHeight="false" outlineLevel="0" collapsed="false">
      <c r="A882" s="0" t="n">
        <v>501</v>
      </c>
      <c r="B882" s="0" t="s">
        <v>90</v>
      </c>
      <c r="C882" s="0" t="s">
        <v>85</v>
      </c>
      <c r="D882" s="0" t="n">
        <v>95</v>
      </c>
      <c r="E882" s="0" t="s">
        <v>44</v>
      </c>
      <c r="F882" s="0" t="n">
        <v>1</v>
      </c>
      <c r="G882" s="0" t="str">
        <f aca="false">CONCATENATE(B882, "-",C882, "-", D882, "-", F882)</f>
        <v>M0113-A-95-1</v>
      </c>
      <c r="H882" s="0" t="n">
        <v>164.49</v>
      </c>
      <c r="I882" s="0" t="n">
        <v>164.88</v>
      </c>
    </row>
    <row r="883" customFormat="false" ht="14.25" hidden="false" customHeight="false" outlineLevel="0" collapsed="false">
      <c r="A883" s="0" t="n">
        <v>501</v>
      </c>
      <c r="B883" s="0" t="s">
        <v>90</v>
      </c>
      <c r="C883" s="0" t="s">
        <v>85</v>
      </c>
      <c r="D883" s="0" t="n">
        <v>95</v>
      </c>
      <c r="E883" s="0" t="s">
        <v>44</v>
      </c>
      <c r="F883" s="0" t="n">
        <v>2</v>
      </c>
      <c r="G883" s="0" t="str">
        <f aca="false">CONCATENATE(B883, "-",C883, "-", D883, "-", F883)</f>
        <v>M0113-A-95-2</v>
      </c>
      <c r="H883" s="0" t="n">
        <v>164.88</v>
      </c>
      <c r="I883" s="0" t="n">
        <v>165.23</v>
      </c>
    </row>
    <row r="884" customFormat="false" ht="14.25" hidden="false" customHeight="false" outlineLevel="0" collapsed="false">
      <c r="A884" s="0" t="n">
        <v>501</v>
      </c>
      <c r="B884" s="0" t="s">
        <v>90</v>
      </c>
      <c r="C884" s="0" t="s">
        <v>85</v>
      </c>
      <c r="D884" s="0" t="n">
        <v>96</v>
      </c>
      <c r="E884" s="0" t="s">
        <v>44</v>
      </c>
      <c r="F884" s="0" t="n">
        <v>1</v>
      </c>
      <c r="G884" s="0" t="str">
        <f aca="false">CONCATENATE(B884, "-",C884, "-", D884, "-", F884)</f>
        <v>M0113-A-96-1</v>
      </c>
      <c r="H884" s="0" t="n">
        <v>165.99</v>
      </c>
      <c r="I884" s="0" t="n">
        <v>166.36</v>
      </c>
    </row>
    <row r="885" customFormat="false" ht="14.25" hidden="false" customHeight="false" outlineLevel="0" collapsed="false">
      <c r="A885" s="0" t="n">
        <v>501</v>
      </c>
      <c r="B885" s="0" t="s">
        <v>90</v>
      </c>
      <c r="C885" s="0" t="s">
        <v>85</v>
      </c>
      <c r="D885" s="0" t="n">
        <v>96</v>
      </c>
      <c r="E885" s="0" t="s">
        <v>44</v>
      </c>
      <c r="F885" s="0" t="n">
        <v>2</v>
      </c>
      <c r="G885" s="0" t="str">
        <f aca="false">CONCATENATE(B885, "-",C885, "-", D885, "-", F885)</f>
        <v>M0113-A-96-2</v>
      </c>
      <c r="H885" s="0" t="n">
        <v>166.36</v>
      </c>
      <c r="I885" s="0" t="n">
        <v>166.48</v>
      </c>
    </row>
    <row r="886" customFormat="false" ht="14.25" hidden="false" customHeight="false" outlineLevel="0" collapsed="false">
      <c r="A886" s="0" t="n">
        <v>501</v>
      </c>
      <c r="B886" s="0" t="s">
        <v>90</v>
      </c>
      <c r="C886" s="0" t="s">
        <v>85</v>
      </c>
      <c r="D886" s="0" t="n">
        <v>97</v>
      </c>
      <c r="E886" s="0" t="s">
        <v>44</v>
      </c>
      <c r="F886" s="0" t="n">
        <v>1</v>
      </c>
      <c r="G886" s="0" t="str">
        <f aca="false">CONCATENATE(B886, "-",C886, "-", D886, "-", F886)</f>
        <v>M0113-A-97-1</v>
      </c>
      <c r="H886" s="0" t="n">
        <v>167.49</v>
      </c>
      <c r="I886" s="0" t="n">
        <v>168.94</v>
      </c>
    </row>
    <row r="887" customFormat="false" ht="14.25" hidden="false" customHeight="false" outlineLevel="0" collapsed="false">
      <c r="A887" s="0" t="n">
        <v>501</v>
      </c>
      <c r="B887" s="0" t="s">
        <v>90</v>
      </c>
      <c r="C887" s="0" t="s">
        <v>85</v>
      </c>
      <c r="D887" s="0" t="n">
        <v>98</v>
      </c>
      <c r="E887" s="0" t="s">
        <v>44</v>
      </c>
      <c r="F887" s="0" t="n">
        <v>1</v>
      </c>
      <c r="G887" s="0" t="str">
        <f aca="false">CONCATENATE(B887, "-",C887, "-", D887, "-", F887)</f>
        <v>M0113-A-98-1</v>
      </c>
      <c r="H887" s="0" t="n">
        <v>168.99</v>
      </c>
      <c r="I887" s="0" t="n">
        <v>169.45</v>
      </c>
    </row>
    <row r="888" customFormat="false" ht="14.25" hidden="false" customHeight="false" outlineLevel="0" collapsed="false">
      <c r="A888" s="0" t="n">
        <v>501</v>
      </c>
      <c r="B888" s="0" t="s">
        <v>90</v>
      </c>
      <c r="C888" s="0" t="s">
        <v>85</v>
      </c>
      <c r="D888" s="0" t="n">
        <v>99</v>
      </c>
      <c r="E888" s="0" t="s">
        <v>44</v>
      </c>
      <c r="F888" s="0" t="n">
        <v>1</v>
      </c>
      <c r="G888" s="0" t="str">
        <f aca="false">CONCATENATE(B888, "-",C888, "-", D888, "-", F888)</f>
        <v>M0113-A-99-1</v>
      </c>
      <c r="H888" s="0" t="n">
        <v>170.49</v>
      </c>
      <c r="I888" s="0" t="n">
        <v>171.49</v>
      </c>
    </row>
    <row r="889" customFormat="false" ht="14.25" hidden="false" customHeight="false" outlineLevel="0" collapsed="false">
      <c r="A889" s="0" t="n">
        <v>501</v>
      </c>
      <c r="B889" s="0" t="s">
        <v>90</v>
      </c>
      <c r="C889" s="0" t="s">
        <v>85</v>
      </c>
      <c r="D889" s="0" t="n">
        <v>99</v>
      </c>
      <c r="E889" s="0" t="s">
        <v>44</v>
      </c>
      <c r="F889" s="0" t="n">
        <v>2</v>
      </c>
      <c r="G889" s="0" t="str">
        <f aca="false">CONCATENATE(B889, "-",C889, "-", D889, "-", F889)</f>
        <v>M0113-A-99-2</v>
      </c>
      <c r="H889" s="0" t="n">
        <v>171.49</v>
      </c>
      <c r="I889" s="0" t="n">
        <v>171.91</v>
      </c>
    </row>
    <row r="890" customFormat="false" ht="14.25" hidden="false" customHeight="false" outlineLevel="0" collapsed="false">
      <c r="A890" s="0" t="n">
        <v>501</v>
      </c>
      <c r="B890" s="0" t="s">
        <v>90</v>
      </c>
      <c r="C890" s="0" t="s">
        <v>85</v>
      </c>
      <c r="D890" s="0" t="n">
        <v>100</v>
      </c>
      <c r="E890" s="0" t="s">
        <v>44</v>
      </c>
      <c r="F890" s="0" t="n">
        <v>1</v>
      </c>
      <c r="G890" s="0" t="str">
        <f aca="false">CONCATENATE(B890, "-",C890, "-", D890, "-", F890)</f>
        <v>M0113-A-100-1</v>
      </c>
      <c r="H890" s="0" t="n">
        <v>171.99</v>
      </c>
      <c r="I890" s="0" t="n">
        <v>172.46</v>
      </c>
    </row>
    <row r="891" customFormat="false" ht="14.25" hidden="false" customHeight="false" outlineLevel="0" collapsed="false">
      <c r="A891" s="0" t="n">
        <v>501</v>
      </c>
      <c r="B891" s="0" t="s">
        <v>90</v>
      </c>
      <c r="C891" s="0" t="s">
        <v>85</v>
      </c>
      <c r="D891" s="0" t="n">
        <v>101</v>
      </c>
      <c r="E891" s="0" t="s">
        <v>44</v>
      </c>
      <c r="F891" s="0" t="n">
        <v>1</v>
      </c>
      <c r="G891" s="0" t="str">
        <f aca="false">CONCATENATE(B891, "-",C891, "-", D891, "-", F891)</f>
        <v>M0113-A-101-1</v>
      </c>
      <c r="H891" s="0" t="n">
        <v>173.49</v>
      </c>
      <c r="I891" s="0" t="n">
        <v>173.96</v>
      </c>
    </row>
    <row r="892" customFormat="false" ht="14.25" hidden="false" customHeight="false" outlineLevel="0" collapsed="false">
      <c r="A892" s="0" t="n">
        <v>501</v>
      </c>
      <c r="B892" s="0" t="s">
        <v>90</v>
      </c>
      <c r="C892" s="0" t="s">
        <v>85</v>
      </c>
      <c r="D892" s="0" t="n">
        <v>102</v>
      </c>
      <c r="E892" s="0" t="s">
        <v>44</v>
      </c>
      <c r="F892" s="0" t="n">
        <v>1</v>
      </c>
      <c r="G892" s="0" t="str">
        <f aca="false">CONCATENATE(B892, "-",C892, "-", D892, "-", F892)</f>
        <v>M0113-A-102-1</v>
      </c>
      <c r="H892" s="0" t="n">
        <v>174.99</v>
      </c>
      <c r="I892" s="0" t="n">
        <v>175.89</v>
      </c>
    </row>
    <row r="893" customFormat="false" ht="14.25" hidden="false" customHeight="false" outlineLevel="0" collapsed="false">
      <c r="A893" s="0" t="n">
        <v>501</v>
      </c>
      <c r="B893" s="0" t="s">
        <v>90</v>
      </c>
      <c r="C893" s="0" t="s">
        <v>85</v>
      </c>
      <c r="D893" s="0" t="n">
        <v>102</v>
      </c>
      <c r="E893" s="0" t="s">
        <v>44</v>
      </c>
      <c r="F893" s="0" t="n">
        <v>2</v>
      </c>
      <c r="G893" s="0" t="str">
        <f aca="false">CONCATENATE(B893, "-",C893, "-", D893, "-", F893)</f>
        <v>M0113-A-102-2</v>
      </c>
      <c r="H893" s="0" t="n">
        <v>175.89</v>
      </c>
      <c r="I893" s="0" t="n">
        <v>176.34</v>
      </c>
    </row>
    <row r="894" customFormat="false" ht="14.25" hidden="false" customHeight="false" outlineLevel="0" collapsed="false">
      <c r="A894" s="0" t="n">
        <v>501</v>
      </c>
      <c r="B894" s="0" t="s">
        <v>90</v>
      </c>
      <c r="C894" s="0" t="s">
        <v>85</v>
      </c>
      <c r="D894" s="0" t="n">
        <v>103</v>
      </c>
      <c r="E894" s="0" t="s">
        <v>44</v>
      </c>
      <c r="F894" s="0" t="n">
        <v>1</v>
      </c>
      <c r="G894" s="0" t="str">
        <f aca="false">CONCATENATE(B894, "-",C894, "-", D894, "-", F894)</f>
        <v>M0113-A-103-1</v>
      </c>
      <c r="H894" s="0" t="n">
        <v>176.49</v>
      </c>
      <c r="I894" s="0" t="n">
        <v>176.89</v>
      </c>
    </row>
    <row r="895" customFormat="false" ht="14.25" hidden="false" customHeight="false" outlineLevel="0" collapsed="false">
      <c r="A895" s="0" t="n">
        <v>501</v>
      </c>
      <c r="B895" s="0" t="s">
        <v>90</v>
      </c>
      <c r="C895" s="0" t="s">
        <v>85</v>
      </c>
      <c r="D895" s="0" t="n">
        <v>104</v>
      </c>
      <c r="E895" s="0" t="s">
        <v>44</v>
      </c>
      <c r="F895" s="0" t="n">
        <v>1</v>
      </c>
      <c r="G895" s="0" t="str">
        <f aca="false">CONCATENATE(B895, "-",C895, "-", D895, "-", F895)</f>
        <v>M0113-A-104-1</v>
      </c>
      <c r="H895" s="0" t="n">
        <v>177.99</v>
      </c>
      <c r="I895" s="0" t="n">
        <v>179.45</v>
      </c>
    </row>
    <row r="896" customFormat="false" ht="14.25" hidden="false" customHeight="false" outlineLevel="0" collapsed="false">
      <c r="A896" s="0" t="n">
        <v>501</v>
      </c>
      <c r="B896" s="0" t="s">
        <v>90</v>
      </c>
      <c r="C896" s="0" t="s">
        <v>85</v>
      </c>
      <c r="D896" s="0" t="n">
        <v>105</v>
      </c>
      <c r="E896" s="0" t="s">
        <v>44</v>
      </c>
      <c r="F896" s="0" t="n">
        <v>1</v>
      </c>
      <c r="G896" s="0" t="str">
        <f aca="false">CONCATENATE(B896, "-",C896, "-", D896, "-", F896)</f>
        <v>M0113-A-105-1</v>
      </c>
      <c r="H896" s="0" t="n">
        <v>179.49</v>
      </c>
      <c r="I896" s="0" t="n">
        <v>180.49</v>
      </c>
    </row>
    <row r="897" customFormat="false" ht="14.25" hidden="false" customHeight="false" outlineLevel="0" collapsed="false">
      <c r="A897" s="0" t="n">
        <v>501</v>
      </c>
      <c r="B897" s="0" t="s">
        <v>90</v>
      </c>
      <c r="C897" s="0" t="s">
        <v>85</v>
      </c>
      <c r="D897" s="0" t="n">
        <v>105</v>
      </c>
      <c r="E897" s="0" t="s">
        <v>44</v>
      </c>
      <c r="F897" s="0" t="n">
        <v>2</v>
      </c>
      <c r="G897" s="0" t="str">
        <f aca="false">CONCATENATE(B897, "-",C897, "-", D897, "-", F897)</f>
        <v>M0113-A-105-2</v>
      </c>
      <c r="H897" s="0" t="n">
        <v>180.49</v>
      </c>
      <c r="I897" s="0" t="n">
        <v>181.19</v>
      </c>
    </row>
    <row r="898" customFormat="false" ht="14.25" hidden="false" customHeight="false" outlineLevel="0" collapsed="false">
      <c r="A898" s="0" t="n">
        <v>501</v>
      </c>
      <c r="B898" s="0" t="s">
        <v>90</v>
      </c>
      <c r="C898" s="0" t="s">
        <v>85</v>
      </c>
      <c r="D898" s="0" t="n">
        <v>105</v>
      </c>
      <c r="E898" s="0" t="s">
        <v>44</v>
      </c>
      <c r="F898" s="0" t="n">
        <v>3</v>
      </c>
      <c r="G898" s="0" t="str">
        <f aca="false">CONCATENATE(B898, "-",C898, "-", D898, "-", F898)</f>
        <v>M0113-A-105-3</v>
      </c>
      <c r="H898" s="0" t="n">
        <v>181.19</v>
      </c>
      <c r="I898" s="0" t="n">
        <v>181.28</v>
      </c>
    </row>
    <row r="899" customFormat="false" ht="14.25" hidden="false" customHeight="false" outlineLevel="0" collapsed="false">
      <c r="A899" s="0" t="n">
        <v>501</v>
      </c>
      <c r="B899" s="0" t="s">
        <v>90</v>
      </c>
      <c r="C899" s="0" t="s">
        <v>85</v>
      </c>
      <c r="D899" s="0" t="n">
        <v>106</v>
      </c>
      <c r="E899" s="0" t="s">
        <v>44</v>
      </c>
      <c r="F899" s="0" t="n">
        <v>1</v>
      </c>
      <c r="G899" s="0" t="str">
        <f aca="false">CONCATENATE(B899, "-",C899, "-", D899, "-", F899)</f>
        <v>M0113-A-106-1</v>
      </c>
      <c r="H899" s="0" t="n">
        <v>182.49</v>
      </c>
      <c r="I899" s="0" t="n">
        <v>182.72</v>
      </c>
    </row>
    <row r="900" customFormat="false" ht="14.25" hidden="false" customHeight="false" outlineLevel="0" collapsed="false">
      <c r="A900" s="0" t="n">
        <v>501</v>
      </c>
      <c r="B900" s="0" t="s">
        <v>90</v>
      </c>
      <c r="C900" s="0" t="s">
        <v>85</v>
      </c>
      <c r="D900" s="0" t="n">
        <v>107</v>
      </c>
      <c r="E900" s="0" t="s">
        <v>44</v>
      </c>
      <c r="F900" s="0" t="n">
        <v>1</v>
      </c>
      <c r="G900" s="0" t="str">
        <f aca="false">CONCATENATE(B900, "-",C900, "-", D900, "-", F900)</f>
        <v>M0113-A-107-1</v>
      </c>
      <c r="H900" s="0" t="n">
        <v>185.49</v>
      </c>
      <c r="I900" s="0" t="n">
        <v>186.49</v>
      </c>
    </row>
    <row r="901" customFormat="false" ht="14.25" hidden="false" customHeight="false" outlineLevel="0" collapsed="false">
      <c r="A901" s="0" t="n">
        <v>501</v>
      </c>
      <c r="B901" s="0" t="s">
        <v>90</v>
      </c>
      <c r="C901" s="0" t="s">
        <v>85</v>
      </c>
      <c r="D901" s="0" t="n">
        <v>107</v>
      </c>
      <c r="E901" s="0" t="s">
        <v>44</v>
      </c>
      <c r="F901" s="0" t="n">
        <v>2</v>
      </c>
      <c r="G901" s="0" t="str">
        <f aca="false">CONCATENATE(B901, "-",C901, "-", D901, "-", F901)</f>
        <v>M0113-A-107-2</v>
      </c>
      <c r="H901" s="0" t="n">
        <v>186.49</v>
      </c>
      <c r="I901" s="0" t="n">
        <v>187.07</v>
      </c>
    </row>
    <row r="902" customFormat="false" ht="14.25" hidden="false" customHeight="false" outlineLevel="0" collapsed="false">
      <c r="A902" s="0" t="n">
        <v>501</v>
      </c>
      <c r="B902" s="0" t="s">
        <v>90</v>
      </c>
      <c r="C902" s="0" t="s">
        <v>85</v>
      </c>
      <c r="D902" s="0" t="n">
        <v>108</v>
      </c>
      <c r="E902" s="0" t="s">
        <v>44</v>
      </c>
      <c r="F902" s="0" t="n">
        <v>1</v>
      </c>
      <c r="G902" s="0" t="str">
        <f aca="false">CONCATENATE(B902, "-",C902, "-", D902, "-", F902)</f>
        <v>M0113-A-108-1</v>
      </c>
      <c r="H902" s="0" t="n">
        <v>186.99</v>
      </c>
      <c r="I902" s="0" t="n">
        <v>188.03</v>
      </c>
    </row>
    <row r="903" customFormat="false" ht="14.25" hidden="false" customHeight="false" outlineLevel="0" collapsed="false">
      <c r="A903" s="0" t="n">
        <v>501</v>
      </c>
      <c r="B903" s="0" t="s">
        <v>90</v>
      </c>
      <c r="C903" s="0" t="s">
        <v>85</v>
      </c>
      <c r="D903" s="0" t="n">
        <v>109</v>
      </c>
      <c r="E903" s="0" t="s">
        <v>44</v>
      </c>
      <c r="F903" s="0" t="n">
        <v>1</v>
      </c>
      <c r="G903" s="0" t="str">
        <f aca="false">CONCATENATE(B903, "-",C903, "-", D903, "-", F903)</f>
        <v>M0113-A-109-1</v>
      </c>
      <c r="H903" s="0" t="n">
        <v>188.49</v>
      </c>
      <c r="I903" s="0" t="n">
        <v>188.75</v>
      </c>
    </row>
    <row r="904" customFormat="false" ht="14.25" hidden="false" customHeight="false" outlineLevel="0" collapsed="false">
      <c r="A904" s="0" t="n">
        <v>501</v>
      </c>
      <c r="B904" s="0" t="s">
        <v>90</v>
      </c>
      <c r="C904" s="0" t="s">
        <v>85</v>
      </c>
      <c r="D904" s="0" t="n">
        <v>110</v>
      </c>
      <c r="E904" s="0" t="s">
        <v>44</v>
      </c>
      <c r="F904" s="0" t="n">
        <v>1</v>
      </c>
      <c r="G904" s="0" t="str">
        <f aca="false">CONCATENATE(B904, "-",C904, "-", D904, "-", F904)</f>
        <v>M0113-A-110-1</v>
      </c>
      <c r="H904" s="0" t="n">
        <v>189.99</v>
      </c>
      <c r="I904" s="0" t="n">
        <v>190.98</v>
      </c>
    </row>
    <row r="905" customFormat="false" ht="14.25" hidden="false" customHeight="false" outlineLevel="0" collapsed="false">
      <c r="A905" s="0" t="n">
        <v>501</v>
      </c>
      <c r="B905" s="0" t="s">
        <v>90</v>
      </c>
      <c r="C905" s="0" t="s">
        <v>85</v>
      </c>
      <c r="D905" s="0" t="n">
        <v>110</v>
      </c>
      <c r="E905" s="0" t="s">
        <v>44</v>
      </c>
      <c r="F905" s="0" t="n">
        <v>2</v>
      </c>
      <c r="G905" s="0" t="str">
        <f aca="false">CONCATENATE(B905, "-",C905, "-", D905, "-", F905)</f>
        <v>M0113-A-110-2</v>
      </c>
      <c r="H905" s="0" t="n">
        <v>190.98</v>
      </c>
      <c r="I905" s="0" t="n">
        <v>191.48</v>
      </c>
    </row>
    <row r="906" customFormat="false" ht="14.25" hidden="false" customHeight="false" outlineLevel="0" collapsed="false">
      <c r="A906" s="0" t="n">
        <v>501</v>
      </c>
      <c r="B906" s="0" t="s">
        <v>90</v>
      </c>
      <c r="C906" s="0" t="s">
        <v>85</v>
      </c>
      <c r="D906" s="0" t="n">
        <v>111</v>
      </c>
      <c r="E906" s="0" t="s">
        <v>44</v>
      </c>
      <c r="F906" s="0" t="n">
        <v>1</v>
      </c>
      <c r="G906" s="0" t="str">
        <f aca="false">CONCATENATE(B906, "-",C906, "-", D906, "-", F906)</f>
        <v>M0113-A-111-1</v>
      </c>
      <c r="H906" s="0" t="n">
        <v>191.49</v>
      </c>
      <c r="I906" s="0" t="n">
        <v>191.74</v>
      </c>
    </row>
    <row r="907" customFormat="false" ht="14.25" hidden="false" customHeight="false" outlineLevel="0" collapsed="false">
      <c r="A907" s="0" t="n">
        <v>501</v>
      </c>
      <c r="B907" s="0" t="s">
        <v>90</v>
      </c>
      <c r="C907" s="0" t="s">
        <v>85</v>
      </c>
      <c r="D907" s="0" t="n">
        <v>112</v>
      </c>
      <c r="E907" s="0" t="s">
        <v>44</v>
      </c>
      <c r="F907" s="0" t="n">
        <v>1</v>
      </c>
      <c r="G907" s="0" t="str">
        <f aca="false">CONCATENATE(B907, "-",C907, "-", D907, "-", F907)</f>
        <v>M0113-A-112-1</v>
      </c>
      <c r="H907" s="0" t="n">
        <v>192.99</v>
      </c>
      <c r="I907" s="0" t="n">
        <v>193.26</v>
      </c>
    </row>
    <row r="908" customFormat="false" ht="14.25" hidden="false" customHeight="false" outlineLevel="0" collapsed="false">
      <c r="A908" s="0" t="n">
        <v>501</v>
      </c>
      <c r="B908" s="0" t="s">
        <v>90</v>
      </c>
      <c r="C908" s="0" t="s">
        <v>85</v>
      </c>
      <c r="D908" s="0" t="n">
        <v>114</v>
      </c>
      <c r="E908" s="0" t="s">
        <v>44</v>
      </c>
      <c r="F908" s="0" t="n">
        <v>1</v>
      </c>
      <c r="G908" s="0" t="str">
        <f aca="false">CONCATENATE(B908, "-",C908, "-", D908, "-", F908)</f>
        <v>M0113-A-114-1</v>
      </c>
      <c r="H908" s="0" t="n">
        <v>195.99</v>
      </c>
      <c r="I908" s="0" t="n">
        <v>196.42</v>
      </c>
    </row>
    <row r="909" customFormat="false" ht="14.25" hidden="false" customHeight="false" outlineLevel="0" collapsed="false">
      <c r="A909" s="0" t="n">
        <v>501</v>
      </c>
      <c r="B909" s="0" t="s">
        <v>90</v>
      </c>
      <c r="C909" s="0" t="s">
        <v>85</v>
      </c>
      <c r="D909" s="0" t="n">
        <v>115</v>
      </c>
      <c r="E909" s="0" t="s">
        <v>44</v>
      </c>
      <c r="F909" s="0" t="n">
        <v>1</v>
      </c>
      <c r="G909" s="0" t="str">
        <f aca="false">CONCATENATE(B909, "-",C909, "-", D909, "-", F909)</f>
        <v>M0113-A-115-1</v>
      </c>
      <c r="H909" s="0" t="n">
        <v>197.49</v>
      </c>
      <c r="I909" s="0" t="n">
        <v>197.9</v>
      </c>
    </row>
    <row r="910" customFormat="false" ht="14.25" hidden="false" customHeight="false" outlineLevel="0" collapsed="false">
      <c r="A910" s="0" t="n">
        <v>501</v>
      </c>
      <c r="B910" s="0" t="s">
        <v>90</v>
      </c>
      <c r="C910" s="0" t="s">
        <v>85</v>
      </c>
      <c r="D910" s="0" t="n">
        <v>116</v>
      </c>
      <c r="E910" s="0" t="s">
        <v>44</v>
      </c>
      <c r="F910" s="0" t="n">
        <v>1</v>
      </c>
      <c r="G910" s="0" t="str">
        <f aca="false">CONCATENATE(B910, "-",C910, "-", D910, "-", F910)</f>
        <v>M0113-A-116-1</v>
      </c>
      <c r="H910" s="0" t="n">
        <v>198.99</v>
      </c>
      <c r="I910" s="0" t="n">
        <v>200</v>
      </c>
    </row>
    <row r="911" customFormat="false" ht="14.25" hidden="false" customHeight="false" outlineLevel="0" collapsed="false">
      <c r="A911" s="0" t="n">
        <v>501</v>
      </c>
      <c r="B911" s="0" t="s">
        <v>90</v>
      </c>
      <c r="C911" s="0" t="s">
        <v>85</v>
      </c>
      <c r="D911" s="0" t="n">
        <v>117</v>
      </c>
      <c r="E911" s="0" t="s">
        <v>44</v>
      </c>
      <c r="F911" s="0" t="n">
        <v>1</v>
      </c>
      <c r="G911" s="0" t="str">
        <f aca="false">CONCATENATE(B911, "-",C911, "-", D911, "-", F911)</f>
        <v>M0113-A-117-1</v>
      </c>
      <c r="H911" s="0" t="n">
        <v>200.49</v>
      </c>
      <c r="I911" s="0" t="n">
        <v>200.94</v>
      </c>
    </row>
    <row r="912" customFormat="false" ht="14.25" hidden="false" customHeight="false" outlineLevel="0" collapsed="false">
      <c r="A912" s="0" t="n">
        <v>501</v>
      </c>
      <c r="B912" s="0" t="s">
        <v>90</v>
      </c>
      <c r="C912" s="0" t="s">
        <v>85</v>
      </c>
      <c r="D912" s="0" t="n">
        <v>117</v>
      </c>
      <c r="E912" s="0" t="s">
        <v>44</v>
      </c>
      <c r="F912" s="0" t="n">
        <v>2</v>
      </c>
      <c r="G912" s="0" t="str">
        <f aca="false">CONCATENATE(B912, "-",C912, "-", D912, "-", F912)</f>
        <v>M0113-A-117-2</v>
      </c>
      <c r="H912" s="0" t="n">
        <v>200.94</v>
      </c>
      <c r="I912" s="0" t="n">
        <v>201.33</v>
      </c>
    </row>
    <row r="913" customFormat="false" ht="14.25" hidden="false" customHeight="false" outlineLevel="0" collapsed="false">
      <c r="A913" s="0" t="n">
        <v>501</v>
      </c>
      <c r="B913" s="0" t="s">
        <v>90</v>
      </c>
      <c r="C913" s="0" t="s">
        <v>85</v>
      </c>
      <c r="D913" s="0" t="n">
        <v>118</v>
      </c>
      <c r="E913" s="0" t="s">
        <v>44</v>
      </c>
      <c r="F913" s="0" t="n">
        <v>1</v>
      </c>
      <c r="G913" s="0" t="str">
        <f aca="false">CONCATENATE(B913, "-",C913, "-", D913, "-", F913)</f>
        <v>M0113-A-118-1</v>
      </c>
      <c r="H913" s="0" t="n">
        <v>201.99</v>
      </c>
      <c r="I913" s="0" t="n">
        <v>202.49</v>
      </c>
    </row>
    <row r="914" customFormat="false" ht="14.25" hidden="false" customHeight="false" outlineLevel="0" collapsed="false">
      <c r="A914" s="0" t="n">
        <v>501</v>
      </c>
      <c r="B914" s="0" t="s">
        <v>90</v>
      </c>
      <c r="C914" s="0" t="s">
        <v>85</v>
      </c>
      <c r="D914" s="0" t="n">
        <v>118</v>
      </c>
      <c r="E914" s="0" t="s">
        <v>44</v>
      </c>
      <c r="F914" s="0" t="n">
        <v>2</v>
      </c>
      <c r="G914" s="0" t="str">
        <f aca="false">CONCATENATE(B914, "-",C914, "-", D914, "-", F914)</f>
        <v>M0113-A-118-2</v>
      </c>
      <c r="H914" s="0" t="n">
        <v>202.49</v>
      </c>
      <c r="I914" s="0" t="n">
        <v>202.79</v>
      </c>
    </row>
    <row r="915" customFormat="false" ht="14.25" hidden="false" customHeight="false" outlineLevel="0" collapsed="false">
      <c r="A915" s="0" t="n">
        <v>501</v>
      </c>
      <c r="B915" s="0" t="s">
        <v>90</v>
      </c>
      <c r="C915" s="0" t="s">
        <v>85</v>
      </c>
      <c r="D915" s="0" t="n">
        <v>119</v>
      </c>
      <c r="E915" s="0" t="s">
        <v>44</v>
      </c>
      <c r="F915" s="0" t="n">
        <v>1</v>
      </c>
      <c r="G915" s="0" t="str">
        <f aca="false">CONCATENATE(B915, "-",C915, "-", D915, "-", F915)</f>
        <v>M0113-A-119-1</v>
      </c>
      <c r="H915" s="0" t="n">
        <v>203.49</v>
      </c>
      <c r="I915" s="0" t="n">
        <v>204.23</v>
      </c>
    </row>
    <row r="916" customFormat="false" ht="14.25" hidden="false" customHeight="false" outlineLevel="0" collapsed="false">
      <c r="A916" s="0" t="n">
        <v>501</v>
      </c>
      <c r="B916" s="0" t="s">
        <v>90</v>
      </c>
      <c r="C916" s="0" t="s">
        <v>85</v>
      </c>
      <c r="D916" s="0" t="n">
        <v>120</v>
      </c>
      <c r="E916" s="0" t="s">
        <v>44</v>
      </c>
      <c r="F916" s="0" t="n">
        <v>1</v>
      </c>
      <c r="G916" s="0" t="str">
        <f aca="false">CONCATENATE(B916, "-",C916, "-", D916, "-", F916)</f>
        <v>M0113-A-120-1</v>
      </c>
      <c r="H916" s="0" t="n">
        <v>204.99</v>
      </c>
      <c r="I916" s="0" t="n">
        <v>205.59</v>
      </c>
    </row>
    <row r="917" customFormat="false" ht="14.25" hidden="false" customHeight="false" outlineLevel="0" collapsed="false">
      <c r="A917" s="0" t="n">
        <v>501</v>
      </c>
      <c r="B917" s="0" t="s">
        <v>90</v>
      </c>
      <c r="C917" s="0" t="s">
        <v>85</v>
      </c>
      <c r="D917" s="0" t="n">
        <v>121</v>
      </c>
      <c r="E917" s="0" t="s">
        <v>44</v>
      </c>
      <c r="F917" s="0" t="n">
        <v>1</v>
      </c>
      <c r="G917" s="0" t="str">
        <f aca="false">CONCATENATE(B917, "-",C917, "-", D917, "-", F917)</f>
        <v>M0113-A-121-1</v>
      </c>
      <c r="H917" s="0" t="n">
        <v>206.49</v>
      </c>
      <c r="I917" s="0" t="n">
        <v>207.98</v>
      </c>
    </row>
    <row r="918" customFormat="false" ht="14.25" hidden="false" customHeight="false" outlineLevel="0" collapsed="false">
      <c r="A918" s="0" t="n">
        <v>501</v>
      </c>
      <c r="B918" s="0" t="s">
        <v>90</v>
      </c>
      <c r="C918" s="0" t="s">
        <v>85</v>
      </c>
      <c r="D918" s="0" t="n">
        <v>122</v>
      </c>
      <c r="E918" s="0" t="s">
        <v>44</v>
      </c>
      <c r="F918" s="0" t="n">
        <v>1</v>
      </c>
      <c r="G918" s="0" t="str">
        <f aca="false">CONCATENATE(B918, "-",C918, "-", D918, "-", F918)</f>
        <v>M0113-A-122-1</v>
      </c>
      <c r="H918" s="0" t="n">
        <v>207.99</v>
      </c>
      <c r="I918" s="0" t="n">
        <v>208.31</v>
      </c>
    </row>
    <row r="919" customFormat="false" ht="14.25" hidden="false" customHeight="false" outlineLevel="0" collapsed="false">
      <c r="A919" s="0" t="n">
        <v>501</v>
      </c>
      <c r="B919" s="0" t="s">
        <v>90</v>
      </c>
      <c r="C919" s="0" t="s">
        <v>85</v>
      </c>
      <c r="D919" s="0" t="n">
        <v>123</v>
      </c>
      <c r="E919" s="0" t="s">
        <v>44</v>
      </c>
      <c r="F919" s="0" t="n">
        <v>1</v>
      </c>
      <c r="G919" s="0" t="str">
        <f aca="false">CONCATENATE(B919, "-",C919, "-", D919, "-", F919)</f>
        <v>M0113-A-123-1</v>
      </c>
      <c r="H919" s="0" t="n">
        <v>209.49</v>
      </c>
      <c r="I919" s="0" t="n">
        <v>209.74</v>
      </c>
    </row>
    <row r="920" customFormat="false" ht="14.25" hidden="false" customHeight="false" outlineLevel="0" collapsed="false">
      <c r="A920" s="0" t="n">
        <v>501</v>
      </c>
      <c r="B920" s="0" t="s">
        <v>90</v>
      </c>
      <c r="C920" s="0" t="s">
        <v>85</v>
      </c>
      <c r="D920" s="0" t="n">
        <v>124</v>
      </c>
      <c r="E920" s="0" t="s">
        <v>44</v>
      </c>
      <c r="F920" s="0" t="n">
        <v>1</v>
      </c>
      <c r="G920" s="0" t="str">
        <f aca="false">CONCATENATE(B920, "-",C920, "-", D920, "-", F920)</f>
        <v>M0113-A-124-1</v>
      </c>
      <c r="H920" s="0" t="n">
        <v>210.99</v>
      </c>
      <c r="I920" s="0" t="n">
        <v>211.99</v>
      </c>
    </row>
    <row r="921" customFormat="false" ht="14.25" hidden="false" customHeight="false" outlineLevel="0" collapsed="false">
      <c r="A921" s="0" t="n">
        <v>501</v>
      </c>
      <c r="B921" s="0" t="s">
        <v>90</v>
      </c>
      <c r="C921" s="0" t="s">
        <v>85</v>
      </c>
      <c r="D921" s="0" t="n">
        <v>124</v>
      </c>
      <c r="E921" s="0" t="s">
        <v>44</v>
      </c>
      <c r="F921" s="0" t="n">
        <v>2</v>
      </c>
      <c r="G921" s="0" t="str">
        <f aca="false">CONCATENATE(B921, "-",C921, "-", D921, "-", F921)</f>
        <v>M0113-A-124-2</v>
      </c>
      <c r="H921" s="0" t="n">
        <v>211.99</v>
      </c>
      <c r="I921" s="0" t="n">
        <v>212.52</v>
      </c>
    </row>
    <row r="922" customFormat="false" ht="14.25" hidden="false" customHeight="false" outlineLevel="0" collapsed="false">
      <c r="A922" s="0" t="n">
        <v>501</v>
      </c>
      <c r="B922" s="0" t="s">
        <v>90</v>
      </c>
      <c r="C922" s="0" t="s">
        <v>85</v>
      </c>
      <c r="D922" s="0" t="n">
        <v>125</v>
      </c>
      <c r="E922" s="0" t="s">
        <v>44</v>
      </c>
      <c r="F922" s="0" t="n">
        <v>1</v>
      </c>
      <c r="G922" s="0" t="str">
        <f aca="false">CONCATENATE(B922, "-",C922, "-", D922, "-", F922)</f>
        <v>M0113-A-125-1</v>
      </c>
      <c r="H922" s="0" t="n">
        <v>212.49</v>
      </c>
      <c r="I922" s="0" t="n">
        <v>212.71</v>
      </c>
    </row>
    <row r="923" customFormat="false" ht="14.25" hidden="false" customHeight="false" outlineLevel="0" collapsed="false">
      <c r="A923" s="0" t="n">
        <v>501</v>
      </c>
      <c r="B923" s="0" t="s">
        <v>90</v>
      </c>
      <c r="C923" s="0" t="s">
        <v>85</v>
      </c>
      <c r="D923" s="0" t="n">
        <v>126</v>
      </c>
      <c r="E923" s="0" t="s">
        <v>44</v>
      </c>
      <c r="F923" s="0" t="n">
        <v>1</v>
      </c>
      <c r="G923" s="0" t="str">
        <f aca="false">CONCATENATE(B923, "-",C923, "-", D923, "-", F923)</f>
        <v>M0113-A-126-1</v>
      </c>
      <c r="H923" s="0" t="n">
        <v>215.49</v>
      </c>
      <c r="I923" s="0" t="n">
        <v>216.34</v>
      </c>
    </row>
    <row r="924" customFormat="false" ht="14.25" hidden="false" customHeight="false" outlineLevel="0" collapsed="false">
      <c r="A924" s="0" t="n">
        <v>501</v>
      </c>
      <c r="B924" s="0" t="s">
        <v>90</v>
      </c>
      <c r="C924" s="0" t="s">
        <v>85</v>
      </c>
      <c r="D924" s="0" t="n">
        <v>127</v>
      </c>
      <c r="E924" s="0" t="s">
        <v>44</v>
      </c>
      <c r="F924" s="0" t="n">
        <v>1</v>
      </c>
      <c r="G924" s="0" t="str">
        <f aca="false">CONCATENATE(B924, "-",C924, "-", D924, "-", F924)</f>
        <v>M0113-A-127-1</v>
      </c>
      <c r="H924" s="0" t="n">
        <v>216.99</v>
      </c>
      <c r="I924" s="0" t="n">
        <v>217.25</v>
      </c>
    </row>
    <row r="925" customFormat="false" ht="14.25" hidden="false" customHeight="false" outlineLevel="0" collapsed="false">
      <c r="A925" s="0" t="n">
        <v>501</v>
      </c>
      <c r="B925" s="0" t="s">
        <v>90</v>
      </c>
      <c r="C925" s="0" t="s">
        <v>85</v>
      </c>
      <c r="D925" s="0" t="n">
        <v>128</v>
      </c>
      <c r="E925" s="0" t="s">
        <v>44</v>
      </c>
      <c r="F925" s="0" t="n">
        <v>1</v>
      </c>
      <c r="G925" s="0" t="str">
        <f aca="false">CONCATENATE(B925, "-",C925, "-", D925, "-", F925)</f>
        <v>M0113-A-128-1</v>
      </c>
      <c r="H925" s="0" t="n">
        <v>217.47</v>
      </c>
      <c r="I925" s="0" t="n">
        <v>217.77</v>
      </c>
    </row>
    <row r="926" customFormat="false" ht="14.25" hidden="false" customHeight="false" outlineLevel="0" collapsed="false">
      <c r="A926" s="0" t="n">
        <v>501</v>
      </c>
      <c r="B926" s="0" t="s">
        <v>90</v>
      </c>
      <c r="C926" s="0" t="s">
        <v>85</v>
      </c>
      <c r="D926" s="0" t="n">
        <v>128</v>
      </c>
      <c r="E926" s="0" t="s">
        <v>44</v>
      </c>
      <c r="F926" s="0" t="n">
        <v>2</v>
      </c>
      <c r="G926" s="0" t="str">
        <f aca="false">CONCATENATE(B926, "-",C926, "-", D926, "-", F926)</f>
        <v>M0113-A-128-2</v>
      </c>
      <c r="H926" s="0" t="n">
        <v>217.77</v>
      </c>
      <c r="I926" s="0" t="n">
        <v>218.17</v>
      </c>
    </row>
    <row r="927" customFormat="false" ht="14.25" hidden="false" customHeight="false" outlineLevel="0" collapsed="false">
      <c r="A927" s="0" t="n">
        <v>501</v>
      </c>
      <c r="B927" s="0" t="s">
        <v>90</v>
      </c>
      <c r="C927" s="0" t="s">
        <v>85</v>
      </c>
      <c r="D927" s="0" t="n">
        <v>129</v>
      </c>
      <c r="E927" s="0" t="s">
        <v>44</v>
      </c>
      <c r="F927" s="0" t="n">
        <v>1</v>
      </c>
      <c r="G927" s="0" t="str">
        <f aca="false">CONCATENATE(B927, "-",C927, "-", D927, "-", F927)</f>
        <v>M0113-A-129-1</v>
      </c>
      <c r="H927" s="0" t="n">
        <v>218.34</v>
      </c>
      <c r="I927" s="0" t="n">
        <v>218.88</v>
      </c>
    </row>
    <row r="928" customFormat="false" ht="14.25" hidden="false" customHeight="false" outlineLevel="0" collapsed="false">
      <c r="A928" s="0" t="n">
        <v>501</v>
      </c>
      <c r="B928" s="0" t="s">
        <v>90</v>
      </c>
      <c r="C928" s="0" t="s">
        <v>85</v>
      </c>
      <c r="D928" s="0" t="n">
        <v>130</v>
      </c>
      <c r="E928" s="0" t="s">
        <v>44</v>
      </c>
      <c r="F928" s="0" t="n">
        <v>1</v>
      </c>
      <c r="G928" s="0" t="str">
        <f aca="false">CONCATENATE(B928, "-",C928, "-", D928, "-", F928)</f>
        <v>M0113-A-130-1</v>
      </c>
      <c r="H928" s="0" t="n">
        <v>218.74</v>
      </c>
      <c r="I928" s="0" t="n">
        <v>219</v>
      </c>
    </row>
    <row r="929" customFormat="false" ht="14.25" hidden="false" customHeight="false" outlineLevel="0" collapsed="false">
      <c r="A929" s="0" t="n">
        <v>501</v>
      </c>
      <c r="B929" s="0" t="s">
        <v>90</v>
      </c>
      <c r="C929" s="0" t="s">
        <v>85</v>
      </c>
      <c r="D929" s="0" t="n">
        <v>131</v>
      </c>
      <c r="E929" s="0" t="s">
        <v>44</v>
      </c>
      <c r="F929" s="0" t="n">
        <v>1</v>
      </c>
      <c r="G929" s="0" t="str">
        <f aca="false">CONCATENATE(B929, "-",C929, "-", D929, "-", F929)</f>
        <v>M0113-A-131-1</v>
      </c>
      <c r="H929" s="0" t="n">
        <v>218.94</v>
      </c>
      <c r="I929" s="0" t="n">
        <v>219.24</v>
      </c>
    </row>
    <row r="930" customFormat="false" ht="14.25" hidden="false" customHeight="false" outlineLevel="0" collapsed="false">
      <c r="A930" s="0" t="n">
        <v>501</v>
      </c>
      <c r="B930" s="0" t="s">
        <v>90</v>
      </c>
      <c r="C930" s="0" t="s">
        <v>85</v>
      </c>
      <c r="D930" s="0" t="n">
        <v>132</v>
      </c>
      <c r="E930" s="0" t="s">
        <v>44</v>
      </c>
      <c r="F930" s="0" t="n">
        <v>1</v>
      </c>
      <c r="G930" s="0" t="str">
        <f aca="false">CONCATENATE(B930, "-",C930, "-", D930, "-", F930)</f>
        <v>M0113-A-132-1</v>
      </c>
      <c r="H930" s="0" t="n">
        <v>219.44</v>
      </c>
      <c r="I930" s="0" t="n">
        <v>220.95</v>
      </c>
    </row>
    <row r="931" customFormat="false" ht="14.25" hidden="false" customHeight="false" outlineLevel="0" collapsed="false">
      <c r="A931" s="0" t="n">
        <v>501</v>
      </c>
      <c r="B931" s="0" t="s">
        <v>90</v>
      </c>
      <c r="C931" s="0" t="s">
        <v>85</v>
      </c>
      <c r="D931" s="0" t="n">
        <v>132</v>
      </c>
      <c r="E931" s="0" t="s">
        <v>44</v>
      </c>
      <c r="F931" s="0" t="n">
        <v>2</v>
      </c>
      <c r="G931" s="0" t="str">
        <f aca="false">CONCATENATE(B931, "-",C931, "-", D931, "-", F931)</f>
        <v>M0113-A-132-2</v>
      </c>
      <c r="H931" s="0" t="n">
        <v>220.95</v>
      </c>
      <c r="I931" s="0" t="n">
        <v>221.55</v>
      </c>
    </row>
    <row r="932" customFormat="false" ht="14.25" hidden="false" customHeight="false" outlineLevel="0" collapsed="false">
      <c r="A932" s="0" t="n">
        <v>501</v>
      </c>
      <c r="B932" s="0" t="s">
        <v>90</v>
      </c>
      <c r="C932" s="0" t="s">
        <v>85</v>
      </c>
      <c r="D932" s="0" t="n">
        <v>133</v>
      </c>
      <c r="E932" s="0" t="s">
        <v>44</v>
      </c>
      <c r="F932" s="0" t="n">
        <v>1</v>
      </c>
      <c r="G932" s="0" t="str">
        <f aca="false">CONCATENATE(B932, "-",C932, "-", D932, "-", F932)</f>
        <v>M0113-A-133-1</v>
      </c>
      <c r="H932" s="0" t="n">
        <v>221.49</v>
      </c>
      <c r="I932" s="0" t="n">
        <v>222.74</v>
      </c>
    </row>
    <row r="933" customFormat="false" ht="14.25" hidden="false" customHeight="false" outlineLevel="0" collapsed="false">
      <c r="A933" s="0" t="n">
        <v>501</v>
      </c>
      <c r="B933" s="0" t="s">
        <v>90</v>
      </c>
      <c r="C933" s="0" t="s">
        <v>85</v>
      </c>
      <c r="D933" s="0" t="n">
        <v>134</v>
      </c>
      <c r="E933" s="0" t="s">
        <v>44</v>
      </c>
      <c r="F933" s="0" t="n">
        <v>1</v>
      </c>
      <c r="G933" s="0" t="str">
        <f aca="false">CONCATENATE(B933, "-",C933, "-", D933, "-", F933)</f>
        <v>M0113-A-134-1</v>
      </c>
      <c r="H933" s="0" t="n">
        <v>222.94</v>
      </c>
      <c r="I933" s="0" t="n">
        <v>223.41</v>
      </c>
    </row>
    <row r="934" customFormat="false" ht="14.25" hidden="false" customHeight="false" outlineLevel="0" collapsed="false">
      <c r="A934" s="0" t="n">
        <v>501</v>
      </c>
      <c r="B934" s="0" t="s">
        <v>90</v>
      </c>
      <c r="C934" s="0" t="s">
        <v>85</v>
      </c>
      <c r="D934" s="0" t="n">
        <v>135</v>
      </c>
      <c r="E934" s="0" t="s">
        <v>44</v>
      </c>
      <c r="F934" s="0" t="n">
        <v>1</v>
      </c>
      <c r="G934" s="0" t="str">
        <f aca="false">CONCATENATE(B934, "-",C934, "-", D934, "-", F934)</f>
        <v>M0113-A-135-1</v>
      </c>
      <c r="H934" s="0" t="n">
        <v>224.49</v>
      </c>
      <c r="I934" s="0" t="n">
        <v>225.99</v>
      </c>
    </row>
    <row r="935" customFormat="false" ht="14.25" hidden="false" customHeight="false" outlineLevel="0" collapsed="false">
      <c r="A935" s="0" t="n">
        <v>501</v>
      </c>
      <c r="B935" s="0" t="s">
        <v>90</v>
      </c>
      <c r="C935" s="0" t="s">
        <v>85</v>
      </c>
      <c r="D935" s="0" t="n">
        <v>135</v>
      </c>
      <c r="E935" s="0" t="s">
        <v>44</v>
      </c>
      <c r="F935" s="0" t="n">
        <v>2</v>
      </c>
      <c r="G935" s="0" t="str">
        <f aca="false">CONCATENATE(B935, "-",C935, "-", D935, "-", F935)</f>
        <v>M0113-A-135-2</v>
      </c>
      <c r="H935" s="0" t="n">
        <v>225.99</v>
      </c>
      <c r="I935" s="0" t="n">
        <v>227.11</v>
      </c>
    </row>
    <row r="936" customFormat="false" ht="14.25" hidden="false" customHeight="false" outlineLevel="0" collapsed="false">
      <c r="A936" s="0" t="n">
        <v>501</v>
      </c>
      <c r="B936" s="0" t="s">
        <v>90</v>
      </c>
      <c r="C936" s="0" t="s">
        <v>85</v>
      </c>
      <c r="D936" s="0" t="n">
        <v>136</v>
      </c>
      <c r="E936" s="0" t="s">
        <v>44</v>
      </c>
      <c r="F936" s="0" t="n">
        <v>1</v>
      </c>
      <c r="G936" s="0" t="str">
        <f aca="false">CONCATENATE(B936, "-",C936, "-", D936, "-", F936)</f>
        <v>M0113-A-136-1</v>
      </c>
      <c r="H936" s="0" t="n">
        <v>227.49</v>
      </c>
      <c r="I936" s="0" t="n">
        <v>228.59</v>
      </c>
    </row>
    <row r="937" customFormat="false" ht="14.25" hidden="false" customHeight="false" outlineLevel="0" collapsed="false">
      <c r="A937" s="0" t="n">
        <v>501</v>
      </c>
      <c r="B937" s="0" t="s">
        <v>90</v>
      </c>
      <c r="C937" s="0" t="s">
        <v>85</v>
      </c>
      <c r="D937" s="0" t="n">
        <v>136</v>
      </c>
      <c r="E937" s="0" t="s">
        <v>44</v>
      </c>
      <c r="F937" s="0" t="n">
        <v>2</v>
      </c>
      <c r="G937" s="0" t="str">
        <f aca="false">CONCATENATE(B937, "-",C937, "-", D937, "-", F937)</f>
        <v>M0113-A-136-2</v>
      </c>
      <c r="H937" s="0" t="n">
        <v>228.59</v>
      </c>
      <c r="I937" s="0" t="n">
        <v>229.23</v>
      </c>
    </row>
    <row r="938" customFormat="false" ht="14.25" hidden="false" customHeight="false" outlineLevel="0" collapsed="false">
      <c r="A938" s="0" t="n">
        <v>501</v>
      </c>
      <c r="B938" s="0" t="s">
        <v>90</v>
      </c>
      <c r="C938" s="0" t="s">
        <v>85</v>
      </c>
      <c r="D938" s="0" t="n">
        <v>136</v>
      </c>
      <c r="E938" s="0" t="s">
        <v>44</v>
      </c>
      <c r="F938" s="0" t="n">
        <v>3</v>
      </c>
      <c r="G938" s="0" t="str">
        <f aca="false">CONCATENATE(B938, "-",C938, "-", D938, "-", F938)</f>
        <v>M0113-A-136-3</v>
      </c>
      <c r="H938" s="0" t="n">
        <v>229.23</v>
      </c>
      <c r="I938" s="0" t="n">
        <v>229.35</v>
      </c>
    </row>
    <row r="939" customFormat="false" ht="14.25" hidden="false" customHeight="false" outlineLevel="0" collapsed="false">
      <c r="A939" s="0" t="n">
        <v>501</v>
      </c>
      <c r="B939" s="0" t="s">
        <v>90</v>
      </c>
      <c r="C939" s="0" t="s">
        <v>85</v>
      </c>
      <c r="D939" s="0" t="n">
        <v>137</v>
      </c>
      <c r="E939" s="0" t="s">
        <v>44</v>
      </c>
      <c r="F939" s="0" t="n">
        <v>1</v>
      </c>
      <c r="G939" s="0" t="str">
        <f aca="false">CONCATENATE(B939, "-",C939, "-", D939, "-", F939)</f>
        <v>M0113-A-137-1</v>
      </c>
      <c r="H939" s="0" t="n">
        <v>230.49</v>
      </c>
      <c r="I939" s="0" t="n">
        <v>230.58</v>
      </c>
    </row>
    <row r="940" customFormat="false" ht="14.25" hidden="false" customHeight="false" outlineLevel="0" collapsed="false">
      <c r="A940" s="0" t="n">
        <v>501</v>
      </c>
      <c r="B940" s="0" t="s">
        <v>90</v>
      </c>
      <c r="C940" s="0" t="s">
        <v>85</v>
      </c>
      <c r="D940" s="0" t="n">
        <v>138</v>
      </c>
      <c r="E940" s="0" t="s">
        <v>40</v>
      </c>
      <c r="F940" s="0" t="n">
        <v>1</v>
      </c>
      <c r="G940" s="0" t="str">
        <f aca="false">CONCATENATE(B940, "-",C940, "-", D940, "-", F940)</f>
        <v>M0113-A-138-1</v>
      </c>
      <c r="H940" s="0" t="n">
        <v>231.59</v>
      </c>
      <c r="I940" s="0" t="n">
        <v>232.03</v>
      </c>
    </row>
    <row r="941" customFormat="false" ht="14.25" hidden="false" customHeight="false" outlineLevel="0" collapsed="false">
      <c r="A941" s="0" t="n">
        <v>501</v>
      </c>
      <c r="B941" s="0" t="s">
        <v>90</v>
      </c>
      <c r="C941" s="0" t="s">
        <v>85</v>
      </c>
      <c r="D941" s="0" t="n">
        <v>138</v>
      </c>
      <c r="E941" s="0" t="s">
        <v>40</v>
      </c>
      <c r="F941" s="0" t="n">
        <v>2</v>
      </c>
      <c r="G941" s="0" t="str">
        <f aca="false">CONCATENATE(B941, "-",C941, "-", D941, "-", F941)</f>
        <v>M0113-A-138-2</v>
      </c>
      <c r="H941" s="0" t="n">
        <v>232.03</v>
      </c>
      <c r="I941" s="0" t="n">
        <v>232.17</v>
      </c>
    </row>
    <row r="942" customFormat="false" ht="14.25" hidden="false" customHeight="false" outlineLevel="0" collapsed="false">
      <c r="A942" s="0" t="n">
        <v>501</v>
      </c>
      <c r="B942" s="0" t="s">
        <v>90</v>
      </c>
      <c r="C942" s="0" t="s">
        <v>85</v>
      </c>
      <c r="D942" s="0" t="n">
        <v>139</v>
      </c>
      <c r="E942" s="0" t="s">
        <v>40</v>
      </c>
      <c r="F942" s="0" t="n">
        <v>1</v>
      </c>
      <c r="G942" s="0" t="str">
        <f aca="false">CONCATENATE(B942, "-",C942, "-", D942, "-", F942)</f>
        <v>M0113-A-139-1</v>
      </c>
      <c r="H942" s="0" t="n">
        <v>232.17</v>
      </c>
      <c r="I942" s="0" t="n">
        <v>232.86</v>
      </c>
    </row>
    <row r="943" customFormat="false" ht="14.25" hidden="false" customHeight="false" outlineLevel="0" collapsed="false">
      <c r="A943" s="0" t="n">
        <v>501</v>
      </c>
      <c r="B943" s="0" t="s">
        <v>90</v>
      </c>
      <c r="C943" s="0" t="s">
        <v>85</v>
      </c>
      <c r="D943" s="0" t="n">
        <v>140</v>
      </c>
      <c r="E943" s="0" t="s">
        <v>44</v>
      </c>
      <c r="F943" s="0" t="n">
        <v>1</v>
      </c>
      <c r="G943" s="0" t="str">
        <f aca="false">CONCATENATE(B943, "-",C943, "-", D943, "-", F943)</f>
        <v>M0113-A-140-1</v>
      </c>
      <c r="H943" s="0" t="n">
        <v>232.86</v>
      </c>
      <c r="I943" s="0" t="n">
        <v>233.88</v>
      </c>
    </row>
    <row r="944" customFormat="false" ht="14.25" hidden="false" customHeight="false" outlineLevel="0" collapsed="false">
      <c r="A944" s="0" t="n">
        <v>501</v>
      </c>
      <c r="B944" s="0" t="s">
        <v>90</v>
      </c>
      <c r="C944" s="0" t="s">
        <v>85</v>
      </c>
      <c r="D944" s="0" t="n">
        <v>141</v>
      </c>
      <c r="E944" s="0" t="s">
        <v>44</v>
      </c>
      <c r="F944" s="0" t="n">
        <v>1</v>
      </c>
      <c r="G944" s="0" t="str">
        <f aca="false">CONCATENATE(B944, "-",C944, "-", D944, "-", F944)</f>
        <v>M0113-A-141-1</v>
      </c>
      <c r="H944" s="0" t="n">
        <v>233.49</v>
      </c>
      <c r="I944" s="0" t="n">
        <v>233.84</v>
      </c>
    </row>
    <row r="945" customFormat="false" ht="14.25" hidden="false" customHeight="false" outlineLevel="0" collapsed="false">
      <c r="A945" s="0" t="n">
        <v>501</v>
      </c>
      <c r="B945" s="0" t="s">
        <v>90</v>
      </c>
      <c r="C945" s="0" t="s">
        <v>85</v>
      </c>
      <c r="D945" s="0" t="n">
        <v>142</v>
      </c>
      <c r="E945" s="0" t="s">
        <v>44</v>
      </c>
      <c r="F945" s="0" t="n">
        <v>1</v>
      </c>
      <c r="G945" s="0" t="str">
        <f aca="false">CONCATENATE(B945, "-",C945, "-", D945, "-", F945)</f>
        <v>M0113-A-142-1</v>
      </c>
      <c r="H945" s="0" t="n">
        <v>234.99</v>
      </c>
      <c r="I945" s="0" t="n">
        <v>236.49</v>
      </c>
    </row>
    <row r="946" customFormat="false" ht="14.25" hidden="false" customHeight="false" outlineLevel="0" collapsed="false">
      <c r="A946" s="0" t="n">
        <v>501</v>
      </c>
      <c r="B946" s="0" t="s">
        <v>90</v>
      </c>
      <c r="C946" s="0" t="s">
        <v>85</v>
      </c>
      <c r="D946" s="0" t="n">
        <v>142</v>
      </c>
      <c r="E946" s="0" t="s">
        <v>44</v>
      </c>
      <c r="F946" s="0" t="n">
        <v>2</v>
      </c>
      <c r="G946" s="0" t="str">
        <f aca="false">CONCATENATE(B946, "-",C946, "-", D946, "-", F946)</f>
        <v>M0113-A-142-2</v>
      </c>
      <c r="H946" s="0" t="n">
        <v>236.49</v>
      </c>
      <c r="I946" s="0" t="n">
        <v>237.87</v>
      </c>
    </row>
    <row r="947" customFormat="false" ht="14.25" hidden="false" customHeight="false" outlineLevel="0" collapsed="false">
      <c r="A947" s="0" t="n">
        <v>501</v>
      </c>
      <c r="B947" s="0" t="s">
        <v>90</v>
      </c>
      <c r="C947" s="0" t="s">
        <v>85</v>
      </c>
      <c r="D947" s="0" t="n">
        <v>143</v>
      </c>
      <c r="E947" s="0" t="s">
        <v>44</v>
      </c>
      <c r="F947" s="0" t="n">
        <v>1</v>
      </c>
      <c r="G947" s="0" t="str">
        <f aca="false">CONCATENATE(B947, "-",C947, "-", D947, "-", F947)</f>
        <v>M0113-A-143-1</v>
      </c>
      <c r="H947" s="0" t="n">
        <v>236.49</v>
      </c>
      <c r="I947" s="0" t="n">
        <v>236.61</v>
      </c>
    </row>
    <row r="948" customFormat="false" ht="14.25" hidden="false" customHeight="false" outlineLevel="0" collapsed="false">
      <c r="A948" s="0" t="n">
        <v>501</v>
      </c>
      <c r="B948" s="0" t="s">
        <v>90</v>
      </c>
      <c r="C948" s="0" t="s">
        <v>85</v>
      </c>
      <c r="D948" s="0" t="n">
        <v>144</v>
      </c>
      <c r="E948" s="0" t="s">
        <v>44</v>
      </c>
      <c r="F948" s="0" t="n">
        <v>1</v>
      </c>
      <c r="G948" s="0" t="str">
        <f aca="false">CONCATENATE(B948, "-",C948, "-", D948, "-", F948)</f>
        <v>M0113-A-144-1</v>
      </c>
      <c r="H948" s="0" t="n">
        <v>236.49</v>
      </c>
      <c r="I948" s="0" t="n">
        <v>237.4</v>
      </c>
    </row>
    <row r="949" customFormat="false" ht="14.25" hidden="false" customHeight="false" outlineLevel="0" collapsed="false">
      <c r="A949" s="0" t="n">
        <v>501</v>
      </c>
      <c r="B949" s="0" t="s">
        <v>90</v>
      </c>
      <c r="C949" s="0" t="s">
        <v>85</v>
      </c>
      <c r="D949" s="0" t="n">
        <v>144</v>
      </c>
      <c r="E949" s="0" t="s">
        <v>44</v>
      </c>
      <c r="F949" s="0" t="n">
        <v>2</v>
      </c>
      <c r="G949" s="0" t="str">
        <f aca="false">CONCATENATE(B949, "-",C949, "-", D949, "-", F949)</f>
        <v>M0113-A-144-2</v>
      </c>
      <c r="H949" s="0" t="n">
        <v>237.4</v>
      </c>
      <c r="I949" s="0" t="n">
        <v>237.98</v>
      </c>
    </row>
    <row r="950" customFormat="false" ht="14.25" hidden="false" customHeight="false" outlineLevel="0" collapsed="false">
      <c r="A950" s="0" t="n">
        <v>501</v>
      </c>
      <c r="B950" s="0" t="s">
        <v>90</v>
      </c>
      <c r="C950" s="0" t="s">
        <v>85</v>
      </c>
      <c r="D950" s="0" t="n">
        <v>145</v>
      </c>
      <c r="E950" s="0" t="s">
        <v>44</v>
      </c>
      <c r="F950" s="0" t="n">
        <v>1</v>
      </c>
      <c r="G950" s="0" t="str">
        <f aca="false">CONCATENATE(B950, "-",C950, "-", D950, "-", F950)</f>
        <v>M0113-A-145-1</v>
      </c>
      <c r="H950" s="0" t="n">
        <v>237.99</v>
      </c>
      <c r="I950" s="0" t="n">
        <v>239.5</v>
      </c>
    </row>
    <row r="951" customFormat="false" ht="14.25" hidden="false" customHeight="false" outlineLevel="0" collapsed="false">
      <c r="A951" s="0" t="n">
        <v>501</v>
      </c>
      <c r="B951" s="0" t="s">
        <v>90</v>
      </c>
      <c r="C951" s="0" t="s">
        <v>85</v>
      </c>
      <c r="D951" s="0" t="n">
        <v>145</v>
      </c>
      <c r="E951" s="0" t="s">
        <v>44</v>
      </c>
      <c r="F951" s="0" t="n">
        <v>2</v>
      </c>
      <c r="G951" s="0" t="str">
        <f aca="false">CONCATENATE(B951, "-",C951, "-", D951, "-", F951)</f>
        <v>M0113-A-145-2</v>
      </c>
      <c r="H951" s="0" t="n">
        <v>239.5</v>
      </c>
      <c r="I951" s="0" t="n">
        <v>239.63</v>
      </c>
    </row>
    <row r="952" customFormat="false" ht="14.25" hidden="false" customHeight="false" outlineLevel="0" collapsed="false">
      <c r="A952" s="0" t="n">
        <v>501</v>
      </c>
      <c r="B952" s="0" t="s">
        <v>90</v>
      </c>
      <c r="C952" s="0" t="s">
        <v>85</v>
      </c>
      <c r="D952" s="0" t="n">
        <v>146</v>
      </c>
      <c r="E952" s="0" t="s">
        <v>44</v>
      </c>
      <c r="F952" s="0" t="n">
        <v>1</v>
      </c>
      <c r="G952" s="0" t="str">
        <f aca="false">CONCATENATE(B952, "-",C952, "-", D952, "-", F952)</f>
        <v>M0113-A-146-1</v>
      </c>
      <c r="H952" s="0" t="n">
        <v>239.49</v>
      </c>
      <c r="I952" s="0" t="n">
        <v>240.37</v>
      </c>
    </row>
    <row r="953" customFormat="false" ht="14.25" hidden="false" customHeight="false" outlineLevel="0" collapsed="false">
      <c r="A953" s="0" t="n">
        <v>501</v>
      </c>
      <c r="B953" s="0" t="s">
        <v>90</v>
      </c>
      <c r="C953" s="0" t="s">
        <v>85</v>
      </c>
      <c r="D953" s="0" t="n">
        <v>148</v>
      </c>
      <c r="E953" s="0" t="s">
        <v>44</v>
      </c>
      <c r="F953" s="0" t="n">
        <v>1</v>
      </c>
      <c r="G953" s="0" t="str">
        <f aca="false">CONCATENATE(B953, "-",C953, "-", D953, "-", F953)</f>
        <v>M0113-A-148-1</v>
      </c>
      <c r="H953" s="0" t="n">
        <v>242.49</v>
      </c>
      <c r="I953" s="0" t="n">
        <v>243.49</v>
      </c>
    </row>
    <row r="954" customFormat="false" ht="14.25" hidden="false" customHeight="false" outlineLevel="0" collapsed="false">
      <c r="A954" s="0" t="n">
        <v>501</v>
      </c>
      <c r="B954" s="0" t="s">
        <v>90</v>
      </c>
      <c r="C954" s="0" t="s">
        <v>85</v>
      </c>
      <c r="D954" s="0" t="n">
        <v>148</v>
      </c>
      <c r="E954" s="0" t="s">
        <v>44</v>
      </c>
      <c r="F954" s="0" t="n">
        <v>2</v>
      </c>
      <c r="G954" s="0" t="str">
        <f aca="false">CONCATENATE(B954, "-",C954, "-", D954, "-", F954)</f>
        <v>M0113-A-148-2</v>
      </c>
      <c r="H954" s="0" t="n">
        <v>243.49</v>
      </c>
      <c r="I954" s="0" t="n">
        <v>244.32</v>
      </c>
    </row>
    <row r="955" customFormat="false" ht="14.25" hidden="false" customHeight="false" outlineLevel="0" collapsed="false">
      <c r="A955" s="0" t="n">
        <v>501</v>
      </c>
      <c r="B955" s="0" t="s">
        <v>90</v>
      </c>
      <c r="C955" s="0" t="s">
        <v>85</v>
      </c>
      <c r="D955" s="0" t="n">
        <v>148</v>
      </c>
      <c r="E955" s="0" t="s">
        <v>44</v>
      </c>
      <c r="F955" s="0" t="n">
        <v>3</v>
      </c>
      <c r="G955" s="0" t="str">
        <f aca="false">CONCATENATE(B955, "-",C955, "-", D955, "-", F955)</f>
        <v>M0113-A-148-3</v>
      </c>
      <c r="H955" s="0" t="n">
        <v>244.32</v>
      </c>
      <c r="I955" s="0" t="n">
        <v>244.46</v>
      </c>
    </row>
    <row r="956" customFormat="false" ht="14.25" hidden="false" customHeight="false" outlineLevel="0" collapsed="false">
      <c r="A956" s="0" t="n">
        <v>501</v>
      </c>
      <c r="B956" s="0" t="s">
        <v>90</v>
      </c>
      <c r="C956" s="0" t="s">
        <v>85</v>
      </c>
      <c r="D956" s="0" t="n">
        <v>149</v>
      </c>
      <c r="E956" s="0" t="s">
        <v>44</v>
      </c>
      <c r="F956" s="0" t="n">
        <v>1</v>
      </c>
      <c r="G956" s="0" t="str">
        <f aca="false">CONCATENATE(B956, "-",C956, "-", D956, "-", F956)</f>
        <v>M0113-A-149-1</v>
      </c>
      <c r="H956" s="0" t="n">
        <v>243.99</v>
      </c>
      <c r="I956" s="0" t="n">
        <v>245.49</v>
      </c>
    </row>
    <row r="957" customFormat="false" ht="14.25" hidden="false" customHeight="false" outlineLevel="0" collapsed="false">
      <c r="A957" s="0" t="n">
        <v>501</v>
      </c>
      <c r="B957" s="0" t="s">
        <v>90</v>
      </c>
      <c r="C957" s="0" t="s">
        <v>85</v>
      </c>
      <c r="D957" s="0" t="n">
        <v>150</v>
      </c>
      <c r="E957" s="0" t="s">
        <v>44</v>
      </c>
      <c r="F957" s="0" t="n">
        <v>1</v>
      </c>
      <c r="G957" s="0" t="str">
        <f aca="false">CONCATENATE(B957, "-",C957, "-", D957, "-", F957)</f>
        <v>M0113-A-150-1</v>
      </c>
      <c r="H957" s="0" t="n">
        <v>245.49</v>
      </c>
      <c r="I957" s="0" t="n">
        <v>246.29</v>
      </c>
    </row>
    <row r="958" customFormat="false" ht="14.25" hidden="false" customHeight="false" outlineLevel="0" collapsed="false">
      <c r="A958" s="0" t="n">
        <v>501</v>
      </c>
      <c r="B958" s="0" t="s">
        <v>90</v>
      </c>
      <c r="C958" s="0" t="s">
        <v>85</v>
      </c>
      <c r="D958" s="0" t="n">
        <v>151</v>
      </c>
      <c r="E958" s="0" t="s">
        <v>44</v>
      </c>
      <c r="F958" s="0" t="n">
        <v>1</v>
      </c>
      <c r="G958" s="0" t="str">
        <f aca="false">CONCATENATE(B958, "-",C958, "-", D958, "-", F958)</f>
        <v>M0113-A-151-1</v>
      </c>
      <c r="H958" s="0" t="n">
        <v>246.99</v>
      </c>
      <c r="I958" s="0" t="n">
        <v>247.99</v>
      </c>
    </row>
    <row r="959" customFormat="false" ht="14.25" hidden="false" customHeight="false" outlineLevel="0" collapsed="false">
      <c r="A959" s="0" t="n">
        <v>501</v>
      </c>
      <c r="B959" s="0" t="s">
        <v>90</v>
      </c>
      <c r="C959" s="0" t="s">
        <v>85</v>
      </c>
      <c r="D959" s="0" t="n">
        <v>151</v>
      </c>
      <c r="E959" s="0" t="s">
        <v>44</v>
      </c>
      <c r="F959" s="0" t="n">
        <v>2</v>
      </c>
      <c r="G959" s="0" t="str">
        <f aca="false">CONCATENATE(B959, "-",C959, "-", D959, "-", F959)</f>
        <v>M0113-A-151-2</v>
      </c>
      <c r="H959" s="0" t="n">
        <v>247.99</v>
      </c>
      <c r="I959" s="0" t="n">
        <v>248.51</v>
      </c>
    </row>
    <row r="960" customFormat="false" ht="14.25" hidden="false" customHeight="false" outlineLevel="0" collapsed="false">
      <c r="A960" s="0" t="n">
        <v>501</v>
      </c>
      <c r="B960" s="0" t="s">
        <v>90</v>
      </c>
      <c r="C960" s="0" t="s">
        <v>85</v>
      </c>
      <c r="D960" s="0" t="n">
        <v>152</v>
      </c>
      <c r="E960" s="0" t="s">
        <v>44</v>
      </c>
      <c r="F960" s="0" t="n">
        <v>1</v>
      </c>
      <c r="G960" s="0" t="str">
        <f aca="false">CONCATENATE(B960, "-",C960, "-", D960, "-", F960)</f>
        <v>M0113-A-152-1</v>
      </c>
      <c r="H960" s="0" t="n">
        <v>248.49</v>
      </c>
      <c r="I960" s="0" t="n">
        <v>249.87</v>
      </c>
    </row>
    <row r="961" customFormat="false" ht="14.25" hidden="false" customHeight="false" outlineLevel="0" collapsed="false">
      <c r="A961" s="0" t="n">
        <v>501</v>
      </c>
      <c r="B961" s="0" t="s">
        <v>90</v>
      </c>
      <c r="C961" s="0" t="s">
        <v>85</v>
      </c>
      <c r="D961" s="0" t="n">
        <v>153</v>
      </c>
      <c r="E961" s="0" t="s">
        <v>44</v>
      </c>
      <c r="F961" s="0" t="n">
        <v>1</v>
      </c>
      <c r="G961" s="0" t="str">
        <f aca="false">CONCATENATE(B961, "-",C961, "-", D961, "-", F961)</f>
        <v>M0113-A-153-1</v>
      </c>
      <c r="H961" s="0" t="n">
        <v>249.99</v>
      </c>
      <c r="I961" s="0" t="n">
        <v>250.18</v>
      </c>
    </row>
    <row r="962" customFormat="false" ht="14.25" hidden="false" customHeight="false" outlineLevel="0" collapsed="false">
      <c r="A962" s="0" t="n">
        <v>501</v>
      </c>
      <c r="B962" s="0" t="s">
        <v>90</v>
      </c>
      <c r="C962" s="0" t="s">
        <v>85</v>
      </c>
      <c r="D962" s="0" t="n">
        <v>154</v>
      </c>
      <c r="E962" s="0" t="s">
        <v>44</v>
      </c>
      <c r="F962" s="0" t="n">
        <v>1</v>
      </c>
      <c r="G962" s="0" t="str">
        <f aca="false">CONCATENATE(B962, "-",C962, "-", D962, "-", F962)</f>
        <v>M0113-A-154-1</v>
      </c>
      <c r="H962" s="0" t="n">
        <v>250.84</v>
      </c>
      <c r="I962" s="0" t="n">
        <v>251.06</v>
      </c>
    </row>
    <row r="963" customFormat="false" ht="14.25" hidden="false" customHeight="false" outlineLevel="0" collapsed="false">
      <c r="A963" s="0" t="n">
        <v>501</v>
      </c>
      <c r="B963" s="0" t="s">
        <v>90</v>
      </c>
      <c r="C963" s="0" t="s">
        <v>85</v>
      </c>
      <c r="D963" s="0" t="n">
        <v>156</v>
      </c>
      <c r="E963" s="0" t="s">
        <v>40</v>
      </c>
      <c r="F963" s="0" t="n">
        <v>1</v>
      </c>
      <c r="G963" s="0" t="str">
        <f aca="false">CONCATENATE(B963, "-",C963, "-", D963, "-", F963)</f>
        <v>M0113-A-156-1</v>
      </c>
      <c r="H963" s="0" t="n">
        <v>252.99</v>
      </c>
      <c r="I963" s="0" t="n">
        <v>254.15</v>
      </c>
    </row>
    <row r="964" customFormat="false" ht="14.25" hidden="false" customHeight="false" outlineLevel="0" collapsed="false">
      <c r="A964" s="0" t="n">
        <v>501</v>
      </c>
      <c r="B964" s="0" t="s">
        <v>90</v>
      </c>
      <c r="C964" s="0" t="s">
        <v>85</v>
      </c>
      <c r="D964" s="0" t="n">
        <v>157</v>
      </c>
      <c r="E964" s="0" t="s">
        <v>40</v>
      </c>
      <c r="F964" s="0" t="n">
        <v>1</v>
      </c>
      <c r="G964" s="0" t="str">
        <f aca="false">CONCATENATE(B964, "-",C964, "-", D964, "-", F964)</f>
        <v>M0113-A-157-1</v>
      </c>
      <c r="H964" s="0" t="n">
        <v>254.15</v>
      </c>
      <c r="I964" s="0" t="n">
        <v>255.65</v>
      </c>
    </row>
    <row r="965" customFormat="false" ht="14.25" hidden="false" customHeight="false" outlineLevel="0" collapsed="false">
      <c r="A965" s="0" t="n">
        <v>501</v>
      </c>
      <c r="B965" s="0" t="s">
        <v>90</v>
      </c>
      <c r="C965" s="0" t="s">
        <v>85</v>
      </c>
      <c r="D965" s="0" t="n">
        <v>157</v>
      </c>
      <c r="E965" s="0" t="s">
        <v>40</v>
      </c>
      <c r="F965" s="0" t="n">
        <v>2</v>
      </c>
      <c r="G965" s="0" t="str">
        <f aca="false">CONCATENATE(B965, "-",C965, "-", D965, "-", F965)</f>
        <v>M0113-A-157-2</v>
      </c>
      <c r="H965" s="0" t="n">
        <v>255.65</v>
      </c>
      <c r="I965" s="0" t="n">
        <v>256.56</v>
      </c>
    </row>
    <row r="966" customFormat="false" ht="14.25" hidden="false" customHeight="false" outlineLevel="0" collapsed="false">
      <c r="A966" s="0" t="n">
        <v>501</v>
      </c>
      <c r="B966" s="0" t="s">
        <v>90</v>
      </c>
      <c r="C966" s="0" t="s">
        <v>85</v>
      </c>
      <c r="D966" s="0" t="n">
        <v>158</v>
      </c>
      <c r="E966" s="0" t="s">
        <v>88</v>
      </c>
      <c r="F966" s="0" t="n">
        <v>1</v>
      </c>
      <c r="G966" s="0" t="str">
        <f aca="false">CONCATENATE(B966, "-",C966, "-", D966, "-", F966)</f>
        <v>M0113-A-158-1</v>
      </c>
      <c r="H966" s="0" t="n">
        <v>234.56</v>
      </c>
      <c r="I966" s="0" t="n">
        <v>256.56</v>
      </c>
    </row>
    <row r="967" customFormat="false" ht="14.25" hidden="false" customHeight="false" outlineLevel="0" collapsed="false">
      <c r="A967" s="0" t="n">
        <v>501</v>
      </c>
      <c r="B967" s="0" t="s">
        <v>90</v>
      </c>
      <c r="C967" s="0" t="s">
        <v>85</v>
      </c>
      <c r="D967" s="0" t="n">
        <v>159</v>
      </c>
      <c r="E967" s="0" t="s">
        <v>40</v>
      </c>
      <c r="F967" s="0" t="n">
        <v>1</v>
      </c>
      <c r="G967" s="0" t="str">
        <f aca="false">CONCATENATE(B967, "-",C967, "-", D967, "-", F967)</f>
        <v>M0113-A-159-1</v>
      </c>
      <c r="H967" s="0" t="n">
        <v>256.56</v>
      </c>
      <c r="I967" s="0" t="n">
        <v>257.52</v>
      </c>
    </row>
    <row r="968" customFormat="false" ht="14.25" hidden="false" customHeight="false" outlineLevel="0" collapsed="false">
      <c r="A968" s="0" t="n">
        <v>501</v>
      </c>
      <c r="B968" s="0" t="s">
        <v>90</v>
      </c>
      <c r="C968" s="0" t="s">
        <v>85</v>
      </c>
      <c r="D968" s="0" t="n">
        <v>159</v>
      </c>
      <c r="E968" s="0" t="s">
        <v>40</v>
      </c>
      <c r="F968" s="0" t="n">
        <v>2</v>
      </c>
      <c r="G968" s="0" t="str">
        <f aca="false">CONCATENATE(B968, "-",C968, "-", D968, "-", F968)</f>
        <v>M0113-A-159-2</v>
      </c>
      <c r="H968" s="0" t="n">
        <v>257.52</v>
      </c>
      <c r="I968" s="0" t="n">
        <v>258.29</v>
      </c>
    </row>
    <row r="969" customFormat="false" ht="14.25" hidden="false" customHeight="false" outlineLevel="0" collapsed="false">
      <c r="A969" s="0" t="n">
        <v>501</v>
      </c>
      <c r="B969" s="0" t="s">
        <v>90</v>
      </c>
      <c r="C969" s="0" t="s">
        <v>85</v>
      </c>
      <c r="D969" s="0" t="n">
        <v>160</v>
      </c>
      <c r="E969" s="0" t="s">
        <v>40</v>
      </c>
      <c r="F969" s="0" t="n">
        <v>1</v>
      </c>
      <c r="G969" s="0" t="str">
        <f aca="false">CONCATENATE(B969, "-",C969, "-", D969, "-", F969)</f>
        <v>M0113-A-160-1</v>
      </c>
      <c r="H969" s="0" t="n">
        <v>258.29</v>
      </c>
      <c r="I969" s="0" t="n">
        <v>259.29</v>
      </c>
    </row>
    <row r="970" customFormat="false" ht="14.25" hidden="false" customHeight="false" outlineLevel="0" collapsed="false">
      <c r="A970" s="0" t="n">
        <v>501</v>
      </c>
      <c r="B970" s="0" t="s">
        <v>90</v>
      </c>
      <c r="C970" s="0" t="s">
        <v>85</v>
      </c>
      <c r="D970" s="0" t="n">
        <v>160</v>
      </c>
      <c r="E970" s="0" t="s">
        <v>40</v>
      </c>
      <c r="F970" s="0" t="n">
        <v>2</v>
      </c>
      <c r="G970" s="0" t="str">
        <f aca="false">CONCATENATE(B970, "-",C970, "-", D970, "-", F970)</f>
        <v>M0113-A-160-2</v>
      </c>
      <c r="H970" s="0" t="n">
        <v>259.29</v>
      </c>
      <c r="I970" s="0" t="n">
        <v>259.98</v>
      </c>
    </row>
    <row r="971" customFormat="false" ht="14.25" hidden="false" customHeight="false" outlineLevel="0" collapsed="false">
      <c r="A971" s="0" t="n">
        <v>501</v>
      </c>
      <c r="B971" s="0" t="s">
        <v>90</v>
      </c>
      <c r="C971" s="0" t="s">
        <v>85</v>
      </c>
      <c r="D971" s="0" t="n">
        <v>161</v>
      </c>
      <c r="E971" s="0" t="s">
        <v>40</v>
      </c>
      <c r="F971" s="0" t="n">
        <v>1</v>
      </c>
      <c r="G971" s="0" t="str">
        <f aca="false">CONCATENATE(B971, "-",C971, "-", D971, "-", F971)</f>
        <v>M0113-A-161-1</v>
      </c>
      <c r="H971" s="0" t="n">
        <v>259.98</v>
      </c>
      <c r="I971" s="0" t="n">
        <v>260.13</v>
      </c>
    </row>
    <row r="972" customFormat="false" ht="14.25" hidden="false" customHeight="false" outlineLevel="0" collapsed="false">
      <c r="A972" s="0" t="n">
        <v>501</v>
      </c>
      <c r="B972" s="0" t="s">
        <v>90</v>
      </c>
      <c r="C972" s="0" t="s">
        <v>85</v>
      </c>
      <c r="D972" s="0" t="n">
        <v>163</v>
      </c>
      <c r="E972" s="0" t="s">
        <v>40</v>
      </c>
      <c r="F972" s="0" t="n">
        <v>1</v>
      </c>
      <c r="G972" s="0" t="str">
        <f aca="false">CONCATENATE(B972, "-",C972, "-", D972, "-", F972)</f>
        <v>M0113-A-163-1</v>
      </c>
      <c r="H972" s="0" t="n">
        <v>261.63</v>
      </c>
      <c r="I972" s="0" t="n">
        <v>262.49</v>
      </c>
    </row>
    <row r="973" customFormat="false" ht="14.25" hidden="false" customHeight="false" outlineLevel="0" collapsed="false">
      <c r="A973" s="0" t="n">
        <v>501</v>
      </c>
      <c r="B973" s="0" t="s">
        <v>90</v>
      </c>
      <c r="C973" s="0" t="s">
        <v>85</v>
      </c>
      <c r="D973" s="0" t="n">
        <v>164</v>
      </c>
      <c r="E973" s="0" t="s">
        <v>40</v>
      </c>
      <c r="F973" s="0" t="n">
        <v>1</v>
      </c>
      <c r="G973" s="0" t="str">
        <f aca="false">CONCATENATE(B973, "-",C973, "-", D973, "-", F973)</f>
        <v>M0113-A-164-1</v>
      </c>
      <c r="H973" s="0" t="n">
        <v>262.49</v>
      </c>
      <c r="I973" s="0" t="n">
        <v>262.92</v>
      </c>
    </row>
    <row r="974" customFormat="false" ht="14.25" hidden="false" customHeight="false" outlineLevel="0" collapsed="false">
      <c r="A974" s="0" t="n">
        <v>501</v>
      </c>
      <c r="B974" s="0" t="s">
        <v>90</v>
      </c>
      <c r="C974" s="0" t="s">
        <v>85</v>
      </c>
      <c r="D974" s="0" t="n">
        <v>165</v>
      </c>
      <c r="E974" s="0" t="s">
        <v>40</v>
      </c>
      <c r="F974" s="0" t="n">
        <v>1</v>
      </c>
      <c r="G974" s="0" t="str">
        <f aca="false">CONCATENATE(B974, "-",C974, "-", D974, "-", F974)</f>
        <v>M0113-A-165-1</v>
      </c>
      <c r="H974" s="0" t="n">
        <v>262.92</v>
      </c>
      <c r="I974" s="0" t="n">
        <v>264.36</v>
      </c>
    </row>
    <row r="975" customFormat="false" ht="14.25" hidden="false" customHeight="false" outlineLevel="0" collapsed="false">
      <c r="A975" s="0" t="n">
        <v>501</v>
      </c>
      <c r="B975" s="0" t="s">
        <v>90</v>
      </c>
      <c r="C975" s="0" t="s">
        <v>85</v>
      </c>
      <c r="D975" s="0" t="n">
        <v>165</v>
      </c>
      <c r="E975" s="0" t="s">
        <v>40</v>
      </c>
      <c r="F975" s="0" t="n">
        <v>2</v>
      </c>
      <c r="G975" s="0" t="str">
        <f aca="false">CONCATENATE(B975, "-",C975, "-", D975, "-", F975)</f>
        <v>M0113-A-165-2</v>
      </c>
      <c r="H975" s="0" t="n">
        <v>264.36</v>
      </c>
      <c r="I975" s="0" t="n">
        <v>265.06</v>
      </c>
    </row>
    <row r="976" customFormat="false" ht="14.25" hidden="false" customHeight="false" outlineLevel="0" collapsed="false">
      <c r="A976" s="0" t="n">
        <v>501</v>
      </c>
      <c r="B976" s="0" t="s">
        <v>90</v>
      </c>
      <c r="C976" s="0" t="s">
        <v>85</v>
      </c>
      <c r="D976" s="0" t="n">
        <v>166</v>
      </c>
      <c r="E976" s="0" t="s">
        <v>40</v>
      </c>
      <c r="F976" s="0" t="n">
        <v>1</v>
      </c>
      <c r="G976" s="0" t="str">
        <f aca="false">CONCATENATE(B976, "-",C976, "-", D976, "-", F976)</f>
        <v>M0113-A-166-1</v>
      </c>
      <c r="H976" s="0" t="n">
        <v>265.06</v>
      </c>
      <c r="I976" s="0" t="n">
        <v>266.06</v>
      </c>
    </row>
    <row r="977" customFormat="false" ht="14.25" hidden="false" customHeight="false" outlineLevel="0" collapsed="false">
      <c r="A977" s="0" t="n">
        <v>501</v>
      </c>
      <c r="B977" s="0" t="s">
        <v>90</v>
      </c>
      <c r="C977" s="0" t="s">
        <v>85</v>
      </c>
      <c r="D977" s="0" t="n">
        <v>166</v>
      </c>
      <c r="E977" s="0" t="s">
        <v>40</v>
      </c>
      <c r="F977" s="0" t="n">
        <v>2</v>
      </c>
      <c r="G977" s="0" t="str">
        <f aca="false">CONCATENATE(B977, "-",C977, "-", D977, "-", F977)</f>
        <v>M0113-A-166-2</v>
      </c>
      <c r="H977" s="0" t="n">
        <v>266.06</v>
      </c>
      <c r="I977" s="0" t="n">
        <v>266.78</v>
      </c>
    </row>
    <row r="978" customFormat="false" ht="14.25" hidden="false" customHeight="false" outlineLevel="0" collapsed="false">
      <c r="A978" s="0" t="n">
        <v>501</v>
      </c>
      <c r="B978" s="0" t="s">
        <v>90</v>
      </c>
      <c r="C978" s="0" t="s">
        <v>85</v>
      </c>
      <c r="D978" s="0" t="n">
        <v>167</v>
      </c>
      <c r="E978" s="0" t="s">
        <v>40</v>
      </c>
      <c r="F978" s="0" t="n">
        <v>1</v>
      </c>
      <c r="G978" s="0" t="str">
        <f aca="false">CONCATENATE(B978, "-",C978, "-", D978, "-", F978)</f>
        <v>M0113-A-167-1</v>
      </c>
      <c r="H978" s="0" t="n">
        <v>266.78</v>
      </c>
      <c r="I978" s="0" t="n">
        <v>268.28</v>
      </c>
    </row>
    <row r="979" customFormat="false" ht="14.25" hidden="false" customHeight="false" outlineLevel="0" collapsed="false">
      <c r="A979" s="0" t="n">
        <v>501</v>
      </c>
      <c r="B979" s="0" t="s">
        <v>90</v>
      </c>
      <c r="C979" s="0" t="s">
        <v>85</v>
      </c>
      <c r="D979" s="0" t="n">
        <v>167</v>
      </c>
      <c r="E979" s="0" t="s">
        <v>40</v>
      </c>
      <c r="F979" s="0" t="n">
        <v>2</v>
      </c>
      <c r="G979" s="0" t="str">
        <f aca="false">CONCATENATE(B979, "-",C979, "-", D979, "-", F979)</f>
        <v>M0113-A-167-2</v>
      </c>
      <c r="H979" s="0" t="n">
        <v>268.28</v>
      </c>
      <c r="I979" s="0" t="n">
        <v>269.03</v>
      </c>
    </row>
    <row r="980" customFormat="false" ht="14.25" hidden="false" customHeight="false" outlineLevel="0" collapsed="false">
      <c r="A980" s="0" t="n">
        <v>501</v>
      </c>
      <c r="B980" s="0" t="s">
        <v>90</v>
      </c>
      <c r="C980" s="0" t="s">
        <v>85</v>
      </c>
      <c r="D980" s="0" t="n">
        <v>168</v>
      </c>
      <c r="E980" s="0" t="s">
        <v>40</v>
      </c>
      <c r="F980" s="0" t="n">
        <v>1</v>
      </c>
      <c r="G980" s="0" t="str">
        <f aca="false">CONCATENATE(B980, "-",C980, "-", D980, "-", F980)</f>
        <v>M0113-A-168-1</v>
      </c>
      <c r="H980" s="0" t="n">
        <v>269.03</v>
      </c>
      <c r="I980" s="0" t="n">
        <v>270.53</v>
      </c>
    </row>
    <row r="981" customFormat="false" ht="14.25" hidden="false" customHeight="false" outlineLevel="0" collapsed="false">
      <c r="A981" s="0" t="n">
        <v>501</v>
      </c>
      <c r="B981" s="0" t="s">
        <v>90</v>
      </c>
      <c r="C981" s="0" t="s">
        <v>85</v>
      </c>
      <c r="D981" s="0" t="n">
        <v>168</v>
      </c>
      <c r="E981" s="0" t="s">
        <v>40</v>
      </c>
      <c r="F981" s="0" t="n">
        <v>2</v>
      </c>
      <c r="G981" s="0" t="str">
        <f aca="false">CONCATENATE(B981, "-",C981, "-", D981, "-", F981)</f>
        <v>M0113-A-168-2</v>
      </c>
      <c r="H981" s="0" t="n">
        <v>270.53</v>
      </c>
      <c r="I981" s="0" t="n">
        <v>270.95</v>
      </c>
    </row>
    <row r="982" customFormat="false" ht="14.25" hidden="false" customHeight="false" outlineLevel="0" collapsed="false">
      <c r="A982" s="0" t="n">
        <v>501</v>
      </c>
      <c r="B982" s="0" t="s">
        <v>90</v>
      </c>
      <c r="C982" s="0" t="s">
        <v>85</v>
      </c>
      <c r="D982" s="0" t="n">
        <v>169</v>
      </c>
      <c r="E982" s="0" t="s">
        <v>40</v>
      </c>
      <c r="F982" s="0" t="n">
        <v>1</v>
      </c>
      <c r="G982" s="0" t="str">
        <f aca="false">CONCATENATE(B982, "-",C982, "-", D982, "-", F982)</f>
        <v>M0113-A-169-1</v>
      </c>
      <c r="H982" s="0" t="n">
        <v>270.95</v>
      </c>
      <c r="I982" s="0" t="n">
        <v>272.2</v>
      </c>
    </row>
    <row r="983" customFormat="false" ht="14.25" hidden="false" customHeight="false" outlineLevel="0" collapsed="false">
      <c r="A983" s="0" t="n">
        <v>501</v>
      </c>
      <c r="B983" s="0" t="s">
        <v>90</v>
      </c>
      <c r="C983" s="0" t="s">
        <v>85</v>
      </c>
      <c r="D983" s="0" t="n">
        <v>169</v>
      </c>
      <c r="E983" s="0" t="s">
        <v>40</v>
      </c>
      <c r="F983" s="0" t="n">
        <v>2</v>
      </c>
      <c r="G983" s="0" t="str">
        <f aca="false">CONCATENATE(B983, "-",C983, "-", D983, "-", F983)</f>
        <v>M0113-A-169-2</v>
      </c>
      <c r="H983" s="0" t="n">
        <v>272.2</v>
      </c>
      <c r="I983" s="0" t="n">
        <v>272.96</v>
      </c>
    </row>
    <row r="984" customFormat="false" ht="14.25" hidden="false" customHeight="false" outlineLevel="0" collapsed="false">
      <c r="A984" s="0" t="n">
        <v>501</v>
      </c>
      <c r="B984" s="0" t="s">
        <v>90</v>
      </c>
      <c r="C984" s="0" t="s">
        <v>85</v>
      </c>
      <c r="D984" s="0" t="n">
        <v>170</v>
      </c>
      <c r="E984" s="0" t="s">
        <v>88</v>
      </c>
      <c r="F984" s="0" t="n">
        <v>1</v>
      </c>
      <c r="G984" s="0" t="str">
        <f aca="false">CONCATENATE(B984, "-",C984, "-", D984, "-", F984)</f>
        <v>M0113-A-170-1</v>
      </c>
      <c r="H984" s="0" t="n">
        <v>248.96</v>
      </c>
      <c r="I984" s="0" t="n">
        <v>272.96</v>
      </c>
    </row>
    <row r="985" customFormat="false" ht="14.25" hidden="false" customHeight="false" outlineLevel="0" collapsed="false">
      <c r="A985" s="0" t="n">
        <v>501</v>
      </c>
      <c r="B985" s="0" t="s">
        <v>90</v>
      </c>
      <c r="C985" s="0" t="s">
        <v>85</v>
      </c>
      <c r="D985" s="0" t="n">
        <v>171</v>
      </c>
      <c r="E985" s="0" t="s">
        <v>40</v>
      </c>
      <c r="F985" s="0" t="n">
        <v>1</v>
      </c>
      <c r="G985" s="0" t="str">
        <f aca="false">CONCATENATE(B985, "-",C985, "-", D985, "-", F985)</f>
        <v>M0113-A-171-1</v>
      </c>
      <c r="H985" s="0" t="n">
        <v>272.96</v>
      </c>
      <c r="I985" s="0" t="n">
        <v>274.46</v>
      </c>
    </row>
    <row r="986" customFormat="false" ht="14.25" hidden="false" customHeight="false" outlineLevel="0" collapsed="false">
      <c r="A986" s="0" t="n">
        <v>501</v>
      </c>
      <c r="B986" s="0" t="s">
        <v>90</v>
      </c>
      <c r="C986" s="0" t="s">
        <v>85</v>
      </c>
      <c r="D986" s="0" t="n">
        <v>172</v>
      </c>
      <c r="E986" s="0" t="s">
        <v>40</v>
      </c>
      <c r="F986" s="0" t="n">
        <v>1</v>
      </c>
      <c r="G986" s="0" t="str">
        <f aca="false">CONCATENATE(B986, "-",C986, "-", D986, "-", F986)</f>
        <v>M0113-A-172-1</v>
      </c>
      <c r="H986" s="0" t="n">
        <v>274.46</v>
      </c>
      <c r="I986" s="0" t="n">
        <v>274.98</v>
      </c>
    </row>
    <row r="987" customFormat="false" ht="14.25" hidden="false" customHeight="false" outlineLevel="0" collapsed="false">
      <c r="A987" s="0" t="n">
        <v>501</v>
      </c>
      <c r="B987" s="0" t="s">
        <v>90</v>
      </c>
      <c r="C987" s="0" t="s">
        <v>85</v>
      </c>
      <c r="D987" s="0" t="n">
        <v>172</v>
      </c>
      <c r="E987" s="0" t="s">
        <v>40</v>
      </c>
      <c r="F987" s="0" t="n">
        <v>2</v>
      </c>
      <c r="G987" s="0" t="str">
        <f aca="false">CONCATENATE(B987, "-",C987, "-", D987, "-", F987)</f>
        <v>M0113-A-172-2</v>
      </c>
      <c r="H987" s="0" t="n">
        <v>274.98</v>
      </c>
      <c r="I987" s="0" t="n">
        <v>275.98</v>
      </c>
    </row>
    <row r="988" customFormat="false" ht="14.25" hidden="false" customHeight="false" outlineLevel="0" collapsed="false">
      <c r="A988" s="0" t="n">
        <v>501</v>
      </c>
      <c r="B988" s="0" t="s">
        <v>90</v>
      </c>
      <c r="C988" s="0" t="s">
        <v>85</v>
      </c>
      <c r="D988" s="0" t="n">
        <v>172</v>
      </c>
      <c r="E988" s="0" t="s">
        <v>40</v>
      </c>
      <c r="F988" s="0" t="n">
        <v>3</v>
      </c>
      <c r="G988" s="0" t="str">
        <f aca="false">CONCATENATE(B988, "-",C988, "-", D988, "-", F988)</f>
        <v>M0113-A-172-3</v>
      </c>
      <c r="H988" s="0" t="n">
        <v>275.98</v>
      </c>
      <c r="I988" s="0" t="n">
        <v>276.78</v>
      </c>
    </row>
    <row r="989" customFormat="false" ht="14.25" hidden="false" customHeight="false" outlineLevel="0" collapsed="false">
      <c r="A989" s="0" t="n">
        <v>501</v>
      </c>
      <c r="B989" s="0" t="s">
        <v>90</v>
      </c>
      <c r="C989" s="0" t="s">
        <v>85</v>
      </c>
      <c r="D989" s="0" t="n">
        <v>172</v>
      </c>
      <c r="E989" s="0" t="s">
        <v>40</v>
      </c>
      <c r="F989" s="0" t="n">
        <v>4</v>
      </c>
      <c r="G989" s="0" t="str">
        <f aca="false">CONCATENATE(B989, "-",C989, "-", D989, "-", F989)</f>
        <v>M0113-A-172-4</v>
      </c>
      <c r="H989" s="0" t="n">
        <v>276.78</v>
      </c>
      <c r="I989" s="0" t="n">
        <v>276.84</v>
      </c>
    </row>
    <row r="990" customFormat="false" ht="14.25" hidden="false" customHeight="false" outlineLevel="0" collapsed="false">
      <c r="A990" s="0" t="n">
        <v>501</v>
      </c>
      <c r="B990" s="0" t="s">
        <v>90</v>
      </c>
      <c r="C990" s="0" t="s">
        <v>85</v>
      </c>
      <c r="D990" s="0" t="n">
        <v>173</v>
      </c>
      <c r="E990" s="0" t="s">
        <v>40</v>
      </c>
      <c r="F990" s="0" t="n">
        <v>1</v>
      </c>
      <c r="G990" s="0" t="str">
        <f aca="false">CONCATENATE(B990, "-",C990, "-", D990, "-", F990)</f>
        <v>M0113-A-173-1</v>
      </c>
      <c r="H990" s="0" t="n">
        <v>276.84</v>
      </c>
      <c r="I990" s="0" t="n">
        <v>277.73</v>
      </c>
    </row>
    <row r="991" customFormat="false" ht="14.25" hidden="false" customHeight="false" outlineLevel="0" collapsed="false">
      <c r="A991" s="0" t="n">
        <v>501</v>
      </c>
      <c r="B991" s="0" t="s">
        <v>90</v>
      </c>
      <c r="C991" s="0" t="s">
        <v>85</v>
      </c>
      <c r="D991" s="0" t="n">
        <v>174</v>
      </c>
      <c r="E991" s="0" t="s">
        <v>40</v>
      </c>
      <c r="F991" s="0" t="n">
        <v>1</v>
      </c>
      <c r="G991" s="0" t="str">
        <f aca="false">CONCATENATE(B991, "-",C991, "-", D991, "-", F991)</f>
        <v>M0113-A-174-1</v>
      </c>
      <c r="H991" s="0" t="n">
        <v>277.73</v>
      </c>
      <c r="I991" s="0" t="n">
        <v>277.74</v>
      </c>
    </row>
    <row r="992" customFormat="false" ht="14.25" hidden="false" customHeight="false" outlineLevel="0" collapsed="false">
      <c r="A992" s="0" t="n">
        <v>501</v>
      </c>
      <c r="B992" s="0" t="s">
        <v>90</v>
      </c>
      <c r="C992" s="0" t="s">
        <v>85</v>
      </c>
      <c r="D992" s="0" t="n">
        <v>175</v>
      </c>
      <c r="E992" s="0" t="s">
        <v>44</v>
      </c>
      <c r="F992" s="0" t="n">
        <v>1</v>
      </c>
      <c r="G992" s="0" t="str">
        <f aca="false">CONCATENATE(B992, "-",C992, "-", D992, "-", F992)</f>
        <v>M0113-A-175-1</v>
      </c>
      <c r="H992" s="0" t="n">
        <v>277.74</v>
      </c>
      <c r="I992" s="0" t="n">
        <v>278.99</v>
      </c>
    </row>
    <row r="993" customFormat="false" ht="14.25" hidden="false" customHeight="false" outlineLevel="0" collapsed="false">
      <c r="A993" s="0" t="n">
        <v>501</v>
      </c>
      <c r="B993" s="0" t="s">
        <v>90</v>
      </c>
      <c r="C993" s="0" t="s">
        <v>85</v>
      </c>
      <c r="D993" s="0" t="n">
        <v>176</v>
      </c>
      <c r="E993" s="0" t="s">
        <v>44</v>
      </c>
      <c r="F993" s="0" t="n">
        <v>1</v>
      </c>
      <c r="G993" s="0" t="str">
        <f aca="false">CONCATENATE(B993, "-",C993, "-", D993, "-", F993)</f>
        <v>M0113-A-176-1</v>
      </c>
      <c r="H993" s="0" t="n">
        <v>279.74</v>
      </c>
      <c r="I993" s="0" t="n">
        <v>280.13</v>
      </c>
    </row>
    <row r="994" customFormat="false" ht="14.25" hidden="false" customHeight="false" outlineLevel="0" collapsed="false">
      <c r="A994" s="0" t="n">
        <v>501</v>
      </c>
      <c r="B994" s="0" t="s">
        <v>90</v>
      </c>
      <c r="C994" s="0" t="s">
        <v>85</v>
      </c>
      <c r="D994" s="0" t="n">
        <v>177</v>
      </c>
      <c r="E994" s="0" t="s">
        <v>40</v>
      </c>
      <c r="F994" s="0" t="n">
        <v>1</v>
      </c>
      <c r="G994" s="0" t="str">
        <f aca="false">CONCATENATE(B994, "-",C994, "-", D994, "-", F994)</f>
        <v>M0113-A-177-1</v>
      </c>
      <c r="H994" s="0" t="n">
        <v>281.49</v>
      </c>
      <c r="I994" s="0" t="n">
        <v>282.28</v>
      </c>
    </row>
    <row r="995" customFormat="false" ht="14.25" hidden="false" customHeight="false" outlineLevel="0" collapsed="false">
      <c r="A995" s="0" t="n">
        <v>501</v>
      </c>
      <c r="B995" s="0" t="s">
        <v>90</v>
      </c>
      <c r="C995" s="0" t="s">
        <v>85</v>
      </c>
      <c r="D995" s="0" t="n">
        <v>177</v>
      </c>
      <c r="E995" s="0" t="s">
        <v>40</v>
      </c>
      <c r="F995" s="0" t="n">
        <v>2</v>
      </c>
      <c r="G995" s="0" t="str">
        <f aca="false">CONCATENATE(B995, "-",C995, "-", D995, "-", F995)</f>
        <v>M0113-A-177-2</v>
      </c>
      <c r="H995" s="0" t="n">
        <v>282.28</v>
      </c>
      <c r="I995" s="0" t="n">
        <v>282.89</v>
      </c>
    </row>
    <row r="996" customFormat="false" ht="14.25" hidden="false" customHeight="false" outlineLevel="0" collapsed="false">
      <c r="A996" s="0" t="n">
        <v>501</v>
      </c>
      <c r="B996" s="0" t="s">
        <v>90</v>
      </c>
      <c r="C996" s="0" t="s">
        <v>85</v>
      </c>
      <c r="D996" s="0" t="n">
        <v>178</v>
      </c>
      <c r="E996" s="0" t="s">
        <v>40</v>
      </c>
      <c r="F996" s="0" t="n">
        <v>1</v>
      </c>
      <c r="G996" s="0" t="str">
        <f aca="false">CONCATENATE(B996, "-",C996, "-", D996, "-", F996)</f>
        <v>M0113-A-178-1</v>
      </c>
      <c r="H996" s="0" t="n">
        <v>282.89</v>
      </c>
      <c r="I996" s="0" t="n">
        <v>284.29</v>
      </c>
    </row>
    <row r="997" customFormat="false" ht="14.25" hidden="false" customHeight="false" outlineLevel="0" collapsed="false">
      <c r="A997" s="0" t="n">
        <v>501</v>
      </c>
      <c r="B997" s="0" t="s">
        <v>90</v>
      </c>
      <c r="C997" s="0" t="s">
        <v>85</v>
      </c>
      <c r="D997" s="0" t="n">
        <v>178</v>
      </c>
      <c r="E997" s="0" t="s">
        <v>40</v>
      </c>
      <c r="F997" s="0" t="n">
        <v>2</v>
      </c>
      <c r="G997" s="0" t="str">
        <f aca="false">CONCATENATE(B997, "-",C997, "-", D997, "-", F997)</f>
        <v>M0113-A-178-2</v>
      </c>
      <c r="H997" s="0" t="n">
        <v>284.29</v>
      </c>
      <c r="I997" s="0" t="n">
        <v>284.79</v>
      </c>
    </row>
    <row r="998" customFormat="false" ht="14.25" hidden="false" customHeight="false" outlineLevel="0" collapsed="false">
      <c r="A998" s="0" t="n">
        <v>501</v>
      </c>
      <c r="B998" s="0" t="s">
        <v>90</v>
      </c>
      <c r="C998" s="0" t="s">
        <v>85</v>
      </c>
      <c r="D998" s="0" t="n">
        <v>179</v>
      </c>
      <c r="E998" s="0" t="s">
        <v>40</v>
      </c>
      <c r="F998" s="0" t="n">
        <v>1</v>
      </c>
      <c r="G998" s="0" t="str">
        <f aca="false">CONCATENATE(B998, "-",C998, "-", D998, "-", F998)</f>
        <v>M0113-A-179-1</v>
      </c>
      <c r="H998" s="0" t="n">
        <v>284.79</v>
      </c>
      <c r="I998" s="0" t="n">
        <v>285.55</v>
      </c>
    </row>
    <row r="999" customFormat="false" ht="14.25" hidden="false" customHeight="false" outlineLevel="0" collapsed="false">
      <c r="A999" s="0" t="n">
        <v>501</v>
      </c>
      <c r="B999" s="0" t="s">
        <v>90</v>
      </c>
      <c r="C999" s="0" t="s">
        <v>85</v>
      </c>
      <c r="D999" s="0" t="n">
        <v>179</v>
      </c>
      <c r="E999" s="0" t="s">
        <v>40</v>
      </c>
      <c r="F999" s="0" t="n">
        <v>2</v>
      </c>
      <c r="G999" s="0" t="str">
        <f aca="false">CONCATENATE(B999, "-",C999, "-", D999, "-", F999)</f>
        <v>M0113-A-179-2</v>
      </c>
      <c r="H999" s="0" t="n">
        <v>285.55</v>
      </c>
      <c r="I999" s="0" t="n">
        <v>286.09</v>
      </c>
    </row>
    <row r="1000" customFormat="false" ht="14.25" hidden="false" customHeight="false" outlineLevel="0" collapsed="false">
      <c r="A1000" s="0" t="n">
        <v>501</v>
      </c>
      <c r="B1000" s="0" t="s">
        <v>90</v>
      </c>
      <c r="C1000" s="0" t="s">
        <v>85</v>
      </c>
      <c r="D1000" s="0" t="n">
        <v>180</v>
      </c>
      <c r="E1000" s="0" t="s">
        <v>40</v>
      </c>
      <c r="F1000" s="0" t="n">
        <v>1</v>
      </c>
      <c r="G1000" s="0" t="str">
        <f aca="false">CONCATENATE(B1000, "-",C1000, "-", D1000, "-", F1000)</f>
        <v>M0113-A-180-1</v>
      </c>
      <c r="H1000" s="0" t="n">
        <v>286.09</v>
      </c>
      <c r="I1000" s="0" t="n">
        <v>286.99</v>
      </c>
    </row>
    <row r="1001" customFormat="false" ht="14.25" hidden="false" customHeight="false" outlineLevel="0" collapsed="false">
      <c r="A1001" s="0" t="n">
        <v>501</v>
      </c>
      <c r="B1001" s="0" t="s">
        <v>90</v>
      </c>
      <c r="C1001" s="0" t="s">
        <v>85</v>
      </c>
      <c r="D1001" s="0" t="n">
        <v>181</v>
      </c>
      <c r="E1001" s="0" t="s">
        <v>40</v>
      </c>
      <c r="F1001" s="0" t="n">
        <v>1</v>
      </c>
      <c r="G1001" s="0" t="str">
        <f aca="false">CONCATENATE(B1001, "-",C1001, "-", D1001, "-", F1001)</f>
        <v>M0113-A-181-1</v>
      </c>
      <c r="H1001" s="0" t="n">
        <v>286.99</v>
      </c>
      <c r="I1001" s="0" t="n">
        <v>288.4</v>
      </c>
    </row>
    <row r="1002" customFormat="false" ht="14.25" hidden="false" customHeight="false" outlineLevel="0" collapsed="false">
      <c r="A1002" s="0" t="n">
        <v>501</v>
      </c>
      <c r="B1002" s="0" t="s">
        <v>90</v>
      </c>
      <c r="C1002" s="0" t="s">
        <v>85</v>
      </c>
      <c r="D1002" s="0" t="n">
        <v>182</v>
      </c>
      <c r="E1002" s="0" t="s">
        <v>40</v>
      </c>
      <c r="F1002" s="0" t="n">
        <v>1</v>
      </c>
      <c r="G1002" s="0" t="str">
        <f aca="false">CONCATENATE(B1002, "-",C1002, "-", D1002, "-", F1002)</f>
        <v>M0113-A-182-1</v>
      </c>
      <c r="H1002" s="0" t="n">
        <v>288.4</v>
      </c>
      <c r="I1002" s="0" t="n">
        <v>289.9</v>
      </c>
    </row>
    <row r="1003" customFormat="false" ht="14.25" hidden="false" customHeight="false" outlineLevel="0" collapsed="false">
      <c r="A1003" s="0" t="n">
        <v>501</v>
      </c>
      <c r="B1003" s="0" t="s">
        <v>90</v>
      </c>
      <c r="C1003" s="0" t="s">
        <v>85</v>
      </c>
      <c r="D1003" s="0" t="n">
        <v>182</v>
      </c>
      <c r="E1003" s="0" t="s">
        <v>40</v>
      </c>
      <c r="F1003" s="0" t="n">
        <v>2</v>
      </c>
      <c r="G1003" s="0" t="str">
        <f aca="false">CONCATENATE(B1003, "-",C1003, "-", D1003, "-", F1003)</f>
        <v>M0113-A-182-2</v>
      </c>
      <c r="H1003" s="0" t="n">
        <v>289.9</v>
      </c>
      <c r="I1003" s="0" t="n">
        <v>290.66</v>
      </c>
    </row>
    <row r="1004" customFormat="false" ht="14.25" hidden="false" customHeight="false" outlineLevel="0" collapsed="false">
      <c r="A1004" s="0" t="n">
        <v>501</v>
      </c>
      <c r="B1004" s="0" t="s">
        <v>90</v>
      </c>
      <c r="C1004" s="0" t="s">
        <v>85</v>
      </c>
      <c r="D1004" s="0" t="n">
        <v>183</v>
      </c>
      <c r="E1004" s="0" t="s">
        <v>40</v>
      </c>
      <c r="F1004" s="0" t="n">
        <v>1</v>
      </c>
      <c r="G1004" s="0" t="str">
        <f aca="false">CONCATENATE(B1004, "-",C1004, "-", D1004, "-", F1004)</f>
        <v>M0113-A-183-1</v>
      </c>
      <c r="H1004" s="0" t="n">
        <v>290.66</v>
      </c>
      <c r="I1004" s="0" t="n">
        <v>290.89</v>
      </c>
    </row>
    <row r="1005" customFormat="false" ht="14.25" hidden="false" customHeight="false" outlineLevel="0" collapsed="false">
      <c r="A1005" s="0" t="n">
        <v>501</v>
      </c>
      <c r="B1005" s="0" t="s">
        <v>90</v>
      </c>
      <c r="C1005" s="0" t="s">
        <v>85</v>
      </c>
      <c r="D1005" s="0" t="n">
        <v>184</v>
      </c>
      <c r="E1005" s="0" t="s">
        <v>40</v>
      </c>
      <c r="F1005" s="0" t="n">
        <v>1</v>
      </c>
      <c r="G1005" s="0" t="str">
        <f aca="false">CONCATENATE(B1005, "-",C1005, "-", D1005, "-", F1005)</f>
        <v>M0113-A-184-1</v>
      </c>
      <c r="H1005" s="0" t="n">
        <v>290.89</v>
      </c>
      <c r="I1005" s="0" t="n">
        <v>292.19</v>
      </c>
    </row>
    <row r="1006" customFormat="false" ht="14.25" hidden="false" customHeight="false" outlineLevel="0" collapsed="false">
      <c r="A1006" s="0" t="n">
        <v>501</v>
      </c>
      <c r="B1006" s="0" t="s">
        <v>90</v>
      </c>
      <c r="C1006" s="0" t="s">
        <v>85</v>
      </c>
      <c r="D1006" s="0" t="n">
        <v>185</v>
      </c>
      <c r="E1006" s="0" t="s">
        <v>40</v>
      </c>
      <c r="F1006" s="0" t="n">
        <v>1</v>
      </c>
      <c r="G1006" s="0" t="str">
        <f aca="false">CONCATENATE(B1006, "-",C1006, "-", D1006, "-", F1006)</f>
        <v>M0113-A-185-1</v>
      </c>
      <c r="H1006" s="0" t="n">
        <v>292.19</v>
      </c>
      <c r="I1006" s="0" t="n">
        <v>293.2</v>
      </c>
    </row>
    <row r="1007" customFormat="false" ht="14.25" hidden="false" customHeight="false" outlineLevel="0" collapsed="false">
      <c r="A1007" s="0" t="n">
        <v>501</v>
      </c>
      <c r="B1007" s="0" t="s">
        <v>90</v>
      </c>
      <c r="C1007" s="0" t="s">
        <v>85</v>
      </c>
      <c r="D1007" s="0" t="n">
        <v>185</v>
      </c>
      <c r="E1007" s="0" t="s">
        <v>40</v>
      </c>
      <c r="F1007" s="0" t="n">
        <v>2</v>
      </c>
      <c r="G1007" s="0" t="str">
        <f aca="false">CONCATENATE(B1007, "-",C1007, "-", D1007, "-", F1007)</f>
        <v>M0113-A-185-2</v>
      </c>
      <c r="H1007" s="0" t="n">
        <v>293.2</v>
      </c>
      <c r="I1007" s="0" t="n">
        <v>293.84</v>
      </c>
    </row>
    <row r="1008" customFormat="false" ht="14.25" hidden="false" customHeight="false" outlineLevel="0" collapsed="false">
      <c r="A1008" s="0" t="n">
        <v>501</v>
      </c>
      <c r="B1008" s="0" t="s">
        <v>90</v>
      </c>
      <c r="C1008" s="0" t="s">
        <v>85</v>
      </c>
      <c r="D1008" s="0" t="n">
        <v>186</v>
      </c>
      <c r="E1008" s="0" t="s">
        <v>40</v>
      </c>
      <c r="F1008" s="0" t="n">
        <v>1</v>
      </c>
      <c r="G1008" s="0" t="str">
        <f aca="false">CONCATENATE(B1008, "-",C1008, "-", D1008, "-", F1008)</f>
        <v>M0113-A-186-1</v>
      </c>
      <c r="H1008" s="0" t="n">
        <v>293.84</v>
      </c>
      <c r="I1008" s="0" t="n">
        <v>293.89</v>
      </c>
    </row>
    <row r="1009" customFormat="false" ht="14.25" hidden="false" customHeight="false" outlineLevel="0" collapsed="false">
      <c r="A1009" s="0" t="n">
        <v>501</v>
      </c>
      <c r="B1009" s="0" t="s">
        <v>90</v>
      </c>
      <c r="C1009" s="0" t="s">
        <v>85</v>
      </c>
      <c r="D1009" s="0" t="n">
        <v>187</v>
      </c>
      <c r="E1009" s="0" t="s">
        <v>40</v>
      </c>
      <c r="F1009" s="0" t="n">
        <v>1</v>
      </c>
      <c r="G1009" s="0" t="str">
        <f aca="false">CONCATENATE(B1009, "-",C1009, "-", D1009, "-", F1009)</f>
        <v>M0113-A-187-1</v>
      </c>
      <c r="H1009" s="0" t="n">
        <v>293.89</v>
      </c>
      <c r="I1009" s="0" t="n">
        <v>294.47</v>
      </c>
    </row>
    <row r="1010" customFormat="false" ht="14.25" hidden="false" customHeight="false" outlineLevel="0" collapsed="false">
      <c r="A1010" s="0" t="n">
        <v>501</v>
      </c>
      <c r="B1010" s="0" t="s">
        <v>90</v>
      </c>
      <c r="C1010" s="0" t="s">
        <v>85</v>
      </c>
      <c r="D1010" s="0" t="n">
        <v>188</v>
      </c>
      <c r="E1010" s="0" t="s">
        <v>40</v>
      </c>
      <c r="F1010" s="0" t="n">
        <v>1</v>
      </c>
      <c r="G1010" s="0" t="str">
        <f aca="false">CONCATENATE(B1010, "-",C1010, "-", D1010, "-", F1010)</f>
        <v>M0113-A-188-1</v>
      </c>
      <c r="H1010" s="0" t="n">
        <v>294.47</v>
      </c>
      <c r="I1010" s="0" t="n">
        <v>295.41</v>
      </c>
    </row>
    <row r="1011" customFormat="false" ht="14.25" hidden="false" customHeight="false" outlineLevel="0" collapsed="false">
      <c r="A1011" s="0" t="n">
        <v>501</v>
      </c>
      <c r="B1011" s="0" t="s">
        <v>90</v>
      </c>
      <c r="C1011" s="0" t="s">
        <v>85</v>
      </c>
      <c r="D1011" s="0" t="n">
        <v>189</v>
      </c>
      <c r="E1011" s="0" t="s">
        <v>44</v>
      </c>
      <c r="F1011" s="0" t="n">
        <v>1</v>
      </c>
      <c r="G1011" s="0" t="str">
        <f aca="false">CONCATENATE(B1011, "-",C1011, "-", D1011, "-", F1011)</f>
        <v>M0113-A-189-1</v>
      </c>
      <c r="H1011" s="0" t="n">
        <v>295.41</v>
      </c>
      <c r="I1011" s="0" t="n">
        <v>295.79</v>
      </c>
    </row>
    <row r="1012" customFormat="false" ht="14.25" hidden="false" customHeight="false" outlineLevel="0" collapsed="false">
      <c r="A1012" s="0" t="n">
        <v>501</v>
      </c>
      <c r="B1012" s="0" t="s">
        <v>90</v>
      </c>
      <c r="C1012" s="0" t="s">
        <v>85</v>
      </c>
      <c r="D1012" s="0" t="n">
        <v>190</v>
      </c>
      <c r="E1012" s="0" t="s">
        <v>44</v>
      </c>
      <c r="F1012" s="0" t="n">
        <v>1</v>
      </c>
      <c r="G1012" s="0" t="str">
        <f aca="false">CONCATENATE(B1012, "-",C1012, "-", D1012, "-", F1012)</f>
        <v>M0113-A-190-1</v>
      </c>
      <c r="H1012" s="0" t="n">
        <v>296.49</v>
      </c>
      <c r="I1012" s="0" t="n">
        <v>296.76</v>
      </c>
    </row>
    <row r="1013" customFormat="false" ht="14.25" hidden="false" customHeight="false" outlineLevel="0" collapsed="false">
      <c r="A1013" s="0" t="n">
        <v>501</v>
      </c>
      <c r="B1013" s="0" t="s">
        <v>90</v>
      </c>
      <c r="C1013" s="0" t="s">
        <v>85</v>
      </c>
      <c r="D1013" s="0" t="n">
        <v>191</v>
      </c>
      <c r="E1013" s="0" t="s">
        <v>40</v>
      </c>
      <c r="F1013" s="0" t="n">
        <v>1</v>
      </c>
      <c r="G1013" s="0" t="str">
        <f aca="false">CONCATENATE(B1013, "-",C1013, "-", D1013, "-", F1013)</f>
        <v>M0113-A-191-1</v>
      </c>
      <c r="H1013" s="0" t="n">
        <v>297.99</v>
      </c>
      <c r="I1013" s="0" t="n">
        <v>298.99</v>
      </c>
    </row>
    <row r="1014" customFormat="false" ht="14.25" hidden="false" customHeight="false" outlineLevel="0" collapsed="false">
      <c r="A1014" s="0" t="n">
        <v>501</v>
      </c>
      <c r="B1014" s="0" t="s">
        <v>90</v>
      </c>
      <c r="C1014" s="0" t="s">
        <v>85</v>
      </c>
      <c r="D1014" s="0" t="n">
        <v>191</v>
      </c>
      <c r="E1014" s="0" t="s">
        <v>40</v>
      </c>
      <c r="F1014" s="0" t="n">
        <v>2</v>
      </c>
      <c r="G1014" s="0" t="str">
        <f aca="false">CONCATENATE(B1014, "-",C1014, "-", D1014, "-", F1014)</f>
        <v>M0113-A-191-2</v>
      </c>
      <c r="H1014" s="0" t="n">
        <v>298.99</v>
      </c>
      <c r="I1014" s="0" t="n">
        <v>299.83</v>
      </c>
    </row>
    <row r="1015" customFormat="false" ht="14.25" hidden="false" customHeight="false" outlineLevel="0" collapsed="false">
      <c r="A1015" s="0" t="n">
        <v>501</v>
      </c>
      <c r="B1015" s="0" t="s">
        <v>90</v>
      </c>
      <c r="C1015" s="0" t="s">
        <v>85</v>
      </c>
      <c r="D1015" s="0" t="n">
        <v>192</v>
      </c>
      <c r="E1015" s="0" t="s">
        <v>40</v>
      </c>
      <c r="F1015" s="0" t="n">
        <v>1</v>
      </c>
      <c r="G1015" s="0" t="str">
        <f aca="false">CONCATENATE(B1015, "-",C1015, "-", D1015, "-", F1015)</f>
        <v>M0113-A-192-1</v>
      </c>
      <c r="H1015" s="0" t="n">
        <v>299.83</v>
      </c>
      <c r="I1015" s="0" t="n">
        <v>300.97</v>
      </c>
    </row>
    <row r="1016" customFormat="false" ht="14.25" hidden="false" customHeight="false" outlineLevel="0" collapsed="false">
      <c r="A1016" s="0" t="n">
        <v>501</v>
      </c>
      <c r="B1016" s="0" t="s">
        <v>90</v>
      </c>
      <c r="C1016" s="0" t="s">
        <v>85</v>
      </c>
      <c r="D1016" s="0" t="n">
        <v>193</v>
      </c>
      <c r="E1016" s="0" t="s">
        <v>40</v>
      </c>
      <c r="F1016" s="0" t="n">
        <v>1</v>
      </c>
      <c r="G1016" s="0" t="str">
        <f aca="false">CONCATENATE(B1016, "-",C1016, "-", D1016, "-", F1016)</f>
        <v>M0113-A-193-1</v>
      </c>
      <c r="H1016" s="0" t="n">
        <v>300.97</v>
      </c>
      <c r="I1016" s="0" t="n">
        <v>301.43</v>
      </c>
    </row>
    <row r="1017" customFormat="false" ht="14.25" hidden="false" customHeight="false" outlineLevel="0" collapsed="false">
      <c r="A1017" s="0" t="n">
        <v>501</v>
      </c>
      <c r="B1017" s="0" t="s">
        <v>90</v>
      </c>
      <c r="C1017" s="0" t="s">
        <v>85</v>
      </c>
      <c r="D1017" s="0" t="n">
        <v>193</v>
      </c>
      <c r="E1017" s="0" t="s">
        <v>40</v>
      </c>
      <c r="F1017" s="0" t="n">
        <v>2</v>
      </c>
      <c r="G1017" s="0" t="str">
        <f aca="false">CONCATENATE(B1017, "-",C1017, "-", D1017, "-", F1017)</f>
        <v>M0113-A-193-2</v>
      </c>
      <c r="H1017" s="0" t="n">
        <v>301.43</v>
      </c>
      <c r="I1017" s="0" t="n">
        <v>301.82</v>
      </c>
    </row>
    <row r="1018" customFormat="false" ht="14.25" hidden="false" customHeight="false" outlineLevel="0" collapsed="false">
      <c r="A1018" s="0" t="n">
        <v>501</v>
      </c>
      <c r="B1018" s="0" t="s">
        <v>90</v>
      </c>
      <c r="C1018" s="0" t="s">
        <v>85</v>
      </c>
      <c r="D1018" s="0" t="n">
        <v>194</v>
      </c>
      <c r="E1018" s="0" t="s">
        <v>40</v>
      </c>
      <c r="F1018" s="0" t="n">
        <v>1</v>
      </c>
      <c r="G1018" s="0" t="str">
        <f aca="false">CONCATENATE(B1018, "-",C1018, "-", D1018, "-", F1018)</f>
        <v>M0113-A-194-1</v>
      </c>
      <c r="H1018" s="0" t="n">
        <v>301.82</v>
      </c>
      <c r="I1018" s="0" t="n">
        <v>301.95</v>
      </c>
    </row>
    <row r="1019" customFormat="false" ht="14.25" hidden="false" customHeight="false" outlineLevel="0" collapsed="false">
      <c r="A1019" s="0" t="n">
        <v>501</v>
      </c>
      <c r="B1019" s="0" t="s">
        <v>90</v>
      </c>
      <c r="C1019" s="0" t="s">
        <v>85</v>
      </c>
      <c r="D1019" s="0" t="n">
        <v>194</v>
      </c>
      <c r="E1019" s="0" t="s">
        <v>40</v>
      </c>
      <c r="F1019" s="0" t="n">
        <v>2</v>
      </c>
      <c r="G1019" s="0" t="str">
        <f aca="false">CONCATENATE(B1019, "-",C1019, "-", D1019, "-", F1019)</f>
        <v>M0113-A-194-2</v>
      </c>
      <c r="H1019" s="0" t="n">
        <v>301.95</v>
      </c>
      <c r="I1019" s="0" t="n">
        <v>302.1</v>
      </c>
    </row>
    <row r="1020" customFormat="false" ht="14.25" hidden="false" customHeight="false" outlineLevel="0" collapsed="false">
      <c r="A1020" s="0" t="n">
        <v>501</v>
      </c>
      <c r="B1020" s="0" t="s">
        <v>90</v>
      </c>
      <c r="C1020" s="0" t="s">
        <v>85</v>
      </c>
      <c r="D1020" s="0" t="n">
        <v>194</v>
      </c>
      <c r="E1020" s="0" t="s">
        <v>40</v>
      </c>
      <c r="F1020" s="0" t="n">
        <v>3</v>
      </c>
      <c r="G1020" s="0" t="str">
        <f aca="false">CONCATENATE(B1020, "-",C1020, "-", D1020, "-", F1020)</f>
        <v>M0113-A-194-3</v>
      </c>
      <c r="H1020" s="0" t="n">
        <v>302.1</v>
      </c>
      <c r="I1020" s="0" t="n">
        <v>302.69</v>
      </c>
    </row>
    <row r="1021" customFormat="false" ht="14.25" hidden="false" customHeight="false" outlineLevel="0" collapsed="false">
      <c r="A1021" s="0" t="n">
        <v>501</v>
      </c>
      <c r="B1021" s="0" t="s">
        <v>90</v>
      </c>
      <c r="C1021" s="0" t="s">
        <v>85</v>
      </c>
      <c r="D1021" s="0" t="n">
        <v>195</v>
      </c>
      <c r="E1021" s="0" t="s">
        <v>40</v>
      </c>
      <c r="F1021" s="0" t="n">
        <v>1</v>
      </c>
      <c r="G1021" s="0" t="str">
        <f aca="false">CONCATENATE(B1021, "-",C1021, "-", D1021, "-", F1021)</f>
        <v>M0113-A-195-1</v>
      </c>
      <c r="H1021" s="0" t="n">
        <v>302.69</v>
      </c>
      <c r="I1021" s="0" t="n">
        <v>303.26</v>
      </c>
    </row>
    <row r="1022" customFormat="false" ht="14.25" hidden="false" customHeight="false" outlineLevel="0" collapsed="false">
      <c r="A1022" s="0" t="n">
        <v>501</v>
      </c>
      <c r="B1022" s="0" t="s">
        <v>90</v>
      </c>
      <c r="C1022" s="0" t="s">
        <v>85</v>
      </c>
      <c r="D1022" s="0" t="n">
        <v>196</v>
      </c>
      <c r="E1022" s="0" t="s">
        <v>40</v>
      </c>
      <c r="F1022" s="0" t="n">
        <v>1</v>
      </c>
      <c r="G1022" s="0" t="str">
        <f aca="false">CONCATENATE(B1022, "-",C1022, "-", D1022, "-", F1022)</f>
        <v>M0113-A-196-1</v>
      </c>
      <c r="H1022" s="0" t="n">
        <v>303.26</v>
      </c>
      <c r="I1022" s="0" t="n">
        <v>304.36</v>
      </c>
    </row>
    <row r="1023" customFormat="false" ht="14.25" hidden="false" customHeight="false" outlineLevel="0" collapsed="false">
      <c r="A1023" s="0" t="n">
        <v>501</v>
      </c>
      <c r="B1023" s="0" t="s">
        <v>90</v>
      </c>
      <c r="C1023" s="0" t="s">
        <v>85</v>
      </c>
      <c r="D1023" s="0" t="n">
        <v>196</v>
      </c>
      <c r="E1023" s="0" t="s">
        <v>40</v>
      </c>
      <c r="F1023" s="0" t="n">
        <v>2</v>
      </c>
      <c r="G1023" s="0" t="str">
        <f aca="false">CONCATENATE(B1023, "-",C1023, "-", D1023, "-", F1023)</f>
        <v>M0113-A-196-2</v>
      </c>
      <c r="H1023" s="0" t="n">
        <v>304.36</v>
      </c>
      <c r="I1023" s="0" t="n">
        <v>304.79</v>
      </c>
    </row>
    <row r="1024" customFormat="false" ht="14.25" hidden="false" customHeight="false" outlineLevel="0" collapsed="false">
      <c r="A1024" s="0" t="n">
        <v>501</v>
      </c>
      <c r="B1024" s="0" t="s">
        <v>90</v>
      </c>
      <c r="C1024" s="0" t="s">
        <v>85</v>
      </c>
      <c r="D1024" s="0" t="n">
        <v>197</v>
      </c>
      <c r="E1024" s="0" t="s">
        <v>40</v>
      </c>
      <c r="F1024" s="0" t="n">
        <v>1</v>
      </c>
      <c r="G1024" s="0" t="str">
        <f aca="false">CONCATENATE(B1024, "-",C1024, "-", D1024, "-", F1024)</f>
        <v>M0113-A-197-1</v>
      </c>
      <c r="H1024" s="0" t="n">
        <v>304.79</v>
      </c>
      <c r="I1024" s="0" t="n">
        <v>305.22</v>
      </c>
    </row>
    <row r="1025" customFormat="false" ht="14.25" hidden="false" customHeight="false" outlineLevel="0" collapsed="false">
      <c r="A1025" s="0" t="n">
        <v>501</v>
      </c>
      <c r="B1025" s="0" t="s">
        <v>90</v>
      </c>
      <c r="C1025" s="0" t="s">
        <v>85</v>
      </c>
      <c r="D1025" s="0" t="n">
        <v>197</v>
      </c>
      <c r="E1025" s="0" t="s">
        <v>40</v>
      </c>
      <c r="F1025" s="0" t="n">
        <v>2</v>
      </c>
      <c r="G1025" s="0" t="str">
        <f aca="false">CONCATENATE(B1025, "-",C1025, "-", D1025, "-", F1025)</f>
        <v>M0113-A-197-2</v>
      </c>
      <c r="H1025" s="0" t="n">
        <v>305.22</v>
      </c>
      <c r="I1025" s="0" t="n">
        <v>305.41</v>
      </c>
    </row>
    <row r="1026" customFormat="false" ht="14.25" hidden="false" customHeight="false" outlineLevel="0" collapsed="false">
      <c r="A1026" s="0" t="n">
        <v>501</v>
      </c>
      <c r="B1026" s="0" t="s">
        <v>90</v>
      </c>
      <c r="C1026" s="0" t="s">
        <v>85</v>
      </c>
      <c r="D1026" s="0" t="n">
        <v>198</v>
      </c>
      <c r="E1026" s="0" t="s">
        <v>40</v>
      </c>
      <c r="F1026" s="0" t="n">
        <v>1</v>
      </c>
      <c r="G1026" s="0" t="str">
        <f aca="false">CONCATENATE(B1026, "-",C1026, "-", D1026, "-", F1026)</f>
        <v>M0113-A-198-1</v>
      </c>
      <c r="H1026" s="0" t="n">
        <v>305.41</v>
      </c>
      <c r="I1026" s="0" t="n">
        <v>305.49</v>
      </c>
    </row>
    <row r="1027" customFormat="false" ht="14.25" hidden="false" customHeight="false" outlineLevel="0" collapsed="false">
      <c r="A1027" s="0" t="n">
        <v>501</v>
      </c>
      <c r="B1027" s="0" t="s">
        <v>90</v>
      </c>
      <c r="C1027" s="0" t="s">
        <v>85</v>
      </c>
      <c r="D1027" s="0" t="n">
        <v>198</v>
      </c>
      <c r="E1027" s="0" t="s">
        <v>40</v>
      </c>
      <c r="F1027" s="0" t="n">
        <v>2</v>
      </c>
      <c r="G1027" s="0" t="str">
        <f aca="false">CONCATENATE(B1027, "-",C1027, "-", D1027, "-", F1027)</f>
        <v>M0113-A-198-2</v>
      </c>
      <c r="H1027" s="0" t="n">
        <v>305.49</v>
      </c>
      <c r="I1027" s="0" t="n">
        <v>306.04</v>
      </c>
    </row>
    <row r="1028" customFormat="false" ht="14.25" hidden="false" customHeight="false" outlineLevel="0" collapsed="false">
      <c r="A1028" s="0" t="n">
        <v>501</v>
      </c>
      <c r="B1028" s="0" t="s">
        <v>90</v>
      </c>
      <c r="C1028" s="0" t="s">
        <v>85</v>
      </c>
      <c r="D1028" s="0" t="n">
        <v>199</v>
      </c>
      <c r="E1028" s="0" t="s">
        <v>40</v>
      </c>
      <c r="F1028" s="0" t="n">
        <v>1</v>
      </c>
      <c r="G1028" s="0" t="str">
        <f aca="false">CONCATENATE(B1028, "-",C1028, "-", D1028, "-", F1028)</f>
        <v>M0113-A-199-1</v>
      </c>
      <c r="H1028" s="0" t="n">
        <v>306.04</v>
      </c>
      <c r="I1028" s="0" t="n">
        <v>306.46</v>
      </c>
    </row>
    <row r="1029" customFormat="false" ht="14.25" hidden="false" customHeight="false" outlineLevel="0" collapsed="false">
      <c r="A1029" s="0" t="n">
        <v>501</v>
      </c>
      <c r="B1029" s="0" t="s">
        <v>90</v>
      </c>
      <c r="C1029" s="0" t="s">
        <v>85</v>
      </c>
      <c r="D1029" s="0" t="n">
        <v>200</v>
      </c>
      <c r="E1029" s="0" t="s">
        <v>44</v>
      </c>
      <c r="F1029" s="0" t="n">
        <v>1</v>
      </c>
      <c r="G1029" s="0" t="str">
        <f aca="false">CONCATENATE(B1029, "-",C1029, "-", D1029, "-", F1029)</f>
        <v>M0113-A-200-1</v>
      </c>
      <c r="H1029" s="0" t="n">
        <v>306.46</v>
      </c>
      <c r="I1029" s="0" t="n">
        <v>307.12</v>
      </c>
    </row>
    <row r="1030" customFormat="false" ht="14.25" hidden="false" customHeight="false" outlineLevel="0" collapsed="false">
      <c r="A1030" s="0" t="n">
        <v>501</v>
      </c>
      <c r="B1030" s="0" t="s">
        <v>90</v>
      </c>
      <c r="C1030" s="0" t="s">
        <v>85</v>
      </c>
      <c r="D1030" s="0" t="n">
        <v>200</v>
      </c>
      <c r="E1030" s="0" t="s">
        <v>44</v>
      </c>
      <c r="F1030" s="0" t="n">
        <v>2</v>
      </c>
      <c r="G1030" s="0" t="str">
        <f aca="false">CONCATENATE(B1030, "-",C1030, "-", D1030, "-", F1030)</f>
        <v>M0113-A-200-2</v>
      </c>
      <c r="H1030" s="0" t="n">
        <v>307.12</v>
      </c>
      <c r="I1030" s="0" t="n">
        <v>307.45</v>
      </c>
    </row>
    <row r="1031" customFormat="false" ht="14.25" hidden="false" customHeight="false" outlineLevel="0" collapsed="false">
      <c r="A1031" s="0" t="n">
        <v>501</v>
      </c>
      <c r="B1031" s="0" t="s">
        <v>90</v>
      </c>
      <c r="C1031" s="0" t="s">
        <v>85</v>
      </c>
      <c r="D1031" s="0" t="n">
        <v>200</v>
      </c>
      <c r="E1031" s="0" t="s">
        <v>44</v>
      </c>
      <c r="F1031" s="0" t="n">
        <v>3</v>
      </c>
      <c r="G1031" s="0" t="str">
        <f aca="false">CONCATENATE(B1031, "-",C1031, "-", D1031, "-", F1031)</f>
        <v>M0113-A-200-3</v>
      </c>
      <c r="H1031" s="0" t="n">
        <v>307.45</v>
      </c>
      <c r="I1031" s="0" t="n">
        <v>307.53</v>
      </c>
    </row>
    <row r="1032" customFormat="false" ht="14.25" hidden="false" customHeight="false" outlineLevel="0" collapsed="false">
      <c r="A1032" s="0" t="n">
        <v>501</v>
      </c>
      <c r="B1032" s="0" t="s">
        <v>90</v>
      </c>
      <c r="C1032" s="0" t="s">
        <v>85</v>
      </c>
      <c r="D1032" s="0" t="n">
        <v>201</v>
      </c>
      <c r="E1032" s="0" t="s">
        <v>44</v>
      </c>
      <c r="F1032" s="0" t="n">
        <v>1</v>
      </c>
      <c r="G1032" s="0" t="str">
        <f aca="false">CONCATENATE(B1032, "-",C1032, "-", D1032, "-", F1032)</f>
        <v>M0113-A-201-1</v>
      </c>
      <c r="H1032" s="0" t="n">
        <v>308.49</v>
      </c>
      <c r="I1032" s="0" t="n">
        <v>308.94</v>
      </c>
    </row>
    <row r="1033" customFormat="false" ht="14.25" hidden="false" customHeight="false" outlineLevel="0" collapsed="false">
      <c r="A1033" s="0" t="n">
        <v>501</v>
      </c>
      <c r="B1033" s="0" t="s">
        <v>90</v>
      </c>
      <c r="C1033" s="0" t="s">
        <v>85</v>
      </c>
      <c r="D1033" s="0" t="n">
        <v>201</v>
      </c>
      <c r="E1033" s="0" t="s">
        <v>44</v>
      </c>
      <c r="F1033" s="0" t="n">
        <v>2</v>
      </c>
      <c r="G1033" s="0" t="str">
        <f aca="false">CONCATENATE(B1033, "-",C1033, "-", D1033, "-", F1033)</f>
        <v>M0113-A-201-2</v>
      </c>
      <c r="H1033" s="0" t="n">
        <v>308.94</v>
      </c>
      <c r="I1033" s="0" t="n">
        <v>309.29</v>
      </c>
    </row>
    <row r="1034" customFormat="false" ht="14.25" hidden="false" customHeight="false" outlineLevel="0" collapsed="false">
      <c r="A1034" s="0" t="n">
        <v>501</v>
      </c>
      <c r="B1034" s="0" t="s">
        <v>90</v>
      </c>
      <c r="C1034" s="0" t="s">
        <v>85</v>
      </c>
      <c r="D1034" s="0" t="n">
        <v>202</v>
      </c>
      <c r="E1034" s="0" t="s">
        <v>44</v>
      </c>
      <c r="F1034" s="0" t="n">
        <v>1</v>
      </c>
      <c r="G1034" s="0" t="str">
        <f aca="false">CONCATENATE(B1034, "-",C1034, "-", D1034, "-", F1034)</f>
        <v>M0113-A-202-1</v>
      </c>
      <c r="H1034" s="0" t="n">
        <v>311.49</v>
      </c>
      <c r="I1034" s="0" t="n">
        <v>311.99</v>
      </c>
    </row>
    <row r="1035" customFormat="false" ht="14.25" hidden="false" customHeight="false" outlineLevel="0" collapsed="false">
      <c r="A1035" s="0" t="n">
        <v>501</v>
      </c>
      <c r="B1035" s="0" t="s">
        <v>90</v>
      </c>
      <c r="C1035" s="0" t="s">
        <v>85</v>
      </c>
      <c r="D1035" s="0" t="n">
        <v>203</v>
      </c>
      <c r="E1035" s="0" t="s">
        <v>44</v>
      </c>
      <c r="F1035" s="0" t="n">
        <v>1</v>
      </c>
      <c r="G1035" s="0" t="str">
        <f aca="false">CONCATENATE(B1035, "-",C1035, "-", D1035, "-", F1035)</f>
        <v>M0113-A-203-1</v>
      </c>
      <c r="H1035" s="0" t="n">
        <v>312.99</v>
      </c>
      <c r="I1035" s="0" t="n">
        <v>313.99</v>
      </c>
    </row>
    <row r="1036" customFormat="false" ht="14.25" hidden="false" customHeight="false" outlineLevel="0" collapsed="false">
      <c r="A1036" s="0" t="n">
        <v>501</v>
      </c>
      <c r="B1036" s="0" t="s">
        <v>90</v>
      </c>
      <c r="C1036" s="0" t="s">
        <v>85</v>
      </c>
      <c r="D1036" s="0" t="n">
        <v>203</v>
      </c>
      <c r="E1036" s="0" t="s">
        <v>44</v>
      </c>
      <c r="F1036" s="0" t="n">
        <v>2</v>
      </c>
      <c r="G1036" s="0" t="str">
        <f aca="false">CONCATENATE(B1036, "-",C1036, "-", D1036, "-", F1036)</f>
        <v>M0113-A-203-2</v>
      </c>
      <c r="H1036" s="0" t="n">
        <v>313.99</v>
      </c>
      <c r="I1036" s="0" t="n">
        <v>314.55</v>
      </c>
    </row>
    <row r="1037" customFormat="false" ht="14.25" hidden="false" customHeight="false" outlineLevel="0" collapsed="false">
      <c r="A1037" s="0" t="n">
        <v>501</v>
      </c>
      <c r="B1037" s="0" t="s">
        <v>90</v>
      </c>
      <c r="C1037" s="0" t="s">
        <v>85</v>
      </c>
      <c r="D1037" s="0" t="n">
        <v>204</v>
      </c>
      <c r="E1037" s="0" t="s">
        <v>44</v>
      </c>
      <c r="F1037" s="0" t="n">
        <v>1</v>
      </c>
      <c r="G1037" s="0" t="str">
        <f aca="false">CONCATENATE(B1037, "-",C1037, "-", D1037, "-", F1037)</f>
        <v>M0113-A-204-1</v>
      </c>
      <c r="H1037" s="0" t="n">
        <v>314.49</v>
      </c>
      <c r="I1037" s="0" t="n">
        <v>314.89</v>
      </c>
    </row>
    <row r="1038" customFormat="false" ht="14.25" hidden="false" customHeight="false" outlineLevel="0" collapsed="false">
      <c r="A1038" s="0" t="n">
        <v>501</v>
      </c>
      <c r="B1038" s="0" t="s">
        <v>90</v>
      </c>
      <c r="C1038" s="0" t="s">
        <v>85</v>
      </c>
      <c r="D1038" s="0" t="n">
        <v>204</v>
      </c>
      <c r="E1038" s="0" t="s">
        <v>44</v>
      </c>
      <c r="F1038" s="0" t="n">
        <v>2</v>
      </c>
      <c r="G1038" s="0" t="str">
        <f aca="false">CONCATENATE(B1038, "-",C1038, "-", D1038, "-", F1038)</f>
        <v>M0113-A-204-2</v>
      </c>
      <c r="H1038" s="0" t="n">
        <v>314.89</v>
      </c>
      <c r="I1038" s="0" t="n">
        <v>314.99</v>
      </c>
    </row>
    <row r="1039" customFormat="false" ht="14.25" hidden="false" customHeight="false" outlineLevel="0" collapsed="false">
      <c r="A1039" s="0" t="n">
        <v>501</v>
      </c>
      <c r="B1039" s="0" t="s">
        <v>90</v>
      </c>
      <c r="C1039" s="0" t="s">
        <v>85</v>
      </c>
      <c r="D1039" s="0" t="n">
        <v>205</v>
      </c>
      <c r="E1039" s="0" t="s">
        <v>44</v>
      </c>
      <c r="F1039" s="0" t="n">
        <v>1</v>
      </c>
      <c r="G1039" s="0" t="str">
        <f aca="false">CONCATENATE(B1039, "-",C1039, "-", D1039, "-", F1039)</f>
        <v>M0113-A-205-1</v>
      </c>
      <c r="H1039" s="0" t="n">
        <v>315.99</v>
      </c>
      <c r="I1039" s="0" t="n">
        <v>316.99</v>
      </c>
    </row>
    <row r="1040" customFormat="false" ht="14.25" hidden="false" customHeight="false" outlineLevel="0" collapsed="false">
      <c r="A1040" s="0" t="n">
        <v>501</v>
      </c>
      <c r="B1040" s="0" t="s">
        <v>90</v>
      </c>
      <c r="C1040" s="0" t="s">
        <v>85</v>
      </c>
      <c r="D1040" s="0" t="n">
        <v>205</v>
      </c>
      <c r="E1040" s="0" t="s">
        <v>44</v>
      </c>
      <c r="F1040" s="0" t="n">
        <v>2</v>
      </c>
      <c r="G1040" s="0" t="str">
        <f aca="false">CONCATENATE(B1040, "-",C1040, "-", D1040, "-", F1040)</f>
        <v>M0113-A-205-2</v>
      </c>
      <c r="H1040" s="0" t="n">
        <v>316.99</v>
      </c>
      <c r="I1040" s="0" t="n">
        <v>317.43</v>
      </c>
    </row>
    <row r="1041" customFormat="false" ht="14.25" hidden="false" customHeight="false" outlineLevel="0" collapsed="false">
      <c r="A1041" s="0" t="n">
        <v>501</v>
      </c>
      <c r="B1041" s="0" t="s">
        <v>90</v>
      </c>
      <c r="C1041" s="0" t="s">
        <v>85</v>
      </c>
      <c r="D1041" s="0" t="n">
        <v>205</v>
      </c>
      <c r="E1041" s="0" t="s">
        <v>44</v>
      </c>
      <c r="F1041" s="0" t="n">
        <v>3</v>
      </c>
      <c r="G1041" s="0" t="str">
        <f aca="false">CONCATENATE(B1041, "-",C1041, "-", D1041, "-", F1041)</f>
        <v>M0113-A-205-3</v>
      </c>
      <c r="H1041" s="0" t="n">
        <v>317.43</v>
      </c>
      <c r="I1041" s="0" t="n">
        <v>317.56</v>
      </c>
    </row>
    <row r="1042" customFormat="false" ht="14.25" hidden="false" customHeight="false" outlineLevel="0" collapsed="false">
      <c r="A1042" s="0" t="n">
        <v>501</v>
      </c>
      <c r="B1042" s="0" t="s">
        <v>90</v>
      </c>
      <c r="C1042" s="0" t="s">
        <v>85</v>
      </c>
      <c r="D1042" s="0" t="n">
        <v>206</v>
      </c>
      <c r="E1042" s="0" t="s">
        <v>44</v>
      </c>
      <c r="F1042" s="0" t="n">
        <v>1</v>
      </c>
      <c r="G1042" s="0" t="str">
        <f aca="false">CONCATENATE(B1042, "-",C1042, "-", D1042, "-", F1042)</f>
        <v>M0113-A-206-1</v>
      </c>
      <c r="H1042" s="0" t="n">
        <v>317.49</v>
      </c>
      <c r="I1042" s="0" t="n">
        <v>318.92</v>
      </c>
    </row>
    <row r="1043" customFormat="false" ht="14.25" hidden="false" customHeight="false" outlineLevel="0" collapsed="false">
      <c r="A1043" s="0" t="n">
        <v>501</v>
      </c>
      <c r="B1043" s="0" t="s">
        <v>90</v>
      </c>
      <c r="C1043" s="0" t="s">
        <v>85</v>
      </c>
      <c r="D1043" s="0" t="n">
        <v>207</v>
      </c>
      <c r="E1043" s="0" t="s">
        <v>44</v>
      </c>
      <c r="F1043" s="0" t="n">
        <v>1</v>
      </c>
      <c r="G1043" s="0" t="str">
        <f aca="false">CONCATENATE(B1043, "-",C1043, "-", D1043, "-", F1043)</f>
        <v>M0113-A-207-1</v>
      </c>
      <c r="H1043" s="0" t="n">
        <v>318.99</v>
      </c>
      <c r="I1043" s="0" t="n">
        <v>319.99</v>
      </c>
    </row>
    <row r="1044" customFormat="false" ht="14.25" hidden="false" customHeight="false" outlineLevel="0" collapsed="false">
      <c r="A1044" s="0" t="n">
        <v>501</v>
      </c>
      <c r="B1044" s="0" t="s">
        <v>90</v>
      </c>
      <c r="C1044" s="0" t="s">
        <v>85</v>
      </c>
      <c r="D1044" s="0" t="n">
        <v>207</v>
      </c>
      <c r="E1044" s="0" t="s">
        <v>44</v>
      </c>
      <c r="F1044" s="0" t="n">
        <v>2</v>
      </c>
      <c r="G1044" s="0" t="str">
        <f aca="false">CONCATENATE(B1044, "-",C1044, "-", D1044, "-", F1044)</f>
        <v>M0113-A-207-2</v>
      </c>
      <c r="H1044" s="0" t="n">
        <v>319.99</v>
      </c>
      <c r="I1044" s="0" t="n">
        <v>320.56</v>
      </c>
    </row>
    <row r="1045" customFormat="false" ht="14.25" hidden="false" customHeight="false" outlineLevel="0" collapsed="false">
      <c r="A1045" s="0" t="n">
        <v>501</v>
      </c>
      <c r="B1045" s="0" t="s">
        <v>90</v>
      </c>
      <c r="C1045" s="0" t="s">
        <v>85</v>
      </c>
      <c r="D1045" s="0" t="n">
        <v>208</v>
      </c>
      <c r="E1045" s="0" t="s">
        <v>44</v>
      </c>
      <c r="F1045" s="0" t="n">
        <v>1</v>
      </c>
      <c r="G1045" s="0" t="str">
        <f aca="false">CONCATENATE(B1045, "-",C1045, "-", D1045, "-", F1045)</f>
        <v>M0113-A-208-1</v>
      </c>
      <c r="H1045" s="0" t="n">
        <v>320.49</v>
      </c>
      <c r="I1045" s="0" t="n">
        <v>321.77</v>
      </c>
    </row>
    <row r="1046" customFormat="false" ht="14.25" hidden="false" customHeight="false" outlineLevel="0" collapsed="false">
      <c r="A1046" s="0" t="n">
        <v>501</v>
      </c>
      <c r="B1046" s="0" t="s">
        <v>90</v>
      </c>
      <c r="C1046" s="0" t="s">
        <v>85</v>
      </c>
      <c r="D1046" s="0" t="n">
        <v>209</v>
      </c>
      <c r="E1046" s="0" t="s">
        <v>44</v>
      </c>
      <c r="F1046" s="0" t="n">
        <v>1</v>
      </c>
      <c r="G1046" s="0" t="str">
        <f aca="false">CONCATENATE(B1046, "-",C1046, "-", D1046, "-", F1046)</f>
        <v>M0113-A-209-1</v>
      </c>
      <c r="H1046" s="0" t="n">
        <v>321.99</v>
      </c>
      <c r="I1046" s="0" t="n">
        <v>323.49</v>
      </c>
    </row>
    <row r="1047" customFormat="false" ht="14.25" hidden="false" customHeight="false" outlineLevel="0" collapsed="false">
      <c r="A1047" s="0" t="n">
        <v>501</v>
      </c>
      <c r="B1047" s="0" t="s">
        <v>90</v>
      </c>
      <c r="C1047" s="0" t="s">
        <v>85</v>
      </c>
      <c r="D1047" s="0" t="n">
        <v>209</v>
      </c>
      <c r="E1047" s="0" t="s">
        <v>44</v>
      </c>
      <c r="F1047" s="0" t="n">
        <v>2</v>
      </c>
      <c r="G1047" s="0" t="str">
        <f aca="false">CONCATENATE(B1047, "-",C1047, "-", D1047, "-", F1047)</f>
        <v>M0113-A-209-2</v>
      </c>
      <c r="H1047" s="0" t="n">
        <v>323.49</v>
      </c>
      <c r="I1047" s="0" t="n">
        <v>323.89</v>
      </c>
    </row>
    <row r="1048" customFormat="false" ht="14.25" hidden="false" customHeight="false" outlineLevel="0" collapsed="false">
      <c r="A1048" s="0" t="n">
        <v>501</v>
      </c>
      <c r="B1048" s="0" t="s">
        <v>90</v>
      </c>
      <c r="C1048" s="0" t="s">
        <v>85</v>
      </c>
      <c r="D1048" s="0" t="n">
        <v>210</v>
      </c>
      <c r="E1048" s="0" t="s">
        <v>44</v>
      </c>
      <c r="F1048" s="0" t="n">
        <v>1</v>
      </c>
      <c r="G1048" s="0" t="str">
        <f aca="false">CONCATENATE(B1048, "-",C1048, "-", D1048, "-", F1048)</f>
        <v>M0113-A-210-1</v>
      </c>
      <c r="H1048" s="0" t="n">
        <v>323.49</v>
      </c>
      <c r="I1048" s="0" t="n">
        <v>324.01</v>
      </c>
    </row>
    <row r="1049" customFormat="false" ht="14.25" hidden="false" customHeight="false" outlineLevel="0" collapsed="false">
      <c r="A1049" s="0" t="n">
        <v>501</v>
      </c>
      <c r="B1049" s="0" t="s">
        <v>90</v>
      </c>
      <c r="C1049" s="0" t="s">
        <v>85</v>
      </c>
      <c r="D1049" s="0" t="n">
        <v>210</v>
      </c>
      <c r="E1049" s="0" t="s">
        <v>44</v>
      </c>
      <c r="F1049" s="0" t="n">
        <v>2</v>
      </c>
      <c r="G1049" s="0" t="str">
        <f aca="false">CONCATENATE(B1049, "-",C1049, "-", D1049, "-", F1049)</f>
        <v>M0113-A-210-2</v>
      </c>
      <c r="H1049" s="0" t="n">
        <v>324.01</v>
      </c>
      <c r="I1049" s="0" t="n">
        <v>325.1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3"/>
  <sheetViews>
    <sheetView showFormulas="false" showGridLines="true" showRowColHeaders="true" showZeros="true" rightToLeft="false" tabSelected="false" showOutlineSymbols="true" defaultGridColor="true" view="normal" topLeftCell="A43" colorId="64" zoomScale="200" zoomScaleNormal="200" zoomScalePageLayoutView="100" workbookViewId="0">
      <selection pane="topLeft" activeCell="C64" activeCellId="0" sqref="C64"/>
    </sheetView>
  </sheetViews>
  <sheetFormatPr defaultColWidth="8.6328125" defaultRowHeight="14.25" customHeight="true" zeroHeight="false" outlineLevelRow="0" outlineLevelCol="0"/>
  <cols>
    <col collapsed="false" customWidth="false" hidden="false" outlineLevel="0" max="1" min="1" style="40" width="8.63"/>
    <col collapsed="false" customWidth="true" hidden="false" outlineLevel="0" max="2" min="2" style="40" width="11.36"/>
    <col collapsed="false" customWidth="true" hidden="false" outlineLevel="0" max="3" min="3" style="40" width="9.63"/>
    <col collapsed="false" customWidth="true" hidden="false" outlineLevel="0" max="4" min="4" style="40" width="9.36"/>
  </cols>
  <sheetData>
    <row r="1" customFormat="false" ht="14.25" hidden="false" customHeight="false" outlineLevel="0" collapsed="false">
      <c r="A1" s="40" t="s">
        <v>91</v>
      </c>
      <c r="B1" s="40" t="s">
        <v>92</v>
      </c>
      <c r="C1" s="40" t="s">
        <v>93</v>
      </c>
    </row>
    <row r="2" customFormat="false" ht="19.7" hidden="false" customHeight="false" outlineLevel="0" collapsed="false">
      <c r="A2" s="40" t="n">
        <v>91</v>
      </c>
      <c r="B2" s="40" t="n">
        <v>9.5239</v>
      </c>
      <c r="C2" s="40" t="n">
        <f aca="false">B2/2.23</f>
        <v>4.27080717488789</v>
      </c>
      <c r="F2" s="41" t="s">
        <v>94</v>
      </c>
    </row>
    <row r="3" customFormat="false" ht="14.25" hidden="false" customHeight="false" outlineLevel="0" collapsed="false">
      <c r="A3" s="40" t="n">
        <v>92</v>
      </c>
      <c r="B3" s="40" t="n">
        <v>9.1041</v>
      </c>
      <c r="C3" s="40" t="n">
        <f aca="false">B3/2.23</f>
        <v>4.08255605381166</v>
      </c>
    </row>
    <row r="4" customFormat="false" ht="14.25" hidden="false" customHeight="false" outlineLevel="0" collapsed="false">
      <c r="A4" s="40" t="n">
        <v>93</v>
      </c>
      <c r="B4" s="40" t="n">
        <v>9.4765</v>
      </c>
      <c r="C4" s="40" t="n">
        <f aca="false">B4/2.23</f>
        <v>4.24955156950673</v>
      </c>
    </row>
    <row r="5" customFormat="false" ht="14.25" hidden="false" customHeight="false" outlineLevel="0" collapsed="false">
      <c r="A5" s="40" t="n">
        <v>94</v>
      </c>
      <c r="B5" s="40" t="n">
        <v>9.6205</v>
      </c>
      <c r="C5" s="40" t="n">
        <f aca="false">B5/2.23</f>
        <v>4.31412556053812</v>
      </c>
    </row>
    <row r="6" customFormat="false" ht="14.25" hidden="false" customHeight="false" outlineLevel="0" collapsed="false">
      <c r="A6" s="40" t="n">
        <v>95</v>
      </c>
      <c r="B6" s="42" t="n">
        <v>9.3813</v>
      </c>
      <c r="C6" s="42" t="n">
        <f aca="false">B6/2.23</f>
        <v>4.20686098654709</v>
      </c>
    </row>
    <row r="7" customFormat="false" ht="14.25" hidden="false" customHeight="false" outlineLevel="0" collapsed="false">
      <c r="A7" s="40" t="n">
        <v>97</v>
      </c>
      <c r="B7" s="42" t="n">
        <v>9.4983</v>
      </c>
      <c r="C7" s="42" t="n">
        <f aca="false">B7/2.23</f>
        <v>4.25932735426009</v>
      </c>
    </row>
    <row r="8" customFormat="false" ht="14.25" hidden="false" customHeight="false" outlineLevel="0" collapsed="false">
      <c r="A8" s="40" t="n">
        <v>98</v>
      </c>
      <c r="B8" s="42" t="n">
        <v>9.3954</v>
      </c>
      <c r="C8" s="42" t="n">
        <f aca="false">B8/2.23</f>
        <v>4.21318385650224</v>
      </c>
    </row>
    <row r="9" customFormat="false" ht="14.25" hidden="false" customHeight="false" outlineLevel="0" collapsed="false">
      <c r="A9" s="40" t="n">
        <v>99</v>
      </c>
      <c r="B9" s="42" t="n">
        <v>9.327</v>
      </c>
      <c r="C9" s="42" t="n">
        <f aca="false">B9/2.23</f>
        <v>4.18251121076233</v>
      </c>
    </row>
    <row r="10" customFormat="false" ht="14.25" hidden="false" customHeight="false" outlineLevel="0" collapsed="false">
      <c r="A10" s="40" t="n">
        <v>100</v>
      </c>
      <c r="B10" s="42" t="n">
        <v>9.6332</v>
      </c>
      <c r="C10" s="42" t="n">
        <f aca="false">B10/2.23</f>
        <v>4.31982062780269</v>
      </c>
    </row>
    <row r="11" customFormat="false" ht="14.25" hidden="false" customHeight="false" outlineLevel="0" collapsed="false">
      <c r="A11" s="40" t="n">
        <v>151</v>
      </c>
      <c r="B11" s="42" t="n">
        <v>9.7264</v>
      </c>
      <c r="C11" s="42" t="n">
        <f aca="false">B11/2.23</f>
        <v>4.36161434977579</v>
      </c>
    </row>
    <row r="12" customFormat="false" ht="14.25" hidden="false" customHeight="false" outlineLevel="0" collapsed="false">
      <c r="A12" s="40" t="n">
        <v>152</v>
      </c>
      <c r="B12" s="42" t="n">
        <v>9.7155</v>
      </c>
      <c r="C12" s="42" t="n">
        <f aca="false">B12/2.23</f>
        <v>4.3567264573991</v>
      </c>
    </row>
    <row r="13" customFormat="false" ht="14.25" hidden="false" customHeight="false" outlineLevel="0" collapsed="false">
      <c r="A13" s="40" t="n">
        <v>153</v>
      </c>
      <c r="B13" s="42" t="n">
        <v>9.6697</v>
      </c>
      <c r="C13" s="42" t="n">
        <f aca="false">B13/2.23</f>
        <v>4.33618834080718</v>
      </c>
    </row>
    <row r="14" customFormat="false" ht="14.25" hidden="false" customHeight="false" outlineLevel="0" collapsed="false">
      <c r="A14" s="40" t="n">
        <v>154</v>
      </c>
      <c r="B14" s="42" t="n">
        <v>9.7118</v>
      </c>
      <c r="C14" s="42" t="n">
        <f aca="false">B14/2.23</f>
        <v>4.35506726457399</v>
      </c>
    </row>
    <row r="15" customFormat="false" ht="14.25" hidden="false" customHeight="false" outlineLevel="0" collapsed="false">
      <c r="A15" s="40" t="n">
        <v>155</v>
      </c>
      <c r="B15" s="42" t="n">
        <v>9.7377</v>
      </c>
      <c r="C15" s="42" t="n">
        <f aca="false">B15/2.23</f>
        <v>4.36668161434978</v>
      </c>
    </row>
    <row r="16" customFormat="false" ht="14.25" hidden="false" customHeight="false" outlineLevel="0" collapsed="false">
      <c r="A16" s="40" t="n">
        <v>156</v>
      </c>
      <c r="B16" s="42" t="n">
        <v>9.6449</v>
      </c>
      <c r="C16" s="42" t="n">
        <f aca="false">B16/2.23</f>
        <v>4.32506726457399</v>
      </c>
    </row>
    <row r="17" customFormat="false" ht="14.25" hidden="false" customHeight="false" outlineLevel="0" collapsed="false">
      <c r="A17" s="40" t="n">
        <v>157</v>
      </c>
      <c r="B17" s="42" t="n">
        <v>9.6017</v>
      </c>
      <c r="C17" s="42" t="n">
        <f aca="false">B17/2.23</f>
        <v>4.30569506726457</v>
      </c>
    </row>
    <row r="18" customFormat="false" ht="14.25" hidden="false" customHeight="false" outlineLevel="0" collapsed="false">
      <c r="A18" s="40" t="n">
        <v>158</v>
      </c>
      <c r="B18" s="42" t="n">
        <v>9.5899</v>
      </c>
      <c r="C18" s="42" t="n">
        <f aca="false">B18/2.23</f>
        <v>4.30040358744395</v>
      </c>
    </row>
    <row r="19" customFormat="false" ht="14.25" hidden="false" customHeight="false" outlineLevel="0" collapsed="false">
      <c r="A19" s="40" t="n">
        <v>159</v>
      </c>
      <c r="B19" s="42" t="n">
        <v>9.716</v>
      </c>
      <c r="C19" s="42" t="n">
        <f aca="false">B19/2.23</f>
        <v>4.35695067264574</v>
      </c>
    </row>
    <row r="20" customFormat="false" ht="14.25" hidden="false" customHeight="false" outlineLevel="0" collapsed="false">
      <c r="A20" s="40" t="n">
        <v>160</v>
      </c>
      <c r="B20" s="42" t="n">
        <v>9.4581</v>
      </c>
      <c r="C20" s="42" t="n">
        <f aca="false">B20/2.23</f>
        <v>4.24130044843049</v>
      </c>
    </row>
    <row r="21" customFormat="false" ht="14.25" hidden="false" customHeight="false" outlineLevel="0" collapsed="false">
      <c r="A21" s="40" t="n">
        <v>161</v>
      </c>
      <c r="B21" s="42" t="n">
        <v>9.7497</v>
      </c>
      <c r="C21" s="42" t="n">
        <f aca="false">B21/2.23</f>
        <v>4.37206278026906</v>
      </c>
    </row>
    <row r="22" customFormat="false" ht="14.25" hidden="false" customHeight="false" outlineLevel="0" collapsed="false">
      <c r="A22" s="40" t="n">
        <v>162</v>
      </c>
      <c r="B22" s="42" t="n">
        <v>9.8842</v>
      </c>
      <c r="C22" s="42" t="n">
        <f aca="false">B22/2.23</f>
        <v>4.43237668161435</v>
      </c>
    </row>
    <row r="23" customFormat="false" ht="14.25" hidden="false" customHeight="false" outlineLevel="0" collapsed="false">
      <c r="A23" s="40" t="n">
        <v>163</v>
      </c>
      <c r="B23" s="42" t="n">
        <v>9.5631</v>
      </c>
      <c r="C23" s="42" t="n">
        <f aca="false">B23/2.23</f>
        <v>4.28838565022422</v>
      </c>
    </row>
    <row r="24" customFormat="false" ht="14.25" hidden="false" customHeight="false" outlineLevel="0" collapsed="false">
      <c r="A24" s="40" t="n">
        <v>164</v>
      </c>
      <c r="B24" s="42" t="n">
        <v>9.9097</v>
      </c>
      <c r="C24" s="42" t="n">
        <f aca="false">B24/2.23</f>
        <v>4.44381165919283</v>
      </c>
    </row>
    <row r="25" customFormat="false" ht="14.25" hidden="false" customHeight="false" outlineLevel="0" collapsed="false">
      <c r="A25" s="40" t="n">
        <v>165</v>
      </c>
      <c r="B25" s="42" t="n">
        <v>9.8137</v>
      </c>
      <c r="C25" s="42" t="n">
        <f aca="false">B25/2.23</f>
        <v>4.40076233183857</v>
      </c>
    </row>
    <row r="26" customFormat="false" ht="14.25" hidden="false" customHeight="false" outlineLevel="0" collapsed="false">
      <c r="A26" s="40" t="n">
        <v>166</v>
      </c>
      <c r="B26" s="42" t="n">
        <v>9.5335</v>
      </c>
      <c r="C26" s="42" t="n">
        <f aca="false">B26/2.23</f>
        <v>4.27511210762332</v>
      </c>
    </row>
    <row r="27" customFormat="false" ht="14.25" hidden="false" customHeight="false" outlineLevel="0" collapsed="false">
      <c r="A27" s="40" t="n">
        <v>167</v>
      </c>
      <c r="B27" s="42" t="n">
        <v>9.8196</v>
      </c>
      <c r="C27" s="42" t="n">
        <f aca="false">B27/2.23</f>
        <v>4.40340807174888</v>
      </c>
    </row>
    <row r="28" customFormat="false" ht="14.25" hidden="false" customHeight="false" outlineLevel="0" collapsed="false">
      <c r="A28" s="40" t="n">
        <v>168</v>
      </c>
      <c r="B28" s="42" t="n">
        <v>9.8671</v>
      </c>
      <c r="C28" s="42" t="n">
        <f aca="false">B28/2.23</f>
        <v>4.42470852017937</v>
      </c>
    </row>
    <row r="29" customFormat="false" ht="14.25" hidden="false" customHeight="false" outlineLevel="0" collapsed="false">
      <c r="A29" s="40" t="n">
        <v>169</v>
      </c>
      <c r="B29" s="42" t="n">
        <v>9.4825</v>
      </c>
      <c r="C29" s="42" t="n">
        <f aca="false">B29/2.23</f>
        <v>4.25224215246637</v>
      </c>
    </row>
    <row r="30" customFormat="false" ht="14.25" hidden="false" customHeight="false" outlineLevel="0" collapsed="false">
      <c r="A30" s="40" t="n">
        <v>170</v>
      </c>
      <c r="B30" s="42" t="n">
        <v>9.595</v>
      </c>
      <c r="C30" s="42" t="n">
        <f aca="false">B30/2.23</f>
        <v>4.30269058295964</v>
      </c>
    </row>
    <row r="31" customFormat="false" ht="14.25" hidden="false" customHeight="false" outlineLevel="0" collapsed="false">
      <c r="A31" s="40" t="n">
        <v>171</v>
      </c>
      <c r="B31" s="42" t="n">
        <v>9.4852</v>
      </c>
      <c r="C31" s="42" t="n">
        <f aca="false">B31/2.23</f>
        <v>4.25345291479821</v>
      </c>
    </row>
    <row r="32" customFormat="false" ht="14.25" hidden="false" customHeight="false" outlineLevel="0" collapsed="false">
      <c r="A32" s="40" t="n">
        <v>172</v>
      </c>
      <c r="B32" s="42" t="n">
        <v>9.5744</v>
      </c>
      <c r="C32" s="42" t="n">
        <f aca="false">B32/2.23</f>
        <v>4.29345291479821</v>
      </c>
    </row>
    <row r="33" customFormat="false" ht="14.25" hidden="false" customHeight="false" outlineLevel="0" collapsed="false">
      <c r="A33" s="40" t="n">
        <v>173</v>
      </c>
      <c r="B33" s="42" t="n">
        <v>9.5055</v>
      </c>
      <c r="C33" s="42" t="n">
        <f aca="false">B33/2.23</f>
        <v>4.26255605381166</v>
      </c>
    </row>
    <row r="34" customFormat="false" ht="14.25" hidden="false" customHeight="false" outlineLevel="0" collapsed="false">
      <c r="A34" s="40" t="n">
        <v>174</v>
      </c>
      <c r="B34" s="42" t="n">
        <v>9.8544</v>
      </c>
      <c r="C34" s="42" t="n">
        <f aca="false">B34/2.23</f>
        <v>4.4190134529148</v>
      </c>
    </row>
    <row r="35" customFormat="false" ht="14.25" hidden="false" customHeight="false" outlineLevel="0" collapsed="false">
      <c r="A35" s="40" t="n">
        <v>175</v>
      </c>
      <c r="B35" s="42" t="n">
        <v>9.6489</v>
      </c>
      <c r="C35" s="42" t="n">
        <f aca="false">B35/2.23</f>
        <v>4.32686098654709</v>
      </c>
    </row>
    <row r="36" customFormat="false" ht="14.25" hidden="false" customHeight="false" outlineLevel="0" collapsed="false">
      <c r="A36" s="40" t="n">
        <v>176</v>
      </c>
      <c r="B36" s="42" t="n">
        <v>9.7192</v>
      </c>
      <c r="C36" s="42" t="n">
        <f aca="false">B36/2.23</f>
        <v>4.35838565022422</v>
      </c>
    </row>
    <row r="37" customFormat="false" ht="14.25" hidden="false" customHeight="false" outlineLevel="0" collapsed="false">
      <c r="A37" s="40" t="n">
        <v>177</v>
      </c>
      <c r="B37" s="42" t="n">
        <v>9.4539</v>
      </c>
      <c r="C37" s="42" t="n">
        <f aca="false">B37/2.23</f>
        <v>4.23941704035875</v>
      </c>
    </row>
    <row r="38" customFormat="false" ht="14.25" hidden="false" customHeight="false" outlineLevel="0" collapsed="false">
      <c r="A38" s="40" t="n">
        <v>178</v>
      </c>
      <c r="B38" s="42" t="n">
        <v>9.6099</v>
      </c>
      <c r="C38" s="42" t="n">
        <f aca="false">B38/2.23</f>
        <v>4.30937219730942</v>
      </c>
    </row>
    <row r="39" customFormat="false" ht="14.25" hidden="false" customHeight="false" outlineLevel="0" collapsed="false">
      <c r="A39" s="40" t="n">
        <v>179</v>
      </c>
      <c r="B39" s="42" t="n">
        <v>9.5829</v>
      </c>
      <c r="C39" s="42" t="n">
        <f aca="false">B39/2.23</f>
        <v>4.29726457399103</v>
      </c>
      <c r="D39" s="43"/>
    </row>
    <row r="40" customFormat="false" ht="14.25" hidden="false" customHeight="false" outlineLevel="0" collapsed="false">
      <c r="A40" s="40" t="n">
        <v>180</v>
      </c>
      <c r="B40" s="42" t="n">
        <v>9.5632</v>
      </c>
      <c r="C40" s="42" t="n">
        <f aca="false">B40/2.23</f>
        <v>4.28843049327354</v>
      </c>
    </row>
    <row r="41" customFormat="false" ht="14.25" hidden="false" customHeight="false" outlineLevel="0" collapsed="false">
      <c r="A41" s="40" t="n">
        <v>181</v>
      </c>
      <c r="B41" s="42" t="n">
        <v>9.5058</v>
      </c>
      <c r="C41" s="42" t="n">
        <f aca="false">B41/2.23</f>
        <v>4.26269058295964</v>
      </c>
    </row>
    <row r="42" customFormat="false" ht="14.25" hidden="false" customHeight="false" outlineLevel="0" collapsed="false">
      <c r="A42" s="40" t="n">
        <v>182</v>
      </c>
      <c r="B42" s="42" t="n">
        <v>9.7033</v>
      </c>
      <c r="C42" s="42" t="n">
        <f aca="false">B42/2.23</f>
        <v>4.35125560538117</v>
      </c>
    </row>
    <row r="43" customFormat="false" ht="14.25" hidden="false" customHeight="false" outlineLevel="0" collapsed="false">
      <c r="A43" s="40" t="n">
        <v>183</v>
      </c>
      <c r="B43" s="42" t="n">
        <v>9.6636</v>
      </c>
      <c r="C43" s="42" t="n">
        <f aca="false">B43/2.23</f>
        <v>4.33345291479821</v>
      </c>
    </row>
    <row r="44" customFormat="false" ht="14.25" hidden="false" customHeight="false" outlineLevel="0" collapsed="false">
      <c r="A44" s="40" t="n">
        <v>184</v>
      </c>
      <c r="B44" s="42" t="n">
        <v>9.8976</v>
      </c>
      <c r="C44" s="42" t="n">
        <f aca="false">B44/2.23</f>
        <v>4.43838565022422</v>
      </c>
    </row>
    <row r="45" customFormat="false" ht="14.25" hidden="false" customHeight="false" outlineLevel="0" collapsed="false">
      <c r="A45" s="40" t="n">
        <v>185</v>
      </c>
      <c r="B45" s="42" t="n">
        <v>9.8465</v>
      </c>
      <c r="C45" s="42" t="n">
        <f aca="false">B45/2.23</f>
        <v>4.41547085201794</v>
      </c>
    </row>
    <row r="46" customFormat="false" ht="14.25" hidden="false" customHeight="false" outlineLevel="0" collapsed="false">
      <c r="A46" s="40" t="n">
        <v>186</v>
      </c>
      <c r="B46" s="42" t="n">
        <v>9.8185</v>
      </c>
      <c r="C46" s="42" t="n">
        <f aca="false">B46/2.23</f>
        <v>4.40291479820628</v>
      </c>
    </row>
    <row r="47" customFormat="false" ht="14.25" hidden="false" customHeight="false" outlineLevel="0" collapsed="false">
      <c r="A47" s="40" t="n">
        <v>187</v>
      </c>
      <c r="B47" s="42" t="n">
        <v>9.7688</v>
      </c>
      <c r="C47" s="42" t="n">
        <f aca="false">B47/2.23</f>
        <v>4.38062780269058</v>
      </c>
    </row>
    <row r="48" customFormat="false" ht="14.25" hidden="false" customHeight="false" outlineLevel="0" collapsed="false">
      <c r="A48" s="40" t="n">
        <v>188</v>
      </c>
      <c r="B48" s="42" t="n">
        <v>9.8792</v>
      </c>
      <c r="C48" s="42" t="n">
        <f aca="false">B48/2.23</f>
        <v>4.43013452914798</v>
      </c>
    </row>
    <row r="49" customFormat="false" ht="14.25" hidden="false" customHeight="false" outlineLevel="0" collapsed="false">
      <c r="A49" s="40" t="n">
        <v>189</v>
      </c>
      <c r="B49" s="42" t="n">
        <v>9.7583</v>
      </c>
      <c r="C49" s="42" t="n">
        <f aca="false">B49/2.23</f>
        <v>4.37591928251121</v>
      </c>
    </row>
    <row r="50" customFormat="false" ht="14.25" hidden="false" customHeight="false" outlineLevel="0" collapsed="false">
      <c r="A50" s="40" t="n">
        <v>190</v>
      </c>
      <c r="B50" s="42" t="n">
        <v>9.7571</v>
      </c>
      <c r="C50" s="42" t="n">
        <f aca="false">B50/2.23</f>
        <v>4.37538116591928</v>
      </c>
    </row>
    <row r="51" customFormat="false" ht="14.25" hidden="false" customHeight="false" outlineLevel="0" collapsed="false">
      <c r="A51" s="40" t="n">
        <v>210</v>
      </c>
      <c r="B51" s="42" t="n">
        <v>9.752</v>
      </c>
      <c r="C51" s="42" t="n">
        <f aca="false">B51/2.23</f>
        <v>4.37309417040359</v>
      </c>
    </row>
    <row r="52" customFormat="false" ht="14.25" hidden="false" customHeight="false" outlineLevel="0" collapsed="false">
      <c r="A52" s="40" t="n">
        <v>211</v>
      </c>
      <c r="B52" s="42" t="n">
        <v>9.7985</v>
      </c>
      <c r="C52" s="42" t="n">
        <f aca="false">B52/2.23</f>
        <v>4.39394618834081</v>
      </c>
    </row>
    <row r="53" customFormat="false" ht="14.25" hidden="false" customHeight="false" outlineLevel="0" collapsed="false">
      <c r="A53" s="40" t="n">
        <v>212</v>
      </c>
      <c r="B53" s="42" t="n">
        <v>9.7664</v>
      </c>
      <c r="C53" s="42" t="n">
        <f aca="false">B53/2.23</f>
        <v>4.37955156950673</v>
      </c>
    </row>
    <row r="54" customFormat="false" ht="14.25" hidden="false" customHeight="false" outlineLevel="0" collapsed="false">
      <c r="A54" s="40" t="n">
        <v>213</v>
      </c>
      <c r="B54" s="42" t="n">
        <v>9.3755</v>
      </c>
      <c r="C54" s="42" t="n">
        <f aca="false">B54/2.23</f>
        <v>4.2042600896861</v>
      </c>
    </row>
    <row r="55" customFormat="false" ht="14.25" hidden="false" customHeight="false" outlineLevel="0" collapsed="false">
      <c r="A55" s="40" t="n">
        <v>214</v>
      </c>
      <c r="B55" s="42" t="n">
        <v>9.996</v>
      </c>
      <c r="C55" s="42" t="n">
        <f aca="false">B55/2.23</f>
        <v>4.48251121076233</v>
      </c>
    </row>
    <row r="56" customFormat="false" ht="14.25" hidden="false" customHeight="false" outlineLevel="0" collapsed="false">
      <c r="A56" s="40" t="n">
        <v>215</v>
      </c>
      <c r="B56" s="42" t="n">
        <v>10.084</v>
      </c>
      <c r="C56" s="42" t="n">
        <f aca="false">B56/2.23</f>
        <v>4.5219730941704</v>
      </c>
    </row>
    <row r="57" customFormat="false" ht="14.25" hidden="false" customHeight="false" outlineLevel="0" collapsed="false">
      <c r="A57" s="40" t="n">
        <v>216</v>
      </c>
      <c r="B57" s="42" t="n">
        <v>10.0795</v>
      </c>
      <c r="C57" s="42" t="n">
        <f aca="false">B57/2.23</f>
        <v>4.51995515695067</v>
      </c>
    </row>
    <row r="58" customFormat="false" ht="14.25" hidden="false" customHeight="false" outlineLevel="0" collapsed="false">
      <c r="A58" s="40" t="n">
        <v>217</v>
      </c>
      <c r="B58" s="42" t="n">
        <v>9.6671</v>
      </c>
      <c r="C58" s="42" t="n">
        <f aca="false">B58/2.23</f>
        <v>4.33502242152466</v>
      </c>
    </row>
    <row r="59" customFormat="false" ht="14.25" hidden="false" customHeight="false" outlineLevel="0" collapsed="false">
      <c r="A59" s="40" t="n">
        <v>218</v>
      </c>
      <c r="B59" s="42" t="n">
        <v>10.0969</v>
      </c>
      <c r="C59" s="42" t="n">
        <f aca="false">B59/2.23</f>
        <v>4.52775784753363</v>
      </c>
    </row>
    <row r="60" customFormat="false" ht="14.25" hidden="false" customHeight="false" outlineLevel="0" collapsed="false">
      <c r="A60" s="40" t="n">
        <v>219</v>
      </c>
      <c r="B60" s="42" t="n">
        <v>9.6617</v>
      </c>
      <c r="C60" s="42" t="n">
        <f aca="false">B60/2.23</f>
        <v>4.33260089686099</v>
      </c>
    </row>
    <row r="61" customFormat="false" ht="14.25" hidden="false" customHeight="false" outlineLevel="0" collapsed="false">
      <c r="A61" s="40" t="n">
        <v>230</v>
      </c>
      <c r="B61" s="42" t="n">
        <v>9.805</v>
      </c>
      <c r="C61" s="42" t="n">
        <f aca="false">B61/2.23</f>
        <v>4.39686098654709</v>
      </c>
    </row>
    <row r="62" customFormat="false" ht="14.25" hidden="false" customHeight="false" outlineLevel="0" collapsed="false">
      <c r="A62" s="40" t="n">
        <v>231</v>
      </c>
      <c r="B62" s="42" t="n">
        <v>9.8868</v>
      </c>
      <c r="C62" s="42" t="n">
        <f aca="false">B62/2.23</f>
        <v>4.43354260089686</v>
      </c>
    </row>
    <row r="63" customFormat="false" ht="14.25" hidden="false" customHeight="false" outlineLevel="0" collapsed="false">
      <c r="A63" s="40" t="n">
        <v>232</v>
      </c>
      <c r="B63" s="42" t="n">
        <v>9.8775</v>
      </c>
      <c r="C63" s="42" t="n">
        <f aca="false">B63/2.23</f>
        <v>4.42937219730942</v>
      </c>
    </row>
    <row r="64" customFormat="false" ht="14.25" hidden="false" customHeight="false" outlineLevel="0" collapsed="false">
      <c r="A64" s="40" t="n">
        <v>233</v>
      </c>
      <c r="B64" s="42" t="n">
        <v>9.9605</v>
      </c>
      <c r="C64" s="42" t="n">
        <f aca="false">B64/2.23</f>
        <v>4.46659192825112</v>
      </c>
    </row>
    <row r="65" customFormat="false" ht="14.25" hidden="false" customHeight="false" outlineLevel="0" collapsed="false">
      <c r="A65" s="40" t="n">
        <v>234</v>
      </c>
      <c r="B65" s="42" t="n">
        <v>10.0063</v>
      </c>
      <c r="C65" s="42" t="n">
        <f aca="false">B65/2.23</f>
        <v>4.48713004484305</v>
      </c>
    </row>
    <row r="66" customFormat="false" ht="14.25" hidden="false" customHeight="false" outlineLevel="0" collapsed="false">
      <c r="A66" s="40" t="n">
        <v>235</v>
      </c>
      <c r="B66" s="42" t="n">
        <v>9.9943</v>
      </c>
      <c r="C66" s="42" t="n">
        <f aca="false">B66/2.23</f>
        <v>4.48174887892377</v>
      </c>
    </row>
    <row r="67" customFormat="false" ht="14.25" hidden="false" customHeight="false" outlineLevel="0" collapsed="false">
      <c r="A67" s="40" t="n">
        <v>236</v>
      </c>
      <c r="B67" s="42" t="n">
        <v>9.8712</v>
      </c>
      <c r="C67" s="42" t="n">
        <f aca="false">B67/2.23</f>
        <v>4.42654708520179</v>
      </c>
    </row>
    <row r="68" customFormat="false" ht="14.25" hidden="false" customHeight="false" outlineLevel="0" collapsed="false">
      <c r="A68" s="40" t="n">
        <v>237</v>
      </c>
      <c r="B68" s="42" t="n">
        <v>9.8347</v>
      </c>
      <c r="C68" s="42" t="n">
        <f aca="false">B68/2.23</f>
        <v>4.41017937219731</v>
      </c>
    </row>
    <row r="69" customFormat="false" ht="14.25" hidden="false" customHeight="false" outlineLevel="0" collapsed="false">
      <c r="A69" s="40" t="n">
        <v>238</v>
      </c>
      <c r="B69" s="42" t="n">
        <v>9.924</v>
      </c>
      <c r="C69" s="42" t="n">
        <f aca="false">B69/2.23</f>
        <v>4.45022421524664</v>
      </c>
    </row>
    <row r="70" customFormat="false" ht="14.25" hidden="false" customHeight="false" outlineLevel="0" collapsed="false">
      <c r="A70" s="40" t="n">
        <v>239</v>
      </c>
      <c r="B70" s="42" t="n">
        <v>10.0279</v>
      </c>
      <c r="C70" s="42" t="n">
        <f aca="false">B70/2.23</f>
        <v>4.49681614349776</v>
      </c>
    </row>
    <row r="71" customFormat="false" ht="14.25" hidden="false" customHeight="false" outlineLevel="0" collapsed="false">
      <c r="A71" s="40" t="n">
        <v>240</v>
      </c>
      <c r="B71" s="42" t="n">
        <v>9.859</v>
      </c>
      <c r="C71" s="42" t="n">
        <f aca="false">B71/2.23</f>
        <v>4.42107623318386</v>
      </c>
    </row>
    <row r="72" customFormat="false" ht="14.25" hidden="false" customHeight="false" outlineLevel="0" collapsed="false">
      <c r="A72" s="40" t="n">
        <v>241</v>
      </c>
      <c r="B72" s="42" t="n">
        <v>9.8089</v>
      </c>
      <c r="C72" s="42" t="n">
        <f aca="false">B72/2.23</f>
        <v>4.39860986547085</v>
      </c>
    </row>
    <row r="73" customFormat="false" ht="14.25" hidden="false" customHeight="false" outlineLevel="0" collapsed="false">
      <c r="A73" s="40" t="n">
        <v>242</v>
      </c>
      <c r="B73" s="42" t="n">
        <v>9.9348</v>
      </c>
      <c r="C73" s="42" t="n">
        <f aca="false">B73/2.23</f>
        <v>4.45506726457399</v>
      </c>
    </row>
    <row r="74" customFormat="false" ht="14.25" hidden="false" customHeight="false" outlineLevel="0" collapsed="false">
      <c r="A74" s="40" t="n">
        <v>243</v>
      </c>
      <c r="B74" s="42" t="n">
        <v>9.8368</v>
      </c>
      <c r="C74" s="42" t="n">
        <f aca="false">B74/2.23</f>
        <v>4.41112107623318</v>
      </c>
    </row>
    <row r="75" customFormat="false" ht="14.25" hidden="false" customHeight="false" outlineLevel="0" collapsed="false">
      <c r="A75" s="40" t="n">
        <v>245</v>
      </c>
      <c r="B75" s="42" t="n">
        <v>9.8492</v>
      </c>
      <c r="C75" s="42" t="n">
        <f aca="false">B75/2.23</f>
        <v>4.41668161434978</v>
      </c>
    </row>
    <row r="76" customFormat="false" ht="14.25" hidden="false" customHeight="false" outlineLevel="0" collapsed="false">
      <c r="A76" s="40" t="n">
        <v>246</v>
      </c>
      <c r="B76" s="42" t="n">
        <v>9.7553</v>
      </c>
      <c r="C76" s="42" t="n">
        <f aca="false">B76/2.23</f>
        <v>4.37457399103139</v>
      </c>
    </row>
    <row r="77" customFormat="false" ht="14.25" hidden="false" customHeight="false" outlineLevel="0" collapsed="false">
      <c r="A77" s="40" t="n">
        <v>247</v>
      </c>
      <c r="B77" s="42" t="n">
        <v>9.8389</v>
      </c>
      <c r="C77" s="42" t="n">
        <f aca="false">B77/2.23</f>
        <v>4.41206278026906</v>
      </c>
    </row>
    <row r="78" customFormat="false" ht="14.25" hidden="false" customHeight="false" outlineLevel="0" collapsed="false">
      <c r="A78" s="40" t="n">
        <v>248</v>
      </c>
      <c r="B78" s="42" t="n">
        <v>9.6745</v>
      </c>
      <c r="C78" s="42" t="n">
        <f aca="false">B78/2.23</f>
        <v>4.33834080717489</v>
      </c>
    </row>
    <row r="79" customFormat="false" ht="14.25" hidden="false" customHeight="false" outlineLevel="0" collapsed="false">
      <c r="A79" s="40" t="n">
        <v>249</v>
      </c>
      <c r="B79" s="42" t="n">
        <v>9.9565</v>
      </c>
      <c r="C79" s="42" t="n">
        <f aca="false">B79/2.23</f>
        <v>4.46479820627803</v>
      </c>
    </row>
    <row r="80" customFormat="false" ht="14.25" hidden="false" customHeight="false" outlineLevel="0" collapsed="false">
      <c r="A80" s="40" t="n">
        <v>250</v>
      </c>
      <c r="B80" s="42" t="n">
        <v>9.8892</v>
      </c>
      <c r="C80" s="42" t="n">
        <f aca="false">B80/2.23</f>
        <v>4.43461883408072</v>
      </c>
    </row>
    <row r="81" customFormat="false" ht="14.25" hidden="false" customHeight="false" outlineLevel="0" collapsed="false">
      <c r="A81" s="40" t="n">
        <v>251</v>
      </c>
      <c r="B81" s="42" t="n">
        <v>9.814</v>
      </c>
      <c r="C81" s="42" t="n">
        <f aca="false">B81/2.23</f>
        <v>4.40089686098655</v>
      </c>
    </row>
    <row r="82" customFormat="false" ht="14.25" hidden="false" customHeight="false" outlineLevel="0" collapsed="false">
      <c r="A82" s="40" t="n">
        <v>252</v>
      </c>
      <c r="B82" s="42" t="n">
        <v>9.814</v>
      </c>
      <c r="C82" s="42" t="n">
        <f aca="false">B82/2.23</f>
        <v>4.40089686098655</v>
      </c>
    </row>
    <row r="83" customFormat="false" ht="14.25" hidden="false" customHeight="false" outlineLevel="0" collapsed="false">
      <c r="A83" s="40" t="n">
        <v>253</v>
      </c>
      <c r="B83" s="42" t="n">
        <v>9.8927</v>
      </c>
      <c r="C83" s="42" t="n">
        <f aca="false">B83/2.23</f>
        <v>4.43618834080718</v>
      </c>
    </row>
    <row r="84" customFormat="false" ht="14.25" hidden="false" customHeight="false" outlineLevel="0" collapsed="false">
      <c r="A84" s="40" t="n">
        <v>254</v>
      </c>
      <c r="B84" s="42" t="n">
        <v>9.8201</v>
      </c>
      <c r="C84" s="42" t="n">
        <f aca="false">B84/2.23</f>
        <v>4.40363228699552</v>
      </c>
    </row>
    <row r="85" customFormat="false" ht="14.25" hidden="false" customHeight="false" outlineLevel="0" collapsed="false">
      <c r="A85" s="40" t="n">
        <v>255</v>
      </c>
      <c r="B85" s="42" t="n">
        <v>9.9283</v>
      </c>
      <c r="C85" s="42" t="n">
        <f aca="false">B85/2.23</f>
        <v>4.45215246636771</v>
      </c>
    </row>
    <row r="86" customFormat="false" ht="14.25" hidden="false" customHeight="false" outlineLevel="0" collapsed="false">
      <c r="A86" s="40" t="n">
        <v>256</v>
      </c>
      <c r="B86" s="42" t="n">
        <v>9.8771</v>
      </c>
      <c r="C86" s="42" t="n">
        <f aca="false">B86/2.23</f>
        <v>4.42919282511211</v>
      </c>
    </row>
    <row r="87" customFormat="false" ht="14.25" hidden="false" customHeight="false" outlineLevel="0" collapsed="false">
      <c r="A87" s="40" t="n">
        <v>257</v>
      </c>
      <c r="B87" s="42" t="n">
        <v>9.7717</v>
      </c>
      <c r="C87" s="42" t="n">
        <f aca="false">B87/2.23</f>
        <v>4.38192825112108</v>
      </c>
    </row>
    <row r="88" customFormat="false" ht="14.25" hidden="false" customHeight="false" outlineLevel="0" collapsed="false">
      <c r="A88" s="40" t="n">
        <v>258</v>
      </c>
      <c r="B88" s="42" t="n">
        <v>9.8593</v>
      </c>
      <c r="C88" s="42" t="n">
        <f aca="false">B88/2.23</f>
        <v>4.42121076233184</v>
      </c>
    </row>
    <row r="89" customFormat="false" ht="14.25" hidden="false" customHeight="false" outlineLevel="0" collapsed="false">
      <c r="A89" s="40" t="n">
        <v>259</v>
      </c>
      <c r="B89" s="42" t="n">
        <v>9.9797</v>
      </c>
      <c r="C89" s="42" t="n">
        <f aca="false">B89/2.23</f>
        <v>4.47520179372197</v>
      </c>
    </row>
    <row r="90" customFormat="false" ht="14.25" hidden="false" customHeight="false" outlineLevel="0" collapsed="false">
      <c r="A90" s="40" t="n">
        <v>200</v>
      </c>
      <c r="B90" s="42" t="n">
        <v>9.6303</v>
      </c>
      <c r="C90" s="42" t="n">
        <f aca="false">B90/2.23</f>
        <v>4.3185201793722</v>
      </c>
    </row>
    <row r="91" customFormat="false" ht="14.25" hidden="false" customHeight="false" outlineLevel="0" collapsed="false">
      <c r="A91" s="40" t="n">
        <v>201</v>
      </c>
      <c r="B91" s="42" t="n">
        <v>9.7538</v>
      </c>
      <c r="C91" s="42" t="n">
        <f aca="false">B91/2.23</f>
        <v>4.37390134529148</v>
      </c>
    </row>
    <row r="92" customFormat="false" ht="14.25" hidden="false" customHeight="false" outlineLevel="0" collapsed="false">
      <c r="A92" s="40" t="n">
        <v>202</v>
      </c>
      <c r="B92" s="42" t="n">
        <v>9.9245</v>
      </c>
      <c r="C92" s="42" t="n">
        <f aca="false">B92/2.23</f>
        <v>4.45044843049327</v>
      </c>
    </row>
    <row r="93" customFormat="false" ht="14.25" hidden="false" customHeight="false" outlineLevel="0" collapsed="false">
      <c r="A93" s="40" t="n">
        <v>203</v>
      </c>
      <c r="B93" s="42" t="n">
        <v>10.0562</v>
      </c>
      <c r="C93" s="42" t="n">
        <f aca="false">B93/2.23</f>
        <v>4.5095067264574</v>
      </c>
    </row>
    <row r="94" customFormat="false" ht="14.25" hidden="false" customHeight="false" outlineLevel="0" collapsed="false">
      <c r="A94" s="40" t="n">
        <v>204</v>
      </c>
      <c r="B94" s="42" t="n">
        <v>9.9425</v>
      </c>
      <c r="C94" s="42" t="n">
        <f aca="false">B94/2.23</f>
        <v>4.4585201793722</v>
      </c>
    </row>
    <row r="95" customFormat="false" ht="14.25" hidden="false" customHeight="false" outlineLevel="0" collapsed="false">
      <c r="A95" s="40" t="n">
        <v>205</v>
      </c>
      <c r="B95" s="42" t="n">
        <v>9.6086</v>
      </c>
      <c r="C95" s="42" t="n">
        <f aca="false">B95/2.23</f>
        <v>4.30878923766816</v>
      </c>
    </row>
    <row r="96" customFormat="false" ht="14.25" hidden="false" customHeight="false" outlineLevel="0" collapsed="false">
      <c r="A96" s="40" t="n">
        <v>207</v>
      </c>
      <c r="B96" s="42" t="n">
        <v>9.772</v>
      </c>
      <c r="C96" s="42" t="n">
        <f aca="false">B96/2.23</f>
        <v>4.38206278026906</v>
      </c>
    </row>
    <row r="97" customFormat="false" ht="14.25" hidden="false" customHeight="false" outlineLevel="0" collapsed="false">
      <c r="A97" s="40" t="n">
        <v>208</v>
      </c>
      <c r="B97" s="42" t="n">
        <v>10.0436</v>
      </c>
      <c r="C97" s="42" t="n">
        <f aca="false">B97/2.23</f>
        <v>4.50385650224215</v>
      </c>
    </row>
    <row r="98" customFormat="false" ht="14.25" hidden="false" customHeight="false" outlineLevel="0" collapsed="false">
      <c r="A98" s="40" t="n">
        <v>209</v>
      </c>
      <c r="B98" s="42" t="n">
        <v>9.6794</v>
      </c>
      <c r="C98" s="42" t="n">
        <f aca="false">B98/2.23</f>
        <v>4.34053811659193</v>
      </c>
    </row>
    <row r="99" customFormat="false" ht="14.25" hidden="false" customHeight="false" outlineLevel="0" collapsed="false">
      <c r="A99" s="40" t="n">
        <v>270</v>
      </c>
      <c r="B99" s="42" t="n">
        <v>9.7308</v>
      </c>
      <c r="C99" s="42" t="n">
        <f aca="false">B99/2.23</f>
        <v>4.36358744394619</v>
      </c>
    </row>
    <row r="100" customFormat="false" ht="14.25" hidden="false" customHeight="false" outlineLevel="0" collapsed="false">
      <c r="A100" s="40" t="n">
        <v>271</v>
      </c>
      <c r="B100" s="42" t="n">
        <v>9.9113</v>
      </c>
      <c r="C100" s="42" t="n">
        <f aca="false">B100/2.23</f>
        <v>4.44452914798206</v>
      </c>
    </row>
    <row r="101" customFormat="false" ht="14.25" hidden="false" customHeight="false" outlineLevel="0" collapsed="false">
      <c r="A101" s="40" t="n">
        <v>272</v>
      </c>
      <c r="B101" s="42" t="n">
        <v>10.0933</v>
      </c>
      <c r="C101" s="42" t="n">
        <f aca="false">B101/2.23</f>
        <v>4.52614349775785</v>
      </c>
    </row>
    <row r="102" customFormat="false" ht="14.25" hidden="false" customHeight="false" outlineLevel="0" collapsed="false">
      <c r="A102" s="40" t="n">
        <v>274</v>
      </c>
      <c r="B102" s="42" t="n">
        <v>9.9089</v>
      </c>
      <c r="C102" s="42" t="n">
        <f aca="false">B102/2.23</f>
        <v>4.44345291479821</v>
      </c>
    </row>
    <row r="103" customFormat="false" ht="14.25" hidden="false" customHeight="false" outlineLevel="0" collapsed="false">
      <c r="A103" s="40" t="n">
        <v>273</v>
      </c>
      <c r="B103" s="42" t="n">
        <v>9.643</v>
      </c>
      <c r="C103" s="42" t="n">
        <f aca="false">B103/2.23</f>
        <v>4.32421524663677</v>
      </c>
    </row>
    <row r="104" customFormat="false" ht="14.25" hidden="false" customHeight="false" outlineLevel="0" collapsed="false">
      <c r="A104" s="40" t="n">
        <v>275</v>
      </c>
      <c r="B104" s="42" t="n">
        <v>9.7669</v>
      </c>
      <c r="C104" s="42" t="n">
        <f aca="false">B104/2.23</f>
        <v>4.37977578475336</v>
      </c>
    </row>
    <row r="105" customFormat="false" ht="14.25" hidden="false" customHeight="false" outlineLevel="0" collapsed="false">
      <c r="A105" s="40" t="n">
        <v>276</v>
      </c>
      <c r="B105" s="42" t="n">
        <v>9.9183</v>
      </c>
      <c r="C105" s="42" t="n">
        <f aca="false">B105/2.23</f>
        <v>4.44766816143498</v>
      </c>
    </row>
    <row r="106" customFormat="false" ht="14.25" hidden="false" customHeight="false" outlineLevel="0" collapsed="false">
      <c r="A106" s="40" t="n">
        <v>277</v>
      </c>
      <c r="B106" s="42" t="n">
        <v>9.8652</v>
      </c>
      <c r="C106" s="42" t="n">
        <f aca="false">B106/2.23</f>
        <v>4.42385650224215</v>
      </c>
    </row>
    <row r="107" customFormat="false" ht="14.25" hidden="false" customHeight="false" outlineLevel="0" collapsed="false">
      <c r="A107" s="40" t="n">
        <v>278</v>
      </c>
      <c r="B107" s="42" t="n">
        <v>10.157</v>
      </c>
      <c r="C107" s="42" t="n">
        <f aca="false">B107/2.23</f>
        <v>4.55470852017937</v>
      </c>
    </row>
    <row r="108" customFormat="false" ht="14.25" hidden="false" customHeight="false" outlineLevel="0" collapsed="false">
      <c r="A108" s="40" t="n">
        <v>279</v>
      </c>
      <c r="B108" s="42" t="n">
        <v>9.9806</v>
      </c>
      <c r="C108" s="42" t="n">
        <f aca="false">B108/2.23</f>
        <v>4.47560538116592</v>
      </c>
    </row>
    <row r="109" customFormat="false" ht="14.25" hidden="false" customHeight="false" outlineLevel="0" collapsed="false">
      <c r="A109" s="40" t="n">
        <v>280</v>
      </c>
      <c r="B109" s="42" t="n">
        <v>10.0747</v>
      </c>
      <c r="C109" s="42" t="n">
        <f aca="false">B109/2.23</f>
        <v>4.51780269058296</v>
      </c>
    </row>
    <row r="110" customFormat="false" ht="14.25" hidden="false" customHeight="false" outlineLevel="0" collapsed="false">
      <c r="A110" s="40" t="n">
        <v>281</v>
      </c>
      <c r="B110" s="42" t="n">
        <v>9.8647</v>
      </c>
      <c r="C110" s="42" t="n">
        <f aca="false">B110/2.23</f>
        <v>4.42363228699552</v>
      </c>
    </row>
    <row r="111" customFormat="false" ht="14.25" hidden="false" customHeight="false" outlineLevel="0" collapsed="false">
      <c r="A111" s="40" t="n">
        <v>282</v>
      </c>
      <c r="B111" s="42" t="n">
        <v>10.1076</v>
      </c>
      <c r="C111" s="42" t="n">
        <f aca="false">B111/2.23</f>
        <v>4.53255605381166</v>
      </c>
    </row>
    <row r="112" customFormat="false" ht="14.25" hidden="false" customHeight="false" outlineLevel="0" collapsed="false">
      <c r="A112" s="40" t="n">
        <v>283</v>
      </c>
      <c r="B112" s="42" t="n">
        <v>9.6502</v>
      </c>
      <c r="C112" s="42" t="n">
        <f aca="false">B112/2.23</f>
        <v>4.32744394618834</v>
      </c>
    </row>
    <row r="113" customFormat="false" ht="14.25" hidden="false" customHeight="false" outlineLevel="0" collapsed="false">
      <c r="A113" s="40" t="n">
        <v>284</v>
      </c>
      <c r="B113" s="42" t="n">
        <v>10.0555</v>
      </c>
      <c r="C113" s="42" t="n">
        <f aca="false">B113/2.23</f>
        <v>4.50919282511211</v>
      </c>
    </row>
    <row r="114" customFormat="false" ht="14.25" hidden="false" customHeight="false" outlineLevel="0" collapsed="false">
      <c r="A114" s="40" t="n">
        <v>285</v>
      </c>
      <c r="B114" s="42" t="n">
        <v>10.051</v>
      </c>
      <c r="C114" s="42" t="n">
        <f aca="false">B114/2.23</f>
        <v>4.50717488789238</v>
      </c>
    </row>
    <row r="115" customFormat="false" ht="14.25" hidden="false" customHeight="false" outlineLevel="0" collapsed="false">
      <c r="A115" s="40" t="n">
        <v>286</v>
      </c>
      <c r="B115" s="42" t="n">
        <v>9.5493</v>
      </c>
      <c r="C115" s="42" t="n">
        <f aca="false">B115/2.23</f>
        <v>4.28219730941704</v>
      </c>
    </row>
    <row r="116" customFormat="false" ht="14.25" hidden="false" customHeight="false" outlineLevel="0" collapsed="false">
      <c r="A116" s="40" t="n">
        <v>287</v>
      </c>
      <c r="B116" s="42" t="n">
        <v>10.169</v>
      </c>
      <c r="C116" s="42" t="n">
        <f aca="false">B116/2.23</f>
        <v>4.56008968609866</v>
      </c>
    </row>
    <row r="117" customFormat="false" ht="14.25" hidden="false" customHeight="false" outlineLevel="0" collapsed="false">
      <c r="A117" s="40" t="n">
        <v>288</v>
      </c>
      <c r="B117" s="42" t="n">
        <v>10.1602</v>
      </c>
      <c r="C117" s="42" t="n">
        <f aca="false">B117/2.23</f>
        <v>4.55614349775785</v>
      </c>
    </row>
    <row r="118" customFormat="false" ht="14.25" hidden="false" customHeight="false" outlineLevel="0" collapsed="false">
      <c r="A118" s="40" t="n">
        <v>289</v>
      </c>
      <c r="B118" s="42" t="n">
        <v>9.6906</v>
      </c>
      <c r="C118" s="42" t="n">
        <f aca="false">B118/2.23</f>
        <v>4.34556053811659</v>
      </c>
    </row>
    <row r="119" customFormat="false" ht="14.25" hidden="false" customHeight="false" outlineLevel="0" collapsed="false">
      <c r="A119" s="40" t="n">
        <v>290</v>
      </c>
      <c r="B119" s="42" t="n">
        <v>9.9171</v>
      </c>
      <c r="C119" s="42" t="n">
        <f aca="false">B119/2.23</f>
        <v>4.44713004484305</v>
      </c>
    </row>
    <row r="120" customFormat="false" ht="14.25" hidden="false" customHeight="false" outlineLevel="0" collapsed="false">
      <c r="A120" s="40" t="n">
        <v>291</v>
      </c>
      <c r="B120" s="42" t="n">
        <v>10.0957</v>
      </c>
      <c r="C120" s="42" t="n">
        <f aca="false">B120/2.23</f>
        <v>4.5272197309417</v>
      </c>
    </row>
    <row r="121" customFormat="false" ht="14.25" hidden="false" customHeight="false" outlineLevel="0" collapsed="false">
      <c r="A121" s="40" t="n">
        <v>292</v>
      </c>
      <c r="B121" s="42" t="n">
        <v>9.6498</v>
      </c>
      <c r="C121" s="42" t="n">
        <f aca="false">B121/2.23</f>
        <v>4.32726457399103</v>
      </c>
    </row>
    <row r="122" customFormat="false" ht="14.25" hidden="false" customHeight="false" outlineLevel="0" collapsed="false">
      <c r="A122" s="40" t="n">
        <v>293</v>
      </c>
      <c r="B122" s="42" t="n">
        <v>9.7003</v>
      </c>
      <c r="C122" s="42" t="n">
        <f aca="false">B122/2.23</f>
        <v>4.34991031390135</v>
      </c>
    </row>
    <row r="123" customFormat="false" ht="14.25" hidden="false" customHeight="false" outlineLevel="0" collapsed="false">
      <c r="A123" s="40" t="n">
        <v>294</v>
      </c>
      <c r="B123" s="42" t="n">
        <v>10.1689</v>
      </c>
      <c r="C123" s="42" t="n">
        <f aca="false">B123/2.23</f>
        <v>4.56004484304933</v>
      </c>
    </row>
    <row r="124" customFormat="false" ht="14.25" hidden="false" customHeight="false" outlineLevel="0" collapsed="false">
      <c r="A124" s="40" t="n">
        <v>295</v>
      </c>
      <c r="B124" s="42" t="n">
        <v>10.167</v>
      </c>
      <c r="C124" s="42" t="n">
        <f aca="false">B124/2.23</f>
        <v>4.55919282511211</v>
      </c>
    </row>
    <row r="125" customFormat="false" ht="14.25" hidden="false" customHeight="false" outlineLevel="0" collapsed="false">
      <c r="A125" s="40" t="n">
        <v>296</v>
      </c>
      <c r="B125" s="42" t="n">
        <v>9.8502</v>
      </c>
      <c r="C125" s="42" t="n">
        <f aca="false">B125/2.23</f>
        <v>4.41713004484305</v>
      </c>
    </row>
    <row r="126" customFormat="false" ht="14.25" hidden="false" customHeight="false" outlineLevel="0" collapsed="false">
      <c r="A126" s="40" t="n">
        <v>297</v>
      </c>
      <c r="B126" s="42" t="n">
        <v>9.5856</v>
      </c>
      <c r="C126" s="42" t="n">
        <f aca="false">B126/2.23</f>
        <v>4.29847533632287</v>
      </c>
    </row>
    <row r="127" customFormat="false" ht="14.25" hidden="false" customHeight="false" outlineLevel="0" collapsed="false">
      <c r="A127" s="40" t="n">
        <v>298</v>
      </c>
      <c r="B127" s="42" t="n">
        <v>9.649</v>
      </c>
      <c r="C127" s="42" t="n">
        <f aca="false">B127/2.23</f>
        <v>4.32690582959641</v>
      </c>
    </row>
    <row r="128" customFormat="false" ht="14.25" hidden="false" customHeight="false" outlineLevel="0" collapsed="false">
      <c r="A128" s="40" t="n">
        <v>299</v>
      </c>
      <c r="B128" s="42" t="n">
        <v>9.6849</v>
      </c>
      <c r="C128" s="42" t="n">
        <f aca="false">B128/2.23</f>
        <v>4.34300448430493</v>
      </c>
    </row>
    <row r="129" customFormat="false" ht="14.25" hidden="false" customHeight="false" outlineLevel="0" collapsed="false">
      <c r="A129" s="40" t="n">
        <v>191</v>
      </c>
      <c r="B129" s="42" t="n">
        <v>9.535</v>
      </c>
      <c r="C129" s="42" t="n">
        <f aca="false">B129/2.23</f>
        <v>4.27578475336323</v>
      </c>
    </row>
    <row r="130" customFormat="false" ht="14.25" hidden="false" customHeight="false" outlineLevel="0" collapsed="false">
      <c r="A130" s="40" t="n">
        <v>1</v>
      </c>
      <c r="B130" s="42" t="n">
        <v>9.8663</v>
      </c>
      <c r="C130" s="42" t="n">
        <f aca="false">B130/2.23</f>
        <v>4.42434977578475</v>
      </c>
    </row>
    <row r="131" customFormat="false" ht="14.25" hidden="false" customHeight="false" outlineLevel="0" collapsed="false">
      <c r="A131" s="40" t="n">
        <v>2</v>
      </c>
      <c r="B131" s="42" t="n">
        <v>9.4933</v>
      </c>
      <c r="C131" s="42" t="n">
        <f aca="false">B131/2.23</f>
        <v>4.25708520179372</v>
      </c>
    </row>
    <row r="132" customFormat="false" ht="14.25" hidden="false" customHeight="false" outlineLevel="0" collapsed="false">
      <c r="A132" s="40" t="n">
        <v>3</v>
      </c>
      <c r="B132" s="42" t="n">
        <v>9.7539</v>
      </c>
      <c r="C132" s="42" t="n">
        <f aca="false">B132/2.23</f>
        <v>4.37394618834081</v>
      </c>
    </row>
    <row r="133" customFormat="false" ht="14.25" hidden="false" customHeight="false" outlineLevel="0" collapsed="false">
      <c r="A133" s="40" t="n">
        <v>4</v>
      </c>
      <c r="B133" s="42" t="n">
        <v>9.4749</v>
      </c>
      <c r="C133" s="42" t="n">
        <f aca="false">B133/2.23</f>
        <v>4.24883408071749</v>
      </c>
    </row>
    <row r="134" customFormat="false" ht="14.25" hidden="false" customHeight="false" outlineLevel="0" collapsed="false">
      <c r="A134" s="40" t="n">
        <v>6</v>
      </c>
      <c r="B134" s="42" t="n">
        <v>9.8908</v>
      </c>
      <c r="C134" s="42" t="n">
        <f aca="false">B134/2.23</f>
        <v>4.43533632286996</v>
      </c>
    </row>
    <row r="135" customFormat="false" ht="14.25" hidden="false" customHeight="false" outlineLevel="0" collapsed="false">
      <c r="A135" s="40" t="n">
        <v>7</v>
      </c>
      <c r="B135" s="42" t="n">
        <v>9.8834</v>
      </c>
      <c r="C135" s="42" t="n">
        <f aca="false">B135/2.23</f>
        <v>4.43201793721973</v>
      </c>
    </row>
    <row r="136" customFormat="false" ht="14.25" hidden="false" customHeight="false" outlineLevel="0" collapsed="false">
      <c r="A136" s="40" t="n">
        <v>8</v>
      </c>
      <c r="B136" s="42" t="n">
        <v>9.5216</v>
      </c>
      <c r="C136" s="42" t="n">
        <f aca="false">B136/2.23</f>
        <v>4.26977578475336</v>
      </c>
    </row>
    <row r="137" customFormat="false" ht="14.25" hidden="false" customHeight="false" outlineLevel="0" collapsed="false">
      <c r="A137" s="40" t="n">
        <v>9</v>
      </c>
      <c r="B137" s="42" t="n">
        <v>9.5977</v>
      </c>
      <c r="C137" s="42" t="n">
        <f aca="false">B137/2.23</f>
        <v>4.30390134529148</v>
      </c>
    </row>
    <row r="138" customFormat="false" ht="14.25" hidden="false" customHeight="false" outlineLevel="0" collapsed="false">
      <c r="A138" s="40" t="n">
        <v>10</v>
      </c>
      <c r="B138" s="42" t="n">
        <v>9.9909</v>
      </c>
      <c r="C138" s="42" t="n">
        <f aca="false">B138/2.23</f>
        <v>4.48022421524664</v>
      </c>
    </row>
    <row r="139" customFormat="false" ht="14.25" hidden="false" customHeight="false" outlineLevel="0" collapsed="false">
      <c r="B139" s="42"/>
      <c r="C139" s="42"/>
    </row>
    <row r="140" customFormat="false" ht="14.25" hidden="false" customHeight="false" outlineLevel="0" collapsed="false">
      <c r="B140" s="42"/>
      <c r="C140" s="42"/>
    </row>
    <row r="141" customFormat="false" ht="14.25" hidden="false" customHeight="false" outlineLevel="0" collapsed="false">
      <c r="B141" s="42"/>
      <c r="C141" s="42"/>
    </row>
    <row r="142" customFormat="false" ht="14.25" hidden="false" customHeight="false" outlineLevel="0" collapsed="false">
      <c r="B142" s="42"/>
      <c r="C142" s="42"/>
    </row>
    <row r="143" customFormat="false" ht="14.25" hidden="false" customHeight="false" outlineLevel="0" collapsed="false">
      <c r="B143" s="42"/>
      <c r="C143" s="42"/>
    </row>
    <row r="144" customFormat="false" ht="14.25" hidden="false" customHeight="false" outlineLevel="0" collapsed="false">
      <c r="B144" s="42"/>
      <c r="C144" s="42"/>
    </row>
    <row r="145" customFormat="false" ht="14.25" hidden="false" customHeight="false" outlineLevel="0" collapsed="false">
      <c r="B145" s="42"/>
      <c r="C145" s="42"/>
    </row>
    <row r="146" customFormat="false" ht="14.25" hidden="false" customHeight="false" outlineLevel="0" collapsed="false">
      <c r="B146" s="42"/>
      <c r="C146" s="42"/>
    </row>
    <row r="147" customFormat="false" ht="14.25" hidden="false" customHeight="false" outlineLevel="0" collapsed="false">
      <c r="B147" s="42"/>
      <c r="C147" s="42"/>
    </row>
    <row r="148" customFormat="false" ht="14.25" hidden="false" customHeight="false" outlineLevel="0" collapsed="false">
      <c r="B148" s="42"/>
      <c r="C148" s="42"/>
    </row>
    <row r="149" customFormat="false" ht="14.25" hidden="false" customHeight="false" outlineLevel="0" collapsed="false">
      <c r="B149" s="42"/>
      <c r="C149" s="42"/>
    </row>
    <row r="150" customFormat="false" ht="14.25" hidden="false" customHeight="false" outlineLevel="0" collapsed="false">
      <c r="B150" s="42"/>
      <c r="C150" s="42"/>
    </row>
    <row r="151" customFormat="false" ht="14.25" hidden="false" customHeight="false" outlineLevel="0" collapsed="false">
      <c r="B151" s="42"/>
      <c r="C151" s="42"/>
    </row>
    <row r="152" customFormat="false" ht="14.25" hidden="false" customHeight="false" outlineLevel="0" collapsed="false">
      <c r="B152" s="42"/>
      <c r="C152" s="42"/>
    </row>
    <row r="153" customFormat="false" ht="14.25" hidden="false" customHeight="false" outlineLevel="0" collapsed="false">
      <c r="B153" s="42"/>
      <c r="C153" s="42"/>
    </row>
    <row r="154" customFormat="false" ht="14.25" hidden="false" customHeight="false" outlineLevel="0" collapsed="false">
      <c r="B154" s="42"/>
      <c r="C154" s="42"/>
    </row>
    <row r="155" customFormat="false" ht="14.25" hidden="false" customHeight="false" outlineLevel="0" collapsed="false">
      <c r="B155" s="42"/>
      <c r="C155" s="42"/>
    </row>
    <row r="156" customFormat="false" ht="14.25" hidden="false" customHeight="false" outlineLevel="0" collapsed="false">
      <c r="B156" s="42"/>
      <c r="C156" s="42"/>
    </row>
    <row r="157" customFormat="false" ht="14.25" hidden="false" customHeight="false" outlineLevel="0" collapsed="false">
      <c r="B157" s="42"/>
      <c r="C157" s="42"/>
    </row>
    <row r="158" customFormat="false" ht="14.25" hidden="false" customHeight="false" outlineLevel="0" collapsed="false">
      <c r="B158" s="42"/>
      <c r="C158" s="42"/>
    </row>
    <row r="159" customFormat="false" ht="14.25" hidden="false" customHeight="false" outlineLevel="0" collapsed="false">
      <c r="B159" s="42"/>
      <c r="C159" s="42"/>
    </row>
    <row r="160" customFormat="false" ht="14.25" hidden="false" customHeight="false" outlineLevel="0" collapsed="false">
      <c r="B160" s="42"/>
      <c r="C160" s="42"/>
    </row>
    <row r="161" customFormat="false" ht="14.25" hidden="false" customHeight="false" outlineLevel="0" collapsed="false">
      <c r="B161" s="42"/>
      <c r="C161" s="42"/>
    </row>
    <row r="162" customFormat="false" ht="14.25" hidden="false" customHeight="false" outlineLevel="0" collapsed="false">
      <c r="B162" s="42"/>
      <c r="C162" s="42"/>
    </row>
    <row r="163" customFormat="false" ht="14.25" hidden="false" customHeight="false" outlineLevel="0" collapsed="false">
      <c r="B163" s="42"/>
      <c r="C163" s="42"/>
    </row>
    <row r="164" customFormat="false" ht="14.25" hidden="false" customHeight="false" outlineLevel="0" collapsed="false">
      <c r="B164" s="42"/>
      <c r="C164" s="42"/>
    </row>
    <row r="165" customFormat="false" ht="14.25" hidden="false" customHeight="false" outlineLevel="0" collapsed="false">
      <c r="B165" s="42"/>
      <c r="C165" s="42"/>
    </row>
    <row r="166" customFormat="false" ht="14.25" hidden="false" customHeight="false" outlineLevel="0" collapsed="false">
      <c r="B166" s="42"/>
      <c r="C166" s="42"/>
    </row>
    <row r="167" customFormat="false" ht="14.25" hidden="false" customHeight="false" outlineLevel="0" collapsed="false">
      <c r="B167" s="42"/>
      <c r="C167" s="42"/>
    </row>
    <row r="168" customFormat="false" ht="14.25" hidden="false" customHeight="false" outlineLevel="0" collapsed="false">
      <c r="B168" s="42"/>
      <c r="C168" s="42"/>
    </row>
    <row r="169" customFormat="false" ht="14.25" hidden="false" customHeight="false" outlineLevel="0" collapsed="false">
      <c r="B169" s="42"/>
      <c r="C169" s="42"/>
    </row>
    <row r="170" customFormat="false" ht="14.25" hidden="false" customHeight="false" outlineLevel="0" collapsed="false">
      <c r="B170" s="42"/>
      <c r="C170" s="42"/>
    </row>
    <row r="171" customFormat="false" ht="14.25" hidden="false" customHeight="false" outlineLevel="0" collapsed="false">
      <c r="B171" s="42"/>
      <c r="C171" s="42"/>
    </row>
    <row r="172" customFormat="false" ht="14.25" hidden="false" customHeight="false" outlineLevel="0" collapsed="false">
      <c r="B172" s="42"/>
      <c r="C172" s="42"/>
    </row>
    <row r="173" customFormat="false" ht="14.25" hidden="false" customHeight="false" outlineLevel="0" collapsed="false">
      <c r="B173" s="42"/>
      <c r="C173" s="42"/>
    </row>
    <row r="174" customFormat="false" ht="14.25" hidden="false" customHeight="false" outlineLevel="0" collapsed="false">
      <c r="B174" s="42"/>
      <c r="C174" s="42"/>
    </row>
    <row r="175" customFormat="false" ht="14.25" hidden="false" customHeight="false" outlineLevel="0" collapsed="false">
      <c r="B175" s="42"/>
      <c r="C175" s="42"/>
    </row>
    <row r="176" customFormat="false" ht="14.25" hidden="false" customHeight="false" outlineLevel="0" collapsed="false">
      <c r="B176" s="42"/>
      <c r="C176" s="42"/>
    </row>
    <row r="177" customFormat="false" ht="14.25" hidden="false" customHeight="false" outlineLevel="0" collapsed="false">
      <c r="B177" s="42"/>
      <c r="C177" s="42"/>
    </row>
    <row r="178" customFormat="false" ht="14.25" hidden="false" customHeight="false" outlineLevel="0" collapsed="false">
      <c r="B178" s="42"/>
      <c r="C178" s="42"/>
    </row>
    <row r="179" customFormat="false" ht="14.25" hidden="false" customHeight="false" outlineLevel="0" collapsed="false">
      <c r="B179" s="42"/>
      <c r="C179" s="42"/>
    </row>
    <row r="180" customFormat="false" ht="14.25" hidden="false" customHeight="false" outlineLevel="0" collapsed="false">
      <c r="B180" s="42"/>
      <c r="C180" s="42"/>
    </row>
    <row r="181" customFormat="false" ht="14.25" hidden="false" customHeight="false" outlineLevel="0" collapsed="false">
      <c r="B181" s="42"/>
      <c r="C181" s="42"/>
    </row>
    <row r="182" customFormat="false" ht="14.25" hidden="false" customHeight="false" outlineLevel="0" collapsed="false">
      <c r="B182" s="42"/>
      <c r="C182" s="42"/>
    </row>
    <row r="183" customFormat="false" ht="14.25" hidden="false" customHeight="false" outlineLevel="0" collapsed="false">
      <c r="B183" s="42"/>
      <c r="C183" s="42"/>
    </row>
    <row r="184" customFormat="false" ht="14.25" hidden="false" customHeight="false" outlineLevel="0" collapsed="false">
      <c r="B184" s="42"/>
      <c r="C184" s="42"/>
    </row>
    <row r="185" customFormat="false" ht="14.25" hidden="false" customHeight="false" outlineLevel="0" collapsed="false">
      <c r="B185" s="42"/>
      <c r="C185" s="42"/>
    </row>
    <row r="186" customFormat="false" ht="14.25" hidden="false" customHeight="false" outlineLevel="0" collapsed="false">
      <c r="B186" s="42"/>
      <c r="C186" s="42"/>
    </row>
    <row r="187" customFormat="false" ht="14.25" hidden="false" customHeight="false" outlineLevel="0" collapsed="false">
      <c r="B187" s="42"/>
      <c r="C187" s="42"/>
    </row>
    <row r="188" customFormat="false" ht="14.25" hidden="false" customHeight="false" outlineLevel="0" collapsed="false">
      <c r="B188" s="42"/>
      <c r="C188" s="42"/>
    </row>
    <row r="189" customFormat="false" ht="14.25" hidden="false" customHeight="false" outlineLevel="0" collapsed="false">
      <c r="B189" s="42"/>
      <c r="C189" s="42"/>
    </row>
    <row r="190" customFormat="false" ht="14.25" hidden="false" customHeight="false" outlineLevel="0" collapsed="false">
      <c r="B190" s="42"/>
      <c r="C190" s="42"/>
    </row>
    <row r="191" customFormat="false" ht="14.25" hidden="false" customHeight="false" outlineLevel="0" collapsed="false">
      <c r="B191" s="42"/>
      <c r="C191" s="42"/>
    </row>
    <row r="192" customFormat="false" ht="14.25" hidden="false" customHeight="false" outlineLevel="0" collapsed="false">
      <c r="B192" s="42"/>
      <c r="C192" s="42"/>
    </row>
    <row r="193" customFormat="false" ht="14.25" hidden="false" customHeight="false" outlineLevel="0" collapsed="false">
      <c r="B193" s="42"/>
      <c r="C193" s="4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0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M593" activeCellId="0" sqref="M593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1" min="1" style="44" width="7.09"/>
    <col collapsed="false" customWidth="true" hidden="false" outlineLevel="0" max="2" min="2" style="44" width="6.54"/>
    <col collapsed="false" customWidth="true" hidden="false" outlineLevel="0" max="3" min="3" style="44" width="6.45"/>
    <col collapsed="false" customWidth="true" hidden="false" outlineLevel="0" max="4" min="4" style="44" width="5.45"/>
    <col collapsed="false" customWidth="true" hidden="false" outlineLevel="0" max="5" min="5" style="44" width="7.91"/>
    <col collapsed="false" customWidth="true" hidden="false" outlineLevel="0" max="6" min="6" style="44" width="5.63"/>
    <col collapsed="false" customWidth="true" hidden="false" outlineLevel="0" max="9" min="9" style="0" width="12"/>
    <col collapsed="false" customWidth="true" hidden="false" outlineLevel="0" max="10" min="10" style="0" width="12.54"/>
    <col collapsed="false" customWidth="true" hidden="false" outlineLevel="0" max="11" min="11" style="0" width="27.09"/>
    <col collapsed="false" customWidth="true" hidden="false" outlineLevel="0" max="12" min="12" style="0" width="14.91"/>
  </cols>
  <sheetData>
    <row r="1" customFormat="false" ht="23.85" hidden="false" customHeight="false" outlineLevel="0" collapsed="false">
      <c r="A1" s="45" t="s">
        <v>95</v>
      </c>
      <c r="B1" s="46" t="s">
        <v>2</v>
      </c>
      <c r="C1" s="46" t="s">
        <v>3</v>
      </c>
      <c r="D1" s="46" t="s">
        <v>4</v>
      </c>
      <c r="E1" s="46" t="s">
        <v>5</v>
      </c>
      <c r="F1" s="47" t="s">
        <v>96</v>
      </c>
      <c r="G1" s="48" t="s">
        <v>97</v>
      </c>
      <c r="H1" s="48" t="s">
        <v>98</v>
      </c>
      <c r="I1" s="49" t="s">
        <v>99</v>
      </c>
      <c r="J1" s="49" t="s">
        <v>100</v>
      </c>
      <c r="K1" s="48" t="s">
        <v>101</v>
      </c>
      <c r="L1" s="48" t="s">
        <v>102</v>
      </c>
      <c r="M1" s="48" t="s">
        <v>103</v>
      </c>
    </row>
    <row r="2" customFormat="false" ht="14.25" hidden="false" customHeight="false" outlineLevel="0" collapsed="false">
      <c r="A2" s="44" t="s">
        <v>38</v>
      </c>
      <c r="B2" s="44" t="s">
        <v>85</v>
      </c>
      <c r="C2" s="44" t="n">
        <v>1</v>
      </c>
      <c r="D2" s="44" t="s">
        <v>40</v>
      </c>
      <c r="E2" s="44" t="n">
        <v>1</v>
      </c>
      <c r="F2" s="44" t="s">
        <v>104</v>
      </c>
      <c r="G2" s="50" t="n">
        <v>38</v>
      </c>
      <c r="H2" s="50" t="n">
        <v>40</v>
      </c>
      <c r="I2" s="0" t="n">
        <f aca="false">VLOOKUP(C2,[1]M0111A!$A$1:$Z$30,24,TRUE())+(G2/100)</f>
        <v>0.38</v>
      </c>
      <c r="J2" s="51" t="n">
        <f aca="false">I2+0.02</f>
        <v>0.4</v>
      </c>
      <c r="K2" s="0" t="s">
        <v>105</v>
      </c>
      <c r="L2" s="36" t="s">
        <v>106</v>
      </c>
      <c r="M2" s="52" t="s">
        <v>107</v>
      </c>
    </row>
    <row r="3" customFormat="false" ht="14.25" hidden="false" customHeight="false" outlineLevel="0" collapsed="false">
      <c r="A3" s="44" t="s">
        <v>38</v>
      </c>
      <c r="B3" s="44" t="s">
        <v>85</v>
      </c>
      <c r="C3" s="44" t="n">
        <v>2</v>
      </c>
      <c r="D3" s="44" t="s">
        <v>40</v>
      </c>
      <c r="E3" s="44" t="n">
        <v>2</v>
      </c>
      <c r="F3" s="44" t="s">
        <v>104</v>
      </c>
      <c r="G3" s="50" t="n">
        <v>38</v>
      </c>
      <c r="H3" s="50" t="n">
        <v>40</v>
      </c>
      <c r="I3" s="50" t="n">
        <v>4.29</v>
      </c>
      <c r="J3" s="51" t="n">
        <f aca="false">I3+0.02</f>
        <v>4.31</v>
      </c>
      <c r="K3" s="0" t="s">
        <v>108</v>
      </c>
      <c r="L3" s="36" t="s">
        <v>106</v>
      </c>
      <c r="M3" s="53" t="n">
        <f aca="false">I3-I2</f>
        <v>3.91</v>
      </c>
    </row>
    <row r="4" customFormat="false" ht="14.25" hidden="false" customHeight="false" outlineLevel="0" collapsed="false">
      <c r="A4" s="44" t="s">
        <v>38</v>
      </c>
      <c r="B4" s="44" t="s">
        <v>85</v>
      </c>
      <c r="C4" s="44" t="n">
        <v>3</v>
      </c>
      <c r="D4" s="44" t="s">
        <v>40</v>
      </c>
      <c r="E4" s="44" t="n">
        <v>1</v>
      </c>
      <c r="F4" s="44" t="s">
        <v>104</v>
      </c>
      <c r="G4" s="50" t="n">
        <v>38</v>
      </c>
      <c r="H4" s="50" t="n">
        <v>40</v>
      </c>
      <c r="I4" s="0" t="n">
        <f aca="false">VLOOKUP(C4,[1]M0111A!$A$1:$Z$30,24,TRUE())+(G4/100)</f>
        <v>4.84</v>
      </c>
      <c r="J4" s="51" t="n">
        <f aca="false">I4+0.02</f>
        <v>4.86</v>
      </c>
      <c r="K4" s="0" t="s">
        <v>108</v>
      </c>
      <c r="L4" s="36" t="s">
        <v>106</v>
      </c>
      <c r="M4" s="53" t="n">
        <f aca="false">I4-I3</f>
        <v>0.55</v>
      </c>
    </row>
    <row r="5" customFormat="false" ht="14.25" hidden="false" customHeight="false" outlineLevel="0" collapsed="false">
      <c r="A5" s="44" t="s">
        <v>38</v>
      </c>
      <c r="B5" s="44" t="s">
        <v>85</v>
      </c>
      <c r="C5" s="44" t="n">
        <v>4</v>
      </c>
      <c r="D5" s="44" t="s">
        <v>40</v>
      </c>
      <c r="E5" s="44" t="n">
        <v>1</v>
      </c>
      <c r="F5" s="44" t="s">
        <v>104</v>
      </c>
      <c r="G5" s="50" t="n">
        <v>88</v>
      </c>
      <c r="H5" s="50" t="n">
        <v>90</v>
      </c>
      <c r="I5" s="0" t="n">
        <f aca="false">VLOOKUP(C5,[1]M0111A!$A$1:$Z$30,24,TRUE())+(G5/100)</f>
        <v>7.77</v>
      </c>
      <c r="J5" s="51" t="n">
        <f aca="false">I5+0.02</f>
        <v>7.79</v>
      </c>
      <c r="K5" s="0" t="s">
        <v>109</v>
      </c>
      <c r="L5" s="36" t="s">
        <v>106</v>
      </c>
      <c r="M5" s="53" t="n">
        <f aca="false">I5-I4</f>
        <v>2.93</v>
      </c>
    </row>
    <row r="6" customFormat="false" ht="14.25" hidden="false" customHeight="false" outlineLevel="0" collapsed="false">
      <c r="A6" s="44" t="s">
        <v>38</v>
      </c>
      <c r="B6" s="44" t="s">
        <v>85</v>
      </c>
      <c r="C6" s="44" t="n">
        <v>5</v>
      </c>
      <c r="D6" s="44" t="s">
        <v>40</v>
      </c>
      <c r="E6" s="44" t="n">
        <v>1</v>
      </c>
      <c r="F6" s="44" t="s">
        <v>104</v>
      </c>
      <c r="G6" s="50" t="n">
        <v>98</v>
      </c>
      <c r="H6" s="50" t="n">
        <v>100</v>
      </c>
      <c r="I6" s="0" t="n">
        <f aca="false">VLOOKUP(C6,[1]M0111A!$A$1:$Z$30,24,TRUE())+(G6/100)</f>
        <v>10.58</v>
      </c>
      <c r="J6" s="51" t="n">
        <f aca="false">I6+0.02</f>
        <v>10.6</v>
      </c>
      <c r="K6" s="0" t="s">
        <v>109</v>
      </c>
      <c r="L6" s="36" t="s">
        <v>106</v>
      </c>
      <c r="M6" s="53" t="n">
        <f aca="false">I6-I5</f>
        <v>2.81</v>
      </c>
    </row>
    <row r="7" customFormat="false" ht="14.25" hidden="false" customHeight="false" outlineLevel="0" collapsed="false">
      <c r="A7" s="44" t="s">
        <v>38</v>
      </c>
      <c r="B7" s="44" t="s">
        <v>85</v>
      </c>
      <c r="C7" s="44" t="n">
        <v>6</v>
      </c>
      <c r="D7" s="44" t="s">
        <v>40</v>
      </c>
      <c r="E7" s="44" t="n">
        <v>1</v>
      </c>
      <c r="F7" s="44" t="s">
        <v>104</v>
      </c>
      <c r="G7" s="50" t="n">
        <v>118</v>
      </c>
      <c r="H7" s="50" t="n">
        <v>120</v>
      </c>
      <c r="I7" s="0" t="n">
        <f aca="false">VLOOKUP(C7,[1]M0111A!$A$1:$Z$30,24,TRUE())+(G7/100)</f>
        <v>12.88</v>
      </c>
      <c r="J7" s="51" t="n">
        <f aca="false">I7+0.02</f>
        <v>12.9</v>
      </c>
      <c r="K7" s="0" t="s">
        <v>109</v>
      </c>
      <c r="L7" s="36" t="s">
        <v>106</v>
      </c>
      <c r="M7" s="53" t="n">
        <f aca="false">I7-I6</f>
        <v>2.3</v>
      </c>
    </row>
    <row r="8" customFormat="false" ht="14.25" hidden="false" customHeight="false" outlineLevel="0" collapsed="false">
      <c r="A8" s="44" t="s">
        <v>38</v>
      </c>
      <c r="B8" s="44" t="s">
        <v>85</v>
      </c>
      <c r="C8" s="44" t="n">
        <v>7</v>
      </c>
      <c r="D8" s="44" t="s">
        <v>40</v>
      </c>
      <c r="E8" s="44" t="n">
        <v>1</v>
      </c>
      <c r="F8" s="44" t="s">
        <v>104</v>
      </c>
      <c r="G8" s="50" t="n">
        <v>14</v>
      </c>
      <c r="H8" s="50" t="n">
        <v>16</v>
      </c>
      <c r="I8" s="0" t="n">
        <f aca="false">VLOOKUP(C8,[1]M0111A!$A$1:$Z$30,24,TRUE())+(G8/100)</f>
        <v>14.08</v>
      </c>
      <c r="J8" s="51" t="n">
        <f aca="false">I8+0.02</f>
        <v>14.1</v>
      </c>
      <c r="K8" s="0" t="s">
        <v>110</v>
      </c>
      <c r="L8" s="36" t="s">
        <v>106</v>
      </c>
      <c r="M8" s="53" t="n">
        <f aca="false">I8-I7</f>
        <v>1.2</v>
      </c>
    </row>
    <row r="9" customFormat="false" ht="14.25" hidden="false" customHeight="false" outlineLevel="0" collapsed="false">
      <c r="A9" s="44" t="s">
        <v>38</v>
      </c>
      <c r="B9" s="44" t="s">
        <v>85</v>
      </c>
      <c r="C9" s="44" t="n">
        <v>9</v>
      </c>
      <c r="D9" s="44" t="s">
        <v>86</v>
      </c>
      <c r="E9" s="44" t="n">
        <v>1</v>
      </c>
      <c r="F9" s="44" t="s">
        <v>104</v>
      </c>
      <c r="G9" s="50" t="n">
        <v>18</v>
      </c>
      <c r="H9" s="50" t="n">
        <v>20</v>
      </c>
      <c r="I9" s="0" t="n">
        <f aca="false">VLOOKUP(C9,[1]M0111A!$A$1:$Z$30,24,TRUE())+(G9/100)</f>
        <v>14.95</v>
      </c>
      <c r="J9" s="51" t="n">
        <f aca="false">I9+0.02</f>
        <v>14.97</v>
      </c>
      <c r="K9" s="0" t="s">
        <v>110</v>
      </c>
      <c r="L9" s="36" t="s">
        <v>111</v>
      </c>
      <c r="M9" s="53" t="n">
        <f aca="false">I9-I8</f>
        <v>0.869999999999999</v>
      </c>
    </row>
    <row r="10" customFormat="false" ht="14.25" hidden="false" customHeight="false" outlineLevel="0" collapsed="false">
      <c r="A10" s="44" t="s">
        <v>38</v>
      </c>
      <c r="B10" s="44" t="s">
        <v>85</v>
      </c>
      <c r="C10" s="44" t="n">
        <v>10</v>
      </c>
      <c r="D10" s="44" t="s">
        <v>44</v>
      </c>
      <c r="E10" s="44" t="n">
        <v>1</v>
      </c>
      <c r="F10" s="44" t="s">
        <v>104</v>
      </c>
      <c r="G10" s="50" t="n">
        <v>38</v>
      </c>
      <c r="H10" s="50" t="n">
        <v>40</v>
      </c>
      <c r="I10" s="0" t="n">
        <f aca="false">VLOOKUP(C10,[1]M0111A!$A$1:$Z$30,24,TRUE())+(G10/100)</f>
        <v>15.59</v>
      </c>
      <c r="J10" s="51" t="n">
        <f aca="false">I10+0.02</f>
        <v>15.61</v>
      </c>
      <c r="K10" s="0" t="s">
        <v>110</v>
      </c>
      <c r="L10" s="36" t="s">
        <v>106</v>
      </c>
      <c r="M10" s="53" t="n">
        <f aca="false">I10-I9</f>
        <v>0.640000000000002</v>
      </c>
    </row>
    <row r="11" customFormat="false" ht="14.25" hidden="false" customHeight="false" outlineLevel="0" collapsed="false">
      <c r="A11" s="44" t="s">
        <v>38</v>
      </c>
      <c r="B11" s="44" t="s">
        <v>85</v>
      </c>
      <c r="C11" s="44" t="n">
        <v>11</v>
      </c>
      <c r="D11" s="44" t="s">
        <v>44</v>
      </c>
      <c r="E11" s="44" t="n">
        <v>1</v>
      </c>
      <c r="F11" s="44" t="s">
        <v>104</v>
      </c>
      <c r="G11" s="50" t="n">
        <v>38</v>
      </c>
      <c r="H11" s="50" t="n">
        <v>40</v>
      </c>
      <c r="I11" s="0" t="n">
        <f aca="false">VLOOKUP(C11,[1]M0111A!$A$1:$Z$30,24,TRUE())+(G11/100)</f>
        <v>16.74</v>
      </c>
      <c r="J11" s="51" t="n">
        <f aca="false">I11+0.02</f>
        <v>16.76</v>
      </c>
      <c r="K11" s="0" t="s">
        <v>110</v>
      </c>
      <c r="L11" s="36" t="s">
        <v>106</v>
      </c>
      <c r="M11" s="53" t="n">
        <f aca="false">I11-I10</f>
        <v>1.15</v>
      </c>
    </row>
    <row r="12" customFormat="false" ht="14.25" hidden="false" customHeight="false" outlineLevel="0" collapsed="false">
      <c r="A12" s="44" t="s">
        <v>38</v>
      </c>
      <c r="B12" s="44" t="s">
        <v>85</v>
      </c>
      <c r="C12" s="44" t="n">
        <v>12</v>
      </c>
      <c r="D12" s="44" t="s">
        <v>44</v>
      </c>
      <c r="E12" s="44" t="n">
        <v>1</v>
      </c>
      <c r="F12" s="44" t="s">
        <v>104</v>
      </c>
      <c r="G12" s="50" t="n">
        <v>48</v>
      </c>
      <c r="H12" s="50" t="n">
        <v>50</v>
      </c>
      <c r="I12" s="0" t="n">
        <f aca="false">VLOOKUP(C12,[1]M0111A!$A$1:$Z$30,24,TRUE())+(G12/100)</f>
        <v>32.73</v>
      </c>
      <c r="J12" s="51" t="n">
        <f aca="false">I12+0.02</f>
        <v>32.75</v>
      </c>
      <c r="K12" s="0" t="s">
        <v>42</v>
      </c>
      <c r="L12" s="36" t="s">
        <v>106</v>
      </c>
      <c r="M12" s="53"/>
    </row>
    <row r="13" customFormat="false" ht="14.25" hidden="false" customHeight="false" outlineLevel="0" collapsed="false">
      <c r="A13" s="44" t="s">
        <v>38</v>
      </c>
      <c r="B13" s="44" t="s">
        <v>85</v>
      </c>
      <c r="C13" s="44" t="n">
        <v>13</v>
      </c>
      <c r="D13" s="44" t="s">
        <v>40</v>
      </c>
      <c r="E13" s="44" t="n">
        <v>1</v>
      </c>
      <c r="F13" s="44" t="s">
        <v>104</v>
      </c>
      <c r="G13" s="50" t="n">
        <v>38</v>
      </c>
      <c r="H13" s="50" t="n">
        <v>40</v>
      </c>
      <c r="I13" s="0" t="n">
        <f aca="false">VLOOKUP(C13,[1]M0111A!$A$1:$Z$30,24,TRUE())+(G13/100)</f>
        <v>34.18</v>
      </c>
      <c r="J13" s="51" t="n">
        <f aca="false">I13+0.02</f>
        <v>34.2</v>
      </c>
      <c r="K13" s="0" t="s">
        <v>112</v>
      </c>
      <c r="L13" s="36" t="s">
        <v>106</v>
      </c>
      <c r="M13" s="53" t="n">
        <f aca="false">I13-I12</f>
        <v>1.45</v>
      </c>
    </row>
    <row r="14" customFormat="false" ht="14.25" hidden="false" customHeight="false" outlineLevel="0" collapsed="false">
      <c r="A14" s="44" t="s">
        <v>38</v>
      </c>
      <c r="B14" s="44" t="s">
        <v>85</v>
      </c>
      <c r="C14" s="44" t="n">
        <v>15</v>
      </c>
      <c r="D14" s="44" t="s">
        <v>40</v>
      </c>
      <c r="E14" s="44" t="n">
        <v>1</v>
      </c>
      <c r="F14" s="44" t="s">
        <v>104</v>
      </c>
      <c r="G14" s="50" t="n">
        <v>38</v>
      </c>
      <c r="H14" s="50" t="n">
        <v>40</v>
      </c>
      <c r="I14" s="0" t="n">
        <f aca="false">VLOOKUP(C14,[1]M0111A!$A$1:$Z$30,24,TRUE())+(G14/100)</f>
        <v>38.5</v>
      </c>
      <c r="J14" s="51" t="n">
        <f aca="false">I14+0.02</f>
        <v>38.52</v>
      </c>
      <c r="K14" s="0" t="s">
        <v>113</v>
      </c>
      <c r="L14" s="36" t="s">
        <v>106</v>
      </c>
      <c r="M14" s="53" t="n">
        <f aca="false">I14-I13</f>
        <v>4.32</v>
      </c>
    </row>
    <row r="15" customFormat="false" ht="14.25" hidden="false" customHeight="false" outlineLevel="0" collapsed="false">
      <c r="A15" s="44" t="s">
        <v>38</v>
      </c>
      <c r="B15" s="44" t="s">
        <v>85</v>
      </c>
      <c r="C15" s="44" t="n">
        <v>16</v>
      </c>
      <c r="D15" s="44" t="s">
        <v>40</v>
      </c>
      <c r="E15" s="44" t="n">
        <v>1</v>
      </c>
      <c r="F15" s="44" t="s">
        <v>104</v>
      </c>
      <c r="G15" s="50" t="n">
        <v>38</v>
      </c>
      <c r="H15" s="50" t="n">
        <v>40</v>
      </c>
      <c r="I15" s="0" t="n">
        <f aca="false">VLOOKUP(C15,[1]M0111A!$A$1:$Z$30,24,TRUE())+(G15/100)</f>
        <v>40.83</v>
      </c>
      <c r="J15" s="51" t="n">
        <f aca="false">I15+0.02</f>
        <v>40.85</v>
      </c>
      <c r="K15" s="0" t="s">
        <v>114</v>
      </c>
      <c r="L15" s="36" t="s">
        <v>106</v>
      </c>
      <c r="M15" s="53" t="n">
        <f aca="false">I15-I14</f>
        <v>2.33000000000001</v>
      </c>
    </row>
    <row r="16" customFormat="false" ht="14.25" hidden="false" customHeight="false" outlineLevel="0" collapsed="false">
      <c r="A16" s="44" t="s">
        <v>38</v>
      </c>
      <c r="B16" s="44" t="s">
        <v>85</v>
      </c>
      <c r="C16" s="44" t="n">
        <v>17</v>
      </c>
      <c r="D16" s="44" t="s">
        <v>40</v>
      </c>
      <c r="E16" s="44" t="n">
        <v>1</v>
      </c>
      <c r="F16" s="44" t="s">
        <v>104</v>
      </c>
      <c r="G16" s="50" t="n">
        <v>38</v>
      </c>
      <c r="H16" s="50" t="n">
        <v>40</v>
      </c>
      <c r="I16" s="0" t="n">
        <f aca="false">VLOOKUP(C16,[1]M0111A!$A$1:$Z$30,24,TRUE())+(G16/100)</f>
        <v>41.57</v>
      </c>
      <c r="J16" s="51" t="n">
        <f aca="false">I16+0.02</f>
        <v>41.59</v>
      </c>
      <c r="K16" s="0" t="s">
        <v>115</v>
      </c>
      <c r="L16" s="36" t="s">
        <v>106</v>
      </c>
      <c r="M16" s="53" t="n">
        <f aca="false">I16-I15</f>
        <v>0.739999999999995</v>
      </c>
    </row>
    <row r="17" customFormat="false" ht="14.25" hidden="false" customHeight="false" outlineLevel="0" collapsed="false">
      <c r="A17" s="44" t="s">
        <v>38</v>
      </c>
      <c r="B17" s="44" t="s">
        <v>85</v>
      </c>
      <c r="C17" s="44" t="n">
        <v>18</v>
      </c>
      <c r="D17" s="44" t="s">
        <v>40</v>
      </c>
      <c r="E17" s="44" t="n">
        <v>1</v>
      </c>
      <c r="F17" s="44" t="s">
        <v>104</v>
      </c>
      <c r="G17" s="50" t="n">
        <v>38</v>
      </c>
      <c r="H17" s="50" t="n">
        <v>40</v>
      </c>
      <c r="I17" s="0" t="n">
        <f aca="false">VLOOKUP(C17,[1]M0111A!$A$1:$Z$30,24,TRUE())+(G17/100)</f>
        <v>43.7</v>
      </c>
      <c r="J17" s="51" t="n">
        <f aca="false">I17+0.02</f>
        <v>43.72</v>
      </c>
      <c r="K17" s="0" t="s">
        <v>116</v>
      </c>
      <c r="L17" s="36" t="s">
        <v>106</v>
      </c>
      <c r="M17" s="53" t="n">
        <f aca="false">I17-I16</f>
        <v>2.13</v>
      </c>
    </row>
    <row r="18" customFormat="false" ht="14.25" hidden="false" customHeight="false" outlineLevel="0" collapsed="false">
      <c r="A18" s="44" t="s">
        <v>38</v>
      </c>
      <c r="B18" s="44" t="s">
        <v>85</v>
      </c>
      <c r="C18" s="44" t="n">
        <v>19</v>
      </c>
      <c r="D18" s="44" t="s">
        <v>40</v>
      </c>
      <c r="E18" s="44" t="n">
        <v>1</v>
      </c>
      <c r="F18" s="44" t="s">
        <v>104</v>
      </c>
      <c r="G18" s="50" t="n">
        <v>38</v>
      </c>
      <c r="H18" s="50" t="n">
        <v>40</v>
      </c>
      <c r="I18" s="0" t="n">
        <f aca="false">VLOOKUP(C18,[1]M0111A!$A$1:$Z$30,24,TRUE())+(G18/100)</f>
        <v>44.21</v>
      </c>
      <c r="J18" s="51" t="n">
        <f aca="false">I18+0.02</f>
        <v>44.23</v>
      </c>
      <c r="K18" s="54" t="s">
        <v>117</v>
      </c>
      <c r="L18" s="36" t="s">
        <v>106</v>
      </c>
      <c r="M18" s="53" t="n">
        <f aca="false">I18-I17</f>
        <v>0.509999999999998</v>
      </c>
    </row>
    <row r="19" customFormat="false" ht="14.25" hidden="false" customHeight="false" outlineLevel="0" collapsed="false">
      <c r="A19" s="44" t="s">
        <v>38</v>
      </c>
      <c r="B19" s="44" t="s">
        <v>85</v>
      </c>
      <c r="C19" s="44" t="n">
        <v>20</v>
      </c>
      <c r="D19" s="44" t="s">
        <v>40</v>
      </c>
      <c r="E19" s="44" t="n">
        <v>1</v>
      </c>
      <c r="F19" s="44" t="s">
        <v>104</v>
      </c>
      <c r="G19" s="50" t="n">
        <v>38</v>
      </c>
      <c r="H19" s="50" t="n">
        <v>40</v>
      </c>
      <c r="I19" s="0" t="n">
        <f aca="false">VLOOKUP(C19,[1]M0111A!$A$1:$Z$30,24,TRUE())+(G19/100)</f>
        <v>46.58</v>
      </c>
      <c r="J19" s="51" t="n">
        <f aca="false">I19+0.02</f>
        <v>46.6</v>
      </c>
      <c r="K19" s="0" t="s">
        <v>118</v>
      </c>
      <c r="L19" s="36" t="s">
        <v>106</v>
      </c>
      <c r="M19" s="53" t="n">
        <f aca="false">I19-I18</f>
        <v>2.37</v>
      </c>
    </row>
    <row r="20" customFormat="false" ht="14.25" hidden="false" customHeight="false" outlineLevel="0" collapsed="false">
      <c r="A20" s="44" t="s">
        <v>38</v>
      </c>
      <c r="B20" s="44" t="s">
        <v>85</v>
      </c>
      <c r="C20" s="44" t="n">
        <v>21</v>
      </c>
      <c r="D20" s="44" t="s">
        <v>40</v>
      </c>
      <c r="E20" s="44" t="n">
        <v>2</v>
      </c>
      <c r="F20" s="44" t="s">
        <v>104</v>
      </c>
      <c r="G20" s="50" t="n">
        <v>38</v>
      </c>
      <c r="H20" s="50" t="n">
        <v>40</v>
      </c>
      <c r="I20" s="0" t="n">
        <v>49.15</v>
      </c>
      <c r="J20" s="51" t="n">
        <f aca="false">I20+0.02</f>
        <v>49.17</v>
      </c>
      <c r="K20" s="0" t="s">
        <v>119</v>
      </c>
      <c r="L20" s="36" t="s">
        <v>106</v>
      </c>
      <c r="M20" s="53" t="n">
        <f aca="false">I20-I19</f>
        <v>2.56999999999999</v>
      </c>
    </row>
    <row r="21" customFormat="false" ht="14.25" hidden="false" customHeight="false" outlineLevel="0" collapsed="false">
      <c r="A21" s="44" t="s">
        <v>38</v>
      </c>
      <c r="B21" s="44" t="s">
        <v>85</v>
      </c>
      <c r="C21" s="44" t="n">
        <v>22</v>
      </c>
      <c r="D21" s="44" t="s">
        <v>40</v>
      </c>
      <c r="E21" s="44" t="n">
        <v>1</v>
      </c>
      <c r="F21" s="44" t="s">
        <v>104</v>
      </c>
      <c r="G21" s="50" t="n">
        <v>38</v>
      </c>
      <c r="H21" s="50" t="n">
        <v>40</v>
      </c>
      <c r="I21" s="0" t="n">
        <f aca="false">VLOOKUP(C21,[1]M0111A!$A$1:$Z$30,24,TRUE())+(G21/100)</f>
        <v>51.28</v>
      </c>
      <c r="J21" s="51" t="n">
        <f aca="false">I21+0.02</f>
        <v>51.3</v>
      </c>
      <c r="K21" s="0" t="s">
        <v>119</v>
      </c>
      <c r="L21" s="36" t="s">
        <v>106</v>
      </c>
      <c r="M21" s="53" t="n">
        <f aca="false">I21-I20</f>
        <v>2.13</v>
      </c>
    </row>
    <row r="22" customFormat="false" ht="14.25" hidden="false" customHeight="false" outlineLevel="0" collapsed="false">
      <c r="A22" s="44" t="s">
        <v>38</v>
      </c>
      <c r="B22" s="44" t="s">
        <v>85</v>
      </c>
      <c r="C22" s="44" t="n">
        <v>23</v>
      </c>
      <c r="D22" s="44" t="s">
        <v>40</v>
      </c>
      <c r="E22" s="44" t="n">
        <v>1</v>
      </c>
      <c r="F22" s="44" t="s">
        <v>104</v>
      </c>
      <c r="G22" s="50" t="n">
        <v>38</v>
      </c>
      <c r="H22" s="50" t="n">
        <v>40</v>
      </c>
      <c r="I22" s="0" t="n">
        <f aca="false">VLOOKUP(C22,[1]M0111A!$A$1:$Z$30,24,TRUE())+(G22/100)</f>
        <v>52.8</v>
      </c>
      <c r="J22" s="51" t="n">
        <f aca="false">I22+0.02</f>
        <v>52.82</v>
      </c>
      <c r="K22" s="0" t="s">
        <v>120</v>
      </c>
      <c r="L22" s="36" t="s">
        <v>106</v>
      </c>
      <c r="M22" s="53" t="n">
        <f aca="false">I22-I21</f>
        <v>1.52</v>
      </c>
    </row>
    <row r="23" customFormat="false" ht="14.25" hidden="false" customHeight="false" outlineLevel="0" collapsed="false">
      <c r="A23" s="44" t="s">
        <v>38</v>
      </c>
      <c r="B23" s="44" t="s">
        <v>85</v>
      </c>
      <c r="C23" s="44" t="n">
        <v>24</v>
      </c>
      <c r="D23" s="44" t="s">
        <v>40</v>
      </c>
      <c r="E23" s="44" t="n">
        <v>1</v>
      </c>
      <c r="F23" s="44" t="s">
        <v>104</v>
      </c>
      <c r="G23" s="50" t="n">
        <v>38</v>
      </c>
      <c r="H23" s="50" t="n">
        <v>40</v>
      </c>
      <c r="I23" s="0" t="n">
        <f aca="false">VLOOKUP(C23,[1]M0111A!$A$1:$Z$30,24,TRUE())+(G23/100)</f>
        <v>55.3</v>
      </c>
      <c r="J23" s="51" t="n">
        <f aca="false">I23+0.02</f>
        <v>55.32</v>
      </c>
      <c r="K23" s="0" t="s">
        <v>121</v>
      </c>
      <c r="L23" s="36" t="s">
        <v>106</v>
      </c>
      <c r="M23" s="53" t="n">
        <f aca="false">I23-I22</f>
        <v>2.5</v>
      </c>
    </row>
    <row r="24" customFormat="false" ht="14.25" hidden="false" customHeight="false" outlineLevel="0" collapsed="false">
      <c r="A24" s="44" t="s">
        <v>38</v>
      </c>
      <c r="B24" s="44" t="s">
        <v>85</v>
      </c>
      <c r="C24" s="44" t="n">
        <v>25</v>
      </c>
      <c r="D24" s="44" t="s">
        <v>40</v>
      </c>
      <c r="E24" s="44" t="n">
        <v>1</v>
      </c>
      <c r="F24" s="44" t="s">
        <v>104</v>
      </c>
      <c r="G24" s="50" t="n">
        <v>38</v>
      </c>
      <c r="H24" s="50" t="n">
        <v>40</v>
      </c>
      <c r="I24" s="0" t="n">
        <f aca="false">VLOOKUP(C24,[1]M0111A!$A$1:$Z$30,24,TRUE())+(G24/100)</f>
        <v>57.04</v>
      </c>
      <c r="J24" s="51" t="n">
        <f aca="false">I24+0.02</f>
        <v>57.06</v>
      </c>
      <c r="K24" s="0" t="s">
        <v>122</v>
      </c>
      <c r="L24" s="36" t="s">
        <v>106</v>
      </c>
      <c r="M24" s="53" t="n">
        <f aca="false">I24-I23</f>
        <v>1.73999999999999</v>
      </c>
    </row>
    <row r="25" customFormat="false" ht="14.25" hidden="false" customHeight="false" outlineLevel="0" collapsed="false">
      <c r="A25" s="44" t="s">
        <v>38</v>
      </c>
      <c r="B25" s="44" t="s">
        <v>85</v>
      </c>
      <c r="C25" s="44" t="n">
        <v>26</v>
      </c>
      <c r="D25" s="44" t="s">
        <v>40</v>
      </c>
      <c r="E25" s="44" t="n">
        <v>1</v>
      </c>
      <c r="F25" s="44" t="s">
        <v>104</v>
      </c>
      <c r="G25" s="50" t="n">
        <v>38</v>
      </c>
      <c r="H25" s="50" t="n">
        <v>40</v>
      </c>
      <c r="I25" s="0" t="n">
        <f aca="false">VLOOKUP(C25,[1]M0111A!$A$1:$Z$30,24,TRUE())+(G25/100)</f>
        <v>59.26</v>
      </c>
      <c r="J25" s="51" t="n">
        <f aca="false">I25+0.02</f>
        <v>59.28</v>
      </c>
      <c r="K25" s="0" t="s">
        <v>123</v>
      </c>
      <c r="L25" s="36" t="s">
        <v>106</v>
      </c>
      <c r="M25" s="53" t="n">
        <f aca="false">I25-I24</f>
        <v>2.22000000000001</v>
      </c>
    </row>
    <row r="26" customFormat="false" ht="14.25" hidden="false" customHeight="false" outlineLevel="0" collapsed="false">
      <c r="A26" s="44" t="s">
        <v>38</v>
      </c>
      <c r="B26" s="44" t="s">
        <v>85</v>
      </c>
      <c r="C26" s="44" t="n">
        <v>27</v>
      </c>
      <c r="D26" s="44" t="s">
        <v>40</v>
      </c>
      <c r="E26" s="44" t="n">
        <v>1</v>
      </c>
      <c r="F26" s="44" t="s">
        <v>104</v>
      </c>
      <c r="G26" s="50" t="n">
        <v>38</v>
      </c>
      <c r="H26" s="50" t="n">
        <v>40</v>
      </c>
      <c r="I26" s="0" t="n">
        <f aca="false">VLOOKUP(C26,[1]M0111A!$A$1:$Z$30,24,TRUE())+(G26/100)</f>
        <v>61.58</v>
      </c>
      <c r="J26" s="51" t="n">
        <f aca="false">I26+0.02</f>
        <v>61.6</v>
      </c>
      <c r="K26" s="0" t="s">
        <v>124</v>
      </c>
      <c r="L26" s="36" t="s">
        <v>106</v>
      </c>
      <c r="M26" s="53" t="n">
        <f aca="false">I26-I25</f>
        <v>2.32</v>
      </c>
    </row>
    <row r="27" customFormat="false" ht="14.25" hidden="false" customHeight="false" outlineLevel="0" collapsed="false">
      <c r="A27" s="44" t="s">
        <v>38</v>
      </c>
      <c r="B27" s="44" t="s">
        <v>85</v>
      </c>
      <c r="C27" s="44" t="n">
        <v>29</v>
      </c>
      <c r="D27" s="44" t="s">
        <v>40</v>
      </c>
      <c r="E27" s="44" t="n">
        <v>1</v>
      </c>
      <c r="F27" s="44" t="s">
        <v>104</v>
      </c>
      <c r="G27" s="50" t="n">
        <v>18</v>
      </c>
      <c r="H27" s="50" t="n">
        <v>20</v>
      </c>
      <c r="I27" s="0" t="n">
        <f aca="false">VLOOKUP(C27,[1]M0111A!$A$1:$Z$30,24,TRUE())+(G27/100)</f>
        <v>63.56</v>
      </c>
      <c r="J27" s="51" t="n">
        <f aca="false">I27+0.02</f>
        <v>63.58</v>
      </c>
      <c r="K27" s="0" t="s">
        <v>125</v>
      </c>
      <c r="L27" s="36" t="s">
        <v>111</v>
      </c>
      <c r="M27" s="53" t="n">
        <f aca="false">I27-I26</f>
        <v>1.98</v>
      </c>
    </row>
    <row r="28" customFormat="false" ht="14.25" hidden="false" customHeight="false" outlineLevel="0" collapsed="false">
      <c r="G28" s="50"/>
      <c r="H28" s="50"/>
      <c r="I28" s="51"/>
      <c r="J28" s="51"/>
      <c r="L28" s="55"/>
      <c r="M28" s="35"/>
    </row>
    <row r="29" customFormat="false" ht="14.25" hidden="false" customHeight="false" outlineLevel="0" collapsed="false">
      <c r="A29" s="44" t="s">
        <v>38</v>
      </c>
      <c r="B29" s="44" t="s">
        <v>39</v>
      </c>
      <c r="C29" s="44" t="n">
        <v>1</v>
      </c>
      <c r="D29" s="44" t="s">
        <v>40</v>
      </c>
      <c r="E29" s="44" t="n">
        <v>2</v>
      </c>
      <c r="F29" s="44" t="s">
        <v>104</v>
      </c>
      <c r="G29" s="0" t="n">
        <v>48</v>
      </c>
      <c r="H29" s="44" t="n">
        <v>50</v>
      </c>
      <c r="I29" s="53" t="n">
        <v>63.98</v>
      </c>
      <c r="J29" s="51" t="n">
        <v>64</v>
      </c>
      <c r="K29" s="0" t="s">
        <v>126</v>
      </c>
      <c r="L29" s="36" t="s">
        <v>106</v>
      </c>
      <c r="M29" s="52" t="s">
        <v>107</v>
      </c>
    </row>
    <row r="30" customFormat="false" ht="14.25" hidden="false" customHeight="false" outlineLevel="0" collapsed="false">
      <c r="A30" s="44" t="s">
        <v>38</v>
      </c>
      <c r="B30" s="44" t="s">
        <v>39</v>
      </c>
      <c r="C30" s="44" t="n">
        <v>2</v>
      </c>
      <c r="D30" s="44" t="s">
        <v>40</v>
      </c>
      <c r="E30" s="44" t="n">
        <v>2</v>
      </c>
      <c r="F30" s="44" t="s">
        <v>104</v>
      </c>
      <c r="G30" s="0" t="n">
        <v>78</v>
      </c>
      <c r="H30" s="44" t="n">
        <v>80</v>
      </c>
      <c r="I30" s="53" t="n">
        <v>65.92</v>
      </c>
      <c r="J30" s="53" t="n">
        <v>65.94</v>
      </c>
      <c r="K30" s="0" t="s">
        <v>127</v>
      </c>
      <c r="L30" s="36" t="s">
        <v>106</v>
      </c>
      <c r="M30" s="53" t="n">
        <f aca="false">I30-I29</f>
        <v>1.94</v>
      </c>
    </row>
    <row r="31" customFormat="false" ht="14.25" hidden="false" customHeight="false" outlineLevel="0" collapsed="false">
      <c r="A31" s="44" t="s">
        <v>38</v>
      </c>
      <c r="B31" s="44" t="s">
        <v>39</v>
      </c>
      <c r="C31" s="44" t="n">
        <v>3</v>
      </c>
      <c r="D31" s="44" t="s">
        <v>40</v>
      </c>
      <c r="E31" s="44" t="n">
        <v>2</v>
      </c>
      <c r="F31" s="44" t="s">
        <v>104</v>
      </c>
      <c r="G31" s="0" t="n">
        <v>38</v>
      </c>
      <c r="H31" s="44" t="n">
        <v>40</v>
      </c>
      <c r="I31" s="53" t="n">
        <v>67.94</v>
      </c>
      <c r="J31" s="51" t="n">
        <v>67.96</v>
      </c>
      <c r="K31" s="0" t="s">
        <v>128</v>
      </c>
      <c r="L31" s="36" t="s">
        <v>106</v>
      </c>
      <c r="M31" s="53" t="n">
        <f aca="false">I31-I30</f>
        <v>2.02</v>
      </c>
    </row>
    <row r="32" customFormat="false" ht="14.25" hidden="false" customHeight="false" outlineLevel="0" collapsed="false">
      <c r="A32" s="44" t="s">
        <v>38</v>
      </c>
      <c r="B32" s="44" t="s">
        <v>39</v>
      </c>
      <c r="C32" s="44" t="n">
        <v>4</v>
      </c>
      <c r="D32" s="44" t="s">
        <v>40</v>
      </c>
      <c r="E32" s="44" t="n">
        <v>1</v>
      </c>
      <c r="F32" s="44" t="s">
        <v>104</v>
      </c>
      <c r="G32" s="0" t="n">
        <v>98</v>
      </c>
      <c r="H32" s="44" t="n">
        <v>100</v>
      </c>
      <c r="I32" s="53" t="n">
        <v>69.18</v>
      </c>
      <c r="J32" s="51" t="n">
        <v>69.2</v>
      </c>
      <c r="K32" s="0" t="s">
        <v>129</v>
      </c>
      <c r="L32" s="36" t="s">
        <v>106</v>
      </c>
      <c r="M32" s="53" t="n">
        <f aca="false">I32-I31</f>
        <v>1.24000000000001</v>
      </c>
    </row>
    <row r="33" customFormat="false" ht="14.25" hidden="false" customHeight="false" outlineLevel="0" collapsed="false">
      <c r="A33" s="44" t="s">
        <v>38</v>
      </c>
      <c r="B33" s="44" t="s">
        <v>39</v>
      </c>
      <c r="C33" s="44" t="n">
        <v>5</v>
      </c>
      <c r="D33" s="44" t="s">
        <v>40</v>
      </c>
      <c r="E33" s="44" t="n">
        <v>2</v>
      </c>
      <c r="F33" s="44" t="s">
        <v>104</v>
      </c>
      <c r="G33" s="0" t="n">
        <v>58</v>
      </c>
      <c r="H33" s="44" t="n">
        <v>60</v>
      </c>
      <c r="I33" s="53" t="n">
        <v>71.12</v>
      </c>
      <c r="J33" s="51" t="n">
        <v>71.14</v>
      </c>
      <c r="K33" s="0" t="s">
        <v>130</v>
      </c>
      <c r="L33" s="36" t="s">
        <v>106</v>
      </c>
      <c r="M33" s="53" t="n">
        <f aca="false">I33-I32</f>
        <v>1.94</v>
      </c>
    </row>
    <row r="34" customFormat="false" ht="14.25" hidden="false" customHeight="false" outlineLevel="0" collapsed="false">
      <c r="A34" s="44" t="s">
        <v>38</v>
      </c>
      <c r="B34" s="44" t="s">
        <v>39</v>
      </c>
      <c r="C34" s="44" t="n">
        <v>6</v>
      </c>
      <c r="D34" s="44" t="s">
        <v>40</v>
      </c>
      <c r="E34" s="44" t="n">
        <v>1</v>
      </c>
      <c r="F34" s="44" t="s">
        <v>104</v>
      </c>
      <c r="G34" s="0" t="n">
        <v>60</v>
      </c>
      <c r="H34" s="44" t="n">
        <v>62</v>
      </c>
      <c r="I34" s="53" t="n">
        <v>72.14</v>
      </c>
      <c r="J34" s="51" t="n">
        <v>72.16</v>
      </c>
      <c r="K34" s="0" t="s">
        <v>117</v>
      </c>
      <c r="L34" s="36" t="s">
        <v>106</v>
      </c>
      <c r="M34" s="53" t="n">
        <f aca="false">I34-I33</f>
        <v>1.02</v>
      </c>
    </row>
    <row r="35" customFormat="false" ht="14.25" hidden="false" customHeight="false" outlineLevel="0" collapsed="false">
      <c r="A35" s="44" t="s">
        <v>38</v>
      </c>
      <c r="B35" s="44" t="s">
        <v>39</v>
      </c>
      <c r="C35" s="44" t="n">
        <v>9</v>
      </c>
      <c r="D35" s="44" t="s">
        <v>44</v>
      </c>
      <c r="E35" s="44" t="n">
        <v>1</v>
      </c>
      <c r="F35" s="44" t="s">
        <v>104</v>
      </c>
      <c r="G35" s="0" t="n">
        <v>100</v>
      </c>
      <c r="H35" s="44" t="n">
        <v>102</v>
      </c>
      <c r="I35" s="53" t="n">
        <v>73.76</v>
      </c>
      <c r="J35" s="51" t="n">
        <v>73.78</v>
      </c>
      <c r="K35" s="0" t="s">
        <v>131</v>
      </c>
      <c r="L35" s="36" t="s">
        <v>106</v>
      </c>
      <c r="M35" s="53" t="n">
        <f aca="false">I35-I34</f>
        <v>1.62</v>
      </c>
    </row>
    <row r="36" customFormat="false" ht="14.25" hidden="false" customHeight="false" outlineLevel="0" collapsed="false">
      <c r="A36" s="44" t="s">
        <v>38</v>
      </c>
      <c r="B36" s="44" t="s">
        <v>39</v>
      </c>
      <c r="C36" s="44" t="n">
        <v>12</v>
      </c>
      <c r="D36" s="44" t="s">
        <v>44</v>
      </c>
      <c r="E36" s="44" t="n">
        <v>1</v>
      </c>
      <c r="F36" s="44" t="s">
        <v>104</v>
      </c>
      <c r="G36" s="0" t="n">
        <v>11</v>
      </c>
      <c r="H36" s="44" t="n">
        <v>13</v>
      </c>
      <c r="I36" s="53" t="n">
        <v>76.8</v>
      </c>
      <c r="J36" s="51" t="n">
        <v>76.82</v>
      </c>
      <c r="K36" s="54" t="s">
        <v>132</v>
      </c>
      <c r="L36" s="36" t="s">
        <v>106</v>
      </c>
      <c r="M36" s="53" t="n">
        <f aca="false">I36-I35</f>
        <v>3.03999999999999</v>
      </c>
    </row>
    <row r="37" customFormat="false" ht="14.25" hidden="false" customHeight="false" outlineLevel="0" collapsed="false">
      <c r="A37" s="44" t="s">
        <v>38</v>
      </c>
      <c r="B37" s="44" t="s">
        <v>39</v>
      </c>
      <c r="C37" s="44" t="n">
        <v>13</v>
      </c>
      <c r="D37" s="44" t="s">
        <v>44</v>
      </c>
      <c r="E37" s="44" t="n">
        <v>1</v>
      </c>
      <c r="F37" s="44" t="s">
        <v>104</v>
      </c>
      <c r="G37" s="0" t="n">
        <v>18</v>
      </c>
      <c r="H37" s="44" t="n">
        <v>20</v>
      </c>
      <c r="I37" s="53" t="n">
        <v>79.78</v>
      </c>
      <c r="J37" s="51" t="n">
        <v>79.8</v>
      </c>
      <c r="K37" s="0" t="s">
        <v>133</v>
      </c>
      <c r="L37" s="36" t="s">
        <v>106</v>
      </c>
      <c r="M37" s="53" t="n">
        <f aca="false">I37-I36</f>
        <v>2.98</v>
      </c>
    </row>
    <row r="38" customFormat="false" ht="14.25" hidden="false" customHeight="false" outlineLevel="0" collapsed="false">
      <c r="A38" s="44" t="s">
        <v>38</v>
      </c>
      <c r="B38" s="44" t="s">
        <v>39</v>
      </c>
      <c r="C38" s="44" t="n">
        <v>14</v>
      </c>
      <c r="D38" s="44" t="s">
        <v>44</v>
      </c>
      <c r="E38" s="44" t="n">
        <v>1</v>
      </c>
      <c r="F38" s="44" t="s">
        <v>104</v>
      </c>
      <c r="G38" s="0" t="n">
        <v>18</v>
      </c>
      <c r="H38" s="44" t="n">
        <v>20</v>
      </c>
      <c r="I38" s="53" t="n">
        <v>82.78</v>
      </c>
      <c r="J38" s="51" t="n">
        <v>82.8</v>
      </c>
      <c r="K38" s="0" t="s">
        <v>133</v>
      </c>
      <c r="L38" s="36" t="s">
        <v>106</v>
      </c>
      <c r="M38" s="53" t="n">
        <f aca="false">I38-I37</f>
        <v>3</v>
      </c>
    </row>
    <row r="39" customFormat="false" ht="14.25" hidden="false" customHeight="false" outlineLevel="0" collapsed="false">
      <c r="A39" s="44" t="s">
        <v>38</v>
      </c>
      <c r="B39" s="44" t="s">
        <v>39</v>
      </c>
      <c r="C39" s="44" t="n">
        <v>15</v>
      </c>
      <c r="D39" s="44" t="s">
        <v>44</v>
      </c>
      <c r="E39" s="44" t="n">
        <v>1</v>
      </c>
      <c r="F39" s="44" t="s">
        <v>104</v>
      </c>
      <c r="G39" s="0" t="n">
        <v>38</v>
      </c>
      <c r="H39" s="44" t="n">
        <v>40</v>
      </c>
      <c r="I39" s="53" t="n">
        <v>84.98</v>
      </c>
      <c r="J39" s="51" t="n">
        <v>85</v>
      </c>
      <c r="K39" s="0" t="s">
        <v>134</v>
      </c>
      <c r="L39" s="36" t="s">
        <v>106</v>
      </c>
      <c r="M39" s="53" t="n">
        <f aca="false">I39-I38</f>
        <v>2.2</v>
      </c>
    </row>
    <row r="40" customFormat="false" ht="14.25" hidden="false" customHeight="false" outlineLevel="0" collapsed="false">
      <c r="A40" s="44" t="s">
        <v>38</v>
      </c>
      <c r="B40" s="44" t="s">
        <v>39</v>
      </c>
      <c r="C40" s="44" t="n">
        <v>16</v>
      </c>
      <c r="D40" s="44" t="s">
        <v>44</v>
      </c>
      <c r="E40" s="44" t="n">
        <v>1</v>
      </c>
      <c r="F40" s="44" t="s">
        <v>104</v>
      </c>
      <c r="G40" s="0" t="n">
        <v>18</v>
      </c>
      <c r="H40" s="44" t="n">
        <v>20</v>
      </c>
      <c r="I40" s="53" t="n">
        <v>86.78</v>
      </c>
      <c r="J40" s="51" t="n">
        <v>86.8</v>
      </c>
      <c r="K40" s="0" t="s">
        <v>132</v>
      </c>
      <c r="L40" s="36" t="s">
        <v>106</v>
      </c>
      <c r="M40" s="53" t="n">
        <f aca="false">I40-I39</f>
        <v>1.8</v>
      </c>
    </row>
    <row r="41" customFormat="false" ht="14.25" hidden="false" customHeight="false" outlineLevel="0" collapsed="false">
      <c r="A41" s="44" t="s">
        <v>38</v>
      </c>
      <c r="B41" s="44" t="s">
        <v>39</v>
      </c>
      <c r="C41" s="44" t="n">
        <v>17</v>
      </c>
      <c r="D41" s="44" t="s">
        <v>44</v>
      </c>
      <c r="E41" s="44" t="n">
        <v>1</v>
      </c>
      <c r="F41" s="44" t="s">
        <v>104</v>
      </c>
      <c r="G41" s="0" t="n">
        <v>38</v>
      </c>
      <c r="H41" s="44" t="n">
        <v>40</v>
      </c>
      <c r="I41" s="53" t="n">
        <v>88.78</v>
      </c>
      <c r="J41" s="51" t="n">
        <v>88.8</v>
      </c>
      <c r="K41" s="0" t="s">
        <v>132</v>
      </c>
      <c r="L41" s="36" t="s">
        <v>106</v>
      </c>
      <c r="M41" s="53" t="n">
        <f aca="false">I41-I40</f>
        <v>2</v>
      </c>
    </row>
    <row r="42" customFormat="false" ht="14.25" hidden="false" customHeight="false" outlineLevel="0" collapsed="false">
      <c r="A42" s="44" t="s">
        <v>38</v>
      </c>
      <c r="B42" s="44" t="s">
        <v>39</v>
      </c>
      <c r="C42" s="44" t="n">
        <v>18</v>
      </c>
      <c r="D42" s="44" t="s">
        <v>44</v>
      </c>
      <c r="E42" s="44" t="n">
        <v>1</v>
      </c>
      <c r="F42" s="44" t="s">
        <v>104</v>
      </c>
      <c r="G42" s="0" t="n">
        <v>18</v>
      </c>
      <c r="H42" s="44" t="n">
        <v>20</v>
      </c>
      <c r="I42" s="53" t="n">
        <v>91.28</v>
      </c>
      <c r="J42" s="51" t="n">
        <v>91.3</v>
      </c>
      <c r="K42" s="0" t="s">
        <v>132</v>
      </c>
      <c r="L42" s="36" t="s">
        <v>106</v>
      </c>
      <c r="M42" s="53" t="n">
        <f aca="false">I42-I41</f>
        <v>2.5</v>
      </c>
    </row>
    <row r="43" customFormat="false" ht="14.25" hidden="false" customHeight="false" outlineLevel="0" collapsed="false">
      <c r="A43" s="44" t="s">
        <v>38</v>
      </c>
      <c r="B43" s="44" t="s">
        <v>39</v>
      </c>
      <c r="C43" s="44" t="n">
        <v>19</v>
      </c>
      <c r="D43" s="44" t="s">
        <v>44</v>
      </c>
      <c r="E43" s="44" t="n">
        <v>1</v>
      </c>
      <c r="F43" s="44" t="s">
        <v>104</v>
      </c>
      <c r="G43" s="0" t="n">
        <v>18</v>
      </c>
      <c r="H43" s="44" t="n">
        <v>20</v>
      </c>
      <c r="I43" s="53" t="n">
        <v>94.28</v>
      </c>
      <c r="J43" s="51" t="n">
        <v>94.3</v>
      </c>
      <c r="K43" s="0" t="s">
        <v>135</v>
      </c>
      <c r="L43" s="36" t="s">
        <v>106</v>
      </c>
      <c r="M43" s="53" t="n">
        <f aca="false">I43-I42</f>
        <v>3</v>
      </c>
    </row>
    <row r="44" customFormat="false" ht="14.25" hidden="false" customHeight="false" outlineLevel="0" collapsed="false">
      <c r="A44" s="44" t="s">
        <v>38</v>
      </c>
      <c r="B44" s="44" t="s">
        <v>39</v>
      </c>
      <c r="C44" s="44" t="n">
        <v>21</v>
      </c>
      <c r="D44" s="44" t="s">
        <v>40</v>
      </c>
      <c r="E44" s="44" t="n">
        <v>1</v>
      </c>
      <c r="F44" s="44" t="s">
        <v>104</v>
      </c>
      <c r="G44" s="0" t="n">
        <v>18</v>
      </c>
      <c r="H44" s="44" t="n">
        <v>20</v>
      </c>
      <c r="I44" s="53" t="n">
        <v>96.63</v>
      </c>
      <c r="J44" s="51" t="n">
        <v>96.65</v>
      </c>
      <c r="K44" s="0" t="s">
        <v>136</v>
      </c>
      <c r="L44" s="36" t="s">
        <v>106</v>
      </c>
      <c r="M44" s="53" t="n">
        <f aca="false">I44-I43</f>
        <v>2.34999999999999</v>
      </c>
    </row>
    <row r="45" customFormat="false" ht="14.25" hidden="false" customHeight="false" outlineLevel="0" collapsed="false">
      <c r="A45" s="44" t="s">
        <v>38</v>
      </c>
      <c r="B45" s="44" t="s">
        <v>39</v>
      </c>
      <c r="C45" s="44" t="n">
        <v>22</v>
      </c>
      <c r="D45" s="44" t="s">
        <v>40</v>
      </c>
      <c r="E45" s="44" t="n">
        <v>1</v>
      </c>
      <c r="F45" s="44" t="s">
        <v>104</v>
      </c>
      <c r="G45" s="0" t="n">
        <v>18</v>
      </c>
      <c r="H45" s="44" t="n">
        <v>20</v>
      </c>
      <c r="I45" s="53" t="n">
        <v>98.94</v>
      </c>
      <c r="J45" s="51" t="n">
        <v>98.96</v>
      </c>
      <c r="K45" s="0" t="s">
        <v>136</v>
      </c>
      <c r="L45" s="36" t="s">
        <v>106</v>
      </c>
      <c r="M45" s="53" t="n">
        <f aca="false">I45-I44</f>
        <v>2.31</v>
      </c>
    </row>
    <row r="46" customFormat="false" ht="14.25" hidden="false" customHeight="false" outlineLevel="0" collapsed="false">
      <c r="A46" s="56" t="s">
        <v>38</v>
      </c>
      <c r="B46" s="56" t="s">
        <v>39</v>
      </c>
      <c r="C46" s="56" t="n">
        <v>23</v>
      </c>
      <c r="D46" s="56" t="s">
        <v>40</v>
      </c>
      <c r="E46" s="56" t="n">
        <v>1</v>
      </c>
      <c r="F46" s="56" t="s">
        <v>104</v>
      </c>
      <c r="G46" s="57" t="n">
        <v>18</v>
      </c>
      <c r="H46" s="56" t="n">
        <v>20</v>
      </c>
      <c r="I46" s="58" t="n">
        <v>101.93</v>
      </c>
      <c r="J46" s="59" t="n">
        <v>101.95</v>
      </c>
      <c r="K46" s="57" t="s">
        <v>137</v>
      </c>
      <c r="L46" s="60" t="s">
        <v>106</v>
      </c>
      <c r="M46" s="58" t="n">
        <f aca="false">I46-I45</f>
        <v>2.99000000000001</v>
      </c>
    </row>
    <row r="47" customFormat="false" ht="14.25" hidden="false" customHeight="false" outlineLevel="0" collapsed="false">
      <c r="A47" s="56" t="s">
        <v>38</v>
      </c>
      <c r="B47" s="56" t="s">
        <v>39</v>
      </c>
      <c r="C47" s="56" t="n">
        <v>24</v>
      </c>
      <c r="D47" s="56" t="s">
        <v>44</v>
      </c>
      <c r="E47" s="56" t="n">
        <v>2</v>
      </c>
      <c r="F47" s="56" t="s">
        <v>104</v>
      </c>
      <c r="G47" s="57" t="n">
        <v>88</v>
      </c>
      <c r="H47" s="56" t="n">
        <v>90</v>
      </c>
      <c r="I47" s="58" t="n">
        <v>103.79</v>
      </c>
      <c r="J47" s="59" t="n">
        <v>103.81</v>
      </c>
      <c r="K47" s="57" t="s">
        <v>137</v>
      </c>
      <c r="L47" s="60" t="s">
        <v>106</v>
      </c>
      <c r="M47" s="58" t="n">
        <f aca="false">I47-I46</f>
        <v>1.86</v>
      </c>
    </row>
    <row r="48" customFormat="false" ht="14.25" hidden="false" customHeight="false" outlineLevel="0" collapsed="false">
      <c r="A48" s="56" t="s">
        <v>38</v>
      </c>
      <c r="B48" s="56" t="s">
        <v>39</v>
      </c>
      <c r="C48" s="56" t="n">
        <v>26</v>
      </c>
      <c r="D48" s="56" t="s">
        <v>44</v>
      </c>
      <c r="E48" s="56" t="n">
        <v>1</v>
      </c>
      <c r="F48" s="56" t="s">
        <v>104</v>
      </c>
      <c r="G48" s="57" t="n">
        <v>18</v>
      </c>
      <c r="H48" s="56" t="n">
        <v>20</v>
      </c>
      <c r="I48" s="58" t="n">
        <v>106.78</v>
      </c>
      <c r="J48" s="59" t="n">
        <v>106.8</v>
      </c>
      <c r="K48" s="57" t="s">
        <v>138</v>
      </c>
      <c r="L48" s="60" t="s">
        <v>106</v>
      </c>
      <c r="M48" s="58" t="n">
        <f aca="false">I48-I47</f>
        <v>2.99</v>
      </c>
    </row>
    <row r="49" customFormat="false" ht="14.25" hidden="false" customHeight="false" outlineLevel="0" collapsed="false">
      <c r="A49" s="56" t="s">
        <v>38</v>
      </c>
      <c r="B49" s="56" t="s">
        <v>39</v>
      </c>
      <c r="C49" s="56" t="n">
        <v>27</v>
      </c>
      <c r="D49" s="56" t="s">
        <v>44</v>
      </c>
      <c r="E49" s="56" t="n">
        <v>1</v>
      </c>
      <c r="F49" s="56" t="s">
        <v>104</v>
      </c>
      <c r="G49" s="57" t="n">
        <v>18</v>
      </c>
      <c r="H49" s="56" t="n">
        <v>20</v>
      </c>
      <c r="I49" s="58" t="n">
        <v>109.78</v>
      </c>
      <c r="J49" s="59" t="n">
        <v>109.8</v>
      </c>
      <c r="K49" s="57" t="s">
        <v>138</v>
      </c>
      <c r="L49" s="60" t="s">
        <v>106</v>
      </c>
      <c r="M49" s="58" t="n">
        <f aca="false">I49-I48</f>
        <v>3</v>
      </c>
    </row>
    <row r="50" customFormat="false" ht="14.25" hidden="false" customHeight="false" outlineLevel="0" collapsed="false">
      <c r="A50" s="56" t="s">
        <v>38</v>
      </c>
      <c r="B50" s="56" t="s">
        <v>39</v>
      </c>
      <c r="C50" s="56" t="n">
        <v>28</v>
      </c>
      <c r="D50" s="56" t="s">
        <v>44</v>
      </c>
      <c r="E50" s="56" t="n">
        <v>1</v>
      </c>
      <c r="F50" s="56" t="s">
        <v>104</v>
      </c>
      <c r="G50" s="57" t="n">
        <v>18</v>
      </c>
      <c r="H50" s="56" t="n">
        <v>20</v>
      </c>
      <c r="I50" s="58" t="n">
        <v>112.48</v>
      </c>
      <c r="J50" s="59" t="n">
        <v>112.5</v>
      </c>
      <c r="K50" s="57" t="s">
        <v>139</v>
      </c>
      <c r="L50" s="60" t="s">
        <v>106</v>
      </c>
      <c r="M50" s="58" t="n">
        <f aca="false">I50-I49</f>
        <v>2.7</v>
      </c>
    </row>
    <row r="51" customFormat="false" ht="14.25" hidden="false" customHeight="false" outlineLevel="0" collapsed="false">
      <c r="A51" s="56" t="s">
        <v>38</v>
      </c>
      <c r="B51" s="56" t="s">
        <v>39</v>
      </c>
      <c r="C51" s="56" t="n">
        <v>29</v>
      </c>
      <c r="D51" s="56" t="s">
        <v>44</v>
      </c>
      <c r="E51" s="56" t="n">
        <v>1</v>
      </c>
      <c r="F51" s="56" t="s">
        <v>104</v>
      </c>
      <c r="G51" s="57" t="n">
        <v>18</v>
      </c>
      <c r="H51" s="56" t="n">
        <v>20</v>
      </c>
      <c r="I51" s="58" t="n">
        <v>115.48</v>
      </c>
      <c r="J51" s="59" t="n">
        <v>115.5</v>
      </c>
      <c r="K51" s="57" t="s">
        <v>138</v>
      </c>
      <c r="L51" s="60" t="s">
        <v>106</v>
      </c>
      <c r="M51" s="58" t="n">
        <f aca="false">I51-I50</f>
        <v>3</v>
      </c>
    </row>
    <row r="52" customFormat="false" ht="14.25" hidden="false" customHeight="false" outlineLevel="0" collapsed="false">
      <c r="A52" s="44" t="s">
        <v>38</v>
      </c>
      <c r="B52" s="44" t="s">
        <v>39</v>
      </c>
      <c r="C52" s="44" t="n">
        <v>30</v>
      </c>
      <c r="D52" s="44" t="s">
        <v>44</v>
      </c>
      <c r="E52" s="44" t="n">
        <v>1</v>
      </c>
      <c r="F52" s="44" t="s">
        <v>104</v>
      </c>
      <c r="G52" s="0" t="n">
        <v>18</v>
      </c>
      <c r="H52" s="44" t="n">
        <v>20</v>
      </c>
      <c r="I52" s="53" t="n">
        <v>118.48</v>
      </c>
      <c r="J52" s="51" t="n">
        <v>118.5</v>
      </c>
      <c r="K52" s="0" t="s">
        <v>140</v>
      </c>
      <c r="L52" s="36" t="s">
        <v>106</v>
      </c>
      <c r="M52" s="53" t="n">
        <f aca="false">I52-I51</f>
        <v>3</v>
      </c>
    </row>
    <row r="53" customFormat="false" ht="14.25" hidden="false" customHeight="false" outlineLevel="0" collapsed="false">
      <c r="A53" s="56" t="s">
        <v>38</v>
      </c>
      <c r="B53" s="56" t="s">
        <v>39</v>
      </c>
      <c r="C53" s="56" t="n">
        <v>31</v>
      </c>
      <c r="D53" s="56" t="s">
        <v>44</v>
      </c>
      <c r="E53" s="56" t="n">
        <v>1</v>
      </c>
      <c r="F53" s="56" t="s">
        <v>104</v>
      </c>
      <c r="G53" s="57" t="n">
        <v>38</v>
      </c>
      <c r="H53" s="56" t="n">
        <v>40</v>
      </c>
      <c r="I53" s="61" t="n">
        <v>121.68</v>
      </c>
      <c r="J53" s="62" t="n">
        <v>121.7</v>
      </c>
      <c r="K53" s="57" t="s">
        <v>141</v>
      </c>
      <c r="L53" s="60" t="s">
        <v>106</v>
      </c>
      <c r="M53" s="58" t="n">
        <f aca="false">I53-I52</f>
        <v>3.2</v>
      </c>
    </row>
    <row r="54" customFormat="false" ht="14.25" hidden="false" customHeight="false" outlineLevel="0" collapsed="false">
      <c r="A54" s="44" t="s">
        <v>38</v>
      </c>
      <c r="B54" s="44" t="s">
        <v>39</v>
      </c>
      <c r="C54" s="44" t="n">
        <v>32</v>
      </c>
      <c r="D54" s="44" t="s">
        <v>44</v>
      </c>
      <c r="E54" s="44" t="n">
        <v>1</v>
      </c>
      <c r="F54" s="44" t="s">
        <v>104</v>
      </c>
      <c r="G54" s="0" t="n">
        <v>18</v>
      </c>
      <c r="H54" s="44" t="n">
        <v>20</v>
      </c>
      <c r="I54" s="53" t="n">
        <v>124.48</v>
      </c>
      <c r="J54" s="51" t="n">
        <v>124.5</v>
      </c>
      <c r="K54" s="0" t="s">
        <v>142</v>
      </c>
      <c r="L54" s="36" t="s">
        <v>106</v>
      </c>
      <c r="M54" s="53" t="n">
        <f aca="false">I54-I53</f>
        <v>2.8</v>
      </c>
    </row>
    <row r="55" customFormat="false" ht="14.25" hidden="false" customHeight="false" outlineLevel="0" collapsed="false">
      <c r="A55" s="56" t="s">
        <v>38</v>
      </c>
      <c r="B55" s="56" t="s">
        <v>39</v>
      </c>
      <c r="C55" s="56" t="n">
        <v>33</v>
      </c>
      <c r="D55" s="56" t="s">
        <v>44</v>
      </c>
      <c r="E55" s="56" t="n">
        <v>2</v>
      </c>
      <c r="F55" s="56" t="s">
        <v>104</v>
      </c>
      <c r="G55" s="57" t="n">
        <v>8</v>
      </c>
      <c r="H55" s="56" t="n">
        <v>10</v>
      </c>
      <c r="I55" s="61" t="n">
        <v>127.38</v>
      </c>
      <c r="J55" s="62" t="n">
        <v>127.4</v>
      </c>
      <c r="K55" s="57" t="s">
        <v>143</v>
      </c>
      <c r="L55" s="60" t="s">
        <v>111</v>
      </c>
      <c r="M55" s="58" t="n">
        <f aca="false">I55-I54</f>
        <v>2.89999999999999</v>
      </c>
    </row>
    <row r="56" customFormat="false" ht="14.25" hidden="false" customHeight="false" outlineLevel="0" collapsed="false">
      <c r="A56" s="56" t="s">
        <v>38</v>
      </c>
      <c r="B56" s="56" t="s">
        <v>39</v>
      </c>
      <c r="C56" s="56" t="n">
        <v>34</v>
      </c>
      <c r="D56" s="56" t="s">
        <v>44</v>
      </c>
      <c r="E56" s="56" t="n">
        <v>1</v>
      </c>
      <c r="F56" s="56" t="s">
        <v>104</v>
      </c>
      <c r="G56" s="57" t="n">
        <v>18</v>
      </c>
      <c r="H56" s="56" t="n">
        <v>20</v>
      </c>
      <c r="I56" s="61" t="n">
        <v>121.7</v>
      </c>
      <c r="J56" s="62" t="n">
        <v>121.72</v>
      </c>
      <c r="K56" s="57" t="s">
        <v>144</v>
      </c>
      <c r="L56" s="60" t="s">
        <v>106</v>
      </c>
      <c r="M56" s="58" t="n">
        <f aca="false">I56-I55</f>
        <v>-5.67999999999999</v>
      </c>
    </row>
    <row r="57" customFormat="false" ht="14.25" hidden="false" customHeight="false" outlineLevel="0" collapsed="false">
      <c r="A57" s="56" t="s">
        <v>38</v>
      </c>
      <c r="B57" s="56" t="s">
        <v>39</v>
      </c>
      <c r="C57" s="56" t="n">
        <v>35</v>
      </c>
      <c r="D57" s="56" t="s">
        <v>44</v>
      </c>
      <c r="E57" s="56" t="n">
        <v>2</v>
      </c>
      <c r="F57" s="56" t="s">
        <v>104</v>
      </c>
      <c r="G57" s="57" t="n">
        <v>18</v>
      </c>
      <c r="H57" s="56" t="n">
        <v>20</v>
      </c>
      <c r="I57" s="61" t="n">
        <v>124.2</v>
      </c>
      <c r="J57" s="62" t="n">
        <v>124.22</v>
      </c>
      <c r="K57" s="57" t="s">
        <v>144</v>
      </c>
      <c r="L57" s="60" t="s">
        <v>106</v>
      </c>
      <c r="M57" s="58" t="n">
        <f aca="false">I57-I56</f>
        <v>2.5</v>
      </c>
    </row>
    <row r="58" customFormat="false" ht="14.25" hidden="false" customHeight="false" outlineLevel="0" collapsed="false">
      <c r="A58" s="56" t="s">
        <v>38</v>
      </c>
      <c r="B58" s="56" t="s">
        <v>39</v>
      </c>
      <c r="C58" s="56" t="n">
        <v>36</v>
      </c>
      <c r="D58" s="56" t="s">
        <v>44</v>
      </c>
      <c r="E58" s="56" t="n">
        <v>2</v>
      </c>
      <c r="F58" s="56" t="s">
        <v>104</v>
      </c>
      <c r="G58" s="57" t="n">
        <v>18</v>
      </c>
      <c r="H58" s="56" t="n">
        <v>20</v>
      </c>
      <c r="I58" s="61" t="n">
        <v>126.75</v>
      </c>
      <c r="J58" s="62" t="n">
        <v>126.77</v>
      </c>
      <c r="K58" s="57" t="s">
        <v>144</v>
      </c>
      <c r="L58" s="60" t="s">
        <v>106</v>
      </c>
      <c r="M58" s="58" t="n">
        <f aca="false">I58-I57</f>
        <v>2.55</v>
      </c>
    </row>
    <row r="59" customFormat="false" ht="14.25" hidden="false" customHeight="false" outlineLevel="0" collapsed="false">
      <c r="A59" s="56" t="s">
        <v>38</v>
      </c>
      <c r="B59" s="56" t="s">
        <v>39</v>
      </c>
      <c r="C59" s="56" t="n">
        <v>37</v>
      </c>
      <c r="D59" s="56" t="s">
        <v>44</v>
      </c>
      <c r="E59" s="56" t="n">
        <v>1</v>
      </c>
      <c r="F59" s="56" t="s">
        <v>104</v>
      </c>
      <c r="G59" s="57" t="n">
        <v>18</v>
      </c>
      <c r="H59" s="56" t="n">
        <v>20</v>
      </c>
      <c r="I59" s="61" t="n">
        <v>127.82</v>
      </c>
      <c r="J59" s="62" t="n">
        <v>127.84</v>
      </c>
      <c r="K59" s="57" t="s">
        <v>144</v>
      </c>
      <c r="L59" s="60" t="s">
        <v>106</v>
      </c>
      <c r="M59" s="58" t="n">
        <f aca="false">I59-I58</f>
        <v>1.06999999999999</v>
      </c>
    </row>
    <row r="60" customFormat="false" ht="14.25" hidden="false" customHeight="false" outlineLevel="0" collapsed="false">
      <c r="A60" s="44" t="s">
        <v>38</v>
      </c>
      <c r="B60" s="44" t="s">
        <v>39</v>
      </c>
      <c r="C60" s="44" t="n">
        <v>38</v>
      </c>
      <c r="D60" s="44" t="s">
        <v>44</v>
      </c>
      <c r="E60" s="44" t="n">
        <v>1</v>
      </c>
      <c r="F60" s="44" t="s">
        <v>104</v>
      </c>
      <c r="G60" s="0" t="n">
        <v>18</v>
      </c>
      <c r="H60" s="44" t="n">
        <v>20</v>
      </c>
      <c r="I60" s="53" t="n">
        <v>129.57</v>
      </c>
      <c r="J60" s="51" t="n">
        <v>129.59</v>
      </c>
      <c r="K60" s="0" t="s">
        <v>145</v>
      </c>
      <c r="L60" s="36" t="s">
        <v>106</v>
      </c>
      <c r="M60" s="53" t="n">
        <f aca="false">I60-I59</f>
        <v>1.75</v>
      </c>
    </row>
    <row r="61" customFormat="false" ht="14.25" hidden="false" customHeight="false" outlineLevel="0" collapsed="false">
      <c r="A61" s="56" t="s">
        <v>38</v>
      </c>
      <c r="B61" s="56" t="s">
        <v>39</v>
      </c>
      <c r="C61" s="56" t="n">
        <v>39</v>
      </c>
      <c r="D61" s="56" t="s">
        <v>44</v>
      </c>
      <c r="E61" s="56" t="n">
        <v>1</v>
      </c>
      <c r="F61" s="56" t="s">
        <v>104</v>
      </c>
      <c r="G61" s="57" t="n">
        <v>18</v>
      </c>
      <c r="H61" s="56" t="n">
        <v>20</v>
      </c>
      <c r="I61" s="58" t="n">
        <v>131.85</v>
      </c>
      <c r="J61" s="59" t="n">
        <v>131.87</v>
      </c>
      <c r="K61" s="57" t="s">
        <v>144</v>
      </c>
      <c r="L61" s="60" t="s">
        <v>106</v>
      </c>
      <c r="M61" s="58" t="n">
        <f aca="false">I61-I60</f>
        <v>2.28</v>
      </c>
    </row>
    <row r="62" customFormat="false" ht="14.25" hidden="false" customHeight="false" outlineLevel="0" collapsed="false">
      <c r="A62" s="56" t="s">
        <v>38</v>
      </c>
      <c r="B62" s="56" t="s">
        <v>39</v>
      </c>
      <c r="C62" s="56" t="n">
        <v>40</v>
      </c>
      <c r="D62" s="56" t="s">
        <v>44</v>
      </c>
      <c r="E62" s="56" t="n">
        <v>1</v>
      </c>
      <c r="F62" s="56" t="s">
        <v>104</v>
      </c>
      <c r="G62" s="57" t="n">
        <v>18</v>
      </c>
      <c r="H62" s="56" t="n">
        <v>20</v>
      </c>
      <c r="I62" s="58" t="n">
        <v>134.9</v>
      </c>
      <c r="J62" s="59" t="n">
        <v>134.92</v>
      </c>
      <c r="K62" s="57" t="s">
        <v>144</v>
      </c>
      <c r="L62" s="60" t="s">
        <v>106</v>
      </c>
      <c r="M62" s="58" t="n">
        <f aca="false">I62-I61</f>
        <v>3.05000000000001</v>
      </c>
    </row>
    <row r="63" customFormat="false" ht="14.25" hidden="false" customHeight="false" outlineLevel="0" collapsed="false">
      <c r="A63" s="44" t="s">
        <v>38</v>
      </c>
      <c r="B63" s="44" t="s">
        <v>39</v>
      </c>
      <c r="C63" s="44" t="n">
        <v>41</v>
      </c>
      <c r="D63" s="44" t="s">
        <v>44</v>
      </c>
      <c r="E63" s="44" t="n">
        <v>1</v>
      </c>
      <c r="F63" s="44" t="s">
        <v>104</v>
      </c>
      <c r="G63" s="0" t="n">
        <v>38</v>
      </c>
      <c r="H63" s="44" t="n">
        <v>40</v>
      </c>
      <c r="I63" s="0" t="n">
        <f aca="false">VLOOKUP(C63,[1]M0111B!$A$1:$AH$173,24,TRUE())+(G63/100)</f>
        <v>138.15</v>
      </c>
      <c r="J63" s="0" t="n">
        <f aca="false">I63+0.02</f>
        <v>138.17</v>
      </c>
      <c r="K63" s="0" t="s">
        <v>42</v>
      </c>
      <c r="L63" s="36" t="s">
        <v>106</v>
      </c>
      <c r="M63" s="53" t="n">
        <f aca="false">I63-I62</f>
        <v>3.25</v>
      </c>
    </row>
    <row r="64" customFormat="false" ht="14.25" hidden="false" customHeight="false" outlineLevel="0" collapsed="false">
      <c r="A64" s="44" t="s">
        <v>38</v>
      </c>
      <c r="B64" s="44" t="s">
        <v>39</v>
      </c>
      <c r="C64" s="44" t="n">
        <v>42</v>
      </c>
      <c r="D64" s="44" t="s">
        <v>44</v>
      </c>
      <c r="E64" s="44" t="n">
        <v>1</v>
      </c>
      <c r="F64" s="44" t="s">
        <v>104</v>
      </c>
      <c r="G64" s="0" t="n">
        <v>38</v>
      </c>
      <c r="H64" s="44" t="n">
        <v>40</v>
      </c>
      <c r="I64" s="0" t="n">
        <f aca="false">VLOOKUP(C64,[1]M0111B!$A$1:$AH$173,24,TRUE())+(G64/100)</f>
        <v>141.2</v>
      </c>
      <c r="J64" s="0" t="n">
        <f aca="false">I64+0.02</f>
        <v>141.22</v>
      </c>
      <c r="K64" s="0" t="s">
        <v>42</v>
      </c>
      <c r="L64" s="36" t="s">
        <v>106</v>
      </c>
      <c r="M64" s="53" t="n">
        <f aca="false">I64-I63</f>
        <v>3.04999999999998</v>
      </c>
    </row>
    <row r="65" customFormat="false" ht="14.25" hidden="false" customHeight="false" outlineLevel="0" collapsed="false">
      <c r="A65" s="44" t="s">
        <v>38</v>
      </c>
      <c r="B65" s="44" t="s">
        <v>39</v>
      </c>
      <c r="C65" s="44" t="n">
        <v>43</v>
      </c>
      <c r="D65" s="44" t="s">
        <v>44</v>
      </c>
      <c r="E65" s="44" t="n">
        <v>1</v>
      </c>
      <c r="F65" s="44" t="s">
        <v>104</v>
      </c>
      <c r="G65" s="0" t="n">
        <v>38</v>
      </c>
      <c r="H65" s="44" t="n">
        <v>40</v>
      </c>
      <c r="I65" s="0" t="n">
        <f aca="false">VLOOKUP(C65,[1]M0111B!$A$1:$AH$173,24,TRUE())+(G65/100)</f>
        <v>144.25</v>
      </c>
      <c r="J65" s="0" t="n">
        <f aca="false">I65+0.02</f>
        <v>144.27</v>
      </c>
      <c r="K65" s="0" t="s">
        <v>146</v>
      </c>
      <c r="L65" s="36" t="s">
        <v>106</v>
      </c>
      <c r="M65" s="53" t="n">
        <f aca="false">I65-I64</f>
        <v>3.05000000000001</v>
      </c>
    </row>
    <row r="66" customFormat="false" ht="14.25" hidden="false" customHeight="false" outlineLevel="0" collapsed="false">
      <c r="A66" s="56" t="s">
        <v>38</v>
      </c>
      <c r="B66" s="56" t="s">
        <v>39</v>
      </c>
      <c r="C66" s="56" t="n">
        <v>44</v>
      </c>
      <c r="D66" s="56" t="s">
        <v>44</v>
      </c>
      <c r="E66" s="56" t="n">
        <v>1</v>
      </c>
      <c r="F66" s="56" t="s">
        <v>104</v>
      </c>
      <c r="G66" s="57" t="n">
        <v>38</v>
      </c>
      <c r="H66" s="56" t="n">
        <v>40</v>
      </c>
      <c r="I66" s="57" t="n">
        <f aca="false">VLOOKUP(C66,[1]M0111B!$A$1:$AH$173,24,TRUE())+(G66/100)</f>
        <v>146.49</v>
      </c>
      <c r="J66" s="57" t="n">
        <f aca="false">I66+0.02</f>
        <v>146.51</v>
      </c>
      <c r="K66" s="57" t="s">
        <v>147</v>
      </c>
      <c r="L66" s="60" t="s">
        <v>106</v>
      </c>
      <c r="M66" s="58" t="n">
        <f aca="false">I66-I65</f>
        <v>2.24000000000001</v>
      </c>
    </row>
    <row r="67" customFormat="false" ht="14.25" hidden="false" customHeight="false" outlineLevel="0" collapsed="false">
      <c r="A67" s="44" t="s">
        <v>38</v>
      </c>
      <c r="B67" s="44" t="s">
        <v>39</v>
      </c>
      <c r="C67" s="44" t="n">
        <v>45</v>
      </c>
      <c r="D67" s="44" t="s">
        <v>44</v>
      </c>
      <c r="E67" s="44" t="n">
        <v>1</v>
      </c>
      <c r="F67" s="44" t="s">
        <v>104</v>
      </c>
      <c r="G67" s="0" t="n">
        <v>28</v>
      </c>
      <c r="H67" s="44" t="n">
        <v>30</v>
      </c>
      <c r="I67" s="0" t="n">
        <f aca="false">VLOOKUP(C67,[1]M0111B!$A$1:$AH$173,24,TRUE())+(G67/100)</f>
        <v>149.44</v>
      </c>
      <c r="J67" s="0" t="n">
        <f aca="false">I67+0.02</f>
        <v>149.46</v>
      </c>
      <c r="K67" s="0" t="s">
        <v>148</v>
      </c>
      <c r="L67" s="36" t="s">
        <v>106</v>
      </c>
      <c r="M67" s="53" t="n">
        <f aca="false">I67-I66</f>
        <v>2.94999999999999</v>
      </c>
    </row>
    <row r="68" customFormat="false" ht="14.25" hidden="false" customHeight="false" outlineLevel="0" collapsed="false">
      <c r="A68" s="44" t="s">
        <v>38</v>
      </c>
      <c r="B68" s="44" t="s">
        <v>39</v>
      </c>
      <c r="C68" s="44" t="n">
        <v>46</v>
      </c>
      <c r="D68" s="44" t="s">
        <v>44</v>
      </c>
      <c r="E68" s="44" t="n">
        <v>1</v>
      </c>
      <c r="F68" s="44" t="s">
        <v>104</v>
      </c>
      <c r="G68" s="0" t="n">
        <v>38</v>
      </c>
      <c r="H68" s="44" t="n">
        <v>40</v>
      </c>
      <c r="I68" s="0" t="n">
        <f aca="false">VLOOKUP(C68,[1]M0111B!$A$1:$AH$173,24,TRUE())+(G68/100)</f>
        <v>149.92</v>
      </c>
      <c r="J68" s="0" t="n">
        <f aca="false">I68+0.02</f>
        <v>149.94</v>
      </c>
      <c r="K68" s="0" t="s">
        <v>146</v>
      </c>
      <c r="L68" s="36" t="s">
        <v>106</v>
      </c>
      <c r="M68" s="53" t="n">
        <f aca="false">I68-I67</f>
        <v>0.47999999999999</v>
      </c>
    </row>
    <row r="69" customFormat="false" ht="14.25" hidden="false" customHeight="false" outlineLevel="0" collapsed="false">
      <c r="A69" s="44" t="s">
        <v>38</v>
      </c>
      <c r="B69" s="44" t="s">
        <v>39</v>
      </c>
      <c r="C69" s="44" t="n">
        <v>47</v>
      </c>
      <c r="D69" s="44" t="s">
        <v>44</v>
      </c>
      <c r="E69" s="44" t="n">
        <v>1</v>
      </c>
      <c r="F69" s="44" t="s">
        <v>104</v>
      </c>
      <c r="G69" s="0" t="n">
        <v>38</v>
      </c>
      <c r="H69" s="44" t="n">
        <v>40</v>
      </c>
      <c r="I69" s="0" t="n">
        <f aca="false">VLOOKUP(C69,[1]M0111B!$A$1:$AH$173,24,TRUE())+(G69/100)</f>
        <v>152.59</v>
      </c>
      <c r="J69" s="0" t="n">
        <f aca="false">I69+0.02</f>
        <v>152.61</v>
      </c>
      <c r="K69" s="0" t="s">
        <v>149</v>
      </c>
      <c r="L69" s="36" t="s">
        <v>106</v>
      </c>
      <c r="M69" s="53" t="n">
        <f aca="false">I69-I68</f>
        <v>2.67000000000002</v>
      </c>
    </row>
    <row r="70" customFormat="false" ht="14.25" hidden="false" customHeight="false" outlineLevel="0" collapsed="false">
      <c r="A70" s="44" t="s">
        <v>38</v>
      </c>
      <c r="B70" s="44" t="s">
        <v>39</v>
      </c>
      <c r="C70" s="44" t="n">
        <v>48</v>
      </c>
      <c r="D70" s="44" t="s">
        <v>44</v>
      </c>
      <c r="E70" s="44" t="n">
        <v>1</v>
      </c>
      <c r="F70" s="44" t="s">
        <v>104</v>
      </c>
      <c r="G70" s="0" t="n">
        <v>38</v>
      </c>
      <c r="H70" s="44" t="n">
        <v>40</v>
      </c>
      <c r="I70" s="0" t="n">
        <f aca="false">VLOOKUP(C70,[1]M0111B!$A$1:$AH$173,24,TRUE())+(G70/100)</f>
        <v>155.64</v>
      </c>
      <c r="J70" s="0" t="n">
        <f aca="false">I70+0.02</f>
        <v>155.66</v>
      </c>
      <c r="K70" s="0" t="s">
        <v>149</v>
      </c>
      <c r="L70" s="36" t="s">
        <v>106</v>
      </c>
      <c r="M70" s="53" t="n">
        <f aca="false">I70-I69</f>
        <v>3.04999999999998</v>
      </c>
    </row>
    <row r="71" customFormat="false" ht="14.25" hidden="false" customHeight="false" outlineLevel="0" collapsed="false">
      <c r="A71" s="44" t="s">
        <v>38</v>
      </c>
      <c r="B71" s="44" t="s">
        <v>39</v>
      </c>
      <c r="C71" s="44" t="n">
        <v>49</v>
      </c>
      <c r="D71" s="44" t="s">
        <v>44</v>
      </c>
      <c r="E71" s="44" t="n">
        <v>1</v>
      </c>
      <c r="F71" s="44" t="s">
        <v>104</v>
      </c>
      <c r="G71" s="0" t="n">
        <v>8</v>
      </c>
      <c r="H71" s="44" t="n">
        <v>10</v>
      </c>
      <c r="I71" s="0" t="n">
        <f aca="false">VLOOKUP(C71,[1]M0111B!$A$1:$AH$173,24,TRUE())+(G71/100)</f>
        <v>158.39</v>
      </c>
      <c r="J71" s="0" t="n">
        <f aca="false">I71+0.02</f>
        <v>158.41</v>
      </c>
      <c r="K71" s="0" t="s">
        <v>146</v>
      </c>
      <c r="L71" s="36" t="s">
        <v>106</v>
      </c>
      <c r="M71" s="53" t="n">
        <f aca="false">I71-I70</f>
        <v>2.75000000000003</v>
      </c>
    </row>
    <row r="72" customFormat="false" ht="14.25" hidden="false" customHeight="false" outlineLevel="0" collapsed="false">
      <c r="A72" s="44" t="s">
        <v>38</v>
      </c>
      <c r="B72" s="44" t="s">
        <v>39</v>
      </c>
      <c r="C72" s="44" t="n">
        <v>51</v>
      </c>
      <c r="D72" s="44" t="s">
        <v>44</v>
      </c>
      <c r="E72" s="44" t="n">
        <v>1</v>
      </c>
      <c r="F72" s="44" t="s">
        <v>104</v>
      </c>
      <c r="G72" s="0" t="n">
        <v>48</v>
      </c>
      <c r="H72" s="44" t="n">
        <v>50</v>
      </c>
      <c r="I72" s="0" t="n">
        <f aca="false">VLOOKUP(C72,[1]M0111B!$A$1:$AH$173,24,TRUE())+(G72/100)</f>
        <v>161.84</v>
      </c>
      <c r="J72" s="0" t="n">
        <f aca="false">I72+0.02</f>
        <v>161.86</v>
      </c>
      <c r="K72" s="0" t="s">
        <v>150</v>
      </c>
      <c r="L72" s="36" t="s">
        <v>106</v>
      </c>
      <c r="M72" s="53" t="n">
        <f aca="false">I72-I71</f>
        <v>3.44999999999999</v>
      </c>
    </row>
    <row r="73" customFormat="false" ht="14.25" hidden="false" customHeight="false" outlineLevel="0" collapsed="false">
      <c r="A73" s="44" t="s">
        <v>38</v>
      </c>
      <c r="B73" s="44" t="s">
        <v>39</v>
      </c>
      <c r="C73" s="44" t="n">
        <v>52</v>
      </c>
      <c r="D73" s="44" t="s">
        <v>44</v>
      </c>
      <c r="E73" s="44" t="n">
        <v>1</v>
      </c>
      <c r="F73" s="44" t="s">
        <v>104</v>
      </c>
      <c r="G73" s="0" t="n">
        <v>18</v>
      </c>
      <c r="H73" s="44" t="n">
        <v>20</v>
      </c>
      <c r="I73" s="0" t="n">
        <f aca="false">VLOOKUP(C73,[1]M0111B!$A$1:$AH$173,24,TRUE())+(G73/100)</f>
        <v>162.24</v>
      </c>
      <c r="J73" s="0" t="n">
        <f aca="false">I73+0.02</f>
        <v>162.26</v>
      </c>
      <c r="K73" s="0" t="s">
        <v>150</v>
      </c>
      <c r="L73" s="36" t="s">
        <v>106</v>
      </c>
      <c r="M73" s="53" t="n">
        <f aca="false">I73-I72</f>
        <v>0.400000000000006</v>
      </c>
    </row>
    <row r="74" customFormat="false" ht="14.25" hidden="false" customHeight="false" outlineLevel="0" collapsed="false">
      <c r="A74" s="44" t="s">
        <v>38</v>
      </c>
      <c r="B74" s="44" t="s">
        <v>39</v>
      </c>
      <c r="C74" s="44" t="n">
        <v>53</v>
      </c>
      <c r="D74" s="44" t="s">
        <v>44</v>
      </c>
      <c r="E74" s="44" t="n">
        <v>1</v>
      </c>
      <c r="F74" s="44" t="s">
        <v>104</v>
      </c>
      <c r="G74" s="0" t="n">
        <v>18</v>
      </c>
      <c r="H74" s="44" t="n">
        <v>20</v>
      </c>
      <c r="I74" s="0" t="n">
        <f aca="false">VLOOKUP(C74,[1]M0111B!$A$1:$AH$173,24,TRUE())+(G74/100)</f>
        <v>164.02</v>
      </c>
      <c r="J74" s="0" t="n">
        <f aca="false">I74+0.02</f>
        <v>164.04</v>
      </c>
      <c r="K74" s="0" t="s">
        <v>150</v>
      </c>
      <c r="L74" s="36" t="s">
        <v>106</v>
      </c>
      <c r="M74" s="53" t="n">
        <f aca="false">I74-I73</f>
        <v>1.78</v>
      </c>
    </row>
    <row r="75" customFormat="false" ht="14.25" hidden="false" customHeight="false" outlineLevel="0" collapsed="false">
      <c r="A75" s="44" t="s">
        <v>38</v>
      </c>
      <c r="B75" s="44" t="s">
        <v>39</v>
      </c>
      <c r="C75" s="44" t="n">
        <v>54</v>
      </c>
      <c r="D75" s="44" t="s">
        <v>44</v>
      </c>
      <c r="E75" s="44" t="n">
        <v>1</v>
      </c>
      <c r="F75" s="44" t="s">
        <v>104</v>
      </c>
      <c r="G75" s="0" t="n">
        <v>28</v>
      </c>
      <c r="H75" s="44" t="n">
        <v>30</v>
      </c>
      <c r="I75" s="0" t="n">
        <f aca="false">VLOOKUP(C75,[1]M0111B!$A$1:$AH$173,24,TRUE())+(G75/100)</f>
        <v>165.74</v>
      </c>
      <c r="J75" s="0" t="n">
        <f aca="false">I75+0.02</f>
        <v>165.76</v>
      </c>
      <c r="K75" s="0" t="s">
        <v>151</v>
      </c>
      <c r="L75" s="36" t="s">
        <v>111</v>
      </c>
      <c r="M75" s="53" t="n">
        <f aca="false">I75-I74</f>
        <v>1.72</v>
      </c>
    </row>
    <row r="76" customFormat="false" ht="14.25" hidden="false" customHeight="false" outlineLevel="0" collapsed="false">
      <c r="A76" s="44" t="s">
        <v>38</v>
      </c>
      <c r="B76" s="44" t="s">
        <v>39</v>
      </c>
      <c r="C76" s="44" t="n">
        <v>55</v>
      </c>
      <c r="D76" s="44" t="s">
        <v>44</v>
      </c>
      <c r="E76" s="44" t="n">
        <v>1</v>
      </c>
      <c r="F76" s="44" t="s">
        <v>104</v>
      </c>
      <c r="G76" s="0" t="n">
        <v>28</v>
      </c>
      <c r="H76" s="44" t="n">
        <v>30</v>
      </c>
      <c r="I76" s="0" t="n">
        <f aca="false">VLOOKUP(C76,[1]M0111B!$A$1:$AH$173,24,TRUE())+(G76/100)</f>
        <v>166.09</v>
      </c>
      <c r="J76" s="0" t="n">
        <f aca="false">I76+0.02</f>
        <v>166.11</v>
      </c>
      <c r="K76" s="0" t="s">
        <v>150</v>
      </c>
      <c r="L76" s="36" t="s">
        <v>106</v>
      </c>
      <c r="M76" s="53" t="n">
        <f aca="false">I76-I75</f>
        <v>0.349999999999994</v>
      </c>
    </row>
    <row r="77" customFormat="false" ht="14.25" hidden="false" customHeight="false" outlineLevel="0" collapsed="false">
      <c r="A77" s="44" t="s">
        <v>38</v>
      </c>
      <c r="B77" s="44" t="s">
        <v>39</v>
      </c>
      <c r="C77" s="44" t="n">
        <v>56</v>
      </c>
      <c r="D77" s="44" t="s">
        <v>44</v>
      </c>
      <c r="E77" s="44" t="n">
        <v>1</v>
      </c>
      <c r="F77" s="44" t="s">
        <v>104</v>
      </c>
      <c r="G77" s="0" t="n">
        <v>38</v>
      </c>
      <c r="H77" s="44" t="n">
        <v>40</v>
      </c>
      <c r="I77" s="0" t="n">
        <f aca="false">VLOOKUP(C77,[1]M0111B!$A$1:$AH$173,24,TRUE())+(G77/100)</f>
        <v>166.59</v>
      </c>
      <c r="J77" s="0" t="n">
        <f aca="false">I77+0.02</f>
        <v>166.61</v>
      </c>
      <c r="K77" s="0" t="s">
        <v>150</v>
      </c>
      <c r="L77" s="36" t="s">
        <v>106</v>
      </c>
      <c r="M77" s="53" t="n">
        <f aca="false">I77-I76</f>
        <v>0.5</v>
      </c>
    </row>
    <row r="78" customFormat="false" ht="14.25" hidden="false" customHeight="false" outlineLevel="0" collapsed="false">
      <c r="A78" s="44" t="s">
        <v>38</v>
      </c>
      <c r="B78" s="44" t="s">
        <v>39</v>
      </c>
      <c r="C78" s="44" t="n">
        <v>57</v>
      </c>
      <c r="D78" s="44" t="s">
        <v>44</v>
      </c>
      <c r="E78" s="44" t="n">
        <v>1</v>
      </c>
      <c r="F78" s="44" t="s">
        <v>104</v>
      </c>
      <c r="G78" s="0" t="n">
        <v>38</v>
      </c>
      <c r="H78" s="44" t="n">
        <v>40</v>
      </c>
      <c r="I78" s="0" t="n">
        <f aca="false">VLOOKUP(C78,[1]M0111B!$A$1:$AH$173,24,TRUE())+(G78/100)</f>
        <v>167.84</v>
      </c>
      <c r="J78" s="0" t="n">
        <f aca="false">I78+0.02</f>
        <v>167.86</v>
      </c>
      <c r="K78" s="0" t="s">
        <v>150</v>
      </c>
      <c r="L78" s="36" t="s">
        <v>106</v>
      </c>
      <c r="M78" s="53" t="n">
        <f aca="false">I78-I77</f>
        <v>1.25</v>
      </c>
    </row>
    <row r="79" customFormat="false" ht="14.25" hidden="false" customHeight="false" outlineLevel="0" collapsed="false">
      <c r="A79" s="44" t="s">
        <v>38</v>
      </c>
      <c r="B79" s="44" t="s">
        <v>39</v>
      </c>
      <c r="C79" s="44" t="n">
        <v>58</v>
      </c>
      <c r="D79" s="44" t="s">
        <v>44</v>
      </c>
      <c r="E79" s="44" t="n">
        <v>1</v>
      </c>
      <c r="F79" s="44" t="s">
        <v>104</v>
      </c>
      <c r="G79" s="0" t="n">
        <v>38</v>
      </c>
      <c r="H79" s="44" t="n">
        <v>40</v>
      </c>
      <c r="I79" s="0" t="n">
        <f aca="false">VLOOKUP(C79,[1]M0111B!$A$1:$AH$173,24,TRUE())+(G79/100)</f>
        <v>168.89</v>
      </c>
      <c r="J79" s="0" t="n">
        <f aca="false">I79+0.02</f>
        <v>168.91</v>
      </c>
      <c r="K79" s="0" t="s">
        <v>152</v>
      </c>
      <c r="L79" s="36" t="s">
        <v>106</v>
      </c>
      <c r="M79" s="53" t="n">
        <f aca="false">I79-I78</f>
        <v>1.04999999999998</v>
      </c>
    </row>
    <row r="80" customFormat="false" ht="14.25" hidden="false" customHeight="false" outlineLevel="0" collapsed="false">
      <c r="A80" s="44" t="s">
        <v>38</v>
      </c>
      <c r="B80" s="44" t="s">
        <v>39</v>
      </c>
      <c r="C80" s="44" t="n">
        <v>59</v>
      </c>
      <c r="D80" s="44" t="s">
        <v>44</v>
      </c>
      <c r="E80" s="44" t="n">
        <v>1</v>
      </c>
      <c r="F80" s="44" t="s">
        <v>104</v>
      </c>
      <c r="G80" s="0" t="n">
        <v>38</v>
      </c>
      <c r="H80" s="44" t="n">
        <v>40</v>
      </c>
      <c r="I80" s="0" t="n">
        <f aca="false">VLOOKUP(C80,[1]M0111B!$A$1:$AH$173,24,TRUE())+(G80/100)</f>
        <v>169.89</v>
      </c>
      <c r="J80" s="0" t="n">
        <f aca="false">I80+0.02</f>
        <v>169.91</v>
      </c>
      <c r="K80" s="0" t="s">
        <v>152</v>
      </c>
      <c r="L80" s="36" t="s">
        <v>106</v>
      </c>
      <c r="M80" s="53" t="n">
        <f aca="false">I80-I79</f>
        <v>1</v>
      </c>
    </row>
    <row r="81" customFormat="false" ht="14.25" hidden="false" customHeight="false" outlineLevel="0" collapsed="false">
      <c r="A81" s="44" t="s">
        <v>38</v>
      </c>
      <c r="B81" s="44" t="s">
        <v>39</v>
      </c>
      <c r="C81" s="44" t="n">
        <v>60</v>
      </c>
      <c r="D81" s="44" t="s">
        <v>44</v>
      </c>
      <c r="E81" s="44" t="n">
        <v>1</v>
      </c>
      <c r="F81" s="44" t="s">
        <v>104</v>
      </c>
      <c r="G81" s="0" t="n">
        <v>38</v>
      </c>
      <c r="H81" s="44" t="n">
        <v>40</v>
      </c>
      <c r="I81" s="0" t="n">
        <f aca="false">VLOOKUP(C81,[1]M0111B!$A$1:$AH$173,24,TRUE())+(G81/100)</f>
        <v>172.94</v>
      </c>
      <c r="J81" s="0" t="n">
        <f aca="false">I81+0.02</f>
        <v>172.96</v>
      </c>
      <c r="K81" s="0" t="s">
        <v>152</v>
      </c>
      <c r="L81" s="36" t="s">
        <v>106</v>
      </c>
      <c r="M81" s="53" t="n">
        <f aca="false">I81-I80</f>
        <v>3.05000000000001</v>
      </c>
    </row>
    <row r="82" customFormat="false" ht="14.25" hidden="false" customHeight="false" outlineLevel="0" collapsed="false">
      <c r="A82" s="56" t="s">
        <v>38</v>
      </c>
      <c r="B82" s="56" t="s">
        <v>39</v>
      </c>
      <c r="C82" s="56" t="n">
        <v>61</v>
      </c>
      <c r="D82" s="56" t="s">
        <v>44</v>
      </c>
      <c r="E82" s="56" t="n">
        <v>1</v>
      </c>
      <c r="F82" s="56" t="s">
        <v>104</v>
      </c>
      <c r="G82" s="57" t="n">
        <v>38</v>
      </c>
      <c r="H82" s="56" t="n">
        <v>40</v>
      </c>
      <c r="I82" s="57" t="n">
        <f aca="false">VLOOKUP(C82,[1]M0111B!$A$1:$AH$173,24,TRUE())+(G82/100)</f>
        <v>175.99</v>
      </c>
      <c r="J82" s="57" t="n">
        <f aca="false">I82+0.02</f>
        <v>176.01</v>
      </c>
      <c r="K82" s="57" t="s">
        <v>153</v>
      </c>
      <c r="L82" s="60" t="s">
        <v>106</v>
      </c>
      <c r="M82" s="58" t="n">
        <f aca="false">I82-I81</f>
        <v>3.05000000000001</v>
      </c>
    </row>
    <row r="83" customFormat="false" ht="14.25" hidden="false" customHeight="false" outlineLevel="0" collapsed="false">
      <c r="A83" s="56" t="s">
        <v>38</v>
      </c>
      <c r="B83" s="56" t="s">
        <v>39</v>
      </c>
      <c r="C83" s="56" t="n">
        <v>62</v>
      </c>
      <c r="D83" s="56" t="s">
        <v>44</v>
      </c>
      <c r="E83" s="56" t="n">
        <v>1</v>
      </c>
      <c r="F83" s="56" t="s">
        <v>104</v>
      </c>
      <c r="G83" s="57" t="n">
        <v>38</v>
      </c>
      <c r="H83" s="56" t="n">
        <v>40</v>
      </c>
      <c r="I83" s="57" t="n">
        <f aca="false">VLOOKUP(C83,[1]M0111B!$A$1:$AH$173,24,TRUE())+(G83/100)</f>
        <v>179.04</v>
      </c>
      <c r="J83" s="57" t="n">
        <f aca="false">I83+0.02</f>
        <v>179.06</v>
      </c>
      <c r="K83" s="57" t="s">
        <v>153</v>
      </c>
      <c r="L83" s="60" t="s">
        <v>106</v>
      </c>
      <c r="M83" s="58" t="n">
        <f aca="false">I83-I82</f>
        <v>3.04999999999998</v>
      </c>
    </row>
    <row r="84" customFormat="false" ht="14.25" hidden="false" customHeight="false" outlineLevel="0" collapsed="false">
      <c r="A84" s="56" t="s">
        <v>38</v>
      </c>
      <c r="B84" s="56" t="s">
        <v>39</v>
      </c>
      <c r="C84" s="56" t="n">
        <v>63</v>
      </c>
      <c r="D84" s="56" t="s">
        <v>44</v>
      </c>
      <c r="E84" s="56" t="n">
        <v>1</v>
      </c>
      <c r="F84" s="56" t="s">
        <v>104</v>
      </c>
      <c r="G84" s="57" t="n">
        <v>38</v>
      </c>
      <c r="H84" s="56" t="n">
        <v>40</v>
      </c>
      <c r="I84" s="57" t="n">
        <f aca="false">VLOOKUP(C84,[1]M0111B!$A$1:$AH$173,24,TRUE())+(G84/100)</f>
        <v>182.09</v>
      </c>
      <c r="J84" s="57" t="n">
        <f aca="false">I84+0.02</f>
        <v>182.11</v>
      </c>
      <c r="K84" s="57" t="s">
        <v>153</v>
      </c>
      <c r="L84" s="60" t="s">
        <v>106</v>
      </c>
      <c r="M84" s="58" t="n">
        <f aca="false">I84-I83</f>
        <v>3.05000000000001</v>
      </c>
    </row>
    <row r="85" customFormat="false" ht="14.25" hidden="false" customHeight="false" outlineLevel="0" collapsed="false">
      <c r="A85" s="56" t="s">
        <v>38</v>
      </c>
      <c r="B85" s="56" t="s">
        <v>39</v>
      </c>
      <c r="C85" s="56" t="n">
        <v>64</v>
      </c>
      <c r="D85" s="56" t="s">
        <v>44</v>
      </c>
      <c r="E85" s="56" t="n">
        <v>1</v>
      </c>
      <c r="F85" s="56" t="s">
        <v>104</v>
      </c>
      <c r="G85" s="57" t="n">
        <v>38</v>
      </c>
      <c r="H85" s="56" t="n">
        <v>40</v>
      </c>
      <c r="I85" s="57" t="n">
        <f aca="false">VLOOKUP(C85,[1]M0111B!$A$1:$AH$173,24,TRUE())+(G85/100)</f>
        <v>185.14</v>
      </c>
      <c r="J85" s="57" t="n">
        <f aca="false">I85+0.02</f>
        <v>185.16</v>
      </c>
      <c r="K85" s="57" t="s">
        <v>153</v>
      </c>
      <c r="L85" s="60" t="s">
        <v>106</v>
      </c>
      <c r="M85" s="58" t="n">
        <f aca="false">I85-I84</f>
        <v>3.04999999999998</v>
      </c>
    </row>
    <row r="86" customFormat="false" ht="14.25" hidden="false" customHeight="false" outlineLevel="0" collapsed="false">
      <c r="A86" s="56" t="s">
        <v>38</v>
      </c>
      <c r="B86" s="56" t="s">
        <v>39</v>
      </c>
      <c r="C86" s="56" t="n">
        <v>65</v>
      </c>
      <c r="D86" s="56" t="s">
        <v>44</v>
      </c>
      <c r="E86" s="56" t="n">
        <v>1</v>
      </c>
      <c r="F86" s="56" t="s">
        <v>104</v>
      </c>
      <c r="G86" s="57" t="n">
        <v>38</v>
      </c>
      <c r="H86" s="56" t="n">
        <v>40</v>
      </c>
      <c r="I86" s="57" t="n">
        <f aca="false">VLOOKUP(C86,[1]M0111B!$A$1:$AH$173,24,TRUE())+(G86/100)</f>
        <v>188.19</v>
      </c>
      <c r="J86" s="57" t="n">
        <f aca="false">I86+0.02</f>
        <v>188.21</v>
      </c>
      <c r="K86" s="57" t="s">
        <v>141</v>
      </c>
      <c r="L86" s="60" t="s">
        <v>106</v>
      </c>
      <c r="M86" s="58" t="n">
        <f aca="false">I86-I85</f>
        <v>3.05000000000001</v>
      </c>
    </row>
    <row r="87" customFormat="false" ht="14.25" hidden="false" customHeight="false" outlineLevel="0" collapsed="false">
      <c r="A87" s="56" t="s">
        <v>38</v>
      </c>
      <c r="B87" s="56" t="s">
        <v>39</v>
      </c>
      <c r="C87" s="56" t="n">
        <v>66</v>
      </c>
      <c r="D87" s="56" t="s">
        <v>44</v>
      </c>
      <c r="E87" s="56" t="n">
        <v>1</v>
      </c>
      <c r="F87" s="56" t="s">
        <v>104</v>
      </c>
      <c r="G87" s="57" t="n">
        <v>38</v>
      </c>
      <c r="H87" s="56" t="n">
        <v>40</v>
      </c>
      <c r="I87" s="57" t="n">
        <f aca="false">VLOOKUP(C87,[1]M0111B!$A$1:$AH$173,24,TRUE())+(G87/100)</f>
        <v>191.24</v>
      </c>
      <c r="J87" s="57" t="n">
        <f aca="false">I87+0.02</f>
        <v>191.26</v>
      </c>
      <c r="K87" s="57" t="s">
        <v>154</v>
      </c>
      <c r="L87" s="60" t="s">
        <v>106</v>
      </c>
      <c r="M87" s="58" t="n">
        <f aca="false">I87-I86</f>
        <v>3.05000000000001</v>
      </c>
    </row>
    <row r="88" customFormat="false" ht="14.25" hidden="false" customHeight="false" outlineLevel="0" collapsed="false">
      <c r="A88" s="56" t="s">
        <v>38</v>
      </c>
      <c r="B88" s="56" t="s">
        <v>39</v>
      </c>
      <c r="C88" s="56" t="n">
        <v>67</v>
      </c>
      <c r="D88" s="56" t="s">
        <v>44</v>
      </c>
      <c r="E88" s="56" t="n">
        <v>1</v>
      </c>
      <c r="F88" s="56" t="s">
        <v>104</v>
      </c>
      <c r="G88" s="57" t="n">
        <v>38</v>
      </c>
      <c r="H88" s="56" t="n">
        <v>40</v>
      </c>
      <c r="I88" s="57" t="n">
        <f aca="false">VLOOKUP(C88,[1]M0111B!$A$1:$AH$173,24,TRUE())+(G88/100)</f>
        <v>194.29</v>
      </c>
      <c r="J88" s="57" t="n">
        <f aca="false">I88+0.02</f>
        <v>194.31</v>
      </c>
      <c r="K88" s="57" t="s">
        <v>155</v>
      </c>
      <c r="L88" s="60" t="s">
        <v>106</v>
      </c>
      <c r="M88" s="58" t="n">
        <f aca="false">I88-I87</f>
        <v>3.04999999999998</v>
      </c>
    </row>
    <row r="89" customFormat="false" ht="14.25" hidden="false" customHeight="false" outlineLevel="0" collapsed="false">
      <c r="A89" s="56" t="s">
        <v>38</v>
      </c>
      <c r="B89" s="56" t="s">
        <v>39</v>
      </c>
      <c r="C89" s="56" t="n">
        <v>68</v>
      </c>
      <c r="D89" s="56" t="s">
        <v>44</v>
      </c>
      <c r="E89" s="56" t="n">
        <v>1</v>
      </c>
      <c r="F89" s="56" t="s">
        <v>104</v>
      </c>
      <c r="G89" s="57" t="n">
        <v>38</v>
      </c>
      <c r="H89" s="56" t="n">
        <v>40</v>
      </c>
      <c r="I89" s="57" t="n">
        <f aca="false">VLOOKUP(C89,[1]M0111B!$A$1:$AH$173,24,TRUE())+(G89/100)</f>
        <v>197.34</v>
      </c>
      <c r="J89" s="57" t="n">
        <f aca="false">I89+0.02</f>
        <v>197.36</v>
      </c>
      <c r="K89" s="57" t="s">
        <v>155</v>
      </c>
      <c r="L89" s="60" t="s">
        <v>106</v>
      </c>
      <c r="M89" s="58" t="n">
        <f aca="false">I89-I88</f>
        <v>3.05000000000001</v>
      </c>
    </row>
    <row r="90" customFormat="false" ht="14.25" hidden="false" customHeight="false" outlineLevel="0" collapsed="false">
      <c r="A90" s="56" t="s">
        <v>38</v>
      </c>
      <c r="B90" s="56" t="s">
        <v>39</v>
      </c>
      <c r="C90" s="56" t="n">
        <v>69</v>
      </c>
      <c r="D90" s="56" t="s">
        <v>44</v>
      </c>
      <c r="E90" s="56" t="n">
        <v>1</v>
      </c>
      <c r="F90" s="56" t="s">
        <v>104</v>
      </c>
      <c r="G90" s="57" t="n">
        <v>38</v>
      </c>
      <c r="H90" s="56" t="n">
        <v>40</v>
      </c>
      <c r="I90" s="57" t="n">
        <f aca="false">VLOOKUP(C90,[1]M0111B!$A$1:$AH$173,24,TRUE())+(G90/100)</f>
        <v>200.39</v>
      </c>
      <c r="J90" s="57" t="n">
        <f aca="false">I90+0.02</f>
        <v>200.41</v>
      </c>
      <c r="K90" s="57" t="s">
        <v>156</v>
      </c>
      <c r="L90" s="60" t="s">
        <v>106</v>
      </c>
      <c r="M90" s="58" t="n">
        <f aca="false">I90-I89</f>
        <v>3.04999999999998</v>
      </c>
    </row>
    <row r="91" customFormat="false" ht="14.25" hidden="false" customHeight="false" outlineLevel="0" collapsed="false">
      <c r="A91" s="56" t="s">
        <v>38</v>
      </c>
      <c r="B91" s="56" t="s">
        <v>39</v>
      </c>
      <c r="C91" s="56" t="n">
        <v>70</v>
      </c>
      <c r="D91" s="56" t="s">
        <v>44</v>
      </c>
      <c r="E91" s="56" t="n">
        <v>1</v>
      </c>
      <c r="F91" s="56" t="s">
        <v>104</v>
      </c>
      <c r="G91" s="57" t="n">
        <v>38</v>
      </c>
      <c r="H91" s="56" t="n">
        <v>40</v>
      </c>
      <c r="I91" s="57" t="n">
        <f aca="false">VLOOKUP(C91,[1]M0111B!$A$1:$AH$173,24,TRUE())+(G91/100)</f>
        <v>203.44</v>
      </c>
      <c r="J91" s="57" t="n">
        <f aca="false">I91+0.02</f>
        <v>203.46</v>
      </c>
      <c r="K91" s="57" t="s">
        <v>144</v>
      </c>
      <c r="L91" s="60" t="s">
        <v>106</v>
      </c>
      <c r="M91" s="58" t="n">
        <f aca="false">I91-I90</f>
        <v>3.05000000000001</v>
      </c>
    </row>
    <row r="92" customFormat="false" ht="14.25" hidden="false" customHeight="false" outlineLevel="0" collapsed="false">
      <c r="A92" s="56" t="s">
        <v>38</v>
      </c>
      <c r="B92" s="56" t="s">
        <v>39</v>
      </c>
      <c r="C92" s="56" t="n">
        <v>71</v>
      </c>
      <c r="D92" s="56" t="s">
        <v>44</v>
      </c>
      <c r="E92" s="56" t="n">
        <v>1</v>
      </c>
      <c r="F92" s="56" t="s">
        <v>104</v>
      </c>
      <c r="G92" s="57" t="n">
        <v>38</v>
      </c>
      <c r="H92" s="56" t="n">
        <v>40</v>
      </c>
      <c r="I92" s="57" t="n">
        <f aca="false">VLOOKUP(C92,[1]M0111B!$A$1:$AH$173,24,TRUE())+(G92/100)</f>
        <v>206.49</v>
      </c>
      <c r="J92" s="57" t="n">
        <f aca="false">I92+0.02</f>
        <v>206.51</v>
      </c>
      <c r="K92" s="57" t="s">
        <v>157</v>
      </c>
      <c r="L92" s="60" t="s">
        <v>106</v>
      </c>
      <c r="M92" s="58" t="n">
        <f aca="false">I92-I91</f>
        <v>3.05000000000001</v>
      </c>
    </row>
    <row r="93" customFormat="false" ht="14.25" hidden="false" customHeight="false" outlineLevel="0" collapsed="false">
      <c r="A93" s="44" t="s">
        <v>38</v>
      </c>
      <c r="B93" s="44" t="s">
        <v>39</v>
      </c>
      <c r="C93" s="44" t="n">
        <v>72</v>
      </c>
      <c r="D93" s="44" t="s">
        <v>44</v>
      </c>
      <c r="E93" s="44" t="n">
        <v>1</v>
      </c>
      <c r="F93" s="44" t="s">
        <v>104</v>
      </c>
      <c r="G93" s="0" t="n">
        <v>38</v>
      </c>
      <c r="H93" s="44" t="n">
        <v>40</v>
      </c>
      <c r="I93" s="0" t="n">
        <f aca="false">VLOOKUP(C93,[1]M0111B!$A$1:$AH$173,24,TRUE())+(G93/100)</f>
        <v>207.71</v>
      </c>
      <c r="J93" s="0" t="n">
        <f aca="false">I93+0.02</f>
        <v>207.73</v>
      </c>
      <c r="K93" s="0" t="s">
        <v>110</v>
      </c>
      <c r="L93" s="36" t="s">
        <v>106</v>
      </c>
      <c r="M93" s="53" t="n">
        <f aca="false">I93-I92</f>
        <v>1.22</v>
      </c>
    </row>
    <row r="94" customFormat="false" ht="14.25" hidden="false" customHeight="false" outlineLevel="0" collapsed="false">
      <c r="A94" s="44" t="s">
        <v>38</v>
      </c>
      <c r="B94" s="44" t="s">
        <v>39</v>
      </c>
      <c r="C94" s="44" t="n">
        <v>73</v>
      </c>
      <c r="D94" s="44" t="s">
        <v>44</v>
      </c>
      <c r="E94" s="44" t="n">
        <v>1</v>
      </c>
      <c r="F94" s="44" t="s">
        <v>104</v>
      </c>
      <c r="G94" s="0" t="n">
        <v>38</v>
      </c>
      <c r="H94" s="44" t="n">
        <v>40</v>
      </c>
      <c r="I94" s="0" t="n">
        <f aca="false">VLOOKUP(C94,[1]M0111B!$A$1:$AH$173,24,TRUE())+(G94/100)</f>
        <v>210.21</v>
      </c>
      <c r="J94" s="0" t="n">
        <f aca="false">I94+0.02</f>
        <v>210.23</v>
      </c>
      <c r="K94" s="0" t="s">
        <v>158</v>
      </c>
      <c r="L94" s="36" t="s">
        <v>106</v>
      </c>
      <c r="M94" s="53" t="n">
        <f aca="false">I94-I93</f>
        <v>2.5</v>
      </c>
    </row>
    <row r="95" customFormat="false" ht="14.25" hidden="false" customHeight="false" outlineLevel="0" collapsed="false">
      <c r="A95" s="44" t="s">
        <v>38</v>
      </c>
      <c r="B95" s="44" t="s">
        <v>39</v>
      </c>
      <c r="C95" s="44" t="n">
        <v>74</v>
      </c>
      <c r="D95" s="44" t="s">
        <v>44</v>
      </c>
      <c r="E95" s="44" t="n">
        <v>1</v>
      </c>
      <c r="F95" s="44" t="s">
        <v>104</v>
      </c>
      <c r="G95" s="0" t="n">
        <v>38</v>
      </c>
      <c r="H95" s="44" t="n">
        <v>40</v>
      </c>
      <c r="I95" s="0" t="n">
        <f aca="false">VLOOKUP(C95,[1]M0111B!$A$1:$AH$173,24,TRUE())+(G95/100)</f>
        <v>213.26</v>
      </c>
      <c r="J95" s="0" t="n">
        <f aca="false">I95+0.02</f>
        <v>213.28</v>
      </c>
      <c r="K95" s="0" t="s">
        <v>159</v>
      </c>
      <c r="L95" s="36" t="s">
        <v>106</v>
      </c>
      <c r="M95" s="53" t="n">
        <f aca="false">I95-I94</f>
        <v>3.04999999999998</v>
      </c>
    </row>
    <row r="96" customFormat="false" ht="14.25" hidden="false" customHeight="false" outlineLevel="0" collapsed="false">
      <c r="A96" s="44" t="s">
        <v>38</v>
      </c>
      <c r="B96" s="44" t="s">
        <v>39</v>
      </c>
      <c r="C96" s="44" t="n">
        <v>75</v>
      </c>
      <c r="D96" s="44" t="s">
        <v>44</v>
      </c>
      <c r="E96" s="44" t="n">
        <v>1</v>
      </c>
      <c r="F96" s="44" t="s">
        <v>104</v>
      </c>
      <c r="G96" s="0" t="n">
        <v>38</v>
      </c>
      <c r="H96" s="44" t="n">
        <v>40</v>
      </c>
      <c r="I96" s="0" t="n">
        <f aca="false">VLOOKUP(C96,[1]M0111B!$A$1:$AH$173,24,TRUE())+(G96/100)</f>
        <v>215.71</v>
      </c>
      <c r="J96" s="0" t="n">
        <f aca="false">I96+0.02</f>
        <v>215.73</v>
      </c>
      <c r="K96" s="0" t="s">
        <v>42</v>
      </c>
      <c r="L96" s="36" t="s">
        <v>106</v>
      </c>
      <c r="M96" s="53" t="n">
        <f aca="false">I96-I95</f>
        <v>2.45000000000002</v>
      </c>
    </row>
    <row r="97" customFormat="false" ht="14.25" hidden="false" customHeight="false" outlineLevel="0" collapsed="false">
      <c r="A97" s="44" t="s">
        <v>38</v>
      </c>
      <c r="B97" s="44" t="s">
        <v>39</v>
      </c>
      <c r="C97" s="44" t="n">
        <v>78</v>
      </c>
      <c r="D97" s="44" t="s">
        <v>44</v>
      </c>
      <c r="E97" s="44" t="n">
        <v>1</v>
      </c>
      <c r="F97" s="44" t="s">
        <v>104</v>
      </c>
      <c r="G97" s="0" t="n">
        <v>38</v>
      </c>
      <c r="H97" s="44" t="n">
        <v>40</v>
      </c>
      <c r="I97" s="0" t="n">
        <f aca="false">VLOOKUP(C97,[1]M0111B!$A$1:$AH$173,24,TRUE())+(G97/100)</f>
        <v>220.31</v>
      </c>
      <c r="J97" s="0" t="n">
        <f aca="false">I97+0.02</f>
        <v>220.33</v>
      </c>
      <c r="K97" s="0" t="s">
        <v>159</v>
      </c>
      <c r="L97" s="36" t="s">
        <v>106</v>
      </c>
      <c r="M97" s="53" t="n">
        <f aca="false">I97-I96</f>
        <v>4.59999999999999</v>
      </c>
    </row>
    <row r="98" customFormat="false" ht="14.25" hidden="false" customHeight="false" outlineLevel="0" collapsed="false">
      <c r="A98" s="44" t="s">
        <v>38</v>
      </c>
      <c r="B98" s="44" t="s">
        <v>39</v>
      </c>
      <c r="C98" s="44" t="n">
        <v>81</v>
      </c>
      <c r="D98" s="44" t="s">
        <v>44</v>
      </c>
      <c r="E98" s="44" t="n">
        <v>1</v>
      </c>
      <c r="F98" s="44" t="s">
        <v>104</v>
      </c>
      <c r="G98" s="0" t="n">
        <v>18</v>
      </c>
      <c r="H98" s="44" t="n">
        <v>20</v>
      </c>
      <c r="I98" s="0" t="n">
        <f aca="false">VLOOKUP(C98,[1]M0111B!$A$1:$AH$173,24,TRUE())+(G98/100)</f>
        <v>224.27</v>
      </c>
      <c r="J98" s="0" t="n">
        <f aca="false">I98+0.02</f>
        <v>224.29</v>
      </c>
      <c r="K98" s="0" t="s">
        <v>159</v>
      </c>
      <c r="L98" s="36" t="s">
        <v>106</v>
      </c>
      <c r="M98" s="53" t="n">
        <f aca="false">I98-I97</f>
        <v>3.96000000000001</v>
      </c>
    </row>
    <row r="99" customFormat="false" ht="14.25" hidden="false" customHeight="false" outlineLevel="0" collapsed="false">
      <c r="A99" s="44" t="s">
        <v>38</v>
      </c>
      <c r="B99" s="44" t="s">
        <v>39</v>
      </c>
      <c r="C99" s="44" t="n">
        <v>83</v>
      </c>
      <c r="D99" s="44" t="s">
        <v>44</v>
      </c>
      <c r="E99" s="44" t="n">
        <v>1</v>
      </c>
      <c r="F99" s="44" t="s">
        <v>104</v>
      </c>
      <c r="G99" s="0" t="n">
        <v>38</v>
      </c>
      <c r="H99" s="44" t="n">
        <v>40</v>
      </c>
      <c r="I99" s="0" t="n">
        <f aca="false">VLOOKUP(C99,[1]M0111B!$A$1:$AH$173,24,TRUE())+(G99/100)</f>
        <v>224.96</v>
      </c>
      <c r="J99" s="0" t="n">
        <f aca="false">I99+0.02</f>
        <v>224.98</v>
      </c>
      <c r="K99" s="0" t="s">
        <v>160</v>
      </c>
      <c r="L99" s="36" t="s">
        <v>106</v>
      </c>
      <c r="M99" s="53" t="n">
        <f aca="false">I99-I98</f>
        <v>0.689999999999998</v>
      </c>
    </row>
    <row r="100" customFormat="false" ht="14.25" hidden="false" customHeight="false" outlineLevel="0" collapsed="false">
      <c r="A100" s="44" t="s">
        <v>38</v>
      </c>
      <c r="B100" s="44" t="s">
        <v>39</v>
      </c>
      <c r="C100" s="44" t="n">
        <v>84</v>
      </c>
      <c r="D100" s="44" t="s">
        <v>44</v>
      </c>
      <c r="E100" s="44" t="n">
        <v>1</v>
      </c>
      <c r="F100" s="44" t="s">
        <v>104</v>
      </c>
      <c r="G100" s="0" t="n">
        <v>38</v>
      </c>
      <c r="H100" s="44" t="n">
        <v>40</v>
      </c>
      <c r="I100" s="0" t="n">
        <f aca="false">VLOOKUP(C100,[1]M0111B!$A$1:$AH$173,24,TRUE())+(G100/100)</f>
        <v>228.01</v>
      </c>
      <c r="J100" s="0" t="n">
        <f aca="false">I100+0.02</f>
        <v>228.03</v>
      </c>
      <c r="K100" s="0" t="s">
        <v>161</v>
      </c>
      <c r="L100" s="36" t="s">
        <v>106</v>
      </c>
      <c r="M100" s="53" t="n">
        <f aca="false">I100-I99</f>
        <v>3.04999999999998</v>
      </c>
    </row>
    <row r="101" customFormat="false" ht="14.25" hidden="false" customHeight="false" outlineLevel="0" collapsed="false">
      <c r="A101" s="56" t="s">
        <v>38</v>
      </c>
      <c r="B101" s="56" t="s">
        <v>39</v>
      </c>
      <c r="C101" s="56" t="n">
        <v>86</v>
      </c>
      <c r="D101" s="56" t="s">
        <v>44</v>
      </c>
      <c r="E101" s="56" t="n">
        <v>1</v>
      </c>
      <c r="F101" s="56" t="s">
        <v>104</v>
      </c>
      <c r="G101" s="57" t="n">
        <v>38</v>
      </c>
      <c r="H101" s="56" t="n">
        <v>40</v>
      </c>
      <c r="I101" s="57" t="n">
        <f aca="false">VLOOKUP(C101,[1]M0111B!$A$1:$AH$173,24,TRUE())+(G101/100)</f>
        <v>231.06</v>
      </c>
      <c r="J101" s="57" t="n">
        <f aca="false">I101+0.02</f>
        <v>231.08</v>
      </c>
      <c r="K101" s="57" t="s">
        <v>137</v>
      </c>
      <c r="L101" s="60" t="s">
        <v>106</v>
      </c>
      <c r="M101" s="58" t="n">
        <f aca="false">I101-I100</f>
        <v>3.05000000000001</v>
      </c>
    </row>
    <row r="102" customFormat="false" ht="14.25" hidden="false" customHeight="false" outlineLevel="0" collapsed="false">
      <c r="A102" s="56" t="s">
        <v>38</v>
      </c>
      <c r="B102" s="56" t="s">
        <v>39</v>
      </c>
      <c r="C102" s="56" t="n">
        <v>87</v>
      </c>
      <c r="D102" s="56" t="s">
        <v>44</v>
      </c>
      <c r="E102" s="56" t="n">
        <v>1</v>
      </c>
      <c r="F102" s="56" t="s">
        <v>104</v>
      </c>
      <c r="G102" s="57" t="n">
        <v>38</v>
      </c>
      <c r="H102" s="56" t="n">
        <v>40</v>
      </c>
      <c r="I102" s="57" t="n">
        <f aca="false">VLOOKUP(C102,[1]M0111B!$A$1:$AH$173,24,TRUE())+(G102/100)</f>
        <v>234.11</v>
      </c>
      <c r="J102" s="57" t="n">
        <f aca="false">I102+0.02</f>
        <v>234.13</v>
      </c>
      <c r="K102" s="57" t="s">
        <v>162</v>
      </c>
      <c r="L102" s="60" t="s">
        <v>106</v>
      </c>
      <c r="M102" s="58" t="n">
        <f aca="false">I102-I101</f>
        <v>3.04999999999998</v>
      </c>
    </row>
    <row r="103" customFormat="false" ht="14.25" hidden="false" customHeight="false" outlineLevel="0" collapsed="false">
      <c r="A103" s="56" t="s">
        <v>38</v>
      </c>
      <c r="B103" s="56" t="s">
        <v>39</v>
      </c>
      <c r="C103" s="56" t="n">
        <v>88</v>
      </c>
      <c r="D103" s="56" t="s">
        <v>44</v>
      </c>
      <c r="E103" s="56" t="n">
        <v>1</v>
      </c>
      <c r="F103" s="56" t="s">
        <v>104</v>
      </c>
      <c r="G103" s="57" t="n">
        <v>38</v>
      </c>
      <c r="H103" s="56" t="n">
        <v>40</v>
      </c>
      <c r="I103" s="57" t="n">
        <f aca="false">VLOOKUP(C103,[1]M0111B!$A$1:$AH$173,24,TRUE())+(G103/100)</f>
        <v>234.91</v>
      </c>
      <c r="J103" s="57" t="n">
        <f aca="false">I103+0.02</f>
        <v>234.93</v>
      </c>
      <c r="K103" s="57" t="s">
        <v>162</v>
      </c>
      <c r="L103" s="60" t="s">
        <v>106</v>
      </c>
      <c r="M103" s="58" t="n">
        <f aca="false">I103-I102</f>
        <v>0.800000000000011</v>
      </c>
    </row>
    <row r="104" customFormat="false" ht="14.25" hidden="false" customHeight="false" outlineLevel="0" collapsed="false">
      <c r="A104" s="56" t="s">
        <v>38</v>
      </c>
      <c r="B104" s="56" t="s">
        <v>39</v>
      </c>
      <c r="C104" s="56" t="n">
        <v>89</v>
      </c>
      <c r="D104" s="56" t="s">
        <v>44</v>
      </c>
      <c r="E104" s="56" t="n">
        <v>1</v>
      </c>
      <c r="F104" s="56" t="s">
        <v>104</v>
      </c>
      <c r="G104" s="57" t="n">
        <v>38</v>
      </c>
      <c r="H104" s="56" t="n">
        <v>40</v>
      </c>
      <c r="I104" s="57" t="n">
        <f aca="false">VLOOKUP(C104,[1]M0111B!$A$1:$AH$173,24,TRUE())+(G104/100)</f>
        <v>237.96</v>
      </c>
      <c r="J104" s="57" t="n">
        <f aca="false">I104+0.02</f>
        <v>237.98</v>
      </c>
      <c r="K104" s="57" t="s">
        <v>162</v>
      </c>
      <c r="L104" s="60" t="s">
        <v>106</v>
      </c>
      <c r="M104" s="58" t="n">
        <f aca="false">I104-I103</f>
        <v>3.05000000000001</v>
      </c>
    </row>
    <row r="105" customFormat="false" ht="14.25" hidden="false" customHeight="false" outlineLevel="0" collapsed="false">
      <c r="A105" s="44" t="s">
        <v>38</v>
      </c>
      <c r="B105" s="44" t="s">
        <v>39</v>
      </c>
      <c r="C105" s="44" t="n">
        <v>92</v>
      </c>
      <c r="D105" s="44" t="s">
        <v>44</v>
      </c>
      <c r="E105" s="44" t="n">
        <v>1</v>
      </c>
      <c r="F105" s="44" t="s">
        <v>104</v>
      </c>
      <c r="G105" s="0" t="n">
        <v>28</v>
      </c>
      <c r="H105" s="44" t="n">
        <v>30</v>
      </c>
      <c r="I105" s="0" t="n">
        <f aca="false">VLOOKUP(C105,[1]M0111B!$A$1:$AH$173,24,TRUE())+(G105/100)</f>
        <v>245.21</v>
      </c>
      <c r="J105" s="0" t="n">
        <f aca="false">I105+0.02</f>
        <v>245.23</v>
      </c>
      <c r="K105" s="0" t="s">
        <v>163</v>
      </c>
      <c r="L105" s="36" t="s">
        <v>106</v>
      </c>
      <c r="M105" s="53" t="n">
        <f aca="false">I105-I104</f>
        <v>7.25</v>
      </c>
    </row>
    <row r="106" customFormat="false" ht="14.25" hidden="false" customHeight="false" outlineLevel="0" collapsed="false">
      <c r="A106" s="56" t="s">
        <v>38</v>
      </c>
      <c r="B106" s="56" t="s">
        <v>39</v>
      </c>
      <c r="C106" s="56" t="n">
        <v>93</v>
      </c>
      <c r="D106" s="56" t="s">
        <v>44</v>
      </c>
      <c r="E106" s="56" t="n">
        <v>1</v>
      </c>
      <c r="F106" s="56" t="s">
        <v>104</v>
      </c>
      <c r="G106" s="57" t="n">
        <v>38</v>
      </c>
      <c r="H106" s="56" t="n">
        <v>40</v>
      </c>
      <c r="I106" s="57" t="n">
        <f aca="false">VLOOKUP(C106,[1]M0111B!$A$1:$AH$173,24,TRUE())+(G106/100)</f>
        <v>245.66</v>
      </c>
      <c r="J106" s="57" t="n">
        <f aca="false">I106+0.02</f>
        <v>245.68</v>
      </c>
      <c r="K106" s="57" t="s">
        <v>164</v>
      </c>
      <c r="L106" s="60" t="s">
        <v>106</v>
      </c>
      <c r="M106" s="58" t="n">
        <f aca="false">I106-I105</f>
        <v>0.449999999999989</v>
      </c>
    </row>
    <row r="107" customFormat="false" ht="14.25" hidden="false" customHeight="false" outlineLevel="0" collapsed="false">
      <c r="A107" s="56" t="s">
        <v>38</v>
      </c>
      <c r="B107" s="56" t="s">
        <v>39</v>
      </c>
      <c r="C107" s="56" t="n">
        <v>94</v>
      </c>
      <c r="D107" s="56" t="s">
        <v>44</v>
      </c>
      <c r="E107" s="56" t="n">
        <v>1</v>
      </c>
      <c r="F107" s="56" t="s">
        <v>104</v>
      </c>
      <c r="G107" s="57" t="n">
        <v>38</v>
      </c>
      <c r="H107" s="56" t="n">
        <v>40</v>
      </c>
      <c r="I107" s="57" t="n">
        <f aca="false">VLOOKUP(C107,[1]M0111B!$A$1:$AH$173,24,TRUE())+(G107/100)</f>
        <v>247.11</v>
      </c>
      <c r="J107" s="57" t="n">
        <f aca="false">I107+0.02</f>
        <v>247.13</v>
      </c>
      <c r="K107" s="57" t="s">
        <v>165</v>
      </c>
      <c r="L107" s="60" t="s">
        <v>106</v>
      </c>
      <c r="M107" s="58" t="n">
        <f aca="false">I107-I106</f>
        <v>1.44999999999999</v>
      </c>
    </row>
    <row r="108" customFormat="false" ht="14.25" hidden="false" customHeight="false" outlineLevel="0" collapsed="false">
      <c r="A108" s="56" t="s">
        <v>38</v>
      </c>
      <c r="B108" s="56" t="s">
        <v>39</v>
      </c>
      <c r="C108" s="56" t="n">
        <v>95</v>
      </c>
      <c r="D108" s="56" t="s">
        <v>44</v>
      </c>
      <c r="E108" s="56" t="n">
        <v>1</v>
      </c>
      <c r="F108" s="56" t="s">
        <v>104</v>
      </c>
      <c r="G108" s="57" t="n">
        <v>38</v>
      </c>
      <c r="H108" s="56" t="n">
        <v>40</v>
      </c>
      <c r="I108" s="57" t="n">
        <f aca="false">VLOOKUP(C108,[1]M0111B!$A$1:$AH$173,24,TRUE())+(G108/100)</f>
        <v>250.16</v>
      </c>
      <c r="J108" s="57" t="n">
        <f aca="false">I108+0.02</f>
        <v>250.18</v>
      </c>
      <c r="K108" s="57" t="s">
        <v>137</v>
      </c>
      <c r="L108" s="60" t="s">
        <v>106</v>
      </c>
      <c r="M108" s="58" t="n">
        <f aca="false">I108-I107</f>
        <v>3.05000000000001</v>
      </c>
    </row>
    <row r="109" customFormat="false" ht="14.25" hidden="false" customHeight="false" outlineLevel="0" collapsed="false">
      <c r="A109" s="44" t="s">
        <v>38</v>
      </c>
      <c r="B109" s="44" t="s">
        <v>39</v>
      </c>
      <c r="C109" s="44" t="n">
        <v>96</v>
      </c>
      <c r="D109" s="44" t="s">
        <v>44</v>
      </c>
      <c r="E109" s="44" t="n">
        <v>1</v>
      </c>
      <c r="F109" s="44" t="s">
        <v>104</v>
      </c>
      <c r="G109" s="0" t="n">
        <v>38</v>
      </c>
      <c r="H109" s="44" t="n">
        <v>40</v>
      </c>
      <c r="I109" s="0" t="n">
        <f aca="false">VLOOKUP(C109,[1]M0111B!$A$1:$AH$173,24,TRUE())+(G109/100)</f>
        <v>251.91</v>
      </c>
      <c r="J109" s="0" t="n">
        <f aca="false">I109+0.02</f>
        <v>251.93</v>
      </c>
      <c r="K109" s="0" t="s">
        <v>166</v>
      </c>
      <c r="L109" s="36" t="s">
        <v>106</v>
      </c>
      <c r="M109" s="53" t="n">
        <f aca="false">I109-I108</f>
        <v>1.75</v>
      </c>
    </row>
    <row r="110" customFormat="false" ht="14.25" hidden="false" customHeight="false" outlineLevel="0" collapsed="false">
      <c r="A110" s="44" t="s">
        <v>38</v>
      </c>
      <c r="B110" s="44" t="s">
        <v>39</v>
      </c>
      <c r="C110" s="44" t="n">
        <v>97</v>
      </c>
      <c r="D110" s="44" t="s">
        <v>44</v>
      </c>
      <c r="E110" s="44" t="n">
        <v>1</v>
      </c>
      <c r="F110" s="44" t="s">
        <v>104</v>
      </c>
      <c r="G110" s="0" t="n">
        <v>38</v>
      </c>
      <c r="H110" s="44" t="n">
        <v>40</v>
      </c>
      <c r="I110" s="0" t="n">
        <f aca="false">VLOOKUP(C110,[1]M0111B!$A$1:$AH$173,24,TRUE())+(G110/100)</f>
        <v>253.21</v>
      </c>
      <c r="J110" s="0" t="n">
        <f aca="false">I110+0.02</f>
        <v>253.23</v>
      </c>
      <c r="K110" s="0" t="s">
        <v>167</v>
      </c>
      <c r="L110" s="36" t="s">
        <v>106</v>
      </c>
      <c r="M110" s="53" t="n">
        <f aca="false">I110-I109</f>
        <v>1.30000000000001</v>
      </c>
    </row>
    <row r="111" customFormat="false" ht="14.25" hidden="false" customHeight="false" outlineLevel="0" collapsed="false">
      <c r="A111" s="44" t="s">
        <v>38</v>
      </c>
      <c r="B111" s="44" t="s">
        <v>39</v>
      </c>
      <c r="C111" s="44" t="n">
        <v>98</v>
      </c>
      <c r="D111" s="44" t="s">
        <v>44</v>
      </c>
      <c r="E111" s="44" t="n">
        <v>1</v>
      </c>
      <c r="F111" s="44" t="s">
        <v>104</v>
      </c>
      <c r="G111" s="0" t="n">
        <v>38</v>
      </c>
      <c r="H111" s="44" t="n">
        <v>40</v>
      </c>
      <c r="I111" s="0" t="n">
        <f aca="false">VLOOKUP(C111,[1]M0111B!$A$1:$AH$173,24,TRUE())+(G111/100)</f>
        <v>255.91</v>
      </c>
      <c r="J111" s="0" t="n">
        <f aca="false">I111+0.02</f>
        <v>255.93</v>
      </c>
      <c r="K111" s="0" t="s">
        <v>168</v>
      </c>
      <c r="L111" s="36" t="s">
        <v>106</v>
      </c>
      <c r="M111" s="53" t="n">
        <f aca="false">I111-I110</f>
        <v>2.69999999999999</v>
      </c>
    </row>
    <row r="112" customFormat="false" ht="14.25" hidden="false" customHeight="false" outlineLevel="0" collapsed="false">
      <c r="A112" s="44" t="s">
        <v>38</v>
      </c>
      <c r="B112" s="44" t="s">
        <v>39</v>
      </c>
      <c r="C112" s="44" t="n">
        <v>99</v>
      </c>
      <c r="D112" s="44" t="s">
        <v>44</v>
      </c>
      <c r="E112" s="44" t="n">
        <v>1</v>
      </c>
      <c r="F112" s="44" t="s">
        <v>104</v>
      </c>
      <c r="G112" s="0" t="n">
        <v>38</v>
      </c>
      <c r="H112" s="44" t="n">
        <v>40</v>
      </c>
      <c r="I112" s="0" t="n">
        <f aca="false">VLOOKUP(C112,[1]M0111B!$A$1:$AH$173,24,TRUE())+(G112/100)</f>
        <v>256.66</v>
      </c>
      <c r="J112" s="0" t="n">
        <f aca="false">I112+0.02</f>
        <v>256.68</v>
      </c>
      <c r="K112" s="0" t="s">
        <v>42</v>
      </c>
      <c r="L112" s="36" t="s">
        <v>106</v>
      </c>
      <c r="M112" s="53" t="n">
        <f aca="false">I112-I111</f>
        <v>0.749999999999972</v>
      </c>
    </row>
    <row r="113" customFormat="false" ht="14.25" hidden="false" customHeight="false" outlineLevel="0" collapsed="false">
      <c r="A113" s="44" t="s">
        <v>38</v>
      </c>
      <c r="B113" s="44" t="s">
        <v>39</v>
      </c>
      <c r="C113" s="44" t="n">
        <v>100</v>
      </c>
      <c r="D113" s="44" t="s">
        <v>44</v>
      </c>
      <c r="E113" s="44" t="n">
        <v>1</v>
      </c>
      <c r="F113" s="44" t="s">
        <v>104</v>
      </c>
      <c r="G113" s="0" t="n">
        <v>38</v>
      </c>
      <c r="H113" s="44" t="n">
        <v>40</v>
      </c>
      <c r="I113" s="0" t="n">
        <f aca="false">VLOOKUP(C113,[1]M0111B!$A$1:$AH$173,24,TRUE())+(G113/100)</f>
        <v>259.31</v>
      </c>
      <c r="J113" s="0" t="n">
        <f aca="false">I113+0.02</f>
        <v>259.33</v>
      </c>
      <c r="K113" s="0" t="s">
        <v>169</v>
      </c>
      <c r="L113" s="36" t="s">
        <v>106</v>
      </c>
      <c r="M113" s="53" t="n">
        <f aca="false">I113-I112</f>
        <v>2.65000000000003</v>
      </c>
    </row>
    <row r="114" customFormat="false" ht="14.25" hidden="false" customHeight="false" outlineLevel="0" collapsed="false">
      <c r="A114" s="44" t="s">
        <v>38</v>
      </c>
      <c r="B114" s="44" t="s">
        <v>39</v>
      </c>
      <c r="C114" s="44" t="n">
        <v>101</v>
      </c>
      <c r="D114" s="44" t="s">
        <v>44</v>
      </c>
      <c r="E114" s="44" t="n">
        <v>1</v>
      </c>
      <c r="F114" s="44" t="s">
        <v>104</v>
      </c>
      <c r="G114" s="0" t="n">
        <v>38</v>
      </c>
      <c r="H114" s="44" t="n">
        <v>40</v>
      </c>
      <c r="I114" s="0" t="n">
        <f aca="false">VLOOKUP(C114,[1]M0111B!$A$1:$AH$173,24,TRUE())+(G114/100)</f>
        <v>262.36</v>
      </c>
      <c r="J114" s="0" t="n">
        <f aca="false">I114+0.02</f>
        <v>262.38</v>
      </c>
      <c r="K114" s="0" t="s">
        <v>170</v>
      </c>
      <c r="L114" s="36" t="s">
        <v>106</v>
      </c>
      <c r="M114" s="53" t="n">
        <f aca="false">I114-I113</f>
        <v>3.05000000000001</v>
      </c>
    </row>
    <row r="115" customFormat="false" ht="14.25" hidden="false" customHeight="false" outlineLevel="0" collapsed="false">
      <c r="A115" s="56" t="s">
        <v>38</v>
      </c>
      <c r="B115" s="56" t="s">
        <v>39</v>
      </c>
      <c r="C115" s="56" t="n">
        <v>102</v>
      </c>
      <c r="D115" s="56" t="s">
        <v>44</v>
      </c>
      <c r="E115" s="56" t="n">
        <v>1</v>
      </c>
      <c r="F115" s="56" t="s">
        <v>104</v>
      </c>
      <c r="G115" s="57" t="n">
        <v>38</v>
      </c>
      <c r="H115" s="56" t="n">
        <v>40</v>
      </c>
      <c r="I115" s="57" t="n">
        <f aca="false">VLOOKUP(C115,[1]M0111B!$A$1:$AH$173,24,TRUE())+(G115/100)</f>
        <v>265.41</v>
      </c>
      <c r="J115" s="57" t="n">
        <f aca="false">I115+0.02</f>
        <v>265.43</v>
      </c>
      <c r="K115" s="57" t="s">
        <v>141</v>
      </c>
      <c r="L115" s="60" t="s">
        <v>106</v>
      </c>
      <c r="M115" s="58" t="n">
        <f aca="false">I115-I114</f>
        <v>3.04999999999995</v>
      </c>
    </row>
    <row r="116" customFormat="false" ht="14.25" hidden="false" customHeight="false" outlineLevel="0" collapsed="false">
      <c r="A116" s="56" t="s">
        <v>38</v>
      </c>
      <c r="B116" s="56" t="s">
        <v>39</v>
      </c>
      <c r="C116" s="56" t="n">
        <v>103</v>
      </c>
      <c r="D116" s="56" t="s">
        <v>44</v>
      </c>
      <c r="E116" s="56" t="n">
        <v>1</v>
      </c>
      <c r="F116" s="56" t="s">
        <v>104</v>
      </c>
      <c r="G116" s="57" t="n">
        <v>38</v>
      </c>
      <c r="H116" s="56" t="n">
        <v>40</v>
      </c>
      <c r="I116" s="57" t="n">
        <f aca="false">VLOOKUP(C116,[1]M0111B!$A$1:$AH$173,24,TRUE())+(G116/100)</f>
        <v>268.46</v>
      </c>
      <c r="J116" s="57" t="n">
        <f aca="false">I116+0.02</f>
        <v>268.48</v>
      </c>
      <c r="K116" s="57" t="s">
        <v>171</v>
      </c>
      <c r="L116" s="60" t="s">
        <v>106</v>
      </c>
      <c r="M116" s="58" t="n">
        <f aca="false">I116-I115</f>
        <v>3.05000000000001</v>
      </c>
    </row>
    <row r="117" customFormat="false" ht="14.25" hidden="false" customHeight="false" outlineLevel="0" collapsed="false">
      <c r="A117" s="56" t="s">
        <v>38</v>
      </c>
      <c r="B117" s="56" t="s">
        <v>39</v>
      </c>
      <c r="C117" s="56" t="n">
        <v>104</v>
      </c>
      <c r="D117" s="56" t="s">
        <v>44</v>
      </c>
      <c r="E117" s="56" t="n">
        <v>1</v>
      </c>
      <c r="F117" s="56" t="s">
        <v>104</v>
      </c>
      <c r="G117" s="57" t="n">
        <v>18</v>
      </c>
      <c r="H117" s="56" t="n">
        <v>20</v>
      </c>
      <c r="I117" s="57" t="n">
        <f aca="false">VLOOKUP(C117,[1]M0111B!$A$1:$AH$173,24,TRUE())+(G117/100)</f>
        <v>271.31</v>
      </c>
      <c r="J117" s="57" t="n">
        <f aca="false">I117+0.02</f>
        <v>271.33</v>
      </c>
      <c r="K117" s="57" t="s">
        <v>172</v>
      </c>
      <c r="L117" s="60" t="s">
        <v>106</v>
      </c>
      <c r="M117" s="58" t="n">
        <f aca="false">I117-I116</f>
        <v>2.85000000000002</v>
      </c>
    </row>
    <row r="118" customFormat="false" ht="14.25" hidden="false" customHeight="false" outlineLevel="0" collapsed="false">
      <c r="A118" s="44" t="s">
        <v>38</v>
      </c>
      <c r="B118" s="44" t="s">
        <v>39</v>
      </c>
      <c r="C118" s="44" t="n">
        <v>105</v>
      </c>
      <c r="D118" s="44" t="s">
        <v>44</v>
      </c>
      <c r="E118" s="44" t="n">
        <v>1</v>
      </c>
      <c r="F118" s="44" t="s">
        <v>104</v>
      </c>
      <c r="G118" s="0" t="n">
        <v>28</v>
      </c>
      <c r="H118" s="44" t="n">
        <v>30</v>
      </c>
      <c r="I118" s="0" t="n">
        <f aca="false">VLOOKUP(C118,[1]M0111B!$A$1:$AH$173,24,TRUE())+(G118/100)</f>
        <v>274.46</v>
      </c>
      <c r="J118" s="0" t="n">
        <f aca="false">I118+0.02</f>
        <v>274.48</v>
      </c>
      <c r="K118" s="0" t="s">
        <v>173</v>
      </c>
      <c r="L118" s="36" t="s">
        <v>106</v>
      </c>
      <c r="M118" s="53" t="n">
        <f aca="false">I118-I117</f>
        <v>3.14999999999998</v>
      </c>
    </row>
    <row r="119" customFormat="false" ht="14.25" hidden="false" customHeight="false" outlineLevel="0" collapsed="false">
      <c r="A119" s="44" t="s">
        <v>38</v>
      </c>
      <c r="B119" s="44" t="s">
        <v>39</v>
      </c>
      <c r="C119" s="44" t="n">
        <v>106</v>
      </c>
      <c r="D119" s="44" t="s">
        <v>44</v>
      </c>
      <c r="E119" s="44" t="n">
        <v>1</v>
      </c>
      <c r="F119" s="44" t="s">
        <v>104</v>
      </c>
      <c r="G119" s="0" t="n">
        <v>38</v>
      </c>
      <c r="H119" s="44" t="n">
        <v>40</v>
      </c>
      <c r="I119" s="0" t="n">
        <f aca="false">VLOOKUP(C119,[1]M0111B!$A$1:$AH$173,24,TRUE())+(G119/100)</f>
        <v>275.56</v>
      </c>
      <c r="J119" s="0" t="n">
        <f aca="false">I119+0.02</f>
        <v>275.58</v>
      </c>
      <c r="K119" s="0" t="s">
        <v>174</v>
      </c>
      <c r="L119" s="36" t="s">
        <v>106</v>
      </c>
      <c r="M119" s="53" t="n">
        <f aca="false">I119-I118</f>
        <v>1.10000000000002</v>
      </c>
    </row>
    <row r="120" customFormat="false" ht="14.25" hidden="false" customHeight="false" outlineLevel="0" collapsed="false">
      <c r="A120" s="44" t="s">
        <v>38</v>
      </c>
      <c r="B120" s="44" t="s">
        <v>39</v>
      </c>
      <c r="C120" s="44" t="n">
        <v>107</v>
      </c>
      <c r="D120" s="44" t="s">
        <v>44</v>
      </c>
      <c r="E120" s="44" t="n">
        <v>1</v>
      </c>
      <c r="F120" s="44" t="s">
        <v>104</v>
      </c>
      <c r="G120" s="0" t="n">
        <v>38</v>
      </c>
      <c r="H120" s="44" t="n">
        <v>40</v>
      </c>
      <c r="I120" s="0" t="n">
        <f aca="false">VLOOKUP(C120,[1]M0111B!$A$1:$AH$173,24,TRUE())+(G120/100)</f>
        <v>277.61</v>
      </c>
      <c r="J120" s="0" t="n">
        <f aca="false">I120+0.02</f>
        <v>277.63</v>
      </c>
      <c r="K120" s="0" t="s">
        <v>159</v>
      </c>
      <c r="L120" s="36" t="s">
        <v>106</v>
      </c>
      <c r="M120" s="53" t="n">
        <f aca="false">I120-I119</f>
        <v>2.05000000000001</v>
      </c>
    </row>
    <row r="121" customFormat="false" ht="14.25" hidden="false" customHeight="false" outlineLevel="0" collapsed="false">
      <c r="A121" s="44" t="s">
        <v>38</v>
      </c>
      <c r="B121" s="44" t="s">
        <v>39</v>
      </c>
      <c r="C121" s="44" t="n">
        <v>108</v>
      </c>
      <c r="D121" s="44" t="s">
        <v>44</v>
      </c>
      <c r="E121" s="44" t="n">
        <v>1</v>
      </c>
      <c r="F121" s="44" t="s">
        <v>104</v>
      </c>
      <c r="G121" s="0" t="n">
        <v>18</v>
      </c>
      <c r="H121" s="44" t="n">
        <v>20</v>
      </c>
      <c r="I121" s="0" t="n">
        <f aca="false">VLOOKUP(C121,[1]M0111B!$A$1:$AH$173,24,TRUE())+(G121/100)</f>
        <v>278.31</v>
      </c>
      <c r="J121" s="0" t="n">
        <f aca="false">I121+0.02</f>
        <v>278.33</v>
      </c>
      <c r="K121" s="0" t="s">
        <v>175</v>
      </c>
      <c r="L121" s="36" t="s">
        <v>106</v>
      </c>
      <c r="M121" s="53" t="n">
        <f aca="false">I121-I120</f>
        <v>0.699999999999989</v>
      </c>
    </row>
    <row r="122" customFormat="false" ht="14.25" hidden="false" customHeight="false" outlineLevel="0" collapsed="false">
      <c r="A122" s="44" t="s">
        <v>38</v>
      </c>
      <c r="B122" s="44" t="s">
        <v>39</v>
      </c>
      <c r="C122" s="44" t="n">
        <v>109</v>
      </c>
      <c r="D122" s="44" t="s">
        <v>44</v>
      </c>
      <c r="E122" s="44" t="n">
        <v>1</v>
      </c>
      <c r="F122" s="44" t="s">
        <v>104</v>
      </c>
      <c r="G122" s="0" t="n">
        <v>38</v>
      </c>
      <c r="H122" s="44" t="n">
        <v>40</v>
      </c>
      <c r="I122" s="0" t="n">
        <f aca="false">VLOOKUP(C122,[1]M0111B!$A$1:$AH$173,24,TRUE())+(G122/100)</f>
        <v>278.76</v>
      </c>
      <c r="J122" s="0" t="n">
        <f aca="false">I122+0.02</f>
        <v>278.78</v>
      </c>
      <c r="K122" s="0" t="s">
        <v>176</v>
      </c>
      <c r="L122" s="36" t="s">
        <v>106</v>
      </c>
      <c r="M122" s="53" t="n">
        <f aca="false">I122-I121</f>
        <v>0.449999999999989</v>
      </c>
    </row>
    <row r="123" customFormat="false" ht="14.25" hidden="false" customHeight="false" outlineLevel="0" collapsed="false">
      <c r="A123" s="56" t="s">
        <v>38</v>
      </c>
      <c r="B123" s="56" t="s">
        <v>39</v>
      </c>
      <c r="C123" s="56" t="n">
        <v>114</v>
      </c>
      <c r="D123" s="56" t="s">
        <v>44</v>
      </c>
      <c r="E123" s="56" t="n">
        <v>1</v>
      </c>
      <c r="F123" s="56" t="s">
        <v>104</v>
      </c>
      <c r="G123" s="57" t="n">
        <v>38</v>
      </c>
      <c r="H123" s="56" t="n">
        <v>40</v>
      </c>
      <c r="I123" s="57" t="n">
        <f aca="false">VLOOKUP(C123,[1]M0111B!$A$1:$AH$173,24,TRUE())+(G123/100)</f>
        <v>281.91</v>
      </c>
      <c r="J123" s="57" t="n">
        <f aca="false">I123+0.02</f>
        <v>281.93</v>
      </c>
      <c r="K123" s="63" t="s">
        <v>177</v>
      </c>
      <c r="L123" s="60" t="s">
        <v>106</v>
      </c>
      <c r="M123" s="58" t="n">
        <f aca="false">I123-I122</f>
        <v>3.14999999999998</v>
      </c>
    </row>
    <row r="124" customFormat="false" ht="14.25" hidden="false" customHeight="false" outlineLevel="0" collapsed="false">
      <c r="A124" s="56" t="s">
        <v>38</v>
      </c>
      <c r="B124" s="56" t="s">
        <v>39</v>
      </c>
      <c r="C124" s="56" t="n">
        <v>115</v>
      </c>
      <c r="D124" s="56" t="s">
        <v>44</v>
      </c>
      <c r="E124" s="56" t="n">
        <v>1</v>
      </c>
      <c r="F124" s="56" t="s">
        <v>104</v>
      </c>
      <c r="G124" s="57" t="n">
        <v>38</v>
      </c>
      <c r="H124" s="56" t="n">
        <v>40</v>
      </c>
      <c r="I124" s="57" t="n">
        <f aca="false">VLOOKUP(C124,[1]M0111B!$A$1:$AH$173,24,TRUE())+(G124/100)</f>
        <v>283.81</v>
      </c>
      <c r="J124" s="57" t="n">
        <f aca="false">I124+0.02</f>
        <v>283.83</v>
      </c>
      <c r="K124" s="57" t="s">
        <v>178</v>
      </c>
      <c r="L124" s="60" t="s">
        <v>106</v>
      </c>
      <c r="M124" s="58" t="n">
        <f aca="false">I124-I123</f>
        <v>1.90000000000003</v>
      </c>
    </row>
    <row r="125" customFormat="false" ht="14.25" hidden="false" customHeight="false" outlineLevel="0" collapsed="false">
      <c r="A125" s="44" t="s">
        <v>38</v>
      </c>
      <c r="B125" s="44" t="s">
        <v>39</v>
      </c>
      <c r="C125" s="44" t="n">
        <v>116</v>
      </c>
      <c r="D125" s="44" t="s">
        <v>44</v>
      </c>
      <c r="E125" s="44" t="n">
        <v>1</v>
      </c>
      <c r="F125" s="44" t="s">
        <v>104</v>
      </c>
      <c r="G125" s="0" t="n">
        <v>38</v>
      </c>
      <c r="H125" s="44" t="n">
        <v>40</v>
      </c>
      <c r="I125" s="0" t="n">
        <f aca="false">VLOOKUP(C125,[1]M0111B!$A$1:$AH$173,24,TRUE())+(G125/100)</f>
        <v>286.86</v>
      </c>
      <c r="J125" s="0" t="n">
        <f aca="false">I125+0.02</f>
        <v>286.88</v>
      </c>
      <c r="K125" s="0" t="s">
        <v>179</v>
      </c>
      <c r="L125" s="36" t="s">
        <v>106</v>
      </c>
      <c r="M125" s="53" t="n">
        <f aca="false">I125-I124</f>
        <v>3.05000000000001</v>
      </c>
    </row>
    <row r="126" customFormat="false" ht="14.25" hidden="false" customHeight="false" outlineLevel="0" collapsed="false">
      <c r="A126" s="44" t="s">
        <v>38</v>
      </c>
      <c r="B126" s="44" t="s">
        <v>39</v>
      </c>
      <c r="C126" s="44" t="n">
        <v>117</v>
      </c>
      <c r="D126" s="44" t="s">
        <v>44</v>
      </c>
      <c r="E126" s="44" t="n">
        <v>1</v>
      </c>
      <c r="F126" s="44" t="s">
        <v>104</v>
      </c>
      <c r="G126" s="0" t="n">
        <v>38</v>
      </c>
      <c r="H126" s="44" t="n">
        <v>40</v>
      </c>
      <c r="I126" s="0" t="n">
        <f aca="false">VLOOKUP(C126,[1]M0111B!$A$1:$AH$173,24,TRUE())+(G126/100)</f>
        <v>289.71</v>
      </c>
      <c r="J126" s="0" t="n">
        <f aca="false">I126+0.02</f>
        <v>289.73</v>
      </c>
      <c r="K126" s="0" t="s">
        <v>180</v>
      </c>
      <c r="L126" s="36" t="s">
        <v>106</v>
      </c>
      <c r="M126" s="53" t="n">
        <f aca="false">I126-I125</f>
        <v>2.84999999999997</v>
      </c>
    </row>
    <row r="127" customFormat="false" ht="14.25" hidden="false" customHeight="false" outlineLevel="0" collapsed="false">
      <c r="A127" s="44" t="s">
        <v>38</v>
      </c>
      <c r="B127" s="44" t="s">
        <v>39</v>
      </c>
      <c r="C127" s="44" t="n">
        <v>119</v>
      </c>
      <c r="D127" s="44" t="s">
        <v>44</v>
      </c>
      <c r="E127" s="44" t="n">
        <v>1</v>
      </c>
      <c r="F127" s="44" t="s">
        <v>104</v>
      </c>
      <c r="G127" s="0" t="n">
        <v>48</v>
      </c>
      <c r="H127" s="44" t="n">
        <v>50</v>
      </c>
      <c r="I127" s="0" t="n">
        <f aca="false">VLOOKUP(C127,[1]M0111B!$A$1:$AH$173,24,TRUE())+(G127/100)</f>
        <v>293.31</v>
      </c>
      <c r="J127" s="0" t="n">
        <f aca="false">I127+0.02</f>
        <v>293.33</v>
      </c>
      <c r="K127" s="0" t="s">
        <v>179</v>
      </c>
      <c r="L127" s="36" t="s">
        <v>106</v>
      </c>
      <c r="M127" s="53" t="n">
        <f aca="false">I127-I126</f>
        <v>3.60000000000002</v>
      </c>
    </row>
    <row r="128" customFormat="false" ht="14.25" hidden="false" customHeight="false" outlineLevel="0" collapsed="false">
      <c r="A128" s="44" t="s">
        <v>38</v>
      </c>
      <c r="B128" s="44" t="s">
        <v>39</v>
      </c>
      <c r="C128" s="44" t="n">
        <v>120</v>
      </c>
      <c r="D128" s="44" t="s">
        <v>44</v>
      </c>
      <c r="E128" s="44" t="n">
        <v>1</v>
      </c>
      <c r="F128" s="44" t="s">
        <v>104</v>
      </c>
      <c r="G128" s="0" t="n">
        <v>38</v>
      </c>
      <c r="H128" s="44" t="n">
        <v>40</v>
      </c>
      <c r="I128" s="0" t="n">
        <f aca="false">VLOOKUP(C128,[1]M0111B!$A$1:$AH$173,24,TRUE())+(G128/100)</f>
        <v>296.01</v>
      </c>
      <c r="J128" s="0" t="n">
        <f aca="false">I128+0.02</f>
        <v>296.03</v>
      </c>
      <c r="K128" s="0" t="s">
        <v>179</v>
      </c>
      <c r="L128" s="36" t="s">
        <v>106</v>
      </c>
      <c r="M128" s="53" t="n">
        <f aca="false">I128-I127</f>
        <v>2.69999999999999</v>
      </c>
    </row>
    <row r="129" customFormat="false" ht="14.25" hidden="false" customHeight="false" outlineLevel="0" collapsed="false">
      <c r="A129" s="44" t="s">
        <v>38</v>
      </c>
      <c r="B129" s="44" t="s">
        <v>39</v>
      </c>
      <c r="C129" s="44" t="n">
        <v>121</v>
      </c>
      <c r="D129" s="44" t="s">
        <v>44</v>
      </c>
      <c r="E129" s="44" t="n">
        <v>1</v>
      </c>
      <c r="F129" s="44" t="s">
        <v>104</v>
      </c>
      <c r="G129" s="0" t="n">
        <v>38</v>
      </c>
      <c r="H129" s="44" t="n">
        <v>40</v>
      </c>
      <c r="I129" s="0" t="n">
        <f aca="false">VLOOKUP(C129,[1]M0111B!$A$1:$AH$173,24,TRUE())+(G129/100)</f>
        <v>299.06</v>
      </c>
      <c r="J129" s="0" t="n">
        <f aca="false">I129+0.02</f>
        <v>299.08</v>
      </c>
      <c r="K129" s="54" t="s">
        <v>181</v>
      </c>
      <c r="L129" s="36" t="s">
        <v>106</v>
      </c>
      <c r="M129" s="53" t="n">
        <f aca="false">I129-I128</f>
        <v>3.05000000000001</v>
      </c>
    </row>
    <row r="130" customFormat="false" ht="14.25" hidden="false" customHeight="false" outlineLevel="0" collapsed="false">
      <c r="A130" s="44" t="s">
        <v>38</v>
      </c>
      <c r="B130" s="44" t="s">
        <v>39</v>
      </c>
      <c r="C130" s="44" t="n">
        <v>122</v>
      </c>
      <c r="D130" s="44" t="s">
        <v>44</v>
      </c>
      <c r="E130" s="44" t="n">
        <v>1</v>
      </c>
      <c r="F130" s="44" t="s">
        <v>104</v>
      </c>
      <c r="G130" s="0" t="n">
        <v>38</v>
      </c>
      <c r="H130" s="44" t="n">
        <v>40</v>
      </c>
      <c r="I130" s="0" t="n">
        <f aca="false">VLOOKUP(C130,[1]M0111B!$A$1:$AH$173,24,TRUE())+(G130/100)</f>
        <v>300.61</v>
      </c>
      <c r="J130" s="0" t="n">
        <f aca="false">I130+0.02</f>
        <v>300.63</v>
      </c>
      <c r="K130" s="0" t="s">
        <v>182</v>
      </c>
      <c r="L130" s="36" t="s">
        <v>106</v>
      </c>
      <c r="M130" s="53" t="n">
        <f aca="false">I130-I129</f>
        <v>1.55000000000001</v>
      </c>
    </row>
    <row r="131" customFormat="false" ht="14.25" hidden="false" customHeight="false" outlineLevel="0" collapsed="false">
      <c r="A131" s="44" t="s">
        <v>38</v>
      </c>
      <c r="B131" s="44" t="s">
        <v>39</v>
      </c>
      <c r="C131" s="44" t="n">
        <v>125</v>
      </c>
      <c r="D131" s="44" t="s">
        <v>44</v>
      </c>
      <c r="E131" s="44" t="n">
        <v>1</v>
      </c>
      <c r="F131" s="44" t="s">
        <v>104</v>
      </c>
      <c r="G131" s="0" t="n">
        <v>38</v>
      </c>
      <c r="H131" s="44" t="n">
        <v>40</v>
      </c>
      <c r="I131" s="0" t="n">
        <f aca="false">VLOOKUP(C131,[1]M0111B!$A$1:$AH$173,24,TRUE())+(G131/100)</f>
        <v>306.71</v>
      </c>
      <c r="J131" s="0" t="n">
        <f aca="false">I131+0.02</f>
        <v>306.73</v>
      </c>
      <c r="K131" s="0" t="s">
        <v>159</v>
      </c>
      <c r="L131" s="36" t="s">
        <v>106</v>
      </c>
      <c r="M131" s="53" t="n">
        <f aca="false">I131-I130</f>
        <v>6.09999999999997</v>
      </c>
    </row>
    <row r="132" customFormat="false" ht="14.25" hidden="false" customHeight="false" outlineLevel="0" collapsed="false">
      <c r="A132" s="56" t="s">
        <v>38</v>
      </c>
      <c r="B132" s="56" t="s">
        <v>39</v>
      </c>
      <c r="C132" s="56" t="n">
        <v>126</v>
      </c>
      <c r="D132" s="56" t="s">
        <v>44</v>
      </c>
      <c r="E132" s="56" t="n">
        <v>1</v>
      </c>
      <c r="F132" s="56" t="s">
        <v>104</v>
      </c>
      <c r="G132" s="57" t="n">
        <v>38</v>
      </c>
      <c r="H132" s="56" t="n">
        <v>40</v>
      </c>
      <c r="I132" s="57" t="n">
        <f aca="false">VLOOKUP(C132,[1]M0111B!$A$1:$AH$173,24,TRUE())+(G132/100)</f>
        <v>307.46</v>
      </c>
      <c r="J132" s="57" t="n">
        <f aca="false">I132+0.02</f>
        <v>307.48</v>
      </c>
      <c r="K132" s="57" t="s">
        <v>137</v>
      </c>
      <c r="L132" s="60" t="s">
        <v>111</v>
      </c>
      <c r="M132" s="58" t="n">
        <f aca="false">I132-I131</f>
        <v>0.75</v>
      </c>
    </row>
    <row r="133" customFormat="false" ht="14.25" hidden="false" customHeight="false" outlineLevel="0" collapsed="false">
      <c r="A133" s="44" t="s">
        <v>38</v>
      </c>
      <c r="B133" s="44" t="s">
        <v>39</v>
      </c>
      <c r="C133" s="44" t="n">
        <v>127</v>
      </c>
      <c r="D133" s="44" t="s">
        <v>44</v>
      </c>
      <c r="E133" s="44" t="n">
        <v>1</v>
      </c>
      <c r="F133" s="44" t="s">
        <v>104</v>
      </c>
      <c r="G133" s="0" t="n">
        <v>38</v>
      </c>
      <c r="H133" s="44" t="n">
        <v>40</v>
      </c>
      <c r="I133" s="0" t="n">
        <f aca="false">VLOOKUP(C133,[1]M0111B!$A$1:$AH$173,24,TRUE())+(G133/100)</f>
        <v>310.51</v>
      </c>
      <c r="J133" s="0" t="n">
        <f aca="false">I133+0.02</f>
        <v>310.53</v>
      </c>
      <c r="K133" s="0" t="s">
        <v>183</v>
      </c>
      <c r="L133" s="36" t="s">
        <v>106</v>
      </c>
      <c r="M133" s="53" t="n">
        <f aca="false">I133-I132</f>
        <v>3.05000000000001</v>
      </c>
    </row>
    <row r="134" customFormat="false" ht="14.25" hidden="false" customHeight="false" outlineLevel="0" collapsed="false">
      <c r="A134" s="56" t="s">
        <v>38</v>
      </c>
      <c r="B134" s="56" t="s">
        <v>39</v>
      </c>
      <c r="C134" s="56" t="n">
        <v>128</v>
      </c>
      <c r="D134" s="56" t="s">
        <v>44</v>
      </c>
      <c r="E134" s="56" t="n">
        <v>1</v>
      </c>
      <c r="F134" s="56" t="s">
        <v>104</v>
      </c>
      <c r="G134" s="57" t="n">
        <v>38</v>
      </c>
      <c r="H134" s="56" t="n">
        <v>40</v>
      </c>
      <c r="I134" s="57" t="n">
        <f aca="false">VLOOKUP(C134,[1]M0111B!$A$1:$AH$173,24,TRUE())+(G134/100)</f>
        <v>313.16</v>
      </c>
      <c r="J134" s="57" t="n">
        <f aca="false">I134+0.02</f>
        <v>313.18</v>
      </c>
      <c r="K134" s="57" t="s">
        <v>184</v>
      </c>
      <c r="L134" s="60" t="s">
        <v>106</v>
      </c>
      <c r="M134" s="58" t="n">
        <f aca="false">I134-I133</f>
        <v>2.64999999999998</v>
      </c>
    </row>
    <row r="135" customFormat="false" ht="14.25" hidden="false" customHeight="false" outlineLevel="0" collapsed="false">
      <c r="A135" s="56" t="s">
        <v>38</v>
      </c>
      <c r="B135" s="56" t="s">
        <v>39</v>
      </c>
      <c r="C135" s="56" t="n">
        <v>129</v>
      </c>
      <c r="D135" s="56" t="s">
        <v>44</v>
      </c>
      <c r="E135" s="56" t="n">
        <v>1</v>
      </c>
      <c r="F135" s="56" t="s">
        <v>104</v>
      </c>
      <c r="G135" s="57" t="n">
        <v>38</v>
      </c>
      <c r="H135" s="56" t="n">
        <v>40</v>
      </c>
      <c r="I135" s="57" t="n">
        <f aca="false">VLOOKUP(C135,[1]M0111B!$A$1:$AH$173,24,TRUE())+(G135/100)</f>
        <v>316.21</v>
      </c>
      <c r="J135" s="57" t="n">
        <f aca="false">I135+0.02</f>
        <v>316.23</v>
      </c>
      <c r="K135" s="57" t="s">
        <v>185</v>
      </c>
      <c r="L135" s="60" t="s">
        <v>106</v>
      </c>
      <c r="M135" s="58" t="n">
        <f aca="false">I135-I134</f>
        <v>3.05000000000001</v>
      </c>
    </row>
    <row r="136" customFormat="false" ht="14.25" hidden="false" customHeight="false" outlineLevel="0" collapsed="false">
      <c r="A136" s="56" t="s">
        <v>38</v>
      </c>
      <c r="B136" s="56" t="s">
        <v>39</v>
      </c>
      <c r="C136" s="56" t="n">
        <v>130</v>
      </c>
      <c r="D136" s="56" t="s">
        <v>44</v>
      </c>
      <c r="E136" s="56" t="n">
        <v>1</v>
      </c>
      <c r="F136" s="56" t="s">
        <v>104</v>
      </c>
      <c r="G136" s="57" t="n">
        <v>38</v>
      </c>
      <c r="H136" s="56" t="n">
        <v>40</v>
      </c>
      <c r="I136" s="57" t="n">
        <f aca="false">VLOOKUP(C136,[1]M0111B!$A$1:$AH$173,24,TRUE())+(G136/100)</f>
        <v>319.26</v>
      </c>
      <c r="J136" s="57" t="n">
        <f aca="false">I136+0.02</f>
        <v>319.28</v>
      </c>
      <c r="K136" s="57" t="s">
        <v>171</v>
      </c>
      <c r="L136" s="60" t="s">
        <v>106</v>
      </c>
      <c r="M136" s="58" t="n">
        <f aca="false">I136-I135</f>
        <v>3.05000000000001</v>
      </c>
    </row>
    <row r="137" customFormat="false" ht="14.25" hidden="false" customHeight="false" outlineLevel="0" collapsed="false">
      <c r="A137" s="44" t="s">
        <v>38</v>
      </c>
      <c r="B137" s="44" t="s">
        <v>39</v>
      </c>
      <c r="C137" s="44" t="n">
        <v>131</v>
      </c>
      <c r="D137" s="44" t="s">
        <v>44</v>
      </c>
      <c r="E137" s="44" t="n">
        <v>1</v>
      </c>
      <c r="F137" s="44" t="s">
        <v>104</v>
      </c>
      <c r="G137" s="0" t="n">
        <v>38</v>
      </c>
      <c r="H137" s="44" t="n">
        <v>40</v>
      </c>
      <c r="I137" s="0" t="n">
        <f aca="false">VLOOKUP(C137,[1]M0111B!$A$1:$AH$173,24,TRUE())+(G137/100)</f>
        <v>322.31</v>
      </c>
      <c r="J137" s="0" t="n">
        <f aca="false">I137+0.02</f>
        <v>322.33</v>
      </c>
      <c r="K137" s="0" t="s">
        <v>186</v>
      </c>
      <c r="L137" s="36" t="s">
        <v>106</v>
      </c>
      <c r="M137" s="53" t="n">
        <f aca="false">I137-I136</f>
        <v>3.05000000000001</v>
      </c>
    </row>
    <row r="138" customFormat="false" ht="14.25" hidden="false" customHeight="false" outlineLevel="0" collapsed="false">
      <c r="A138" s="44" t="s">
        <v>38</v>
      </c>
      <c r="B138" s="44" t="s">
        <v>39</v>
      </c>
      <c r="C138" s="44" t="n">
        <v>132</v>
      </c>
      <c r="D138" s="44" t="s">
        <v>44</v>
      </c>
      <c r="E138" s="44" t="n">
        <v>1</v>
      </c>
      <c r="F138" s="44" t="s">
        <v>104</v>
      </c>
      <c r="G138" s="0" t="n">
        <v>18</v>
      </c>
      <c r="H138" s="44" t="n">
        <v>20</v>
      </c>
      <c r="I138" s="0" t="n">
        <f aca="false">VLOOKUP(C138,[1]M0111B!$A$1:$AH$173,24,TRUE())+(G138/100)</f>
        <v>324.01</v>
      </c>
      <c r="J138" s="0" t="n">
        <f aca="false">I138+0.02</f>
        <v>324.03</v>
      </c>
      <c r="K138" s="0" t="s">
        <v>187</v>
      </c>
      <c r="L138" s="36" t="s">
        <v>111</v>
      </c>
      <c r="M138" s="53" t="n">
        <f aca="false">I138-I137</f>
        <v>1.69999999999999</v>
      </c>
    </row>
    <row r="139" customFormat="false" ht="14.25" hidden="false" customHeight="false" outlineLevel="0" collapsed="false">
      <c r="A139" s="44" t="s">
        <v>38</v>
      </c>
      <c r="B139" s="44" t="s">
        <v>39</v>
      </c>
      <c r="C139" s="44" t="n">
        <v>133</v>
      </c>
      <c r="D139" s="44" t="s">
        <v>44</v>
      </c>
      <c r="E139" s="44" t="n">
        <v>1</v>
      </c>
      <c r="F139" s="44" t="s">
        <v>104</v>
      </c>
      <c r="G139" s="0" t="n">
        <v>38</v>
      </c>
      <c r="H139" s="44" t="n">
        <v>40</v>
      </c>
      <c r="I139" s="0" t="n">
        <f aca="false">VLOOKUP(C139,[1]M0111B!$A$1:$AH$173,24,TRUE())+(G139/100)</f>
        <v>326.51</v>
      </c>
      <c r="J139" s="0" t="n">
        <f aca="false">I139+0.02</f>
        <v>326.53</v>
      </c>
      <c r="K139" s="0" t="s">
        <v>188</v>
      </c>
      <c r="L139" s="36" t="s">
        <v>106</v>
      </c>
      <c r="M139" s="53" t="n">
        <f aca="false">I139-I138</f>
        <v>2.5</v>
      </c>
    </row>
    <row r="140" customFormat="false" ht="14.25" hidden="false" customHeight="false" outlineLevel="0" collapsed="false">
      <c r="A140" s="44" t="s">
        <v>38</v>
      </c>
      <c r="B140" s="44" t="s">
        <v>39</v>
      </c>
      <c r="C140" s="44" t="n">
        <v>134</v>
      </c>
      <c r="D140" s="44" t="s">
        <v>44</v>
      </c>
      <c r="E140" s="44" t="n">
        <v>1</v>
      </c>
      <c r="F140" s="44" t="s">
        <v>104</v>
      </c>
      <c r="G140" s="0" t="n">
        <v>38</v>
      </c>
      <c r="H140" s="44" t="n">
        <v>40</v>
      </c>
      <c r="I140" s="0" t="n">
        <f aca="false">VLOOKUP(C140,[1]M0111B!$A$1:$AH$173,24,TRUE())+(G140/100)</f>
        <v>329.36</v>
      </c>
      <c r="J140" s="0" t="n">
        <f aca="false">I140+0.02</f>
        <v>329.38</v>
      </c>
      <c r="K140" s="0" t="s">
        <v>189</v>
      </c>
      <c r="L140" s="36" t="s">
        <v>106</v>
      </c>
      <c r="M140" s="53" t="n">
        <f aca="false">I140-I139</f>
        <v>2.85000000000002</v>
      </c>
    </row>
    <row r="141" customFormat="false" ht="14.25" hidden="false" customHeight="false" outlineLevel="0" collapsed="false">
      <c r="A141" s="44" t="s">
        <v>38</v>
      </c>
      <c r="B141" s="44" t="s">
        <v>39</v>
      </c>
      <c r="C141" s="44" t="n">
        <v>135</v>
      </c>
      <c r="D141" s="44" t="s">
        <v>44</v>
      </c>
      <c r="E141" s="44" t="n">
        <v>1</v>
      </c>
      <c r="F141" s="44" t="s">
        <v>104</v>
      </c>
      <c r="G141" s="0" t="n">
        <v>38</v>
      </c>
      <c r="H141" s="44" t="n">
        <v>40</v>
      </c>
      <c r="I141" s="0" t="n">
        <f aca="false">VLOOKUP(C141,[1]M0111B!$A$1:$AH$173,24,TRUE())+(G141/100)</f>
        <v>331.21</v>
      </c>
      <c r="J141" s="0" t="n">
        <f aca="false">I141+0.02</f>
        <v>331.23</v>
      </c>
      <c r="K141" s="0" t="s">
        <v>190</v>
      </c>
      <c r="L141" s="36" t="s">
        <v>106</v>
      </c>
      <c r="M141" s="53" t="n">
        <f aca="false">I141-I140</f>
        <v>1.84999999999997</v>
      </c>
    </row>
    <row r="142" customFormat="false" ht="14.25" hidden="false" customHeight="false" outlineLevel="0" collapsed="false">
      <c r="A142" s="44" t="s">
        <v>38</v>
      </c>
      <c r="B142" s="44" t="s">
        <v>39</v>
      </c>
      <c r="C142" s="44" t="n">
        <v>137</v>
      </c>
      <c r="D142" s="44" t="s">
        <v>44</v>
      </c>
      <c r="E142" s="44" t="n">
        <v>1</v>
      </c>
      <c r="F142" s="44" t="s">
        <v>104</v>
      </c>
      <c r="G142" s="0" t="n">
        <v>38</v>
      </c>
      <c r="H142" s="44" t="n">
        <v>40</v>
      </c>
      <c r="I142" s="0" t="n">
        <f aca="false">VLOOKUP(C142,[1]M0111B!$A$1:$AH$173,24,TRUE())+(G142/100)</f>
        <v>332.96</v>
      </c>
      <c r="J142" s="0" t="n">
        <f aca="false">I142+0.02</f>
        <v>332.98</v>
      </c>
      <c r="K142" s="0" t="s">
        <v>191</v>
      </c>
      <c r="L142" s="36" t="s">
        <v>106</v>
      </c>
      <c r="M142" s="53" t="n">
        <f aca="false">I142-I141</f>
        <v>1.75</v>
      </c>
    </row>
    <row r="143" customFormat="false" ht="14.25" hidden="false" customHeight="false" outlineLevel="0" collapsed="false">
      <c r="A143" s="44" t="s">
        <v>38</v>
      </c>
      <c r="B143" s="44" t="s">
        <v>39</v>
      </c>
      <c r="C143" s="44" t="n">
        <v>138</v>
      </c>
      <c r="D143" s="44" t="s">
        <v>44</v>
      </c>
      <c r="E143" s="44" t="n">
        <v>1</v>
      </c>
      <c r="F143" s="44" t="s">
        <v>104</v>
      </c>
      <c r="G143" s="0" t="n">
        <v>38</v>
      </c>
      <c r="H143" s="44" t="n">
        <v>40</v>
      </c>
      <c r="I143" s="0" t="n">
        <f aca="false">VLOOKUP(C143,[1]M0111B!$A$1:$AH$173,24,TRUE())+(G143/100)</f>
        <v>335.36</v>
      </c>
      <c r="J143" s="0" t="n">
        <f aca="false">I143+0.02</f>
        <v>335.38</v>
      </c>
      <c r="K143" s="0" t="s">
        <v>159</v>
      </c>
      <c r="L143" s="36" t="s">
        <v>106</v>
      </c>
      <c r="M143" s="53" t="n">
        <f aca="false">I143-I142</f>
        <v>2.40000000000003</v>
      </c>
    </row>
    <row r="144" customFormat="false" ht="14.25" hidden="false" customHeight="false" outlineLevel="0" collapsed="false">
      <c r="A144" s="44" t="s">
        <v>38</v>
      </c>
      <c r="B144" s="44" t="s">
        <v>39</v>
      </c>
      <c r="C144" s="44" t="n">
        <v>139</v>
      </c>
      <c r="D144" s="44" t="s">
        <v>44</v>
      </c>
      <c r="E144" s="44" t="n">
        <v>1</v>
      </c>
      <c r="F144" s="44" t="s">
        <v>104</v>
      </c>
      <c r="G144" s="0" t="n">
        <v>38</v>
      </c>
      <c r="H144" s="44" t="n">
        <v>40</v>
      </c>
      <c r="I144" s="0" t="n">
        <f aca="false">VLOOKUP(C144,[1]M0111B!$A$1:$AH$173,24,TRUE())+(G144/100)</f>
        <v>336.71</v>
      </c>
      <c r="J144" s="0" t="n">
        <f aca="false">I144+0.02</f>
        <v>336.73</v>
      </c>
      <c r="K144" s="0" t="s">
        <v>192</v>
      </c>
      <c r="L144" s="36" t="s">
        <v>106</v>
      </c>
      <c r="M144" s="53" t="n">
        <f aca="false">I144-I143</f>
        <v>1.34999999999997</v>
      </c>
    </row>
    <row r="145" customFormat="false" ht="14.25" hidden="false" customHeight="false" outlineLevel="0" collapsed="false">
      <c r="A145" s="44" t="s">
        <v>38</v>
      </c>
      <c r="B145" s="44" t="s">
        <v>39</v>
      </c>
      <c r="C145" s="44" t="n">
        <v>140</v>
      </c>
      <c r="D145" s="44" t="s">
        <v>44</v>
      </c>
      <c r="E145" s="44" t="n">
        <v>1</v>
      </c>
      <c r="F145" s="44" t="s">
        <v>104</v>
      </c>
      <c r="G145" s="0" t="n">
        <v>38</v>
      </c>
      <c r="H145" s="44" t="n">
        <v>40</v>
      </c>
      <c r="I145" s="0" t="n">
        <f aca="false">VLOOKUP(C145,[1]M0111B!$A$1:$AH$173,24,TRUE())+(G145/100)</f>
        <v>338.41</v>
      </c>
      <c r="J145" s="0" t="n">
        <f aca="false">I145+0.02</f>
        <v>338.43</v>
      </c>
      <c r="K145" s="0" t="s">
        <v>179</v>
      </c>
      <c r="L145" s="36" t="s">
        <v>106</v>
      </c>
      <c r="M145" s="53" t="n">
        <f aca="false">I145-I144</f>
        <v>1.69999999999999</v>
      </c>
    </row>
    <row r="146" customFormat="false" ht="14.25" hidden="false" customHeight="false" outlineLevel="0" collapsed="false">
      <c r="A146" s="44" t="s">
        <v>38</v>
      </c>
      <c r="B146" s="44" t="s">
        <v>39</v>
      </c>
      <c r="C146" s="44" t="n">
        <v>144</v>
      </c>
      <c r="D146" s="44" t="s">
        <v>44</v>
      </c>
      <c r="E146" s="44" t="n">
        <v>1</v>
      </c>
      <c r="F146" s="44" t="s">
        <v>104</v>
      </c>
      <c r="G146" s="0" t="n">
        <v>28</v>
      </c>
      <c r="H146" s="44" t="n">
        <v>30</v>
      </c>
      <c r="I146" s="0" t="n">
        <f aca="false">VLOOKUP(C146,[1]M0111B!$A$1:$AH$173,24,TRUE())+(G146/100)</f>
        <v>344.71</v>
      </c>
      <c r="J146" s="0" t="n">
        <f aca="false">I146+0.02</f>
        <v>344.73</v>
      </c>
      <c r="K146" s="0" t="s">
        <v>42</v>
      </c>
      <c r="L146" s="36" t="s">
        <v>106</v>
      </c>
      <c r="M146" s="53" t="n">
        <f aca="false">I146-I145</f>
        <v>6.30000000000001</v>
      </c>
    </row>
    <row r="147" customFormat="false" ht="14.25" hidden="false" customHeight="false" outlineLevel="0" collapsed="false">
      <c r="A147" s="44" t="s">
        <v>38</v>
      </c>
      <c r="B147" s="44" t="s">
        <v>39</v>
      </c>
      <c r="C147" s="44" t="n">
        <v>147</v>
      </c>
      <c r="D147" s="44" t="s">
        <v>44</v>
      </c>
      <c r="E147" s="44" t="n">
        <v>1</v>
      </c>
      <c r="F147" s="44" t="s">
        <v>104</v>
      </c>
      <c r="G147" s="0" t="n">
        <v>38</v>
      </c>
      <c r="H147" s="44" t="n">
        <v>40</v>
      </c>
      <c r="I147" s="0" t="n">
        <f aca="false">VLOOKUP(C147,[1]M0111B!$A$1:$AH$173,24,TRUE())+(G147/100)</f>
        <v>346.51</v>
      </c>
      <c r="J147" s="0" t="n">
        <f aca="false">I147+0.02</f>
        <v>346.53</v>
      </c>
      <c r="K147" s="0" t="s">
        <v>193</v>
      </c>
      <c r="L147" s="36" t="s">
        <v>106</v>
      </c>
      <c r="M147" s="53" t="n">
        <f aca="false">I147-I146</f>
        <v>1.80000000000001</v>
      </c>
    </row>
    <row r="148" customFormat="false" ht="14.25" hidden="false" customHeight="false" outlineLevel="0" collapsed="false">
      <c r="A148" s="44" t="s">
        <v>38</v>
      </c>
      <c r="B148" s="44" t="s">
        <v>39</v>
      </c>
      <c r="C148" s="44" t="n">
        <v>149</v>
      </c>
      <c r="D148" s="44" t="s">
        <v>44</v>
      </c>
      <c r="E148" s="44" t="n">
        <v>1</v>
      </c>
      <c r="F148" s="44" t="s">
        <v>104</v>
      </c>
      <c r="G148" s="0" t="n">
        <v>38</v>
      </c>
      <c r="H148" s="44" t="n">
        <v>40</v>
      </c>
      <c r="I148" s="0" t="n">
        <f aca="false">VLOOKUP(C148,[1]M0111B!$A$1:$AH$173,24,TRUE())+(G148/100)</f>
        <v>348.41</v>
      </c>
      <c r="J148" s="0" t="n">
        <f aca="false">I148+0.02</f>
        <v>348.43</v>
      </c>
      <c r="K148" s="0" t="s">
        <v>194</v>
      </c>
      <c r="L148" s="36" t="s">
        <v>106</v>
      </c>
      <c r="M148" s="53" t="n">
        <f aca="false">I148-I147</f>
        <v>1.89999999999998</v>
      </c>
    </row>
    <row r="149" customFormat="false" ht="14.25" hidden="false" customHeight="false" outlineLevel="0" collapsed="false">
      <c r="A149" s="44" t="s">
        <v>38</v>
      </c>
      <c r="B149" s="44" t="s">
        <v>39</v>
      </c>
      <c r="C149" s="44" t="n">
        <v>151</v>
      </c>
      <c r="D149" s="44" t="s">
        <v>44</v>
      </c>
      <c r="E149" s="44" t="n">
        <v>1</v>
      </c>
      <c r="F149" s="44" t="s">
        <v>104</v>
      </c>
      <c r="G149" s="0" t="n">
        <v>38</v>
      </c>
      <c r="H149" s="44" t="n">
        <v>40</v>
      </c>
      <c r="I149" s="0" t="n">
        <f aca="false">VLOOKUP(C149,[1]M0111B!$A$1:$AH$173,24,TRUE())+(G149/100)</f>
        <v>350.41</v>
      </c>
      <c r="J149" s="0" t="n">
        <f aca="false">I149+0.02</f>
        <v>350.43</v>
      </c>
      <c r="K149" s="0" t="s">
        <v>195</v>
      </c>
      <c r="L149" s="36" t="s">
        <v>106</v>
      </c>
      <c r="M149" s="53" t="n">
        <f aca="false">I149-I148</f>
        <v>2</v>
      </c>
    </row>
    <row r="150" customFormat="false" ht="14.25" hidden="false" customHeight="false" outlineLevel="0" collapsed="false">
      <c r="A150" s="44" t="s">
        <v>38</v>
      </c>
      <c r="B150" s="44" t="s">
        <v>39</v>
      </c>
      <c r="C150" s="44" t="n">
        <v>152</v>
      </c>
      <c r="D150" s="44" t="s">
        <v>44</v>
      </c>
      <c r="E150" s="44" t="n">
        <v>1</v>
      </c>
      <c r="F150" s="44" t="s">
        <v>104</v>
      </c>
      <c r="G150" s="0" t="n">
        <v>28</v>
      </c>
      <c r="H150" s="44" t="n">
        <v>30</v>
      </c>
      <c r="I150" s="0" t="n">
        <f aca="false">VLOOKUP(C150,[1]M0111B!$A$1:$AH$173,24,TRUE())+(G150/100)</f>
        <v>351.56</v>
      </c>
      <c r="J150" s="0" t="n">
        <f aca="false">I150+0.02</f>
        <v>351.58</v>
      </c>
      <c r="K150" s="0" t="s">
        <v>196</v>
      </c>
      <c r="L150" s="36" t="s">
        <v>111</v>
      </c>
      <c r="M150" s="53" t="n">
        <f aca="false">I150-I149</f>
        <v>1.14999999999998</v>
      </c>
    </row>
    <row r="151" customFormat="false" ht="14.25" hidden="false" customHeight="false" outlineLevel="0" collapsed="false">
      <c r="A151" s="44" t="s">
        <v>38</v>
      </c>
      <c r="B151" s="44" t="s">
        <v>39</v>
      </c>
      <c r="C151" s="44" t="n">
        <v>154</v>
      </c>
      <c r="D151" s="44" t="s">
        <v>44</v>
      </c>
      <c r="E151" s="44" t="n">
        <v>1</v>
      </c>
      <c r="F151" s="44" t="s">
        <v>104</v>
      </c>
      <c r="G151" s="0" t="n">
        <v>18</v>
      </c>
      <c r="H151" s="44" t="n">
        <v>20</v>
      </c>
      <c r="I151" s="0" t="n">
        <f aca="false">VLOOKUP(C151,[1]M0111B!$A$1:$AH$173,24,TRUE())+(G151/100)</f>
        <v>353.76</v>
      </c>
      <c r="J151" s="0" t="n">
        <f aca="false">I151+0.02</f>
        <v>353.78</v>
      </c>
      <c r="K151" s="0" t="s">
        <v>197</v>
      </c>
      <c r="L151" s="36" t="s">
        <v>111</v>
      </c>
      <c r="M151" s="53" t="n">
        <f aca="false">I151-I150</f>
        <v>2.20000000000005</v>
      </c>
    </row>
    <row r="152" customFormat="false" ht="14.25" hidden="false" customHeight="false" outlineLevel="0" collapsed="false">
      <c r="A152" s="56" t="s">
        <v>38</v>
      </c>
      <c r="B152" s="56" t="s">
        <v>39</v>
      </c>
      <c r="C152" s="56" t="n">
        <v>155</v>
      </c>
      <c r="D152" s="56" t="s">
        <v>44</v>
      </c>
      <c r="E152" s="56" t="n">
        <v>1</v>
      </c>
      <c r="F152" s="56" t="s">
        <v>104</v>
      </c>
      <c r="G152" s="57" t="n">
        <v>38</v>
      </c>
      <c r="H152" s="56" t="n">
        <v>40</v>
      </c>
      <c r="I152" s="57" t="n">
        <f aca="false">VLOOKUP(C152,[1]M0111B!$A$1:$AH$173,24,TRUE())+(G152/100)</f>
        <v>355.93</v>
      </c>
      <c r="J152" s="57" t="n">
        <f aca="false">I152+0.02</f>
        <v>355.95</v>
      </c>
      <c r="K152" s="57" t="s">
        <v>198</v>
      </c>
      <c r="L152" s="60" t="s">
        <v>106</v>
      </c>
      <c r="M152" s="58" t="n">
        <f aca="false">I152-I151</f>
        <v>2.17000000000002</v>
      </c>
    </row>
    <row r="153" customFormat="false" ht="14.25" hidden="false" customHeight="false" outlineLevel="0" collapsed="false">
      <c r="A153" s="56" t="s">
        <v>38</v>
      </c>
      <c r="B153" s="56" t="s">
        <v>39</v>
      </c>
      <c r="C153" s="56" t="n">
        <v>157</v>
      </c>
      <c r="D153" s="56" t="s">
        <v>44</v>
      </c>
      <c r="E153" s="56" t="n">
        <v>1</v>
      </c>
      <c r="F153" s="56" t="s">
        <v>104</v>
      </c>
      <c r="G153" s="57" t="n">
        <v>38</v>
      </c>
      <c r="H153" s="56" t="n">
        <v>40</v>
      </c>
      <c r="I153" s="57" t="n">
        <f aca="false">VLOOKUP(C153,[1]M0111B!$A$1:$AH$173,24,TRUE())+(G153/100)</f>
        <v>361.21</v>
      </c>
      <c r="J153" s="57" t="n">
        <f aca="false">I153+0.02</f>
        <v>361.23</v>
      </c>
      <c r="K153" s="57" t="s">
        <v>199</v>
      </c>
      <c r="L153" s="60" t="s">
        <v>106</v>
      </c>
      <c r="M153" s="58" t="n">
        <f aca="false">I153-I152</f>
        <v>5.27999999999997</v>
      </c>
    </row>
    <row r="154" customFormat="false" ht="14.25" hidden="false" customHeight="false" outlineLevel="0" collapsed="false">
      <c r="A154" s="56" t="s">
        <v>38</v>
      </c>
      <c r="B154" s="56" t="s">
        <v>39</v>
      </c>
      <c r="C154" s="56" t="n">
        <v>158</v>
      </c>
      <c r="D154" s="56" t="s">
        <v>44</v>
      </c>
      <c r="E154" s="56" t="n">
        <v>1</v>
      </c>
      <c r="F154" s="56" t="s">
        <v>104</v>
      </c>
      <c r="G154" s="57" t="n">
        <v>38</v>
      </c>
      <c r="H154" s="56" t="n">
        <v>40</v>
      </c>
      <c r="I154" s="57" t="n">
        <f aca="false">VLOOKUP(C154,[1]M0111B!$A$1:$AH$173,24,TRUE())+(G154/100)</f>
        <v>362.11</v>
      </c>
      <c r="J154" s="57" t="n">
        <f aca="false">I154+0.02</f>
        <v>362.13</v>
      </c>
      <c r="K154" s="57" t="s">
        <v>199</v>
      </c>
      <c r="L154" s="60" t="s">
        <v>106</v>
      </c>
      <c r="M154" s="58" t="n">
        <f aca="false">I154-I153</f>
        <v>0.900000000000034</v>
      </c>
    </row>
    <row r="155" customFormat="false" ht="14.25" hidden="false" customHeight="false" outlineLevel="0" collapsed="false">
      <c r="A155" s="44" t="s">
        <v>38</v>
      </c>
      <c r="B155" s="44" t="s">
        <v>39</v>
      </c>
      <c r="C155" s="44" t="n">
        <v>159</v>
      </c>
      <c r="D155" s="44" t="s">
        <v>44</v>
      </c>
      <c r="E155" s="44" t="n">
        <v>1</v>
      </c>
      <c r="F155" s="44" t="s">
        <v>104</v>
      </c>
      <c r="G155" s="0" t="n">
        <v>38</v>
      </c>
      <c r="H155" s="44" t="n">
        <v>40</v>
      </c>
      <c r="I155" s="0" t="n">
        <f aca="false">VLOOKUP(C155,[1]M0111B!$A$1:$AH$173,24,TRUE())+(G155/100)</f>
        <v>365.16</v>
      </c>
      <c r="J155" s="0" t="n">
        <f aca="false">I155+0.02</f>
        <v>365.18</v>
      </c>
      <c r="K155" s="0" t="s">
        <v>200</v>
      </c>
      <c r="L155" s="36" t="s">
        <v>106</v>
      </c>
      <c r="M155" s="53" t="n">
        <f aca="false">I155-I154</f>
        <v>3.04999999999995</v>
      </c>
    </row>
    <row r="156" customFormat="false" ht="14.25" hidden="false" customHeight="false" outlineLevel="0" collapsed="false">
      <c r="A156" s="44" t="s">
        <v>38</v>
      </c>
      <c r="B156" s="44" t="s">
        <v>39</v>
      </c>
      <c r="C156" s="44" t="n">
        <v>160</v>
      </c>
      <c r="D156" s="44" t="s">
        <v>44</v>
      </c>
      <c r="E156" s="44" t="n">
        <v>1</v>
      </c>
      <c r="F156" s="44" t="s">
        <v>104</v>
      </c>
      <c r="G156" s="0" t="n">
        <v>38</v>
      </c>
      <c r="H156" s="44" t="n">
        <v>40</v>
      </c>
      <c r="I156" s="0" t="n">
        <f aca="false">VLOOKUP(C156,[1]M0111B!$A$1:$AH$173,24,TRUE())+(G156/100)</f>
        <v>366.46</v>
      </c>
      <c r="J156" s="0" t="n">
        <f aca="false">I156+0.02</f>
        <v>366.48</v>
      </c>
      <c r="K156" s="0" t="s">
        <v>201</v>
      </c>
      <c r="L156" s="36" t="s">
        <v>202</v>
      </c>
      <c r="M156" s="53" t="n">
        <f aca="false">I156-I155</f>
        <v>1.30000000000001</v>
      </c>
    </row>
    <row r="157" customFormat="false" ht="14.25" hidden="false" customHeight="false" outlineLevel="0" collapsed="false">
      <c r="A157" s="44" t="s">
        <v>38</v>
      </c>
      <c r="B157" s="44" t="s">
        <v>39</v>
      </c>
      <c r="C157" s="44" t="n">
        <v>161</v>
      </c>
      <c r="D157" s="44" t="s">
        <v>44</v>
      </c>
      <c r="E157" s="44" t="n">
        <v>1</v>
      </c>
      <c r="F157" s="44" t="s">
        <v>104</v>
      </c>
      <c r="G157" s="0" t="n">
        <v>38</v>
      </c>
      <c r="H157" s="44" t="n">
        <v>40</v>
      </c>
      <c r="I157" s="0" t="n">
        <f aca="false">VLOOKUP(C157,[1]M0111B!$A$1:$AH$173,24,TRUE())+(G157/100)</f>
        <v>369.21</v>
      </c>
      <c r="J157" s="0" t="n">
        <f aca="false">I157+0.02</f>
        <v>369.23</v>
      </c>
      <c r="K157" s="0" t="s">
        <v>203</v>
      </c>
      <c r="L157" s="36" t="s">
        <v>106</v>
      </c>
      <c r="M157" s="53" t="n">
        <f aca="false">I157-I156</f>
        <v>2.75</v>
      </c>
    </row>
    <row r="158" customFormat="false" ht="14.25" hidden="false" customHeight="false" outlineLevel="0" collapsed="false">
      <c r="A158" s="44" t="s">
        <v>38</v>
      </c>
      <c r="B158" s="44" t="s">
        <v>39</v>
      </c>
      <c r="C158" s="44" t="n">
        <v>165</v>
      </c>
      <c r="D158" s="44" t="s">
        <v>44</v>
      </c>
      <c r="E158" s="44" t="n">
        <v>1</v>
      </c>
      <c r="F158" s="44" t="s">
        <v>104</v>
      </c>
      <c r="G158" s="0" t="n">
        <v>38</v>
      </c>
      <c r="H158" s="44" t="n">
        <v>40</v>
      </c>
      <c r="I158" s="0" t="n">
        <f aca="false">VLOOKUP(C158,[1]M0111B!$A$1:$AH$173,24,TRUE())+(G158/100)</f>
        <v>378.36</v>
      </c>
      <c r="J158" s="0" t="n">
        <f aca="false">I158+0.02</f>
        <v>378.38</v>
      </c>
      <c r="K158" s="0" t="s">
        <v>204</v>
      </c>
      <c r="L158" s="36" t="s">
        <v>106</v>
      </c>
      <c r="M158" s="53" t="n">
        <f aca="false">I158-I157</f>
        <v>9.15000000000003</v>
      </c>
    </row>
    <row r="159" customFormat="false" ht="14.25" hidden="false" customHeight="false" outlineLevel="0" collapsed="false">
      <c r="A159" s="44" t="s">
        <v>38</v>
      </c>
      <c r="B159" s="44" t="s">
        <v>39</v>
      </c>
      <c r="C159" s="44" t="n">
        <v>166</v>
      </c>
      <c r="D159" s="44" t="s">
        <v>44</v>
      </c>
      <c r="E159" s="44" t="n">
        <v>1</v>
      </c>
      <c r="F159" s="44" t="s">
        <v>104</v>
      </c>
      <c r="G159" s="0" t="n">
        <v>38</v>
      </c>
      <c r="H159" s="44" t="n">
        <v>40</v>
      </c>
      <c r="I159" s="0" t="n">
        <f aca="false">VLOOKUP(C159,[1]M0111B!$A$1:$AH$173,24,TRUE())+(G159/100)</f>
        <v>381.41</v>
      </c>
      <c r="J159" s="0" t="n">
        <f aca="false">I159+0.02</f>
        <v>381.43</v>
      </c>
      <c r="K159" s="0" t="s">
        <v>205</v>
      </c>
      <c r="L159" s="36" t="s">
        <v>106</v>
      </c>
      <c r="M159" s="53" t="n">
        <f aca="false">I159-I158</f>
        <v>3.04999999999995</v>
      </c>
    </row>
    <row r="160" customFormat="false" ht="14.25" hidden="false" customHeight="false" outlineLevel="0" collapsed="false">
      <c r="L160" s="35"/>
      <c r="M160" s="55"/>
    </row>
    <row r="161" customFormat="false" ht="14.25" hidden="false" customHeight="false" outlineLevel="0" collapsed="false">
      <c r="A161" s="44" t="s">
        <v>38</v>
      </c>
      <c r="B161" s="44" t="s">
        <v>87</v>
      </c>
      <c r="C161" s="44" t="n">
        <v>1</v>
      </c>
      <c r="D161" s="44" t="s">
        <v>40</v>
      </c>
      <c r="E161" s="44" t="n">
        <v>1</v>
      </c>
      <c r="F161" s="44" t="s">
        <v>104</v>
      </c>
      <c r="G161" s="0" t="n">
        <v>38</v>
      </c>
      <c r="H161" s="44" t="n">
        <v>40</v>
      </c>
      <c r="I161" s="0" t="n">
        <f aca="false">VLOOKUP(C161,[1]M0111C!$A$1:$AH$41,24,TRUE())+(G161/100)</f>
        <v>45.94</v>
      </c>
      <c r="J161" s="0" t="n">
        <f aca="false">I161+0.02</f>
        <v>45.96</v>
      </c>
      <c r="K161" s="0" t="s">
        <v>158</v>
      </c>
      <c r="L161" s="36" t="s">
        <v>106</v>
      </c>
      <c r="M161" s="52" t="s">
        <v>107</v>
      </c>
    </row>
    <row r="162" customFormat="false" ht="14.25" hidden="false" customHeight="false" outlineLevel="0" collapsed="false">
      <c r="A162" s="56" t="s">
        <v>38</v>
      </c>
      <c r="B162" s="56" t="s">
        <v>87</v>
      </c>
      <c r="C162" s="56" t="n">
        <v>2</v>
      </c>
      <c r="D162" s="56" t="s">
        <v>40</v>
      </c>
      <c r="E162" s="56" t="n">
        <v>1</v>
      </c>
      <c r="F162" s="56" t="s">
        <v>104</v>
      </c>
      <c r="G162" s="57" t="n">
        <v>38</v>
      </c>
      <c r="H162" s="56" t="n">
        <v>40</v>
      </c>
      <c r="I162" s="57" t="n">
        <f aca="false">VLOOKUP(C162,[1]M0111C!$A$1:$AH$41,24,TRUE())+(G162/100)</f>
        <v>48.05</v>
      </c>
      <c r="J162" s="57" t="n">
        <f aca="false">I162+0.02</f>
        <v>48.07</v>
      </c>
      <c r="K162" s="57" t="s">
        <v>206</v>
      </c>
      <c r="L162" s="60" t="s">
        <v>106</v>
      </c>
      <c r="M162" s="58" t="n">
        <f aca="false">I162-I161</f>
        <v>2.11</v>
      </c>
    </row>
    <row r="163" customFormat="false" ht="14.25" hidden="false" customHeight="false" outlineLevel="0" collapsed="false">
      <c r="A163" s="56" t="s">
        <v>38</v>
      </c>
      <c r="B163" s="56" t="s">
        <v>87</v>
      </c>
      <c r="C163" s="56" t="n">
        <v>3</v>
      </c>
      <c r="D163" s="56" t="s">
        <v>40</v>
      </c>
      <c r="E163" s="56" t="n">
        <v>1</v>
      </c>
      <c r="F163" s="56" t="s">
        <v>104</v>
      </c>
      <c r="G163" s="57" t="n">
        <v>38</v>
      </c>
      <c r="H163" s="56" t="n">
        <v>40</v>
      </c>
      <c r="I163" s="57" t="n">
        <f aca="false">VLOOKUP(C163,[1]M0111C!$A$1:$AH$41,24,TRUE())+(G163/100)</f>
        <v>48.94</v>
      </c>
      <c r="J163" s="57" t="n">
        <f aca="false">I163+0.02</f>
        <v>48.96</v>
      </c>
      <c r="K163" s="57" t="s">
        <v>207</v>
      </c>
      <c r="L163" s="60" t="s">
        <v>106</v>
      </c>
      <c r="M163" s="58" t="n">
        <f aca="false">I163-I162</f>
        <v>0.890000000000001</v>
      </c>
    </row>
    <row r="164" customFormat="false" ht="14.25" hidden="false" customHeight="false" outlineLevel="0" collapsed="false">
      <c r="A164" s="56" t="s">
        <v>38</v>
      </c>
      <c r="B164" s="56" t="s">
        <v>87</v>
      </c>
      <c r="C164" s="56" t="n">
        <v>5</v>
      </c>
      <c r="D164" s="56" t="s">
        <v>40</v>
      </c>
      <c r="E164" s="56" t="n">
        <v>1</v>
      </c>
      <c r="F164" s="56" t="s">
        <v>104</v>
      </c>
      <c r="G164" s="57" t="n">
        <v>16</v>
      </c>
      <c r="H164" s="56" t="n">
        <v>18</v>
      </c>
      <c r="I164" s="57" t="n">
        <f aca="false">VLOOKUP(C164,[1]M0111C!$A$1:$AH$41,24,TRUE())+(G164/100)</f>
        <v>110.16</v>
      </c>
      <c r="J164" s="57" t="n">
        <f aca="false">I164+0.02</f>
        <v>110.18</v>
      </c>
      <c r="K164" s="57" t="s">
        <v>208</v>
      </c>
      <c r="L164" s="60" t="s">
        <v>106</v>
      </c>
      <c r="M164" s="58"/>
    </row>
    <row r="165" customFormat="false" ht="14.25" hidden="false" customHeight="false" outlineLevel="0" collapsed="false">
      <c r="A165" s="56" t="s">
        <v>38</v>
      </c>
      <c r="B165" s="56" t="s">
        <v>87</v>
      </c>
      <c r="C165" s="56" t="n">
        <v>6</v>
      </c>
      <c r="D165" s="56" t="s">
        <v>40</v>
      </c>
      <c r="E165" s="56" t="n">
        <v>1</v>
      </c>
      <c r="F165" s="56" t="s">
        <v>104</v>
      </c>
      <c r="G165" s="57" t="n">
        <v>38</v>
      </c>
      <c r="H165" s="56" t="n">
        <v>40</v>
      </c>
      <c r="I165" s="57" t="n">
        <f aca="false">VLOOKUP(C165,[1]M0111C!$A$1:$AH$41,24,TRUE())+(G165/100)</f>
        <v>111.74</v>
      </c>
      <c r="J165" s="57" t="n">
        <f aca="false">I165+0.02</f>
        <v>111.76</v>
      </c>
      <c r="K165" s="57" t="s">
        <v>209</v>
      </c>
      <c r="L165" s="60" t="s">
        <v>106</v>
      </c>
      <c r="M165" s="58" t="n">
        <f aca="false">I165-I164</f>
        <v>1.58</v>
      </c>
    </row>
    <row r="166" customFormat="false" ht="14.25" hidden="false" customHeight="false" outlineLevel="0" collapsed="false">
      <c r="A166" s="44" t="s">
        <v>38</v>
      </c>
      <c r="B166" s="44" t="s">
        <v>87</v>
      </c>
      <c r="C166" s="44" t="n">
        <v>7</v>
      </c>
      <c r="D166" s="44" t="s">
        <v>44</v>
      </c>
      <c r="E166" s="44" t="n">
        <v>1</v>
      </c>
      <c r="F166" s="44" t="s">
        <v>104</v>
      </c>
      <c r="G166" s="0" t="n">
        <v>38</v>
      </c>
      <c r="H166" s="44" t="n">
        <v>40</v>
      </c>
      <c r="I166" s="0" t="n">
        <f aca="false">VLOOKUP(C166,[1]M0111C!$A$1:$AH$41,24,TRUE())+(G166/100)</f>
        <v>120.74</v>
      </c>
      <c r="J166" s="0" t="n">
        <f aca="false">I166+0.02</f>
        <v>120.76</v>
      </c>
      <c r="K166" s="0" t="s">
        <v>210</v>
      </c>
      <c r="L166" s="36" t="s">
        <v>106</v>
      </c>
      <c r="M166" s="53"/>
    </row>
    <row r="167" customFormat="false" ht="14.25" hidden="false" customHeight="false" outlineLevel="0" collapsed="false">
      <c r="A167" s="56" t="s">
        <v>38</v>
      </c>
      <c r="B167" s="56" t="s">
        <v>87</v>
      </c>
      <c r="C167" s="56" t="n">
        <v>8</v>
      </c>
      <c r="D167" s="56" t="s">
        <v>44</v>
      </c>
      <c r="E167" s="56" t="n">
        <v>1</v>
      </c>
      <c r="F167" s="56" t="s">
        <v>104</v>
      </c>
      <c r="G167" s="57" t="n">
        <v>38</v>
      </c>
      <c r="H167" s="56" t="n">
        <v>40</v>
      </c>
      <c r="I167" s="57" t="n">
        <f aca="false">VLOOKUP(C167,[1]M0111C!$A$1:$AH$41,24,TRUE())+(G167/100)</f>
        <v>125.38</v>
      </c>
      <c r="J167" s="57" t="n">
        <f aca="false">I167+0.02</f>
        <v>125.4</v>
      </c>
      <c r="K167" s="57" t="s">
        <v>154</v>
      </c>
      <c r="L167" s="60" t="s">
        <v>106</v>
      </c>
      <c r="M167" s="58" t="n">
        <f aca="false">I167-I166</f>
        <v>4.64</v>
      </c>
    </row>
    <row r="168" customFormat="false" ht="14.25" hidden="false" customHeight="false" outlineLevel="0" collapsed="false">
      <c r="A168" s="56" t="s">
        <v>38</v>
      </c>
      <c r="B168" s="56" t="s">
        <v>87</v>
      </c>
      <c r="C168" s="56" t="n">
        <v>9</v>
      </c>
      <c r="D168" s="56" t="s">
        <v>44</v>
      </c>
      <c r="E168" s="56" t="n">
        <v>1</v>
      </c>
      <c r="F168" s="56" t="s">
        <v>104</v>
      </c>
      <c r="G168" s="57" t="n">
        <v>38</v>
      </c>
      <c r="H168" s="56" t="n">
        <v>40</v>
      </c>
      <c r="I168" s="57" t="n">
        <f aca="false">VLOOKUP(C168,[1]M0111C!$A$1:$AH$41,24,TRUE())+(G168/100)</f>
        <v>126.74</v>
      </c>
      <c r="J168" s="57" t="n">
        <f aca="false">I168+0.02</f>
        <v>126.76</v>
      </c>
      <c r="K168" s="57" t="s">
        <v>211</v>
      </c>
      <c r="L168" s="60" t="s">
        <v>106</v>
      </c>
      <c r="M168" s="58" t="n">
        <f aca="false">I168-I167</f>
        <v>1.36</v>
      </c>
    </row>
    <row r="169" customFormat="false" ht="14.25" hidden="false" customHeight="false" outlineLevel="0" collapsed="false">
      <c r="A169" s="44" t="s">
        <v>38</v>
      </c>
      <c r="B169" s="44" t="s">
        <v>87</v>
      </c>
      <c r="C169" s="44" t="n">
        <v>10</v>
      </c>
      <c r="D169" s="44" t="s">
        <v>44</v>
      </c>
      <c r="E169" s="44" t="n">
        <v>1</v>
      </c>
      <c r="F169" s="44" t="s">
        <v>104</v>
      </c>
      <c r="G169" s="0" t="n">
        <v>38</v>
      </c>
      <c r="H169" s="44" t="n">
        <v>40</v>
      </c>
      <c r="I169" s="0" t="n">
        <f aca="false">VLOOKUP(C169,[1]M0111C!$A$1:$AH$41,24,TRUE())+(G169/100)</f>
        <v>150.38</v>
      </c>
      <c r="J169" s="0" t="n">
        <f aca="false">I169+0.02</f>
        <v>150.4</v>
      </c>
      <c r="K169" s="0" t="s">
        <v>212</v>
      </c>
      <c r="L169" s="36" t="s">
        <v>106</v>
      </c>
      <c r="M169" s="53"/>
    </row>
    <row r="170" customFormat="false" ht="14.25" hidden="false" customHeight="false" outlineLevel="0" collapsed="false">
      <c r="A170" s="56" t="s">
        <v>38</v>
      </c>
      <c r="B170" s="56" t="s">
        <v>87</v>
      </c>
      <c r="C170" s="56" t="n">
        <v>11</v>
      </c>
      <c r="D170" s="56" t="s">
        <v>44</v>
      </c>
      <c r="E170" s="56" t="n">
        <v>1</v>
      </c>
      <c r="F170" s="56" t="s">
        <v>104</v>
      </c>
      <c r="G170" s="57" t="n">
        <v>38</v>
      </c>
      <c r="H170" s="56" t="n">
        <v>40</v>
      </c>
      <c r="I170" s="57" t="n">
        <f aca="false">VLOOKUP(C170,[1]M0111C!$A$1:$AH$41,24,TRUE())+(G170/100)</f>
        <v>153.38</v>
      </c>
      <c r="J170" s="57" t="n">
        <f aca="false">I170+0.02</f>
        <v>153.4</v>
      </c>
      <c r="K170" s="57" t="s">
        <v>213</v>
      </c>
      <c r="L170" s="60" t="s">
        <v>106</v>
      </c>
      <c r="M170" s="58" t="n">
        <f aca="false">I170-I169</f>
        <v>3</v>
      </c>
    </row>
    <row r="171" customFormat="false" ht="14.25" hidden="false" customHeight="false" outlineLevel="0" collapsed="false">
      <c r="A171" s="44" t="s">
        <v>38</v>
      </c>
      <c r="B171" s="44" t="s">
        <v>87</v>
      </c>
      <c r="C171" s="44" t="n">
        <v>12</v>
      </c>
      <c r="D171" s="44" t="s">
        <v>44</v>
      </c>
      <c r="E171" s="44" t="n">
        <v>1</v>
      </c>
      <c r="F171" s="44" t="s">
        <v>104</v>
      </c>
      <c r="G171" s="0" t="n">
        <v>38</v>
      </c>
      <c r="H171" s="44" t="n">
        <v>40</v>
      </c>
      <c r="I171" s="0" t="n">
        <f aca="false">VLOOKUP(C171,[1]M0111C!$A$1:$AH$41,24,TRUE())+(G171/100)</f>
        <v>156.38</v>
      </c>
      <c r="J171" s="0" t="n">
        <f aca="false">I171+0.02</f>
        <v>156.4</v>
      </c>
      <c r="K171" s="54" t="s">
        <v>214</v>
      </c>
      <c r="L171" s="36" t="s">
        <v>106</v>
      </c>
      <c r="M171" s="53" t="n">
        <f aca="false">I171-I170</f>
        <v>3</v>
      </c>
    </row>
    <row r="172" customFormat="false" ht="14.25" hidden="false" customHeight="false" outlineLevel="0" collapsed="false">
      <c r="A172" s="44" t="s">
        <v>38</v>
      </c>
      <c r="B172" s="44" t="s">
        <v>87</v>
      </c>
      <c r="C172" s="44" t="n">
        <v>13</v>
      </c>
      <c r="D172" s="44" t="s">
        <v>44</v>
      </c>
      <c r="E172" s="44" t="n">
        <v>1</v>
      </c>
      <c r="F172" s="44" t="s">
        <v>104</v>
      </c>
      <c r="G172" s="0" t="n">
        <v>38</v>
      </c>
      <c r="H172" s="44" t="n">
        <v>40</v>
      </c>
      <c r="I172" s="0" t="n">
        <f aca="false">VLOOKUP(C172,[1]M0111C!$A$1:$AH$41,24,TRUE())+(G172/100)</f>
        <v>159.38</v>
      </c>
      <c r="J172" s="0" t="n">
        <f aca="false">I172+0.02</f>
        <v>159.4</v>
      </c>
      <c r="K172" s="54" t="s">
        <v>215</v>
      </c>
      <c r="L172" s="36" t="s">
        <v>106</v>
      </c>
      <c r="M172" s="53" t="n">
        <f aca="false">I172-I171</f>
        <v>3</v>
      </c>
    </row>
    <row r="173" customFormat="false" ht="14.25" hidden="false" customHeight="false" outlineLevel="0" collapsed="false">
      <c r="A173" s="44" t="s">
        <v>38</v>
      </c>
      <c r="B173" s="44" t="s">
        <v>87</v>
      </c>
      <c r="C173" s="44" t="n">
        <v>14</v>
      </c>
      <c r="D173" s="44" t="s">
        <v>44</v>
      </c>
      <c r="E173" s="44" t="n">
        <v>1</v>
      </c>
      <c r="F173" s="44" t="s">
        <v>104</v>
      </c>
      <c r="G173" s="0" t="n">
        <v>38</v>
      </c>
      <c r="H173" s="44" t="n">
        <v>40</v>
      </c>
      <c r="I173" s="0" t="n">
        <f aca="false">VLOOKUP(C173,[1]M0111C!$A$1:$AH$41,24,TRUE())+(G173/100)</f>
        <v>161.54</v>
      </c>
      <c r="J173" s="0" t="n">
        <f aca="false">I173+0.02</f>
        <v>161.56</v>
      </c>
      <c r="K173" s="54" t="s">
        <v>216</v>
      </c>
      <c r="L173" s="36" t="s">
        <v>106</v>
      </c>
      <c r="M173" s="53" t="n">
        <f aca="false">I173-I172</f>
        <v>2.16</v>
      </c>
    </row>
    <row r="174" customFormat="false" ht="14.25" hidden="false" customHeight="false" outlineLevel="0" collapsed="false">
      <c r="A174" s="44" t="s">
        <v>38</v>
      </c>
      <c r="B174" s="44" t="s">
        <v>87</v>
      </c>
      <c r="C174" s="44" t="n">
        <v>15</v>
      </c>
      <c r="D174" s="44" t="s">
        <v>44</v>
      </c>
      <c r="E174" s="44" t="n">
        <v>1</v>
      </c>
      <c r="F174" s="44" t="s">
        <v>104</v>
      </c>
      <c r="G174" s="0" t="n">
        <v>38</v>
      </c>
      <c r="H174" s="44" t="n">
        <v>40</v>
      </c>
      <c r="I174" s="0" t="n">
        <f aca="false">VLOOKUP(C174,[1]M0111C!$A$1:$AH$41,24,TRUE())+(G174/100)</f>
        <v>162.74</v>
      </c>
      <c r="J174" s="0" t="n">
        <f aca="false">I174+0.02</f>
        <v>162.76</v>
      </c>
      <c r="K174" s="0" t="s">
        <v>217</v>
      </c>
      <c r="L174" s="36" t="s">
        <v>106</v>
      </c>
      <c r="M174" s="53" t="n">
        <f aca="false">I174-I173</f>
        <v>1.20000000000002</v>
      </c>
    </row>
    <row r="175" customFormat="false" ht="14.25" hidden="false" customHeight="false" outlineLevel="0" collapsed="false">
      <c r="A175" s="44" t="s">
        <v>38</v>
      </c>
      <c r="B175" s="44" t="s">
        <v>87</v>
      </c>
      <c r="C175" s="44" t="n">
        <v>17</v>
      </c>
      <c r="D175" s="44" t="s">
        <v>44</v>
      </c>
      <c r="E175" s="44" t="n">
        <v>1</v>
      </c>
      <c r="F175" s="44" t="s">
        <v>104</v>
      </c>
      <c r="G175" s="0" t="n">
        <v>8</v>
      </c>
      <c r="H175" s="44" t="n">
        <v>10</v>
      </c>
      <c r="I175" s="0" t="n">
        <f aca="false">VLOOKUP(C175,[1]M0111C!$A$1:$AH$41,24,TRUE())+(G175/100)</f>
        <v>166.44</v>
      </c>
      <c r="J175" s="0" t="n">
        <f aca="false">I175+0.02</f>
        <v>166.46</v>
      </c>
      <c r="K175" s="0" t="s">
        <v>186</v>
      </c>
      <c r="L175" s="36" t="s">
        <v>111</v>
      </c>
      <c r="M175" s="53" t="n">
        <f aca="false">I175-I174</f>
        <v>3.70000000000002</v>
      </c>
    </row>
    <row r="176" customFormat="false" ht="14.25" hidden="false" customHeight="false" outlineLevel="0" collapsed="false">
      <c r="A176" s="44" t="s">
        <v>38</v>
      </c>
      <c r="B176" s="44" t="s">
        <v>87</v>
      </c>
      <c r="C176" s="44" t="n">
        <v>18</v>
      </c>
      <c r="D176" s="44" t="s">
        <v>44</v>
      </c>
      <c r="E176" s="44" t="n">
        <v>1</v>
      </c>
      <c r="F176" s="44" t="s">
        <v>104</v>
      </c>
      <c r="G176" s="0" t="n">
        <v>38</v>
      </c>
      <c r="H176" s="44" t="n">
        <v>40</v>
      </c>
      <c r="I176" s="0" t="n">
        <f aca="false">VLOOKUP(C176,[1]M0111C!$A$1:$AH$41,24,TRUE())+(G176/100)</f>
        <v>168.74</v>
      </c>
      <c r="J176" s="0" t="n">
        <f aca="false">I176+0.02</f>
        <v>168.76</v>
      </c>
      <c r="K176" s="0" t="s">
        <v>218</v>
      </c>
      <c r="L176" s="36" t="s">
        <v>106</v>
      </c>
      <c r="M176" s="53" t="n">
        <f aca="false">I176-I175</f>
        <v>2.29999999999998</v>
      </c>
    </row>
    <row r="177" customFormat="false" ht="14.25" hidden="false" customHeight="false" outlineLevel="0" collapsed="false">
      <c r="A177" s="56" t="s">
        <v>38</v>
      </c>
      <c r="B177" s="56" t="s">
        <v>87</v>
      </c>
      <c r="C177" s="56" t="n">
        <v>20</v>
      </c>
      <c r="D177" s="56" t="s">
        <v>44</v>
      </c>
      <c r="E177" s="56" t="n">
        <v>1</v>
      </c>
      <c r="F177" s="56" t="s">
        <v>104</v>
      </c>
      <c r="G177" s="57" t="n">
        <v>38</v>
      </c>
      <c r="H177" s="56" t="n">
        <v>40</v>
      </c>
      <c r="I177" s="57" t="n">
        <f aca="false">VLOOKUP(C177,[1]M0111C!$A$1:$AH$41,24,TRUE())+(G177/100)</f>
        <v>171.74</v>
      </c>
      <c r="J177" s="57" t="n">
        <f aca="false">I177+0.02</f>
        <v>171.76</v>
      </c>
      <c r="K177" s="57" t="s">
        <v>154</v>
      </c>
      <c r="L177" s="60" t="s">
        <v>106</v>
      </c>
      <c r="M177" s="58" t="n">
        <f aca="false">I177-I176</f>
        <v>3</v>
      </c>
    </row>
    <row r="178" customFormat="false" ht="14.25" hidden="false" customHeight="false" outlineLevel="0" collapsed="false">
      <c r="A178" s="56" t="s">
        <v>38</v>
      </c>
      <c r="B178" s="56" t="s">
        <v>87</v>
      </c>
      <c r="C178" s="56" t="n">
        <v>21</v>
      </c>
      <c r="D178" s="56" t="s">
        <v>44</v>
      </c>
      <c r="E178" s="56" t="n">
        <v>1</v>
      </c>
      <c r="F178" s="56" t="s">
        <v>104</v>
      </c>
      <c r="G178" s="57" t="n">
        <v>38</v>
      </c>
      <c r="H178" s="56" t="n">
        <v>40</v>
      </c>
      <c r="I178" s="57" t="n">
        <f aca="false">VLOOKUP(C178,[1]M0111C!$A$1:$AH$41,24,TRUE())+(G178/100)</f>
        <v>177.74</v>
      </c>
      <c r="J178" s="57" t="n">
        <f aca="false">I178+0.02</f>
        <v>177.76</v>
      </c>
      <c r="K178" s="57" t="s">
        <v>154</v>
      </c>
      <c r="L178" s="60" t="s">
        <v>106</v>
      </c>
      <c r="M178" s="58"/>
    </row>
    <row r="179" customFormat="false" ht="14.25" hidden="false" customHeight="false" outlineLevel="0" collapsed="false">
      <c r="A179" s="56" t="s">
        <v>38</v>
      </c>
      <c r="B179" s="56" t="s">
        <v>87</v>
      </c>
      <c r="C179" s="56" t="n">
        <v>22</v>
      </c>
      <c r="D179" s="56" t="s">
        <v>44</v>
      </c>
      <c r="E179" s="56" t="n">
        <v>1</v>
      </c>
      <c r="F179" s="56" t="s">
        <v>104</v>
      </c>
      <c r="G179" s="57" t="n">
        <v>38</v>
      </c>
      <c r="H179" s="56" t="n">
        <v>40</v>
      </c>
      <c r="I179" s="57" t="n">
        <f aca="false">VLOOKUP(C179,[1]M0111C!$A$1:$AH$41,24,TRUE())+(G179/100)</f>
        <v>185.38</v>
      </c>
      <c r="J179" s="57" t="n">
        <f aca="false">I179+0.02</f>
        <v>185.4</v>
      </c>
      <c r="K179" s="57" t="s">
        <v>219</v>
      </c>
      <c r="L179" s="60" t="s">
        <v>106</v>
      </c>
      <c r="M179" s="58"/>
    </row>
    <row r="180" customFormat="false" ht="14.25" hidden="false" customHeight="false" outlineLevel="0" collapsed="false">
      <c r="A180" s="56" t="s">
        <v>38</v>
      </c>
      <c r="B180" s="56" t="s">
        <v>87</v>
      </c>
      <c r="C180" s="56" t="n">
        <v>23</v>
      </c>
      <c r="D180" s="56" t="s">
        <v>44</v>
      </c>
      <c r="E180" s="56" t="n">
        <v>1</v>
      </c>
      <c r="F180" s="56" t="s">
        <v>104</v>
      </c>
      <c r="G180" s="57" t="n">
        <v>38</v>
      </c>
      <c r="H180" s="56" t="n">
        <v>40</v>
      </c>
      <c r="I180" s="57" t="n">
        <f aca="false">VLOOKUP(C180,[1]M0111C!$A$1:$AH$41,24,TRUE())+(G180/100)</f>
        <v>186.74</v>
      </c>
      <c r="J180" s="57" t="n">
        <f aca="false">I180+0.02</f>
        <v>186.76</v>
      </c>
      <c r="K180" s="57" t="s">
        <v>219</v>
      </c>
      <c r="L180" s="60" t="s">
        <v>106</v>
      </c>
      <c r="M180" s="58" t="n">
        <f aca="false">I180-I179</f>
        <v>1.36000000000001</v>
      </c>
    </row>
    <row r="181" customFormat="false" ht="14.25" hidden="false" customHeight="false" outlineLevel="0" collapsed="false">
      <c r="A181" s="56" t="s">
        <v>38</v>
      </c>
      <c r="B181" s="56" t="s">
        <v>87</v>
      </c>
      <c r="C181" s="56" t="n">
        <v>24</v>
      </c>
      <c r="D181" s="56" t="s">
        <v>44</v>
      </c>
      <c r="E181" s="56" t="n">
        <v>1</v>
      </c>
      <c r="F181" s="56" t="s">
        <v>104</v>
      </c>
      <c r="G181" s="57" t="n">
        <v>38</v>
      </c>
      <c r="H181" s="56" t="n">
        <v>40</v>
      </c>
      <c r="I181" s="57" t="n">
        <f aca="false">VLOOKUP(C181,[1]M0111C!$A$1:$AH$41,24,TRUE())+(G181/100)</f>
        <v>189.74</v>
      </c>
      <c r="J181" s="57" t="n">
        <f aca="false">I181+0.02</f>
        <v>189.76</v>
      </c>
      <c r="K181" s="63" t="s">
        <v>219</v>
      </c>
      <c r="L181" s="60" t="s">
        <v>106</v>
      </c>
      <c r="M181" s="58" t="n">
        <f aca="false">I181-I180</f>
        <v>3</v>
      </c>
    </row>
    <row r="182" customFormat="false" ht="14.25" hidden="false" customHeight="false" outlineLevel="0" collapsed="false">
      <c r="A182" s="56" t="s">
        <v>38</v>
      </c>
      <c r="B182" s="56" t="s">
        <v>87</v>
      </c>
      <c r="C182" s="56" t="n">
        <v>25</v>
      </c>
      <c r="D182" s="56" t="s">
        <v>44</v>
      </c>
      <c r="E182" s="56" t="n">
        <v>1</v>
      </c>
      <c r="F182" s="56" t="s">
        <v>104</v>
      </c>
      <c r="G182" s="57" t="n">
        <v>38</v>
      </c>
      <c r="H182" s="56" t="n">
        <v>40</v>
      </c>
      <c r="I182" s="57" t="n">
        <f aca="false">VLOOKUP(C182,[1]M0111C!$A$1:$AH$41,24,TRUE())+(G182/100)</f>
        <v>192.74</v>
      </c>
      <c r="J182" s="57" t="n">
        <f aca="false">I182+0.02</f>
        <v>192.76</v>
      </c>
      <c r="K182" s="57" t="s">
        <v>208</v>
      </c>
      <c r="L182" s="60" t="s">
        <v>106</v>
      </c>
      <c r="M182" s="58" t="n">
        <f aca="false">I182-I181</f>
        <v>3</v>
      </c>
    </row>
    <row r="183" customFormat="false" ht="14.25" hidden="false" customHeight="false" outlineLevel="0" collapsed="false">
      <c r="A183" s="56" t="s">
        <v>38</v>
      </c>
      <c r="B183" s="56" t="s">
        <v>87</v>
      </c>
      <c r="C183" s="56" t="n">
        <v>26</v>
      </c>
      <c r="D183" s="56" t="s">
        <v>44</v>
      </c>
      <c r="E183" s="56" t="n">
        <v>1</v>
      </c>
      <c r="F183" s="56" t="s">
        <v>104</v>
      </c>
      <c r="G183" s="57" t="n">
        <v>38</v>
      </c>
      <c r="H183" s="56" t="n">
        <v>40</v>
      </c>
      <c r="I183" s="57" t="n">
        <f aca="false">VLOOKUP(C183,[1]M0111C!$A$1:$AH$41,24,TRUE())+(G183/100)</f>
        <v>195.74</v>
      </c>
      <c r="J183" s="57" t="n">
        <f aca="false">I183+0.02</f>
        <v>195.76</v>
      </c>
      <c r="K183" s="57" t="s">
        <v>220</v>
      </c>
      <c r="L183" s="60" t="s">
        <v>106</v>
      </c>
      <c r="M183" s="58" t="n">
        <f aca="false">I183-I182</f>
        <v>3</v>
      </c>
    </row>
    <row r="184" customFormat="false" ht="14.25" hidden="false" customHeight="false" outlineLevel="0" collapsed="false">
      <c r="A184" s="44" t="s">
        <v>38</v>
      </c>
      <c r="B184" s="44" t="s">
        <v>87</v>
      </c>
      <c r="C184" s="44" t="n">
        <v>27</v>
      </c>
      <c r="D184" s="44" t="s">
        <v>44</v>
      </c>
      <c r="E184" s="44" t="n">
        <v>1</v>
      </c>
      <c r="F184" s="44" t="s">
        <v>104</v>
      </c>
      <c r="G184" s="0" t="n">
        <v>38</v>
      </c>
      <c r="H184" s="44" t="n">
        <v>40</v>
      </c>
      <c r="I184" s="0" t="n">
        <f aca="false">VLOOKUP(C184,[1]M0111C!$A$1:$AH$41,24,TRUE())+(G184/100)</f>
        <v>198.74</v>
      </c>
      <c r="J184" s="0" t="n">
        <f aca="false">I184+0.02</f>
        <v>198.76</v>
      </c>
      <c r="K184" s="0" t="s">
        <v>221</v>
      </c>
      <c r="L184" s="36" t="s">
        <v>106</v>
      </c>
      <c r="M184" s="53" t="n">
        <f aca="false">I184-I183</f>
        <v>3</v>
      </c>
    </row>
    <row r="185" customFormat="false" ht="14.25" hidden="false" customHeight="false" outlineLevel="0" collapsed="false">
      <c r="A185" s="44" t="s">
        <v>38</v>
      </c>
      <c r="B185" s="44" t="s">
        <v>87</v>
      </c>
      <c r="C185" s="44" t="n">
        <v>28</v>
      </c>
      <c r="D185" s="44" t="s">
        <v>44</v>
      </c>
      <c r="E185" s="44" t="n">
        <v>1</v>
      </c>
      <c r="F185" s="44" t="s">
        <v>104</v>
      </c>
      <c r="G185" s="0" t="n">
        <v>38</v>
      </c>
      <c r="H185" s="44" t="n">
        <v>40</v>
      </c>
      <c r="I185" s="0" t="n">
        <f aca="false">VLOOKUP(C185,[1]M0111C!$A$1:$AH$41,24,TRUE())+(G185/100)</f>
        <v>201.74</v>
      </c>
      <c r="J185" s="0" t="n">
        <f aca="false">I185+0.02</f>
        <v>201.76</v>
      </c>
      <c r="K185" s="0" t="s">
        <v>222</v>
      </c>
      <c r="L185" s="36" t="s">
        <v>106</v>
      </c>
      <c r="M185" s="53" t="n">
        <f aca="false">I185-I184</f>
        <v>3</v>
      </c>
    </row>
    <row r="186" customFormat="false" ht="14.25" hidden="false" customHeight="false" outlineLevel="0" collapsed="false">
      <c r="A186" s="44" t="s">
        <v>38</v>
      </c>
      <c r="B186" s="44" t="s">
        <v>87</v>
      </c>
      <c r="C186" s="44" t="n">
        <v>29</v>
      </c>
      <c r="D186" s="44" t="s">
        <v>44</v>
      </c>
      <c r="E186" s="44" t="n">
        <v>1</v>
      </c>
      <c r="F186" s="44" t="s">
        <v>104</v>
      </c>
      <c r="G186" s="0" t="n">
        <v>28</v>
      </c>
      <c r="H186" s="44" t="n">
        <v>30</v>
      </c>
      <c r="I186" s="0" t="n">
        <f aca="false">VLOOKUP(C186,[1]M0111C!$A$1:$AH$41,24,TRUE())+(G186/100)</f>
        <v>204.64</v>
      </c>
      <c r="J186" s="0" t="n">
        <f aca="false">I186+0.02</f>
        <v>204.66</v>
      </c>
      <c r="K186" s="0" t="s">
        <v>223</v>
      </c>
      <c r="L186" s="36" t="s">
        <v>111</v>
      </c>
      <c r="M186" s="53" t="n">
        <f aca="false">I186-I185</f>
        <v>2.90000000000001</v>
      </c>
    </row>
    <row r="187" customFormat="false" ht="14.25" hidden="false" customHeight="false" outlineLevel="0" collapsed="false">
      <c r="A187" s="56" t="s">
        <v>38</v>
      </c>
      <c r="B187" s="56" t="s">
        <v>87</v>
      </c>
      <c r="C187" s="56" t="n">
        <v>30</v>
      </c>
      <c r="D187" s="56" t="s">
        <v>44</v>
      </c>
      <c r="E187" s="56" t="n">
        <v>1</v>
      </c>
      <c r="F187" s="56" t="s">
        <v>104</v>
      </c>
      <c r="G187" s="57" t="n">
        <v>38</v>
      </c>
      <c r="H187" s="56" t="n">
        <v>40</v>
      </c>
      <c r="I187" s="57" t="n">
        <f aca="false">VLOOKUP(C187,[1]M0111C!$A$1:$AH$41,24,TRUE())+(G187/100)</f>
        <v>207.74</v>
      </c>
      <c r="J187" s="57" t="n">
        <f aca="false">I187+0.02</f>
        <v>207.76</v>
      </c>
      <c r="K187" s="63" t="s">
        <v>224</v>
      </c>
      <c r="L187" s="60" t="s">
        <v>106</v>
      </c>
      <c r="M187" s="58" t="n">
        <f aca="false">I187-I186</f>
        <v>3.09999999999999</v>
      </c>
    </row>
    <row r="188" customFormat="false" ht="14.25" hidden="false" customHeight="false" outlineLevel="0" collapsed="false">
      <c r="A188" s="44" t="s">
        <v>38</v>
      </c>
      <c r="B188" s="44" t="s">
        <v>87</v>
      </c>
      <c r="C188" s="44" t="n">
        <v>31</v>
      </c>
      <c r="D188" s="44" t="s">
        <v>44</v>
      </c>
      <c r="E188" s="44" t="n">
        <v>1</v>
      </c>
      <c r="F188" s="44" t="s">
        <v>104</v>
      </c>
      <c r="G188" s="0" t="n">
        <v>38</v>
      </c>
      <c r="H188" s="44" t="n">
        <v>40</v>
      </c>
      <c r="I188" s="0" t="n">
        <f aca="false">VLOOKUP(C188,[1]M0111C!$A$1:$AH$41,24,TRUE())+(G188/100)</f>
        <v>210.74</v>
      </c>
      <c r="J188" s="0" t="n">
        <f aca="false">I188+0.02</f>
        <v>210.76</v>
      </c>
      <c r="K188" s="0" t="s">
        <v>225</v>
      </c>
      <c r="L188" s="36" t="s">
        <v>106</v>
      </c>
      <c r="M188" s="53" t="n">
        <f aca="false">I188-I187</f>
        <v>3</v>
      </c>
    </row>
    <row r="189" customFormat="false" ht="14.25" hidden="false" customHeight="false" outlineLevel="0" collapsed="false">
      <c r="A189" s="44" t="s">
        <v>38</v>
      </c>
      <c r="B189" s="44" t="s">
        <v>87</v>
      </c>
      <c r="C189" s="44" t="n">
        <v>32</v>
      </c>
      <c r="D189" s="44" t="s">
        <v>44</v>
      </c>
      <c r="E189" s="44" t="n">
        <v>1</v>
      </c>
      <c r="F189" s="44" t="s">
        <v>104</v>
      </c>
      <c r="G189" s="0" t="n">
        <v>38</v>
      </c>
      <c r="H189" s="44" t="n">
        <v>40</v>
      </c>
      <c r="I189" s="0" t="n">
        <f aca="false">VLOOKUP(C189,[1]M0111C!$A$1:$AH$41,24,TRUE())+(G189/100)</f>
        <v>213.74</v>
      </c>
      <c r="J189" s="0" t="n">
        <f aca="false">I189+0.02</f>
        <v>213.76</v>
      </c>
      <c r="K189" s="0" t="s">
        <v>226</v>
      </c>
      <c r="L189" s="36" t="s">
        <v>106</v>
      </c>
      <c r="M189" s="53" t="n">
        <f aca="false">I189-I188</f>
        <v>3</v>
      </c>
    </row>
    <row r="190" customFormat="false" ht="14.25" hidden="false" customHeight="false" outlineLevel="0" collapsed="false">
      <c r="A190" s="44" t="s">
        <v>38</v>
      </c>
      <c r="B190" s="44" t="s">
        <v>87</v>
      </c>
      <c r="C190" s="44" t="n">
        <v>33</v>
      </c>
      <c r="D190" s="44" t="s">
        <v>44</v>
      </c>
      <c r="E190" s="44" t="n">
        <v>1</v>
      </c>
      <c r="F190" s="44" t="s">
        <v>104</v>
      </c>
      <c r="G190" s="0" t="n">
        <v>38</v>
      </c>
      <c r="H190" s="44" t="n">
        <v>40</v>
      </c>
      <c r="I190" s="0" t="n">
        <f aca="false">VLOOKUP(C190,[1]M0111C!$A$1:$AH$41,24,TRUE())+(G190/100)</f>
        <v>216.74</v>
      </c>
      <c r="J190" s="0" t="n">
        <f aca="false">I190+0.02</f>
        <v>216.76</v>
      </c>
      <c r="K190" s="0" t="s">
        <v>227</v>
      </c>
      <c r="L190" s="36" t="s">
        <v>106</v>
      </c>
      <c r="M190" s="53" t="n">
        <f aca="false">I190-I189</f>
        <v>3</v>
      </c>
    </row>
    <row r="191" customFormat="false" ht="14.25" hidden="false" customHeight="false" outlineLevel="0" collapsed="false">
      <c r="A191" s="44" t="s">
        <v>38</v>
      </c>
      <c r="B191" s="44" t="s">
        <v>87</v>
      </c>
      <c r="C191" s="44" t="n">
        <v>34</v>
      </c>
      <c r="D191" s="44" t="s">
        <v>44</v>
      </c>
      <c r="E191" s="44" t="n">
        <v>1</v>
      </c>
      <c r="F191" s="44" t="s">
        <v>104</v>
      </c>
      <c r="G191" s="0" t="n">
        <v>38</v>
      </c>
      <c r="H191" s="44" t="n">
        <v>40</v>
      </c>
      <c r="I191" s="0" t="n">
        <f aca="false">VLOOKUP(C191,[1]M0111C!$A$1:$AH$41,24,TRUE())+(G191/100)</f>
        <v>219.74</v>
      </c>
      <c r="J191" s="0" t="n">
        <f aca="false">I191+0.02</f>
        <v>219.76</v>
      </c>
      <c r="K191" s="0" t="s">
        <v>228</v>
      </c>
      <c r="L191" s="36" t="s">
        <v>106</v>
      </c>
      <c r="M191" s="53" t="n">
        <f aca="false">I191-I190</f>
        <v>3</v>
      </c>
    </row>
    <row r="192" customFormat="false" ht="14.25" hidden="false" customHeight="false" outlineLevel="0" collapsed="false">
      <c r="A192" s="44" t="s">
        <v>38</v>
      </c>
      <c r="B192" s="44" t="s">
        <v>87</v>
      </c>
      <c r="C192" s="44" t="n">
        <v>35</v>
      </c>
      <c r="D192" s="44" t="s">
        <v>44</v>
      </c>
      <c r="E192" s="44" t="n">
        <v>1</v>
      </c>
      <c r="F192" s="44" t="s">
        <v>104</v>
      </c>
      <c r="G192" s="0" t="n">
        <v>48</v>
      </c>
      <c r="H192" s="44" t="n">
        <v>50</v>
      </c>
      <c r="I192" s="0" t="n">
        <f aca="false">VLOOKUP(C192,[1]M0111C!$A$1:$AH$41,24,TRUE())+(G192/100)</f>
        <v>222.84</v>
      </c>
      <c r="J192" s="0" t="n">
        <f aca="false">I192+0.02</f>
        <v>222.86</v>
      </c>
      <c r="K192" s="0" t="s">
        <v>229</v>
      </c>
      <c r="L192" s="36" t="s">
        <v>111</v>
      </c>
      <c r="M192" s="53" t="n">
        <f aca="false">I192-I191</f>
        <v>3.09999999999999</v>
      </c>
    </row>
    <row r="193" customFormat="false" ht="14.25" hidden="false" customHeight="false" outlineLevel="0" collapsed="false">
      <c r="A193" s="44" t="s">
        <v>38</v>
      </c>
      <c r="B193" s="44" t="s">
        <v>87</v>
      </c>
      <c r="C193" s="44" t="n">
        <v>36</v>
      </c>
      <c r="D193" s="44" t="s">
        <v>44</v>
      </c>
      <c r="E193" s="44" t="n">
        <v>1</v>
      </c>
      <c r="F193" s="44" t="s">
        <v>104</v>
      </c>
      <c r="G193" s="0" t="n">
        <v>38</v>
      </c>
      <c r="H193" s="44" t="n">
        <v>40</v>
      </c>
      <c r="I193" s="0" t="n">
        <f aca="false">VLOOKUP(C193,[1]M0111C!$A$1:$AH$41,24,TRUE())+(G193/100)</f>
        <v>223.54</v>
      </c>
      <c r="J193" s="0" t="n">
        <f aca="false">I193+0.02</f>
        <v>223.56</v>
      </c>
      <c r="K193" s="0" t="s">
        <v>230</v>
      </c>
      <c r="L193" s="36" t="s">
        <v>106</v>
      </c>
      <c r="M193" s="53" t="n">
        <f aca="false">I193-I192</f>
        <v>0.699999999999989</v>
      </c>
    </row>
    <row r="194" customFormat="false" ht="14.25" hidden="false" customHeight="false" outlineLevel="0" collapsed="false">
      <c r="A194" s="56" t="s">
        <v>38</v>
      </c>
      <c r="B194" s="56" t="s">
        <v>87</v>
      </c>
      <c r="C194" s="56" t="n">
        <v>39</v>
      </c>
      <c r="D194" s="56" t="s">
        <v>44</v>
      </c>
      <c r="E194" s="56" t="n">
        <v>1</v>
      </c>
      <c r="F194" s="56" t="s">
        <v>104</v>
      </c>
      <c r="G194" s="57" t="n">
        <v>38</v>
      </c>
      <c r="H194" s="56" t="n">
        <v>40</v>
      </c>
      <c r="I194" s="57" t="n">
        <f aca="false">VLOOKUP(C194,[1]M0111C!$A$1:$AH$41,24,TRUE())+(G194/100)</f>
        <v>229.74</v>
      </c>
      <c r="J194" s="57" t="n">
        <f aca="false">I194+0.02</f>
        <v>229.76</v>
      </c>
      <c r="K194" s="57" t="s">
        <v>231</v>
      </c>
      <c r="L194" s="60" t="s">
        <v>106</v>
      </c>
      <c r="M194" s="58" t="n">
        <f aca="false">I194-I193</f>
        <v>6.20000000000002</v>
      </c>
    </row>
    <row r="195" customFormat="false" ht="14.25" hidden="false" customHeight="false" outlineLevel="0" collapsed="false">
      <c r="L195" s="35"/>
      <c r="M195" s="35"/>
    </row>
    <row r="196" customFormat="false" ht="14.25" hidden="false" customHeight="false" outlineLevel="0" collapsed="false">
      <c r="A196" s="56" t="s">
        <v>89</v>
      </c>
      <c r="B196" s="56" t="s">
        <v>85</v>
      </c>
      <c r="C196" s="56" t="n">
        <v>1</v>
      </c>
      <c r="D196" s="56" t="s">
        <v>40</v>
      </c>
      <c r="E196" s="56" t="n">
        <v>1</v>
      </c>
      <c r="F196" s="56" t="s">
        <v>104</v>
      </c>
      <c r="G196" s="57" t="n">
        <v>38</v>
      </c>
      <c r="H196" s="56" t="n">
        <v>40</v>
      </c>
      <c r="I196" s="57" t="n">
        <f aca="false">VLOOKUP(C196,[1]M0112A!$A$1:$Z$222,24,TRUE())+(G196/100)</f>
        <v>0.38</v>
      </c>
      <c r="J196" s="58" t="n">
        <f aca="false">I196+0.02</f>
        <v>0.4</v>
      </c>
      <c r="K196" s="57" t="s">
        <v>232</v>
      </c>
      <c r="L196" s="60" t="s">
        <v>106</v>
      </c>
      <c r="M196" s="58"/>
    </row>
    <row r="197" customFormat="false" ht="14.25" hidden="false" customHeight="false" outlineLevel="0" collapsed="false">
      <c r="A197" s="44" t="s">
        <v>89</v>
      </c>
      <c r="B197" s="44" t="s">
        <v>85</v>
      </c>
      <c r="C197" s="44" t="n">
        <v>2</v>
      </c>
      <c r="D197" s="44" t="s">
        <v>40</v>
      </c>
      <c r="E197" s="44" t="n">
        <v>1</v>
      </c>
      <c r="F197" s="44" t="s">
        <v>104</v>
      </c>
      <c r="G197" s="0" t="n">
        <v>38</v>
      </c>
      <c r="H197" s="44" t="n">
        <v>40</v>
      </c>
      <c r="I197" s="0" t="n">
        <f aca="false">VLOOKUP(C197,[1]M0112A!$A$1:$Z$222,24,TRUE())+(G197/100)</f>
        <v>2.59</v>
      </c>
      <c r="J197" s="0" t="n">
        <f aca="false">I197+0.02</f>
        <v>2.61</v>
      </c>
      <c r="K197" s="0" t="s">
        <v>233</v>
      </c>
      <c r="L197" s="36" t="s">
        <v>106</v>
      </c>
      <c r="M197" s="53" t="n">
        <f aca="false">I197-I196</f>
        <v>2.21</v>
      </c>
    </row>
    <row r="198" customFormat="false" ht="14.25" hidden="false" customHeight="false" outlineLevel="0" collapsed="false">
      <c r="A198" s="44" t="s">
        <v>89</v>
      </c>
      <c r="B198" s="44" t="s">
        <v>85</v>
      </c>
      <c r="C198" s="44" t="n">
        <v>3</v>
      </c>
      <c r="D198" s="44" t="s">
        <v>40</v>
      </c>
      <c r="E198" s="44" t="n">
        <v>1</v>
      </c>
      <c r="F198" s="44" t="s">
        <v>104</v>
      </c>
      <c r="G198" s="0" t="n">
        <v>38</v>
      </c>
      <c r="H198" s="44" t="n">
        <v>40</v>
      </c>
      <c r="I198" s="0" t="n">
        <f aca="false">VLOOKUP(C198,[1]M0112A!$A$1:$Z$222,24,TRUE())+(G198/100)</f>
        <v>5.39</v>
      </c>
      <c r="J198" s="0" t="n">
        <f aca="false">I198+0.02</f>
        <v>5.41</v>
      </c>
      <c r="K198" s="0" t="s">
        <v>234</v>
      </c>
      <c r="L198" s="36" t="s">
        <v>106</v>
      </c>
      <c r="M198" s="53" t="n">
        <f aca="false">I198-I197</f>
        <v>2.8</v>
      </c>
    </row>
    <row r="199" customFormat="false" ht="14.25" hidden="false" customHeight="false" outlineLevel="0" collapsed="false">
      <c r="A199" s="44" t="s">
        <v>89</v>
      </c>
      <c r="B199" s="44" t="s">
        <v>85</v>
      </c>
      <c r="C199" s="44" t="n">
        <v>4</v>
      </c>
      <c r="D199" s="44" t="s">
        <v>40</v>
      </c>
      <c r="E199" s="44" t="n">
        <v>1</v>
      </c>
      <c r="F199" s="44" t="s">
        <v>104</v>
      </c>
      <c r="G199" s="0" t="n">
        <v>38</v>
      </c>
      <c r="H199" s="44" t="n">
        <v>40</v>
      </c>
      <c r="I199" s="0" t="n">
        <f aca="false">VLOOKUP(C199,[1]M0112A!$A$1:$Z$222,24,TRUE())+(G199/100)</f>
        <v>7.55</v>
      </c>
      <c r="J199" s="0" t="n">
        <f aca="false">I199+0.02</f>
        <v>7.57</v>
      </c>
      <c r="K199" s="54" t="s">
        <v>235</v>
      </c>
      <c r="L199" s="36" t="s">
        <v>106</v>
      </c>
      <c r="M199" s="53" t="n">
        <f aca="false">I199-I198</f>
        <v>2.16</v>
      </c>
    </row>
    <row r="200" customFormat="false" ht="14.25" hidden="false" customHeight="false" outlineLevel="0" collapsed="false">
      <c r="A200" s="44" t="s">
        <v>89</v>
      </c>
      <c r="B200" s="44" t="s">
        <v>85</v>
      </c>
      <c r="C200" s="44" t="n">
        <v>5</v>
      </c>
      <c r="D200" s="44" t="s">
        <v>40</v>
      </c>
      <c r="E200" s="44" t="n">
        <v>1</v>
      </c>
      <c r="F200" s="44" t="s">
        <v>104</v>
      </c>
      <c r="G200" s="0" t="n">
        <v>38</v>
      </c>
      <c r="H200" s="44" t="n">
        <v>40</v>
      </c>
      <c r="I200" s="0" t="n">
        <f aca="false">VLOOKUP(C200,[1]M0112A!$A$1:$Z$222,24,TRUE())+(G200/100)</f>
        <v>9.63</v>
      </c>
      <c r="J200" s="0" t="n">
        <f aca="false">I200+0.02</f>
        <v>9.65</v>
      </c>
      <c r="K200" s="0" t="s">
        <v>236</v>
      </c>
      <c r="L200" s="36" t="s">
        <v>106</v>
      </c>
      <c r="M200" s="53" t="n">
        <f aca="false">I200-I199</f>
        <v>2.08</v>
      </c>
    </row>
    <row r="201" customFormat="false" ht="14.25" hidden="false" customHeight="false" outlineLevel="0" collapsed="false">
      <c r="A201" s="44" t="s">
        <v>89</v>
      </c>
      <c r="B201" s="44" t="s">
        <v>85</v>
      </c>
      <c r="C201" s="44" t="n">
        <v>6</v>
      </c>
      <c r="D201" s="44" t="s">
        <v>40</v>
      </c>
      <c r="E201" s="44" t="n">
        <v>1</v>
      </c>
      <c r="F201" s="44" t="s">
        <v>104</v>
      </c>
      <c r="G201" s="0" t="n">
        <v>38</v>
      </c>
      <c r="H201" s="44" t="n">
        <v>40</v>
      </c>
      <c r="I201" s="0" t="n">
        <f aca="false">VLOOKUP(C201,[1]M0112A!$A$1:$Z$222,24,TRUE())+(G201/100)</f>
        <v>11.83</v>
      </c>
      <c r="J201" s="0" t="n">
        <f aca="false">I201+0.02</f>
        <v>11.85</v>
      </c>
      <c r="K201" s="0" t="s">
        <v>237</v>
      </c>
      <c r="L201" s="36" t="s">
        <v>106</v>
      </c>
      <c r="M201" s="53" t="n">
        <f aca="false">I201-I200</f>
        <v>2.2</v>
      </c>
    </row>
    <row r="202" customFormat="false" ht="14.25" hidden="false" customHeight="false" outlineLevel="0" collapsed="false">
      <c r="A202" s="44" t="s">
        <v>89</v>
      </c>
      <c r="B202" s="44" t="s">
        <v>85</v>
      </c>
      <c r="C202" s="44" t="n">
        <v>7</v>
      </c>
      <c r="D202" s="44" t="s">
        <v>40</v>
      </c>
      <c r="E202" s="44" t="n">
        <v>1</v>
      </c>
      <c r="F202" s="44" t="s">
        <v>104</v>
      </c>
      <c r="G202" s="0" t="n">
        <v>38</v>
      </c>
      <c r="H202" s="44" t="n">
        <v>40</v>
      </c>
      <c r="I202" s="0" t="n">
        <f aca="false">VLOOKUP(C202,[1]M0112A!$A$1:$Z$222,24,TRUE())+(G202/100)</f>
        <v>12.59</v>
      </c>
      <c r="J202" s="0" t="n">
        <f aca="false">I202+0.02</f>
        <v>12.61</v>
      </c>
      <c r="K202" s="54" t="s">
        <v>238</v>
      </c>
      <c r="L202" s="36" t="s">
        <v>106</v>
      </c>
      <c r="M202" s="53" t="n">
        <f aca="false">I202-I201</f>
        <v>0.760000000000002</v>
      </c>
    </row>
    <row r="203" customFormat="false" ht="14.25" hidden="false" customHeight="false" outlineLevel="0" collapsed="false">
      <c r="A203" s="44" t="s">
        <v>89</v>
      </c>
      <c r="B203" s="44" t="s">
        <v>85</v>
      </c>
      <c r="C203" s="44" t="n">
        <v>8</v>
      </c>
      <c r="D203" s="44" t="s">
        <v>40</v>
      </c>
      <c r="E203" s="44" t="n">
        <v>1</v>
      </c>
      <c r="F203" s="44" t="s">
        <v>104</v>
      </c>
      <c r="G203" s="0" t="n">
        <v>38</v>
      </c>
      <c r="H203" s="44" t="n">
        <v>40</v>
      </c>
      <c r="I203" s="0" t="n">
        <f aca="false">VLOOKUP(C203,[1]M0112A!$A$1:$Z$222,24,TRUE())+(G203/100)</f>
        <v>14.96</v>
      </c>
      <c r="J203" s="0" t="n">
        <f aca="false">I203+0.02</f>
        <v>14.98</v>
      </c>
      <c r="K203" s="54" t="s">
        <v>239</v>
      </c>
      <c r="L203" s="36" t="s">
        <v>106</v>
      </c>
      <c r="M203" s="53" t="n">
        <f aca="false">I203-I202</f>
        <v>2.37</v>
      </c>
    </row>
    <row r="204" customFormat="false" ht="14.25" hidden="false" customHeight="false" outlineLevel="0" collapsed="false">
      <c r="A204" s="44" t="s">
        <v>89</v>
      </c>
      <c r="B204" s="44" t="s">
        <v>85</v>
      </c>
      <c r="C204" s="44" t="n">
        <v>9</v>
      </c>
      <c r="D204" s="44" t="s">
        <v>40</v>
      </c>
      <c r="E204" s="44" t="n">
        <v>1</v>
      </c>
      <c r="F204" s="44" t="s">
        <v>104</v>
      </c>
      <c r="G204" s="0" t="n">
        <v>38</v>
      </c>
      <c r="H204" s="44" t="n">
        <v>40</v>
      </c>
      <c r="I204" s="0" t="n">
        <f aca="false">VLOOKUP(C204,[1]M0112A!$A$1:$Z$222,24,TRUE())+(G204/100)</f>
        <v>17.61</v>
      </c>
      <c r="J204" s="0" t="n">
        <f aca="false">I204+0.02</f>
        <v>17.63</v>
      </c>
      <c r="K204" s="0" t="s">
        <v>240</v>
      </c>
      <c r="L204" s="36" t="s">
        <v>106</v>
      </c>
      <c r="M204" s="53" t="n">
        <f aca="false">I204-I203</f>
        <v>2.65</v>
      </c>
    </row>
    <row r="205" customFormat="false" ht="14.25" hidden="false" customHeight="false" outlineLevel="0" collapsed="false">
      <c r="A205" s="56" t="s">
        <v>89</v>
      </c>
      <c r="B205" s="56" t="s">
        <v>85</v>
      </c>
      <c r="C205" s="56" t="n">
        <v>10</v>
      </c>
      <c r="D205" s="56" t="s">
        <v>40</v>
      </c>
      <c r="E205" s="56" t="n">
        <v>1</v>
      </c>
      <c r="F205" s="56" t="s">
        <v>104</v>
      </c>
      <c r="G205" s="57" t="n">
        <v>38</v>
      </c>
      <c r="H205" s="56" t="n">
        <v>40</v>
      </c>
      <c r="I205" s="57" t="n">
        <f aca="false">VLOOKUP(C205,[1]M0112A!$A$1:$Z$222,24,TRUE())+(G205/100)</f>
        <v>20.25</v>
      </c>
      <c r="J205" s="57" t="n">
        <f aca="false">I205+0.02</f>
        <v>20.27</v>
      </c>
      <c r="K205" s="57" t="s">
        <v>241</v>
      </c>
      <c r="L205" s="60" t="s">
        <v>106</v>
      </c>
      <c r="M205" s="58" t="n">
        <f aca="false">I205-I204</f>
        <v>2.64</v>
      </c>
    </row>
    <row r="206" customFormat="false" ht="14.25" hidden="false" customHeight="false" outlineLevel="0" collapsed="false">
      <c r="A206" s="44" t="s">
        <v>89</v>
      </c>
      <c r="B206" s="44" t="s">
        <v>85</v>
      </c>
      <c r="C206" s="44" t="n">
        <v>11</v>
      </c>
      <c r="D206" s="44" t="s">
        <v>40</v>
      </c>
      <c r="E206" s="44" t="n">
        <v>1</v>
      </c>
      <c r="F206" s="44" t="s">
        <v>104</v>
      </c>
      <c r="G206" s="0" t="n">
        <v>38</v>
      </c>
      <c r="H206" s="44" t="n">
        <v>40</v>
      </c>
      <c r="I206" s="0" t="n">
        <f aca="false">VLOOKUP(C206,[1]M0112A!$A$1:$Z$222,24,TRUE())+(G206/100)</f>
        <v>21.66</v>
      </c>
      <c r="J206" s="0" t="n">
        <f aca="false">I206+0.02</f>
        <v>21.68</v>
      </c>
      <c r="K206" s="54" t="s">
        <v>242</v>
      </c>
      <c r="L206" s="36" t="s">
        <v>106</v>
      </c>
      <c r="M206" s="53" t="n">
        <f aca="false">I206-I205</f>
        <v>1.41</v>
      </c>
    </row>
    <row r="207" customFormat="false" ht="14.25" hidden="false" customHeight="false" outlineLevel="0" collapsed="false">
      <c r="A207" s="44" t="s">
        <v>89</v>
      </c>
      <c r="B207" s="44" t="s">
        <v>85</v>
      </c>
      <c r="C207" s="44" t="n">
        <v>13</v>
      </c>
      <c r="D207" s="44" t="s">
        <v>40</v>
      </c>
      <c r="E207" s="44" t="n">
        <v>1</v>
      </c>
      <c r="F207" s="44" t="s">
        <v>104</v>
      </c>
      <c r="G207" s="0" t="n">
        <v>38</v>
      </c>
      <c r="H207" s="44" t="n">
        <v>40</v>
      </c>
      <c r="I207" s="0" t="n">
        <f aca="false">VLOOKUP(C207,[1]M0112A!$A$1:$Z$222,24,TRUE())+(G207/100)</f>
        <v>24.3</v>
      </c>
      <c r="J207" s="0" t="n">
        <f aca="false">I207+0.02</f>
        <v>24.32</v>
      </c>
      <c r="K207" s="54" t="s">
        <v>42</v>
      </c>
      <c r="L207" s="36" t="s">
        <v>106</v>
      </c>
      <c r="M207" s="53" t="n">
        <f aca="false">I207-I206</f>
        <v>2.64</v>
      </c>
    </row>
    <row r="208" customFormat="false" ht="14.25" hidden="false" customHeight="false" outlineLevel="0" collapsed="false">
      <c r="A208" s="44" t="s">
        <v>89</v>
      </c>
      <c r="B208" s="44" t="s">
        <v>85</v>
      </c>
      <c r="C208" s="44" t="n">
        <v>14</v>
      </c>
      <c r="D208" s="44" t="s">
        <v>40</v>
      </c>
      <c r="E208" s="44" t="n">
        <v>1</v>
      </c>
      <c r="F208" s="44" t="s">
        <v>104</v>
      </c>
      <c r="G208" s="0" t="n">
        <v>38</v>
      </c>
      <c r="H208" s="44" t="n">
        <v>40</v>
      </c>
      <c r="I208" s="0" t="n">
        <f aca="false">VLOOKUP(C208,[1]M0112A!$A$1:$Z$222,24,TRUE())+(G208/100)</f>
        <v>24.71</v>
      </c>
      <c r="J208" s="0" t="n">
        <f aca="false">I208+0.02</f>
        <v>24.73</v>
      </c>
      <c r="K208" s="0" t="s">
        <v>159</v>
      </c>
      <c r="L208" s="36" t="s">
        <v>106</v>
      </c>
      <c r="M208" s="53" t="n">
        <f aca="false">I208-I207</f>
        <v>0.409999999999997</v>
      </c>
    </row>
    <row r="209" customFormat="false" ht="14.25" hidden="false" customHeight="false" outlineLevel="0" collapsed="false">
      <c r="A209" s="44" t="s">
        <v>89</v>
      </c>
      <c r="B209" s="44" t="s">
        <v>85</v>
      </c>
      <c r="C209" s="44" t="n">
        <v>15</v>
      </c>
      <c r="D209" s="44" t="s">
        <v>40</v>
      </c>
      <c r="E209" s="44" t="n">
        <v>1</v>
      </c>
      <c r="F209" s="44" t="s">
        <v>104</v>
      </c>
      <c r="G209" s="0" t="n">
        <v>48</v>
      </c>
      <c r="H209" s="44" t="n">
        <v>50</v>
      </c>
      <c r="I209" s="0" t="n">
        <f aca="false">VLOOKUP(C209,[1]M0112A!$A$1:$Z$222,24,TRUE())+(G209/100)</f>
        <v>26.27</v>
      </c>
      <c r="J209" s="0" t="n">
        <f aca="false">I209+0.02</f>
        <v>26.29</v>
      </c>
      <c r="K209" s="0" t="s">
        <v>243</v>
      </c>
      <c r="L209" s="36" t="s">
        <v>106</v>
      </c>
      <c r="M209" s="53" t="n">
        <f aca="false">I209-I208</f>
        <v>1.56</v>
      </c>
    </row>
    <row r="210" customFormat="false" ht="14.25" hidden="false" customHeight="false" outlineLevel="0" collapsed="false">
      <c r="A210" s="44" t="s">
        <v>89</v>
      </c>
      <c r="B210" s="44" t="s">
        <v>85</v>
      </c>
      <c r="C210" s="44" t="n">
        <v>16</v>
      </c>
      <c r="D210" s="44" t="s">
        <v>40</v>
      </c>
      <c r="E210" s="44" t="n">
        <v>1</v>
      </c>
      <c r="F210" s="44" t="s">
        <v>104</v>
      </c>
      <c r="G210" s="0" t="n">
        <v>38</v>
      </c>
      <c r="H210" s="44" t="n">
        <v>40</v>
      </c>
      <c r="I210" s="0" t="n">
        <f aca="false">VLOOKUP(C210,[1]M0112A!$A$1:$Z$222,24,TRUE())+(G210/100)</f>
        <v>28.05</v>
      </c>
      <c r="J210" s="0" t="n">
        <f aca="false">I210+0.02</f>
        <v>28.07</v>
      </c>
      <c r="K210" s="0" t="s">
        <v>126</v>
      </c>
      <c r="L210" s="36" t="s">
        <v>106</v>
      </c>
      <c r="M210" s="53" t="n">
        <f aca="false">I210-I209</f>
        <v>1.78</v>
      </c>
    </row>
    <row r="211" customFormat="false" ht="14.25" hidden="false" customHeight="false" outlineLevel="0" collapsed="false">
      <c r="A211" s="44" t="s">
        <v>89</v>
      </c>
      <c r="B211" s="44" t="s">
        <v>85</v>
      </c>
      <c r="C211" s="44" t="n">
        <v>20</v>
      </c>
      <c r="D211" s="44" t="s">
        <v>40</v>
      </c>
      <c r="E211" s="44" t="n">
        <v>1</v>
      </c>
      <c r="F211" s="44" t="s">
        <v>104</v>
      </c>
      <c r="G211" s="0" t="n">
        <v>38</v>
      </c>
      <c r="H211" s="44" t="n">
        <v>40</v>
      </c>
      <c r="I211" s="0" t="n">
        <f aca="false">VLOOKUP(C211,[1]M0112A!$A$1:$Z$222,24,TRUE())+(G211/100)</f>
        <v>33.51</v>
      </c>
      <c r="J211" s="0" t="n">
        <f aca="false">I211+0.02</f>
        <v>33.53</v>
      </c>
      <c r="K211" s="0" t="s">
        <v>244</v>
      </c>
      <c r="L211" s="36" t="s">
        <v>106</v>
      </c>
      <c r="M211" s="53" t="n">
        <f aca="false">I211-I210</f>
        <v>5.46</v>
      </c>
    </row>
    <row r="212" customFormat="false" ht="14.25" hidden="false" customHeight="false" outlineLevel="0" collapsed="false">
      <c r="A212" s="44" t="s">
        <v>89</v>
      </c>
      <c r="B212" s="44" t="s">
        <v>85</v>
      </c>
      <c r="C212" s="44" t="n">
        <v>21</v>
      </c>
      <c r="D212" s="44" t="s">
        <v>40</v>
      </c>
      <c r="E212" s="44" t="n">
        <v>1</v>
      </c>
      <c r="F212" s="44" t="s">
        <v>104</v>
      </c>
      <c r="G212" s="0" t="n">
        <v>38</v>
      </c>
      <c r="H212" s="44" t="n">
        <v>40</v>
      </c>
      <c r="I212" s="0" t="n">
        <f aca="false">VLOOKUP(C212,[1]M0112A!$A$1:$Z$222,24,TRUE())+(G212/100)</f>
        <v>35.19</v>
      </c>
      <c r="J212" s="0" t="n">
        <f aca="false">I212+0.02</f>
        <v>35.21</v>
      </c>
      <c r="K212" s="0" t="s">
        <v>192</v>
      </c>
      <c r="L212" s="36" t="s">
        <v>106</v>
      </c>
      <c r="M212" s="53" t="n">
        <f aca="false">I212-I211</f>
        <v>1.68</v>
      </c>
    </row>
    <row r="213" customFormat="false" ht="14.25" hidden="false" customHeight="false" outlineLevel="0" collapsed="false">
      <c r="A213" s="44" t="s">
        <v>89</v>
      </c>
      <c r="B213" s="44" t="s">
        <v>85</v>
      </c>
      <c r="C213" s="44" t="n">
        <v>22</v>
      </c>
      <c r="D213" s="44" t="s">
        <v>40</v>
      </c>
      <c r="E213" s="44" t="n">
        <v>1</v>
      </c>
      <c r="F213" s="44" t="s">
        <v>104</v>
      </c>
      <c r="G213" s="0" t="n">
        <v>38</v>
      </c>
      <c r="H213" s="44" t="n">
        <v>40</v>
      </c>
      <c r="I213" s="0" t="n">
        <f aca="false">VLOOKUP(C213,[1]M0112A!$A$1:$Z$222,24,TRUE())+(G213/100)</f>
        <v>37.17</v>
      </c>
      <c r="J213" s="0" t="n">
        <f aca="false">I213+0.02</f>
        <v>37.19</v>
      </c>
      <c r="K213" s="0" t="s">
        <v>245</v>
      </c>
      <c r="L213" s="36" t="s">
        <v>106</v>
      </c>
      <c r="M213" s="53" t="n">
        <f aca="false">I213-I212</f>
        <v>1.98</v>
      </c>
    </row>
    <row r="214" customFormat="false" ht="14.25" hidden="false" customHeight="false" outlineLevel="0" collapsed="false">
      <c r="A214" s="56" t="s">
        <v>89</v>
      </c>
      <c r="B214" s="56" t="s">
        <v>85</v>
      </c>
      <c r="C214" s="56" t="n">
        <v>23</v>
      </c>
      <c r="D214" s="56" t="s">
        <v>40</v>
      </c>
      <c r="E214" s="56" t="n">
        <v>1</v>
      </c>
      <c r="F214" s="56" t="s">
        <v>104</v>
      </c>
      <c r="G214" s="57" t="n">
        <v>38</v>
      </c>
      <c r="H214" s="56" t="n">
        <v>40</v>
      </c>
      <c r="I214" s="57" t="n">
        <f aca="false">VLOOKUP(C214,[1]M0112A!$A$1:$Z$222,24,TRUE())+(G214/100)</f>
        <v>38.97</v>
      </c>
      <c r="J214" s="57" t="n">
        <f aca="false">I214+0.02</f>
        <v>38.99</v>
      </c>
      <c r="K214" s="57" t="s">
        <v>171</v>
      </c>
      <c r="L214" s="60" t="s">
        <v>106</v>
      </c>
      <c r="M214" s="58" t="n">
        <f aca="false">I214-I213</f>
        <v>1.8</v>
      </c>
    </row>
    <row r="215" customFormat="false" ht="14.25" hidden="false" customHeight="false" outlineLevel="0" collapsed="false">
      <c r="A215" s="44" t="s">
        <v>89</v>
      </c>
      <c r="B215" s="44" t="s">
        <v>85</v>
      </c>
      <c r="C215" s="44" t="n">
        <v>24</v>
      </c>
      <c r="D215" s="44" t="s">
        <v>40</v>
      </c>
      <c r="E215" s="44" t="n">
        <v>1</v>
      </c>
      <c r="F215" s="44" t="s">
        <v>104</v>
      </c>
      <c r="G215" s="0" t="n">
        <v>38</v>
      </c>
      <c r="H215" s="44" t="n">
        <v>40</v>
      </c>
      <c r="I215" s="0" t="n">
        <f aca="false">VLOOKUP(C215,[1]M0112A!$A$1:$Z$222,24,TRUE())+(G215/100)</f>
        <v>41.76</v>
      </c>
      <c r="J215" s="0" t="n">
        <f aca="false">I215+0.02</f>
        <v>41.78</v>
      </c>
      <c r="K215" s="0" t="s">
        <v>246</v>
      </c>
      <c r="L215" s="36" t="s">
        <v>106</v>
      </c>
      <c r="M215" s="53" t="n">
        <f aca="false">I215-I214</f>
        <v>2.79</v>
      </c>
    </row>
    <row r="216" customFormat="false" ht="14.25" hidden="false" customHeight="false" outlineLevel="0" collapsed="false">
      <c r="A216" s="44" t="s">
        <v>89</v>
      </c>
      <c r="B216" s="44" t="s">
        <v>85</v>
      </c>
      <c r="C216" s="44" t="n">
        <v>25</v>
      </c>
      <c r="D216" s="44" t="s">
        <v>40</v>
      </c>
      <c r="E216" s="44" t="n">
        <v>1</v>
      </c>
      <c r="F216" s="44" t="s">
        <v>104</v>
      </c>
      <c r="G216" s="0" t="n">
        <v>38</v>
      </c>
      <c r="H216" s="44" t="n">
        <v>40</v>
      </c>
      <c r="I216" s="0" t="n">
        <f aca="false">VLOOKUP(C216,[1]M0112A!$A$1:$Z$222,24,TRUE())+(G216/100)</f>
        <v>44.52</v>
      </c>
      <c r="J216" s="0" t="n">
        <f aca="false">I216+0.02</f>
        <v>44.54</v>
      </c>
      <c r="K216" s="0" t="s">
        <v>247</v>
      </c>
      <c r="L216" s="36" t="s">
        <v>106</v>
      </c>
      <c r="M216" s="53" t="n">
        <f aca="false">I216-I215</f>
        <v>2.76</v>
      </c>
    </row>
    <row r="217" customFormat="false" ht="14.25" hidden="false" customHeight="false" outlineLevel="0" collapsed="false">
      <c r="A217" s="44" t="s">
        <v>89</v>
      </c>
      <c r="B217" s="44" t="s">
        <v>85</v>
      </c>
      <c r="C217" s="44" t="n">
        <v>28</v>
      </c>
      <c r="D217" s="44" t="s">
        <v>40</v>
      </c>
      <c r="E217" s="44" t="n">
        <v>1</v>
      </c>
      <c r="F217" s="44" t="s">
        <v>104</v>
      </c>
      <c r="G217" s="0" t="n">
        <v>38</v>
      </c>
      <c r="H217" s="44" t="n">
        <v>40</v>
      </c>
      <c r="I217" s="0" t="n">
        <f aca="false">VLOOKUP(C217,[1]M0112A!$A$1:$Z$222,24,TRUE())+(G217/100)</f>
        <v>46.81</v>
      </c>
      <c r="J217" s="0" t="n">
        <f aca="false">I217+0.02</f>
        <v>46.83</v>
      </c>
      <c r="K217" s="0" t="s">
        <v>248</v>
      </c>
      <c r="L217" s="36" t="s">
        <v>106</v>
      </c>
      <c r="M217" s="53" t="n">
        <f aca="false">I217-I216</f>
        <v>2.29</v>
      </c>
    </row>
    <row r="218" customFormat="false" ht="14.25" hidden="false" customHeight="false" outlineLevel="0" collapsed="false">
      <c r="A218" s="44" t="s">
        <v>89</v>
      </c>
      <c r="B218" s="44" t="s">
        <v>85</v>
      </c>
      <c r="C218" s="44" t="n">
        <v>29</v>
      </c>
      <c r="D218" s="44" t="s">
        <v>40</v>
      </c>
      <c r="E218" s="44" t="n">
        <v>1</v>
      </c>
      <c r="F218" s="44" t="s">
        <v>104</v>
      </c>
      <c r="G218" s="0" t="n">
        <v>38</v>
      </c>
      <c r="H218" s="44" t="n">
        <v>40</v>
      </c>
      <c r="I218" s="0" t="n">
        <f aca="false">VLOOKUP(C218,[1]M0112A!$A$1:$Z$222,24,TRUE())+(G218/100)</f>
        <v>47.81</v>
      </c>
      <c r="J218" s="0" t="n">
        <f aca="false">I218+0.02</f>
        <v>47.83</v>
      </c>
      <c r="K218" s="0" t="s">
        <v>249</v>
      </c>
      <c r="L218" s="36" t="s">
        <v>106</v>
      </c>
      <c r="M218" s="53" t="n">
        <f aca="false">I218-I217</f>
        <v>1</v>
      </c>
    </row>
    <row r="219" customFormat="false" ht="14.25" hidden="false" customHeight="false" outlineLevel="0" collapsed="false">
      <c r="A219" s="44" t="s">
        <v>89</v>
      </c>
      <c r="B219" s="44" t="s">
        <v>85</v>
      </c>
      <c r="C219" s="44" t="n">
        <v>31</v>
      </c>
      <c r="D219" s="44" t="s">
        <v>40</v>
      </c>
      <c r="E219" s="44" t="n">
        <v>1</v>
      </c>
      <c r="F219" s="44" t="s">
        <v>104</v>
      </c>
      <c r="G219" s="0" t="n">
        <v>38</v>
      </c>
      <c r="H219" s="44" t="n">
        <v>40</v>
      </c>
      <c r="I219" s="0" t="n">
        <f aca="false">VLOOKUP(C219,[1]M0112A!$A$1:$Z$222,24,TRUE())+(G219/100)</f>
        <v>50.34</v>
      </c>
      <c r="J219" s="0" t="n">
        <f aca="false">I219+0.02</f>
        <v>50.36</v>
      </c>
      <c r="K219" s="0" t="s">
        <v>105</v>
      </c>
      <c r="L219" s="36" t="s">
        <v>106</v>
      </c>
      <c r="M219" s="53" t="n">
        <f aca="false">I219-I218</f>
        <v>2.53</v>
      </c>
    </row>
    <row r="220" customFormat="false" ht="14.25" hidden="false" customHeight="false" outlineLevel="0" collapsed="false">
      <c r="A220" s="44" t="s">
        <v>89</v>
      </c>
      <c r="B220" s="44" t="s">
        <v>85</v>
      </c>
      <c r="C220" s="44" t="n">
        <v>32</v>
      </c>
      <c r="D220" s="44" t="s">
        <v>40</v>
      </c>
      <c r="E220" s="44" t="n">
        <v>1</v>
      </c>
      <c r="F220" s="44" t="s">
        <v>104</v>
      </c>
      <c r="G220" s="0" t="n">
        <v>38</v>
      </c>
      <c r="H220" s="44" t="n">
        <v>40</v>
      </c>
      <c r="I220" s="0" t="n">
        <f aca="false">VLOOKUP(C220,[1]M0112A!$A$1:$Z$222,24,TRUE())+(G220/100)</f>
        <v>51.83</v>
      </c>
      <c r="J220" s="0" t="n">
        <f aca="false">I220+0.02</f>
        <v>51.85</v>
      </c>
      <c r="K220" s="0" t="s">
        <v>250</v>
      </c>
      <c r="L220" s="36" t="s">
        <v>106</v>
      </c>
      <c r="M220" s="53" t="n">
        <f aca="false">I220-I219</f>
        <v>1.49</v>
      </c>
    </row>
    <row r="221" customFormat="false" ht="14.25" hidden="false" customHeight="false" outlineLevel="0" collapsed="false">
      <c r="A221" s="44" t="s">
        <v>89</v>
      </c>
      <c r="B221" s="44" t="s">
        <v>85</v>
      </c>
      <c r="C221" s="44" t="n">
        <v>33</v>
      </c>
      <c r="D221" s="44" t="s">
        <v>40</v>
      </c>
      <c r="E221" s="44" t="n">
        <v>1</v>
      </c>
      <c r="F221" s="44" t="s">
        <v>104</v>
      </c>
      <c r="G221" s="0" t="n">
        <v>38</v>
      </c>
      <c r="H221" s="44" t="n">
        <v>40</v>
      </c>
      <c r="I221" s="0" t="n">
        <f aca="false">VLOOKUP(C221,[1]M0112A!$A$1:$Z$222,24,TRUE())+(G221/100)</f>
        <v>53.99</v>
      </c>
      <c r="J221" s="0" t="n">
        <f aca="false">I221+0.02</f>
        <v>54.01</v>
      </c>
      <c r="K221" s="0" t="s">
        <v>250</v>
      </c>
      <c r="L221" s="36" t="s">
        <v>106</v>
      </c>
      <c r="M221" s="53" t="n">
        <f aca="false">I221-I220</f>
        <v>2.16</v>
      </c>
    </row>
    <row r="222" customFormat="false" ht="14.25" hidden="false" customHeight="false" outlineLevel="0" collapsed="false">
      <c r="A222" s="56" t="s">
        <v>89</v>
      </c>
      <c r="B222" s="56" t="s">
        <v>85</v>
      </c>
      <c r="C222" s="56" t="n">
        <v>34</v>
      </c>
      <c r="D222" s="56" t="s">
        <v>40</v>
      </c>
      <c r="E222" s="56" t="n">
        <v>1</v>
      </c>
      <c r="F222" s="56" t="s">
        <v>104</v>
      </c>
      <c r="G222" s="57" t="n">
        <v>38</v>
      </c>
      <c r="H222" s="56" t="n">
        <v>40</v>
      </c>
      <c r="I222" s="57" t="n">
        <f aca="false">VLOOKUP(C222,[1]M0112A!$A$1:$Z$222,24,TRUE())+(G222/100)</f>
        <v>55.53</v>
      </c>
      <c r="J222" s="57" t="n">
        <f aca="false">I222+0.02</f>
        <v>55.55</v>
      </c>
      <c r="K222" s="63" t="s">
        <v>251</v>
      </c>
      <c r="L222" s="60" t="s">
        <v>106</v>
      </c>
      <c r="M222" s="58" t="n">
        <f aca="false">I222-I221</f>
        <v>1.54</v>
      </c>
    </row>
    <row r="223" customFormat="false" ht="14.25" hidden="false" customHeight="false" outlineLevel="0" collapsed="false">
      <c r="A223" s="56" t="s">
        <v>89</v>
      </c>
      <c r="B223" s="56" t="s">
        <v>85</v>
      </c>
      <c r="C223" s="56" t="n">
        <v>36</v>
      </c>
      <c r="D223" s="56" t="s">
        <v>44</v>
      </c>
      <c r="E223" s="56" t="n">
        <v>1</v>
      </c>
      <c r="F223" s="56" t="s">
        <v>104</v>
      </c>
      <c r="G223" s="57" t="n">
        <v>38</v>
      </c>
      <c r="H223" s="56" t="n">
        <v>40</v>
      </c>
      <c r="I223" s="57" t="n">
        <f aca="false">VLOOKUP(C223,[1]M0112A!$A$1:$Z$222,24,TRUE())+(G223/100)</f>
        <v>56.68</v>
      </c>
      <c r="J223" s="57" t="n">
        <f aca="false">I223+0.02</f>
        <v>56.7</v>
      </c>
      <c r="K223" s="63" t="s">
        <v>251</v>
      </c>
      <c r="L223" s="60" t="s">
        <v>106</v>
      </c>
      <c r="M223" s="58" t="n">
        <f aca="false">I223-I222</f>
        <v>1.15</v>
      </c>
    </row>
    <row r="224" customFormat="false" ht="14.25" hidden="false" customHeight="false" outlineLevel="0" collapsed="false">
      <c r="A224" s="44" t="s">
        <v>89</v>
      </c>
      <c r="B224" s="44" t="s">
        <v>85</v>
      </c>
      <c r="C224" s="44" t="n">
        <v>37</v>
      </c>
      <c r="D224" s="44" t="s">
        <v>44</v>
      </c>
      <c r="E224" s="44" t="n">
        <v>1</v>
      </c>
      <c r="F224" s="44" t="s">
        <v>104</v>
      </c>
      <c r="G224" s="0" t="n">
        <v>18</v>
      </c>
      <c r="H224" s="44" t="n">
        <v>20</v>
      </c>
      <c r="I224" s="0" t="n">
        <f aca="false">VLOOKUP(C224,[1]M0112A!$A$1:$Z$222,24,TRUE())+(G224/100)</f>
        <v>59.39</v>
      </c>
      <c r="J224" s="0" t="n">
        <f aca="false">I224+0.02</f>
        <v>59.41</v>
      </c>
      <c r="K224" s="0" t="s">
        <v>252</v>
      </c>
      <c r="L224" s="36" t="s">
        <v>106</v>
      </c>
      <c r="M224" s="53" t="n">
        <f aca="false">I224-I223</f>
        <v>2.71</v>
      </c>
    </row>
    <row r="225" customFormat="false" ht="14.25" hidden="false" customHeight="false" outlineLevel="0" collapsed="false">
      <c r="A225" s="56" t="s">
        <v>89</v>
      </c>
      <c r="B225" s="56" t="s">
        <v>85</v>
      </c>
      <c r="C225" s="56" t="n">
        <v>38</v>
      </c>
      <c r="D225" s="56" t="s">
        <v>44</v>
      </c>
      <c r="E225" s="56" t="n">
        <v>1</v>
      </c>
      <c r="F225" s="56" t="s">
        <v>104</v>
      </c>
      <c r="G225" s="57" t="n">
        <v>28</v>
      </c>
      <c r="H225" s="56" t="n">
        <v>30</v>
      </c>
      <c r="I225" s="57" t="n">
        <f aca="false">VLOOKUP(C225,[1]M0112A!$A$1:$Z$222,24,TRUE())+(G225/100)</f>
        <v>59.89</v>
      </c>
      <c r="J225" s="57" t="n">
        <f aca="false">I225+0.02</f>
        <v>59.91</v>
      </c>
      <c r="K225" s="63" t="s">
        <v>251</v>
      </c>
      <c r="L225" s="60" t="s">
        <v>106</v>
      </c>
      <c r="M225" s="58" t="n">
        <f aca="false">I225-I224</f>
        <v>0.5</v>
      </c>
    </row>
    <row r="226" customFormat="false" ht="14.25" hidden="false" customHeight="false" outlineLevel="0" collapsed="false">
      <c r="A226" s="56" t="s">
        <v>89</v>
      </c>
      <c r="B226" s="56" t="s">
        <v>85</v>
      </c>
      <c r="C226" s="56" t="n">
        <v>39</v>
      </c>
      <c r="D226" s="56" t="s">
        <v>44</v>
      </c>
      <c r="E226" s="56" t="n">
        <v>1</v>
      </c>
      <c r="F226" s="56" t="s">
        <v>104</v>
      </c>
      <c r="G226" s="57" t="n">
        <v>38</v>
      </c>
      <c r="H226" s="56" t="n">
        <v>40</v>
      </c>
      <c r="I226" s="57" t="n">
        <f aca="false">VLOOKUP(C226,[1]M0112A!$A$1:$Z$222,24,TRUE())+(G226/100)</f>
        <v>60.89</v>
      </c>
      <c r="J226" s="57" t="n">
        <f aca="false">I226+0.02</f>
        <v>60.91</v>
      </c>
      <c r="K226" s="63" t="s">
        <v>251</v>
      </c>
      <c r="L226" s="60" t="s">
        <v>106</v>
      </c>
      <c r="M226" s="58" t="n">
        <f aca="false">I226-I225</f>
        <v>1</v>
      </c>
    </row>
    <row r="227" customFormat="false" ht="14.25" hidden="false" customHeight="false" outlineLevel="0" collapsed="false">
      <c r="A227" s="56" t="s">
        <v>89</v>
      </c>
      <c r="B227" s="56" t="s">
        <v>85</v>
      </c>
      <c r="C227" s="56" t="n">
        <v>40</v>
      </c>
      <c r="D227" s="56" t="s">
        <v>44</v>
      </c>
      <c r="E227" s="56" t="n">
        <v>1</v>
      </c>
      <c r="F227" s="56" t="s">
        <v>104</v>
      </c>
      <c r="G227" s="57" t="n">
        <v>38</v>
      </c>
      <c r="H227" s="56" t="n">
        <v>40</v>
      </c>
      <c r="I227" s="57" t="n">
        <f aca="false">VLOOKUP(C227,[1]M0112A!$A$1:$Z$222,24,TRUE())+(G227/100)</f>
        <v>62.59</v>
      </c>
      <c r="J227" s="57" t="n">
        <f aca="false">I227+0.02</f>
        <v>62.61</v>
      </c>
      <c r="K227" s="63" t="s">
        <v>251</v>
      </c>
      <c r="L227" s="60" t="s">
        <v>106</v>
      </c>
      <c r="M227" s="58" t="n">
        <f aca="false">I227-I226</f>
        <v>1.7</v>
      </c>
    </row>
    <row r="228" customFormat="false" ht="14.25" hidden="false" customHeight="false" outlineLevel="0" collapsed="false">
      <c r="A228" s="56" t="s">
        <v>89</v>
      </c>
      <c r="B228" s="56" t="s">
        <v>85</v>
      </c>
      <c r="C228" s="56" t="n">
        <v>41</v>
      </c>
      <c r="D228" s="56" t="s">
        <v>40</v>
      </c>
      <c r="E228" s="56" t="n">
        <v>1</v>
      </c>
      <c r="F228" s="56" t="s">
        <v>104</v>
      </c>
      <c r="G228" s="57" t="n">
        <v>38</v>
      </c>
      <c r="H228" s="56" t="n">
        <v>40</v>
      </c>
      <c r="I228" s="57" t="n">
        <f aca="false">VLOOKUP(C228,[1]M0112A!$A$1:$Z$222,24,TRUE())+(G228/100)</f>
        <v>65.59</v>
      </c>
      <c r="J228" s="57" t="n">
        <f aca="false">I228+0.02</f>
        <v>65.61</v>
      </c>
      <c r="K228" s="63" t="s">
        <v>251</v>
      </c>
      <c r="L228" s="60" t="s">
        <v>106</v>
      </c>
      <c r="M228" s="58" t="n">
        <f aca="false">I228-I227</f>
        <v>2.99999999999999</v>
      </c>
    </row>
    <row r="229" customFormat="false" ht="14.25" hidden="false" customHeight="false" outlineLevel="0" collapsed="false">
      <c r="A229" s="56" t="s">
        <v>89</v>
      </c>
      <c r="B229" s="56" t="s">
        <v>85</v>
      </c>
      <c r="C229" s="56" t="n">
        <v>42</v>
      </c>
      <c r="D229" s="56" t="s">
        <v>40</v>
      </c>
      <c r="E229" s="56" t="n">
        <v>1</v>
      </c>
      <c r="F229" s="56" t="s">
        <v>104</v>
      </c>
      <c r="G229" s="57" t="n">
        <v>38</v>
      </c>
      <c r="H229" s="56" t="n">
        <v>40</v>
      </c>
      <c r="I229" s="57" t="n">
        <f aca="false">VLOOKUP(C229,[1]M0112A!$A$1:$Z$222,24,TRUE())+(G229/100)</f>
        <v>67.97</v>
      </c>
      <c r="J229" s="57" t="n">
        <f aca="false">I229+0.02</f>
        <v>67.99</v>
      </c>
      <c r="K229" s="57" t="s">
        <v>253</v>
      </c>
      <c r="L229" s="60" t="s">
        <v>106</v>
      </c>
      <c r="M229" s="58" t="n">
        <f aca="false">I229-I228</f>
        <v>2.38000000000001</v>
      </c>
    </row>
    <row r="230" customFormat="false" ht="14.25" hidden="false" customHeight="false" outlineLevel="0" collapsed="false">
      <c r="A230" s="56" t="s">
        <v>89</v>
      </c>
      <c r="B230" s="56" t="s">
        <v>85</v>
      </c>
      <c r="C230" s="56" t="n">
        <v>43</v>
      </c>
      <c r="D230" s="56" t="s">
        <v>40</v>
      </c>
      <c r="E230" s="56" t="n">
        <v>1</v>
      </c>
      <c r="F230" s="56" t="s">
        <v>104</v>
      </c>
      <c r="G230" s="57" t="n">
        <v>38</v>
      </c>
      <c r="H230" s="56" t="n">
        <v>40</v>
      </c>
      <c r="I230" s="57" t="n">
        <f aca="false">VLOOKUP(C230,[1]M0112A!$A$1:$Z$222,24,TRUE())+(G230/100)</f>
        <v>68.72</v>
      </c>
      <c r="J230" s="57" t="n">
        <f aca="false">I230+0.02</f>
        <v>68.74</v>
      </c>
      <c r="K230" s="63" t="s">
        <v>254</v>
      </c>
      <c r="L230" s="60" t="s">
        <v>106</v>
      </c>
      <c r="M230" s="58" t="n">
        <f aca="false">I230-I229</f>
        <v>0.75</v>
      </c>
    </row>
    <row r="231" customFormat="false" ht="14.25" hidden="false" customHeight="false" outlineLevel="0" collapsed="false">
      <c r="A231" s="44" t="s">
        <v>89</v>
      </c>
      <c r="B231" s="44" t="s">
        <v>85</v>
      </c>
      <c r="C231" s="44" t="n">
        <v>44</v>
      </c>
      <c r="D231" s="44" t="s">
        <v>40</v>
      </c>
      <c r="E231" s="44" t="n">
        <v>1</v>
      </c>
      <c r="F231" s="44" t="s">
        <v>104</v>
      </c>
      <c r="G231" s="0" t="n">
        <v>38</v>
      </c>
      <c r="H231" s="44" t="n">
        <v>40</v>
      </c>
      <c r="I231" s="0" t="n">
        <f aca="false">VLOOKUP(C231,[1]M0112A!$A$1:$Z$222,24,TRUE())+(G231/100)</f>
        <v>69.8</v>
      </c>
      <c r="J231" s="0" t="n">
        <f aca="false">I231+0.02</f>
        <v>69.82</v>
      </c>
      <c r="K231" s="0" t="s">
        <v>255</v>
      </c>
      <c r="L231" s="36" t="s">
        <v>106</v>
      </c>
      <c r="M231" s="53" t="n">
        <f aca="false">I231-I230</f>
        <v>1.08</v>
      </c>
    </row>
    <row r="232" customFormat="false" ht="14.25" hidden="false" customHeight="false" outlineLevel="0" collapsed="false">
      <c r="A232" s="44" t="s">
        <v>89</v>
      </c>
      <c r="B232" s="44" t="s">
        <v>85</v>
      </c>
      <c r="C232" s="44" t="n">
        <v>45</v>
      </c>
      <c r="D232" s="44" t="s">
        <v>40</v>
      </c>
      <c r="E232" s="44" t="n">
        <v>1</v>
      </c>
      <c r="F232" s="44" t="s">
        <v>104</v>
      </c>
      <c r="G232" s="0" t="n">
        <v>38</v>
      </c>
      <c r="H232" s="44" t="n">
        <v>40</v>
      </c>
      <c r="I232" s="0" t="n">
        <f aca="false">VLOOKUP(C232,[1]M0112A!$A$1:$Z$222,24,TRUE())+(G232/100)</f>
        <v>70.46</v>
      </c>
      <c r="J232" s="0" t="n">
        <f aca="false">I232+0.02</f>
        <v>70.48</v>
      </c>
      <c r="K232" s="0" t="s">
        <v>256</v>
      </c>
      <c r="L232" s="36" t="s">
        <v>106</v>
      </c>
      <c r="M232" s="53" t="n">
        <f aca="false">I232-I231</f>
        <v>0.659999999999997</v>
      </c>
    </row>
    <row r="233" customFormat="false" ht="14.25" hidden="false" customHeight="false" outlineLevel="0" collapsed="false">
      <c r="A233" s="56" t="s">
        <v>89</v>
      </c>
      <c r="B233" s="56" t="s">
        <v>85</v>
      </c>
      <c r="C233" s="56" t="n">
        <v>46</v>
      </c>
      <c r="D233" s="56" t="s">
        <v>40</v>
      </c>
      <c r="E233" s="56" t="n">
        <v>1</v>
      </c>
      <c r="F233" s="56" t="s">
        <v>104</v>
      </c>
      <c r="G233" s="57" t="n">
        <v>38</v>
      </c>
      <c r="H233" s="56" t="n">
        <v>40</v>
      </c>
      <c r="I233" s="57" t="n">
        <f aca="false">VLOOKUP(C233,[1]M0112A!$A$1:$Z$222,24,TRUE())+(G233/100)</f>
        <v>71.49</v>
      </c>
      <c r="J233" s="57" t="n">
        <f aca="false">I233+0.02</f>
        <v>71.51</v>
      </c>
      <c r="K233" s="57" t="s">
        <v>251</v>
      </c>
      <c r="L233" s="60" t="s">
        <v>106</v>
      </c>
      <c r="M233" s="58" t="n">
        <f aca="false">I233-I232</f>
        <v>1.03</v>
      </c>
    </row>
    <row r="234" customFormat="false" ht="14.25" hidden="false" customHeight="false" outlineLevel="0" collapsed="false">
      <c r="A234" s="56" t="s">
        <v>89</v>
      </c>
      <c r="B234" s="56" t="s">
        <v>85</v>
      </c>
      <c r="C234" s="56" t="n">
        <v>47</v>
      </c>
      <c r="D234" s="56" t="s">
        <v>40</v>
      </c>
      <c r="E234" s="56" t="n">
        <v>1</v>
      </c>
      <c r="F234" s="56" t="s">
        <v>104</v>
      </c>
      <c r="G234" s="57" t="n">
        <v>38</v>
      </c>
      <c r="H234" s="56" t="n">
        <v>40</v>
      </c>
      <c r="I234" s="57" t="n">
        <f aca="false">VLOOKUP(C234,[1]M0112A!$A$1:$Z$222,24,TRUE())+(G234/100)</f>
        <v>72.56</v>
      </c>
      <c r="J234" s="57" t="n">
        <f aca="false">I234+0.02</f>
        <v>72.58</v>
      </c>
      <c r="K234" s="57" t="s">
        <v>251</v>
      </c>
      <c r="L234" s="60" t="s">
        <v>106</v>
      </c>
      <c r="M234" s="58" t="n">
        <f aca="false">I234-I233</f>
        <v>1.07000000000001</v>
      </c>
    </row>
    <row r="235" customFormat="false" ht="14.25" hidden="false" customHeight="false" outlineLevel="0" collapsed="false">
      <c r="A235" s="56" t="s">
        <v>89</v>
      </c>
      <c r="B235" s="56" t="s">
        <v>85</v>
      </c>
      <c r="C235" s="56" t="n">
        <v>48</v>
      </c>
      <c r="D235" s="56" t="s">
        <v>40</v>
      </c>
      <c r="E235" s="56" t="n">
        <v>2</v>
      </c>
      <c r="F235" s="56" t="s">
        <v>104</v>
      </c>
      <c r="G235" s="57" t="n">
        <v>38</v>
      </c>
      <c r="H235" s="56" t="n">
        <v>40</v>
      </c>
      <c r="I235" s="57" t="n">
        <v>73.39</v>
      </c>
      <c r="J235" s="57" t="n">
        <f aca="false">I235+0.02</f>
        <v>73.41</v>
      </c>
      <c r="K235" s="63" t="s">
        <v>254</v>
      </c>
      <c r="L235" s="60" t="s">
        <v>106</v>
      </c>
      <c r="M235" s="58" t="n">
        <f aca="false">I235-I234</f>
        <v>0.829999999999998</v>
      </c>
    </row>
    <row r="236" customFormat="false" ht="14.25" hidden="false" customHeight="false" outlineLevel="0" collapsed="false">
      <c r="A236" s="44" t="s">
        <v>89</v>
      </c>
      <c r="B236" s="44" t="s">
        <v>85</v>
      </c>
      <c r="C236" s="44" t="n">
        <v>50</v>
      </c>
      <c r="D236" s="44" t="s">
        <v>44</v>
      </c>
      <c r="E236" s="44" t="n">
        <v>1</v>
      </c>
      <c r="F236" s="44" t="s">
        <v>104</v>
      </c>
      <c r="G236" s="0" t="n">
        <v>38</v>
      </c>
      <c r="H236" s="44" t="n">
        <v>40</v>
      </c>
      <c r="I236" s="0" t="n">
        <f aca="false">VLOOKUP(C236,[1]M0112A!$A$1:$Z$222,24,TRUE())+(G236/100)</f>
        <v>75.77</v>
      </c>
      <c r="J236" s="0" t="n">
        <f aca="false">I236+0.02</f>
        <v>75.79</v>
      </c>
      <c r="K236" s="54" t="s">
        <v>251</v>
      </c>
      <c r="L236" s="36" t="s">
        <v>106</v>
      </c>
      <c r="M236" s="53" t="n">
        <f aca="false">I236-I235</f>
        <v>2.38</v>
      </c>
    </row>
    <row r="237" customFormat="false" ht="14.25" hidden="false" customHeight="false" outlineLevel="0" collapsed="false">
      <c r="A237" s="56" t="s">
        <v>89</v>
      </c>
      <c r="B237" s="56" t="s">
        <v>85</v>
      </c>
      <c r="C237" s="56" t="n">
        <v>51</v>
      </c>
      <c r="D237" s="56" t="s">
        <v>44</v>
      </c>
      <c r="E237" s="56" t="n">
        <v>1</v>
      </c>
      <c r="F237" s="56" t="s">
        <v>104</v>
      </c>
      <c r="G237" s="57" t="n">
        <v>38</v>
      </c>
      <c r="H237" s="56" t="n">
        <v>40</v>
      </c>
      <c r="I237" s="57" t="n">
        <f aca="false">VLOOKUP(C237,[1]M0112A!$A$1:$Z$222,24,TRUE())+(G237/100)</f>
        <v>77.62</v>
      </c>
      <c r="J237" s="57" t="n">
        <f aca="false">I237+0.02</f>
        <v>77.64</v>
      </c>
      <c r="K237" s="57" t="s">
        <v>257</v>
      </c>
      <c r="L237" s="60" t="s">
        <v>106</v>
      </c>
      <c r="M237" s="58" t="n">
        <f aca="false">I237-I236</f>
        <v>1.84999999999999</v>
      </c>
    </row>
    <row r="238" customFormat="false" ht="14.25" hidden="false" customHeight="false" outlineLevel="0" collapsed="false">
      <c r="A238" s="56" t="s">
        <v>89</v>
      </c>
      <c r="B238" s="56" t="s">
        <v>85</v>
      </c>
      <c r="C238" s="56" t="n">
        <v>52</v>
      </c>
      <c r="D238" s="56" t="s">
        <v>44</v>
      </c>
      <c r="E238" s="56" t="n">
        <v>1</v>
      </c>
      <c r="F238" s="56" t="s">
        <v>104</v>
      </c>
      <c r="G238" s="57" t="n">
        <v>38</v>
      </c>
      <c r="H238" s="56" t="n">
        <v>40</v>
      </c>
      <c r="I238" s="57" t="n">
        <f aca="false">VLOOKUP(C238,[1]M0112A!$A$1:$Z$222,24,TRUE())+(G238/100)</f>
        <v>80.59</v>
      </c>
      <c r="J238" s="57" t="n">
        <f aca="false">I238+0.02</f>
        <v>80.61</v>
      </c>
      <c r="K238" s="57" t="s">
        <v>257</v>
      </c>
      <c r="L238" s="60" t="s">
        <v>106</v>
      </c>
      <c r="M238" s="58" t="n">
        <f aca="false">I238-I237</f>
        <v>2.97</v>
      </c>
    </row>
    <row r="239" customFormat="false" ht="14.25" hidden="false" customHeight="false" outlineLevel="0" collapsed="false">
      <c r="A239" s="44" t="s">
        <v>89</v>
      </c>
      <c r="B239" s="44" t="s">
        <v>85</v>
      </c>
      <c r="C239" s="44" t="n">
        <v>53</v>
      </c>
      <c r="D239" s="44" t="s">
        <v>44</v>
      </c>
      <c r="E239" s="44" t="n">
        <v>1</v>
      </c>
      <c r="F239" s="44" t="s">
        <v>104</v>
      </c>
      <c r="G239" s="0" t="n">
        <v>38</v>
      </c>
      <c r="H239" s="44" t="n">
        <v>40</v>
      </c>
      <c r="I239" s="0" t="n">
        <f aca="false">VLOOKUP(C239,[1]M0112A!$A$1:$Z$222,24,TRUE())+(G239/100)</f>
        <v>83.59</v>
      </c>
      <c r="J239" s="0" t="n">
        <f aca="false">I239+0.02</f>
        <v>83.61</v>
      </c>
      <c r="K239" s="0" t="s">
        <v>258</v>
      </c>
      <c r="L239" s="36" t="s">
        <v>106</v>
      </c>
      <c r="M239" s="53" t="n">
        <f aca="false">I239-I238</f>
        <v>3</v>
      </c>
    </row>
    <row r="240" customFormat="false" ht="14.25" hidden="false" customHeight="false" outlineLevel="0" collapsed="false">
      <c r="A240" s="56" t="s">
        <v>89</v>
      </c>
      <c r="B240" s="56" t="s">
        <v>85</v>
      </c>
      <c r="C240" s="56" t="n">
        <v>54</v>
      </c>
      <c r="D240" s="56" t="s">
        <v>44</v>
      </c>
      <c r="E240" s="56" t="n">
        <v>1</v>
      </c>
      <c r="F240" s="56" t="s">
        <v>104</v>
      </c>
      <c r="G240" s="57" t="n">
        <v>38</v>
      </c>
      <c r="H240" s="56" t="n">
        <v>40</v>
      </c>
      <c r="I240" s="57" t="n">
        <f aca="false">VLOOKUP(C240,[1]M0112A!$A$1:$Z$222,24,TRUE())+(G240/100)</f>
        <v>86.59</v>
      </c>
      <c r="J240" s="57" t="n">
        <f aca="false">I240+0.02</f>
        <v>86.61</v>
      </c>
      <c r="K240" s="57" t="s">
        <v>259</v>
      </c>
      <c r="L240" s="60" t="s">
        <v>106</v>
      </c>
      <c r="M240" s="58" t="n">
        <f aca="false">I240-I239</f>
        <v>3</v>
      </c>
    </row>
    <row r="241" customFormat="false" ht="14.25" hidden="false" customHeight="false" outlineLevel="0" collapsed="false">
      <c r="A241" s="56" t="s">
        <v>89</v>
      </c>
      <c r="B241" s="56" t="s">
        <v>85</v>
      </c>
      <c r="C241" s="56" t="n">
        <v>55</v>
      </c>
      <c r="D241" s="56" t="s">
        <v>44</v>
      </c>
      <c r="E241" s="56" t="n">
        <v>1</v>
      </c>
      <c r="F241" s="56" t="s">
        <v>104</v>
      </c>
      <c r="G241" s="57" t="n">
        <v>38</v>
      </c>
      <c r="H241" s="56" t="n">
        <v>40</v>
      </c>
      <c r="I241" s="57" t="n">
        <f aca="false">VLOOKUP(C241,[1]M0112A!$A$1:$Z$222,24,TRUE())+(G241/100)</f>
        <v>88.09</v>
      </c>
      <c r="J241" s="57" t="n">
        <f aca="false">I241+0.02</f>
        <v>88.11</v>
      </c>
      <c r="K241" s="57" t="s">
        <v>259</v>
      </c>
      <c r="L241" s="60" t="s">
        <v>106</v>
      </c>
      <c r="M241" s="58" t="n">
        <f aca="false">I241-I240</f>
        <v>1.5</v>
      </c>
    </row>
    <row r="242" customFormat="false" ht="14.25" hidden="false" customHeight="false" outlineLevel="0" collapsed="false">
      <c r="A242" s="56" t="s">
        <v>89</v>
      </c>
      <c r="B242" s="56" t="s">
        <v>85</v>
      </c>
      <c r="C242" s="56" t="n">
        <v>56</v>
      </c>
      <c r="D242" s="56" t="s">
        <v>44</v>
      </c>
      <c r="E242" s="56" t="n">
        <v>1</v>
      </c>
      <c r="F242" s="56" t="s">
        <v>104</v>
      </c>
      <c r="G242" s="57" t="n">
        <v>38</v>
      </c>
      <c r="H242" s="56" t="n">
        <v>40</v>
      </c>
      <c r="I242" s="57" t="n">
        <f aca="false">VLOOKUP(C242,[1]M0112A!$A$1:$Z$222,24,TRUE())+(G242/100)</f>
        <v>89.59</v>
      </c>
      <c r="J242" s="57" t="n">
        <f aca="false">I242+0.02</f>
        <v>89.61</v>
      </c>
      <c r="K242" s="57" t="s">
        <v>259</v>
      </c>
      <c r="L242" s="60" t="s">
        <v>106</v>
      </c>
      <c r="M242" s="58" t="n">
        <f aca="false">I242-I241</f>
        <v>1.5</v>
      </c>
    </row>
    <row r="243" customFormat="false" ht="14.25" hidden="false" customHeight="false" outlineLevel="0" collapsed="false">
      <c r="A243" s="56" t="s">
        <v>89</v>
      </c>
      <c r="B243" s="56" t="s">
        <v>85</v>
      </c>
      <c r="C243" s="56" t="n">
        <v>57</v>
      </c>
      <c r="D243" s="56" t="s">
        <v>44</v>
      </c>
      <c r="E243" s="56" t="n">
        <v>1</v>
      </c>
      <c r="F243" s="56" t="s">
        <v>104</v>
      </c>
      <c r="G243" s="57" t="n">
        <v>38</v>
      </c>
      <c r="H243" s="56" t="n">
        <v>40</v>
      </c>
      <c r="I243" s="57" t="n">
        <f aca="false">VLOOKUP(C243,[1]M0112A!$A$1:$Z$222,24,TRUE())+(G243/100)</f>
        <v>91.09</v>
      </c>
      <c r="J243" s="57" t="n">
        <f aca="false">I243+0.02</f>
        <v>91.11</v>
      </c>
      <c r="K243" s="57" t="s">
        <v>259</v>
      </c>
      <c r="L243" s="60" t="s">
        <v>106</v>
      </c>
      <c r="M243" s="58" t="n">
        <f aca="false">I243-I242</f>
        <v>1.5</v>
      </c>
    </row>
    <row r="244" customFormat="false" ht="14.25" hidden="false" customHeight="false" outlineLevel="0" collapsed="false">
      <c r="A244" s="44" t="s">
        <v>89</v>
      </c>
      <c r="B244" s="44" t="s">
        <v>85</v>
      </c>
      <c r="C244" s="44" t="n">
        <v>58</v>
      </c>
      <c r="D244" s="44" t="s">
        <v>44</v>
      </c>
      <c r="E244" s="44" t="n">
        <v>1</v>
      </c>
      <c r="F244" s="44" t="s">
        <v>104</v>
      </c>
      <c r="G244" s="0" t="n">
        <v>38</v>
      </c>
      <c r="H244" s="44" t="n">
        <v>40</v>
      </c>
      <c r="I244" s="0" t="n">
        <f aca="false">VLOOKUP(C244,[1]M0112A!$A$1:$Z$222,24,TRUE())+(G244/100)</f>
        <v>92.59</v>
      </c>
      <c r="J244" s="0" t="n">
        <f aca="false">I244+0.02</f>
        <v>92.61</v>
      </c>
      <c r="K244" s="0" t="s">
        <v>260</v>
      </c>
      <c r="L244" s="36" t="s">
        <v>106</v>
      </c>
      <c r="M244" s="53" t="n">
        <f aca="false">I244-I243</f>
        <v>1.5</v>
      </c>
    </row>
    <row r="245" customFormat="false" ht="14.25" hidden="false" customHeight="false" outlineLevel="0" collapsed="false">
      <c r="A245" s="44" t="s">
        <v>89</v>
      </c>
      <c r="B245" s="44" t="s">
        <v>85</v>
      </c>
      <c r="C245" s="44" t="n">
        <v>59</v>
      </c>
      <c r="D245" s="44" t="s">
        <v>44</v>
      </c>
      <c r="E245" s="44" t="n">
        <v>1</v>
      </c>
      <c r="F245" s="44" t="s">
        <v>104</v>
      </c>
      <c r="G245" s="0" t="n">
        <v>38</v>
      </c>
      <c r="H245" s="44" t="n">
        <v>40</v>
      </c>
      <c r="I245" s="0" t="n">
        <f aca="false">VLOOKUP(C245,[1]M0112A!$A$1:$Z$222,24,TRUE())+(G245/100)</f>
        <v>94.09</v>
      </c>
      <c r="J245" s="0" t="n">
        <f aca="false">I245+0.02</f>
        <v>94.11</v>
      </c>
      <c r="K245" s="0" t="s">
        <v>261</v>
      </c>
      <c r="L245" s="36" t="s">
        <v>106</v>
      </c>
      <c r="M245" s="53" t="n">
        <f aca="false">I245-I244</f>
        <v>1.5</v>
      </c>
    </row>
    <row r="246" customFormat="false" ht="14.25" hidden="false" customHeight="false" outlineLevel="0" collapsed="false">
      <c r="A246" s="44" t="s">
        <v>89</v>
      </c>
      <c r="B246" s="44" t="s">
        <v>85</v>
      </c>
      <c r="C246" s="44" t="n">
        <v>60</v>
      </c>
      <c r="D246" s="44" t="s">
        <v>44</v>
      </c>
      <c r="E246" s="44" t="n">
        <v>1</v>
      </c>
      <c r="F246" s="44" t="s">
        <v>104</v>
      </c>
      <c r="G246" s="0" t="n">
        <v>38</v>
      </c>
      <c r="H246" s="44" t="n">
        <v>40</v>
      </c>
      <c r="I246" s="0" t="n">
        <f aca="false">VLOOKUP(C246,[1]M0112A!$A$1:$Z$222,24,TRUE())+(G246/100)</f>
        <v>95.59</v>
      </c>
      <c r="J246" s="0" t="n">
        <f aca="false">I246+0.02</f>
        <v>95.61</v>
      </c>
      <c r="K246" s="0" t="s">
        <v>261</v>
      </c>
      <c r="L246" s="36" t="s">
        <v>106</v>
      </c>
      <c r="M246" s="53" t="n">
        <f aca="false">I246-I245</f>
        <v>1.5</v>
      </c>
    </row>
    <row r="247" customFormat="false" ht="14.25" hidden="false" customHeight="false" outlineLevel="0" collapsed="false">
      <c r="A247" s="44" t="s">
        <v>89</v>
      </c>
      <c r="B247" s="44" t="s">
        <v>85</v>
      </c>
      <c r="C247" s="44" t="n">
        <v>62</v>
      </c>
      <c r="D247" s="44" t="s">
        <v>40</v>
      </c>
      <c r="E247" s="44" t="n">
        <v>1</v>
      </c>
      <c r="F247" s="44" t="s">
        <v>104</v>
      </c>
      <c r="G247" s="0" t="n">
        <v>38</v>
      </c>
      <c r="H247" s="44" t="n">
        <v>40</v>
      </c>
      <c r="I247" s="0" t="n">
        <f aca="false">VLOOKUP(C247,[1]M0112A!$A$1:$Z$222,24,TRUE())+(G247/100)</f>
        <v>97.79</v>
      </c>
      <c r="J247" s="0" t="n">
        <f aca="false">I247+0.02</f>
        <v>97.81</v>
      </c>
      <c r="K247" s="54" t="s">
        <v>262</v>
      </c>
      <c r="L247" s="36" t="s">
        <v>106</v>
      </c>
      <c r="M247" s="53" t="n">
        <f aca="false">I247-I246</f>
        <v>2.2</v>
      </c>
    </row>
    <row r="248" customFormat="false" ht="14.25" hidden="false" customHeight="false" outlineLevel="0" collapsed="false">
      <c r="A248" s="44" t="s">
        <v>89</v>
      </c>
      <c r="B248" s="44" t="s">
        <v>85</v>
      </c>
      <c r="C248" s="44" t="n">
        <v>63</v>
      </c>
      <c r="D248" s="44" t="s">
        <v>44</v>
      </c>
      <c r="E248" s="44" t="n">
        <v>1</v>
      </c>
      <c r="F248" s="44" t="s">
        <v>104</v>
      </c>
      <c r="G248" s="0" t="n">
        <v>8</v>
      </c>
      <c r="H248" s="44" t="n">
        <v>10</v>
      </c>
      <c r="I248" s="0" t="n">
        <f aca="false">VLOOKUP(C248,[1]M0112A!$A$1:$Z$222,24,TRUE())+(G248/100)</f>
        <v>98.94</v>
      </c>
      <c r="J248" s="0" t="n">
        <f aca="false">I248+0.02</f>
        <v>98.96</v>
      </c>
      <c r="K248" s="0" t="s">
        <v>263</v>
      </c>
      <c r="L248" s="36" t="s">
        <v>264</v>
      </c>
      <c r="M248" s="53" t="n">
        <f aca="false">I248-I247</f>
        <v>1.15000000000001</v>
      </c>
    </row>
    <row r="249" customFormat="false" ht="14.25" hidden="false" customHeight="false" outlineLevel="0" collapsed="false">
      <c r="A249" s="44" t="s">
        <v>89</v>
      </c>
      <c r="B249" s="44" t="s">
        <v>85</v>
      </c>
      <c r="C249" s="44" t="n">
        <v>67</v>
      </c>
      <c r="D249" s="44" t="s">
        <v>40</v>
      </c>
      <c r="E249" s="44" t="n">
        <v>1</v>
      </c>
      <c r="F249" s="44" t="s">
        <v>104</v>
      </c>
      <c r="G249" s="0" t="n">
        <v>38</v>
      </c>
      <c r="H249" s="44" t="n">
        <v>40</v>
      </c>
      <c r="I249" s="0" t="n">
        <f aca="false">VLOOKUP(C249,[1]M0112A!$A$1:$Z$222,24,TRUE())+(G249/100)</f>
        <v>102.71</v>
      </c>
      <c r="J249" s="0" t="n">
        <f aca="false">I249+0.02</f>
        <v>102.73</v>
      </c>
      <c r="K249" s="54" t="s">
        <v>263</v>
      </c>
      <c r="L249" s="36" t="s">
        <v>106</v>
      </c>
      <c r="M249" s="53" t="n">
        <f aca="false">I249-I248</f>
        <v>3.77</v>
      </c>
    </row>
    <row r="250" customFormat="false" ht="14.25" hidden="false" customHeight="false" outlineLevel="0" collapsed="false">
      <c r="A250" s="44" t="s">
        <v>89</v>
      </c>
      <c r="B250" s="44" t="s">
        <v>85</v>
      </c>
      <c r="C250" s="44" t="n">
        <v>68</v>
      </c>
      <c r="D250" s="44" t="s">
        <v>40</v>
      </c>
      <c r="E250" s="44" t="n">
        <v>1</v>
      </c>
      <c r="F250" s="44" t="s">
        <v>104</v>
      </c>
      <c r="G250" s="0" t="n">
        <v>8</v>
      </c>
      <c r="H250" s="44" t="n">
        <v>10</v>
      </c>
      <c r="I250" s="0" t="n">
        <f aca="false">VLOOKUP(C250,[1]M0112A!$A$1:$Z$222,24,TRUE())+(G250/100)</f>
        <v>103.32</v>
      </c>
      <c r="J250" s="0" t="n">
        <f aca="false">I250+0.02</f>
        <v>103.34</v>
      </c>
      <c r="K250" s="0" t="s">
        <v>265</v>
      </c>
      <c r="L250" s="36" t="s">
        <v>264</v>
      </c>
      <c r="M250" s="53" t="n">
        <f aca="false">I250-I249</f>
        <v>0.609999999999999</v>
      </c>
    </row>
    <row r="251" customFormat="false" ht="14.25" hidden="false" customHeight="false" outlineLevel="0" collapsed="false">
      <c r="A251" s="44" t="s">
        <v>89</v>
      </c>
      <c r="B251" s="44" t="s">
        <v>85</v>
      </c>
      <c r="C251" s="44" t="n">
        <v>70</v>
      </c>
      <c r="D251" s="44" t="s">
        <v>44</v>
      </c>
      <c r="E251" s="44" t="n">
        <v>1</v>
      </c>
      <c r="F251" s="44" t="s">
        <v>104</v>
      </c>
      <c r="G251" s="0" t="n">
        <v>38</v>
      </c>
      <c r="H251" s="44" t="n">
        <v>40</v>
      </c>
      <c r="I251" s="0" t="n">
        <f aca="false">VLOOKUP(C251,[1]M0112A!$A$1:$Z$222,24,TRUE())+(G251/100)</f>
        <v>104.66</v>
      </c>
      <c r="J251" s="0" t="n">
        <f aca="false">I251+0.02</f>
        <v>104.68</v>
      </c>
      <c r="K251" s="0" t="s">
        <v>266</v>
      </c>
      <c r="L251" s="36" t="s">
        <v>106</v>
      </c>
      <c r="M251" s="53" t="n">
        <f aca="false">I251-I250</f>
        <v>1.34</v>
      </c>
    </row>
    <row r="252" customFormat="false" ht="14.25" hidden="false" customHeight="false" outlineLevel="0" collapsed="false">
      <c r="A252" s="44" t="s">
        <v>89</v>
      </c>
      <c r="B252" s="44" t="s">
        <v>85</v>
      </c>
      <c r="C252" s="44" t="n">
        <v>71</v>
      </c>
      <c r="D252" s="44" t="s">
        <v>44</v>
      </c>
      <c r="E252" s="44" t="n">
        <v>1</v>
      </c>
      <c r="F252" s="44" t="s">
        <v>104</v>
      </c>
      <c r="G252" s="0" t="n">
        <v>12</v>
      </c>
      <c r="H252" s="44" t="n">
        <v>14</v>
      </c>
      <c r="I252" s="0" t="n">
        <f aca="false">VLOOKUP(C252,[1]M0112A!$A$1:$Z$222,24,TRUE())+(G252/100)</f>
        <v>107.33</v>
      </c>
      <c r="J252" s="0" t="n">
        <f aca="false">I252+0.02</f>
        <v>107.35</v>
      </c>
      <c r="K252" s="0" t="s">
        <v>267</v>
      </c>
      <c r="L252" s="36" t="s">
        <v>106</v>
      </c>
      <c r="M252" s="53" t="n">
        <f aca="false">I252-I251</f>
        <v>2.67</v>
      </c>
    </row>
    <row r="253" customFormat="false" ht="14.25" hidden="false" customHeight="false" outlineLevel="0" collapsed="false">
      <c r="A253" s="44" t="s">
        <v>89</v>
      </c>
      <c r="B253" s="44" t="s">
        <v>85</v>
      </c>
      <c r="C253" s="44" t="n">
        <v>72</v>
      </c>
      <c r="D253" s="44" t="s">
        <v>40</v>
      </c>
      <c r="E253" s="44" t="n">
        <v>1</v>
      </c>
      <c r="F253" s="44" t="s">
        <v>104</v>
      </c>
      <c r="G253" s="0" t="n">
        <v>18</v>
      </c>
      <c r="H253" s="44" t="n">
        <v>20</v>
      </c>
      <c r="I253" s="0" t="n">
        <f aca="false">VLOOKUP(C253,[1]M0112A!$A$1:$Z$222,24,TRUE())+(G253/100)</f>
        <v>110.39</v>
      </c>
      <c r="J253" s="0" t="n">
        <f aca="false">I253+0.02</f>
        <v>110.41</v>
      </c>
      <c r="K253" s="0" t="s">
        <v>268</v>
      </c>
      <c r="L253" s="36" t="s">
        <v>106</v>
      </c>
      <c r="M253" s="53" t="n">
        <f aca="false">I253-I252</f>
        <v>3.06</v>
      </c>
    </row>
    <row r="254" customFormat="false" ht="14.25" hidden="false" customHeight="false" outlineLevel="0" collapsed="false">
      <c r="A254" s="44" t="s">
        <v>89</v>
      </c>
      <c r="B254" s="44" t="s">
        <v>85</v>
      </c>
      <c r="C254" s="44" t="n">
        <v>75</v>
      </c>
      <c r="D254" s="44" t="s">
        <v>40</v>
      </c>
      <c r="E254" s="44" t="n">
        <v>1</v>
      </c>
      <c r="F254" s="44" t="s">
        <v>104</v>
      </c>
      <c r="G254" s="0" t="n">
        <v>8</v>
      </c>
      <c r="H254" s="44" t="n">
        <v>10</v>
      </c>
      <c r="I254" s="0" t="n">
        <f aca="false">VLOOKUP(C254,[1]M0112A!$A$1:$Z$222,24,TRUE())+(G254/100)</f>
        <v>113.29</v>
      </c>
      <c r="J254" s="0" t="n">
        <f aca="false">I254+0.02</f>
        <v>113.31</v>
      </c>
      <c r="K254" s="0" t="s">
        <v>269</v>
      </c>
      <c r="L254" s="36" t="s">
        <v>106</v>
      </c>
      <c r="M254" s="53" t="n">
        <f aca="false">I254-I253</f>
        <v>2.89999999999999</v>
      </c>
    </row>
    <row r="255" customFormat="false" ht="14.25" hidden="false" customHeight="false" outlineLevel="0" collapsed="false">
      <c r="A255" s="44" t="s">
        <v>89</v>
      </c>
      <c r="B255" s="44" t="s">
        <v>85</v>
      </c>
      <c r="C255" s="44" t="n">
        <v>78</v>
      </c>
      <c r="D255" s="44" t="s">
        <v>40</v>
      </c>
      <c r="E255" s="44" t="n">
        <v>1</v>
      </c>
      <c r="F255" s="44" t="s">
        <v>104</v>
      </c>
      <c r="G255" s="0" t="n">
        <v>38</v>
      </c>
      <c r="H255" s="44" t="n">
        <v>40</v>
      </c>
      <c r="I255" s="0" t="n">
        <f aca="false">VLOOKUP(C255,[1]M0112A!$A$1:$Z$222,24,TRUE())+(G255/100)</f>
        <v>115.59</v>
      </c>
      <c r="J255" s="0" t="n">
        <f aca="false">I255+0.02</f>
        <v>115.61</v>
      </c>
      <c r="K255" s="0" t="s">
        <v>270</v>
      </c>
      <c r="L255" s="36" t="s">
        <v>106</v>
      </c>
      <c r="M255" s="53" t="n">
        <f aca="false">I255-I254</f>
        <v>2.3</v>
      </c>
    </row>
    <row r="256" customFormat="false" ht="14.25" hidden="false" customHeight="false" outlineLevel="0" collapsed="false">
      <c r="A256" s="44" t="s">
        <v>89</v>
      </c>
      <c r="B256" s="44" t="s">
        <v>85</v>
      </c>
      <c r="C256" s="44" t="n">
        <v>81</v>
      </c>
      <c r="D256" s="44" t="s">
        <v>44</v>
      </c>
      <c r="E256" s="44" t="n">
        <v>1</v>
      </c>
      <c r="F256" s="44" t="s">
        <v>104</v>
      </c>
      <c r="G256" s="0" t="n">
        <v>8</v>
      </c>
      <c r="H256" s="44" t="n">
        <v>10</v>
      </c>
      <c r="I256" s="0" t="n">
        <f aca="false">VLOOKUP(C256,[1]M0112A!$A$1:$Z$222,24,TRUE())+(G256/100)</f>
        <v>117.28</v>
      </c>
      <c r="J256" s="0" t="n">
        <f aca="false">I256+0.02</f>
        <v>117.3</v>
      </c>
      <c r="K256" s="0" t="s">
        <v>270</v>
      </c>
      <c r="L256" s="36" t="s">
        <v>106</v>
      </c>
      <c r="M256" s="53" t="n">
        <f aca="false">I256-I255</f>
        <v>1.69000000000001</v>
      </c>
    </row>
    <row r="257" customFormat="false" ht="14.25" hidden="false" customHeight="false" outlineLevel="0" collapsed="false">
      <c r="A257" s="44" t="s">
        <v>89</v>
      </c>
      <c r="B257" s="44" t="s">
        <v>85</v>
      </c>
      <c r="C257" s="44" t="n">
        <v>82</v>
      </c>
      <c r="D257" s="44" t="s">
        <v>40</v>
      </c>
      <c r="E257" s="44" t="n">
        <v>1</v>
      </c>
      <c r="F257" s="44" t="s">
        <v>104</v>
      </c>
      <c r="G257" s="0" t="n">
        <v>38</v>
      </c>
      <c r="H257" s="44" t="n">
        <v>40</v>
      </c>
      <c r="I257" s="0" t="n">
        <f aca="false">VLOOKUP(C257,[1]M0112A!$A$1:$Z$222,24,TRUE())+(G257/100)</f>
        <v>119.59</v>
      </c>
      <c r="J257" s="0" t="n">
        <f aca="false">I257+0.02</f>
        <v>119.61</v>
      </c>
      <c r="K257" s="54" t="s">
        <v>271</v>
      </c>
      <c r="L257" s="36" t="s">
        <v>106</v>
      </c>
      <c r="M257" s="53" t="n">
        <f aca="false">I257-I256</f>
        <v>2.30999999999999</v>
      </c>
    </row>
    <row r="258" customFormat="false" ht="14.25" hidden="false" customHeight="false" outlineLevel="0" collapsed="false">
      <c r="A258" s="44" t="s">
        <v>89</v>
      </c>
      <c r="B258" s="44" t="s">
        <v>85</v>
      </c>
      <c r="C258" s="44" t="n">
        <v>84</v>
      </c>
      <c r="D258" s="44" t="s">
        <v>40</v>
      </c>
      <c r="E258" s="44" t="n">
        <v>1</v>
      </c>
      <c r="F258" s="44" t="s">
        <v>104</v>
      </c>
      <c r="G258" s="0" t="n">
        <v>38</v>
      </c>
      <c r="H258" s="44" t="n">
        <v>40</v>
      </c>
      <c r="I258" s="0" t="n">
        <f aca="false">VLOOKUP(C258,[1]M0112A!$A$1:$Z$222,24,TRUE())+(G258/100)</f>
        <v>120.74</v>
      </c>
      <c r="J258" s="0" t="n">
        <f aca="false">I258+0.02</f>
        <v>120.76</v>
      </c>
      <c r="K258" s="54" t="s">
        <v>272</v>
      </c>
      <c r="L258" s="36" t="s">
        <v>106</v>
      </c>
      <c r="M258" s="53" t="n">
        <f aca="false">I258-I257</f>
        <v>1.15000000000001</v>
      </c>
    </row>
    <row r="259" customFormat="false" ht="14.25" hidden="false" customHeight="false" outlineLevel="0" collapsed="false">
      <c r="A259" s="44" t="s">
        <v>89</v>
      </c>
      <c r="B259" s="44" t="s">
        <v>85</v>
      </c>
      <c r="C259" s="44" t="n">
        <v>85</v>
      </c>
      <c r="D259" s="44" t="s">
        <v>40</v>
      </c>
      <c r="E259" s="44" t="n">
        <v>1</v>
      </c>
      <c r="F259" s="44" t="s">
        <v>104</v>
      </c>
      <c r="G259" s="0" t="n">
        <v>38</v>
      </c>
      <c r="H259" s="44" t="n">
        <v>40</v>
      </c>
      <c r="I259" s="0" t="n">
        <f aca="false">VLOOKUP(C259,[1]M0112A!$A$1:$Z$222,24,TRUE())+(G259/100)</f>
        <v>121.95</v>
      </c>
      <c r="J259" s="0" t="n">
        <f aca="false">I259+0.02</f>
        <v>121.97</v>
      </c>
      <c r="K259" s="0" t="s">
        <v>273</v>
      </c>
      <c r="L259" s="36" t="s">
        <v>106</v>
      </c>
      <c r="M259" s="53" t="n">
        <f aca="false">I259-I258</f>
        <v>1.20999999999999</v>
      </c>
    </row>
    <row r="260" customFormat="false" ht="14.25" hidden="false" customHeight="false" outlineLevel="0" collapsed="false">
      <c r="A260" s="44" t="s">
        <v>89</v>
      </c>
      <c r="B260" s="44" t="s">
        <v>85</v>
      </c>
      <c r="C260" s="44" t="n">
        <v>86</v>
      </c>
      <c r="D260" s="44" t="s">
        <v>40</v>
      </c>
      <c r="E260" s="44" t="n">
        <v>1</v>
      </c>
      <c r="F260" s="44" t="s">
        <v>104</v>
      </c>
      <c r="G260" s="0" t="n">
        <v>38</v>
      </c>
      <c r="H260" s="44" t="n">
        <v>40</v>
      </c>
      <c r="I260" s="0" t="n">
        <f aca="false">VLOOKUP(C260,[1]M0112A!$A$1:$Z$222,24,TRUE())+(G260/100)</f>
        <v>122.5</v>
      </c>
      <c r="J260" s="0" t="n">
        <f aca="false">I260+0.02</f>
        <v>122.52</v>
      </c>
      <c r="K260" s="0" t="s">
        <v>270</v>
      </c>
      <c r="L260" s="36" t="s">
        <v>106</v>
      </c>
      <c r="M260" s="53" t="n">
        <f aca="false">I260-I259</f>
        <v>0.550000000000011</v>
      </c>
    </row>
    <row r="261" customFormat="false" ht="14.25" hidden="false" customHeight="false" outlineLevel="0" collapsed="false">
      <c r="A261" s="44" t="s">
        <v>89</v>
      </c>
      <c r="B261" s="44" t="s">
        <v>85</v>
      </c>
      <c r="C261" s="44" t="n">
        <v>87</v>
      </c>
      <c r="D261" s="44" t="s">
        <v>40</v>
      </c>
      <c r="E261" s="44" t="n">
        <v>1</v>
      </c>
      <c r="F261" s="44" t="s">
        <v>104</v>
      </c>
      <c r="G261" s="0" t="n">
        <v>8</v>
      </c>
      <c r="H261" s="44" t="n">
        <v>10</v>
      </c>
      <c r="I261" s="0" t="n">
        <f aca="false">VLOOKUP(C261,[1]M0112A!$A$1:$Z$222,24,TRUE())+(G261/100)</f>
        <v>124.23</v>
      </c>
      <c r="J261" s="0" t="n">
        <f aca="false">I261+0.02</f>
        <v>124.25</v>
      </c>
      <c r="K261" s="0" t="s">
        <v>270</v>
      </c>
      <c r="L261" s="36" t="s">
        <v>106</v>
      </c>
      <c r="M261" s="53" t="n">
        <f aca="false">I261-I260</f>
        <v>1.73</v>
      </c>
    </row>
    <row r="262" customFormat="false" ht="14.25" hidden="false" customHeight="false" outlineLevel="0" collapsed="false">
      <c r="A262" s="56" t="s">
        <v>89</v>
      </c>
      <c r="B262" s="56" t="s">
        <v>85</v>
      </c>
      <c r="C262" s="56" t="n">
        <v>89</v>
      </c>
      <c r="D262" s="56" t="s">
        <v>40</v>
      </c>
      <c r="E262" s="56" t="n">
        <v>1</v>
      </c>
      <c r="F262" s="56" t="s">
        <v>104</v>
      </c>
      <c r="G262" s="57" t="n">
        <v>38</v>
      </c>
      <c r="H262" s="56" t="n">
        <v>40</v>
      </c>
      <c r="I262" s="57" t="n">
        <f aca="false">VLOOKUP(C262,[1]M0112A!$A$1:$Z$222,24,TRUE())+(G262/100)</f>
        <v>124.85</v>
      </c>
      <c r="J262" s="57" t="n">
        <f aca="false">I262+0.02</f>
        <v>124.87</v>
      </c>
      <c r="K262" s="57" t="s">
        <v>274</v>
      </c>
      <c r="L262" s="60" t="s">
        <v>106</v>
      </c>
      <c r="M262" s="58" t="n">
        <f aca="false">I262-I261</f>
        <v>0.61999999999999</v>
      </c>
    </row>
    <row r="263" customFormat="false" ht="14.25" hidden="false" customHeight="false" outlineLevel="0" collapsed="false">
      <c r="A263" s="56" t="s">
        <v>89</v>
      </c>
      <c r="B263" s="56" t="s">
        <v>85</v>
      </c>
      <c r="C263" s="56" t="n">
        <v>90</v>
      </c>
      <c r="D263" s="56" t="s">
        <v>40</v>
      </c>
      <c r="E263" s="56" t="n">
        <v>1</v>
      </c>
      <c r="F263" s="56" t="s">
        <v>104</v>
      </c>
      <c r="G263" s="57" t="n">
        <v>38</v>
      </c>
      <c r="H263" s="56" t="n">
        <v>40</v>
      </c>
      <c r="I263" s="57" t="n">
        <f aca="false">VLOOKUP(C263,[1]M0112A!$A$1:$Z$222,24,TRUE())+(G263/100)</f>
        <v>126.27</v>
      </c>
      <c r="J263" s="57" t="n">
        <f aca="false">I263+0.02</f>
        <v>126.29</v>
      </c>
      <c r="K263" s="63" t="s">
        <v>275</v>
      </c>
      <c r="L263" s="60" t="s">
        <v>106</v>
      </c>
      <c r="M263" s="58" t="n">
        <f aca="false">I263-I262</f>
        <v>1.42</v>
      </c>
    </row>
    <row r="264" customFormat="false" ht="14.25" hidden="false" customHeight="false" outlineLevel="0" collapsed="false">
      <c r="A264" s="44" t="s">
        <v>89</v>
      </c>
      <c r="B264" s="44" t="s">
        <v>85</v>
      </c>
      <c r="C264" s="44" t="n">
        <v>91</v>
      </c>
      <c r="D264" s="44" t="s">
        <v>40</v>
      </c>
      <c r="E264" s="44" t="n">
        <v>1</v>
      </c>
      <c r="F264" s="44" t="s">
        <v>104</v>
      </c>
      <c r="G264" s="0" t="n">
        <v>38</v>
      </c>
      <c r="H264" s="44" t="n">
        <v>40</v>
      </c>
      <c r="I264" s="0" t="n">
        <f aca="false">VLOOKUP(C264,[1]M0112A!$A$1:$Z$222,24,TRUE())+(G264/100)</f>
        <v>126.79</v>
      </c>
      <c r="J264" s="0" t="n">
        <f aca="false">I264+0.02</f>
        <v>126.81</v>
      </c>
      <c r="K264" s="0" t="s">
        <v>276</v>
      </c>
      <c r="L264" s="36" t="s">
        <v>106</v>
      </c>
      <c r="M264" s="53" t="n">
        <f aca="false">I264-I263</f>
        <v>0.519999999999996</v>
      </c>
    </row>
    <row r="265" customFormat="false" ht="14.25" hidden="false" customHeight="false" outlineLevel="0" collapsed="false">
      <c r="A265" s="44" t="s">
        <v>89</v>
      </c>
      <c r="B265" s="44" t="s">
        <v>85</v>
      </c>
      <c r="C265" s="44" t="n">
        <v>92</v>
      </c>
      <c r="D265" s="44" t="s">
        <v>40</v>
      </c>
      <c r="E265" s="44" t="n">
        <v>1</v>
      </c>
      <c r="F265" s="44" t="s">
        <v>104</v>
      </c>
      <c r="G265" s="0" t="n">
        <v>38</v>
      </c>
      <c r="H265" s="44" t="n">
        <v>40</v>
      </c>
      <c r="I265" s="0" t="n">
        <f aca="false">VLOOKUP(C265,[1]M0112A!$A$1:$Z$222,24,TRUE())+(G265/100)</f>
        <v>128.81</v>
      </c>
      <c r="J265" s="0" t="n">
        <f aca="false">I265+0.02</f>
        <v>128.83</v>
      </c>
      <c r="K265" s="54" t="s">
        <v>277</v>
      </c>
      <c r="L265" s="36" t="s">
        <v>106</v>
      </c>
      <c r="M265" s="53" t="n">
        <f aca="false">I265-I264</f>
        <v>2.02000000000001</v>
      </c>
    </row>
    <row r="266" customFormat="false" ht="14.25" hidden="false" customHeight="false" outlineLevel="0" collapsed="false">
      <c r="A266" s="44" t="s">
        <v>89</v>
      </c>
      <c r="B266" s="44" t="s">
        <v>85</v>
      </c>
      <c r="C266" s="44" t="n">
        <v>93</v>
      </c>
      <c r="D266" s="44" t="s">
        <v>40</v>
      </c>
      <c r="E266" s="44" t="n">
        <v>1</v>
      </c>
      <c r="F266" s="44" t="s">
        <v>104</v>
      </c>
      <c r="G266" s="0" t="n">
        <v>38</v>
      </c>
      <c r="H266" s="44" t="n">
        <v>40</v>
      </c>
      <c r="I266" s="0" t="n">
        <f aca="false">VLOOKUP(C266,[1]M0112A!$A$1:$Z$222,24,TRUE())+(G266/100)</f>
        <v>131.11</v>
      </c>
      <c r="J266" s="0" t="n">
        <f aca="false">I266+0.02</f>
        <v>131.13</v>
      </c>
      <c r="K266" s="54" t="s">
        <v>277</v>
      </c>
      <c r="L266" s="36" t="s">
        <v>106</v>
      </c>
      <c r="M266" s="53" t="n">
        <f aca="false">I266-I265</f>
        <v>2.29999999999998</v>
      </c>
    </row>
    <row r="267" customFormat="false" ht="14.25" hidden="false" customHeight="false" outlineLevel="0" collapsed="false">
      <c r="A267" s="44" t="s">
        <v>89</v>
      </c>
      <c r="B267" s="44" t="s">
        <v>85</v>
      </c>
      <c r="C267" s="44" t="n">
        <v>94</v>
      </c>
      <c r="D267" s="44" t="s">
        <v>40</v>
      </c>
      <c r="E267" s="44" t="n">
        <v>1</v>
      </c>
      <c r="F267" s="44" t="s">
        <v>104</v>
      </c>
      <c r="G267" s="0" t="n">
        <v>38</v>
      </c>
      <c r="H267" s="44" t="n">
        <v>40</v>
      </c>
      <c r="I267" s="0" t="n">
        <f aca="false">VLOOKUP(C267,[1]M0112A!$A$1:$Z$222,24,TRUE())+(G267/100)</f>
        <v>133.97</v>
      </c>
      <c r="J267" s="0" t="n">
        <f aca="false">I267+0.02</f>
        <v>133.99</v>
      </c>
      <c r="K267" s="54" t="s">
        <v>278</v>
      </c>
      <c r="L267" s="36" t="s">
        <v>106</v>
      </c>
      <c r="M267" s="53" t="n">
        <f aca="false">I267-I266</f>
        <v>2.86000000000001</v>
      </c>
    </row>
    <row r="268" customFormat="false" ht="14.25" hidden="false" customHeight="false" outlineLevel="0" collapsed="false">
      <c r="A268" s="44" t="s">
        <v>89</v>
      </c>
      <c r="B268" s="44" t="s">
        <v>85</v>
      </c>
      <c r="C268" s="44" t="n">
        <v>95</v>
      </c>
      <c r="D268" s="44" t="s">
        <v>40</v>
      </c>
      <c r="E268" s="44" t="n">
        <v>1</v>
      </c>
      <c r="F268" s="44" t="s">
        <v>104</v>
      </c>
      <c r="G268" s="0" t="n">
        <v>38</v>
      </c>
      <c r="H268" s="44" t="n">
        <v>40</v>
      </c>
      <c r="I268" s="0" t="n">
        <f aca="false">VLOOKUP(C268,[1]M0112A!$A$1:$Z$222,24,TRUE())+(G268/100)</f>
        <v>136.62</v>
      </c>
      <c r="J268" s="0" t="n">
        <f aca="false">I268+0.02</f>
        <v>136.64</v>
      </c>
      <c r="K268" s="0" t="s">
        <v>279</v>
      </c>
      <c r="L268" s="36" t="s">
        <v>106</v>
      </c>
      <c r="M268" s="53" t="n">
        <f aca="false">I268-I267</f>
        <v>2.65000000000001</v>
      </c>
    </row>
    <row r="269" customFormat="false" ht="14.25" hidden="false" customHeight="false" outlineLevel="0" collapsed="false">
      <c r="A269" s="44" t="s">
        <v>89</v>
      </c>
      <c r="B269" s="44" t="s">
        <v>85</v>
      </c>
      <c r="C269" s="44" t="n">
        <v>96</v>
      </c>
      <c r="D269" s="44" t="s">
        <v>40</v>
      </c>
      <c r="E269" s="44" t="n">
        <v>1</v>
      </c>
      <c r="F269" s="44" t="s">
        <v>104</v>
      </c>
      <c r="G269" s="0" t="n">
        <v>38</v>
      </c>
      <c r="H269" s="44" t="n">
        <v>40</v>
      </c>
      <c r="I269" s="0" t="n">
        <f aca="false">VLOOKUP(C269,[1]M0112A!$A$1:$Z$222,24,TRUE())+(G269/100)</f>
        <v>138.6</v>
      </c>
      <c r="J269" s="0" t="n">
        <f aca="false">I269+0.02</f>
        <v>138.62</v>
      </c>
      <c r="K269" s="0" t="s">
        <v>280</v>
      </c>
      <c r="L269" s="36" t="s">
        <v>106</v>
      </c>
      <c r="M269" s="53" t="n">
        <f aca="false">I269-I268</f>
        <v>1.97999999999999</v>
      </c>
    </row>
    <row r="270" customFormat="false" ht="14.25" hidden="false" customHeight="false" outlineLevel="0" collapsed="false">
      <c r="A270" s="56" t="s">
        <v>89</v>
      </c>
      <c r="B270" s="56" t="s">
        <v>85</v>
      </c>
      <c r="C270" s="56" t="n">
        <v>99</v>
      </c>
      <c r="D270" s="56" t="s">
        <v>44</v>
      </c>
      <c r="E270" s="56" t="n">
        <v>1</v>
      </c>
      <c r="F270" s="56" t="s">
        <v>104</v>
      </c>
      <c r="G270" s="57" t="n">
        <v>38</v>
      </c>
      <c r="H270" s="56" t="n">
        <v>40</v>
      </c>
      <c r="I270" s="57" t="n">
        <f aca="false">VLOOKUP(C270,[1]M0112A!$A$1:$Z$222,24,TRUE())+(G270/100)</f>
        <v>141.59</v>
      </c>
      <c r="J270" s="57" t="n">
        <f aca="false">I270+0.02</f>
        <v>141.61</v>
      </c>
      <c r="K270" s="57" t="s">
        <v>251</v>
      </c>
      <c r="L270" s="60" t="s">
        <v>106</v>
      </c>
      <c r="M270" s="58" t="n">
        <f aca="false">I270-I269</f>
        <v>2.99000000000001</v>
      </c>
    </row>
    <row r="271" customFormat="false" ht="14.25" hidden="false" customHeight="false" outlineLevel="0" collapsed="false">
      <c r="A271" s="56" t="s">
        <v>89</v>
      </c>
      <c r="B271" s="56" t="s">
        <v>85</v>
      </c>
      <c r="C271" s="56" t="n">
        <v>100</v>
      </c>
      <c r="D271" s="56" t="s">
        <v>44</v>
      </c>
      <c r="E271" s="56" t="n">
        <v>1</v>
      </c>
      <c r="F271" s="56" t="s">
        <v>104</v>
      </c>
      <c r="G271" s="57" t="n">
        <v>38</v>
      </c>
      <c r="H271" s="56" t="n">
        <v>40</v>
      </c>
      <c r="I271" s="57" t="n">
        <f aca="false">VLOOKUP(C271,[1]M0112A!$A$1:$Z$222,24,TRUE())+(G271/100)</f>
        <v>142.59</v>
      </c>
      <c r="J271" s="57" t="n">
        <f aca="false">I271+0.02</f>
        <v>142.61</v>
      </c>
      <c r="K271" s="63" t="s">
        <v>251</v>
      </c>
      <c r="L271" s="60" t="s">
        <v>106</v>
      </c>
      <c r="M271" s="58" t="n">
        <f aca="false">I271-I270</f>
        <v>1</v>
      </c>
    </row>
    <row r="272" customFormat="false" ht="14.25" hidden="false" customHeight="false" outlineLevel="0" collapsed="false">
      <c r="A272" s="56" t="s">
        <v>89</v>
      </c>
      <c r="B272" s="56" t="s">
        <v>85</v>
      </c>
      <c r="C272" s="56" t="n">
        <v>101</v>
      </c>
      <c r="D272" s="56" t="s">
        <v>44</v>
      </c>
      <c r="E272" s="56" t="n">
        <v>1</v>
      </c>
      <c r="F272" s="56" t="s">
        <v>104</v>
      </c>
      <c r="G272" s="57" t="n">
        <v>38</v>
      </c>
      <c r="H272" s="56" t="n">
        <v>40</v>
      </c>
      <c r="I272" s="57" t="n">
        <f aca="false">VLOOKUP(C272,[1]M0112A!$A$1:$Z$222,24,TRUE())+(G272/100)</f>
        <v>143.59</v>
      </c>
      <c r="J272" s="57" t="n">
        <f aca="false">I272+0.02</f>
        <v>143.61</v>
      </c>
      <c r="K272" s="63" t="s">
        <v>251</v>
      </c>
      <c r="L272" s="60" t="s">
        <v>106</v>
      </c>
      <c r="M272" s="58" t="n">
        <f aca="false">I272-I271</f>
        <v>1</v>
      </c>
    </row>
    <row r="273" customFormat="false" ht="14.25" hidden="false" customHeight="false" outlineLevel="0" collapsed="false">
      <c r="A273" s="56" t="s">
        <v>89</v>
      </c>
      <c r="B273" s="56" t="s">
        <v>85</v>
      </c>
      <c r="C273" s="56" t="n">
        <v>102</v>
      </c>
      <c r="D273" s="56" t="s">
        <v>44</v>
      </c>
      <c r="E273" s="56" t="n">
        <v>1</v>
      </c>
      <c r="F273" s="56" t="s">
        <v>104</v>
      </c>
      <c r="G273" s="57" t="n">
        <v>38</v>
      </c>
      <c r="H273" s="56" t="n">
        <v>40</v>
      </c>
      <c r="I273" s="57" t="n">
        <f aca="false">VLOOKUP(C273,[1]M0112A!$A$1:$Z$222,24,TRUE())+(G273/100)</f>
        <v>146.59</v>
      </c>
      <c r="J273" s="57" t="n">
        <f aca="false">I273+0.02</f>
        <v>146.61</v>
      </c>
      <c r="K273" s="63" t="s">
        <v>251</v>
      </c>
      <c r="L273" s="60" t="s">
        <v>106</v>
      </c>
      <c r="M273" s="58" t="n">
        <f aca="false">I273-I272</f>
        <v>3</v>
      </c>
    </row>
    <row r="274" customFormat="false" ht="14.25" hidden="false" customHeight="false" outlineLevel="0" collapsed="false">
      <c r="A274" s="56" t="s">
        <v>89</v>
      </c>
      <c r="B274" s="56" t="s">
        <v>85</v>
      </c>
      <c r="C274" s="56" t="n">
        <v>103</v>
      </c>
      <c r="D274" s="56" t="s">
        <v>44</v>
      </c>
      <c r="E274" s="56" t="n">
        <v>1</v>
      </c>
      <c r="F274" s="56" t="s">
        <v>104</v>
      </c>
      <c r="G274" s="57" t="n">
        <v>48</v>
      </c>
      <c r="H274" s="56" t="n">
        <v>50</v>
      </c>
      <c r="I274" s="57" t="n">
        <f aca="false">VLOOKUP(C274,[1]M0112A!$A$1:$Z$222,24,TRUE())+(G274/100)</f>
        <v>148.69</v>
      </c>
      <c r="J274" s="57" t="n">
        <f aca="false">I274+0.02</f>
        <v>148.71</v>
      </c>
      <c r="K274" s="57" t="s">
        <v>281</v>
      </c>
      <c r="L274" s="60" t="s">
        <v>106</v>
      </c>
      <c r="M274" s="58" t="n">
        <f aca="false">I274-I273</f>
        <v>2.09999999999999</v>
      </c>
    </row>
    <row r="275" customFormat="false" ht="14.25" hidden="false" customHeight="false" outlineLevel="0" collapsed="false">
      <c r="A275" s="56" t="s">
        <v>89</v>
      </c>
      <c r="B275" s="56" t="s">
        <v>85</v>
      </c>
      <c r="C275" s="56" t="n">
        <v>104</v>
      </c>
      <c r="D275" s="56" t="s">
        <v>44</v>
      </c>
      <c r="E275" s="56" t="n">
        <v>1</v>
      </c>
      <c r="F275" s="56" t="s">
        <v>104</v>
      </c>
      <c r="G275" s="57" t="n">
        <v>28</v>
      </c>
      <c r="H275" s="56" t="n">
        <v>30</v>
      </c>
      <c r="I275" s="57" t="n">
        <f aca="false">VLOOKUP(C275,[1]M0112A!$A$1:$Z$222,24,TRUE())+(G275/100)</f>
        <v>150.49</v>
      </c>
      <c r="J275" s="57" t="n">
        <f aca="false">I275+0.02</f>
        <v>150.51</v>
      </c>
      <c r="K275" s="57" t="s">
        <v>282</v>
      </c>
      <c r="L275" s="60" t="s">
        <v>106</v>
      </c>
      <c r="M275" s="58" t="n">
        <f aca="false">I275-I274</f>
        <v>1.80000000000001</v>
      </c>
    </row>
    <row r="276" customFormat="false" ht="14.25" hidden="false" customHeight="false" outlineLevel="0" collapsed="false">
      <c r="A276" s="44" t="s">
        <v>89</v>
      </c>
      <c r="B276" s="44" t="s">
        <v>85</v>
      </c>
      <c r="C276" s="44" t="n">
        <v>106</v>
      </c>
      <c r="D276" s="44" t="s">
        <v>40</v>
      </c>
      <c r="E276" s="44" t="n">
        <v>1</v>
      </c>
      <c r="F276" s="44" t="s">
        <v>104</v>
      </c>
      <c r="G276" s="0" t="n">
        <v>8</v>
      </c>
      <c r="H276" s="44" t="n">
        <v>10</v>
      </c>
      <c r="I276" s="0" t="n">
        <f aca="false">VLOOKUP(C276,[1]M0112A!$A$1:$Z$222,24,TRUE())+(G276/100)</f>
        <v>153.44</v>
      </c>
      <c r="J276" s="0" t="n">
        <f aca="false">I276+0.02</f>
        <v>153.46</v>
      </c>
      <c r="K276" s="0" t="s">
        <v>283</v>
      </c>
      <c r="L276" s="36" t="s">
        <v>264</v>
      </c>
      <c r="M276" s="53" t="n">
        <f aca="false">I276-I275</f>
        <v>2.95000000000002</v>
      </c>
    </row>
    <row r="277" customFormat="false" ht="14.25" hidden="false" customHeight="false" outlineLevel="0" collapsed="false">
      <c r="A277" s="44" t="s">
        <v>89</v>
      </c>
      <c r="B277" s="44" t="s">
        <v>85</v>
      </c>
      <c r="C277" s="44" t="n">
        <v>109</v>
      </c>
      <c r="D277" s="44" t="s">
        <v>40</v>
      </c>
      <c r="E277" s="44" t="n">
        <v>1</v>
      </c>
      <c r="F277" s="44" t="s">
        <v>104</v>
      </c>
      <c r="G277" s="0" t="n">
        <v>8</v>
      </c>
      <c r="H277" s="44" t="n">
        <v>10</v>
      </c>
      <c r="I277" s="0" t="n">
        <f aca="false">VLOOKUP(C277,[1]M0112A!$A$1:$Z$222,24,TRUE())+(G277/100)</f>
        <v>155.29</v>
      </c>
      <c r="J277" s="0" t="n">
        <f aca="false">I277+0.02</f>
        <v>155.31</v>
      </c>
      <c r="K277" s="0" t="s">
        <v>283</v>
      </c>
      <c r="L277" s="36" t="s">
        <v>264</v>
      </c>
      <c r="M277" s="53" t="n">
        <f aca="false">I277-I276</f>
        <v>1.84999999999999</v>
      </c>
    </row>
    <row r="278" customFormat="false" ht="14.25" hidden="false" customHeight="false" outlineLevel="0" collapsed="false">
      <c r="A278" s="44" t="s">
        <v>89</v>
      </c>
      <c r="B278" s="44" t="s">
        <v>85</v>
      </c>
      <c r="C278" s="44" t="n">
        <v>111</v>
      </c>
      <c r="D278" s="44" t="s">
        <v>40</v>
      </c>
      <c r="E278" s="44" t="n">
        <v>1</v>
      </c>
      <c r="F278" s="44" t="s">
        <v>104</v>
      </c>
      <c r="G278" s="0" t="n">
        <v>38</v>
      </c>
      <c r="H278" s="44" t="n">
        <v>40</v>
      </c>
      <c r="I278" s="0" t="n">
        <f aca="false">VLOOKUP(C278,[1]M0112A!$A$1:$Z$222,24,TRUE())+(G278/100)</f>
        <v>155.87</v>
      </c>
      <c r="J278" s="0" t="n">
        <f aca="false">I278+0.02</f>
        <v>155.89</v>
      </c>
      <c r="K278" s="0" t="s">
        <v>284</v>
      </c>
      <c r="L278" s="36" t="s">
        <v>106</v>
      </c>
      <c r="M278" s="53" t="n">
        <f aca="false">I278-I277</f>
        <v>0.579999999999984</v>
      </c>
    </row>
    <row r="279" customFormat="false" ht="14.25" hidden="false" customHeight="false" outlineLevel="0" collapsed="false">
      <c r="A279" s="44" t="s">
        <v>89</v>
      </c>
      <c r="B279" s="44" t="s">
        <v>85</v>
      </c>
      <c r="C279" s="44" t="n">
        <v>112</v>
      </c>
      <c r="D279" s="44" t="s">
        <v>40</v>
      </c>
      <c r="E279" s="44" t="n">
        <v>1</v>
      </c>
      <c r="F279" s="44" t="s">
        <v>104</v>
      </c>
      <c r="G279" s="0" t="n">
        <v>38</v>
      </c>
      <c r="H279" s="44" t="n">
        <v>40</v>
      </c>
      <c r="I279" s="0" t="n">
        <f aca="false">VLOOKUP(C279,[1]M0112A!$A$1:$Z$222,24,TRUE())+(G279/100)</f>
        <v>157.92</v>
      </c>
      <c r="J279" s="0" t="n">
        <f aca="false">I279+0.02</f>
        <v>157.94</v>
      </c>
      <c r="K279" s="54" t="s">
        <v>285</v>
      </c>
      <c r="L279" s="36" t="s">
        <v>106</v>
      </c>
      <c r="M279" s="53" t="n">
        <f aca="false">I279-I278</f>
        <v>2.04999999999998</v>
      </c>
    </row>
    <row r="280" customFormat="false" ht="14.25" hidden="false" customHeight="false" outlineLevel="0" collapsed="false">
      <c r="A280" s="44" t="s">
        <v>89</v>
      </c>
      <c r="B280" s="44" t="s">
        <v>85</v>
      </c>
      <c r="C280" s="44" t="n">
        <v>113</v>
      </c>
      <c r="D280" s="44" t="s">
        <v>40</v>
      </c>
      <c r="E280" s="44" t="n">
        <v>1</v>
      </c>
      <c r="F280" s="44" t="s">
        <v>104</v>
      </c>
      <c r="G280" s="0" t="n">
        <v>38</v>
      </c>
      <c r="H280" s="44" t="n">
        <v>40</v>
      </c>
      <c r="I280" s="0" t="n">
        <f aca="false">VLOOKUP(C280,[1]M0112A!$A$1:$Z$222,24,TRUE())+(G280/100)</f>
        <v>159.17</v>
      </c>
      <c r="J280" s="0" t="n">
        <f aca="false">I280+0.02</f>
        <v>159.19</v>
      </c>
      <c r="K280" s="54" t="s">
        <v>286</v>
      </c>
      <c r="L280" s="36" t="s">
        <v>106</v>
      </c>
      <c r="M280" s="53" t="n">
        <f aca="false">I280-I279</f>
        <v>1.25</v>
      </c>
    </row>
    <row r="281" customFormat="false" ht="14.25" hidden="false" customHeight="false" outlineLevel="0" collapsed="false">
      <c r="A281" s="44" t="s">
        <v>89</v>
      </c>
      <c r="B281" s="44" t="s">
        <v>85</v>
      </c>
      <c r="C281" s="44" t="n">
        <v>114</v>
      </c>
      <c r="D281" s="44" t="s">
        <v>40</v>
      </c>
      <c r="E281" s="44" t="n">
        <v>1</v>
      </c>
      <c r="F281" s="44" t="s">
        <v>104</v>
      </c>
      <c r="G281" s="0" t="n">
        <v>8</v>
      </c>
      <c r="H281" s="44" t="n">
        <v>10</v>
      </c>
      <c r="I281" s="0" t="n">
        <f aca="false">VLOOKUP(C281,[1]M0112A!$A$1:$Z$222,24,TRUE())+(G281/100)</f>
        <v>160.68</v>
      </c>
      <c r="J281" s="0" t="n">
        <f aca="false">I281+0.02</f>
        <v>160.7</v>
      </c>
      <c r="K281" s="0" t="s">
        <v>229</v>
      </c>
      <c r="L281" s="36" t="s">
        <v>111</v>
      </c>
      <c r="M281" s="53" t="n">
        <f aca="false">I281-I280</f>
        <v>1.51000000000002</v>
      </c>
    </row>
    <row r="282" customFormat="false" ht="14.25" hidden="false" customHeight="false" outlineLevel="0" collapsed="false">
      <c r="A282" s="44" t="s">
        <v>89</v>
      </c>
      <c r="B282" s="44" t="s">
        <v>85</v>
      </c>
      <c r="C282" s="44" t="n">
        <v>115</v>
      </c>
      <c r="D282" s="44" t="s">
        <v>40</v>
      </c>
      <c r="E282" s="44" t="n">
        <v>1</v>
      </c>
      <c r="F282" s="44" t="s">
        <v>104</v>
      </c>
      <c r="G282" s="0" t="n">
        <v>38</v>
      </c>
      <c r="H282" s="44" t="n">
        <v>40</v>
      </c>
      <c r="I282" s="0" t="n">
        <f aca="false">VLOOKUP(C282,[1]M0112A!$A$1:$Z$222,24,TRUE())+(G282/100)</f>
        <v>161.16</v>
      </c>
      <c r="J282" s="0" t="n">
        <f aca="false">I282+0.02</f>
        <v>161.18</v>
      </c>
      <c r="K282" s="54" t="s">
        <v>286</v>
      </c>
      <c r="L282" s="36" t="s">
        <v>106</v>
      </c>
      <c r="M282" s="53" t="n">
        <f aca="false">I282-I281</f>
        <v>0.47999999999999</v>
      </c>
    </row>
    <row r="283" customFormat="false" ht="14.25" hidden="false" customHeight="false" outlineLevel="0" collapsed="false">
      <c r="A283" s="44" t="s">
        <v>89</v>
      </c>
      <c r="B283" s="44" t="s">
        <v>85</v>
      </c>
      <c r="C283" s="44" t="n">
        <v>116</v>
      </c>
      <c r="D283" s="44" t="s">
        <v>40</v>
      </c>
      <c r="E283" s="44" t="n">
        <v>1</v>
      </c>
      <c r="F283" s="44" t="s">
        <v>104</v>
      </c>
      <c r="G283" s="0" t="n">
        <v>38</v>
      </c>
      <c r="H283" s="44" t="n">
        <v>40</v>
      </c>
      <c r="I283" s="0" t="n">
        <f aca="false">VLOOKUP(C283,[1]M0112A!$A$1:$Z$222,24,TRUE())+(G283/100)</f>
        <v>163</v>
      </c>
      <c r="J283" s="0" t="n">
        <f aca="false">I283+0.02</f>
        <v>163.02</v>
      </c>
      <c r="K283" s="54" t="s">
        <v>286</v>
      </c>
      <c r="L283" s="36" t="s">
        <v>106</v>
      </c>
      <c r="M283" s="53" t="n">
        <f aca="false">I283-I282</f>
        <v>1.84</v>
      </c>
    </row>
    <row r="284" customFormat="false" ht="14.25" hidden="false" customHeight="false" outlineLevel="0" collapsed="false">
      <c r="A284" s="44" t="s">
        <v>89</v>
      </c>
      <c r="B284" s="44" t="s">
        <v>85</v>
      </c>
      <c r="C284" s="44" t="n">
        <v>117</v>
      </c>
      <c r="D284" s="44" t="s">
        <v>40</v>
      </c>
      <c r="E284" s="44" t="n">
        <v>1</v>
      </c>
      <c r="F284" s="44" t="s">
        <v>104</v>
      </c>
      <c r="G284" s="0" t="n">
        <v>38</v>
      </c>
      <c r="H284" s="44" t="n">
        <v>40</v>
      </c>
      <c r="I284" s="0" t="n">
        <f aca="false">VLOOKUP(C284,[1]M0112A!$A$1:$Z$222,24,TRUE())+(G284/100)</f>
        <v>165.16</v>
      </c>
      <c r="J284" s="0" t="n">
        <f aca="false">I284+0.02</f>
        <v>165.18</v>
      </c>
      <c r="K284" s="54" t="s">
        <v>286</v>
      </c>
      <c r="L284" s="36" t="s">
        <v>106</v>
      </c>
      <c r="M284" s="53" t="n">
        <f aca="false">I284-I283</f>
        <v>2.16</v>
      </c>
    </row>
    <row r="285" customFormat="false" ht="14.25" hidden="false" customHeight="false" outlineLevel="0" collapsed="false">
      <c r="A285" s="44" t="s">
        <v>89</v>
      </c>
      <c r="B285" s="44" t="s">
        <v>85</v>
      </c>
      <c r="C285" s="44" t="n">
        <v>118</v>
      </c>
      <c r="D285" s="44" t="s">
        <v>40</v>
      </c>
      <c r="E285" s="44" t="n">
        <v>1</v>
      </c>
      <c r="F285" s="44" t="s">
        <v>104</v>
      </c>
      <c r="G285" s="0" t="n">
        <v>38</v>
      </c>
      <c r="H285" s="44" t="n">
        <v>40</v>
      </c>
      <c r="I285" s="0" t="n">
        <f aca="false">VLOOKUP(C285,[1]M0112A!$A$1:$Z$222,24,TRUE())+(G285/100)</f>
        <v>167.92</v>
      </c>
      <c r="J285" s="0" t="n">
        <f aca="false">I285+0.02</f>
        <v>167.94</v>
      </c>
      <c r="K285" s="54" t="s">
        <v>287</v>
      </c>
      <c r="L285" s="36" t="s">
        <v>106</v>
      </c>
      <c r="M285" s="53" t="n">
        <f aca="false">I285-I284</f>
        <v>2.75999999999999</v>
      </c>
    </row>
    <row r="286" customFormat="false" ht="14.25" hidden="false" customHeight="false" outlineLevel="0" collapsed="false">
      <c r="A286" s="44" t="s">
        <v>89</v>
      </c>
      <c r="B286" s="44" t="s">
        <v>85</v>
      </c>
      <c r="C286" s="44" t="n">
        <v>119</v>
      </c>
      <c r="D286" s="44" t="s">
        <v>40</v>
      </c>
      <c r="E286" s="44" t="n">
        <v>1</v>
      </c>
      <c r="F286" s="44" t="s">
        <v>104</v>
      </c>
      <c r="G286" s="0" t="n">
        <v>38</v>
      </c>
      <c r="H286" s="44" t="n">
        <v>40</v>
      </c>
      <c r="I286" s="0" t="n">
        <f aca="false">VLOOKUP(C286,[1]M0112A!$A$1:$Z$222,24,TRUE())+(G286/100)</f>
        <v>170.78</v>
      </c>
      <c r="J286" s="0" t="n">
        <f aca="false">I286+0.02</f>
        <v>170.8</v>
      </c>
      <c r="K286" s="54" t="s">
        <v>286</v>
      </c>
      <c r="L286" s="36" t="s">
        <v>106</v>
      </c>
      <c r="M286" s="53" t="n">
        <f aca="false">I286-I285</f>
        <v>2.86000000000001</v>
      </c>
    </row>
    <row r="287" customFormat="false" ht="14.25" hidden="false" customHeight="false" outlineLevel="0" collapsed="false">
      <c r="A287" s="44" t="s">
        <v>89</v>
      </c>
      <c r="B287" s="44" t="s">
        <v>85</v>
      </c>
      <c r="C287" s="44" t="n">
        <v>120</v>
      </c>
      <c r="D287" s="44" t="s">
        <v>40</v>
      </c>
      <c r="E287" s="44" t="n">
        <v>1</v>
      </c>
      <c r="F287" s="44" t="s">
        <v>104</v>
      </c>
      <c r="G287" s="0" t="n">
        <v>38</v>
      </c>
      <c r="H287" s="44" t="n">
        <v>40</v>
      </c>
      <c r="I287" s="0" t="n">
        <f aca="false">VLOOKUP(C287,[1]M0112A!$A$1:$Z$222,24,TRUE())+(G287/100)</f>
        <v>173.4</v>
      </c>
      <c r="J287" s="0" t="n">
        <f aca="false">I287+0.02</f>
        <v>173.42</v>
      </c>
      <c r="K287" s="54" t="s">
        <v>286</v>
      </c>
      <c r="L287" s="36" t="s">
        <v>106</v>
      </c>
      <c r="M287" s="53" t="n">
        <f aca="false">I287-I286</f>
        <v>2.62</v>
      </c>
    </row>
    <row r="288" customFormat="false" ht="14.25" hidden="false" customHeight="false" outlineLevel="0" collapsed="false">
      <c r="A288" s="44" t="s">
        <v>89</v>
      </c>
      <c r="B288" s="44" t="s">
        <v>85</v>
      </c>
      <c r="C288" s="44" t="n">
        <v>121</v>
      </c>
      <c r="D288" s="44" t="s">
        <v>40</v>
      </c>
      <c r="E288" s="44" t="n">
        <v>1</v>
      </c>
      <c r="F288" s="44" t="s">
        <v>104</v>
      </c>
      <c r="G288" s="0" t="n">
        <v>38</v>
      </c>
      <c r="H288" s="44" t="n">
        <v>40</v>
      </c>
      <c r="I288" s="0" t="n">
        <f aca="false">VLOOKUP(C288,[1]M0112A!$A$1:$Z$222,24,TRUE())+(G288/100)</f>
        <v>176.03</v>
      </c>
      <c r="J288" s="0" t="n">
        <f aca="false">I288+0.02</f>
        <v>176.05</v>
      </c>
      <c r="K288" s="54" t="s">
        <v>286</v>
      </c>
      <c r="L288" s="36" t="s">
        <v>106</v>
      </c>
      <c r="M288" s="53" t="n">
        <f aca="false">I288-I287</f>
        <v>2.63</v>
      </c>
    </row>
    <row r="289" customFormat="false" ht="14.25" hidden="false" customHeight="false" outlineLevel="0" collapsed="false">
      <c r="A289" s="44" t="s">
        <v>89</v>
      </c>
      <c r="B289" s="44" t="s">
        <v>85</v>
      </c>
      <c r="C289" s="44" t="n">
        <v>122</v>
      </c>
      <c r="D289" s="44" t="s">
        <v>40</v>
      </c>
      <c r="E289" s="44" t="n">
        <v>1</v>
      </c>
      <c r="F289" s="44" t="s">
        <v>104</v>
      </c>
      <c r="G289" s="0" t="n">
        <v>38</v>
      </c>
      <c r="H289" s="44" t="n">
        <v>40</v>
      </c>
      <c r="I289" s="0" t="n">
        <f aca="false">VLOOKUP(C289,[1]M0112A!$A$1:$Z$222,24,TRUE())+(G289/100)</f>
        <v>178.27</v>
      </c>
      <c r="J289" s="0" t="n">
        <f aca="false">I289+0.02</f>
        <v>178.29</v>
      </c>
      <c r="K289" s="54" t="s">
        <v>286</v>
      </c>
      <c r="L289" s="36" t="s">
        <v>106</v>
      </c>
      <c r="M289" s="53" t="n">
        <f aca="false">I289-I288</f>
        <v>2.23999999999998</v>
      </c>
    </row>
    <row r="290" customFormat="false" ht="14.25" hidden="false" customHeight="false" outlineLevel="0" collapsed="false">
      <c r="A290" s="44" t="s">
        <v>89</v>
      </c>
      <c r="B290" s="44" t="s">
        <v>85</v>
      </c>
      <c r="C290" s="44" t="n">
        <v>123</v>
      </c>
      <c r="D290" s="44" t="s">
        <v>40</v>
      </c>
      <c r="E290" s="44" t="n">
        <v>1</v>
      </c>
      <c r="F290" s="44" t="s">
        <v>104</v>
      </c>
      <c r="G290" s="0" t="n">
        <v>38</v>
      </c>
      <c r="H290" s="44" t="n">
        <v>40</v>
      </c>
      <c r="I290" s="0" t="n">
        <f aca="false">VLOOKUP(C290,[1]M0112A!$A$1:$Z$222,24,TRUE())+(G290/100)</f>
        <v>180.63</v>
      </c>
      <c r="J290" s="0" t="n">
        <f aca="false">I290+0.02</f>
        <v>180.65</v>
      </c>
      <c r="K290" s="54" t="s">
        <v>288</v>
      </c>
      <c r="L290" s="36" t="s">
        <v>106</v>
      </c>
      <c r="M290" s="53" t="n">
        <f aca="false">I290-I289</f>
        <v>2.36000000000001</v>
      </c>
    </row>
    <row r="291" customFormat="false" ht="14.25" hidden="false" customHeight="false" outlineLevel="0" collapsed="false">
      <c r="A291" s="44" t="s">
        <v>89</v>
      </c>
      <c r="B291" s="44" t="s">
        <v>85</v>
      </c>
      <c r="C291" s="44" t="n">
        <v>124</v>
      </c>
      <c r="D291" s="44" t="s">
        <v>40</v>
      </c>
      <c r="E291" s="44" t="n">
        <v>1</v>
      </c>
      <c r="F291" s="44" t="s">
        <v>104</v>
      </c>
      <c r="G291" s="0" t="n">
        <v>38</v>
      </c>
      <c r="H291" s="44" t="n">
        <v>40</v>
      </c>
      <c r="I291" s="0" t="n">
        <f aca="false">VLOOKUP(C291,[1]M0112A!$A$1:$Z$222,24,TRUE())+(G291/100)</f>
        <v>183.31</v>
      </c>
      <c r="J291" s="0" t="n">
        <f aca="false">I291+0.02</f>
        <v>183.33</v>
      </c>
      <c r="K291" s="54" t="s">
        <v>288</v>
      </c>
      <c r="L291" s="36" t="s">
        <v>106</v>
      </c>
      <c r="M291" s="53" t="n">
        <f aca="false">I291-I290</f>
        <v>2.68000000000001</v>
      </c>
    </row>
    <row r="292" customFormat="false" ht="14.25" hidden="false" customHeight="false" outlineLevel="0" collapsed="false">
      <c r="A292" s="44" t="s">
        <v>89</v>
      </c>
      <c r="B292" s="44" t="s">
        <v>85</v>
      </c>
      <c r="C292" s="44" t="n">
        <v>125</v>
      </c>
      <c r="D292" s="44" t="s">
        <v>40</v>
      </c>
      <c r="E292" s="44" t="n">
        <v>1</v>
      </c>
      <c r="F292" s="44" t="s">
        <v>104</v>
      </c>
      <c r="G292" s="0" t="n">
        <v>38</v>
      </c>
      <c r="H292" s="44" t="n">
        <v>40</v>
      </c>
      <c r="I292" s="0" t="n">
        <f aca="false">VLOOKUP(C292,[1]M0112A!$A$1:$Z$222,24,TRUE())+(G292/100)</f>
        <v>185.8</v>
      </c>
      <c r="J292" s="0" t="n">
        <f aca="false">I292+0.02</f>
        <v>185.82</v>
      </c>
      <c r="K292" s="54" t="s">
        <v>289</v>
      </c>
      <c r="L292" s="36" t="s">
        <v>106</v>
      </c>
      <c r="M292" s="53" t="n">
        <f aca="false">I292-I291</f>
        <v>2.48999999999998</v>
      </c>
    </row>
    <row r="293" customFormat="false" ht="14.25" hidden="false" customHeight="false" outlineLevel="0" collapsed="false">
      <c r="A293" s="56" t="s">
        <v>89</v>
      </c>
      <c r="B293" s="56" t="s">
        <v>85</v>
      </c>
      <c r="C293" s="56" t="n">
        <v>126</v>
      </c>
      <c r="D293" s="56" t="s">
        <v>40</v>
      </c>
      <c r="E293" s="56" t="n">
        <v>1</v>
      </c>
      <c r="F293" s="56" t="s">
        <v>104</v>
      </c>
      <c r="G293" s="57" t="n">
        <v>38</v>
      </c>
      <c r="H293" s="56" t="n">
        <v>40</v>
      </c>
      <c r="I293" s="57" t="n">
        <f aca="false">VLOOKUP(C293,[1]M0112A!$A$1:$Z$222,24,TRUE())+(G293/100)</f>
        <v>188.26</v>
      </c>
      <c r="J293" s="57" t="n">
        <f aca="false">I293+0.02</f>
        <v>188.28</v>
      </c>
      <c r="K293" s="57" t="s">
        <v>290</v>
      </c>
      <c r="L293" s="60" t="s">
        <v>106</v>
      </c>
      <c r="M293" s="58" t="n">
        <f aca="false">I293-I292</f>
        <v>2.46000000000001</v>
      </c>
    </row>
    <row r="294" customFormat="false" ht="14.25" hidden="false" customHeight="false" outlineLevel="0" collapsed="false">
      <c r="A294" s="44" t="s">
        <v>89</v>
      </c>
      <c r="B294" s="44" t="s">
        <v>85</v>
      </c>
      <c r="C294" s="44" t="n">
        <v>127</v>
      </c>
      <c r="D294" s="44" t="s">
        <v>40</v>
      </c>
      <c r="E294" s="44" t="n">
        <v>1</v>
      </c>
      <c r="F294" s="44" t="s">
        <v>104</v>
      </c>
      <c r="G294" s="0" t="n">
        <v>38</v>
      </c>
      <c r="H294" s="44" t="n">
        <v>40</v>
      </c>
      <c r="I294" s="0" t="n">
        <f aca="false">VLOOKUP(C294,[1]M0112A!$A$1:$Z$222,24,TRUE())+(G294/100)</f>
        <v>189.01</v>
      </c>
      <c r="J294" s="0" t="n">
        <f aca="false">I294+0.02</f>
        <v>189.03</v>
      </c>
      <c r="K294" s="0" t="s">
        <v>291</v>
      </c>
      <c r="L294" s="36" t="s">
        <v>106</v>
      </c>
      <c r="M294" s="53" t="n">
        <f aca="false">I294-I293</f>
        <v>0.75</v>
      </c>
    </row>
    <row r="295" customFormat="false" ht="14.25" hidden="false" customHeight="false" outlineLevel="0" collapsed="false">
      <c r="A295" s="44" t="s">
        <v>89</v>
      </c>
      <c r="B295" s="44" t="s">
        <v>85</v>
      </c>
      <c r="C295" s="44" t="n">
        <v>128</v>
      </c>
      <c r="D295" s="44" t="s">
        <v>40</v>
      </c>
      <c r="E295" s="44" t="n">
        <v>1</v>
      </c>
      <c r="F295" s="44" t="s">
        <v>104</v>
      </c>
      <c r="G295" s="0" t="n">
        <v>38</v>
      </c>
      <c r="H295" s="44" t="n">
        <v>40</v>
      </c>
      <c r="I295" s="0" t="n">
        <f aca="false">VLOOKUP(C295,[1]M0112A!$A$1:$Z$222,24,TRUE())+(G295/100)</f>
        <v>191.76</v>
      </c>
      <c r="J295" s="0" t="n">
        <f aca="false">I295+0.02</f>
        <v>191.78</v>
      </c>
      <c r="K295" s="54" t="s">
        <v>292</v>
      </c>
      <c r="L295" s="36" t="s">
        <v>106</v>
      </c>
      <c r="M295" s="53" t="n">
        <f aca="false">I295-I294</f>
        <v>2.75</v>
      </c>
    </row>
    <row r="296" customFormat="false" ht="14.25" hidden="false" customHeight="false" outlineLevel="0" collapsed="false">
      <c r="A296" s="56" t="s">
        <v>89</v>
      </c>
      <c r="B296" s="56" t="s">
        <v>85</v>
      </c>
      <c r="C296" s="56" t="n">
        <v>129</v>
      </c>
      <c r="D296" s="56" t="s">
        <v>40</v>
      </c>
      <c r="E296" s="56" t="n">
        <v>1</v>
      </c>
      <c r="F296" s="56" t="s">
        <v>104</v>
      </c>
      <c r="G296" s="57" t="n">
        <v>18</v>
      </c>
      <c r="H296" s="56" t="n">
        <v>20</v>
      </c>
      <c r="I296" s="57" t="n">
        <f aca="false">VLOOKUP(C296,[1]M0112A!$A$1:$Z$222,24,TRUE())+(G296/100)</f>
        <v>193.06</v>
      </c>
      <c r="J296" s="57" t="n">
        <f aca="false">I296+0.02</f>
        <v>193.08</v>
      </c>
      <c r="K296" s="63" t="s">
        <v>162</v>
      </c>
      <c r="L296" s="60" t="s">
        <v>106</v>
      </c>
      <c r="M296" s="58" t="n">
        <f aca="false">I296-I295</f>
        <v>1.30000000000001</v>
      </c>
    </row>
    <row r="297" customFormat="false" ht="14.25" hidden="false" customHeight="false" outlineLevel="0" collapsed="false">
      <c r="A297" s="44" t="s">
        <v>89</v>
      </c>
      <c r="B297" s="44" t="s">
        <v>85</v>
      </c>
      <c r="C297" s="44" t="n">
        <v>130</v>
      </c>
      <c r="D297" s="44" t="s">
        <v>40</v>
      </c>
      <c r="E297" s="44" t="n">
        <v>1</v>
      </c>
      <c r="F297" s="44" t="s">
        <v>104</v>
      </c>
      <c r="G297" s="0" t="n">
        <v>38</v>
      </c>
      <c r="H297" s="44" t="n">
        <v>40</v>
      </c>
      <c r="I297" s="0" t="n">
        <f aca="false">VLOOKUP(C297,[1]M0112A!$A$1:$Z$222,24,TRUE())+(G297/100)</f>
        <v>194.11</v>
      </c>
      <c r="J297" s="0" t="n">
        <f aca="false">I297+0.02</f>
        <v>194.13</v>
      </c>
      <c r="K297" s="54" t="s">
        <v>293</v>
      </c>
      <c r="L297" s="36" t="s">
        <v>106</v>
      </c>
      <c r="M297" s="53" t="n">
        <f aca="false">I297-I296</f>
        <v>1.04999999999998</v>
      </c>
    </row>
    <row r="298" customFormat="false" ht="14.25" hidden="false" customHeight="false" outlineLevel="0" collapsed="false">
      <c r="A298" s="44" t="s">
        <v>89</v>
      </c>
      <c r="B298" s="44" t="s">
        <v>85</v>
      </c>
      <c r="C298" s="44" t="n">
        <v>132</v>
      </c>
      <c r="D298" s="44" t="s">
        <v>44</v>
      </c>
      <c r="E298" s="44" t="n">
        <v>1</v>
      </c>
      <c r="F298" s="44" t="s">
        <v>104</v>
      </c>
      <c r="G298" s="0" t="n">
        <v>38</v>
      </c>
      <c r="H298" s="44" t="n">
        <v>40</v>
      </c>
      <c r="I298" s="0" t="n">
        <f aca="false">VLOOKUP(C298,[1]M0112A!$A$1:$Z$222,24,TRUE())+(G298/100)</f>
        <v>195.59</v>
      </c>
      <c r="J298" s="0" t="n">
        <f aca="false">I298+0.02</f>
        <v>195.61</v>
      </c>
      <c r="K298" s="0" t="s">
        <v>293</v>
      </c>
      <c r="L298" s="36" t="s">
        <v>106</v>
      </c>
      <c r="M298" s="53" t="n">
        <f aca="false">I298-I297</f>
        <v>1.48000000000002</v>
      </c>
    </row>
    <row r="299" customFormat="false" ht="14.25" hidden="false" customHeight="false" outlineLevel="0" collapsed="false">
      <c r="A299" s="44" t="s">
        <v>89</v>
      </c>
      <c r="B299" s="44" t="s">
        <v>85</v>
      </c>
      <c r="C299" s="44" t="n">
        <v>133</v>
      </c>
      <c r="D299" s="44" t="s">
        <v>44</v>
      </c>
      <c r="E299" s="44" t="n">
        <v>1</v>
      </c>
      <c r="F299" s="44" t="s">
        <v>104</v>
      </c>
      <c r="G299" s="0" t="n">
        <v>38</v>
      </c>
      <c r="H299" s="44" t="n">
        <v>40</v>
      </c>
      <c r="I299" s="0" t="n">
        <f aca="false">VLOOKUP(C299,[1]M0112A!$A$1:$Z$222,24,TRUE())+(G299/100)</f>
        <v>197.59</v>
      </c>
      <c r="J299" s="0" t="n">
        <f aca="false">I299+0.02</f>
        <v>197.61</v>
      </c>
      <c r="K299" s="0" t="s">
        <v>294</v>
      </c>
      <c r="L299" s="36" t="s">
        <v>106</v>
      </c>
      <c r="M299" s="53" t="n">
        <f aca="false">I299-I298</f>
        <v>2</v>
      </c>
    </row>
    <row r="300" customFormat="false" ht="14.25" hidden="false" customHeight="false" outlineLevel="0" collapsed="false">
      <c r="A300" s="44" t="s">
        <v>89</v>
      </c>
      <c r="B300" s="44" t="s">
        <v>85</v>
      </c>
      <c r="C300" s="44" t="n">
        <v>134</v>
      </c>
      <c r="D300" s="44" t="s">
        <v>44</v>
      </c>
      <c r="E300" s="44" t="n">
        <v>1</v>
      </c>
      <c r="F300" s="44" t="s">
        <v>104</v>
      </c>
      <c r="G300" s="0" t="n">
        <v>18</v>
      </c>
      <c r="H300" s="44" t="n">
        <v>20</v>
      </c>
      <c r="I300" s="0" t="n">
        <f aca="false">VLOOKUP(C300,[1]M0112A!$A$1:$Z$222,24,TRUE())+(G300/100)</f>
        <v>200.39</v>
      </c>
      <c r="J300" s="0" t="n">
        <f aca="false">I300+0.02</f>
        <v>200.41</v>
      </c>
      <c r="K300" s="0" t="s">
        <v>294</v>
      </c>
      <c r="L300" s="36" t="s">
        <v>106</v>
      </c>
      <c r="M300" s="53" t="n">
        <f aca="false">I300-I299</f>
        <v>2.80000000000001</v>
      </c>
    </row>
    <row r="301" customFormat="false" ht="14.25" hidden="false" customHeight="false" outlineLevel="0" collapsed="false">
      <c r="A301" s="44" t="s">
        <v>89</v>
      </c>
      <c r="B301" s="44" t="s">
        <v>85</v>
      </c>
      <c r="C301" s="44" t="n">
        <v>136</v>
      </c>
      <c r="D301" s="44" t="s">
        <v>40</v>
      </c>
      <c r="E301" s="44" t="n">
        <v>1</v>
      </c>
      <c r="F301" s="44" t="s">
        <v>104</v>
      </c>
      <c r="G301" s="0" t="n">
        <v>38</v>
      </c>
      <c r="H301" s="44" t="n">
        <v>40</v>
      </c>
      <c r="I301" s="0" t="n">
        <f aca="false">VLOOKUP(C301,[1]M0112A!$A$1:$Z$222,24,TRUE())+(G301/100)</f>
        <v>203.59</v>
      </c>
      <c r="J301" s="0" t="n">
        <f aca="false">I301+0.02</f>
        <v>203.61</v>
      </c>
      <c r="K301" s="0" t="s">
        <v>295</v>
      </c>
      <c r="L301" s="36" t="s">
        <v>106</v>
      </c>
      <c r="M301" s="53" t="n">
        <f aca="false">I301-I300</f>
        <v>3.19999999999999</v>
      </c>
    </row>
    <row r="302" customFormat="false" ht="14.25" hidden="false" customHeight="false" outlineLevel="0" collapsed="false">
      <c r="A302" s="56" t="s">
        <v>89</v>
      </c>
      <c r="B302" s="56" t="s">
        <v>85</v>
      </c>
      <c r="C302" s="56" t="n">
        <v>137</v>
      </c>
      <c r="D302" s="56" t="s">
        <v>40</v>
      </c>
      <c r="E302" s="56" t="n">
        <v>1</v>
      </c>
      <c r="F302" s="56" t="s">
        <v>104</v>
      </c>
      <c r="G302" s="57" t="n">
        <v>38</v>
      </c>
      <c r="H302" s="56" t="n">
        <v>40</v>
      </c>
      <c r="I302" s="57" t="n">
        <f aca="false">VLOOKUP(C302,[1]M0112A!$A$1:$Z$222,24,TRUE())+(G302/100)</f>
        <v>205.66</v>
      </c>
      <c r="J302" s="57" t="n">
        <f aca="false">I302+0.02</f>
        <v>205.68</v>
      </c>
      <c r="K302" s="63" t="s">
        <v>296</v>
      </c>
      <c r="L302" s="60" t="s">
        <v>106</v>
      </c>
      <c r="M302" s="58" t="n">
        <f aca="false">I302-I301</f>
        <v>2.06999999999999</v>
      </c>
    </row>
    <row r="303" customFormat="false" ht="14.25" hidden="false" customHeight="false" outlineLevel="0" collapsed="false">
      <c r="A303" s="44" t="s">
        <v>89</v>
      </c>
      <c r="B303" s="44" t="s">
        <v>85</v>
      </c>
      <c r="C303" s="44" t="n">
        <v>138</v>
      </c>
      <c r="D303" s="44" t="s">
        <v>40</v>
      </c>
      <c r="E303" s="44" t="n">
        <v>1</v>
      </c>
      <c r="F303" s="44" t="s">
        <v>104</v>
      </c>
      <c r="G303" s="0" t="n">
        <v>38</v>
      </c>
      <c r="H303" s="44" t="n">
        <v>40</v>
      </c>
      <c r="I303" s="0" t="n">
        <f aca="false">VLOOKUP(C303,[1]M0112A!$A$1:$Z$222,24,TRUE())+(G303/100)</f>
        <v>208.09</v>
      </c>
      <c r="J303" s="0" t="n">
        <f aca="false">I303+0.02</f>
        <v>208.11</v>
      </c>
      <c r="K303" s="0" t="s">
        <v>297</v>
      </c>
      <c r="L303" s="36" t="s">
        <v>106</v>
      </c>
      <c r="M303" s="53" t="n">
        <f aca="false">I303-I302</f>
        <v>2.43000000000001</v>
      </c>
    </row>
    <row r="304" customFormat="false" ht="14.25" hidden="false" customHeight="false" outlineLevel="0" collapsed="false">
      <c r="A304" s="44" t="s">
        <v>89</v>
      </c>
      <c r="B304" s="44" t="s">
        <v>85</v>
      </c>
      <c r="C304" s="44" t="n">
        <v>139</v>
      </c>
      <c r="D304" s="44" t="s">
        <v>40</v>
      </c>
      <c r="E304" s="44" t="n">
        <v>1</v>
      </c>
      <c r="F304" s="44" t="s">
        <v>104</v>
      </c>
      <c r="G304" s="0" t="n">
        <v>38</v>
      </c>
      <c r="H304" s="44" t="n">
        <v>40</v>
      </c>
      <c r="I304" s="0" t="n">
        <f aca="false">VLOOKUP(C304,[1]M0112A!$A$1:$Z$222,24,TRUE())+(G304/100)</f>
        <v>208.52</v>
      </c>
      <c r="J304" s="0" t="n">
        <f aca="false">I304+0.02</f>
        <v>208.54</v>
      </c>
      <c r="K304" s="54" t="s">
        <v>298</v>
      </c>
      <c r="L304" s="36" t="s">
        <v>106</v>
      </c>
      <c r="M304" s="53" t="n">
        <f aca="false">I304-I303</f>
        <v>0.429999999999978</v>
      </c>
    </row>
    <row r="305" customFormat="false" ht="14.25" hidden="false" customHeight="false" outlineLevel="0" collapsed="false">
      <c r="A305" s="44" t="s">
        <v>89</v>
      </c>
      <c r="B305" s="44" t="s">
        <v>85</v>
      </c>
      <c r="C305" s="44" t="n">
        <v>140</v>
      </c>
      <c r="D305" s="44" t="s">
        <v>40</v>
      </c>
      <c r="E305" s="44" t="n">
        <v>1</v>
      </c>
      <c r="F305" s="44" t="s">
        <v>104</v>
      </c>
      <c r="G305" s="0" t="n">
        <v>38</v>
      </c>
      <c r="H305" s="44" t="n">
        <v>40</v>
      </c>
      <c r="I305" s="0" t="n">
        <f aca="false">VLOOKUP(C305,[1]M0112A!$A$1:$Z$222,24,TRUE())+(G305/100)</f>
        <v>210.71</v>
      </c>
      <c r="J305" s="0" t="n">
        <f aca="false">I305+0.02</f>
        <v>210.73</v>
      </c>
      <c r="K305" s="54" t="s">
        <v>299</v>
      </c>
      <c r="L305" s="36" t="s">
        <v>106</v>
      </c>
      <c r="M305" s="53" t="n">
        <f aca="false">I305-I304</f>
        <v>2.19000000000003</v>
      </c>
    </row>
    <row r="306" customFormat="false" ht="14.25" hidden="false" customHeight="false" outlineLevel="0" collapsed="false">
      <c r="A306" s="44" t="s">
        <v>89</v>
      </c>
      <c r="B306" s="44" t="s">
        <v>85</v>
      </c>
      <c r="C306" s="44" t="n">
        <v>141</v>
      </c>
      <c r="D306" s="44" t="s">
        <v>40</v>
      </c>
      <c r="E306" s="44" t="n">
        <v>1</v>
      </c>
      <c r="F306" s="44" t="s">
        <v>104</v>
      </c>
      <c r="G306" s="0" t="n">
        <v>38</v>
      </c>
      <c r="H306" s="44" t="n">
        <v>40</v>
      </c>
      <c r="I306" s="0" t="n">
        <f aca="false">VLOOKUP(C306,[1]M0112A!$A$1:$Z$222,24,TRUE())+(G306/100)</f>
        <v>213.06</v>
      </c>
      <c r="J306" s="0" t="n">
        <f aca="false">I306+0.02</f>
        <v>213.08</v>
      </c>
      <c r="K306" s="54" t="s">
        <v>300</v>
      </c>
      <c r="L306" s="36" t="s">
        <v>106</v>
      </c>
      <c r="M306" s="53" t="n">
        <f aca="false">I306-I305</f>
        <v>2.34999999999999</v>
      </c>
    </row>
    <row r="307" customFormat="false" ht="14.25" hidden="false" customHeight="false" outlineLevel="0" collapsed="false">
      <c r="A307" s="56" t="s">
        <v>89</v>
      </c>
      <c r="B307" s="56" t="s">
        <v>85</v>
      </c>
      <c r="C307" s="56" t="n">
        <v>142</v>
      </c>
      <c r="D307" s="56" t="s">
        <v>40</v>
      </c>
      <c r="E307" s="56" t="n">
        <v>1</v>
      </c>
      <c r="F307" s="56" t="s">
        <v>104</v>
      </c>
      <c r="G307" s="57" t="n">
        <v>38</v>
      </c>
      <c r="H307" s="56" t="n">
        <v>40</v>
      </c>
      <c r="I307" s="57" t="n">
        <f aca="false">VLOOKUP(C307,[1]M0112A!$A$1:$Z$222,24,TRUE())+(G307/100)</f>
        <v>215.72</v>
      </c>
      <c r="J307" s="57" t="n">
        <f aca="false">I307+0.02</f>
        <v>215.74</v>
      </c>
      <c r="K307" s="57" t="s">
        <v>301</v>
      </c>
      <c r="L307" s="60" t="s">
        <v>106</v>
      </c>
      <c r="M307" s="58" t="n">
        <f aca="false">I307-I306</f>
        <v>2.66</v>
      </c>
    </row>
    <row r="308" customFormat="false" ht="14.25" hidden="false" customHeight="false" outlineLevel="0" collapsed="false">
      <c r="A308" s="56" t="s">
        <v>89</v>
      </c>
      <c r="B308" s="56" t="s">
        <v>85</v>
      </c>
      <c r="C308" s="56" t="n">
        <v>143</v>
      </c>
      <c r="D308" s="56" t="s">
        <v>44</v>
      </c>
      <c r="E308" s="56" t="n">
        <v>1</v>
      </c>
      <c r="F308" s="56" t="s">
        <v>104</v>
      </c>
      <c r="G308" s="57" t="n">
        <v>38</v>
      </c>
      <c r="H308" s="56" t="n">
        <v>40</v>
      </c>
      <c r="I308" s="57" t="n">
        <f aca="false">VLOOKUP(C308,[1]M0112A!$A$1:$Z$222,24,TRUE())+(G308/100)</f>
        <v>216.49</v>
      </c>
      <c r="J308" s="57" t="n">
        <f aca="false">I308+0.02</f>
        <v>216.51</v>
      </c>
      <c r="K308" s="57" t="s">
        <v>302</v>
      </c>
      <c r="L308" s="60" t="s">
        <v>106</v>
      </c>
      <c r="M308" s="58" t="n">
        <f aca="false">I308-I307</f>
        <v>0.77000000000001</v>
      </c>
    </row>
    <row r="309" customFormat="false" ht="14.25" hidden="false" customHeight="false" outlineLevel="0" collapsed="false">
      <c r="A309" s="56" t="s">
        <v>89</v>
      </c>
      <c r="B309" s="56" t="s">
        <v>85</v>
      </c>
      <c r="C309" s="56" t="n">
        <v>144</v>
      </c>
      <c r="D309" s="56" t="s">
        <v>44</v>
      </c>
      <c r="E309" s="56" t="n">
        <v>1</v>
      </c>
      <c r="F309" s="56" t="s">
        <v>104</v>
      </c>
      <c r="G309" s="57" t="n">
        <v>38</v>
      </c>
      <c r="H309" s="56" t="n">
        <v>40</v>
      </c>
      <c r="I309" s="57" t="n">
        <f aca="false">VLOOKUP(C309,[1]M0112A!$A$1:$Z$222,24,TRUE())+(G309/100)</f>
        <v>216.74</v>
      </c>
      <c r="J309" s="57" t="n">
        <f aca="false">I309+0.02</f>
        <v>216.76</v>
      </c>
      <c r="K309" s="57" t="s">
        <v>303</v>
      </c>
      <c r="L309" s="60" t="s">
        <v>106</v>
      </c>
      <c r="M309" s="58" t="n">
        <f aca="false">I309-I308</f>
        <v>0.25</v>
      </c>
    </row>
    <row r="310" customFormat="false" ht="14.25" hidden="false" customHeight="false" outlineLevel="0" collapsed="false">
      <c r="A310" s="56" t="s">
        <v>89</v>
      </c>
      <c r="B310" s="56" t="s">
        <v>85</v>
      </c>
      <c r="C310" s="56" t="n">
        <v>145</v>
      </c>
      <c r="D310" s="56" t="s">
        <v>44</v>
      </c>
      <c r="E310" s="56" t="n">
        <v>1</v>
      </c>
      <c r="F310" s="56" t="s">
        <v>104</v>
      </c>
      <c r="G310" s="57" t="n">
        <v>38</v>
      </c>
      <c r="H310" s="56" t="n">
        <v>40</v>
      </c>
      <c r="I310" s="57" t="n">
        <f aca="false">VLOOKUP(C310,[1]M0112A!$A$1:$Z$222,24,TRUE())+(G310/100)</f>
        <v>218.59</v>
      </c>
      <c r="J310" s="57" t="n">
        <f aca="false">I310+0.02</f>
        <v>218.61</v>
      </c>
      <c r="K310" s="57" t="s">
        <v>304</v>
      </c>
      <c r="L310" s="60" t="s">
        <v>106</v>
      </c>
      <c r="M310" s="58" t="n">
        <f aca="false">I310-I309</f>
        <v>1.84999999999999</v>
      </c>
    </row>
    <row r="311" customFormat="false" ht="14.25" hidden="false" customHeight="false" outlineLevel="0" collapsed="false">
      <c r="A311" s="44" t="s">
        <v>89</v>
      </c>
      <c r="B311" s="44" t="s">
        <v>85</v>
      </c>
      <c r="C311" s="44" t="n">
        <v>147</v>
      </c>
      <c r="D311" s="44" t="s">
        <v>44</v>
      </c>
      <c r="E311" s="44" t="n">
        <v>1</v>
      </c>
      <c r="F311" s="44" t="s">
        <v>104</v>
      </c>
      <c r="G311" s="0" t="n">
        <v>8</v>
      </c>
      <c r="H311" s="44" t="n">
        <v>10</v>
      </c>
      <c r="I311" s="0" t="n">
        <f aca="false">VLOOKUP(C311,[1]M0112A!$A$1:$Z$222,24,TRUE())+(G311/100)</f>
        <v>219.89</v>
      </c>
      <c r="J311" s="0" t="n">
        <f aca="false">I311+0.02</f>
        <v>219.91</v>
      </c>
      <c r="K311" s="0" t="s">
        <v>305</v>
      </c>
      <c r="L311" s="36" t="s">
        <v>111</v>
      </c>
      <c r="M311" s="53" t="n">
        <f aca="false">I311-I310</f>
        <v>1.30000000000001</v>
      </c>
    </row>
    <row r="312" customFormat="false" ht="14.25" hidden="false" customHeight="false" outlineLevel="0" collapsed="false">
      <c r="A312" s="44" t="s">
        <v>89</v>
      </c>
      <c r="B312" s="44" t="s">
        <v>85</v>
      </c>
      <c r="C312" s="44" t="n">
        <v>148</v>
      </c>
      <c r="D312" s="44" t="s">
        <v>44</v>
      </c>
      <c r="E312" s="44" t="n">
        <v>1</v>
      </c>
      <c r="F312" s="44" t="s">
        <v>104</v>
      </c>
      <c r="G312" s="0" t="n">
        <v>8</v>
      </c>
      <c r="H312" s="44" t="n">
        <v>10</v>
      </c>
      <c r="I312" s="0" t="n">
        <f aca="false">VLOOKUP(C312,[1]M0112A!$A$1:$Z$222,24,TRUE())+(G312/100)</f>
        <v>221.29</v>
      </c>
      <c r="J312" s="0" t="n">
        <f aca="false">I312+0.02</f>
        <v>221.31</v>
      </c>
      <c r="K312" s="0" t="s">
        <v>305</v>
      </c>
      <c r="L312" s="36" t="s">
        <v>111</v>
      </c>
      <c r="M312" s="53" t="n">
        <f aca="false">I312-I311</f>
        <v>1.40000000000001</v>
      </c>
    </row>
    <row r="313" customFormat="false" ht="14.25" hidden="false" customHeight="false" outlineLevel="0" collapsed="false">
      <c r="A313" s="56" t="s">
        <v>89</v>
      </c>
      <c r="B313" s="56" t="s">
        <v>85</v>
      </c>
      <c r="C313" s="56" t="n">
        <v>150</v>
      </c>
      <c r="D313" s="56" t="s">
        <v>40</v>
      </c>
      <c r="E313" s="56" t="n">
        <v>1</v>
      </c>
      <c r="F313" s="56" t="s">
        <v>104</v>
      </c>
      <c r="G313" s="57" t="n">
        <v>28</v>
      </c>
      <c r="H313" s="56" t="n">
        <v>30</v>
      </c>
      <c r="I313" s="57" t="n">
        <f aca="false">VLOOKUP(C313,[1]M0112A!$A$1:$Z$222,24,TRUE())+(G313/100)</f>
        <v>224.49</v>
      </c>
      <c r="J313" s="57" t="n">
        <f aca="false">I313+0.02</f>
        <v>224.51</v>
      </c>
      <c r="K313" s="57" t="s">
        <v>306</v>
      </c>
      <c r="L313" s="60" t="s">
        <v>106</v>
      </c>
      <c r="M313" s="58" t="n">
        <f aca="false">I313-I312</f>
        <v>3.19999999999999</v>
      </c>
    </row>
    <row r="314" customFormat="false" ht="14.25" hidden="false" customHeight="false" outlineLevel="0" collapsed="false">
      <c r="A314" s="56" t="s">
        <v>89</v>
      </c>
      <c r="B314" s="56" t="s">
        <v>85</v>
      </c>
      <c r="C314" s="56" t="n">
        <v>151</v>
      </c>
      <c r="D314" s="56" t="s">
        <v>44</v>
      </c>
      <c r="E314" s="56" t="n">
        <v>1</v>
      </c>
      <c r="F314" s="56" t="s">
        <v>104</v>
      </c>
      <c r="G314" s="57" t="n">
        <v>38</v>
      </c>
      <c r="H314" s="56" t="n">
        <v>40</v>
      </c>
      <c r="I314" s="57" t="n">
        <f aca="false">VLOOKUP(C314,[1]M0112A!$A$1:$Z$222,24,TRUE())+(G314/100)</f>
        <v>225.04</v>
      </c>
      <c r="J314" s="57" t="n">
        <f aca="false">I314+0.02</f>
        <v>225.06</v>
      </c>
      <c r="K314" s="57" t="s">
        <v>257</v>
      </c>
      <c r="L314" s="60" t="s">
        <v>106</v>
      </c>
      <c r="M314" s="58" t="n">
        <f aca="false">I314-I313</f>
        <v>0.549999999999983</v>
      </c>
    </row>
    <row r="315" customFormat="false" ht="14.25" hidden="false" customHeight="false" outlineLevel="0" collapsed="false">
      <c r="A315" s="56" t="s">
        <v>89</v>
      </c>
      <c r="B315" s="56" t="s">
        <v>85</v>
      </c>
      <c r="C315" s="56" t="n">
        <v>152</v>
      </c>
      <c r="D315" s="56" t="s">
        <v>44</v>
      </c>
      <c r="E315" s="56" t="n">
        <v>1</v>
      </c>
      <c r="F315" s="56" t="s">
        <v>104</v>
      </c>
      <c r="G315" s="57" t="n">
        <v>8</v>
      </c>
      <c r="H315" s="56" t="n">
        <v>10</v>
      </c>
      <c r="I315" s="57" t="n">
        <f aca="false">VLOOKUP(C315,[1]M0112A!$A$1:$Z$222,24,TRUE())+(G315/100)</f>
        <v>225.74</v>
      </c>
      <c r="J315" s="57" t="n">
        <f aca="false">I315+0.02</f>
        <v>225.76</v>
      </c>
      <c r="K315" s="57" t="s">
        <v>307</v>
      </c>
      <c r="L315" s="60" t="s">
        <v>111</v>
      </c>
      <c r="M315" s="58" t="n">
        <f aca="false">I315-I314</f>
        <v>0.700000000000017</v>
      </c>
    </row>
    <row r="316" customFormat="false" ht="14.25" hidden="false" customHeight="false" outlineLevel="0" collapsed="false">
      <c r="A316" s="44" t="s">
        <v>89</v>
      </c>
      <c r="B316" s="44" t="s">
        <v>85</v>
      </c>
      <c r="C316" s="44" t="n">
        <v>153</v>
      </c>
      <c r="D316" s="44" t="s">
        <v>44</v>
      </c>
      <c r="E316" s="44" t="n">
        <v>1</v>
      </c>
      <c r="F316" s="44" t="s">
        <v>104</v>
      </c>
      <c r="G316" s="0" t="n">
        <v>38</v>
      </c>
      <c r="H316" s="44" t="n">
        <v>40</v>
      </c>
      <c r="I316" s="0" t="n">
        <f aca="false">VLOOKUP(C316,[1]M0112A!$A$1:$Z$222,24,TRUE())+(G316/100)</f>
        <v>227.59</v>
      </c>
      <c r="J316" s="0" t="n">
        <f aca="false">I316+0.02</f>
        <v>227.61</v>
      </c>
      <c r="K316" s="0" t="s">
        <v>308</v>
      </c>
      <c r="L316" s="36" t="s">
        <v>106</v>
      </c>
      <c r="M316" s="53" t="n">
        <f aca="false">I316-I315</f>
        <v>1.84999999999999</v>
      </c>
    </row>
    <row r="317" customFormat="false" ht="14.25" hidden="false" customHeight="false" outlineLevel="0" collapsed="false">
      <c r="A317" s="56" t="s">
        <v>89</v>
      </c>
      <c r="B317" s="56" t="s">
        <v>85</v>
      </c>
      <c r="C317" s="56" t="n">
        <v>154</v>
      </c>
      <c r="D317" s="56" t="s">
        <v>40</v>
      </c>
      <c r="E317" s="56" t="n">
        <v>1</v>
      </c>
      <c r="F317" s="56" t="s">
        <v>104</v>
      </c>
      <c r="G317" s="57" t="n">
        <v>38</v>
      </c>
      <c r="H317" s="56" t="n">
        <v>40</v>
      </c>
      <c r="I317" s="57" t="n">
        <f aca="false">VLOOKUP(C317,[1]M0112A!$A$1:$Z$222,24,TRUE())+(G317/100)</f>
        <v>228.59</v>
      </c>
      <c r="J317" s="57" t="n">
        <f aca="false">I317+0.02</f>
        <v>228.61</v>
      </c>
      <c r="K317" s="63" t="s">
        <v>309</v>
      </c>
      <c r="L317" s="60" t="s">
        <v>106</v>
      </c>
      <c r="M317" s="58" t="n">
        <f aca="false">I317-I316</f>
        <v>1</v>
      </c>
    </row>
    <row r="318" customFormat="false" ht="14.25" hidden="false" customHeight="false" outlineLevel="0" collapsed="false">
      <c r="A318" s="56" t="s">
        <v>89</v>
      </c>
      <c r="B318" s="56" t="s">
        <v>85</v>
      </c>
      <c r="C318" s="56" t="n">
        <v>155</v>
      </c>
      <c r="D318" s="56" t="s">
        <v>40</v>
      </c>
      <c r="E318" s="56" t="n">
        <v>1</v>
      </c>
      <c r="F318" s="56" t="s">
        <v>104</v>
      </c>
      <c r="G318" s="57" t="n">
        <v>16</v>
      </c>
      <c r="H318" s="56" t="n">
        <v>18</v>
      </c>
      <c r="I318" s="57" t="n">
        <f aca="false">VLOOKUP(C318,[1]M0112A!$A$1:$Z$222,24,TRUE())+(G318/100)</f>
        <v>229</v>
      </c>
      <c r="J318" s="57" t="n">
        <f aca="false">I318+0.02</f>
        <v>229.02</v>
      </c>
      <c r="K318" s="63" t="s">
        <v>309</v>
      </c>
      <c r="L318" s="60" t="s">
        <v>106</v>
      </c>
      <c r="M318" s="58" t="n">
        <f aca="false">I318-I317</f>
        <v>0.409999999999997</v>
      </c>
    </row>
    <row r="319" customFormat="false" ht="14.25" hidden="false" customHeight="false" outlineLevel="0" collapsed="false">
      <c r="A319" s="56" t="s">
        <v>89</v>
      </c>
      <c r="B319" s="56" t="s">
        <v>85</v>
      </c>
      <c r="C319" s="56" t="n">
        <v>156</v>
      </c>
      <c r="D319" s="56" t="s">
        <v>40</v>
      </c>
      <c r="E319" s="56" t="n">
        <v>1</v>
      </c>
      <c r="F319" s="56" t="s">
        <v>104</v>
      </c>
      <c r="G319" s="57" t="n">
        <v>38</v>
      </c>
      <c r="H319" s="56" t="n">
        <v>40</v>
      </c>
      <c r="I319" s="57" t="n">
        <f aca="false">VLOOKUP(C319,[1]M0112A!$A$1:$Z$222,24,TRUE())+(G319/100)</f>
        <v>230.83</v>
      </c>
      <c r="J319" s="57" t="n">
        <f aca="false">I319+0.02</f>
        <v>230.85</v>
      </c>
      <c r="K319" s="63" t="s">
        <v>310</v>
      </c>
      <c r="L319" s="60" t="s">
        <v>106</v>
      </c>
      <c r="M319" s="58" t="n">
        <f aca="false">I319-I318</f>
        <v>1.82999999999998</v>
      </c>
    </row>
    <row r="320" customFormat="false" ht="14.25" hidden="false" customHeight="false" outlineLevel="0" collapsed="false">
      <c r="A320" s="56" t="s">
        <v>89</v>
      </c>
      <c r="B320" s="56" t="s">
        <v>85</v>
      </c>
      <c r="C320" s="56" t="n">
        <v>157</v>
      </c>
      <c r="D320" s="56" t="s">
        <v>40</v>
      </c>
      <c r="E320" s="56" t="n">
        <v>1</v>
      </c>
      <c r="F320" s="56" t="s">
        <v>104</v>
      </c>
      <c r="G320" s="57" t="n">
        <v>38</v>
      </c>
      <c r="H320" s="56" t="n">
        <v>40</v>
      </c>
      <c r="I320" s="57" t="n">
        <f aca="false">VLOOKUP(C320,[1]M0112A!$A$1:$Z$222,24,TRUE())+(G320/100)</f>
        <v>231.56</v>
      </c>
      <c r="J320" s="57" t="n">
        <f aca="false">I320+0.02</f>
        <v>231.58</v>
      </c>
      <c r="K320" s="63" t="s">
        <v>311</v>
      </c>
      <c r="L320" s="60" t="s">
        <v>106</v>
      </c>
      <c r="M320" s="58" t="n">
        <f aca="false">I320-I319</f>
        <v>0.730000000000018</v>
      </c>
    </row>
    <row r="321" customFormat="false" ht="14.25" hidden="false" customHeight="false" outlineLevel="0" collapsed="false">
      <c r="A321" s="56" t="s">
        <v>89</v>
      </c>
      <c r="B321" s="56" t="s">
        <v>85</v>
      </c>
      <c r="C321" s="56" t="n">
        <v>159</v>
      </c>
      <c r="D321" s="56" t="s">
        <v>44</v>
      </c>
      <c r="E321" s="56" t="n">
        <v>1</v>
      </c>
      <c r="F321" s="56" t="s">
        <v>104</v>
      </c>
      <c r="G321" s="57" t="n">
        <v>38</v>
      </c>
      <c r="H321" s="56" t="n">
        <v>40</v>
      </c>
      <c r="I321" s="57" t="n">
        <f aca="false">VLOOKUP(C321,[1]M0112A!$A$1:$Z$222,24,TRUE())+(G321/100)</f>
        <v>233.45</v>
      </c>
      <c r="J321" s="57" t="n">
        <f aca="false">I321+0.02</f>
        <v>233.47</v>
      </c>
      <c r="K321" s="57" t="s">
        <v>311</v>
      </c>
      <c r="L321" s="60" t="s">
        <v>106</v>
      </c>
      <c r="M321" s="58" t="n">
        <f aca="false">I321-I320</f>
        <v>1.88999999999999</v>
      </c>
    </row>
    <row r="322" customFormat="false" ht="14.25" hidden="false" customHeight="false" outlineLevel="0" collapsed="false">
      <c r="A322" s="56" t="s">
        <v>89</v>
      </c>
      <c r="B322" s="56" t="s">
        <v>85</v>
      </c>
      <c r="C322" s="56" t="n">
        <v>160</v>
      </c>
      <c r="D322" s="56" t="s">
        <v>44</v>
      </c>
      <c r="E322" s="56" t="n">
        <v>1</v>
      </c>
      <c r="F322" s="56" t="s">
        <v>104</v>
      </c>
      <c r="G322" s="57" t="n">
        <v>38</v>
      </c>
      <c r="H322" s="56" t="n">
        <v>40</v>
      </c>
      <c r="I322" s="57" t="n">
        <f aca="false">VLOOKUP(C322,[1]M0112A!$A$1:$Z$222,24,TRUE())+(G322/100)</f>
        <v>235.59</v>
      </c>
      <c r="J322" s="57" t="n">
        <f aca="false">I322+0.02</f>
        <v>235.61</v>
      </c>
      <c r="K322" s="57" t="s">
        <v>312</v>
      </c>
      <c r="L322" s="60" t="s">
        <v>106</v>
      </c>
      <c r="M322" s="58" t="n">
        <f aca="false">I322-I321</f>
        <v>2.14000000000002</v>
      </c>
    </row>
    <row r="323" customFormat="false" ht="14.25" hidden="false" customHeight="false" outlineLevel="0" collapsed="false">
      <c r="A323" s="44" t="s">
        <v>89</v>
      </c>
      <c r="B323" s="44" t="s">
        <v>85</v>
      </c>
      <c r="C323" s="44" t="n">
        <v>161</v>
      </c>
      <c r="D323" s="44" t="s">
        <v>44</v>
      </c>
      <c r="E323" s="44" t="n">
        <v>1</v>
      </c>
      <c r="F323" s="44" t="s">
        <v>104</v>
      </c>
      <c r="G323" s="0" t="n">
        <v>38</v>
      </c>
      <c r="H323" s="44" t="n">
        <v>40</v>
      </c>
      <c r="I323" s="0" t="n">
        <f aca="false">VLOOKUP(C323,[1]M0112A!$A$1:$Z$222,24,TRUE())+(G323/100)</f>
        <v>238.59</v>
      </c>
      <c r="J323" s="0" t="n">
        <f aca="false">I323+0.02</f>
        <v>238.61</v>
      </c>
      <c r="K323" s="54" t="s">
        <v>313</v>
      </c>
      <c r="L323" s="36" t="s">
        <v>106</v>
      </c>
      <c r="M323" s="53" t="n">
        <f aca="false">I323-I322</f>
        <v>3</v>
      </c>
    </row>
    <row r="324" customFormat="false" ht="14.25" hidden="false" customHeight="false" outlineLevel="0" collapsed="false">
      <c r="A324" s="44" t="s">
        <v>89</v>
      </c>
      <c r="B324" s="44" t="s">
        <v>85</v>
      </c>
      <c r="C324" s="44" t="n">
        <v>162</v>
      </c>
      <c r="D324" s="44" t="s">
        <v>44</v>
      </c>
      <c r="E324" s="44" t="n">
        <v>1</v>
      </c>
      <c r="F324" s="44" t="s">
        <v>104</v>
      </c>
      <c r="G324" s="0" t="n">
        <v>38</v>
      </c>
      <c r="H324" s="44" t="n">
        <v>40</v>
      </c>
      <c r="I324" s="0" t="n">
        <f aca="false">VLOOKUP(C324,[1]M0112A!$A$1:$Z$222,24,TRUE())+(G324/100)</f>
        <v>240.59</v>
      </c>
      <c r="J324" s="0" t="n">
        <f aca="false">I324+0.02</f>
        <v>240.61</v>
      </c>
      <c r="K324" s="54" t="s">
        <v>314</v>
      </c>
      <c r="L324" s="36" t="s">
        <v>106</v>
      </c>
      <c r="M324" s="53" t="n">
        <f aca="false">I324-I323</f>
        <v>2</v>
      </c>
    </row>
    <row r="325" customFormat="false" ht="14.25" hidden="false" customHeight="false" outlineLevel="0" collapsed="false">
      <c r="A325" s="44" t="s">
        <v>89</v>
      </c>
      <c r="B325" s="44" t="s">
        <v>85</v>
      </c>
      <c r="C325" s="44" t="n">
        <v>163</v>
      </c>
      <c r="D325" s="44" t="s">
        <v>44</v>
      </c>
      <c r="E325" s="44" t="n">
        <v>1</v>
      </c>
      <c r="F325" s="44" t="s">
        <v>104</v>
      </c>
      <c r="G325" s="0" t="n">
        <v>38</v>
      </c>
      <c r="H325" s="44" t="n">
        <v>40</v>
      </c>
      <c r="I325" s="0" t="n">
        <f aca="false">VLOOKUP(C325,[1]M0112A!$A$1:$Z$222,24,TRUE())+(G325/100)</f>
        <v>242.59</v>
      </c>
      <c r="J325" s="0" t="n">
        <f aca="false">I325+0.02</f>
        <v>242.61</v>
      </c>
      <c r="K325" s="0" t="s">
        <v>313</v>
      </c>
      <c r="L325" s="36" t="s">
        <v>106</v>
      </c>
      <c r="M325" s="53" t="n">
        <f aca="false">I325-I324</f>
        <v>2</v>
      </c>
    </row>
    <row r="326" customFormat="false" ht="14.25" hidden="false" customHeight="false" outlineLevel="0" collapsed="false">
      <c r="A326" s="56" t="s">
        <v>89</v>
      </c>
      <c r="B326" s="56" t="s">
        <v>85</v>
      </c>
      <c r="C326" s="56" t="n">
        <v>164</v>
      </c>
      <c r="D326" s="56" t="s">
        <v>44</v>
      </c>
      <c r="E326" s="56" t="n">
        <v>1</v>
      </c>
      <c r="F326" s="56" t="s">
        <v>104</v>
      </c>
      <c r="G326" s="57" t="n">
        <v>38</v>
      </c>
      <c r="H326" s="56" t="n">
        <v>40</v>
      </c>
      <c r="I326" s="57" t="n">
        <f aca="false">VLOOKUP(C326,[1]M0112A!$A$1:$Z$222,24,TRUE())+(G326/100)</f>
        <v>244.09</v>
      </c>
      <c r="J326" s="57" t="n">
        <f aca="false">I326+0.02</f>
        <v>244.11</v>
      </c>
      <c r="K326" s="57" t="s">
        <v>315</v>
      </c>
      <c r="L326" s="60" t="s">
        <v>106</v>
      </c>
      <c r="M326" s="58" t="n">
        <f aca="false">I326-I325</f>
        <v>1.5</v>
      </c>
    </row>
    <row r="327" customFormat="false" ht="14.25" hidden="false" customHeight="false" outlineLevel="0" collapsed="false">
      <c r="A327" s="56" t="s">
        <v>89</v>
      </c>
      <c r="B327" s="56" t="s">
        <v>85</v>
      </c>
      <c r="C327" s="56" t="n">
        <v>165</v>
      </c>
      <c r="D327" s="56" t="s">
        <v>44</v>
      </c>
      <c r="E327" s="56" t="n">
        <v>1</v>
      </c>
      <c r="F327" s="56" t="s">
        <v>104</v>
      </c>
      <c r="G327" s="57" t="n">
        <v>38</v>
      </c>
      <c r="H327" s="56" t="n">
        <v>40</v>
      </c>
      <c r="I327" s="57" t="n">
        <f aca="false">VLOOKUP(C327,[1]M0112A!$A$1:$Z$222,24,TRUE())+(G327/100)</f>
        <v>245.59</v>
      </c>
      <c r="J327" s="57" t="n">
        <f aca="false">I327+0.02</f>
        <v>245.61</v>
      </c>
      <c r="K327" s="57" t="s">
        <v>312</v>
      </c>
      <c r="L327" s="60" t="s">
        <v>106</v>
      </c>
      <c r="M327" s="58" t="n">
        <f aca="false">I327-I326</f>
        <v>1.5</v>
      </c>
    </row>
    <row r="328" customFormat="false" ht="14.25" hidden="false" customHeight="false" outlineLevel="0" collapsed="false">
      <c r="A328" s="44" t="s">
        <v>89</v>
      </c>
      <c r="B328" s="44" t="s">
        <v>85</v>
      </c>
      <c r="C328" s="44" t="n">
        <v>166</v>
      </c>
      <c r="D328" s="44" t="s">
        <v>44</v>
      </c>
      <c r="E328" s="44" t="n">
        <v>1</v>
      </c>
      <c r="F328" s="44" t="s">
        <v>104</v>
      </c>
      <c r="G328" s="0" t="n">
        <v>38</v>
      </c>
      <c r="H328" s="44" t="n">
        <v>40</v>
      </c>
      <c r="I328" s="0" t="n">
        <f aca="false">VLOOKUP(C328,[1]M0112A!$A$1:$Z$222,24,TRUE())+(G328/100)</f>
        <v>247.94</v>
      </c>
      <c r="J328" s="0" t="n">
        <f aca="false">I328+0.02</f>
        <v>247.96</v>
      </c>
      <c r="K328" s="54" t="s">
        <v>316</v>
      </c>
      <c r="L328" s="36" t="s">
        <v>106</v>
      </c>
      <c r="M328" s="53" t="n">
        <f aca="false">I328-I327</f>
        <v>2.34999999999999</v>
      </c>
    </row>
    <row r="329" customFormat="false" ht="14.25" hidden="false" customHeight="false" outlineLevel="0" collapsed="false">
      <c r="A329" s="44" t="s">
        <v>89</v>
      </c>
      <c r="B329" s="44" t="s">
        <v>85</v>
      </c>
      <c r="C329" s="44" t="n">
        <v>167</v>
      </c>
      <c r="D329" s="44" t="s">
        <v>40</v>
      </c>
      <c r="E329" s="44" t="n">
        <v>1</v>
      </c>
      <c r="F329" s="44" t="s">
        <v>104</v>
      </c>
      <c r="G329" s="0" t="n">
        <v>38</v>
      </c>
      <c r="H329" s="44" t="n">
        <v>40</v>
      </c>
      <c r="I329" s="0" t="n">
        <f aca="false">VLOOKUP(C329,[1]M0112A!$A$1:$Z$222,24,TRUE())+(G329/100)</f>
        <v>249.19</v>
      </c>
      <c r="J329" s="0" t="n">
        <f aca="false">I329+0.02</f>
        <v>249.21</v>
      </c>
      <c r="K329" s="54" t="s">
        <v>317</v>
      </c>
      <c r="L329" s="36" t="s">
        <v>106</v>
      </c>
      <c r="M329" s="53" t="n">
        <f aca="false">I329-I328</f>
        <v>1.25</v>
      </c>
    </row>
    <row r="330" customFormat="false" ht="14.25" hidden="false" customHeight="false" outlineLevel="0" collapsed="false">
      <c r="A330" s="44" t="s">
        <v>89</v>
      </c>
      <c r="B330" s="44" t="s">
        <v>85</v>
      </c>
      <c r="C330" s="44" t="n">
        <v>168</v>
      </c>
      <c r="D330" s="44" t="s">
        <v>40</v>
      </c>
      <c r="E330" s="44" t="n">
        <v>1</v>
      </c>
      <c r="F330" s="44" t="s">
        <v>104</v>
      </c>
      <c r="G330" s="0" t="n">
        <v>38</v>
      </c>
      <c r="H330" s="44" t="n">
        <v>40</v>
      </c>
      <c r="I330" s="0" t="n">
        <f aca="false">VLOOKUP(C330,[1]M0112A!$A$1:$Z$222,24,TRUE())+(G330/100)</f>
        <v>252.02</v>
      </c>
      <c r="J330" s="0" t="n">
        <f aca="false">I330+0.02</f>
        <v>252.04</v>
      </c>
      <c r="K330" s="54" t="s">
        <v>318</v>
      </c>
      <c r="L330" s="36" t="s">
        <v>106</v>
      </c>
      <c r="M330" s="53" t="n">
        <f aca="false">I330-I329</f>
        <v>2.82999999999998</v>
      </c>
    </row>
    <row r="331" customFormat="false" ht="14.25" hidden="false" customHeight="false" outlineLevel="0" collapsed="false">
      <c r="A331" s="44" t="s">
        <v>89</v>
      </c>
      <c r="B331" s="44" t="s">
        <v>85</v>
      </c>
      <c r="C331" s="44" t="n">
        <v>169</v>
      </c>
      <c r="D331" s="44" t="s">
        <v>40</v>
      </c>
      <c r="E331" s="44" t="n">
        <v>1</v>
      </c>
      <c r="F331" s="44" t="s">
        <v>104</v>
      </c>
      <c r="G331" s="0" t="n">
        <v>38</v>
      </c>
      <c r="H331" s="44" t="n">
        <v>40</v>
      </c>
      <c r="I331" s="0" t="n">
        <f aca="false">VLOOKUP(C331,[1]M0112A!$A$1:$Z$222,24,TRUE())+(G331/100)</f>
        <v>254.44</v>
      </c>
      <c r="J331" s="0" t="n">
        <f aca="false">I331+0.02</f>
        <v>254.46</v>
      </c>
      <c r="K331" s="54" t="s">
        <v>318</v>
      </c>
      <c r="L331" s="36" t="s">
        <v>106</v>
      </c>
      <c r="M331" s="53" t="n">
        <f aca="false">I331-I330</f>
        <v>2.42000000000002</v>
      </c>
    </row>
    <row r="332" customFormat="false" ht="14.25" hidden="false" customHeight="false" outlineLevel="0" collapsed="false">
      <c r="A332" s="44" t="s">
        <v>89</v>
      </c>
      <c r="B332" s="44" t="s">
        <v>85</v>
      </c>
      <c r="C332" s="44" t="n">
        <v>170</v>
      </c>
      <c r="D332" s="44" t="s">
        <v>40</v>
      </c>
      <c r="E332" s="44" t="n">
        <v>1</v>
      </c>
      <c r="F332" s="44" t="s">
        <v>104</v>
      </c>
      <c r="G332" s="0" t="n">
        <v>38</v>
      </c>
      <c r="H332" s="44" t="n">
        <v>40</v>
      </c>
      <c r="I332" s="0" t="n">
        <f aca="false">VLOOKUP(C332,[1]M0112A!$A$1:$Z$222,24,TRUE())+(G332/100)</f>
        <v>257.4</v>
      </c>
      <c r="J332" s="0" t="n">
        <f aca="false">I332+0.02</f>
        <v>257.42</v>
      </c>
      <c r="K332" s="54" t="s">
        <v>318</v>
      </c>
      <c r="L332" s="36" t="s">
        <v>106</v>
      </c>
      <c r="M332" s="53" t="n">
        <f aca="false">I332-I331</f>
        <v>2.95999999999998</v>
      </c>
    </row>
    <row r="333" customFormat="false" ht="14.25" hidden="false" customHeight="false" outlineLevel="0" collapsed="false">
      <c r="A333" s="44" t="s">
        <v>89</v>
      </c>
      <c r="B333" s="44" t="s">
        <v>85</v>
      </c>
      <c r="C333" s="44" t="n">
        <v>171</v>
      </c>
      <c r="D333" s="44" t="s">
        <v>40</v>
      </c>
      <c r="E333" s="44" t="n">
        <v>1</v>
      </c>
      <c r="F333" s="44" t="s">
        <v>104</v>
      </c>
      <c r="G333" s="0" t="n">
        <v>38</v>
      </c>
      <c r="H333" s="44" t="n">
        <v>40</v>
      </c>
      <c r="I333" s="0" t="n">
        <f aca="false">VLOOKUP(C333,[1]M0112A!$A$1:$Z$222,24,TRUE())+(G333/100)</f>
        <v>259.9</v>
      </c>
      <c r="J333" s="0" t="n">
        <f aca="false">I333+0.02</f>
        <v>259.92</v>
      </c>
      <c r="K333" s="54" t="s">
        <v>318</v>
      </c>
      <c r="L333" s="36" t="s">
        <v>106</v>
      </c>
      <c r="M333" s="53" t="n">
        <f aca="false">I333-I332</f>
        <v>2.5</v>
      </c>
    </row>
    <row r="334" customFormat="false" ht="14.25" hidden="false" customHeight="false" outlineLevel="0" collapsed="false">
      <c r="A334" s="44" t="s">
        <v>89</v>
      </c>
      <c r="B334" s="44" t="s">
        <v>85</v>
      </c>
      <c r="C334" s="44" t="n">
        <v>172</v>
      </c>
      <c r="D334" s="44" t="s">
        <v>40</v>
      </c>
      <c r="E334" s="44" t="n">
        <v>1</v>
      </c>
      <c r="F334" s="44" t="s">
        <v>104</v>
      </c>
      <c r="G334" s="0" t="n">
        <v>38</v>
      </c>
      <c r="H334" s="44" t="n">
        <v>40</v>
      </c>
      <c r="I334" s="0" t="n">
        <f aca="false">VLOOKUP(C334,[1]M0112A!$A$1:$Z$222,24,TRUE())+(G334/100)</f>
        <v>262.2</v>
      </c>
      <c r="J334" s="0" t="n">
        <f aca="false">I334+0.02</f>
        <v>262.22</v>
      </c>
      <c r="K334" s="54" t="s">
        <v>318</v>
      </c>
      <c r="L334" s="36" t="s">
        <v>106</v>
      </c>
      <c r="M334" s="53" t="n">
        <f aca="false">I334-I333</f>
        <v>2.30000000000001</v>
      </c>
    </row>
    <row r="335" customFormat="false" ht="14.25" hidden="false" customHeight="false" outlineLevel="0" collapsed="false">
      <c r="A335" s="44" t="s">
        <v>89</v>
      </c>
      <c r="B335" s="44" t="s">
        <v>85</v>
      </c>
      <c r="C335" s="44" t="n">
        <v>173</v>
      </c>
      <c r="D335" s="44" t="s">
        <v>40</v>
      </c>
      <c r="E335" s="44" t="n">
        <v>1</v>
      </c>
      <c r="F335" s="44" t="s">
        <v>104</v>
      </c>
      <c r="G335" s="0" t="n">
        <v>38</v>
      </c>
      <c r="H335" s="44" t="n">
        <v>40</v>
      </c>
      <c r="I335" s="0" t="n">
        <f aca="false">VLOOKUP(C335,[1]M0112A!$A$1:$Z$222,24,TRUE())+(G335/100)</f>
        <v>264.24</v>
      </c>
      <c r="J335" s="0" t="n">
        <f aca="false">I335+0.02</f>
        <v>264.26</v>
      </c>
      <c r="K335" s="54" t="s">
        <v>319</v>
      </c>
      <c r="L335" s="36" t="s">
        <v>106</v>
      </c>
      <c r="M335" s="53" t="n">
        <f aca="false">I335-I334</f>
        <v>2.04000000000002</v>
      </c>
    </row>
    <row r="336" customFormat="false" ht="14.25" hidden="false" customHeight="false" outlineLevel="0" collapsed="false">
      <c r="A336" s="56" t="s">
        <v>89</v>
      </c>
      <c r="B336" s="56" t="s">
        <v>85</v>
      </c>
      <c r="C336" s="56" t="n">
        <v>174</v>
      </c>
      <c r="D336" s="56" t="s">
        <v>40</v>
      </c>
      <c r="E336" s="56" t="n">
        <v>1</v>
      </c>
      <c r="F336" s="56" t="s">
        <v>104</v>
      </c>
      <c r="G336" s="57" t="n">
        <v>38</v>
      </c>
      <c r="H336" s="56" t="n">
        <v>40</v>
      </c>
      <c r="I336" s="57" t="n">
        <f aca="false">VLOOKUP(C336,[1]M0112A!$A$1:$Z$222,24,TRUE())+(G336/100)</f>
        <v>265.08</v>
      </c>
      <c r="J336" s="57" t="n">
        <f aca="false">I336+0.02</f>
        <v>265.1</v>
      </c>
      <c r="K336" s="57" t="s">
        <v>320</v>
      </c>
      <c r="L336" s="60" t="s">
        <v>106</v>
      </c>
      <c r="M336" s="58" t="n">
        <f aca="false">I336-I335</f>
        <v>0.839999999999975</v>
      </c>
    </row>
    <row r="337" customFormat="false" ht="14.25" hidden="false" customHeight="false" outlineLevel="0" collapsed="false">
      <c r="A337" s="44" t="s">
        <v>89</v>
      </c>
      <c r="B337" s="44" t="s">
        <v>85</v>
      </c>
      <c r="C337" s="44" t="n">
        <v>175</v>
      </c>
      <c r="D337" s="44" t="s">
        <v>40</v>
      </c>
      <c r="E337" s="44" t="n">
        <v>1</v>
      </c>
      <c r="F337" s="44" t="s">
        <v>104</v>
      </c>
      <c r="G337" s="0" t="n">
        <v>38</v>
      </c>
      <c r="H337" s="44" t="n">
        <v>40</v>
      </c>
      <c r="I337" s="0" t="n">
        <f aca="false">VLOOKUP(C337,[1]M0112A!$A$1:$Z$222,24,TRUE())+(G337/100)</f>
        <v>266.81</v>
      </c>
      <c r="J337" s="0" t="n">
        <f aca="false">I337+0.02</f>
        <v>266.83</v>
      </c>
      <c r="K337" s="54" t="s">
        <v>321</v>
      </c>
      <c r="L337" s="36" t="s">
        <v>106</v>
      </c>
      <c r="M337" s="53" t="n">
        <f aca="false">I337-I336</f>
        <v>1.73000000000002</v>
      </c>
    </row>
    <row r="338" customFormat="false" ht="14.25" hidden="false" customHeight="false" outlineLevel="0" collapsed="false">
      <c r="A338" s="44" t="s">
        <v>89</v>
      </c>
      <c r="B338" s="44" t="s">
        <v>85</v>
      </c>
      <c r="C338" s="44" t="n">
        <v>176</v>
      </c>
      <c r="D338" s="44" t="s">
        <v>40</v>
      </c>
      <c r="E338" s="44" t="n">
        <v>1</v>
      </c>
      <c r="F338" s="44" t="s">
        <v>104</v>
      </c>
      <c r="G338" s="0" t="n">
        <v>18</v>
      </c>
      <c r="H338" s="44" t="n">
        <v>20</v>
      </c>
      <c r="I338" s="0" t="n">
        <f aca="false">VLOOKUP(C338,[1]M0112A!$A$1:$Z$222,24,TRUE())+(G338/100)</f>
        <v>269.52</v>
      </c>
      <c r="J338" s="0" t="n">
        <f aca="false">I338+0.02</f>
        <v>269.54</v>
      </c>
      <c r="K338" s="54" t="s">
        <v>286</v>
      </c>
      <c r="L338" s="36" t="s">
        <v>106</v>
      </c>
      <c r="M338" s="53" t="n">
        <f aca="false">I338-I337</f>
        <v>2.70999999999998</v>
      </c>
    </row>
    <row r="339" customFormat="false" ht="14.25" hidden="false" customHeight="false" outlineLevel="0" collapsed="false">
      <c r="A339" s="44" t="s">
        <v>89</v>
      </c>
      <c r="B339" s="44" t="s">
        <v>85</v>
      </c>
      <c r="C339" s="44" t="n">
        <v>177</v>
      </c>
      <c r="D339" s="44" t="s">
        <v>40</v>
      </c>
      <c r="E339" s="44" t="n">
        <v>1</v>
      </c>
      <c r="F339" s="44" t="s">
        <v>104</v>
      </c>
      <c r="G339" s="0" t="n">
        <v>8</v>
      </c>
      <c r="H339" s="44" t="n">
        <v>10</v>
      </c>
      <c r="I339" s="0" t="n">
        <f aca="false">VLOOKUP(C339,[1]M0112A!$A$1:$Z$222,24,TRUE())+(G339/100)</f>
        <v>270.62</v>
      </c>
      <c r="J339" s="0" t="n">
        <f aca="false">I339+0.02</f>
        <v>270.64</v>
      </c>
      <c r="K339" s="54" t="s">
        <v>286</v>
      </c>
      <c r="L339" s="36" t="s">
        <v>106</v>
      </c>
      <c r="M339" s="53" t="n">
        <f aca="false">I339-I338</f>
        <v>1.10000000000002</v>
      </c>
    </row>
    <row r="340" customFormat="false" ht="14.25" hidden="false" customHeight="false" outlineLevel="0" collapsed="false">
      <c r="A340" s="44" t="s">
        <v>89</v>
      </c>
      <c r="B340" s="44" t="s">
        <v>85</v>
      </c>
      <c r="C340" s="44" t="n">
        <v>178</v>
      </c>
      <c r="D340" s="44" t="s">
        <v>40</v>
      </c>
      <c r="E340" s="44" t="n">
        <v>1</v>
      </c>
      <c r="F340" s="44" t="s">
        <v>104</v>
      </c>
      <c r="G340" s="0" t="n">
        <v>38</v>
      </c>
      <c r="H340" s="44" t="n">
        <v>40</v>
      </c>
      <c r="I340" s="0" t="n">
        <f aca="false">VLOOKUP(C340,[1]M0112A!$A$1:$Z$222,24,TRUE())+(G340/100)</f>
        <v>273.73</v>
      </c>
      <c r="J340" s="0" t="n">
        <f aca="false">I340+0.02</f>
        <v>273.75</v>
      </c>
      <c r="K340" s="54" t="s">
        <v>322</v>
      </c>
      <c r="L340" s="36" t="s">
        <v>106</v>
      </c>
      <c r="M340" s="53" t="n">
        <f aca="false">I340-I339</f>
        <v>3.11000000000001</v>
      </c>
    </row>
    <row r="341" customFormat="false" ht="14.25" hidden="false" customHeight="false" outlineLevel="0" collapsed="false">
      <c r="A341" s="44" t="s">
        <v>89</v>
      </c>
      <c r="B341" s="44" t="s">
        <v>85</v>
      </c>
      <c r="C341" s="44" t="n">
        <v>179</v>
      </c>
      <c r="D341" s="44" t="s">
        <v>40</v>
      </c>
      <c r="E341" s="44" t="n">
        <v>1</v>
      </c>
      <c r="F341" s="44" t="s">
        <v>104</v>
      </c>
      <c r="G341" s="0" t="n">
        <v>38</v>
      </c>
      <c r="H341" s="44" t="n">
        <v>40</v>
      </c>
      <c r="I341" s="0" t="n">
        <f aca="false">VLOOKUP(C341,[1]M0112A!$A$1:$Z$222,24,TRUE())+(G341/100)</f>
        <v>276.31</v>
      </c>
      <c r="J341" s="0" t="n">
        <f aca="false">I341+0.02</f>
        <v>276.33</v>
      </c>
      <c r="K341" s="54" t="s">
        <v>323</v>
      </c>
      <c r="L341" s="36" t="s">
        <v>106</v>
      </c>
      <c r="M341" s="53" t="n">
        <f aca="false">I341-I340</f>
        <v>2.57999999999998</v>
      </c>
    </row>
    <row r="342" customFormat="false" ht="14.25" hidden="false" customHeight="false" outlineLevel="0" collapsed="false">
      <c r="A342" s="44" t="s">
        <v>89</v>
      </c>
      <c r="B342" s="44" t="s">
        <v>85</v>
      </c>
      <c r="C342" s="44" t="n">
        <v>180</v>
      </c>
      <c r="D342" s="44" t="s">
        <v>40</v>
      </c>
      <c r="E342" s="44" t="n">
        <v>1</v>
      </c>
      <c r="F342" s="44" t="s">
        <v>104</v>
      </c>
      <c r="G342" s="0" t="n">
        <v>38</v>
      </c>
      <c r="H342" s="44" t="n">
        <v>40</v>
      </c>
      <c r="I342" s="0" t="n">
        <f aca="false">VLOOKUP(C342,[1]M0112A!$A$1:$Z$222,24,TRUE())+(G342/100)</f>
        <v>278.12</v>
      </c>
      <c r="J342" s="0" t="n">
        <f aca="false">I342+0.02</f>
        <v>278.14</v>
      </c>
      <c r="K342" s="54" t="s">
        <v>323</v>
      </c>
      <c r="L342" s="36" t="s">
        <v>106</v>
      </c>
      <c r="M342" s="53" t="n">
        <f aca="false">I342-I341</f>
        <v>1.81</v>
      </c>
    </row>
    <row r="343" customFormat="false" ht="14.25" hidden="false" customHeight="false" outlineLevel="0" collapsed="false">
      <c r="A343" s="44" t="s">
        <v>89</v>
      </c>
      <c r="B343" s="44" t="s">
        <v>85</v>
      </c>
      <c r="C343" s="44" t="n">
        <v>182</v>
      </c>
      <c r="D343" s="44" t="s">
        <v>44</v>
      </c>
      <c r="E343" s="44" t="n">
        <v>1</v>
      </c>
      <c r="F343" s="44" t="s">
        <v>104</v>
      </c>
      <c r="G343" s="0" t="n">
        <v>8</v>
      </c>
      <c r="H343" s="44" t="n">
        <v>10</v>
      </c>
      <c r="I343" s="0" t="n">
        <f aca="false">VLOOKUP(C343,[1]M0112A!$A$1:$Z$222,24,TRUE())+(G343/100)</f>
        <v>279.82</v>
      </c>
      <c r="J343" s="0" t="n">
        <f aca="false">I343+0.02</f>
        <v>279.84</v>
      </c>
      <c r="K343" s="0" t="s">
        <v>286</v>
      </c>
      <c r="L343" s="36" t="s">
        <v>324</v>
      </c>
      <c r="M343" s="53" t="n">
        <f aca="false">I343-I342</f>
        <v>1.69999999999999</v>
      </c>
    </row>
    <row r="344" customFormat="false" ht="14.25" hidden="false" customHeight="false" outlineLevel="0" collapsed="false">
      <c r="A344" s="44" t="s">
        <v>89</v>
      </c>
      <c r="B344" s="44" t="s">
        <v>85</v>
      </c>
      <c r="C344" s="44" t="n">
        <v>183</v>
      </c>
      <c r="D344" s="44" t="s">
        <v>44</v>
      </c>
      <c r="E344" s="44" t="n">
        <v>1</v>
      </c>
      <c r="F344" s="44" t="s">
        <v>104</v>
      </c>
      <c r="G344" s="0" t="n">
        <v>6</v>
      </c>
      <c r="H344" s="44" t="n">
        <v>8</v>
      </c>
      <c r="I344" s="0" t="n">
        <f aca="false">VLOOKUP(C344,[1]M0112A!$A$1:$Z$222,24,TRUE())+(G344/100)</f>
        <v>281.27</v>
      </c>
      <c r="J344" s="0" t="n">
        <f aca="false">I344+0.02</f>
        <v>281.29</v>
      </c>
      <c r="K344" s="0" t="s">
        <v>286</v>
      </c>
      <c r="L344" s="36" t="s">
        <v>325</v>
      </c>
      <c r="M344" s="53" t="n">
        <f aca="false">I344-I343</f>
        <v>1.44999999999999</v>
      </c>
    </row>
    <row r="345" customFormat="false" ht="14.25" hidden="false" customHeight="false" outlineLevel="0" collapsed="false">
      <c r="A345" s="44" t="s">
        <v>89</v>
      </c>
      <c r="B345" s="44" t="s">
        <v>85</v>
      </c>
      <c r="C345" s="44" t="n">
        <v>185</v>
      </c>
      <c r="D345" s="44" t="s">
        <v>44</v>
      </c>
      <c r="E345" s="44" t="n">
        <v>1</v>
      </c>
      <c r="F345" s="44" t="s">
        <v>104</v>
      </c>
      <c r="G345" s="0" t="n">
        <v>38</v>
      </c>
      <c r="H345" s="44" t="n">
        <v>40</v>
      </c>
      <c r="I345" s="0" t="n">
        <f aca="false">VLOOKUP(C345,[1]M0112A!$A$1:$Z$222,24,TRUE())+(G345/100)</f>
        <v>284.59</v>
      </c>
      <c r="J345" s="0" t="n">
        <f aca="false">I345+0.02</f>
        <v>284.61</v>
      </c>
      <c r="K345" s="0" t="s">
        <v>326</v>
      </c>
      <c r="L345" s="36" t="s">
        <v>106</v>
      </c>
      <c r="M345" s="53" t="n">
        <f aca="false">I345-I344</f>
        <v>3.31999999999999</v>
      </c>
    </row>
    <row r="346" customFormat="false" ht="14.25" hidden="false" customHeight="false" outlineLevel="0" collapsed="false">
      <c r="A346" s="44" t="s">
        <v>89</v>
      </c>
      <c r="B346" s="44" t="s">
        <v>85</v>
      </c>
      <c r="C346" s="44" t="n">
        <v>186</v>
      </c>
      <c r="D346" s="44" t="s">
        <v>44</v>
      </c>
      <c r="E346" s="44" t="n">
        <v>1</v>
      </c>
      <c r="F346" s="44" t="s">
        <v>104</v>
      </c>
      <c r="G346" s="0" t="n">
        <v>38</v>
      </c>
      <c r="H346" s="44" t="n">
        <v>40</v>
      </c>
      <c r="I346" s="0" t="n">
        <f aca="false">VLOOKUP(C346,[1]M0112A!$A$1:$Z$222,24,TRUE())+(G346/100)</f>
        <v>286.59</v>
      </c>
      <c r="J346" s="0" t="n">
        <f aca="false">I346+0.02</f>
        <v>286.61</v>
      </c>
      <c r="K346" s="0" t="s">
        <v>304</v>
      </c>
      <c r="L346" s="36" t="s">
        <v>106</v>
      </c>
      <c r="M346" s="53" t="n">
        <f aca="false">I346-I345</f>
        <v>2</v>
      </c>
    </row>
    <row r="347" customFormat="false" ht="14.25" hidden="false" customHeight="false" outlineLevel="0" collapsed="false">
      <c r="A347" s="44" t="s">
        <v>89</v>
      </c>
      <c r="B347" s="44" t="s">
        <v>85</v>
      </c>
      <c r="C347" s="44" t="n">
        <v>187</v>
      </c>
      <c r="D347" s="44" t="s">
        <v>44</v>
      </c>
      <c r="E347" s="44" t="n">
        <v>1</v>
      </c>
      <c r="F347" s="44" t="s">
        <v>104</v>
      </c>
      <c r="G347" s="0" t="n">
        <v>8</v>
      </c>
      <c r="H347" s="44" t="n">
        <v>10</v>
      </c>
      <c r="I347" s="0" t="n">
        <f aca="false">VLOOKUP(C347,[1]M0112A!$A$1:$Z$222,24,TRUE())+(G347/100)</f>
        <v>288.29</v>
      </c>
      <c r="J347" s="0" t="n">
        <f aca="false">I347+0.02</f>
        <v>288.31</v>
      </c>
      <c r="K347" s="0" t="s">
        <v>42</v>
      </c>
      <c r="L347" s="36" t="s">
        <v>264</v>
      </c>
      <c r="M347" s="53" t="n">
        <f aca="false">I347-I346</f>
        <v>1.69999999999999</v>
      </c>
    </row>
    <row r="348" customFormat="false" ht="14.25" hidden="false" customHeight="false" outlineLevel="0" collapsed="false">
      <c r="A348" s="44" t="s">
        <v>89</v>
      </c>
      <c r="B348" s="44" t="s">
        <v>85</v>
      </c>
      <c r="C348" s="44" t="n">
        <v>189</v>
      </c>
      <c r="D348" s="44" t="s">
        <v>44</v>
      </c>
      <c r="E348" s="44" t="n">
        <v>1</v>
      </c>
      <c r="F348" s="44" t="s">
        <v>104</v>
      </c>
      <c r="G348" s="0" t="n">
        <v>38</v>
      </c>
      <c r="H348" s="44" t="n">
        <v>40</v>
      </c>
      <c r="I348" s="0" t="n">
        <f aca="false">VLOOKUP(C348,[1]M0112A!$A$1:$Z$222,24,TRUE())+(G348/100)</f>
        <v>290.59</v>
      </c>
      <c r="J348" s="0" t="n">
        <f aca="false">I348+0.02</f>
        <v>290.61</v>
      </c>
      <c r="K348" s="0" t="s">
        <v>327</v>
      </c>
      <c r="L348" s="36" t="s">
        <v>106</v>
      </c>
      <c r="M348" s="53" t="n">
        <f aca="false">I348-I347</f>
        <v>2.30000000000001</v>
      </c>
    </row>
    <row r="349" customFormat="false" ht="14.25" hidden="false" customHeight="false" outlineLevel="0" collapsed="false">
      <c r="A349" s="44" t="s">
        <v>89</v>
      </c>
      <c r="B349" s="44" t="s">
        <v>85</v>
      </c>
      <c r="C349" s="44" t="n">
        <v>191</v>
      </c>
      <c r="D349" s="44" t="s">
        <v>44</v>
      </c>
      <c r="E349" s="44" t="n">
        <v>1</v>
      </c>
      <c r="F349" s="44" t="s">
        <v>104</v>
      </c>
      <c r="G349" s="0" t="n">
        <v>8</v>
      </c>
      <c r="H349" s="44" t="n">
        <v>10</v>
      </c>
      <c r="I349" s="0" t="n">
        <f aca="false">VLOOKUP(C349,[1]M0112A!$A$1:$Z$222,24,TRUE())+(G349/100)</f>
        <v>292.29</v>
      </c>
      <c r="J349" s="0" t="n">
        <f aca="false">I349+0.02</f>
        <v>292.31</v>
      </c>
      <c r="K349" s="0" t="s">
        <v>42</v>
      </c>
      <c r="L349" s="36" t="s">
        <v>264</v>
      </c>
      <c r="M349" s="53" t="n">
        <f aca="false">I349-I348</f>
        <v>1.69999999999999</v>
      </c>
    </row>
    <row r="350" customFormat="false" ht="14.25" hidden="false" customHeight="false" outlineLevel="0" collapsed="false">
      <c r="A350" s="56" t="s">
        <v>89</v>
      </c>
      <c r="B350" s="56" t="s">
        <v>85</v>
      </c>
      <c r="C350" s="56" t="n">
        <v>195</v>
      </c>
      <c r="D350" s="56" t="s">
        <v>44</v>
      </c>
      <c r="E350" s="56" t="n">
        <v>1</v>
      </c>
      <c r="F350" s="56" t="s">
        <v>104</v>
      </c>
      <c r="G350" s="57" t="n">
        <v>18</v>
      </c>
      <c r="H350" s="56" t="n">
        <v>20</v>
      </c>
      <c r="I350" s="57" t="n">
        <f aca="false">VLOOKUP(C350,[1]M0112A!$A$1:$Z$222,24,TRUE())+(G350/100)</f>
        <v>295.59</v>
      </c>
      <c r="J350" s="57" t="n">
        <f aca="false">I350+0.02</f>
        <v>295.61</v>
      </c>
      <c r="K350" s="57" t="s">
        <v>328</v>
      </c>
      <c r="L350" s="60" t="s">
        <v>106</v>
      </c>
      <c r="M350" s="58" t="n">
        <f aca="false">I350-I349</f>
        <v>3.30000000000007</v>
      </c>
    </row>
    <row r="351" customFormat="false" ht="14.25" hidden="false" customHeight="false" outlineLevel="0" collapsed="false">
      <c r="A351" s="44" t="s">
        <v>89</v>
      </c>
      <c r="B351" s="44" t="s">
        <v>85</v>
      </c>
      <c r="C351" s="44" t="n">
        <v>196</v>
      </c>
      <c r="D351" s="44" t="s">
        <v>44</v>
      </c>
      <c r="E351" s="44" t="n">
        <v>1</v>
      </c>
      <c r="F351" s="44" t="s">
        <v>104</v>
      </c>
      <c r="G351" s="0" t="n">
        <v>38</v>
      </c>
      <c r="H351" s="44" t="n">
        <v>40</v>
      </c>
      <c r="I351" s="0" t="n">
        <f aca="false">VLOOKUP(C351,[1]M0112A!$A$1:$Z$222,24,TRUE())+(G351/100)</f>
        <v>296.04</v>
      </c>
      <c r="J351" s="0" t="n">
        <f aca="false">I351+0.02</f>
        <v>296.06</v>
      </c>
      <c r="K351" s="0" t="s">
        <v>329</v>
      </c>
      <c r="L351" s="36" t="s">
        <v>106</v>
      </c>
      <c r="M351" s="53" t="n">
        <f aca="false">I351-I350</f>
        <v>0.449999999999989</v>
      </c>
    </row>
    <row r="352" customFormat="false" ht="14.25" hidden="false" customHeight="false" outlineLevel="0" collapsed="false">
      <c r="A352" s="44" t="s">
        <v>89</v>
      </c>
      <c r="B352" s="44" t="s">
        <v>85</v>
      </c>
      <c r="C352" s="44" t="n">
        <v>197</v>
      </c>
      <c r="D352" s="44" t="s">
        <v>44</v>
      </c>
      <c r="E352" s="44" t="n">
        <v>1</v>
      </c>
      <c r="F352" s="44" t="s">
        <v>104</v>
      </c>
      <c r="G352" s="0" t="n">
        <v>38</v>
      </c>
      <c r="H352" s="44" t="n">
        <v>40</v>
      </c>
      <c r="I352" s="0" t="n">
        <f aca="false">VLOOKUP(C352,[1]M0112A!$A$1:$Z$222,24,TRUE())+(G352/100)</f>
        <v>297.59</v>
      </c>
      <c r="J352" s="0" t="n">
        <f aca="false">I352+0.02</f>
        <v>297.61</v>
      </c>
      <c r="K352" s="0" t="s">
        <v>330</v>
      </c>
      <c r="L352" s="36" t="s">
        <v>106</v>
      </c>
      <c r="M352" s="53" t="n">
        <f aca="false">I352-I351</f>
        <v>1.54999999999995</v>
      </c>
    </row>
    <row r="353" customFormat="false" ht="14.25" hidden="false" customHeight="false" outlineLevel="0" collapsed="false">
      <c r="A353" s="56" t="s">
        <v>89</v>
      </c>
      <c r="B353" s="56" t="s">
        <v>85</v>
      </c>
      <c r="C353" s="56" t="n">
        <v>198</v>
      </c>
      <c r="D353" s="56" t="s">
        <v>44</v>
      </c>
      <c r="E353" s="56" t="n">
        <v>1</v>
      </c>
      <c r="F353" s="56" t="s">
        <v>104</v>
      </c>
      <c r="G353" s="57" t="n">
        <v>38</v>
      </c>
      <c r="H353" s="56" t="n">
        <v>40</v>
      </c>
      <c r="I353" s="57" t="n">
        <f aca="false">VLOOKUP(C353,[1]M0112A!$A$1:$Z$222,24,TRUE())+(G353/100)</f>
        <v>298.59</v>
      </c>
      <c r="J353" s="57" t="n">
        <f aca="false">I353+0.02</f>
        <v>298.61</v>
      </c>
      <c r="K353" s="57" t="s">
        <v>331</v>
      </c>
      <c r="L353" s="60" t="s">
        <v>106</v>
      </c>
      <c r="M353" s="58" t="n">
        <f aca="false">I353-I352</f>
        <v>1</v>
      </c>
    </row>
    <row r="354" customFormat="false" ht="14.25" hidden="false" customHeight="false" outlineLevel="0" collapsed="false">
      <c r="A354" s="44" t="s">
        <v>89</v>
      </c>
      <c r="B354" s="44" t="s">
        <v>85</v>
      </c>
      <c r="C354" s="44" t="n">
        <v>200</v>
      </c>
      <c r="D354" s="44" t="s">
        <v>44</v>
      </c>
      <c r="E354" s="44" t="n">
        <v>1</v>
      </c>
      <c r="F354" s="44" t="s">
        <v>104</v>
      </c>
      <c r="G354" s="0" t="n">
        <v>38</v>
      </c>
      <c r="H354" s="44" t="n">
        <v>40</v>
      </c>
      <c r="I354" s="0" t="n">
        <f aca="false">VLOOKUP(C354,[1]M0112A!$A$1:$Z$222,24,TRUE())+(G354/100)</f>
        <v>300.59</v>
      </c>
      <c r="J354" s="0" t="n">
        <f aca="false">I354+0.02</f>
        <v>300.61</v>
      </c>
      <c r="K354" s="0" t="s">
        <v>332</v>
      </c>
      <c r="L354" s="36" t="s">
        <v>106</v>
      </c>
      <c r="M354" s="53" t="n">
        <f aca="false">I354-I353</f>
        <v>2</v>
      </c>
    </row>
    <row r="355" customFormat="false" ht="14.25" hidden="false" customHeight="false" outlineLevel="0" collapsed="false">
      <c r="A355" s="56" t="s">
        <v>89</v>
      </c>
      <c r="B355" s="56" t="s">
        <v>85</v>
      </c>
      <c r="C355" s="56" t="n">
        <v>204</v>
      </c>
      <c r="D355" s="56" t="s">
        <v>44</v>
      </c>
      <c r="E355" s="56" t="n">
        <v>1</v>
      </c>
      <c r="F355" s="56" t="s">
        <v>104</v>
      </c>
      <c r="G355" s="57" t="n">
        <v>38</v>
      </c>
      <c r="H355" s="56" t="n">
        <v>40</v>
      </c>
      <c r="I355" s="57" t="n">
        <f aca="false">VLOOKUP(C355,[1]M0112A!$A$1:$Z$222,24,TRUE())+(G355/100)</f>
        <v>304.59</v>
      </c>
      <c r="J355" s="57" t="n">
        <f aca="false">I355+0.02</f>
        <v>304.61</v>
      </c>
      <c r="K355" s="57" t="s">
        <v>328</v>
      </c>
      <c r="L355" s="60" t="s">
        <v>106</v>
      </c>
      <c r="M355" s="58" t="n">
        <f aca="false">I355-I354</f>
        <v>4</v>
      </c>
    </row>
    <row r="356" customFormat="false" ht="14.25" hidden="false" customHeight="false" outlineLevel="0" collapsed="false">
      <c r="A356" s="44" t="s">
        <v>89</v>
      </c>
      <c r="B356" s="44" t="s">
        <v>85</v>
      </c>
      <c r="C356" s="44" t="n">
        <v>205</v>
      </c>
      <c r="D356" s="44" t="s">
        <v>44</v>
      </c>
      <c r="E356" s="44" t="n">
        <v>1</v>
      </c>
      <c r="F356" s="44" t="s">
        <v>104</v>
      </c>
      <c r="G356" s="0" t="n">
        <v>38</v>
      </c>
      <c r="H356" s="44" t="n">
        <v>40</v>
      </c>
      <c r="I356" s="0" t="n">
        <f aca="false">VLOOKUP(C356,[1]M0112A!$A$1:$Z$222,24,TRUE())+(G356/100)</f>
        <v>305.59</v>
      </c>
      <c r="J356" s="0" t="n">
        <f aca="false">I356+0.02</f>
        <v>305.61</v>
      </c>
      <c r="K356" s="0" t="s">
        <v>333</v>
      </c>
      <c r="L356" s="36" t="s">
        <v>106</v>
      </c>
      <c r="M356" s="53" t="n">
        <f aca="false">I356-I355</f>
        <v>1</v>
      </c>
    </row>
    <row r="357" customFormat="false" ht="14.25" hidden="false" customHeight="false" outlineLevel="0" collapsed="false">
      <c r="A357" s="44" t="s">
        <v>89</v>
      </c>
      <c r="B357" s="44" t="s">
        <v>85</v>
      </c>
      <c r="C357" s="44" t="n">
        <v>206</v>
      </c>
      <c r="D357" s="44" t="s">
        <v>44</v>
      </c>
      <c r="E357" s="44" t="n">
        <v>1</v>
      </c>
      <c r="F357" s="44" t="s">
        <v>104</v>
      </c>
      <c r="G357" s="0" t="n">
        <v>38</v>
      </c>
      <c r="H357" s="44" t="n">
        <v>40</v>
      </c>
      <c r="I357" s="0" t="n">
        <f aca="false">VLOOKUP(C357,[1]M0112A!$A$1:$Z$222,24,TRUE())+(G357/100)</f>
        <v>306.59</v>
      </c>
      <c r="J357" s="0" t="n">
        <f aca="false">I357+0.02</f>
        <v>306.61</v>
      </c>
      <c r="K357" s="54" t="s">
        <v>334</v>
      </c>
      <c r="L357" s="36" t="s">
        <v>106</v>
      </c>
      <c r="M357" s="53" t="n">
        <f aca="false">I357-I356</f>
        <v>1</v>
      </c>
    </row>
    <row r="358" customFormat="false" ht="14.25" hidden="false" customHeight="false" outlineLevel="0" collapsed="false">
      <c r="A358" s="56" t="s">
        <v>89</v>
      </c>
      <c r="B358" s="56" t="s">
        <v>85</v>
      </c>
      <c r="C358" s="56" t="n">
        <v>209</v>
      </c>
      <c r="D358" s="56" t="s">
        <v>44</v>
      </c>
      <c r="E358" s="56" t="n">
        <v>1</v>
      </c>
      <c r="F358" s="56" t="s">
        <v>104</v>
      </c>
      <c r="G358" s="57" t="n">
        <v>8</v>
      </c>
      <c r="H358" s="56" t="n">
        <v>10</v>
      </c>
      <c r="I358" s="57" t="n">
        <f aca="false">VLOOKUP(C358,[1]M0112A!$A$1:$Z$222,24,TRUE())+(G358/100)</f>
        <v>309.29</v>
      </c>
      <c r="J358" s="57" t="n">
        <f aca="false">I358+0.02</f>
        <v>309.31</v>
      </c>
      <c r="K358" s="57" t="s">
        <v>328</v>
      </c>
      <c r="L358" s="60" t="s">
        <v>106</v>
      </c>
      <c r="M358" s="58" t="n">
        <f aca="false">I358-I357</f>
        <v>2.69999999999999</v>
      </c>
    </row>
    <row r="359" customFormat="false" ht="14.25" hidden="false" customHeight="false" outlineLevel="0" collapsed="false">
      <c r="A359" s="56" t="s">
        <v>89</v>
      </c>
      <c r="B359" s="56" t="s">
        <v>85</v>
      </c>
      <c r="C359" s="56" t="n">
        <v>210</v>
      </c>
      <c r="D359" s="56" t="s">
        <v>44</v>
      </c>
      <c r="E359" s="56" t="n">
        <v>1</v>
      </c>
      <c r="F359" s="56" t="s">
        <v>104</v>
      </c>
      <c r="G359" s="57" t="n">
        <v>18</v>
      </c>
      <c r="H359" s="56" t="n">
        <v>20</v>
      </c>
      <c r="I359" s="57" t="n">
        <f aca="false">VLOOKUP(C359,[1]M0112A!$A$1:$Z$222,24,TRUE())+(G359/100)</f>
        <v>310.39</v>
      </c>
      <c r="J359" s="57" t="n">
        <f aca="false">I359+0.02</f>
        <v>310.41</v>
      </c>
      <c r="K359" s="57" t="s">
        <v>328</v>
      </c>
      <c r="L359" s="60" t="s">
        <v>106</v>
      </c>
      <c r="M359" s="58" t="n">
        <f aca="false">I359-I358</f>
        <v>1.10000000000002</v>
      </c>
    </row>
    <row r="360" customFormat="false" ht="14.25" hidden="false" customHeight="false" outlineLevel="0" collapsed="false">
      <c r="A360" s="56" t="s">
        <v>89</v>
      </c>
      <c r="B360" s="56" t="s">
        <v>85</v>
      </c>
      <c r="C360" s="56" t="n">
        <v>212</v>
      </c>
      <c r="D360" s="56" t="s">
        <v>44</v>
      </c>
      <c r="E360" s="56" t="n">
        <v>1</v>
      </c>
      <c r="F360" s="56" t="s">
        <v>104</v>
      </c>
      <c r="G360" s="57" t="n">
        <v>58</v>
      </c>
      <c r="H360" s="56" t="n">
        <v>60</v>
      </c>
      <c r="I360" s="57" t="n">
        <f aca="false">VLOOKUP(C360,[1]M0112A!$A$1:$Z$222,24,TRUE())+(G360/100)</f>
        <v>312.79</v>
      </c>
      <c r="J360" s="57" t="n">
        <f aca="false">I360+0.02</f>
        <v>312.81</v>
      </c>
      <c r="K360" s="57" t="s">
        <v>328</v>
      </c>
      <c r="L360" s="60" t="s">
        <v>106</v>
      </c>
      <c r="M360" s="58" t="n">
        <f aca="false">I360-I359</f>
        <v>2.39999999999998</v>
      </c>
    </row>
    <row r="361" customFormat="false" ht="14.25" hidden="false" customHeight="false" outlineLevel="0" collapsed="false">
      <c r="A361" s="56" t="s">
        <v>89</v>
      </c>
      <c r="B361" s="56" t="s">
        <v>85</v>
      </c>
      <c r="C361" s="56" t="n">
        <v>214</v>
      </c>
      <c r="D361" s="56" t="s">
        <v>44</v>
      </c>
      <c r="E361" s="56" t="n">
        <v>1</v>
      </c>
      <c r="F361" s="56" t="s">
        <v>104</v>
      </c>
      <c r="G361" s="57" t="n">
        <v>98</v>
      </c>
      <c r="H361" s="56" t="n">
        <v>100</v>
      </c>
      <c r="I361" s="57" t="n">
        <f aca="false">VLOOKUP(C361,[1]M0112A!$A$1:$Z$222,24,TRUE())+(G361/100)</f>
        <v>315.19</v>
      </c>
      <c r="J361" s="57" t="n">
        <f aca="false">I361+0.02</f>
        <v>315.21</v>
      </c>
      <c r="K361" s="57" t="s">
        <v>328</v>
      </c>
      <c r="L361" s="60" t="s">
        <v>106</v>
      </c>
      <c r="M361" s="58" t="n">
        <f aca="false">I361-I360</f>
        <v>2.40000000000003</v>
      </c>
    </row>
    <row r="362" customFormat="false" ht="14.25" hidden="false" customHeight="false" outlineLevel="0" collapsed="false">
      <c r="A362" s="56" t="s">
        <v>89</v>
      </c>
      <c r="B362" s="56" t="s">
        <v>85</v>
      </c>
      <c r="C362" s="56" t="n">
        <v>215</v>
      </c>
      <c r="D362" s="56" t="s">
        <v>44</v>
      </c>
      <c r="E362" s="56" t="n">
        <v>1</v>
      </c>
      <c r="F362" s="56" t="s">
        <v>104</v>
      </c>
      <c r="G362" s="57" t="n">
        <v>108</v>
      </c>
      <c r="H362" s="56" t="n">
        <v>110</v>
      </c>
      <c r="I362" s="57" t="n">
        <f aca="false">VLOOKUP(C362,[1]M0112A!$A$1:$Z$222,24,TRUE())+(G362/100)</f>
        <v>316.29</v>
      </c>
      <c r="J362" s="57" t="n">
        <f aca="false">I362+0.02</f>
        <v>316.31</v>
      </c>
      <c r="K362" s="57" t="s">
        <v>335</v>
      </c>
      <c r="L362" s="60" t="s">
        <v>106</v>
      </c>
      <c r="M362" s="58" t="n">
        <f aca="false">I362-I361</f>
        <v>1.09999999999997</v>
      </c>
    </row>
    <row r="363" customFormat="false" ht="14.25" hidden="false" customHeight="false" outlineLevel="0" collapsed="false">
      <c r="A363" s="56" t="s">
        <v>89</v>
      </c>
      <c r="B363" s="56" t="s">
        <v>85</v>
      </c>
      <c r="C363" s="56" t="n">
        <v>216</v>
      </c>
      <c r="D363" s="56" t="s">
        <v>44</v>
      </c>
      <c r="E363" s="56" t="n">
        <v>1</v>
      </c>
      <c r="F363" s="56" t="s">
        <v>104</v>
      </c>
      <c r="G363" s="57" t="n">
        <v>38</v>
      </c>
      <c r="H363" s="56" t="n">
        <v>40</v>
      </c>
      <c r="I363" s="57" t="n">
        <f aca="false">VLOOKUP(C363,[1]M0112A!$A$1:$Z$222,24,TRUE())+(G363/100)</f>
        <v>317.59</v>
      </c>
      <c r="J363" s="57" t="n">
        <f aca="false">I363+0.02</f>
        <v>317.61</v>
      </c>
      <c r="K363" s="63" t="s">
        <v>336</v>
      </c>
      <c r="L363" s="60" t="s">
        <v>106</v>
      </c>
      <c r="M363" s="58" t="n">
        <f aca="false">I363-I362</f>
        <v>1.30000000000001</v>
      </c>
    </row>
    <row r="364" customFormat="false" ht="14.25" hidden="false" customHeight="false" outlineLevel="0" collapsed="false">
      <c r="A364" s="56" t="s">
        <v>89</v>
      </c>
      <c r="B364" s="56" t="s">
        <v>85</v>
      </c>
      <c r="C364" s="56" t="n">
        <v>217</v>
      </c>
      <c r="D364" s="56" t="s">
        <v>44</v>
      </c>
      <c r="E364" s="56" t="n">
        <v>1</v>
      </c>
      <c r="F364" s="56" t="s">
        <v>104</v>
      </c>
      <c r="G364" s="57" t="n">
        <v>38</v>
      </c>
      <c r="H364" s="56" t="n">
        <v>40</v>
      </c>
      <c r="I364" s="57" t="n">
        <f aca="false">VLOOKUP(C364,[1]M0112A!$A$1:$Z$222,24,TRUE())+(G364/100)</f>
        <v>320.59</v>
      </c>
      <c r="J364" s="57" t="n">
        <f aca="false">I364+0.02</f>
        <v>320.61</v>
      </c>
      <c r="K364" s="63" t="s">
        <v>337</v>
      </c>
      <c r="L364" s="60" t="s">
        <v>106</v>
      </c>
      <c r="M364" s="58" t="n">
        <f aca="false">I364-I363</f>
        <v>3</v>
      </c>
    </row>
    <row r="365" customFormat="false" ht="14.25" hidden="false" customHeight="false" outlineLevel="0" collapsed="false">
      <c r="A365" s="44" t="s">
        <v>89</v>
      </c>
      <c r="B365" s="44" t="s">
        <v>85</v>
      </c>
      <c r="C365" s="44" t="n">
        <v>218</v>
      </c>
      <c r="D365" s="44" t="s">
        <v>44</v>
      </c>
      <c r="E365" s="44" t="n">
        <v>1</v>
      </c>
      <c r="F365" s="44" t="s">
        <v>104</v>
      </c>
      <c r="G365" s="0" t="n">
        <v>38</v>
      </c>
      <c r="H365" s="44" t="n">
        <v>40</v>
      </c>
      <c r="I365" s="0" t="n">
        <f aca="false">VLOOKUP(C365,[1]M0112A!$A$1:$Z$222,24,TRUE())+(G365/100)</f>
        <v>322.59</v>
      </c>
      <c r="J365" s="0" t="n">
        <f aca="false">I365+0.02</f>
        <v>322.61</v>
      </c>
      <c r="K365" s="54" t="s">
        <v>338</v>
      </c>
      <c r="L365" s="36" t="s">
        <v>106</v>
      </c>
      <c r="M365" s="53" t="n">
        <f aca="false">I365-I364</f>
        <v>2</v>
      </c>
    </row>
    <row r="366" customFormat="false" ht="14.25" hidden="false" customHeight="false" outlineLevel="0" collapsed="false">
      <c r="A366" s="44" t="s">
        <v>89</v>
      </c>
      <c r="B366" s="44" t="s">
        <v>85</v>
      </c>
      <c r="C366" s="44" t="n">
        <v>219</v>
      </c>
      <c r="D366" s="44" t="s">
        <v>44</v>
      </c>
      <c r="E366" s="44" t="n">
        <v>1</v>
      </c>
      <c r="F366" s="44" t="s">
        <v>104</v>
      </c>
      <c r="G366" s="0" t="n">
        <v>38</v>
      </c>
      <c r="H366" s="44" t="n">
        <v>40</v>
      </c>
      <c r="I366" s="0" t="n">
        <f aca="false">VLOOKUP(C366,[1]M0112A!$A$1:$Z$222,24,TRUE())+(G366/100)</f>
        <v>324.39</v>
      </c>
      <c r="J366" s="0" t="n">
        <f aca="false">I366+0.02</f>
        <v>324.41</v>
      </c>
      <c r="K366" s="0" t="s">
        <v>339</v>
      </c>
      <c r="L366" s="36" t="s">
        <v>106</v>
      </c>
      <c r="M366" s="53" t="n">
        <f aca="false">I366-I365</f>
        <v>1.80000000000001</v>
      </c>
    </row>
    <row r="367" customFormat="false" ht="14.25" hidden="false" customHeight="false" outlineLevel="0" collapsed="false">
      <c r="A367" s="44" t="s">
        <v>89</v>
      </c>
      <c r="B367" s="44" t="s">
        <v>85</v>
      </c>
      <c r="C367" s="44" t="n">
        <v>221</v>
      </c>
      <c r="D367" s="44" t="s">
        <v>44</v>
      </c>
      <c r="E367" s="44" t="n">
        <v>1</v>
      </c>
      <c r="F367" s="44" t="s">
        <v>104</v>
      </c>
      <c r="G367" s="0" t="n">
        <v>28</v>
      </c>
      <c r="H367" s="44" t="n">
        <v>30</v>
      </c>
      <c r="I367" s="0" t="n">
        <f aca="false">VLOOKUP(C367,[1]M0112A!$A$1:$Z$222,24,TRUE())+(G367/100)</f>
        <v>328.49</v>
      </c>
      <c r="J367" s="0" t="n">
        <f aca="false">I367+0.02</f>
        <v>328.51</v>
      </c>
      <c r="K367" s="0" t="s">
        <v>340</v>
      </c>
      <c r="L367" s="36" t="s">
        <v>106</v>
      </c>
      <c r="M367" s="53" t="n">
        <f aca="false">I367-I366</f>
        <v>4.09999999999997</v>
      </c>
    </row>
    <row r="368" customFormat="false" ht="14.25" hidden="false" customHeight="false" outlineLevel="0" collapsed="false">
      <c r="H368" s="44"/>
      <c r="L368" s="35"/>
      <c r="M368" s="35"/>
    </row>
    <row r="369" customFormat="false" ht="14.25" hidden="false" customHeight="false" outlineLevel="0" collapsed="false">
      <c r="A369" s="44" t="s">
        <v>89</v>
      </c>
      <c r="B369" s="44" t="s">
        <v>39</v>
      </c>
      <c r="C369" s="44" t="n">
        <v>2</v>
      </c>
      <c r="D369" s="44" t="s">
        <v>40</v>
      </c>
      <c r="E369" s="44" t="n">
        <v>1</v>
      </c>
      <c r="F369" s="44" t="s">
        <v>104</v>
      </c>
      <c r="G369" s="0" t="n">
        <v>38</v>
      </c>
      <c r="H369" s="44" t="n">
        <v>40</v>
      </c>
      <c r="I369" s="0" t="n">
        <f aca="false">VLOOKUP(C369,[1]M0112B!$A$1:$Z$67,24,TRUE())+(G369/100)</f>
        <v>28.6</v>
      </c>
      <c r="J369" s="0" t="n">
        <f aca="false">I369+0.02</f>
        <v>28.62</v>
      </c>
      <c r="K369" s="0" t="s">
        <v>158</v>
      </c>
      <c r="L369" s="36" t="s">
        <v>106</v>
      </c>
      <c r="M369" s="52" t="s">
        <v>107</v>
      </c>
    </row>
    <row r="370" customFormat="false" ht="14.25" hidden="false" customHeight="false" outlineLevel="0" collapsed="false">
      <c r="A370" s="44" t="s">
        <v>89</v>
      </c>
      <c r="B370" s="44" t="s">
        <v>39</v>
      </c>
      <c r="C370" s="44" t="n">
        <v>3</v>
      </c>
      <c r="D370" s="44" t="s">
        <v>40</v>
      </c>
      <c r="E370" s="44" t="n">
        <v>1</v>
      </c>
      <c r="F370" s="44" t="s">
        <v>104</v>
      </c>
      <c r="G370" s="0" t="n">
        <v>68</v>
      </c>
      <c r="H370" s="44" t="n">
        <v>70</v>
      </c>
      <c r="I370" s="0" t="n">
        <f aca="false">VLOOKUP(C370,[1]M0112B!$A$1:$Z$67,24,TRUE())+(G370/100)</f>
        <v>31.07</v>
      </c>
      <c r="J370" s="0" t="n">
        <f aca="false">I370+0.02</f>
        <v>31.09</v>
      </c>
      <c r="K370" s="0" t="s">
        <v>341</v>
      </c>
      <c r="L370" s="36" t="s">
        <v>106</v>
      </c>
      <c r="M370" s="53" t="n">
        <f aca="false">I370-I369</f>
        <v>2.47</v>
      </c>
    </row>
    <row r="371" customFormat="false" ht="14.25" hidden="false" customHeight="false" outlineLevel="0" collapsed="false">
      <c r="A371" s="44" t="s">
        <v>89</v>
      </c>
      <c r="B371" s="44" t="s">
        <v>39</v>
      </c>
      <c r="C371" s="44" t="n">
        <v>5</v>
      </c>
      <c r="D371" s="44" t="s">
        <v>40</v>
      </c>
      <c r="E371" s="44" t="n">
        <v>1</v>
      </c>
      <c r="F371" s="44" t="s">
        <v>104</v>
      </c>
      <c r="G371" s="0" t="n">
        <v>38</v>
      </c>
      <c r="H371" s="44" t="n">
        <v>40</v>
      </c>
      <c r="I371" s="0" t="n">
        <f aca="false">VLOOKUP(C371,[1]M0112B!$A$1:$Z$67,24,TRUE())+(G371/100)</f>
        <v>54.38</v>
      </c>
      <c r="J371" s="0" t="n">
        <f aca="false">I371+0.02</f>
        <v>54.4</v>
      </c>
      <c r="K371" s="0" t="s">
        <v>342</v>
      </c>
      <c r="L371" s="36" t="s">
        <v>106</v>
      </c>
      <c r="M371" s="53"/>
    </row>
    <row r="372" customFormat="false" ht="14.25" hidden="false" customHeight="false" outlineLevel="0" collapsed="false">
      <c r="A372" s="44" t="s">
        <v>89</v>
      </c>
      <c r="B372" s="44" t="s">
        <v>39</v>
      </c>
      <c r="C372" s="44" t="n">
        <v>6</v>
      </c>
      <c r="D372" s="44" t="s">
        <v>44</v>
      </c>
      <c r="E372" s="44" t="n">
        <v>1</v>
      </c>
      <c r="F372" s="44" t="s">
        <v>104</v>
      </c>
      <c r="G372" s="0" t="n">
        <v>38</v>
      </c>
      <c r="H372" s="44" t="n">
        <v>40</v>
      </c>
      <c r="I372" s="0" t="n">
        <f aca="false">VLOOKUP(C372,[1]M0112B!$A$1:$Z$67,24,TRUE())+(G372/100)</f>
        <v>55.9</v>
      </c>
      <c r="J372" s="0" t="n">
        <f aca="false">I372+0.02</f>
        <v>55.92</v>
      </c>
      <c r="K372" s="0" t="s">
        <v>343</v>
      </c>
      <c r="L372" s="36" t="s">
        <v>106</v>
      </c>
      <c r="M372" s="53" t="n">
        <f aca="false">I372-I371</f>
        <v>1.52</v>
      </c>
    </row>
    <row r="373" customFormat="false" ht="14.25" hidden="false" customHeight="false" outlineLevel="0" collapsed="false">
      <c r="A373" s="56" t="s">
        <v>89</v>
      </c>
      <c r="B373" s="56" t="s">
        <v>39</v>
      </c>
      <c r="C373" s="56" t="n">
        <v>7</v>
      </c>
      <c r="D373" s="56" t="s">
        <v>44</v>
      </c>
      <c r="E373" s="56" t="n">
        <v>1</v>
      </c>
      <c r="F373" s="56" t="s">
        <v>104</v>
      </c>
      <c r="G373" s="57" t="n">
        <v>38</v>
      </c>
      <c r="H373" s="56" t="n">
        <v>40</v>
      </c>
      <c r="I373" s="57" t="n">
        <f aca="false">VLOOKUP(C373,[1]M0112B!$A$1:$Z$67,24,TRUE())+(G373/100)</f>
        <v>57.2</v>
      </c>
      <c r="J373" s="57" t="n">
        <f aca="false">I373+0.02</f>
        <v>57.22</v>
      </c>
      <c r="K373" s="63" t="s">
        <v>141</v>
      </c>
      <c r="L373" s="60" t="s">
        <v>106</v>
      </c>
      <c r="M373" s="58" t="n">
        <f aca="false">I373-I372</f>
        <v>1.3</v>
      </c>
    </row>
    <row r="374" customFormat="false" ht="14.25" hidden="false" customHeight="false" outlineLevel="0" collapsed="false">
      <c r="A374" s="56" t="s">
        <v>89</v>
      </c>
      <c r="B374" s="56" t="s">
        <v>39</v>
      </c>
      <c r="C374" s="56" t="n">
        <v>8</v>
      </c>
      <c r="D374" s="56" t="s">
        <v>44</v>
      </c>
      <c r="E374" s="56" t="n">
        <v>1</v>
      </c>
      <c r="F374" s="56" t="s">
        <v>104</v>
      </c>
      <c r="G374" s="57" t="n">
        <v>28</v>
      </c>
      <c r="H374" s="56" t="n">
        <v>30</v>
      </c>
      <c r="I374" s="57" t="n">
        <f aca="false">VLOOKUP(C374,[1]M0112B!$A$1:$Z$67,24,TRUE())+(G374/100)</f>
        <v>58.6</v>
      </c>
      <c r="J374" s="57" t="n">
        <f aca="false">I374+0.02</f>
        <v>58.62</v>
      </c>
      <c r="K374" s="63" t="s">
        <v>141</v>
      </c>
      <c r="L374" s="60" t="s">
        <v>106</v>
      </c>
      <c r="M374" s="58" t="n">
        <f aca="false">I374-I373</f>
        <v>1.4</v>
      </c>
    </row>
    <row r="375" customFormat="false" ht="14.25" hidden="false" customHeight="false" outlineLevel="0" collapsed="false">
      <c r="A375" s="56" t="s">
        <v>89</v>
      </c>
      <c r="B375" s="56" t="s">
        <v>39</v>
      </c>
      <c r="C375" s="56" t="n">
        <v>9</v>
      </c>
      <c r="D375" s="56" t="s">
        <v>44</v>
      </c>
      <c r="E375" s="56" t="n">
        <v>1</v>
      </c>
      <c r="F375" s="56" t="s">
        <v>104</v>
      </c>
      <c r="G375" s="57" t="n">
        <v>38</v>
      </c>
      <c r="H375" s="56" t="n">
        <v>40</v>
      </c>
      <c r="I375" s="57" t="n">
        <f aca="false">VLOOKUP(C375,[1]M0112B!$A$1:$Z$67,24,TRUE())+(G375/100)</f>
        <v>60.2</v>
      </c>
      <c r="J375" s="57" t="n">
        <f aca="false">I375+0.02</f>
        <v>60.22</v>
      </c>
      <c r="K375" s="57" t="s">
        <v>251</v>
      </c>
      <c r="L375" s="60" t="s">
        <v>106</v>
      </c>
      <c r="M375" s="58" t="n">
        <f aca="false">I375-I374</f>
        <v>1.6</v>
      </c>
    </row>
    <row r="376" customFormat="false" ht="14.25" hidden="false" customHeight="false" outlineLevel="0" collapsed="false">
      <c r="A376" s="56" t="s">
        <v>89</v>
      </c>
      <c r="B376" s="56" t="s">
        <v>39</v>
      </c>
      <c r="C376" s="56" t="n">
        <v>10</v>
      </c>
      <c r="D376" s="56" t="s">
        <v>44</v>
      </c>
      <c r="E376" s="56" t="n">
        <v>1</v>
      </c>
      <c r="F376" s="56" t="s">
        <v>104</v>
      </c>
      <c r="G376" s="57" t="n">
        <v>38</v>
      </c>
      <c r="H376" s="56" t="n">
        <v>40</v>
      </c>
      <c r="I376" s="57" t="n">
        <f aca="false">VLOOKUP(C376,[1]M0112B!$A$1:$Z$67,24,TRUE())+(G376/100)</f>
        <v>61.7</v>
      </c>
      <c r="J376" s="57" t="n">
        <f aca="false">I376+0.02</f>
        <v>61.72</v>
      </c>
      <c r="K376" s="57" t="s">
        <v>251</v>
      </c>
      <c r="L376" s="60" t="s">
        <v>106</v>
      </c>
      <c r="M376" s="58" t="n">
        <f aca="false">I376-I375</f>
        <v>1.5</v>
      </c>
    </row>
    <row r="377" customFormat="false" ht="14.25" hidden="false" customHeight="false" outlineLevel="0" collapsed="false">
      <c r="A377" s="56" t="s">
        <v>89</v>
      </c>
      <c r="B377" s="56" t="s">
        <v>39</v>
      </c>
      <c r="C377" s="56" t="n">
        <v>12</v>
      </c>
      <c r="D377" s="56" t="s">
        <v>44</v>
      </c>
      <c r="E377" s="56" t="n">
        <v>1</v>
      </c>
      <c r="F377" s="56" t="s">
        <v>104</v>
      </c>
      <c r="G377" s="57" t="n">
        <v>38</v>
      </c>
      <c r="H377" s="56" t="n">
        <v>40</v>
      </c>
      <c r="I377" s="57" t="n">
        <f aca="false">VLOOKUP(C377,[1]M0112B!$A$1:$Z$67,24,TRUE())+(G377/100)</f>
        <v>82.38</v>
      </c>
      <c r="J377" s="57" t="n">
        <f aca="false">I377+0.02</f>
        <v>82.4</v>
      </c>
      <c r="K377" s="57" t="s">
        <v>251</v>
      </c>
      <c r="L377" s="60" t="s">
        <v>106</v>
      </c>
      <c r="M377" s="58"/>
    </row>
    <row r="378" customFormat="false" ht="14.25" hidden="false" customHeight="false" outlineLevel="0" collapsed="false">
      <c r="A378" s="56" t="s">
        <v>89</v>
      </c>
      <c r="B378" s="56" t="s">
        <v>39</v>
      </c>
      <c r="C378" s="56" t="n">
        <v>13</v>
      </c>
      <c r="D378" s="56" t="s">
        <v>44</v>
      </c>
      <c r="E378" s="56" t="n">
        <v>1</v>
      </c>
      <c r="F378" s="56" t="s">
        <v>104</v>
      </c>
      <c r="G378" s="57" t="n">
        <v>38</v>
      </c>
      <c r="H378" s="56" t="n">
        <v>40</v>
      </c>
      <c r="I378" s="57" t="n">
        <f aca="false">VLOOKUP(C378,[1]M0112B!$A$1:$Z$67,24,TRUE())+(G378/100)</f>
        <v>83.88</v>
      </c>
      <c r="J378" s="57" t="n">
        <f aca="false">I378+0.02</f>
        <v>83.9</v>
      </c>
      <c r="K378" s="57" t="s">
        <v>251</v>
      </c>
      <c r="L378" s="60" t="s">
        <v>106</v>
      </c>
      <c r="M378" s="58" t="n">
        <f aca="false">I378-I377</f>
        <v>1.5</v>
      </c>
    </row>
    <row r="379" customFormat="false" ht="14.25" hidden="false" customHeight="false" outlineLevel="0" collapsed="false">
      <c r="A379" s="56" t="s">
        <v>89</v>
      </c>
      <c r="B379" s="56" t="s">
        <v>39</v>
      </c>
      <c r="C379" s="56" t="n">
        <v>14</v>
      </c>
      <c r="D379" s="56" t="s">
        <v>44</v>
      </c>
      <c r="E379" s="56" t="n">
        <v>1</v>
      </c>
      <c r="F379" s="56" t="s">
        <v>104</v>
      </c>
      <c r="G379" s="57" t="n">
        <v>38</v>
      </c>
      <c r="H379" s="56" t="n">
        <v>40</v>
      </c>
      <c r="I379" s="57" t="n">
        <f aca="false">VLOOKUP(C379,[1]M0112B!$A$1:$Z$67,24,TRUE())+(G379/100)</f>
        <v>86.88</v>
      </c>
      <c r="J379" s="57" t="n">
        <f aca="false">I379+0.02</f>
        <v>86.9</v>
      </c>
      <c r="K379" s="57" t="s">
        <v>251</v>
      </c>
      <c r="L379" s="60" t="s">
        <v>106</v>
      </c>
      <c r="M379" s="58" t="n">
        <f aca="false">I379-I378</f>
        <v>3</v>
      </c>
    </row>
    <row r="380" customFormat="false" ht="14.25" hidden="false" customHeight="false" outlineLevel="0" collapsed="false">
      <c r="A380" s="56" t="s">
        <v>89</v>
      </c>
      <c r="B380" s="56" t="s">
        <v>39</v>
      </c>
      <c r="C380" s="56" t="n">
        <v>15</v>
      </c>
      <c r="D380" s="56" t="s">
        <v>44</v>
      </c>
      <c r="E380" s="56" t="n">
        <v>1</v>
      </c>
      <c r="F380" s="56" t="s">
        <v>104</v>
      </c>
      <c r="G380" s="57" t="n">
        <v>38</v>
      </c>
      <c r="H380" s="56" t="n">
        <v>40</v>
      </c>
      <c r="I380" s="57" t="n">
        <f aca="false">VLOOKUP(C380,[1]M0112B!$A$1:$Z$67,24,TRUE())+(G380/100)</f>
        <v>89.88</v>
      </c>
      <c r="J380" s="57" t="n">
        <f aca="false">I380+0.02</f>
        <v>89.9</v>
      </c>
      <c r="K380" s="57" t="s">
        <v>251</v>
      </c>
      <c r="L380" s="60" t="s">
        <v>106</v>
      </c>
      <c r="M380" s="58" t="n">
        <f aca="false">I380-I379</f>
        <v>3</v>
      </c>
    </row>
    <row r="381" customFormat="false" ht="14.25" hidden="false" customHeight="false" outlineLevel="0" collapsed="false">
      <c r="A381" s="56" t="s">
        <v>89</v>
      </c>
      <c r="B381" s="56" t="s">
        <v>39</v>
      </c>
      <c r="C381" s="56" t="n">
        <v>16</v>
      </c>
      <c r="D381" s="56" t="s">
        <v>44</v>
      </c>
      <c r="E381" s="56" t="n">
        <v>1</v>
      </c>
      <c r="F381" s="56" t="s">
        <v>104</v>
      </c>
      <c r="G381" s="57" t="n">
        <v>38</v>
      </c>
      <c r="H381" s="56" t="n">
        <v>40</v>
      </c>
      <c r="I381" s="57" t="n">
        <f aca="false">VLOOKUP(C381,[1]M0112B!$A$1:$Z$67,24,TRUE())+(G381/100)</f>
        <v>92.88</v>
      </c>
      <c r="J381" s="57" t="n">
        <f aca="false">I381+0.02</f>
        <v>92.9</v>
      </c>
      <c r="K381" s="57" t="s">
        <v>251</v>
      </c>
      <c r="L381" s="60" t="s">
        <v>106</v>
      </c>
      <c r="M381" s="58" t="n">
        <f aca="false">I381-I380</f>
        <v>3</v>
      </c>
    </row>
    <row r="382" customFormat="false" ht="14.25" hidden="false" customHeight="false" outlineLevel="0" collapsed="false">
      <c r="A382" s="56" t="s">
        <v>89</v>
      </c>
      <c r="B382" s="56" t="s">
        <v>39</v>
      </c>
      <c r="C382" s="56" t="n">
        <v>17</v>
      </c>
      <c r="D382" s="56" t="s">
        <v>44</v>
      </c>
      <c r="E382" s="56" t="n">
        <v>1</v>
      </c>
      <c r="F382" s="56" t="s">
        <v>104</v>
      </c>
      <c r="G382" s="57" t="n">
        <v>38</v>
      </c>
      <c r="H382" s="56" t="n">
        <v>40</v>
      </c>
      <c r="I382" s="57" t="n">
        <f aca="false">VLOOKUP(C382,[1]M0112B!$A$1:$Z$67,24,TRUE())+(G382/100)</f>
        <v>95.88</v>
      </c>
      <c r="J382" s="57" t="n">
        <f aca="false">I382+0.02</f>
        <v>95.9</v>
      </c>
      <c r="K382" s="57" t="s">
        <v>251</v>
      </c>
      <c r="L382" s="60" t="s">
        <v>106</v>
      </c>
      <c r="M382" s="58" t="n">
        <f aca="false">I382-I381</f>
        <v>3</v>
      </c>
    </row>
    <row r="383" customFormat="false" ht="14.25" hidden="false" customHeight="false" outlineLevel="0" collapsed="false">
      <c r="A383" s="44" t="s">
        <v>89</v>
      </c>
      <c r="B383" s="44" t="s">
        <v>39</v>
      </c>
      <c r="C383" s="44" t="n">
        <v>18</v>
      </c>
      <c r="D383" s="44" t="s">
        <v>44</v>
      </c>
      <c r="E383" s="44" t="n">
        <v>1</v>
      </c>
      <c r="F383" s="44" t="s">
        <v>104</v>
      </c>
      <c r="G383" s="0" t="n">
        <v>18</v>
      </c>
      <c r="H383" s="44" t="n">
        <v>20</v>
      </c>
      <c r="I383" s="0" t="n">
        <f aca="false">VLOOKUP(C383,[1]M0112B!$A$1:$Z$67,24,TRUE())+(G383/100)</f>
        <v>98.68</v>
      </c>
      <c r="J383" s="0" t="n">
        <f aca="false">I383+0.02</f>
        <v>98.7</v>
      </c>
      <c r="K383" s="0" t="s">
        <v>344</v>
      </c>
      <c r="L383" s="36" t="s">
        <v>106</v>
      </c>
      <c r="M383" s="53" t="n">
        <f aca="false">I383-I382</f>
        <v>2.80000000000001</v>
      </c>
    </row>
    <row r="384" customFormat="false" ht="14.25" hidden="false" customHeight="false" outlineLevel="0" collapsed="false">
      <c r="A384" s="56" t="s">
        <v>89</v>
      </c>
      <c r="B384" s="56" t="s">
        <v>39</v>
      </c>
      <c r="C384" s="56" t="n">
        <v>19</v>
      </c>
      <c r="D384" s="56" t="s">
        <v>44</v>
      </c>
      <c r="E384" s="56" t="n">
        <v>1</v>
      </c>
      <c r="F384" s="56" t="s">
        <v>104</v>
      </c>
      <c r="G384" s="57" t="n">
        <v>38</v>
      </c>
      <c r="H384" s="56" t="n">
        <v>40</v>
      </c>
      <c r="I384" s="57" t="n">
        <f aca="false">VLOOKUP(C384,[1]M0112B!$A$1:$Z$67,24,TRUE())+(G384/100)</f>
        <v>101.88</v>
      </c>
      <c r="J384" s="57" t="n">
        <f aca="false">I384+0.02</f>
        <v>101.9</v>
      </c>
      <c r="K384" s="63" t="s">
        <v>251</v>
      </c>
      <c r="L384" s="60" t="s">
        <v>106</v>
      </c>
      <c r="M384" s="58" t="n">
        <f aca="false">I384-I383</f>
        <v>3.19999999999999</v>
      </c>
    </row>
    <row r="385" customFormat="false" ht="14.25" hidden="false" customHeight="false" outlineLevel="0" collapsed="false">
      <c r="A385" s="44" t="s">
        <v>89</v>
      </c>
      <c r="B385" s="44" t="s">
        <v>39</v>
      </c>
      <c r="C385" s="44" t="n">
        <v>20</v>
      </c>
      <c r="D385" s="44" t="s">
        <v>44</v>
      </c>
      <c r="E385" s="44" t="n">
        <v>1</v>
      </c>
      <c r="F385" s="44" t="s">
        <v>104</v>
      </c>
      <c r="G385" s="0" t="n">
        <v>15</v>
      </c>
      <c r="H385" s="44" t="n">
        <v>17</v>
      </c>
      <c r="I385" s="0" t="n">
        <f aca="false">VLOOKUP(C385,[1]M0112B!$A$1:$Z$67,24,TRUE())+(G385/100)</f>
        <v>103.57</v>
      </c>
      <c r="J385" s="0" t="n">
        <f aca="false">I385+0.02</f>
        <v>103.59</v>
      </c>
      <c r="K385" s="0" t="s">
        <v>344</v>
      </c>
      <c r="L385" s="36" t="s">
        <v>345</v>
      </c>
      <c r="M385" s="53" t="n">
        <f aca="false">I385-I384</f>
        <v>1.69000000000001</v>
      </c>
    </row>
    <row r="386" customFormat="false" ht="14.25" hidden="false" customHeight="false" outlineLevel="0" collapsed="false">
      <c r="A386" s="44" t="s">
        <v>89</v>
      </c>
      <c r="B386" s="44" t="s">
        <v>39</v>
      </c>
      <c r="C386" s="44" t="n">
        <v>21</v>
      </c>
      <c r="D386" s="44" t="s">
        <v>44</v>
      </c>
      <c r="E386" s="44" t="n">
        <v>1</v>
      </c>
      <c r="F386" s="44" t="s">
        <v>104</v>
      </c>
      <c r="G386" s="0" t="n">
        <v>18</v>
      </c>
      <c r="H386" s="44" t="n">
        <v>20</v>
      </c>
      <c r="I386" s="0" t="n">
        <f aca="false">VLOOKUP(C386,[1]M0112B!$A$1:$Z$67,24,TRUE())+(G386/100)</f>
        <v>105</v>
      </c>
      <c r="J386" s="0" t="n">
        <f aca="false">I386+0.02</f>
        <v>105.02</v>
      </c>
      <c r="K386" s="0" t="s">
        <v>346</v>
      </c>
      <c r="L386" s="36" t="s">
        <v>264</v>
      </c>
      <c r="M386" s="53" t="n">
        <f aca="false">I386-I385</f>
        <v>1.42999999999999</v>
      </c>
    </row>
    <row r="387" customFormat="false" ht="14.25" hidden="false" customHeight="false" outlineLevel="0" collapsed="false">
      <c r="A387" s="44" t="s">
        <v>89</v>
      </c>
      <c r="B387" s="44" t="s">
        <v>39</v>
      </c>
      <c r="C387" s="44" t="n">
        <v>22</v>
      </c>
      <c r="D387" s="44" t="s">
        <v>44</v>
      </c>
      <c r="E387" s="44" t="n">
        <v>1</v>
      </c>
      <c r="F387" s="44" t="s">
        <v>104</v>
      </c>
      <c r="G387" s="0" t="n">
        <v>8</v>
      </c>
      <c r="H387" s="44" t="n">
        <v>10</v>
      </c>
      <c r="I387" s="0" t="n">
        <f aca="false">VLOOKUP(C387,[1]M0112B!$A$1:$Z$67,24,TRUE())+(G387/100)</f>
        <v>107.9</v>
      </c>
      <c r="J387" s="0" t="n">
        <f aca="false">I387+0.02</f>
        <v>107.92</v>
      </c>
      <c r="K387" s="0" t="s">
        <v>109</v>
      </c>
      <c r="L387" s="36" t="s">
        <v>347</v>
      </c>
      <c r="M387" s="53" t="n">
        <f aca="false">I387-I386</f>
        <v>2.89999999999999</v>
      </c>
    </row>
    <row r="388" customFormat="false" ht="14.25" hidden="false" customHeight="false" outlineLevel="0" collapsed="false">
      <c r="A388" s="56" t="s">
        <v>89</v>
      </c>
      <c r="B388" s="56" t="s">
        <v>39</v>
      </c>
      <c r="C388" s="56" t="n">
        <v>24</v>
      </c>
      <c r="D388" s="56" t="s">
        <v>44</v>
      </c>
      <c r="E388" s="56" t="n">
        <v>1</v>
      </c>
      <c r="F388" s="56" t="s">
        <v>104</v>
      </c>
      <c r="G388" s="57" t="n">
        <v>38</v>
      </c>
      <c r="H388" s="56" t="n">
        <v>40</v>
      </c>
      <c r="I388" s="57" t="n">
        <f aca="false">VLOOKUP(C388,[1]M0112B!$A$1:$Z$67,24,TRUE())+(G388/100)</f>
        <v>110.6</v>
      </c>
      <c r="J388" s="57" t="n">
        <f aca="false">I388+0.02</f>
        <v>110.62</v>
      </c>
      <c r="K388" s="63" t="s">
        <v>251</v>
      </c>
      <c r="L388" s="60" t="s">
        <v>106</v>
      </c>
      <c r="M388" s="64" t="n">
        <f aca="false">I388-I387</f>
        <v>2.7</v>
      </c>
    </row>
    <row r="389" customFormat="false" ht="14.25" hidden="false" customHeight="false" outlineLevel="0" collapsed="false">
      <c r="A389" s="56" t="s">
        <v>89</v>
      </c>
      <c r="B389" s="56" t="s">
        <v>39</v>
      </c>
      <c r="C389" s="56" t="n">
        <v>27</v>
      </c>
      <c r="D389" s="56" t="s">
        <v>44</v>
      </c>
      <c r="E389" s="56" t="n">
        <v>1</v>
      </c>
      <c r="F389" s="56" t="s">
        <v>104</v>
      </c>
      <c r="G389" s="57" t="n">
        <v>38</v>
      </c>
      <c r="H389" s="56" t="n">
        <v>40</v>
      </c>
      <c r="I389" s="57" t="n">
        <f aca="false">VLOOKUP(C389,[1]M0112B!$A$1:$Z$67,24,TRUE())+(G389/100)</f>
        <v>138.38</v>
      </c>
      <c r="J389" s="57" t="n">
        <f aca="false">I389+0.02</f>
        <v>138.4</v>
      </c>
      <c r="K389" s="63" t="s">
        <v>251</v>
      </c>
      <c r="L389" s="60" t="s">
        <v>106</v>
      </c>
      <c r="M389" s="58"/>
    </row>
    <row r="390" customFormat="false" ht="14.25" hidden="false" customHeight="false" outlineLevel="0" collapsed="false">
      <c r="A390" s="56" t="s">
        <v>89</v>
      </c>
      <c r="B390" s="56" t="s">
        <v>39</v>
      </c>
      <c r="C390" s="56" t="n">
        <v>28</v>
      </c>
      <c r="D390" s="56" t="s">
        <v>44</v>
      </c>
      <c r="E390" s="56" t="n">
        <v>1</v>
      </c>
      <c r="F390" s="56" t="s">
        <v>104</v>
      </c>
      <c r="G390" s="57" t="n">
        <v>38</v>
      </c>
      <c r="H390" s="56" t="n">
        <v>40</v>
      </c>
      <c r="I390" s="57" t="n">
        <f aca="false">VLOOKUP(C390,[1]M0112B!$A$1:$Z$67,24,TRUE())+(G390/100)</f>
        <v>141.38</v>
      </c>
      <c r="J390" s="57" t="n">
        <f aca="false">I390+0.02</f>
        <v>141.4</v>
      </c>
      <c r="K390" s="63" t="s">
        <v>251</v>
      </c>
      <c r="L390" s="60" t="s">
        <v>106</v>
      </c>
      <c r="M390" s="58" t="n">
        <f aca="false">I390-I389</f>
        <v>3</v>
      </c>
    </row>
    <row r="391" customFormat="false" ht="14.25" hidden="false" customHeight="false" outlineLevel="0" collapsed="false">
      <c r="A391" s="56" t="s">
        <v>89</v>
      </c>
      <c r="B391" s="56" t="s">
        <v>39</v>
      </c>
      <c r="C391" s="56" t="n">
        <v>29</v>
      </c>
      <c r="D391" s="56" t="s">
        <v>44</v>
      </c>
      <c r="E391" s="56" t="n">
        <v>1</v>
      </c>
      <c r="F391" s="56" t="s">
        <v>104</v>
      </c>
      <c r="G391" s="57" t="n">
        <v>38</v>
      </c>
      <c r="H391" s="56" t="n">
        <v>40</v>
      </c>
      <c r="I391" s="57" t="n">
        <f aca="false">VLOOKUP(C391,[1]M0112B!$A$1:$Z$67,24,TRUE())+(G391/100)</f>
        <v>144.38</v>
      </c>
      <c r="J391" s="57" t="n">
        <f aca="false">I391+0.02</f>
        <v>144.4</v>
      </c>
      <c r="K391" s="63" t="s">
        <v>251</v>
      </c>
      <c r="L391" s="60" t="s">
        <v>106</v>
      </c>
      <c r="M391" s="58" t="n">
        <f aca="false">I391-I390</f>
        <v>3</v>
      </c>
    </row>
    <row r="392" customFormat="false" ht="14.25" hidden="false" customHeight="false" outlineLevel="0" collapsed="false">
      <c r="A392" s="56" t="s">
        <v>89</v>
      </c>
      <c r="B392" s="56" t="s">
        <v>39</v>
      </c>
      <c r="C392" s="56" t="n">
        <v>30</v>
      </c>
      <c r="D392" s="56" t="s">
        <v>44</v>
      </c>
      <c r="E392" s="56" t="n">
        <v>1</v>
      </c>
      <c r="F392" s="56" t="s">
        <v>104</v>
      </c>
      <c r="G392" s="57" t="n">
        <v>38</v>
      </c>
      <c r="H392" s="56" t="n">
        <v>40</v>
      </c>
      <c r="I392" s="57" t="n">
        <f aca="false">VLOOKUP(C392,[1]M0112B!$A$1:$Z$67,24,TRUE())+(G392/100)</f>
        <v>147.38</v>
      </c>
      <c r="J392" s="57" t="n">
        <f aca="false">I392+0.02</f>
        <v>147.4</v>
      </c>
      <c r="K392" s="63" t="s">
        <v>251</v>
      </c>
      <c r="L392" s="60" t="s">
        <v>106</v>
      </c>
      <c r="M392" s="58" t="n">
        <f aca="false">I392-I391</f>
        <v>3</v>
      </c>
    </row>
    <row r="393" customFormat="false" ht="14.25" hidden="false" customHeight="false" outlineLevel="0" collapsed="false">
      <c r="A393" s="56" t="s">
        <v>89</v>
      </c>
      <c r="B393" s="56" t="s">
        <v>39</v>
      </c>
      <c r="C393" s="56" t="n">
        <v>31</v>
      </c>
      <c r="D393" s="56" t="s">
        <v>44</v>
      </c>
      <c r="E393" s="56" t="n">
        <v>1</v>
      </c>
      <c r="F393" s="56" t="s">
        <v>104</v>
      </c>
      <c r="G393" s="57" t="n">
        <v>38</v>
      </c>
      <c r="H393" s="56" t="n">
        <v>40</v>
      </c>
      <c r="I393" s="57" t="n">
        <f aca="false">VLOOKUP(C393,[1]M0112B!$A$1:$Z$67,24,TRUE())+(G393/100)</f>
        <v>149.75</v>
      </c>
      <c r="J393" s="57" t="n">
        <f aca="false">I393+0.02</f>
        <v>149.77</v>
      </c>
      <c r="K393" s="63" t="s">
        <v>251</v>
      </c>
      <c r="L393" s="60" t="s">
        <v>106</v>
      </c>
      <c r="M393" s="58" t="n">
        <f aca="false">I393-I392</f>
        <v>2.37</v>
      </c>
    </row>
    <row r="394" customFormat="false" ht="14.25" hidden="false" customHeight="false" outlineLevel="0" collapsed="false">
      <c r="A394" s="44" t="s">
        <v>89</v>
      </c>
      <c r="B394" s="44" t="s">
        <v>39</v>
      </c>
      <c r="C394" s="44" t="n">
        <v>35</v>
      </c>
      <c r="D394" s="44" t="s">
        <v>44</v>
      </c>
      <c r="E394" s="44" t="n">
        <v>1</v>
      </c>
      <c r="F394" s="44" t="s">
        <v>104</v>
      </c>
      <c r="G394" s="0" t="n">
        <v>18</v>
      </c>
      <c r="H394" s="44" t="n">
        <v>20</v>
      </c>
      <c r="I394" s="0" t="n">
        <f aca="false">VLOOKUP(C394,[1]M0112B!$A$1:$Z$67,24,TRUE())+(G394/100)</f>
        <v>200.18</v>
      </c>
      <c r="J394" s="0" t="n">
        <f aca="false">I394+0.02</f>
        <v>200.2</v>
      </c>
      <c r="K394" s="0" t="s">
        <v>181</v>
      </c>
      <c r="L394" s="36" t="s">
        <v>106</v>
      </c>
      <c r="M394" s="53"/>
    </row>
    <row r="395" customFormat="false" ht="14.25" hidden="false" customHeight="false" outlineLevel="0" collapsed="false">
      <c r="A395" s="44" t="s">
        <v>89</v>
      </c>
      <c r="B395" s="44" t="s">
        <v>39</v>
      </c>
      <c r="C395" s="44" t="n">
        <v>36</v>
      </c>
      <c r="D395" s="44" t="s">
        <v>44</v>
      </c>
      <c r="E395" s="44" t="n">
        <v>1</v>
      </c>
      <c r="F395" s="44" t="s">
        <v>104</v>
      </c>
      <c r="G395" s="0" t="n">
        <v>8</v>
      </c>
      <c r="H395" s="44" t="n">
        <v>10</v>
      </c>
      <c r="I395" s="0" t="n">
        <f aca="false">VLOOKUP(C395,[1]M0112B!$A$1:$Z$67,24,TRUE())+(G395/100)</f>
        <v>201.9</v>
      </c>
      <c r="J395" s="0" t="n">
        <f aca="false">I395+0.02</f>
        <v>201.92</v>
      </c>
      <c r="K395" s="0" t="s">
        <v>109</v>
      </c>
      <c r="L395" s="36" t="s">
        <v>264</v>
      </c>
      <c r="M395" s="53" t="n">
        <f aca="false">I395-I394</f>
        <v>1.72</v>
      </c>
    </row>
    <row r="396" customFormat="false" ht="14.25" hidden="false" customHeight="false" outlineLevel="0" collapsed="false">
      <c r="A396" s="44" t="s">
        <v>89</v>
      </c>
      <c r="B396" s="44" t="s">
        <v>39</v>
      </c>
      <c r="C396" s="44" t="n">
        <v>37</v>
      </c>
      <c r="D396" s="44" t="s">
        <v>44</v>
      </c>
      <c r="E396" s="44" t="n">
        <v>1</v>
      </c>
      <c r="F396" s="44" t="s">
        <v>104</v>
      </c>
      <c r="G396" s="0" t="n">
        <v>38</v>
      </c>
      <c r="H396" s="44" t="n">
        <v>40</v>
      </c>
      <c r="I396" s="0" t="n">
        <f aca="false">VLOOKUP(C396,[1]M0112B!$A$1:$Z$67,24,TRUE())+(G396/100)</f>
        <v>203.7</v>
      </c>
      <c r="J396" s="0" t="n">
        <f aca="false">I396+0.02</f>
        <v>203.72</v>
      </c>
      <c r="K396" s="54" t="s">
        <v>273</v>
      </c>
      <c r="L396" s="36" t="s">
        <v>106</v>
      </c>
      <c r="M396" s="53" t="n">
        <f aca="false">I396-I395</f>
        <v>1.79999999999998</v>
      </c>
    </row>
    <row r="397" customFormat="false" ht="14.25" hidden="false" customHeight="false" outlineLevel="0" collapsed="false">
      <c r="A397" s="56" t="s">
        <v>89</v>
      </c>
      <c r="B397" s="56" t="s">
        <v>39</v>
      </c>
      <c r="C397" s="56" t="n">
        <v>39</v>
      </c>
      <c r="D397" s="56" t="s">
        <v>44</v>
      </c>
      <c r="E397" s="56" t="n">
        <v>1</v>
      </c>
      <c r="F397" s="56" t="s">
        <v>104</v>
      </c>
      <c r="G397" s="57" t="n">
        <v>38</v>
      </c>
      <c r="H397" s="56" t="n">
        <v>40</v>
      </c>
      <c r="I397" s="57" t="n">
        <f aca="false">VLOOKUP(C397,[1]M0112B!$A$1:$Z$67,24,TRUE())+(G397/100)</f>
        <v>230.7</v>
      </c>
      <c r="J397" s="57" t="n">
        <f aca="false">I397+0.02</f>
        <v>230.72</v>
      </c>
      <c r="K397" s="57" t="s">
        <v>251</v>
      </c>
      <c r="L397" s="60" t="s">
        <v>106</v>
      </c>
      <c r="M397" s="58"/>
    </row>
    <row r="398" customFormat="false" ht="14.25" hidden="false" customHeight="false" outlineLevel="0" collapsed="false">
      <c r="A398" s="56" t="s">
        <v>89</v>
      </c>
      <c r="B398" s="56" t="s">
        <v>39</v>
      </c>
      <c r="C398" s="56" t="n">
        <v>40</v>
      </c>
      <c r="D398" s="56" t="s">
        <v>44</v>
      </c>
      <c r="E398" s="56" t="n">
        <v>1</v>
      </c>
      <c r="F398" s="56" t="s">
        <v>104</v>
      </c>
      <c r="G398" s="57" t="n">
        <v>38</v>
      </c>
      <c r="H398" s="56" t="n">
        <v>40</v>
      </c>
      <c r="I398" s="57" t="n">
        <f aca="false">VLOOKUP(C398,[1]M0112B!$A$1:$Z$67,24,TRUE())+(G398/100)</f>
        <v>232.2</v>
      </c>
      <c r="J398" s="57" t="n">
        <f aca="false">I398+0.02</f>
        <v>232.22</v>
      </c>
      <c r="K398" s="57" t="s">
        <v>251</v>
      </c>
      <c r="L398" s="60" t="s">
        <v>106</v>
      </c>
      <c r="M398" s="58" t="n">
        <f aca="false">I398-I397</f>
        <v>1.5</v>
      </c>
    </row>
    <row r="399" customFormat="false" ht="14.25" hidden="false" customHeight="false" outlineLevel="0" collapsed="false">
      <c r="A399" s="56" t="s">
        <v>89</v>
      </c>
      <c r="B399" s="56" t="s">
        <v>39</v>
      </c>
      <c r="C399" s="56" t="n">
        <v>41</v>
      </c>
      <c r="D399" s="56" t="s">
        <v>44</v>
      </c>
      <c r="E399" s="56" t="n">
        <v>1</v>
      </c>
      <c r="F399" s="56" t="s">
        <v>104</v>
      </c>
      <c r="G399" s="57" t="n">
        <v>38</v>
      </c>
      <c r="H399" s="56" t="n">
        <v>40</v>
      </c>
      <c r="I399" s="57" t="n">
        <f aca="false">VLOOKUP(C399,[1]M0112B!$A$1:$Z$67,24,TRUE())+(G399/100)</f>
        <v>235.2</v>
      </c>
      <c r="J399" s="57" t="n">
        <f aca="false">I399+0.02</f>
        <v>235.22</v>
      </c>
      <c r="K399" s="57" t="s">
        <v>251</v>
      </c>
      <c r="L399" s="60" t="s">
        <v>106</v>
      </c>
      <c r="M399" s="58" t="n">
        <f aca="false">I399-I398</f>
        <v>3</v>
      </c>
    </row>
    <row r="400" customFormat="false" ht="14.25" hidden="false" customHeight="false" outlineLevel="0" collapsed="false">
      <c r="A400" s="56" t="s">
        <v>89</v>
      </c>
      <c r="B400" s="56" t="s">
        <v>39</v>
      </c>
      <c r="C400" s="56" t="n">
        <v>42</v>
      </c>
      <c r="D400" s="56" t="s">
        <v>44</v>
      </c>
      <c r="E400" s="56" t="n">
        <v>1</v>
      </c>
      <c r="F400" s="56" t="s">
        <v>104</v>
      </c>
      <c r="G400" s="57" t="n">
        <v>38</v>
      </c>
      <c r="H400" s="56" t="n">
        <v>40</v>
      </c>
      <c r="I400" s="57" t="n">
        <f aca="false">VLOOKUP(C400,[1]M0112B!$A$1:$Z$67,24,TRUE())+(G400/100)</f>
        <v>236.7</v>
      </c>
      <c r="J400" s="57" t="n">
        <f aca="false">I400+0.02</f>
        <v>236.72</v>
      </c>
      <c r="K400" s="57" t="s">
        <v>251</v>
      </c>
      <c r="L400" s="60" t="s">
        <v>106</v>
      </c>
      <c r="M400" s="58" t="n">
        <f aca="false">I400-I399</f>
        <v>1.5</v>
      </c>
    </row>
    <row r="401" customFormat="false" ht="14.25" hidden="false" customHeight="false" outlineLevel="0" collapsed="false">
      <c r="A401" s="56" t="s">
        <v>89</v>
      </c>
      <c r="B401" s="56" t="s">
        <v>39</v>
      </c>
      <c r="C401" s="56" t="n">
        <v>43</v>
      </c>
      <c r="D401" s="56" t="s">
        <v>44</v>
      </c>
      <c r="E401" s="56" t="n">
        <v>1</v>
      </c>
      <c r="F401" s="56" t="s">
        <v>104</v>
      </c>
      <c r="G401" s="57" t="n">
        <v>38</v>
      </c>
      <c r="H401" s="56" t="n">
        <v>40</v>
      </c>
      <c r="I401" s="57" t="n">
        <f aca="false">VLOOKUP(C401,[1]M0112B!$A$1:$Z$67,24,TRUE())+(G401/100)</f>
        <v>238.2</v>
      </c>
      <c r="J401" s="57" t="n">
        <f aca="false">I401+0.02</f>
        <v>238.22</v>
      </c>
      <c r="K401" s="57" t="s">
        <v>251</v>
      </c>
      <c r="L401" s="60" t="s">
        <v>106</v>
      </c>
      <c r="M401" s="58" t="n">
        <f aca="false">I401-I400</f>
        <v>1.5</v>
      </c>
    </row>
    <row r="402" customFormat="false" ht="14.25" hidden="false" customHeight="false" outlineLevel="0" collapsed="false">
      <c r="A402" s="44" t="s">
        <v>89</v>
      </c>
      <c r="B402" s="44" t="s">
        <v>39</v>
      </c>
      <c r="C402" s="44" t="n">
        <v>44</v>
      </c>
      <c r="D402" s="44" t="s">
        <v>44</v>
      </c>
      <c r="E402" s="44" t="n">
        <v>1</v>
      </c>
      <c r="F402" s="44" t="s">
        <v>104</v>
      </c>
      <c r="G402" s="0" t="n">
        <v>38</v>
      </c>
      <c r="H402" s="44" t="n">
        <v>40</v>
      </c>
      <c r="I402" s="0" t="n">
        <f aca="false">VLOOKUP(C402,[1]M0112B!$A$1:$Z$67,24,TRUE())+(G402/100)</f>
        <v>239.7</v>
      </c>
      <c r="J402" s="0" t="n">
        <f aca="false">I402+0.02</f>
        <v>239.72</v>
      </c>
      <c r="K402" s="54" t="s">
        <v>348</v>
      </c>
      <c r="L402" s="36" t="s">
        <v>106</v>
      </c>
      <c r="M402" s="53" t="n">
        <f aca="false">I402-I401</f>
        <v>1.5</v>
      </c>
    </row>
    <row r="403" customFormat="false" ht="14.25" hidden="false" customHeight="false" outlineLevel="0" collapsed="false">
      <c r="A403" s="44" t="s">
        <v>89</v>
      </c>
      <c r="B403" s="44" t="s">
        <v>39</v>
      </c>
      <c r="C403" s="44" t="n">
        <v>45</v>
      </c>
      <c r="D403" s="44" t="s">
        <v>44</v>
      </c>
      <c r="E403" s="44" t="n">
        <v>1</v>
      </c>
      <c r="F403" s="44" t="s">
        <v>104</v>
      </c>
      <c r="G403" s="0" t="n">
        <v>38</v>
      </c>
      <c r="H403" s="44" t="n">
        <v>40</v>
      </c>
      <c r="I403" s="0" t="n">
        <f aca="false">VLOOKUP(C403,[1]M0112B!$A$1:$Z$67,24,TRUE())+(G403/100)</f>
        <v>241.2</v>
      </c>
      <c r="J403" s="0" t="n">
        <f aca="false">I403+0.02</f>
        <v>241.22</v>
      </c>
      <c r="K403" s="54" t="s">
        <v>348</v>
      </c>
      <c r="L403" s="36" t="s">
        <v>106</v>
      </c>
      <c r="M403" s="53" t="n">
        <f aca="false">I403-I402</f>
        <v>1.5</v>
      </c>
    </row>
    <row r="404" customFormat="false" ht="14.25" hidden="false" customHeight="false" outlineLevel="0" collapsed="false">
      <c r="A404" s="56" t="s">
        <v>89</v>
      </c>
      <c r="B404" s="56" t="s">
        <v>39</v>
      </c>
      <c r="C404" s="56" t="n">
        <v>46</v>
      </c>
      <c r="D404" s="56" t="s">
        <v>44</v>
      </c>
      <c r="E404" s="56" t="n">
        <v>1</v>
      </c>
      <c r="F404" s="56" t="s">
        <v>104</v>
      </c>
      <c r="G404" s="57" t="n">
        <v>38</v>
      </c>
      <c r="H404" s="56" t="n">
        <v>40</v>
      </c>
      <c r="I404" s="57" t="n">
        <f aca="false">VLOOKUP(C404,[1]M0112B!$A$1:$Z$67,24,TRUE())+(G404/100)</f>
        <v>242.7</v>
      </c>
      <c r="J404" s="57" t="n">
        <f aca="false">I404+0.02</f>
        <v>242.72</v>
      </c>
      <c r="K404" s="57" t="s">
        <v>349</v>
      </c>
      <c r="L404" s="60" t="s">
        <v>106</v>
      </c>
      <c r="M404" s="58" t="n">
        <f aca="false">I404-I403</f>
        <v>1.5</v>
      </c>
    </row>
    <row r="405" customFormat="false" ht="14.25" hidden="false" customHeight="false" outlineLevel="0" collapsed="false">
      <c r="A405" s="44" t="s">
        <v>89</v>
      </c>
      <c r="B405" s="44" t="s">
        <v>39</v>
      </c>
      <c r="C405" s="44" t="n">
        <v>48</v>
      </c>
      <c r="D405" s="44" t="s">
        <v>44</v>
      </c>
      <c r="E405" s="44" t="n">
        <v>1</v>
      </c>
      <c r="F405" s="44" t="s">
        <v>104</v>
      </c>
      <c r="G405" s="0" t="n">
        <v>8</v>
      </c>
      <c r="H405" s="44" t="n">
        <v>10</v>
      </c>
      <c r="I405" s="0" t="n">
        <f aca="false">VLOOKUP(C405,[1]M0112B!$A$1:$Z$67,24,TRUE())+(G405/100)</f>
        <v>245.4</v>
      </c>
      <c r="J405" s="0" t="n">
        <f aca="false">I405+0.02</f>
        <v>245.42</v>
      </c>
      <c r="K405" s="0" t="s">
        <v>350</v>
      </c>
      <c r="L405" s="36" t="s">
        <v>324</v>
      </c>
      <c r="M405" s="53" t="n">
        <f aca="false">I405-I404</f>
        <v>2.70000000000002</v>
      </c>
    </row>
    <row r="406" customFormat="false" ht="14.25" hidden="false" customHeight="false" outlineLevel="0" collapsed="false">
      <c r="A406" s="56" t="s">
        <v>89</v>
      </c>
      <c r="B406" s="56" t="s">
        <v>39</v>
      </c>
      <c r="C406" s="56" t="n">
        <v>49</v>
      </c>
      <c r="D406" s="56" t="s">
        <v>44</v>
      </c>
      <c r="E406" s="56" t="n">
        <v>1</v>
      </c>
      <c r="F406" s="56" t="s">
        <v>104</v>
      </c>
      <c r="G406" s="57" t="n">
        <v>38</v>
      </c>
      <c r="H406" s="56" t="n">
        <v>40</v>
      </c>
      <c r="I406" s="57" t="n">
        <f aca="false">VLOOKUP(C406,[1]M0112B!$A$1:$Z$67,24,TRUE())+(G406/100)</f>
        <v>247.2</v>
      </c>
      <c r="J406" s="57" t="n">
        <f aca="false">I406+0.02</f>
        <v>247.22</v>
      </c>
      <c r="K406" s="57" t="s">
        <v>351</v>
      </c>
      <c r="L406" s="60" t="s">
        <v>106</v>
      </c>
      <c r="M406" s="58" t="n">
        <f aca="false">I406-I405</f>
        <v>1.79999999999998</v>
      </c>
    </row>
    <row r="407" customFormat="false" ht="14.25" hidden="false" customHeight="false" outlineLevel="0" collapsed="false">
      <c r="A407" s="44" t="s">
        <v>89</v>
      </c>
      <c r="B407" s="44" t="s">
        <v>39</v>
      </c>
      <c r="C407" s="44" t="n">
        <v>50</v>
      </c>
      <c r="D407" s="44" t="s">
        <v>44</v>
      </c>
      <c r="E407" s="44" t="n">
        <v>1</v>
      </c>
      <c r="F407" s="44" t="s">
        <v>104</v>
      </c>
      <c r="G407" s="0" t="n">
        <v>38</v>
      </c>
      <c r="H407" s="44" t="n">
        <v>40</v>
      </c>
      <c r="I407" s="0" t="n">
        <f aca="false">VLOOKUP(C407,[1]M0112B!$A$1:$Z$67,24,TRUE())+(G407/100)</f>
        <v>250.2</v>
      </c>
      <c r="J407" s="0" t="n">
        <f aca="false">I407+0.02</f>
        <v>250.22</v>
      </c>
      <c r="K407" s="54" t="s">
        <v>109</v>
      </c>
      <c r="L407" s="36" t="s">
        <v>106</v>
      </c>
      <c r="M407" s="53" t="n">
        <f aca="false">I407-I406</f>
        <v>3</v>
      </c>
    </row>
    <row r="408" customFormat="false" ht="14.25" hidden="false" customHeight="false" outlineLevel="0" collapsed="false">
      <c r="A408" s="44" t="s">
        <v>89</v>
      </c>
      <c r="B408" s="44" t="s">
        <v>39</v>
      </c>
      <c r="C408" s="44" t="n">
        <v>51</v>
      </c>
      <c r="D408" s="44" t="s">
        <v>44</v>
      </c>
      <c r="E408" s="44" t="n">
        <v>1</v>
      </c>
      <c r="F408" s="44" t="s">
        <v>104</v>
      </c>
      <c r="G408" s="0" t="n">
        <v>18</v>
      </c>
      <c r="H408" s="44" t="n">
        <v>20</v>
      </c>
      <c r="I408" s="0" t="n">
        <f aca="false">VLOOKUP(C408,[1]M0112B!$A$1:$Z$67,24,TRUE())+(G408/100)</f>
        <v>251</v>
      </c>
      <c r="J408" s="0" t="n">
        <f aca="false">I408+0.02</f>
        <v>251.02</v>
      </c>
      <c r="K408" s="54" t="s">
        <v>109</v>
      </c>
      <c r="L408" s="36" t="s">
        <v>106</v>
      </c>
      <c r="M408" s="53" t="n">
        <f aca="false">I408-I407</f>
        <v>0.800000000000011</v>
      </c>
    </row>
    <row r="409" customFormat="false" ht="14.25" hidden="false" customHeight="false" outlineLevel="0" collapsed="false">
      <c r="A409" s="44" t="s">
        <v>89</v>
      </c>
      <c r="B409" s="44" t="s">
        <v>39</v>
      </c>
      <c r="C409" s="44" t="n">
        <v>52</v>
      </c>
      <c r="D409" s="44" t="s">
        <v>44</v>
      </c>
      <c r="E409" s="44" t="n">
        <v>1</v>
      </c>
      <c r="F409" s="44" t="s">
        <v>104</v>
      </c>
      <c r="G409" s="0" t="n">
        <v>8</v>
      </c>
      <c r="H409" s="44" t="n">
        <v>10</v>
      </c>
      <c r="I409" s="0" t="n">
        <f aca="false">VLOOKUP(C409,[1]M0112B!$A$1:$Z$67,24,TRUE())+(G409/100)</f>
        <v>252.9</v>
      </c>
      <c r="J409" s="0" t="n">
        <f aca="false">I409+0.02</f>
        <v>252.92</v>
      </c>
      <c r="K409" s="0" t="s">
        <v>352</v>
      </c>
      <c r="L409" s="36" t="s">
        <v>111</v>
      </c>
      <c r="M409" s="53" t="n">
        <f aca="false">I409-I408</f>
        <v>1.90000000000001</v>
      </c>
    </row>
    <row r="410" customFormat="false" ht="14.25" hidden="false" customHeight="false" outlineLevel="0" collapsed="false">
      <c r="A410" s="44" t="s">
        <v>89</v>
      </c>
      <c r="B410" s="44" t="s">
        <v>39</v>
      </c>
      <c r="C410" s="44" t="n">
        <v>53</v>
      </c>
      <c r="D410" s="44" t="s">
        <v>44</v>
      </c>
      <c r="E410" s="44" t="n">
        <v>1</v>
      </c>
      <c r="F410" s="44" t="s">
        <v>104</v>
      </c>
      <c r="G410" s="0" t="n">
        <v>8</v>
      </c>
      <c r="H410" s="44" t="n">
        <v>10</v>
      </c>
      <c r="I410" s="0" t="n">
        <f aca="false">VLOOKUP(C410,[1]M0112B!$A$1:$Z$67,24,TRUE())+(G410/100)</f>
        <v>254.5</v>
      </c>
      <c r="J410" s="0" t="n">
        <f aca="false">I410+0.02</f>
        <v>254.52</v>
      </c>
      <c r="K410" s="0" t="s">
        <v>109</v>
      </c>
      <c r="L410" s="36" t="s">
        <v>324</v>
      </c>
      <c r="M410" s="53" t="n">
        <f aca="false">I410-I409</f>
        <v>1.59999999999999</v>
      </c>
    </row>
    <row r="411" customFormat="false" ht="14.25" hidden="false" customHeight="false" outlineLevel="0" collapsed="false">
      <c r="A411" s="56" t="s">
        <v>89</v>
      </c>
      <c r="B411" s="56" t="s">
        <v>39</v>
      </c>
      <c r="C411" s="56" t="n">
        <v>56</v>
      </c>
      <c r="D411" s="56" t="s">
        <v>44</v>
      </c>
      <c r="E411" s="56" t="n">
        <v>1</v>
      </c>
      <c r="F411" s="56" t="s">
        <v>104</v>
      </c>
      <c r="G411" s="57" t="n">
        <v>38</v>
      </c>
      <c r="H411" s="56" t="n">
        <v>40</v>
      </c>
      <c r="I411" s="57" t="n">
        <f aca="false">VLOOKUP(C411,[1]M0112B!$A$1:$Z$67,24,TRUE())+(G411/100)</f>
        <v>322.2</v>
      </c>
      <c r="J411" s="57" t="n">
        <f aca="false">I411+0.02</f>
        <v>322.22</v>
      </c>
      <c r="K411" s="57" t="s">
        <v>328</v>
      </c>
      <c r="L411" s="60" t="s">
        <v>106</v>
      </c>
      <c r="M411" s="58"/>
    </row>
    <row r="412" customFormat="false" ht="14.25" hidden="false" customHeight="false" outlineLevel="0" collapsed="false">
      <c r="A412" s="56" t="s">
        <v>89</v>
      </c>
      <c r="B412" s="56" t="s">
        <v>39</v>
      </c>
      <c r="C412" s="56" t="n">
        <v>57</v>
      </c>
      <c r="D412" s="56" t="s">
        <v>44</v>
      </c>
      <c r="E412" s="56" t="n">
        <v>1</v>
      </c>
      <c r="F412" s="56" t="s">
        <v>104</v>
      </c>
      <c r="G412" s="57" t="n">
        <v>38</v>
      </c>
      <c r="H412" s="56" t="n">
        <v>40</v>
      </c>
      <c r="I412" s="57" t="n">
        <f aca="false">VLOOKUP(C412,[1]M0112B!$A$1:$Z$67,24,TRUE())+(G412/100)</f>
        <v>324</v>
      </c>
      <c r="J412" s="57" t="n">
        <f aca="false">I412+0.02</f>
        <v>324.02</v>
      </c>
      <c r="K412" s="57" t="s">
        <v>328</v>
      </c>
      <c r="L412" s="60" t="s">
        <v>106</v>
      </c>
      <c r="M412" s="58" t="n">
        <f aca="false">I412-I411</f>
        <v>1.80000000000001</v>
      </c>
    </row>
    <row r="413" customFormat="false" ht="14.25" hidden="false" customHeight="false" outlineLevel="0" collapsed="false">
      <c r="A413" s="44" t="s">
        <v>89</v>
      </c>
      <c r="B413" s="44" t="s">
        <v>39</v>
      </c>
      <c r="C413" s="44" t="n">
        <v>58</v>
      </c>
      <c r="D413" s="44" t="s">
        <v>44</v>
      </c>
      <c r="E413" s="44" t="n">
        <v>1</v>
      </c>
      <c r="F413" s="44" t="s">
        <v>104</v>
      </c>
      <c r="G413" s="0" t="n">
        <v>38</v>
      </c>
      <c r="H413" s="44" t="n">
        <v>40</v>
      </c>
      <c r="I413" s="0" t="n">
        <f aca="false">VLOOKUP(C413,[1]M0112B!$A$1:$Z$67,24,TRUE())+(G413/100)</f>
        <v>325.2</v>
      </c>
      <c r="J413" s="0" t="n">
        <f aca="false">I413+0.02</f>
        <v>325.22</v>
      </c>
      <c r="K413" s="0" t="s">
        <v>353</v>
      </c>
      <c r="L413" s="36" t="s">
        <v>106</v>
      </c>
      <c r="M413" s="53" t="n">
        <f aca="false">I413-I412</f>
        <v>1.19999999999999</v>
      </c>
    </row>
    <row r="414" customFormat="false" ht="14.25" hidden="false" customHeight="false" outlineLevel="0" collapsed="false">
      <c r="A414" s="44" t="s">
        <v>89</v>
      </c>
      <c r="B414" s="44" t="s">
        <v>39</v>
      </c>
      <c r="C414" s="44" t="n">
        <v>61</v>
      </c>
      <c r="D414" s="44" t="s">
        <v>44</v>
      </c>
      <c r="E414" s="44" t="n">
        <v>1</v>
      </c>
      <c r="F414" s="44" t="s">
        <v>104</v>
      </c>
      <c r="G414" s="0" t="n">
        <v>38</v>
      </c>
      <c r="H414" s="44" t="n">
        <v>40</v>
      </c>
      <c r="I414" s="0" t="n">
        <f aca="false">VLOOKUP(C414,[1]M0112B!$A$1:$Z$67,24,TRUE())+(G414/100)</f>
        <v>331.2</v>
      </c>
      <c r="J414" s="0" t="n">
        <f aca="false">I414+0.02</f>
        <v>331.22</v>
      </c>
      <c r="K414" s="0" t="s">
        <v>354</v>
      </c>
      <c r="L414" s="36" t="s">
        <v>106</v>
      </c>
      <c r="M414" s="53" t="n">
        <f aca="false">I414-I413</f>
        <v>6</v>
      </c>
    </row>
    <row r="415" customFormat="false" ht="14.25" hidden="false" customHeight="false" outlineLevel="0" collapsed="false">
      <c r="A415" s="44" t="s">
        <v>89</v>
      </c>
      <c r="B415" s="44" t="s">
        <v>39</v>
      </c>
      <c r="C415" s="44" t="n">
        <v>63</v>
      </c>
      <c r="D415" s="44" t="s">
        <v>44</v>
      </c>
      <c r="E415" s="44" t="n">
        <v>1</v>
      </c>
      <c r="F415" s="44" t="s">
        <v>104</v>
      </c>
      <c r="G415" s="0" t="n">
        <v>38</v>
      </c>
      <c r="H415" s="44" t="n">
        <v>40</v>
      </c>
      <c r="I415" s="0" t="n">
        <f aca="false">VLOOKUP(C415,[1]M0112B!$A$1:$Z$67,24,TRUE())+(G415/100)</f>
        <v>334.2</v>
      </c>
      <c r="J415" s="0" t="n">
        <f aca="false">I415+0.02</f>
        <v>334.22</v>
      </c>
      <c r="K415" s="54" t="s">
        <v>109</v>
      </c>
      <c r="L415" s="36" t="s">
        <v>106</v>
      </c>
      <c r="M415" s="53" t="n">
        <f aca="false">I415-I414</f>
        <v>3</v>
      </c>
    </row>
    <row r="416" customFormat="false" ht="14.25" hidden="false" customHeight="false" outlineLevel="0" collapsed="false">
      <c r="A416" s="44" t="s">
        <v>89</v>
      </c>
      <c r="B416" s="44" t="s">
        <v>39</v>
      </c>
      <c r="C416" s="44" t="n">
        <v>64</v>
      </c>
      <c r="D416" s="44" t="s">
        <v>44</v>
      </c>
      <c r="E416" s="44" t="n">
        <v>1</v>
      </c>
      <c r="F416" s="44" t="s">
        <v>104</v>
      </c>
      <c r="G416" s="0" t="n">
        <v>38</v>
      </c>
      <c r="H416" s="44" t="n">
        <v>40</v>
      </c>
      <c r="I416" s="0" t="n">
        <f aca="false">VLOOKUP(C416,[1]M0112B!$A$1:$Z$67,24,TRUE())+(G416/100)</f>
        <v>335.7</v>
      </c>
      <c r="J416" s="0" t="n">
        <f aca="false">I416+0.02</f>
        <v>335.72</v>
      </c>
      <c r="K416" s="54" t="s">
        <v>109</v>
      </c>
      <c r="L416" s="36" t="s">
        <v>106</v>
      </c>
      <c r="M416" s="53" t="n">
        <f aca="false">I416-I415</f>
        <v>1.5</v>
      </c>
    </row>
    <row r="417" customFormat="false" ht="14.25" hidden="false" customHeight="false" outlineLevel="0" collapsed="false">
      <c r="A417" s="44" t="s">
        <v>89</v>
      </c>
      <c r="B417" s="44" t="s">
        <v>39</v>
      </c>
      <c r="C417" s="44" t="n">
        <v>65</v>
      </c>
      <c r="D417" s="44" t="s">
        <v>44</v>
      </c>
      <c r="E417" s="44" t="n">
        <v>1</v>
      </c>
      <c r="F417" s="44" t="s">
        <v>104</v>
      </c>
      <c r="G417" s="0" t="n">
        <v>38</v>
      </c>
      <c r="H417" s="44" t="n">
        <v>40</v>
      </c>
      <c r="I417" s="0" t="n">
        <f aca="false">VLOOKUP(C417,[1]M0112B!$A$1:$Z$67,24,TRUE())+(G417/100)</f>
        <v>337.2</v>
      </c>
      <c r="J417" s="0" t="n">
        <f aca="false">I417+0.02</f>
        <v>337.22</v>
      </c>
      <c r="K417" s="54" t="s">
        <v>109</v>
      </c>
      <c r="L417" s="36" t="s">
        <v>106</v>
      </c>
      <c r="M417" s="53" t="n">
        <f aca="false">I417-I416</f>
        <v>1.5</v>
      </c>
    </row>
    <row r="418" customFormat="false" ht="14.25" hidden="false" customHeight="false" outlineLevel="0" collapsed="false">
      <c r="H418" s="44"/>
      <c r="L418" s="35"/>
      <c r="M418" s="35"/>
    </row>
    <row r="419" customFormat="false" ht="14.25" hidden="false" customHeight="false" outlineLevel="0" collapsed="false">
      <c r="A419" s="44" t="s">
        <v>90</v>
      </c>
      <c r="B419" s="44" t="s">
        <v>85</v>
      </c>
      <c r="C419" s="44" t="n">
        <v>1</v>
      </c>
      <c r="D419" s="44" t="s">
        <v>40</v>
      </c>
      <c r="E419" s="44" t="n">
        <v>1</v>
      </c>
      <c r="F419" s="44" t="s">
        <v>104</v>
      </c>
      <c r="G419" s="0" t="n">
        <v>38</v>
      </c>
      <c r="H419" s="44" t="n">
        <v>40</v>
      </c>
      <c r="I419" s="0" t="n">
        <f aca="false">VLOOKUP(C419,[1]M0113A!$A$1:$Z$211,24,TRUE())+(G419/100)</f>
        <v>0.38</v>
      </c>
      <c r="J419" s="0" t="n">
        <f aca="false">I419+0.02</f>
        <v>0.4</v>
      </c>
      <c r="K419" s="54" t="s">
        <v>355</v>
      </c>
      <c r="L419" s="36" t="s">
        <v>106</v>
      </c>
      <c r="M419" s="52" t="s">
        <v>107</v>
      </c>
    </row>
    <row r="420" customFormat="false" ht="14.25" hidden="false" customHeight="false" outlineLevel="0" collapsed="false">
      <c r="A420" s="44" t="s">
        <v>90</v>
      </c>
      <c r="B420" s="44" t="s">
        <v>85</v>
      </c>
      <c r="C420" s="44" t="n">
        <v>2</v>
      </c>
      <c r="D420" s="44" t="s">
        <v>40</v>
      </c>
      <c r="E420" s="44" t="n">
        <v>1</v>
      </c>
      <c r="F420" s="44" t="s">
        <v>104</v>
      </c>
      <c r="G420" s="0" t="n">
        <v>38</v>
      </c>
      <c r="H420" s="44" t="n">
        <v>40</v>
      </c>
      <c r="I420" s="0" t="n">
        <f aca="false">VLOOKUP(C420,[1]M0113A!$A$1:$Z$211,24,TRUE())+(G420/100)</f>
        <v>3.28</v>
      </c>
      <c r="J420" s="0" t="n">
        <f aca="false">I420+0.02</f>
        <v>3.3</v>
      </c>
      <c r="K420" s="54" t="s">
        <v>355</v>
      </c>
      <c r="L420" s="36" t="s">
        <v>106</v>
      </c>
      <c r="M420" s="53" t="n">
        <f aca="false">I420-I419</f>
        <v>2.9</v>
      </c>
    </row>
    <row r="421" customFormat="false" ht="14.25" hidden="false" customHeight="false" outlineLevel="0" collapsed="false">
      <c r="A421" s="44" t="s">
        <v>90</v>
      </c>
      <c r="B421" s="44" t="s">
        <v>85</v>
      </c>
      <c r="C421" s="44" t="n">
        <v>3</v>
      </c>
      <c r="D421" s="44" t="s">
        <v>40</v>
      </c>
      <c r="E421" s="44" t="n">
        <v>1</v>
      </c>
      <c r="F421" s="44" t="s">
        <v>104</v>
      </c>
      <c r="G421" s="0" t="n">
        <v>38</v>
      </c>
      <c r="H421" s="44" t="n">
        <v>40</v>
      </c>
      <c r="I421" s="0" t="n">
        <f aca="false">VLOOKUP(C421,[1]M0113A!$A$1:$Z$211,24,TRUE())+(G421/100)</f>
        <v>5.68</v>
      </c>
      <c r="J421" s="0" t="n">
        <f aca="false">I421+0.02</f>
        <v>5.7</v>
      </c>
      <c r="K421" s="54" t="s">
        <v>355</v>
      </c>
      <c r="L421" s="36" t="s">
        <v>106</v>
      </c>
      <c r="M421" s="53" t="n">
        <f aca="false">I421-I420</f>
        <v>2.4</v>
      </c>
    </row>
    <row r="422" customFormat="false" ht="14.25" hidden="false" customHeight="false" outlineLevel="0" collapsed="false">
      <c r="A422" s="44" t="s">
        <v>90</v>
      </c>
      <c r="B422" s="44" t="s">
        <v>85</v>
      </c>
      <c r="C422" s="44" t="n">
        <v>4</v>
      </c>
      <c r="D422" s="44" t="s">
        <v>40</v>
      </c>
      <c r="E422" s="44" t="n">
        <v>1</v>
      </c>
      <c r="F422" s="44" t="s">
        <v>104</v>
      </c>
      <c r="G422" s="0" t="n">
        <v>38</v>
      </c>
      <c r="H422" s="44" t="n">
        <v>40</v>
      </c>
      <c r="I422" s="0" t="n">
        <f aca="false">VLOOKUP(C422,[1]M0113A!$A$1:$Z$211,24,TRUE())+(G422/100)</f>
        <v>8.38</v>
      </c>
      <c r="J422" s="0" t="n">
        <f aca="false">I422+0.02</f>
        <v>8.4</v>
      </c>
      <c r="K422" s="54" t="s">
        <v>355</v>
      </c>
      <c r="L422" s="36" t="s">
        <v>106</v>
      </c>
      <c r="M422" s="53" t="n">
        <f aca="false">I422-I421</f>
        <v>2.7</v>
      </c>
    </row>
    <row r="423" customFormat="false" ht="14.25" hidden="false" customHeight="false" outlineLevel="0" collapsed="false">
      <c r="A423" s="44" t="s">
        <v>90</v>
      </c>
      <c r="B423" s="44" t="s">
        <v>85</v>
      </c>
      <c r="C423" s="44" t="n">
        <v>6</v>
      </c>
      <c r="D423" s="44" t="s">
        <v>40</v>
      </c>
      <c r="E423" s="44" t="n">
        <v>1</v>
      </c>
      <c r="F423" s="44" t="s">
        <v>104</v>
      </c>
      <c r="G423" s="0" t="n">
        <v>38</v>
      </c>
      <c r="H423" s="44" t="n">
        <v>40</v>
      </c>
      <c r="I423" s="0" t="n">
        <f aca="false">VLOOKUP(C423,[1]M0113A!$A$1:$Z$211,24,TRUE())+(G423/100)</f>
        <v>11.38</v>
      </c>
      <c r="J423" s="0" t="n">
        <f aca="false">I423+0.02</f>
        <v>11.4</v>
      </c>
      <c r="K423" s="0" t="s">
        <v>304</v>
      </c>
      <c r="L423" s="36" t="s">
        <v>106</v>
      </c>
      <c r="M423" s="53" t="n">
        <f aca="false">I423-I422</f>
        <v>3</v>
      </c>
    </row>
    <row r="424" customFormat="false" ht="14.25" hidden="false" customHeight="false" outlineLevel="0" collapsed="false">
      <c r="A424" s="44" t="s">
        <v>90</v>
      </c>
      <c r="B424" s="44" t="s">
        <v>85</v>
      </c>
      <c r="C424" s="44" t="n">
        <v>7</v>
      </c>
      <c r="D424" s="44" t="s">
        <v>40</v>
      </c>
      <c r="E424" s="44" t="n">
        <v>1</v>
      </c>
      <c r="F424" s="44" t="s">
        <v>104</v>
      </c>
      <c r="G424" s="0" t="n">
        <v>38</v>
      </c>
      <c r="H424" s="44" t="n">
        <v>40</v>
      </c>
      <c r="I424" s="0" t="n">
        <f aca="false">VLOOKUP(C424,[1]M0113A!$A$1:$Z$211,24,TRUE())+(G424/100)</f>
        <v>14.15</v>
      </c>
      <c r="J424" s="0" t="n">
        <f aca="false">I424+0.02</f>
        <v>14.17</v>
      </c>
      <c r="K424" s="54" t="s">
        <v>356</v>
      </c>
      <c r="L424" s="36" t="s">
        <v>106</v>
      </c>
      <c r="M424" s="53" t="n">
        <f aca="false">I424-I423</f>
        <v>2.77</v>
      </c>
    </row>
    <row r="425" customFormat="false" ht="14.25" hidden="false" customHeight="false" outlineLevel="0" collapsed="false">
      <c r="A425" s="44" t="s">
        <v>90</v>
      </c>
      <c r="B425" s="44" t="s">
        <v>85</v>
      </c>
      <c r="C425" s="44" t="n">
        <v>8</v>
      </c>
      <c r="D425" s="44" t="s">
        <v>40</v>
      </c>
      <c r="E425" s="44" t="n">
        <v>1</v>
      </c>
      <c r="F425" s="44" t="s">
        <v>104</v>
      </c>
      <c r="G425" s="0" t="n">
        <v>38</v>
      </c>
      <c r="H425" s="44" t="n">
        <v>40</v>
      </c>
      <c r="I425" s="0" t="n">
        <f aca="false">VLOOKUP(C425,[1]M0113A!$A$1:$Z$211,24,TRUE())+(G425/100)</f>
        <v>16.26</v>
      </c>
      <c r="J425" s="0" t="n">
        <f aca="false">I425+0.02</f>
        <v>16.28</v>
      </c>
      <c r="K425" s="54" t="s">
        <v>357</v>
      </c>
      <c r="L425" s="36" t="s">
        <v>106</v>
      </c>
      <c r="M425" s="53" t="n">
        <f aca="false">I425-I424</f>
        <v>2.11</v>
      </c>
    </row>
    <row r="426" customFormat="false" ht="14.25" hidden="false" customHeight="false" outlineLevel="0" collapsed="false">
      <c r="A426" s="44" t="s">
        <v>90</v>
      </c>
      <c r="B426" s="44" t="s">
        <v>85</v>
      </c>
      <c r="C426" s="44" t="n">
        <v>9</v>
      </c>
      <c r="D426" s="44" t="s">
        <v>40</v>
      </c>
      <c r="E426" s="44" t="n">
        <v>1</v>
      </c>
      <c r="F426" s="44" t="s">
        <v>104</v>
      </c>
      <c r="G426" s="0" t="n">
        <v>38</v>
      </c>
      <c r="H426" s="44" t="n">
        <v>40</v>
      </c>
      <c r="I426" s="0" t="n">
        <f aca="false">VLOOKUP(C426,[1]M0113A!$A$1:$Z$211,24,TRUE())+(G426/100)</f>
        <v>17.61</v>
      </c>
      <c r="J426" s="0" t="n">
        <f aca="false">I426+0.02</f>
        <v>17.63</v>
      </c>
      <c r="K426" s="0" t="s">
        <v>358</v>
      </c>
      <c r="L426" s="36" t="s">
        <v>106</v>
      </c>
      <c r="M426" s="53" t="n">
        <f aca="false">I426-I425</f>
        <v>1.35</v>
      </c>
    </row>
    <row r="427" customFormat="false" ht="14.25" hidden="false" customHeight="false" outlineLevel="0" collapsed="false">
      <c r="A427" s="44" t="s">
        <v>90</v>
      </c>
      <c r="B427" s="44" t="s">
        <v>85</v>
      </c>
      <c r="C427" s="44" t="n">
        <v>10</v>
      </c>
      <c r="D427" s="44" t="s">
        <v>40</v>
      </c>
      <c r="E427" s="44" t="n">
        <v>1</v>
      </c>
      <c r="F427" s="44" t="s">
        <v>104</v>
      </c>
      <c r="G427" s="0" t="n">
        <v>38</v>
      </c>
      <c r="H427" s="44" t="n">
        <v>40</v>
      </c>
      <c r="I427" s="0" t="n">
        <f aca="false">VLOOKUP(C427,[1]M0113A!$A$1:$Z$211,24,TRUE())+(G427/100)</f>
        <v>19.57</v>
      </c>
      <c r="J427" s="0" t="n">
        <f aca="false">I427+0.02</f>
        <v>19.59</v>
      </c>
      <c r="K427" s="54" t="s">
        <v>359</v>
      </c>
      <c r="L427" s="36" t="s">
        <v>106</v>
      </c>
      <c r="M427" s="53" t="n">
        <f aca="false">I427-I426</f>
        <v>1.96</v>
      </c>
    </row>
    <row r="428" customFormat="false" ht="14.25" hidden="false" customHeight="false" outlineLevel="0" collapsed="false">
      <c r="A428" s="44" t="s">
        <v>90</v>
      </c>
      <c r="B428" s="44" t="s">
        <v>85</v>
      </c>
      <c r="C428" s="44" t="n">
        <v>11</v>
      </c>
      <c r="D428" s="44" t="s">
        <v>40</v>
      </c>
      <c r="E428" s="44" t="n">
        <v>1</v>
      </c>
      <c r="F428" s="44" t="s">
        <v>104</v>
      </c>
      <c r="G428" s="0" t="n">
        <v>38</v>
      </c>
      <c r="H428" s="44" t="n">
        <v>40</v>
      </c>
      <c r="I428" s="0" t="n">
        <f aca="false">VLOOKUP(C428,[1]M0113A!$A$1:$Z$211,24,TRUE())+(G428/100)</f>
        <v>21.76</v>
      </c>
      <c r="J428" s="0" t="n">
        <f aca="false">I428+0.02</f>
        <v>21.78</v>
      </c>
      <c r="K428" s="0" t="s">
        <v>360</v>
      </c>
      <c r="L428" s="36" t="s">
        <v>106</v>
      </c>
      <c r="M428" s="53" t="n">
        <f aca="false">I428-I427</f>
        <v>2.19</v>
      </c>
    </row>
    <row r="429" customFormat="false" ht="14.25" hidden="false" customHeight="false" outlineLevel="0" collapsed="false">
      <c r="A429" s="44" t="s">
        <v>90</v>
      </c>
      <c r="B429" s="44" t="s">
        <v>85</v>
      </c>
      <c r="C429" s="44" t="n">
        <v>12</v>
      </c>
      <c r="D429" s="44" t="s">
        <v>40</v>
      </c>
      <c r="E429" s="44" t="n">
        <v>1</v>
      </c>
      <c r="F429" s="44" t="s">
        <v>104</v>
      </c>
      <c r="G429" s="0" t="n">
        <v>38</v>
      </c>
      <c r="H429" s="44" t="n">
        <v>40</v>
      </c>
      <c r="I429" s="0" t="n">
        <f aca="false">VLOOKUP(C429,[1]M0113A!$A$1:$Z$211,24,TRUE())+(G429/100)</f>
        <v>22.89</v>
      </c>
      <c r="J429" s="0" t="n">
        <f aca="false">I429+0.02</f>
        <v>22.91</v>
      </c>
      <c r="K429" s="54" t="s">
        <v>361</v>
      </c>
      <c r="L429" s="36" t="s">
        <v>106</v>
      </c>
      <c r="M429" s="53" t="n">
        <f aca="false">I429-I428</f>
        <v>1.13</v>
      </c>
    </row>
    <row r="430" customFormat="false" ht="14.25" hidden="false" customHeight="false" outlineLevel="0" collapsed="false">
      <c r="A430" s="44" t="s">
        <v>90</v>
      </c>
      <c r="B430" s="44" t="s">
        <v>85</v>
      </c>
      <c r="C430" s="44" t="n">
        <v>13</v>
      </c>
      <c r="D430" s="44" t="s">
        <v>40</v>
      </c>
      <c r="E430" s="44" t="n">
        <v>1</v>
      </c>
      <c r="F430" s="44" t="s">
        <v>104</v>
      </c>
      <c r="G430" s="0" t="n">
        <v>38</v>
      </c>
      <c r="H430" s="44" t="n">
        <v>40</v>
      </c>
      <c r="I430" s="0" t="n">
        <f aca="false">VLOOKUP(C430,[1]M0113A!$A$1:$Z$211,24,TRUE())+(G430/100)</f>
        <v>24.4</v>
      </c>
      <c r="J430" s="0" t="n">
        <f aca="false">I430+0.02</f>
        <v>24.42</v>
      </c>
      <c r="K430" s="0" t="s">
        <v>362</v>
      </c>
      <c r="L430" s="36" t="s">
        <v>106</v>
      </c>
      <c r="M430" s="53" t="n">
        <f aca="false">I430-I429</f>
        <v>1.51</v>
      </c>
    </row>
    <row r="431" customFormat="false" ht="14.25" hidden="false" customHeight="false" outlineLevel="0" collapsed="false">
      <c r="A431" s="44" t="s">
        <v>90</v>
      </c>
      <c r="B431" s="44" t="s">
        <v>85</v>
      </c>
      <c r="C431" s="44" t="n">
        <v>14</v>
      </c>
      <c r="D431" s="44" t="s">
        <v>40</v>
      </c>
      <c r="E431" s="44" t="n">
        <v>1</v>
      </c>
      <c r="F431" s="44" t="s">
        <v>104</v>
      </c>
      <c r="G431" s="0" t="n">
        <v>38</v>
      </c>
      <c r="H431" s="44" t="n">
        <v>40</v>
      </c>
      <c r="I431" s="0" t="n">
        <f aca="false">VLOOKUP(C431,[1]M0113A!$A$1:$Z$211,24,TRUE())+(G431/100)</f>
        <v>25.77</v>
      </c>
      <c r="J431" s="0" t="n">
        <f aca="false">I431+0.02</f>
        <v>25.79</v>
      </c>
      <c r="K431" s="54" t="s">
        <v>363</v>
      </c>
      <c r="L431" s="36" t="s">
        <v>106</v>
      </c>
      <c r="M431" s="53" t="n">
        <f aca="false">I431-I430</f>
        <v>1.37</v>
      </c>
    </row>
    <row r="432" customFormat="false" ht="14.25" hidden="false" customHeight="false" outlineLevel="0" collapsed="false">
      <c r="A432" s="56" t="s">
        <v>90</v>
      </c>
      <c r="B432" s="56" t="s">
        <v>85</v>
      </c>
      <c r="C432" s="56" t="n">
        <v>15</v>
      </c>
      <c r="D432" s="56" t="s">
        <v>40</v>
      </c>
      <c r="E432" s="56" t="n">
        <v>1</v>
      </c>
      <c r="F432" s="56" t="s">
        <v>104</v>
      </c>
      <c r="G432" s="57" t="n">
        <v>38</v>
      </c>
      <c r="H432" s="56" t="n">
        <v>40</v>
      </c>
      <c r="I432" s="57" t="n">
        <f aca="false">VLOOKUP(C432,[1]M0113A!$A$1:$Z$211,24,TRUE())+(G432/100)</f>
        <v>27.11</v>
      </c>
      <c r="J432" s="57" t="n">
        <f aca="false">I432+0.02</f>
        <v>27.13</v>
      </c>
      <c r="K432" s="57" t="s">
        <v>294</v>
      </c>
      <c r="L432" s="60" t="s">
        <v>106</v>
      </c>
      <c r="M432" s="58" t="n">
        <f aca="false">I432-I431</f>
        <v>1.34</v>
      </c>
    </row>
    <row r="433" customFormat="false" ht="14.25" hidden="false" customHeight="false" outlineLevel="0" collapsed="false">
      <c r="A433" s="44" t="s">
        <v>90</v>
      </c>
      <c r="B433" s="44" t="s">
        <v>85</v>
      </c>
      <c r="C433" s="44" t="n">
        <v>16</v>
      </c>
      <c r="D433" s="44" t="s">
        <v>40</v>
      </c>
      <c r="E433" s="44" t="n">
        <v>1</v>
      </c>
      <c r="F433" s="44" t="s">
        <v>104</v>
      </c>
      <c r="G433" s="0" t="n">
        <v>38</v>
      </c>
      <c r="H433" s="44" t="n">
        <v>40</v>
      </c>
      <c r="I433" s="0" t="n">
        <f aca="false">VLOOKUP(C433,[1]M0113A!$A$1:$Z$211,24,TRUE())+(G433/100)</f>
        <v>29.12</v>
      </c>
      <c r="J433" s="0" t="n">
        <f aca="false">I433+0.02</f>
        <v>29.14</v>
      </c>
      <c r="K433" s="0" t="s">
        <v>364</v>
      </c>
      <c r="L433" s="36" t="s">
        <v>106</v>
      </c>
      <c r="M433" s="53" t="n">
        <f aca="false">I433-I432</f>
        <v>2.01</v>
      </c>
    </row>
    <row r="434" customFormat="false" ht="14.25" hidden="false" customHeight="false" outlineLevel="0" collapsed="false">
      <c r="A434" s="44" t="s">
        <v>90</v>
      </c>
      <c r="B434" s="44" t="s">
        <v>85</v>
      </c>
      <c r="C434" s="44" t="n">
        <v>17</v>
      </c>
      <c r="D434" s="44" t="s">
        <v>40</v>
      </c>
      <c r="E434" s="44" t="n">
        <v>1</v>
      </c>
      <c r="F434" s="44" t="s">
        <v>104</v>
      </c>
      <c r="G434" s="0" t="n">
        <v>38</v>
      </c>
      <c r="H434" s="44" t="n">
        <v>40</v>
      </c>
      <c r="I434" s="0" t="n">
        <f aca="false">VLOOKUP(C434,[1]M0113A!$A$1:$Z$211,24,TRUE())+(G434/100)</f>
        <v>31.53</v>
      </c>
      <c r="J434" s="0" t="n">
        <f aca="false">I434+0.02</f>
        <v>31.55</v>
      </c>
      <c r="K434" s="0" t="s">
        <v>365</v>
      </c>
      <c r="L434" s="36" t="s">
        <v>106</v>
      </c>
      <c r="M434" s="53" t="n">
        <f aca="false">I434-I433</f>
        <v>2.41</v>
      </c>
    </row>
    <row r="435" customFormat="false" ht="14.25" hidden="false" customHeight="false" outlineLevel="0" collapsed="false">
      <c r="A435" s="44" t="s">
        <v>90</v>
      </c>
      <c r="B435" s="44" t="s">
        <v>85</v>
      </c>
      <c r="C435" s="44" t="n">
        <v>18</v>
      </c>
      <c r="D435" s="44" t="s">
        <v>40</v>
      </c>
      <c r="E435" s="44" t="n">
        <v>1</v>
      </c>
      <c r="F435" s="44" t="s">
        <v>104</v>
      </c>
      <c r="G435" s="0" t="n">
        <v>38</v>
      </c>
      <c r="H435" s="44" t="n">
        <v>40</v>
      </c>
      <c r="I435" s="0" t="n">
        <f aca="false">VLOOKUP(C435,[1]M0113A!$A$1:$Z$211,24,TRUE())+(G435/100)</f>
        <v>33.41</v>
      </c>
      <c r="J435" s="0" t="n">
        <f aca="false">I435+0.02</f>
        <v>33.43</v>
      </c>
      <c r="K435" s="54" t="s">
        <v>365</v>
      </c>
      <c r="L435" s="36" t="s">
        <v>106</v>
      </c>
      <c r="M435" s="53" t="n">
        <f aca="false">I435-I434</f>
        <v>1.88000000000001</v>
      </c>
    </row>
    <row r="436" customFormat="false" ht="14.25" hidden="false" customHeight="false" outlineLevel="0" collapsed="false">
      <c r="A436" s="44" t="s">
        <v>90</v>
      </c>
      <c r="B436" s="44" t="s">
        <v>85</v>
      </c>
      <c r="C436" s="44" t="n">
        <v>19</v>
      </c>
      <c r="D436" s="44" t="s">
        <v>40</v>
      </c>
      <c r="E436" s="44" t="n">
        <v>1</v>
      </c>
      <c r="F436" s="44" t="s">
        <v>104</v>
      </c>
      <c r="G436" s="0" t="n">
        <v>28</v>
      </c>
      <c r="H436" s="44" t="n">
        <v>30</v>
      </c>
      <c r="I436" s="0" t="n">
        <f aca="false">VLOOKUP(C436,[1]M0113A!$A$1:$Z$211,24,TRUE())+(G436/100)</f>
        <v>35.64</v>
      </c>
      <c r="J436" s="0" t="n">
        <f aca="false">I436+0.02</f>
        <v>35.66</v>
      </c>
      <c r="K436" s="0" t="s">
        <v>366</v>
      </c>
      <c r="L436" s="36" t="s">
        <v>106</v>
      </c>
      <c r="M436" s="53" t="n">
        <f aca="false">I436-I435</f>
        <v>2.23</v>
      </c>
    </row>
    <row r="437" customFormat="false" ht="14.25" hidden="false" customHeight="false" outlineLevel="0" collapsed="false">
      <c r="A437" s="44" t="s">
        <v>90</v>
      </c>
      <c r="B437" s="44" t="s">
        <v>85</v>
      </c>
      <c r="C437" s="44" t="n">
        <v>20</v>
      </c>
      <c r="D437" s="44" t="s">
        <v>40</v>
      </c>
      <c r="E437" s="44" t="n">
        <v>1</v>
      </c>
      <c r="F437" s="44" t="s">
        <v>104</v>
      </c>
      <c r="G437" s="0" t="n">
        <v>38</v>
      </c>
      <c r="H437" s="44" t="n">
        <v>40</v>
      </c>
      <c r="I437" s="0" t="n">
        <f aca="false">VLOOKUP(C437,[1]M0113A!$A$1:$Z$211,24,TRUE())+(G437/100)</f>
        <v>37.01</v>
      </c>
      <c r="J437" s="0" t="n">
        <f aca="false">I437+0.02</f>
        <v>37.03</v>
      </c>
      <c r="K437" s="0" t="s">
        <v>367</v>
      </c>
      <c r="L437" s="36" t="s">
        <v>106</v>
      </c>
      <c r="M437" s="53" t="n">
        <f aca="false">I437-I436</f>
        <v>1.37</v>
      </c>
    </row>
    <row r="438" customFormat="false" ht="14.25" hidden="false" customHeight="false" outlineLevel="0" collapsed="false">
      <c r="A438" s="44" t="s">
        <v>90</v>
      </c>
      <c r="B438" s="44" t="s">
        <v>85</v>
      </c>
      <c r="C438" s="44" t="n">
        <v>21</v>
      </c>
      <c r="D438" s="44" t="s">
        <v>40</v>
      </c>
      <c r="E438" s="44" t="n">
        <v>1</v>
      </c>
      <c r="F438" s="44" t="s">
        <v>104</v>
      </c>
      <c r="G438" s="0" t="n">
        <v>38</v>
      </c>
      <c r="H438" s="44" t="n">
        <v>40</v>
      </c>
      <c r="I438" s="0" t="n">
        <f aca="false">VLOOKUP(C438,[1]M0113A!$A$1:$Z$211,24,TRUE())+(G438/100)</f>
        <v>38.75</v>
      </c>
      <c r="J438" s="0" t="n">
        <f aca="false">I438+0.02</f>
        <v>38.77</v>
      </c>
      <c r="K438" s="0" t="s">
        <v>368</v>
      </c>
      <c r="L438" s="36" t="s">
        <v>106</v>
      </c>
      <c r="M438" s="53" t="n">
        <f aca="false">I438-I437</f>
        <v>1.73999999999999</v>
      </c>
    </row>
    <row r="439" customFormat="false" ht="14.25" hidden="false" customHeight="false" outlineLevel="0" collapsed="false">
      <c r="A439" s="44" t="s">
        <v>90</v>
      </c>
      <c r="B439" s="44" t="s">
        <v>85</v>
      </c>
      <c r="C439" s="44" t="n">
        <v>22</v>
      </c>
      <c r="D439" s="44" t="s">
        <v>40</v>
      </c>
      <c r="E439" s="44" t="n">
        <v>1</v>
      </c>
      <c r="F439" s="44" t="s">
        <v>104</v>
      </c>
      <c r="G439" s="0" t="n">
        <v>8</v>
      </c>
      <c r="H439" s="44" t="n">
        <v>10</v>
      </c>
      <c r="I439" s="0" t="n">
        <f aca="false">VLOOKUP(C439,[1]M0113A!$A$1:$Z$211,24,TRUE())+(G439/100)</f>
        <v>40.38</v>
      </c>
      <c r="J439" s="0" t="n">
        <f aca="false">I439+0.02</f>
        <v>40.4</v>
      </c>
      <c r="K439" s="54" t="s">
        <v>369</v>
      </c>
      <c r="L439" s="36" t="s">
        <v>324</v>
      </c>
      <c r="M439" s="53" t="n">
        <f aca="false">I439-I438</f>
        <v>1.63</v>
      </c>
    </row>
    <row r="440" customFormat="false" ht="14.25" hidden="false" customHeight="false" outlineLevel="0" collapsed="false">
      <c r="A440" s="44" t="s">
        <v>90</v>
      </c>
      <c r="B440" s="44" t="s">
        <v>85</v>
      </c>
      <c r="C440" s="44" t="n">
        <v>23</v>
      </c>
      <c r="D440" s="44" t="s">
        <v>40</v>
      </c>
      <c r="E440" s="44" t="n">
        <v>1</v>
      </c>
      <c r="F440" s="44" t="s">
        <v>104</v>
      </c>
      <c r="G440" s="0" t="n">
        <v>38</v>
      </c>
      <c r="H440" s="44" t="n">
        <v>40</v>
      </c>
      <c r="I440" s="0" t="n">
        <f aca="false">VLOOKUP(C440,[1]M0113A!$A$1:$Z$211,24,TRUE())+(G440/100)</f>
        <v>40.81</v>
      </c>
      <c r="J440" s="0" t="n">
        <f aca="false">I440+0.02</f>
        <v>40.83</v>
      </c>
      <c r="K440" s="54" t="s">
        <v>369</v>
      </c>
      <c r="L440" s="36" t="s">
        <v>106</v>
      </c>
      <c r="M440" s="53" t="n">
        <f aca="false">I440-I439</f>
        <v>0.430000000000007</v>
      </c>
    </row>
    <row r="441" customFormat="false" ht="14.25" hidden="false" customHeight="false" outlineLevel="0" collapsed="false">
      <c r="A441" s="44" t="s">
        <v>90</v>
      </c>
      <c r="B441" s="44" t="s">
        <v>85</v>
      </c>
      <c r="C441" s="44" t="n">
        <v>25</v>
      </c>
      <c r="D441" s="44" t="s">
        <v>40</v>
      </c>
      <c r="E441" s="44" t="n">
        <v>1</v>
      </c>
      <c r="F441" s="44" t="s">
        <v>104</v>
      </c>
      <c r="G441" s="0" t="n">
        <v>38</v>
      </c>
      <c r="H441" s="44" t="n">
        <v>40</v>
      </c>
      <c r="I441" s="0" t="n">
        <f aca="false">VLOOKUP(C441,[1]M0113A!$A$1:$Z$211,24,TRUE())+(G441/100)</f>
        <v>42.95</v>
      </c>
      <c r="J441" s="0" t="n">
        <f aca="false">I441+0.02</f>
        <v>42.97</v>
      </c>
      <c r="K441" s="54" t="s">
        <v>369</v>
      </c>
      <c r="L441" s="36" t="s">
        <v>106</v>
      </c>
      <c r="M441" s="53" t="n">
        <f aca="false">I441-I440</f>
        <v>2.14</v>
      </c>
    </row>
    <row r="442" customFormat="false" ht="14.25" hidden="false" customHeight="false" outlineLevel="0" collapsed="false">
      <c r="A442" s="44" t="s">
        <v>90</v>
      </c>
      <c r="B442" s="44" t="s">
        <v>85</v>
      </c>
      <c r="C442" s="44" t="n">
        <v>26</v>
      </c>
      <c r="D442" s="44" t="s">
        <v>40</v>
      </c>
      <c r="E442" s="44" t="n">
        <v>1</v>
      </c>
      <c r="F442" s="44" t="s">
        <v>104</v>
      </c>
      <c r="G442" s="0" t="n">
        <v>38</v>
      </c>
      <c r="H442" s="44" t="n">
        <v>40</v>
      </c>
      <c r="I442" s="0" t="n">
        <f aca="false">VLOOKUP(C442,[1]M0113A!$A$1:$Z$211,24,TRUE())+(G442/100)</f>
        <v>44.92</v>
      </c>
      <c r="J442" s="0" t="n">
        <f aca="false">I442+0.02</f>
        <v>44.94</v>
      </c>
      <c r="K442" s="54" t="s">
        <v>369</v>
      </c>
      <c r="L442" s="36" t="s">
        <v>106</v>
      </c>
      <c r="M442" s="53" t="n">
        <f aca="false">I442-I441</f>
        <v>1.97</v>
      </c>
    </row>
    <row r="443" customFormat="false" ht="14.25" hidden="false" customHeight="false" outlineLevel="0" collapsed="false">
      <c r="A443" s="44" t="s">
        <v>90</v>
      </c>
      <c r="B443" s="44" t="s">
        <v>85</v>
      </c>
      <c r="C443" s="44" t="n">
        <v>27</v>
      </c>
      <c r="D443" s="44" t="s">
        <v>40</v>
      </c>
      <c r="E443" s="44" t="n">
        <v>1</v>
      </c>
      <c r="F443" s="44" t="s">
        <v>104</v>
      </c>
      <c r="G443" s="0" t="n">
        <v>38</v>
      </c>
      <c r="H443" s="44" t="n">
        <v>40</v>
      </c>
      <c r="I443" s="0" t="n">
        <f aca="false">VLOOKUP(C443,[1]M0113A!$A$1:$Z$211,24,TRUE())+(G443/100)</f>
        <v>46.86</v>
      </c>
      <c r="J443" s="0" t="n">
        <f aca="false">I443+0.02</f>
        <v>46.88</v>
      </c>
      <c r="K443" s="54" t="s">
        <v>369</v>
      </c>
      <c r="L443" s="36" t="s">
        <v>106</v>
      </c>
      <c r="M443" s="53" t="n">
        <f aca="false">I443-I442</f>
        <v>1.94</v>
      </c>
    </row>
    <row r="444" customFormat="false" ht="14.25" hidden="false" customHeight="false" outlineLevel="0" collapsed="false">
      <c r="A444" s="44" t="s">
        <v>90</v>
      </c>
      <c r="B444" s="44" t="s">
        <v>85</v>
      </c>
      <c r="C444" s="44" t="n">
        <v>28</v>
      </c>
      <c r="D444" s="44" t="s">
        <v>40</v>
      </c>
      <c r="E444" s="44" t="n">
        <v>1</v>
      </c>
      <c r="F444" s="44" t="s">
        <v>104</v>
      </c>
      <c r="G444" s="0" t="n">
        <v>38</v>
      </c>
      <c r="H444" s="44" t="n">
        <v>40</v>
      </c>
      <c r="I444" s="0" t="n">
        <f aca="false">VLOOKUP(C444,[1]M0113A!$A$1:$Z$211,24,TRUE())+(G444/100)</f>
        <v>48.85</v>
      </c>
      <c r="J444" s="0" t="n">
        <f aca="false">I444+0.02</f>
        <v>48.87</v>
      </c>
      <c r="K444" s="54" t="s">
        <v>369</v>
      </c>
      <c r="L444" s="36" t="s">
        <v>106</v>
      </c>
      <c r="M444" s="53" t="n">
        <f aca="false">I444-I443</f>
        <v>1.99</v>
      </c>
    </row>
    <row r="445" customFormat="false" ht="14.25" hidden="false" customHeight="false" outlineLevel="0" collapsed="false">
      <c r="A445" s="44" t="s">
        <v>90</v>
      </c>
      <c r="B445" s="44" t="s">
        <v>85</v>
      </c>
      <c r="C445" s="44" t="n">
        <v>29</v>
      </c>
      <c r="D445" s="44" t="s">
        <v>40</v>
      </c>
      <c r="E445" s="44" t="n">
        <v>1</v>
      </c>
      <c r="F445" s="44" t="s">
        <v>104</v>
      </c>
      <c r="G445" s="0" t="n">
        <v>38</v>
      </c>
      <c r="H445" s="44" t="n">
        <v>40</v>
      </c>
      <c r="I445" s="0" t="n">
        <f aca="false">VLOOKUP(C445,[1]M0113A!$A$1:$Z$211,24,TRUE())+(G445/100)</f>
        <v>50.79</v>
      </c>
      <c r="J445" s="0" t="n">
        <f aca="false">I445+0.02</f>
        <v>50.81</v>
      </c>
      <c r="K445" s="54" t="s">
        <v>369</v>
      </c>
      <c r="L445" s="36" t="s">
        <v>106</v>
      </c>
      <c r="M445" s="53" t="n">
        <f aca="false">I445-I444</f>
        <v>1.94</v>
      </c>
    </row>
    <row r="446" customFormat="false" ht="14.25" hidden="false" customHeight="false" outlineLevel="0" collapsed="false">
      <c r="A446" s="56" t="s">
        <v>90</v>
      </c>
      <c r="B446" s="56" t="s">
        <v>85</v>
      </c>
      <c r="C446" s="56" t="n">
        <v>30</v>
      </c>
      <c r="D446" s="56" t="s">
        <v>40</v>
      </c>
      <c r="E446" s="56" t="n">
        <v>1</v>
      </c>
      <c r="F446" s="56" t="s">
        <v>104</v>
      </c>
      <c r="G446" s="57" t="n">
        <v>38</v>
      </c>
      <c r="H446" s="56" t="n">
        <v>40</v>
      </c>
      <c r="I446" s="57" t="n">
        <f aca="false">VLOOKUP(C446,[1]M0113A!$A$1:$Z$211,24,TRUE())+(G446/100)</f>
        <v>52.29</v>
      </c>
      <c r="J446" s="57" t="n">
        <f aca="false">I446+0.02</f>
        <v>52.31</v>
      </c>
      <c r="K446" s="57" t="s">
        <v>370</v>
      </c>
      <c r="L446" s="60" t="s">
        <v>106</v>
      </c>
      <c r="M446" s="58" t="n">
        <f aca="false">I446-I445</f>
        <v>1.5</v>
      </c>
    </row>
    <row r="447" customFormat="false" ht="14.25" hidden="false" customHeight="false" outlineLevel="0" collapsed="false">
      <c r="A447" s="44" t="s">
        <v>90</v>
      </c>
      <c r="B447" s="44" t="s">
        <v>85</v>
      </c>
      <c r="C447" s="44" t="n">
        <v>31</v>
      </c>
      <c r="D447" s="44" t="s">
        <v>40</v>
      </c>
      <c r="E447" s="44" t="n">
        <v>1</v>
      </c>
      <c r="F447" s="44" t="s">
        <v>104</v>
      </c>
      <c r="G447" s="0" t="n">
        <v>38</v>
      </c>
      <c r="H447" s="44" t="n">
        <v>40</v>
      </c>
      <c r="I447" s="0" t="n">
        <f aca="false">VLOOKUP(C447,[1]M0113A!$A$1:$Z$211,24,TRUE())+(G447/100)</f>
        <v>54.27</v>
      </c>
      <c r="J447" s="0" t="n">
        <f aca="false">I447+0.02</f>
        <v>54.29</v>
      </c>
      <c r="K447" s="54" t="s">
        <v>371</v>
      </c>
      <c r="L447" s="36" t="s">
        <v>106</v>
      </c>
      <c r="M447" s="53" t="n">
        <f aca="false">I447-I446</f>
        <v>1.98</v>
      </c>
    </row>
    <row r="448" customFormat="false" ht="14.25" hidden="false" customHeight="false" outlineLevel="0" collapsed="false">
      <c r="A448" s="44" t="s">
        <v>90</v>
      </c>
      <c r="B448" s="44" t="s">
        <v>85</v>
      </c>
      <c r="C448" s="44" t="n">
        <v>32</v>
      </c>
      <c r="D448" s="44" t="s">
        <v>40</v>
      </c>
      <c r="E448" s="44" t="n">
        <v>1</v>
      </c>
      <c r="F448" s="44" t="s">
        <v>104</v>
      </c>
      <c r="G448" s="0" t="n">
        <v>38</v>
      </c>
      <c r="H448" s="44" t="n">
        <v>40</v>
      </c>
      <c r="I448" s="0" t="n">
        <f aca="false">VLOOKUP(C448,[1]M0113A!$A$1:$Z$211,24,TRUE())+(G448/100)</f>
        <v>55.4</v>
      </c>
      <c r="J448" s="0" t="n">
        <f aca="false">I448+0.02</f>
        <v>55.42</v>
      </c>
      <c r="K448" s="54" t="s">
        <v>369</v>
      </c>
      <c r="L448" s="36" t="s">
        <v>106</v>
      </c>
      <c r="M448" s="53" t="n">
        <f aca="false">I448-I447</f>
        <v>1.13</v>
      </c>
    </row>
    <row r="449" customFormat="false" ht="14.25" hidden="false" customHeight="false" outlineLevel="0" collapsed="false">
      <c r="A449" s="44" t="s">
        <v>90</v>
      </c>
      <c r="B449" s="44" t="s">
        <v>85</v>
      </c>
      <c r="C449" s="44" t="n">
        <v>33</v>
      </c>
      <c r="D449" s="44" t="s">
        <v>40</v>
      </c>
      <c r="E449" s="44" t="n">
        <v>1</v>
      </c>
      <c r="F449" s="44" t="s">
        <v>104</v>
      </c>
      <c r="G449" s="0" t="n">
        <v>38</v>
      </c>
      <c r="H449" s="44" t="n">
        <v>40</v>
      </c>
      <c r="I449" s="0" t="n">
        <f aca="false">VLOOKUP(C449,[1]M0113A!$A$1:$Z$211,24,TRUE())+(G449/100)</f>
        <v>57.9</v>
      </c>
      <c r="J449" s="0" t="n">
        <f aca="false">I449+0.02</f>
        <v>57.92</v>
      </c>
      <c r="K449" s="0" t="s">
        <v>372</v>
      </c>
      <c r="L449" s="36" t="s">
        <v>106</v>
      </c>
      <c r="M449" s="53" t="n">
        <f aca="false">I449-I448</f>
        <v>2.5</v>
      </c>
    </row>
    <row r="450" customFormat="false" ht="14.25" hidden="false" customHeight="false" outlineLevel="0" collapsed="false">
      <c r="A450" s="44" t="s">
        <v>90</v>
      </c>
      <c r="B450" s="44" t="s">
        <v>85</v>
      </c>
      <c r="C450" s="44" t="n">
        <v>34</v>
      </c>
      <c r="D450" s="44" t="s">
        <v>40</v>
      </c>
      <c r="E450" s="44" t="n">
        <v>1</v>
      </c>
      <c r="F450" s="44" t="s">
        <v>104</v>
      </c>
      <c r="G450" s="0" t="n">
        <v>38</v>
      </c>
      <c r="H450" s="44" t="n">
        <v>40</v>
      </c>
      <c r="I450" s="0" t="n">
        <f aca="false">VLOOKUP(C450,[1]M0113A!$A$1:$Z$211,24,TRUE())+(G450/100)</f>
        <v>60.32</v>
      </c>
      <c r="J450" s="0" t="n">
        <f aca="false">I450+0.02</f>
        <v>60.34</v>
      </c>
      <c r="K450" s="0" t="s">
        <v>373</v>
      </c>
      <c r="L450" s="36" t="s">
        <v>106</v>
      </c>
      <c r="M450" s="53" t="n">
        <f aca="false">I450-I449</f>
        <v>2.41999999999999</v>
      </c>
    </row>
    <row r="451" customFormat="false" ht="14.25" hidden="false" customHeight="false" outlineLevel="0" collapsed="false">
      <c r="A451" s="44" t="s">
        <v>90</v>
      </c>
      <c r="B451" s="44" t="s">
        <v>85</v>
      </c>
      <c r="C451" s="44" t="n">
        <v>35</v>
      </c>
      <c r="D451" s="44" t="s">
        <v>40</v>
      </c>
      <c r="E451" s="44" t="n">
        <v>1</v>
      </c>
      <c r="F451" s="44" t="s">
        <v>104</v>
      </c>
      <c r="G451" s="0" t="n">
        <v>38</v>
      </c>
      <c r="H451" s="44" t="n">
        <v>40</v>
      </c>
      <c r="I451" s="0" t="n">
        <f aca="false">VLOOKUP(C451,[1]M0113A!$A$1:$Z$211,24,TRUE())+(G451/100)</f>
        <v>62.12</v>
      </c>
      <c r="J451" s="0" t="n">
        <f aca="false">I451+0.02</f>
        <v>62.14</v>
      </c>
      <c r="K451" s="0" t="s">
        <v>373</v>
      </c>
      <c r="L451" s="36" t="s">
        <v>106</v>
      </c>
      <c r="M451" s="53" t="n">
        <f aca="false">I451-I450</f>
        <v>1.8</v>
      </c>
    </row>
    <row r="452" customFormat="false" ht="14.25" hidden="false" customHeight="false" outlineLevel="0" collapsed="false">
      <c r="A452" s="44" t="s">
        <v>90</v>
      </c>
      <c r="B452" s="44" t="s">
        <v>85</v>
      </c>
      <c r="C452" s="44" t="n">
        <v>36</v>
      </c>
      <c r="D452" s="44" t="s">
        <v>40</v>
      </c>
      <c r="E452" s="44" t="n">
        <v>1</v>
      </c>
      <c r="F452" s="44" t="s">
        <v>104</v>
      </c>
      <c r="G452" s="0" t="n">
        <v>38</v>
      </c>
      <c r="H452" s="44" t="n">
        <v>40</v>
      </c>
      <c r="I452" s="0" t="n">
        <f aca="false">VLOOKUP(C452,[1]M0113A!$A$1:$Z$211,24,TRUE())+(G452/100)</f>
        <v>64.06</v>
      </c>
      <c r="J452" s="0" t="n">
        <f aca="false">I452+0.02</f>
        <v>64.08</v>
      </c>
      <c r="K452" s="0" t="s">
        <v>374</v>
      </c>
      <c r="L452" s="36" t="s">
        <v>106</v>
      </c>
      <c r="M452" s="53" t="n">
        <f aca="false">I452-I451</f>
        <v>1.94</v>
      </c>
    </row>
    <row r="453" customFormat="false" ht="14.25" hidden="false" customHeight="false" outlineLevel="0" collapsed="false">
      <c r="A453" s="44" t="s">
        <v>90</v>
      </c>
      <c r="B453" s="44" t="s">
        <v>85</v>
      </c>
      <c r="C453" s="44" t="n">
        <v>37</v>
      </c>
      <c r="D453" s="44" t="s">
        <v>40</v>
      </c>
      <c r="E453" s="44" t="n">
        <v>1</v>
      </c>
      <c r="F453" s="44" t="s">
        <v>104</v>
      </c>
      <c r="G453" s="0" t="n">
        <v>38</v>
      </c>
      <c r="H453" s="44" t="n">
        <v>40</v>
      </c>
      <c r="I453" s="0" t="n">
        <f aca="false">VLOOKUP(C453,[1]M0113A!$A$1:$Z$211,24,TRUE())+(G453/100)</f>
        <v>65.82</v>
      </c>
      <c r="J453" s="0" t="n">
        <f aca="false">I453+0.02</f>
        <v>65.84</v>
      </c>
      <c r="K453" s="0" t="s">
        <v>374</v>
      </c>
      <c r="L453" s="36" t="s">
        <v>106</v>
      </c>
      <c r="M453" s="53" t="n">
        <f aca="false">I453-I452</f>
        <v>1.75999999999999</v>
      </c>
    </row>
    <row r="454" customFormat="false" ht="14.25" hidden="false" customHeight="false" outlineLevel="0" collapsed="false">
      <c r="A454" s="56" t="s">
        <v>90</v>
      </c>
      <c r="B454" s="56" t="s">
        <v>85</v>
      </c>
      <c r="C454" s="56" t="n">
        <v>38</v>
      </c>
      <c r="D454" s="56" t="s">
        <v>40</v>
      </c>
      <c r="E454" s="56" t="n">
        <v>1</v>
      </c>
      <c r="F454" s="56" t="s">
        <v>104</v>
      </c>
      <c r="G454" s="57" t="n">
        <v>38</v>
      </c>
      <c r="H454" s="56" t="n">
        <v>40</v>
      </c>
      <c r="I454" s="57" t="n">
        <f aca="false">VLOOKUP(C454,[1]M0113A!$A$1:$Z$211,24,TRUE())+(G454/100)</f>
        <v>67.39</v>
      </c>
      <c r="J454" s="57" t="n">
        <f aca="false">I454+0.02</f>
        <v>67.41</v>
      </c>
      <c r="K454" s="63" t="s">
        <v>304</v>
      </c>
      <c r="L454" s="60" t="s">
        <v>106</v>
      </c>
      <c r="M454" s="58" t="n">
        <f aca="false">I454-I453</f>
        <v>1.57000000000001</v>
      </c>
    </row>
    <row r="455" customFormat="false" ht="14.25" hidden="false" customHeight="false" outlineLevel="0" collapsed="false">
      <c r="A455" s="56" t="s">
        <v>90</v>
      </c>
      <c r="B455" s="56" t="s">
        <v>85</v>
      </c>
      <c r="C455" s="56" t="n">
        <v>39</v>
      </c>
      <c r="D455" s="56" t="s">
        <v>44</v>
      </c>
      <c r="E455" s="56" t="n">
        <v>1</v>
      </c>
      <c r="F455" s="56" t="s">
        <v>104</v>
      </c>
      <c r="G455" s="57" t="n">
        <v>38</v>
      </c>
      <c r="H455" s="56" t="n">
        <v>40</v>
      </c>
      <c r="I455" s="57" t="n">
        <f aca="false">VLOOKUP(C455,[1]M0113A!$A$1:$Z$211,24,TRUE())+(G455/100)</f>
        <v>68.65</v>
      </c>
      <c r="J455" s="57" t="n">
        <f aca="false">I455+0.02</f>
        <v>68.67</v>
      </c>
      <c r="K455" s="63" t="s">
        <v>304</v>
      </c>
      <c r="L455" s="60" t="s">
        <v>106</v>
      </c>
      <c r="M455" s="58" t="n">
        <f aca="false">I455-I454</f>
        <v>1.25999999999999</v>
      </c>
    </row>
    <row r="456" customFormat="false" ht="14.25" hidden="false" customHeight="false" outlineLevel="0" collapsed="false">
      <c r="A456" s="44" t="s">
        <v>90</v>
      </c>
      <c r="B456" s="44" t="s">
        <v>85</v>
      </c>
      <c r="C456" s="44" t="n">
        <v>42</v>
      </c>
      <c r="D456" s="44" t="s">
        <v>40</v>
      </c>
      <c r="E456" s="44" t="n">
        <v>1</v>
      </c>
      <c r="F456" s="44" t="s">
        <v>104</v>
      </c>
      <c r="G456" s="0" t="n">
        <v>28</v>
      </c>
      <c r="H456" s="44" t="n">
        <v>30</v>
      </c>
      <c r="I456" s="0" t="n">
        <f aca="false">VLOOKUP(C456,[1]M0113A!$A$1:$Z$211,24,TRUE())+(G456/100)</f>
        <v>79.68</v>
      </c>
      <c r="J456" s="0" t="n">
        <f aca="false">I456+0.02</f>
        <v>79.7</v>
      </c>
      <c r="K456" s="54" t="s">
        <v>373</v>
      </c>
      <c r="L456" s="36" t="s">
        <v>111</v>
      </c>
      <c r="M456" s="53" t="n">
        <f aca="false">I456-I455</f>
        <v>11.03</v>
      </c>
    </row>
    <row r="457" customFormat="false" ht="14.25" hidden="false" customHeight="false" outlineLevel="0" collapsed="false">
      <c r="A457" s="56" t="s">
        <v>90</v>
      </c>
      <c r="B457" s="56" t="s">
        <v>85</v>
      </c>
      <c r="C457" s="56" t="n">
        <v>43</v>
      </c>
      <c r="D457" s="56" t="s">
        <v>40</v>
      </c>
      <c r="E457" s="56" t="n">
        <v>1</v>
      </c>
      <c r="F457" s="56" t="s">
        <v>104</v>
      </c>
      <c r="G457" s="57" t="n">
        <v>38</v>
      </c>
      <c r="H457" s="56" t="n">
        <v>40</v>
      </c>
      <c r="I457" s="57" t="n">
        <f aca="false">VLOOKUP(C457,[1]M0113A!$A$1:$Z$211,24,TRUE())+(G457/100)</f>
        <v>80.14</v>
      </c>
      <c r="J457" s="57" t="n">
        <f aca="false">I457+0.02</f>
        <v>80.16</v>
      </c>
      <c r="K457" s="63" t="s">
        <v>368</v>
      </c>
      <c r="L457" s="60" t="s">
        <v>106</v>
      </c>
      <c r="M457" s="58" t="n">
        <f aca="false">I457-I456</f>
        <v>0.459999999999994</v>
      </c>
    </row>
    <row r="458" customFormat="false" ht="14.25" hidden="false" customHeight="false" outlineLevel="0" collapsed="false">
      <c r="A458" s="56" t="s">
        <v>90</v>
      </c>
      <c r="B458" s="56" t="s">
        <v>85</v>
      </c>
      <c r="C458" s="56" t="n">
        <v>44</v>
      </c>
      <c r="D458" s="56" t="s">
        <v>40</v>
      </c>
      <c r="E458" s="56" t="n">
        <v>1</v>
      </c>
      <c r="F458" s="56" t="s">
        <v>104</v>
      </c>
      <c r="G458" s="57" t="n">
        <v>38</v>
      </c>
      <c r="H458" s="56" t="n">
        <v>40</v>
      </c>
      <c r="I458" s="57" t="n">
        <f aca="false">VLOOKUP(C458,[1]M0113A!$A$1:$Z$211,24,TRUE())+(G458/100)</f>
        <v>81.46</v>
      </c>
      <c r="J458" s="57" t="n">
        <f aca="false">I458+0.02</f>
        <v>81.48</v>
      </c>
      <c r="K458" s="63" t="s">
        <v>368</v>
      </c>
      <c r="L458" s="60" t="s">
        <v>106</v>
      </c>
      <c r="M458" s="58" t="n">
        <f aca="false">I458-I457</f>
        <v>1.31999999999999</v>
      </c>
    </row>
    <row r="459" customFormat="false" ht="14.25" hidden="false" customHeight="false" outlineLevel="0" collapsed="false">
      <c r="A459" s="56" t="s">
        <v>90</v>
      </c>
      <c r="B459" s="56" t="s">
        <v>85</v>
      </c>
      <c r="C459" s="56" t="n">
        <v>45</v>
      </c>
      <c r="D459" s="56" t="s">
        <v>44</v>
      </c>
      <c r="E459" s="56" t="n">
        <v>1</v>
      </c>
      <c r="F459" s="56" t="s">
        <v>104</v>
      </c>
      <c r="G459" s="57" t="n">
        <v>38</v>
      </c>
      <c r="H459" s="56" t="n">
        <v>40</v>
      </c>
      <c r="I459" s="57" t="n">
        <f aca="false">VLOOKUP(C459,[1]M0113A!$A$1:$Z$211,24,TRUE())+(G459/100)</f>
        <v>82.94</v>
      </c>
      <c r="J459" s="57" t="n">
        <f aca="false">I459+0.02</f>
        <v>82.96</v>
      </c>
      <c r="K459" s="63" t="s">
        <v>368</v>
      </c>
      <c r="L459" s="60" t="s">
        <v>106</v>
      </c>
      <c r="M459" s="58" t="n">
        <f aca="false">I459-I458</f>
        <v>1.48</v>
      </c>
    </row>
    <row r="460" customFormat="false" ht="14.25" hidden="false" customHeight="false" outlineLevel="0" collapsed="false">
      <c r="A460" s="56" t="s">
        <v>90</v>
      </c>
      <c r="B460" s="56" t="s">
        <v>85</v>
      </c>
      <c r="C460" s="56" t="n">
        <v>47</v>
      </c>
      <c r="D460" s="56" t="s">
        <v>40</v>
      </c>
      <c r="E460" s="56" t="n">
        <v>1</v>
      </c>
      <c r="F460" s="56" t="s">
        <v>104</v>
      </c>
      <c r="G460" s="57" t="n">
        <v>38</v>
      </c>
      <c r="H460" s="56" t="n">
        <v>40</v>
      </c>
      <c r="I460" s="57" t="n">
        <f aca="false">VLOOKUP(C460,[1]M0113A!$A$1:$Z$211,24,TRUE())+(G460/100)</f>
        <v>85.71</v>
      </c>
      <c r="J460" s="57" t="n">
        <f aca="false">I460+0.02</f>
        <v>85.73</v>
      </c>
      <c r="K460" s="63" t="s">
        <v>312</v>
      </c>
      <c r="L460" s="60" t="s">
        <v>106</v>
      </c>
      <c r="M460" s="58" t="n">
        <f aca="false">I460-I459</f>
        <v>2.77</v>
      </c>
    </row>
    <row r="461" customFormat="false" ht="14.25" hidden="false" customHeight="false" outlineLevel="0" collapsed="false">
      <c r="A461" s="56" t="s">
        <v>90</v>
      </c>
      <c r="B461" s="56" t="s">
        <v>85</v>
      </c>
      <c r="C461" s="56" t="n">
        <v>48</v>
      </c>
      <c r="D461" s="56" t="s">
        <v>40</v>
      </c>
      <c r="E461" s="56" t="n">
        <v>1</v>
      </c>
      <c r="F461" s="56" t="s">
        <v>104</v>
      </c>
      <c r="G461" s="57" t="n">
        <v>38</v>
      </c>
      <c r="H461" s="56" t="n">
        <v>40</v>
      </c>
      <c r="I461" s="57" t="n">
        <f aca="false">VLOOKUP(C461,[1]M0113A!$A$1:$Z$211,24,TRUE())+(G461/100)</f>
        <v>86.72</v>
      </c>
      <c r="J461" s="57" t="n">
        <f aca="false">I461+0.02</f>
        <v>86.74</v>
      </c>
      <c r="K461" s="63" t="s">
        <v>312</v>
      </c>
      <c r="L461" s="60" t="s">
        <v>106</v>
      </c>
      <c r="M461" s="58" t="n">
        <f aca="false">I461-I460</f>
        <v>1.01000000000001</v>
      </c>
    </row>
    <row r="462" customFormat="false" ht="14.25" hidden="false" customHeight="false" outlineLevel="0" collapsed="false">
      <c r="A462" s="56" t="s">
        <v>90</v>
      </c>
      <c r="B462" s="56" t="s">
        <v>85</v>
      </c>
      <c r="C462" s="56" t="n">
        <v>49</v>
      </c>
      <c r="D462" s="56" t="s">
        <v>44</v>
      </c>
      <c r="E462" s="56" t="n">
        <v>1</v>
      </c>
      <c r="F462" s="56" t="s">
        <v>104</v>
      </c>
      <c r="G462" s="57" t="n">
        <v>38</v>
      </c>
      <c r="H462" s="56" t="n">
        <v>40</v>
      </c>
      <c r="I462" s="57" t="n">
        <f aca="false">VLOOKUP(C462,[1]M0113A!$A$1:$Z$211,24,TRUE())+(G462/100)</f>
        <v>87.65</v>
      </c>
      <c r="J462" s="57" t="n">
        <f aca="false">I462+0.02</f>
        <v>87.67</v>
      </c>
      <c r="K462" s="63" t="s">
        <v>312</v>
      </c>
      <c r="L462" s="60" t="s">
        <v>106</v>
      </c>
      <c r="M462" s="58" t="n">
        <f aca="false">I462-I461</f>
        <v>0.929999999999993</v>
      </c>
    </row>
    <row r="463" customFormat="false" ht="14.25" hidden="false" customHeight="false" outlineLevel="0" collapsed="false">
      <c r="A463" s="56" t="s">
        <v>90</v>
      </c>
      <c r="B463" s="56" t="s">
        <v>85</v>
      </c>
      <c r="C463" s="56" t="n">
        <v>50</v>
      </c>
      <c r="D463" s="56" t="s">
        <v>44</v>
      </c>
      <c r="E463" s="56" t="n">
        <v>1</v>
      </c>
      <c r="F463" s="56" t="s">
        <v>104</v>
      </c>
      <c r="G463" s="57" t="n">
        <v>38</v>
      </c>
      <c r="H463" s="56" t="n">
        <v>40</v>
      </c>
      <c r="I463" s="57" t="n">
        <f aca="false">VLOOKUP(C463,[1]M0113A!$A$1:$Z$211,24,TRUE())+(G463/100)</f>
        <v>89.87</v>
      </c>
      <c r="J463" s="57" t="n">
        <f aca="false">I463+0.02</f>
        <v>89.89</v>
      </c>
      <c r="K463" s="63" t="s">
        <v>312</v>
      </c>
      <c r="L463" s="60" t="s">
        <v>106</v>
      </c>
      <c r="M463" s="58" t="n">
        <f aca="false">I463-I462</f>
        <v>2.22</v>
      </c>
    </row>
    <row r="464" customFormat="false" ht="14.25" hidden="false" customHeight="false" outlineLevel="0" collapsed="false">
      <c r="A464" s="56" t="s">
        <v>90</v>
      </c>
      <c r="B464" s="56" t="s">
        <v>85</v>
      </c>
      <c r="C464" s="56" t="n">
        <v>51</v>
      </c>
      <c r="D464" s="56" t="s">
        <v>44</v>
      </c>
      <c r="E464" s="56" t="n">
        <v>1</v>
      </c>
      <c r="F464" s="56" t="s">
        <v>104</v>
      </c>
      <c r="G464" s="57" t="n">
        <v>38</v>
      </c>
      <c r="H464" s="56" t="n">
        <v>40</v>
      </c>
      <c r="I464" s="57" t="n">
        <f aca="false">VLOOKUP(C464,[1]M0113A!$A$1:$Z$211,24,TRUE())+(G464/100)</f>
        <v>91.37</v>
      </c>
      <c r="J464" s="57" t="n">
        <f aca="false">I464+0.02</f>
        <v>91.39</v>
      </c>
      <c r="K464" s="63" t="s">
        <v>312</v>
      </c>
      <c r="L464" s="60" t="s">
        <v>106</v>
      </c>
      <c r="M464" s="58" t="n">
        <f aca="false">I464-I463</f>
        <v>1.5</v>
      </c>
    </row>
    <row r="465" customFormat="false" ht="14.25" hidden="false" customHeight="false" outlineLevel="0" collapsed="false">
      <c r="A465" s="44" t="s">
        <v>90</v>
      </c>
      <c r="B465" s="44" t="s">
        <v>85</v>
      </c>
      <c r="C465" s="44" t="n">
        <v>53</v>
      </c>
      <c r="D465" s="44" t="s">
        <v>44</v>
      </c>
      <c r="E465" s="44" t="n">
        <v>1</v>
      </c>
      <c r="F465" s="44" t="s">
        <v>104</v>
      </c>
      <c r="G465" s="0" t="n">
        <v>38</v>
      </c>
      <c r="H465" s="44" t="n">
        <v>40</v>
      </c>
      <c r="I465" s="0" t="n">
        <f aca="false">VLOOKUP(C465,[1]M0113A!$A$1:$Z$211,24,TRUE())+(G465/100)</f>
        <v>94.37</v>
      </c>
      <c r="J465" s="0" t="n">
        <f aca="false">I465+0.02</f>
        <v>94.39</v>
      </c>
      <c r="K465" s="54" t="s">
        <v>313</v>
      </c>
      <c r="L465" s="36" t="s">
        <v>106</v>
      </c>
      <c r="M465" s="53" t="n">
        <f aca="false">I465-I464</f>
        <v>3</v>
      </c>
    </row>
    <row r="466" customFormat="false" ht="14.25" hidden="false" customHeight="false" outlineLevel="0" collapsed="false">
      <c r="A466" s="44" t="s">
        <v>90</v>
      </c>
      <c r="B466" s="44" t="s">
        <v>85</v>
      </c>
      <c r="C466" s="44" t="n">
        <v>54</v>
      </c>
      <c r="D466" s="44" t="s">
        <v>44</v>
      </c>
      <c r="E466" s="44" t="n">
        <v>1</v>
      </c>
      <c r="F466" s="44" t="s">
        <v>104</v>
      </c>
      <c r="G466" s="0" t="n">
        <v>38</v>
      </c>
      <c r="H466" s="44" t="n">
        <v>40</v>
      </c>
      <c r="I466" s="0" t="n">
        <f aca="false">VLOOKUP(C466,[1]M0113A!$A$1:$Z$211,24,TRUE())+(G466/100)</f>
        <v>95.87</v>
      </c>
      <c r="J466" s="0" t="n">
        <f aca="false">I466+0.02</f>
        <v>95.89</v>
      </c>
      <c r="K466" s="0" t="s">
        <v>365</v>
      </c>
      <c r="L466" s="36" t="s">
        <v>106</v>
      </c>
      <c r="M466" s="53" t="n">
        <f aca="false">I466-I465</f>
        <v>1.5</v>
      </c>
    </row>
    <row r="467" customFormat="false" ht="14.25" hidden="false" customHeight="false" outlineLevel="0" collapsed="false">
      <c r="A467" s="44" t="s">
        <v>90</v>
      </c>
      <c r="B467" s="44" t="s">
        <v>85</v>
      </c>
      <c r="C467" s="44" t="n">
        <v>55</v>
      </c>
      <c r="D467" s="44" t="s">
        <v>40</v>
      </c>
      <c r="E467" s="44" t="n">
        <v>1</v>
      </c>
      <c r="F467" s="44" t="s">
        <v>104</v>
      </c>
      <c r="G467" s="0" t="n">
        <v>38</v>
      </c>
      <c r="H467" s="44" t="n">
        <v>40</v>
      </c>
      <c r="I467" s="0" t="n">
        <f aca="false">VLOOKUP(C467,[1]M0113A!$A$1:$Z$211,24,TRUE())+(G467/100)</f>
        <v>97.37</v>
      </c>
      <c r="J467" s="0" t="n">
        <f aca="false">I467+0.02</f>
        <v>97.39</v>
      </c>
      <c r="K467" s="54" t="s">
        <v>369</v>
      </c>
      <c r="L467" s="36" t="s">
        <v>106</v>
      </c>
      <c r="M467" s="53" t="n">
        <f aca="false">I467-I466</f>
        <v>1.5</v>
      </c>
    </row>
    <row r="468" customFormat="false" ht="14.25" hidden="false" customHeight="false" outlineLevel="0" collapsed="false">
      <c r="A468" s="44" t="s">
        <v>90</v>
      </c>
      <c r="B468" s="44" t="s">
        <v>85</v>
      </c>
      <c r="C468" s="44" t="n">
        <v>56</v>
      </c>
      <c r="D468" s="44" t="s">
        <v>40</v>
      </c>
      <c r="E468" s="44" t="n">
        <v>1</v>
      </c>
      <c r="F468" s="44" t="s">
        <v>104</v>
      </c>
      <c r="G468" s="0" t="n">
        <v>38</v>
      </c>
      <c r="H468" s="44" t="n">
        <v>40</v>
      </c>
      <c r="I468" s="0" t="n">
        <f aca="false">VLOOKUP(C468,[1]M0113A!$A$1:$Z$211,24,TRUE())+(G468/100)</f>
        <v>99.37</v>
      </c>
      <c r="J468" s="0" t="n">
        <f aca="false">I468+0.02</f>
        <v>99.39</v>
      </c>
      <c r="K468" s="54" t="s">
        <v>369</v>
      </c>
      <c r="L468" s="36" t="s">
        <v>106</v>
      </c>
      <c r="M468" s="53" t="n">
        <f aca="false">I468-I467</f>
        <v>2</v>
      </c>
    </row>
    <row r="469" customFormat="false" ht="14.25" hidden="false" customHeight="false" outlineLevel="0" collapsed="false">
      <c r="A469" s="44" t="s">
        <v>90</v>
      </c>
      <c r="B469" s="44" t="s">
        <v>85</v>
      </c>
      <c r="C469" s="44" t="n">
        <v>57</v>
      </c>
      <c r="D469" s="44" t="s">
        <v>40</v>
      </c>
      <c r="E469" s="44" t="n">
        <v>1</v>
      </c>
      <c r="F469" s="44" t="s">
        <v>104</v>
      </c>
      <c r="G469" s="0" t="n">
        <v>38</v>
      </c>
      <c r="H469" s="44" t="n">
        <v>40</v>
      </c>
      <c r="I469" s="0" t="n">
        <f aca="false">VLOOKUP(C469,[1]M0113A!$A$1:$Z$211,24,TRUE())+(G469/100)</f>
        <v>101.78</v>
      </c>
      <c r="J469" s="0" t="n">
        <f aca="false">I469+0.02</f>
        <v>101.8</v>
      </c>
      <c r="K469" s="0" t="s">
        <v>369</v>
      </c>
      <c r="L469" s="36" t="s">
        <v>106</v>
      </c>
      <c r="M469" s="53" t="n">
        <f aca="false">I469-I468</f>
        <v>2.41000000000001</v>
      </c>
    </row>
    <row r="470" customFormat="false" ht="14.25" hidden="false" customHeight="false" outlineLevel="0" collapsed="false">
      <c r="A470" s="44" t="s">
        <v>90</v>
      </c>
      <c r="B470" s="44" t="s">
        <v>85</v>
      </c>
      <c r="C470" s="44" t="n">
        <v>58</v>
      </c>
      <c r="D470" s="44" t="s">
        <v>40</v>
      </c>
      <c r="E470" s="44" t="n">
        <v>1</v>
      </c>
      <c r="F470" s="44" t="s">
        <v>104</v>
      </c>
      <c r="G470" s="0" t="n">
        <v>38</v>
      </c>
      <c r="H470" s="44" t="n">
        <v>40</v>
      </c>
      <c r="I470" s="0" t="n">
        <f aca="false">VLOOKUP(C470,[1]M0113A!$A$1:$Z$211,24,TRUE())+(G470/100)</f>
        <v>103.76</v>
      </c>
      <c r="J470" s="0" t="n">
        <f aca="false">I470+0.02</f>
        <v>103.78</v>
      </c>
      <c r="K470" s="54" t="s">
        <v>369</v>
      </c>
      <c r="L470" s="36" t="s">
        <v>106</v>
      </c>
      <c r="M470" s="53" t="n">
        <f aca="false">I470-I469</f>
        <v>1.97999999999999</v>
      </c>
    </row>
    <row r="471" customFormat="false" ht="14.25" hidden="false" customHeight="false" outlineLevel="0" collapsed="false">
      <c r="A471" s="44" t="s">
        <v>90</v>
      </c>
      <c r="B471" s="44" t="s">
        <v>85</v>
      </c>
      <c r="C471" s="44" t="n">
        <v>59</v>
      </c>
      <c r="D471" s="44" t="s">
        <v>40</v>
      </c>
      <c r="E471" s="44" t="n">
        <v>1</v>
      </c>
      <c r="F471" s="44" t="s">
        <v>104</v>
      </c>
      <c r="G471" s="0" t="n">
        <v>38</v>
      </c>
      <c r="H471" s="44" t="n">
        <v>40</v>
      </c>
      <c r="I471" s="0" t="n">
        <f aca="false">VLOOKUP(C471,[1]M0113A!$A$1:$Z$211,24,TRUE())+(G471/100)</f>
        <v>104.6</v>
      </c>
      <c r="J471" s="0" t="n">
        <f aca="false">I471+0.02</f>
        <v>104.62</v>
      </c>
      <c r="K471" s="54" t="s">
        <v>375</v>
      </c>
      <c r="L471" s="36" t="s">
        <v>106</v>
      </c>
      <c r="M471" s="53" t="n">
        <f aca="false">I471-I470</f>
        <v>0.840000000000003</v>
      </c>
    </row>
    <row r="472" customFormat="false" ht="14.25" hidden="false" customHeight="false" outlineLevel="0" collapsed="false">
      <c r="A472" s="44" t="s">
        <v>90</v>
      </c>
      <c r="B472" s="44" t="s">
        <v>85</v>
      </c>
      <c r="C472" s="44" t="n">
        <v>60</v>
      </c>
      <c r="D472" s="44" t="s">
        <v>40</v>
      </c>
      <c r="E472" s="44" t="n">
        <v>1</v>
      </c>
      <c r="F472" s="44" t="s">
        <v>104</v>
      </c>
      <c r="G472" s="0" t="n">
        <v>38</v>
      </c>
      <c r="H472" s="44" t="n">
        <v>40</v>
      </c>
      <c r="I472" s="0" t="n">
        <f aca="false">VLOOKUP(C472,[1]M0113A!$A$1:$Z$211,24,TRUE())+(G472/100)</f>
        <v>105.41</v>
      </c>
      <c r="J472" s="0" t="n">
        <f aca="false">I472+0.02</f>
        <v>105.43</v>
      </c>
      <c r="K472" s="54" t="s">
        <v>375</v>
      </c>
      <c r="L472" s="36" t="s">
        <v>106</v>
      </c>
      <c r="M472" s="53" t="n">
        <f aca="false">I472-I471</f>
        <v>0.810000000000002</v>
      </c>
    </row>
    <row r="473" customFormat="false" ht="14.25" hidden="false" customHeight="false" outlineLevel="0" collapsed="false">
      <c r="A473" s="44" t="s">
        <v>90</v>
      </c>
      <c r="B473" s="44" t="s">
        <v>85</v>
      </c>
      <c r="C473" s="44" t="n">
        <v>62</v>
      </c>
      <c r="D473" s="44" t="s">
        <v>44</v>
      </c>
      <c r="E473" s="44" t="n">
        <v>1</v>
      </c>
      <c r="F473" s="44" t="s">
        <v>104</v>
      </c>
      <c r="G473" s="0" t="n">
        <v>38</v>
      </c>
      <c r="H473" s="44" t="n">
        <v>40</v>
      </c>
      <c r="I473" s="0" t="n">
        <f aca="false">VLOOKUP(C473,[1]M0113A!$A$1:$Z$211,24,TRUE())+(G473/100)</f>
        <v>107.87</v>
      </c>
      <c r="J473" s="0" t="n">
        <f aca="false">I473+0.02</f>
        <v>107.89</v>
      </c>
      <c r="K473" s="54" t="s">
        <v>376</v>
      </c>
      <c r="L473" s="36" t="s">
        <v>106</v>
      </c>
      <c r="M473" s="53" t="n">
        <f aca="false">I473-I472</f>
        <v>2.45999999999999</v>
      </c>
    </row>
    <row r="474" customFormat="false" ht="14.25" hidden="false" customHeight="false" outlineLevel="0" collapsed="false">
      <c r="A474" s="56" t="s">
        <v>90</v>
      </c>
      <c r="B474" s="56" t="s">
        <v>85</v>
      </c>
      <c r="C474" s="56" t="n">
        <v>63</v>
      </c>
      <c r="D474" s="56" t="s">
        <v>40</v>
      </c>
      <c r="E474" s="56" t="n">
        <v>1</v>
      </c>
      <c r="F474" s="56" t="s">
        <v>104</v>
      </c>
      <c r="G474" s="57" t="n">
        <v>38</v>
      </c>
      <c r="H474" s="56" t="n">
        <v>40</v>
      </c>
      <c r="I474" s="57" t="n">
        <f aca="false">VLOOKUP(C474,[1]M0113A!$A$1:$Z$211,24,TRUE())+(G474/100)</f>
        <v>109.37</v>
      </c>
      <c r="J474" s="57" t="n">
        <f aca="false">I474+0.02</f>
        <v>109.39</v>
      </c>
      <c r="K474" s="57" t="s">
        <v>294</v>
      </c>
      <c r="L474" s="60" t="s">
        <v>106</v>
      </c>
      <c r="M474" s="58" t="n">
        <f aca="false">I474-I473</f>
        <v>1.5</v>
      </c>
    </row>
    <row r="475" customFormat="false" ht="14.25" hidden="false" customHeight="false" outlineLevel="0" collapsed="false">
      <c r="A475" s="56" t="s">
        <v>90</v>
      </c>
      <c r="B475" s="56" t="s">
        <v>85</v>
      </c>
      <c r="C475" s="56" t="n">
        <v>64</v>
      </c>
      <c r="D475" s="56" t="s">
        <v>40</v>
      </c>
      <c r="E475" s="56" t="n">
        <v>1</v>
      </c>
      <c r="F475" s="56" t="s">
        <v>104</v>
      </c>
      <c r="G475" s="57" t="n">
        <v>8</v>
      </c>
      <c r="H475" s="56" t="n">
        <v>10</v>
      </c>
      <c r="I475" s="57" t="n">
        <f aca="false">VLOOKUP(C475,[1]M0113A!$A$1:$Z$211,24,TRUE())+(G475/100)</f>
        <v>110.01</v>
      </c>
      <c r="J475" s="57" t="n">
        <f aca="false">I475+0.02</f>
        <v>110.03</v>
      </c>
      <c r="K475" s="63" t="s">
        <v>304</v>
      </c>
      <c r="L475" s="60" t="s">
        <v>106</v>
      </c>
      <c r="M475" s="58" t="n">
        <f aca="false">I475-I474</f>
        <v>0.640000000000015</v>
      </c>
    </row>
    <row r="476" customFormat="false" ht="14.25" hidden="false" customHeight="false" outlineLevel="0" collapsed="false">
      <c r="A476" s="56" t="s">
        <v>90</v>
      </c>
      <c r="B476" s="56" t="s">
        <v>85</v>
      </c>
      <c r="C476" s="56" t="n">
        <v>65</v>
      </c>
      <c r="D476" s="56" t="s">
        <v>44</v>
      </c>
      <c r="E476" s="56" t="n">
        <v>1</v>
      </c>
      <c r="F476" s="56" t="s">
        <v>104</v>
      </c>
      <c r="G476" s="57" t="n">
        <v>38</v>
      </c>
      <c r="H476" s="56" t="n">
        <v>40</v>
      </c>
      <c r="I476" s="57" t="n">
        <f aca="false">VLOOKUP(C476,[1]M0113A!$A$1:$Z$211,24,TRUE())+(G476/100)</f>
        <v>110.31</v>
      </c>
      <c r="J476" s="57" t="n">
        <f aca="false">I476+0.02</f>
        <v>110.33</v>
      </c>
      <c r="K476" s="57" t="s">
        <v>294</v>
      </c>
      <c r="L476" s="60" t="s">
        <v>106</v>
      </c>
      <c r="M476" s="58" t="n">
        <f aca="false">I476-I475</f>
        <v>0.299999999999997</v>
      </c>
    </row>
    <row r="477" customFormat="false" ht="14.25" hidden="false" customHeight="false" outlineLevel="0" collapsed="false">
      <c r="A477" s="44" t="s">
        <v>90</v>
      </c>
      <c r="B477" s="44" t="s">
        <v>85</v>
      </c>
      <c r="C477" s="44" t="n">
        <v>66</v>
      </c>
      <c r="D477" s="44" t="s">
        <v>44</v>
      </c>
      <c r="E477" s="44" t="n">
        <v>1</v>
      </c>
      <c r="F477" s="44" t="s">
        <v>104</v>
      </c>
      <c r="G477" s="0" t="n">
        <v>18</v>
      </c>
      <c r="H477" s="44" t="n">
        <v>20</v>
      </c>
      <c r="I477" s="0" t="n">
        <f aca="false">VLOOKUP(C477,[1]M0113A!$A$1:$Z$211,24,TRUE())+(G477/100)</f>
        <v>112.17</v>
      </c>
      <c r="J477" s="0" t="n">
        <f aca="false">I477+0.02</f>
        <v>112.19</v>
      </c>
      <c r="K477" s="54" t="s">
        <v>365</v>
      </c>
      <c r="L477" s="36" t="s">
        <v>324</v>
      </c>
      <c r="M477" s="53" t="n">
        <f aca="false">I477-I476</f>
        <v>1.86</v>
      </c>
    </row>
    <row r="478" customFormat="false" ht="14.25" hidden="false" customHeight="false" outlineLevel="0" collapsed="false">
      <c r="A478" s="44" t="s">
        <v>90</v>
      </c>
      <c r="B478" s="44" t="s">
        <v>85</v>
      </c>
      <c r="C478" s="44" t="n">
        <v>67</v>
      </c>
      <c r="D478" s="44" t="s">
        <v>44</v>
      </c>
      <c r="E478" s="44" t="n">
        <v>1</v>
      </c>
      <c r="F478" s="44" t="s">
        <v>104</v>
      </c>
      <c r="G478" s="0" t="n">
        <v>38</v>
      </c>
      <c r="H478" s="44" t="n">
        <v>40</v>
      </c>
      <c r="I478" s="0" t="n">
        <f aca="false">VLOOKUP(C478,[1]M0113A!$A$1:$Z$211,24,TRUE())+(G478/100)</f>
        <v>113.87</v>
      </c>
      <c r="J478" s="0" t="n">
        <f aca="false">I478+0.02</f>
        <v>113.89</v>
      </c>
      <c r="K478" s="0" t="s">
        <v>375</v>
      </c>
      <c r="L478" s="36" t="s">
        <v>106</v>
      </c>
      <c r="M478" s="53" t="n">
        <f aca="false">I478-I477</f>
        <v>1.69999999999999</v>
      </c>
    </row>
    <row r="479" customFormat="false" ht="14.25" hidden="false" customHeight="false" outlineLevel="0" collapsed="false">
      <c r="A479" s="56" t="s">
        <v>90</v>
      </c>
      <c r="B479" s="56" t="s">
        <v>85</v>
      </c>
      <c r="C479" s="56" t="n">
        <v>68</v>
      </c>
      <c r="D479" s="56" t="s">
        <v>44</v>
      </c>
      <c r="E479" s="56" t="n">
        <v>1</v>
      </c>
      <c r="F479" s="56" t="s">
        <v>104</v>
      </c>
      <c r="G479" s="57" t="n">
        <v>38</v>
      </c>
      <c r="H479" s="56" t="n">
        <v>40</v>
      </c>
      <c r="I479" s="57" t="n">
        <f aca="false">VLOOKUP(C479,[1]M0113A!$A$1:$Z$211,24,TRUE())+(G479/100)</f>
        <v>115.37</v>
      </c>
      <c r="J479" s="57" t="n">
        <f aca="false">I479+0.02</f>
        <v>115.39</v>
      </c>
      <c r="K479" s="63" t="s">
        <v>294</v>
      </c>
      <c r="L479" s="60" t="s">
        <v>106</v>
      </c>
      <c r="M479" s="58" t="n">
        <f aca="false">I479-I478</f>
        <v>1.5</v>
      </c>
    </row>
    <row r="480" customFormat="false" ht="14.25" hidden="false" customHeight="false" outlineLevel="0" collapsed="false">
      <c r="A480" s="56" t="s">
        <v>90</v>
      </c>
      <c r="B480" s="56" t="s">
        <v>85</v>
      </c>
      <c r="C480" s="56" t="n">
        <v>69</v>
      </c>
      <c r="D480" s="56" t="s">
        <v>44</v>
      </c>
      <c r="E480" s="56" t="n">
        <v>1</v>
      </c>
      <c r="F480" s="56" t="s">
        <v>104</v>
      </c>
      <c r="G480" s="57" t="n">
        <v>38</v>
      </c>
      <c r="H480" s="56" t="n">
        <v>40</v>
      </c>
      <c r="I480" s="57" t="n">
        <f aca="false">VLOOKUP(C480,[1]M0113A!$A$1:$Z$211,24,TRUE())+(G480/100)</f>
        <v>116.87</v>
      </c>
      <c r="J480" s="57" t="n">
        <f aca="false">I480+0.02</f>
        <v>116.89</v>
      </c>
      <c r="K480" s="57" t="s">
        <v>294</v>
      </c>
      <c r="L480" s="60" t="s">
        <v>106</v>
      </c>
      <c r="M480" s="58" t="n">
        <f aca="false">I480-I479</f>
        <v>1.5</v>
      </c>
    </row>
    <row r="481" customFormat="false" ht="14.25" hidden="false" customHeight="false" outlineLevel="0" collapsed="false">
      <c r="A481" s="56" t="s">
        <v>90</v>
      </c>
      <c r="B481" s="56" t="s">
        <v>85</v>
      </c>
      <c r="C481" s="56" t="n">
        <v>70</v>
      </c>
      <c r="D481" s="56" t="s">
        <v>44</v>
      </c>
      <c r="E481" s="56" t="n">
        <v>1</v>
      </c>
      <c r="F481" s="56" t="s">
        <v>104</v>
      </c>
      <c r="G481" s="57" t="n">
        <v>38</v>
      </c>
      <c r="H481" s="56" t="n">
        <v>40</v>
      </c>
      <c r="I481" s="57" t="n">
        <f aca="false">VLOOKUP(C481,[1]M0113A!$A$1:$Z$211,24,TRUE())+(G481/100)</f>
        <v>118.37</v>
      </c>
      <c r="J481" s="57" t="n">
        <f aca="false">I481+0.02</f>
        <v>118.39</v>
      </c>
      <c r="K481" s="63" t="s">
        <v>294</v>
      </c>
      <c r="L481" s="60" t="s">
        <v>106</v>
      </c>
      <c r="M481" s="58" t="n">
        <f aca="false">I481-I480</f>
        <v>1.5</v>
      </c>
    </row>
    <row r="482" customFormat="false" ht="14.25" hidden="false" customHeight="false" outlineLevel="0" collapsed="false">
      <c r="A482" s="56" t="s">
        <v>90</v>
      </c>
      <c r="B482" s="56" t="s">
        <v>85</v>
      </c>
      <c r="C482" s="56" t="n">
        <v>71</v>
      </c>
      <c r="D482" s="56" t="s">
        <v>44</v>
      </c>
      <c r="E482" s="56" t="n">
        <v>1</v>
      </c>
      <c r="F482" s="56" t="s">
        <v>104</v>
      </c>
      <c r="G482" s="57" t="n">
        <v>18</v>
      </c>
      <c r="H482" s="56" t="n">
        <v>20</v>
      </c>
      <c r="I482" s="57" t="n">
        <f aca="false">VLOOKUP(C482,[1]M0113A!$A$1:$Z$211,24,TRUE())+(G482/100)</f>
        <v>119.67</v>
      </c>
      <c r="J482" s="57" t="n">
        <f aca="false">I482+0.02</f>
        <v>119.69</v>
      </c>
      <c r="K482" s="63" t="s">
        <v>294</v>
      </c>
      <c r="L482" s="60" t="s">
        <v>106</v>
      </c>
      <c r="M482" s="58" t="n">
        <f aca="false">I482-I481</f>
        <v>1.30000000000001</v>
      </c>
    </row>
    <row r="483" customFormat="false" ht="14.25" hidden="false" customHeight="false" outlineLevel="0" collapsed="false">
      <c r="A483" s="56" t="s">
        <v>90</v>
      </c>
      <c r="B483" s="56" t="s">
        <v>85</v>
      </c>
      <c r="C483" s="56" t="n">
        <v>72</v>
      </c>
      <c r="D483" s="56" t="s">
        <v>44</v>
      </c>
      <c r="E483" s="56" t="n">
        <v>1</v>
      </c>
      <c r="F483" s="56" t="s">
        <v>104</v>
      </c>
      <c r="G483" s="57" t="n">
        <v>38</v>
      </c>
      <c r="H483" s="56" t="n">
        <v>40</v>
      </c>
      <c r="I483" s="57" t="n">
        <f aca="false">VLOOKUP(C483,[1]M0113A!$A$1:$Z$211,24,TRUE())+(G483/100)</f>
        <v>121.37</v>
      </c>
      <c r="J483" s="57" t="n">
        <f aca="false">I483+0.02</f>
        <v>121.39</v>
      </c>
      <c r="K483" s="63" t="s">
        <v>294</v>
      </c>
      <c r="L483" s="60" t="s">
        <v>106</v>
      </c>
      <c r="M483" s="58" t="n">
        <f aca="false">I483-I482</f>
        <v>1.69999999999999</v>
      </c>
    </row>
    <row r="484" customFormat="false" ht="14.25" hidden="false" customHeight="false" outlineLevel="0" collapsed="false">
      <c r="A484" s="56" t="s">
        <v>90</v>
      </c>
      <c r="B484" s="56" t="s">
        <v>85</v>
      </c>
      <c r="C484" s="56" t="n">
        <v>73</v>
      </c>
      <c r="D484" s="56" t="s">
        <v>44</v>
      </c>
      <c r="E484" s="56" t="n">
        <v>1</v>
      </c>
      <c r="F484" s="56" t="s">
        <v>104</v>
      </c>
      <c r="G484" s="57" t="n">
        <v>38</v>
      </c>
      <c r="H484" s="56" t="n">
        <v>40</v>
      </c>
      <c r="I484" s="57" t="n">
        <f aca="false">VLOOKUP(C484,[1]M0113A!$A$1:$Z$211,24,TRUE())+(G484/100)</f>
        <v>122.87</v>
      </c>
      <c r="J484" s="57" t="n">
        <f aca="false">I484+0.02</f>
        <v>122.89</v>
      </c>
      <c r="K484" s="63" t="s">
        <v>294</v>
      </c>
      <c r="L484" s="60" t="s">
        <v>106</v>
      </c>
      <c r="M484" s="58" t="n">
        <f aca="false">I484-I483</f>
        <v>1.5</v>
      </c>
    </row>
    <row r="485" customFormat="false" ht="14.25" hidden="false" customHeight="false" outlineLevel="0" collapsed="false">
      <c r="A485" s="56" t="s">
        <v>90</v>
      </c>
      <c r="B485" s="56" t="s">
        <v>85</v>
      </c>
      <c r="C485" s="56" t="n">
        <v>74</v>
      </c>
      <c r="D485" s="56" t="s">
        <v>44</v>
      </c>
      <c r="E485" s="56" t="n">
        <v>1</v>
      </c>
      <c r="F485" s="56" t="s">
        <v>104</v>
      </c>
      <c r="G485" s="57" t="n">
        <v>38</v>
      </c>
      <c r="H485" s="56" t="n">
        <v>40</v>
      </c>
      <c r="I485" s="57" t="n">
        <f aca="false">VLOOKUP(C485,[1]M0113A!$A$1:$Z$211,24,TRUE())+(G485/100)</f>
        <v>124.37</v>
      </c>
      <c r="J485" s="57" t="n">
        <f aca="false">I485+0.02</f>
        <v>124.39</v>
      </c>
      <c r="K485" s="63" t="s">
        <v>294</v>
      </c>
      <c r="L485" s="60" t="s">
        <v>106</v>
      </c>
      <c r="M485" s="58" t="n">
        <f aca="false">I485-I484</f>
        <v>1.5</v>
      </c>
    </row>
    <row r="486" customFormat="false" ht="14.25" hidden="false" customHeight="false" outlineLevel="0" collapsed="false">
      <c r="A486" s="56" t="s">
        <v>90</v>
      </c>
      <c r="B486" s="56" t="s">
        <v>85</v>
      </c>
      <c r="C486" s="56" t="n">
        <v>75</v>
      </c>
      <c r="D486" s="56" t="s">
        <v>44</v>
      </c>
      <c r="E486" s="56" t="n">
        <v>1</v>
      </c>
      <c r="F486" s="56" t="s">
        <v>104</v>
      </c>
      <c r="G486" s="57" t="n">
        <v>38</v>
      </c>
      <c r="H486" s="56" t="n">
        <v>40</v>
      </c>
      <c r="I486" s="57" t="n">
        <f aca="false">VLOOKUP(C486,[1]M0113A!$A$1:$Z$211,24,TRUE())+(G486/100)</f>
        <v>125.87</v>
      </c>
      <c r="J486" s="57" t="n">
        <f aca="false">I486+0.02</f>
        <v>125.89</v>
      </c>
      <c r="K486" s="63" t="s">
        <v>294</v>
      </c>
      <c r="L486" s="60" t="s">
        <v>106</v>
      </c>
      <c r="M486" s="58" t="n">
        <f aca="false">I486-I485</f>
        <v>1.5</v>
      </c>
    </row>
    <row r="487" customFormat="false" ht="14.25" hidden="false" customHeight="false" outlineLevel="0" collapsed="false">
      <c r="A487" s="44" t="s">
        <v>90</v>
      </c>
      <c r="B487" s="44" t="s">
        <v>85</v>
      </c>
      <c r="C487" s="44" t="n">
        <v>76</v>
      </c>
      <c r="D487" s="44" t="s">
        <v>44</v>
      </c>
      <c r="E487" s="44" t="n">
        <v>1</v>
      </c>
      <c r="F487" s="44" t="s">
        <v>104</v>
      </c>
      <c r="G487" s="0" t="n">
        <v>7</v>
      </c>
      <c r="H487" s="44" t="n">
        <v>9</v>
      </c>
      <c r="I487" s="0" t="n">
        <f aca="false">VLOOKUP(C487,[1]M0113A!$A$1:$Z$211,24,TRUE())+(G487/100)</f>
        <v>127.06</v>
      </c>
      <c r="J487" s="0" t="n">
        <f aca="false">I487+0.02</f>
        <v>127.08</v>
      </c>
      <c r="K487" s="54" t="s">
        <v>377</v>
      </c>
      <c r="L487" s="36" t="s">
        <v>106</v>
      </c>
      <c r="M487" s="53" t="n">
        <f aca="false">I487-I486</f>
        <v>1.19</v>
      </c>
    </row>
    <row r="488" customFormat="false" ht="14.25" hidden="false" customHeight="false" outlineLevel="0" collapsed="false">
      <c r="A488" s="44" t="s">
        <v>90</v>
      </c>
      <c r="B488" s="44" t="s">
        <v>85</v>
      </c>
      <c r="C488" s="44" t="n">
        <v>77</v>
      </c>
      <c r="D488" s="44" t="s">
        <v>44</v>
      </c>
      <c r="E488" s="44" t="n">
        <v>1</v>
      </c>
      <c r="F488" s="44" t="s">
        <v>104</v>
      </c>
      <c r="G488" s="0" t="n">
        <v>8</v>
      </c>
      <c r="H488" s="44" t="n">
        <v>10</v>
      </c>
      <c r="I488" s="0" t="n">
        <f aca="false">VLOOKUP(C488,[1]M0113A!$A$1:$Z$211,24,TRUE())+(G488/100)</f>
        <v>128.57</v>
      </c>
      <c r="J488" s="0" t="n">
        <f aca="false">I488+0.02</f>
        <v>128.59</v>
      </c>
      <c r="K488" s="0" t="s">
        <v>378</v>
      </c>
      <c r="L488" s="36" t="s">
        <v>106</v>
      </c>
      <c r="M488" s="53" t="n">
        <f aca="false">I488-I487</f>
        <v>1.51000000000003</v>
      </c>
    </row>
    <row r="489" customFormat="false" ht="14.25" hidden="false" customHeight="false" outlineLevel="0" collapsed="false">
      <c r="A489" s="44" t="s">
        <v>90</v>
      </c>
      <c r="B489" s="44" t="s">
        <v>85</v>
      </c>
      <c r="C489" s="44" t="n">
        <v>78</v>
      </c>
      <c r="D489" s="44" t="s">
        <v>40</v>
      </c>
      <c r="E489" s="44" t="n">
        <v>1</v>
      </c>
      <c r="F489" s="44" t="s">
        <v>104</v>
      </c>
      <c r="G489" s="0" t="n">
        <v>38</v>
      </c>
      <c r="H489" s="44" t="n">
        <v>40</v>
      </c>
      <c r="I489" s="0" t="n">
        <f aca="false">VLOOKUP(C489,[1]M0113A!$A$1:$Z$211,24,TRUE())+(G489/100)</f>
        <v>130.37</v>
      </c>
      <c r="J489" s="0" t="n">
        <f aca="false">I489+0.02</f>
        <v>130.39</v>
      </c>
      <c r="K489" s="54" t="s">
        <v>365</v>
      </c>
      <c r="L489" s="36" t="s">
        <v>106</v>
      </c>
      <c r="M489" s="53" t="n">
        <f aca="false">I489-I488</f>
        <v>1.79999999999998</v>
      </c>
    </row>
    <row r="490" customFormat="false" ht="14.25" hidden="false" customHeight="false" outlineLevel="0" collapsed="false">
      <c r="A490" s="56" t="s">
        <v>90</v>
      </c>
      <c r="B490" s="56" t="s">
        <v>85</v>
      </c>
      <c r="C490" s="56" t="n">
        <v>80</v>
      </c>
      <c r="D490" s="56" t="s">
        <v>44</v>
      </c>
      <c r="E490" s="56" t="n">
        <v>1</v>
      </c>
      <c r="F490" s="56" t="s">
        <v>104</v>
      </c>
      <c r="G490" s="57" t="n">
        <v>38</v>
      </c>
      <c r="H490" s="56" t="n">
        <v>40</v>
      </c>
      <c r="I490" s="57" t="n">
        <f aca="false">VLOOKUP(C490,[1]M0113A!$A$1:$Z$211,24,TRUE())+(G490/100)</f>
        <v>132.67</v>
      </c>
      <c r="J490" s="57" t="n">
        <f aca="false">I490+0.02</f>
        <v>132.69</v>
      </c>
      <c r="K490" s="63" t="s">
        <v>294</v>
      </c>
      <c r="L490" s="60" t="s">
        <v>106</v>
      </c>
      <c r="M490" s="58" t="n">
        <f aca="false">I490-I489</f>
        <v>2.29999999999998</v>
      </c>
    </row>
    <row r="491" customFormat="false" ht="14.25" hidden="false" customHeight="false" outlineLevel="0" collapsed="false">
      <c r="A491" s="56" t="s">
        <v>90</v>
      </c>
      <c r="B491" s="56" t="s">
        <v>85</v>
      </c>
      <c r="C491" s="56" t="n">
        <v>81</v>
      </c>
      <c r="D491" s="56" t="s">
        <v>44</v>
      </c>
      <c r="E491" s="56" t="n">
        <v>1</v>
      </c>
      <c r="F491" s="56" t="s">
        <v>104</v>
      </c>
      <c r="G491" s="57" t="n">
        <v>38</v>
      </c>
      <c r="H491" s="56" t="n">
        <v>40</v>
      </c>
      <c r="I491" s="57" t="n">
        <f aca="false">VLOOKUP(C491,[1]M0113A!$A$1:$Z$211,24,TRUE())+(G491/100)</f>
        <v>134.87</v>
      </c>
      <c r="J491" s="57" t="n">
        <f aca="false">I491+0.02</f>
        <v>134.89</v>
      </c>
      <c r="K491" s="63" t="s">
        <v>294</v>
      </c>
      <c r="L491" s="60" t="s">
        <v>106</v>
      </c>
      <c r="M491" s="58" t="n">
        <f aca="false">I491-I490</f>
        <v>2.20000000000002</v>
      </c>
    </row>
    <row r="492" customFormat="false" ht="14.25" hidden="false" customHeight="false" outlineLevel="0" collapsed="false">
      <c r="A492" s="56" t="s">
        <v>90</v>
      </c>
      <c r="B492" s="56" t="s">
        <v>85</v>
      </c>
      <c r="C492" s="56" t="n">
        <v>82</v>
      </c>
      <c r="D492" s="56" t="s">
        <v>44</v>
      </c>
      <c r="E492" s="56" t="n">
        <v>1</v>
      </c>
      <c r="F492" s="56" t="s">
        <v>104</v>
      </c>
      <c r="G492" s="57" t="n">
        <v>38</v>
      </c>
      <c r="H492" s="56" t="n">
        <v>40</v>
      </c>
      <c r="I492" s="57" t="n">
        <f aca="false">VLOOKUP(C492,[1]M0113A!$A$1:$Z$211,24,TRUE())+(G492/100)</f>
        <v>136.37</v>
      </c>
      <c r="J492" s="57" t="n">
        <f aca="false">I492+0.02</f>
        <v>136.39</v>
      </c>
      <c r="K492" s="63" t="s">
        <v>294</v>
      </c>
      <c r="L492" s="60" t="s">
        <v>106</v>
      </c>
      <c r="M492" s="58" t="n">
        <f aca="false">I492-I491</f>
        <v>1.5</v>
      </c>
    </row>
    <row r="493" customFormat="false" ht="14.25" hidden="false" customHeight="false" outlineLevel="0" collapsed="false">
      <c r="A493" s="56" t="s">
        <v>90</v>
      </c>
      <c r="B493" s="56" t="s">
        <v>85</v>
      </c>
      <c r="C493" s="56" t="n">
        <v>83</v>
      </c>
      <c r="D493" s="56" t="s">
        <v>44</v>
      </c>
      <c r="E493" s="56" t="n">
        <v>1</v>
      </c>
      <c r="F493" s="56" t="s">
        <v>104</v>
      </c>
      <c r="G493" s="57" t="n">
        <v>38</v>
      </c>
      <c r="H493" s="56" t="n">
        <v>40</v>
      </c>
      <c r="I493" s="57" t="n">
        <f aca="false">VLOOKUP(C493,[1]M0113A!$A$1:$Z$211,24,TRUE())+(G493/100)</f>
        <v>137.87</v>
      </c>
      <c r="J493" s="57" t="n">
        <f aca="false">I493+0.02</f>
        <v>137.89</v>
      </c>
      <c r="K493" s="63" t="s">
        <v>294</v>
      </c>
      <c r="L493" s="60" t="s">
        <v>106</v>
      </c>
      <c r="M493" s="58" t="n">
        <f aca="false">I493-I492</f>
        <v>1.5</v>
      </c>
    </row>
    <row r="494" customFormat="false" ht="14.25" hidden="false" customHeight="false" outlineLevel="0" collapsed="false">
      <c r="A494" s="56" t="s">
        <v>90</v>
      </c>
      <c r="B494" s="56" t="s">
        <v>85</v>
      </c>
      <c r="C494" s="56" t="n">
        <v>84</v>
      </c>
      <c r="D494" s="56" t="s">
        <v>44</v>
      </c>
      <c r="E494" s="56" t="n">
        <v>1</v>
      </c>
      <c r="F494" s="56" t="s">
        <v>104</v>
      </c>
      <c r="G494" s="57" t="n">
        <v>38</v>
      </c>
      <c r="H494" s="56" t="n">
        <v>40</v>
      </c>
      <c r="I494" s="57" t="n">
        <f aca="false">VLOOKUP(C494,[1]M0113A!$A$1:$Z$211,24,TRUE())+(G494/100)</f>
        <v>139.37</v>
      </c>
      <c r="J494" s="57" t="n">
        <f aca="false">I494+0.02</f>
        <v>139.39</v>
      </c>
      <c r="K494" s="57" t="s">
        <v>290</v>
      </c>
      <c r="L494" s="60" t="s">
        <v>106</v>
      </c>
      <c r="M494" s="58" t="n">
        <f aca="false">I494-I493</f>
        <v>1.5</v>
      </c>
    </row>
    <row r="495" customFormat="false" ht="14.25" hidden="false" customHeight="false" outlineLevel="0" collapsed="false">
      <c r="A495" s="56" t="s">
        <v>90</v>
      </c>
      <c r="B495" s="56" t="s">
        <v>85</v>
      </c>
      <c r="C495" s="56" t="n">
        <v>85</v>
      </c>
      <c r="D495" s="56" t="s">
        <v>44</v>
      </c>
      <c r="E495" s="56" t="n">
        <v>1</v>
      </c>
      <c r="F495" s="56" t="s">
        <v>104</v>
      </c>
      <c r="G495" s="57" t="n">
        <v>38</v>
      </c>
      <c r="H495" s="56" t="n">
        <v>40</v>
      </c>
      <c r="I495" s="57" t="n">
        <f aca="false">VLOOKUP(C495,[1]M0113A!$A$1:$Z$211,24,TRUE())+(G495/100)</f>
        <v>140.87</v>
      </c>
      <c r="J495" s="57" t="n">
        <f aca="false">I495+0.02</f>
        <v>140.89</v>
      </c>
      <c r="K495" s="57" t="s">
        <v>290</v>
      </c>
      <c r="L495" s="60" t="s">
        <v>106</v>
      </c>
      <c r="M495" s="58" t="n">
        <f aca="false">I495-I494</f>
        <v>1.5</v>
      </c>
    </row>
    <row r="496" customFormat="false" ht="14.25" hidden="false" customHeight="false" outlineLevel="0" collapsed="false">
      <c r="A496" s="56" t="s">
        <v>90</v>
      </c>
      <c r="B496" s="56" t="s">
        <v>85</v>
      </c>
      <c r="C496" s="56" t="n">
        <v>86</v>
      </c>
      <c r="D496" s="56" t="s">
        <v>44</v>
      </c>
      <c r="E496" s="56" t="n">
        <v>1</v>
      </c>
      <c r="F496" s="56" t="s">
        <v>104</v>
      </c>
      <c r="G496" s="57" t="n">
        <v>38</v>
      </c>
      <c r="H496" s="56" t="n">
        <v>40</v>
      </c>
      <c r="I496" s="57" t="n">
        <f aca="false">VLOOKUP(C496,[1]M0113A!$A$1:$Z$211,24,TRUE())+(G496/100)</f>
        <v>143.87</v>
      </c>
      <c r="J496" s="57" t="n">
        <f aca="false">I496+0.02</f>
        <v>143.89</v>
      </c>
      <c r="K496" s="57" t="s">
        <v>290</v>
      </c>
      <c r="L496" s="60" t="s">
        <v>106</v>
      </c>
      <c r="M496" s="58" t="n">
        <f aca="false">I496-I495</f>
        <v>3</v>
      </c>
    </row>
    <row r="497" customFormat="false" ht="14.25" hidden="false" customHeight="false" outlineLevel="0" collapsed="false">
      <c r="A497" s="56" t="s">
        <v>90</v>
      </c>
      <c r="B497" s="56" t="s">
        <v>85</v>
      </c>
      <c r="C497" s="56" t="n">
        <v>87</v>
      </c>
      <c r="D497" s="56" t="s">
        <v>44</v>
      </c>
      <c r="E497" s="56" t="n">
        <v>1</v>
      </c>
      <c r="F497" s="56" t="s">
        <v>104</v>
      </c>
      <c r="G497" s="57" t="n">
        <v>38</v>
      </c>
      <c r="H497" s="56" t="n">
        <v>40</v>
      </c>
      <c r="I497" s="57" t="n">
        <f aca="false">VLOOKUP(C497,[1]M0113A!$A$1:$Z$211,24,TRUE())+(G497/100)</f>
        <v>146.87</v>
      </c>
      <c r="J497" s="57" t="n">
        <f aca="false">I497+0.02</f>
        <v>146.89</v>
      </c>
      <c r="K497" s="57" t="s">
        <v>294</v>
      </c>
      <c r="L497" s="60" t="s">
        <v>106</v>
      </c>
      <c r="M497" s="58" t="n">
        <f aca="false">I497-I496</f>
        <v>3</v>
      </c>
    </row>
    <row r="498" customFormat="false" ht="14.25" hidden="false" customHeight="false" outlineLevel="0" collapsed="false">
      <c r="A498" s="44" t="s">
        <v>90</v>
      </c>
      <c r="B498" s="44" t="s">
        <v>85</v>
      </c>
      <c r="C498" s="44" t="n">
        <v>88</v>
      </c>
      <c r="D498" s="44" t="s">
        <v>44</v>
      </c>
      <c r="E498" s="44" t="n">
        <v>1</v>
      </c>
      <c r="F498" s="44" t="s">
        <v>104</v>
      </c>
      <c r="G498" s="0" t="n">
        <v>38</v>
      </c>
      <c r="H498" s="44" t="n">
        <v>40</v>
      </c>
      <c r="I498" s="0" t="n">
        <f aca="false">VLOOKUP(C498,[1]M0113A!$A$1:$Z$211,24,TRUE())+(G498/100)</f>
        <v>148.87</v>
      </c>
      <c r="J498" s="0" t="n">
        <f aca="false">I498+0.02</f>
        <v>148.89</v>
      </c>
      <c r="K498" s="54" t="s">
        <v>359</v>
      </c>
      <c r="L498" s="36" t="s">
        <v>106</v>
      </c>
      <c r="M498" s="53" t="n">
        <f aca="false">I498-I497</f>
        <v>2</v>
      </c>
    </row>
    <row r="499" customFormat="false" ht="14.25" hidden="false" customHeight="false" outlineLevel="0" collapsed="false">
      <c r="A499" s="56" t="s">
        <v>90</v>
      </c>
      <c r="B499" s="56" t="s">
        <v>85</v>
      </c>
      <c r="C499" s="56" t="n">
        <v>89</v>
      </c>
      <c r="D499" s="56" t="s">
        <v>44</v>
      </c>
      <c r="E499" s="56" t="n">
        <v>1</v>
      </c>
      <c r="F499" s="56" t="s">
        <v>104</v>
      </c>
      <c r="G499" s="57" t="n">
        <v>38</v>
      </c>
      <c r="H499" s="56" t="n">
        <v>40</v>
      </c>
      <c r="I499" s="57" t="n">
        <f aca="false">VLOOKUP(C499,[1]M0113A!$A$1:$Z$211,24,TRUE())+(G499/100)</f>
        <v>151.87</v>
      </c>
      <c r="J499" s="57" t="n">
        <f aca="false">I499+0.02</f>
        <v>151.89</v>
      </c>
      <c r="K499" s="57" t="s">
        <v>294</v>
      </c>
      <c r="L499" s="60" t="s">
        <v>106</v>
      </c>
      <c r="M499" s="58" t="n">
        <f aca="false">I499-I498</f>
        <v>3</v>
      </c>
    </row>
    <row r="500" customFormat="false" ht="14.25" hidden="false" customHeight="false" outlineLevel="0" collapsed="false">
      <c r="A500" s="56" t="s">
        <v>90</v>
      </c>
      <c r="B500" s="56" t="s">
        <v>85</v>
      </c>
      <c r="C500" s="56" t="n">
        <v>90</v>
      </c>
      <c r="D500" s="56" t="s">
        <v>44</v>
      </c>
      <c r="E500" s="56" t="n">
        <v>1</v>
      </c>
      <c r="F500" s="56" t="s">
        <v>104</v>
      </c>
      <c r="G500" s="57" t="n">
        <v>38</v>
      </c>
      <c r="H500" s="56" t="n">
        <v>40</v>
      </c>
      <c r="I500" s="57" t="n">
        <f aca="false">VLOOKUP(C500,[1]M0113A!$A$1:$Z$211,24,TRUE())+(G500/100)</f>
        <v>153.07</v>
      </c>
      <c r="J500" s="57" t="n">
        <f aca="false">I500+0.02</f>
        <v>153.09</v>
      </c>
      <c r="K500" s="57" t="s">
        <v>294</v>
      </c>
      <c r="L500" s="60" t="s">
        <v>106</v>
      </c>
      <c r="M500" s="58" t="n">
        <f aca="false">I500-I499</f>
        <v>1.19999999999999</v>
      </c>
    </row>
    <row r="501" customFormat="false" ht="14.25" hidden="false" customHeight="false" outlineLevel="0" collapsed="false">
      <c r="A501" s="56" t="s">
        <v>90</v>
      </c>
      <c r="B501" s="56" t="s">
        <v>85</v>
      </c>
      <c r="C501" s="56" t="n">
        <v>91</v>
      </c>
      <c r="D501" s="56" t="s">
        <v>44</v>
      </c>
      <c r="E501" s="56" t="n">
        <v>1</v>
      </c>
      <c r="F501" s="56" t="s">
        <v>104</v>
      </c>
      <c r="G501" s="57" t="n">
        <v>28</v>
      </c>
      <c r="H501" s="56" t="n">
        <v>30</v>
      </c>
      <c r="I501" s="57" t="n">
        <f aca="false">VLOOKUP(C501,[1]M0113A!$A$1:$Z$211,24,TRUE())+(G501/100)</f>
        <v>155.77</v>
      </c>
      <c r="J501" s="57" t="n">
        <f aca="false">I501+0.02</f>
        <v>155.79</v>
      </c>
      <c r="K501" s="57" t="s">
        <v>294</v>
      </c>
      <c r="L501" s="60" t="s">
        <v>106</v>
      </c>
      <c r="M501" s="58" t="n">
        <f aca="false">I501-I500</f>
        <v>2.70000000000002</v>
      </c>
    </row>
    <row r="502" customFormat="false" ht="14.25" hidden="false" customHeight="false" outlineLevel="0" collapsed="false">
      <c r="A502" s="56" t="s">
        <v>90</v>
      </c>
      <c r="B502" s="56" t="s">
        <v>85</v>
      </c>
      <c r="C502" s="56" t="n">
        <v>92</v>
      </c>
      <c r="D502" s="56" t="s">
        <v>44</v>
      </c>
      <c r="E502" s="56" t="n">
        <v>1</v>
      </c>
      <c r="F502" s="56" t="s">
        <v>104</v>
      </c>
      <c r="G502" s="57" t="n">
        <v>38</v>
      </c>
      <c r="H502" s="56" t="n">
        <v>40</v>
      </c>
      <c r="I502" s="57" t="n">
        <f aca="false">VLOOKUP(C502,[1]M0113A!$A$1:$Z$211,24,TRUE())+(G502/100)</f>
        <v>158.87</v>
      </c>
      <c r="J502" s="57" t="n">
        <f aca="false">I502+0.02</f>
        <v>158.89</v>
      </c>
      <c r="K502" s="57" t="s">
        <v>294</v>
      </c>
      <c r="L502" s="60" t="s">
        <v>106</v>
      </c>
      <c r="M502" s="58" t="n">
        <f aca="false">I502-I501</f>
        <v>3.09999999999999</v>
      </c>
    </row>
    <row r="503" customFormat="false" ht="14.25" hidden="false" customHeight="false" outlineLevel="0" collapsed="false">
      <c r="A503" s="56" t="s">
        <v>90</v>
      </c>
      <c r="B503" s="56" t="s">
        <v>85</v>
      </c>
      <c r="C503" s="56" t="n">
        <v>93</v>
      </c>
      <c r="D503" s="56" t="s">
        <v>44</v>
      </c>
      <c r="E503" s="56" t="n">
        <v>1</v>
      </c>
      <c r="F503" s="56" t="s">
        <v>104</v>
      </c>
      <c r="G503" s="57" t="n">
        <v>38</v>
      </c>
      <c r="H503" s="56" t="n">
        <v>40</v>
      </c>
      <c r="I503" s="57" t="n">
        <f aca="false">VLOOKUP(C503,[1]M0113A!$A$1:$Z$211,24,TRUE())+(G503/100)</f>
        <v>161.87</v>
      </c>
      <c r="J503" s="57" t="n">
        <f aca="false">I503+0.02</f>
        <v>161.89</v>
      </c>
      <c r="K503" s="57" t="s">
        <v>294</v>
      </c>
      <c r="L503" s="60" t="s">
        <v>106</v>
      </c>
      <c r="M503" s="58" t="n">
        <f aca="false">I503-I502</f>
        <v>3</v>
      </c>
    </row>
    <row r="504" customFormat="false" ht="14.25" hidden="false" customHeight="false" outlineLevel="0" collapsed="false">
      <c r="A504" s="44" t="s">
        <v>90</v>
      </c>
      <c r="B504" s="44" t="s">
        <v>85</v>
      </c>
      <c r="C504" s="44" t="n">
        <v>94</v>
      </c>
      <c r="D504" s="44" t="s">
        <v>44</v>
      </c>
      <c r="E504" s="44" t="n">
        <v>1</v>
      </c>
      <c r="F504" s="44" t="s">
        <v>104</v>
      </c>
      <c r="G504" s="0" t="n">
        <v>18</v>
      </c>
      <c r="H504" s="44" t="n">
        <v>20</v>
      </c>
      <c r="I504" s="0" t="n">
        <f aca="false">VLOOKUP(C504,[1]M0113A!$A$1:$Z$211,24,TRUE())+(G504/100)</f>
        <v>163.17</v>
      </c>
      <c r="J504" s="0" t="n">
        <f aca="false">I504+0.02</f>
        <v>163.19</v>
      </c>
      <c r="K504" s="54" t="s">
        <v>379</v>
      </c>
      <c r="L504" s="36" t="s">
        <v>111</v>
      </c>
      <c r="M504" s="53" t="n">
        <f aca="false">I504-I503</f>
        <v>1.30000000000001</v>
      </c>
    </row>
    <row r="505" customFormat="false" ht="14.25" hidden="false" customHeight="false" outlineLevel="0" collapsed="false">
      <c r="A505" s="44" t="s">
        <v>90</v>
      </c>
      <c r="B505" s="44" t="s">
        <v>85</v>
      </c>
      <c r="C505" s="44" t="n">
        <v>95</v>
      </c>
      <c r="D505" s="44" t="s">
        <v>44</v>
      </c>
      <c r="E505" s="44" t="n">
        <v>1</v>
      </c>
      <c r="F505" s="44" t="s">
        <v>104</v>
      </c>
      <c r="G505" s="0" t="n">
        <v>18</v>
      </c>
      <c r="H505" s="44" t="n">
        <v>20</v>
      </c>
      <c r="I505" s="0" t="n">
        <f aca="false">VLOOKUP(C505,[1]M0113A!$A$1:$Z$211,24,TRUE())+(G505/100)</f>
        <v>164.67</v>
      </c>
      <c r="J505" s="0" t="n">
        <f aca="false">I505+0.02</f>
        <v>164.69</v>
      </c>
      <c r="K505" s="54" t="s">
        <v>379</v>
      </c>
      <c r="L505" s="36" t="s">
        <v>111</v>
      </c>
      <c r="M505" s="53" t="n">
        <f aca="false">I505-I504</f>
        <v>1.5</v>
      </c>
    </row>
    <row r="506" customFormat="false" ht="14.25" hidden="false" customHeight="false" outlineLevel="0" collapsed="false">
      <c r="A506" s="44" t="s">
        <v>90</v>
      </c>
      <c r="B506" s="44" t="s">
        <v>85</v>
      </c>
      <c r="C506" s="44" t="n">
        <v>96</v>
      </c>
      <c r="D506" s="44" t="s">
        <v>44</v>
      </c>
      <c r="E506" s="44" t="n">
        <v>1</v>
      </c>
      <c r="F506" s="44" t="s">
        <v>104</v>
      </c>
      <c r="G506" s="0" t="n">
        <v>18</v>
      </c>
      <c r="H506" s="44" t="n">
        <v>20</v>
      </c>
      <c r="I506" s="0" t="n">
        <f aca="false">VLOOKUP(C506,[1]M0113A!$A$1:$Z$211,24,TRUE())+(G506/100)</f>
        <v>166.17</v>
      </c>
      <c r="J506" s="0" t="n">
        <f aca="false">I506+0.02</f>
        <v>166.19</v>
      </c>
      <c r="K506" s="54" t="s">
        <v>365</v>
      </c>
      <c r="L506" s="36" t="s">
        <v>106</v>
      </c>
      <c r="M506" s="53" t="n">
        <f aca="false">I506-I505</f>
        <v>1.5</v>
      </c>
    </row>
    <row r="507" customFormat="false" ht="14.25" hidden="false" customHeight="false" outlineLevel="0" collapsed="false">
      <c r="A507" s="44" t="s">
        <v>90</v>
      </c>
      <c r="B507" s="44" t="s">
        <v>85</v>
      </c>
      <c r="C507" s="44" t="n">
        <v>97</v>
      </c>
      <c r="D507" s="44" t="s">
        <v>44</v>
      </c>
      <c r="E507" s="44" t="n">
        <v>1</v>
      </c>
      <c r="F507" s="44" t="s">
        <v>104</v>
      </c>
      <c r="G507" s="0" t="n">
        <v>38</v>
      </c>
      <c r="H507" s="44" t="n">
        <v>40</v>
      </c>
      <c r="I507" s="0" t="n">
        <f aca="false">VLOOKUP(C507,[1]M0113A!$A$1:$Z$211,24,TRUE())+(G507/100)</f>
        <v>167.87</v>
      </c>
      <c r="J507" s="0" t="n">
        <f aca="false">I507+0.02</f>
        <v>167.89</v>
      </c>
      <c r="K507" s="0" t="s">
        <v>380</v>
      </c>
      <c r="L507" s="36" t="s">
        <v>106</v>
      </c>
      <c r="M507" s="53" t="n">
        <f aca="false">I507-I506</f>
        <v>1.69999999999999</v>
      </c>
    </row>
    <row r="508" customFormat="false" ht="14.25" hidden="false" customHeight="false" outlineLevel="0" collapsed="false">
      <c r="A508" s="44" t="s">
        <v>90</v>
      </c>
      <c r="B508" s="44" t="s">
        <v>85</v>
      </c>
      <c r="C508" s="44" t="n">
        <v>98</v>
      </c>
      <c r="D508" s="44" t="s">
        <v>44</v>
      </c>
      <c r="E508" s="44" t="n">
        <v>1</v>
      </c>
      <c r="F508" s="44" t="s">
        <v>104</v>
      </c>
      <c r="G508" s="0" t="n">
        <v>28</v>
      </c>
      <c r="H508" s="44" t="n">
        <v>30</v>
      </c>
      <c r="I508" s="0" t="n">
        <f aca="false">VLOOKUP(C508,[1]M0113A!$A$1:$Z$211,24,TRUE())+(G508/100)</f>
        <v>169.27</v>
      </c>
      <c r="J508" s="0" t="n">
        <f aca="false">I508+0.02</f>
        <v>169.29</v>
      </c>
      <c r="K508" s="0" t="s">
        <v>381</v>
      </c>
      <c r="L508" s="36" t="s">
        <v>106</v>
      </c>
      <c r="M508" s="53" t="n">
        <f aca="false">I508-I507</f>
        <v>1.40000000000001</v>
      </c>
    </row>
    <row r="509" customFormat="false" ht="14.25" hidden="false" customHeight="false" outlineLevel="0" collapsed="false">
      <c r="A509" s="44" t="s">
        <v>90</v>
      </c>
      <c r="B509" s="44" t="s">
        <v>85</v>
      </c>
      <c r="C509" s="44" t="n">
        <v>99</v>
      </c>
      <c r="D509" s="44" t="s">
        <v>44</v>
      </c>
      <c r="E509" s="44" t="n">
        <v>1</v>
      </c>
      <c r="F509" s="44" t="s">
        <v>104</v>
      </c>
      <c r="G509" s="0" t="n">
        <v>38</v>
      </c>
      <c r="H509" s="44" t="n">
        <v>40</v>
      </c>
      <c r="I509" s="0" t="n">
        <f aca="false">VLOOKUP(C509,[1]M0113A!$A$1:$Z$211,24,TRUE())+(G509/100)</f>
        <v>170.87</v>
      </c>
      <c r="J509" s="0" t="n">
        <f aca="false">I509+0.02</f>
        <v>170.89</v>
      </c>
      <c r="K509" s="0" t="s">
        <v>382</v>
      </c>
      <c r="L509" s="36" t="s">
        <v>106</v>
      </c>
      <c r="M509" s="53" t="n">
        <f aca="false">I509-I508</f>
        <v>1.59999999999999</v>
      </c>
    </row>
    <row r="510" customFormat="false" ht="14.25" hidden="false" customHeight="false" outlineLevel="0" collapsed="false">
      <c r="A510" s="56" t="s">
        <v>90</v>
      </c>
      <c r="B510" s="56" t="s">
        <v>85</v>
      </c>
      <c r="C510" s="56" t="n">
        <v>100</v>
      </c>
      <c r="D510" s="56" t="s">
        <v>44</v>
      </c>
      <c r="E510" s="56" t="n">
        <v>1</v>
      </c>
      <c r="F510" s="56" t="s">
        <v>104</v>
      </c>
      <c r="G510" s="57" t="n">
        <v>38</v>
      </c>
      <c r="H510" s="56" t="n">
        <v>40</v>
      </c>
      <c r="I510" s="57" t="n">
        <f aca="false">VLOOKUP(C510,[1]M0113A!$A$1:$Z$211,24,TRUE())+(G510/100)</f>
        <v>172.37</v>
      </c>
      <c r="J510" s="57" t="n">
        <f aca="false">I510+0.02</f>
        <v>172.39</v>
      </c>
      <c r="K510" s="63" t="s">
        <v>383</v>
      </c>
      <c r="L510" s="60" t="s">
        <v>106</v>
      </c>
      <c r="M510" s="58" t="n">
        <f aca="false">I510-I509</f>
        <v>1.5</v>
      </c>
    </row>
    <row r="511" customFormat="false" ht="14.25" hidden="false" customHeight="false" outlineLevel="0" collapsed="false">
      <c r="A511" s="56" t="s">
        <v>90</v>
      </c>
      <c r="B511" s="56" t="s">
        <v>85</v>
      </c>
      <c r="C511" s="56" t="n">
        <v>101</v>
      </c>
      <c r="D511" s="56" t="s">
        <v>44</v>
      </c>
      <c r="E511" s="56" t="n">
        <v>1</v>
      </c>
      <c r="F511" s="56" t="s">
        <v>104</v>
      </c>
      <c r="G511" s="57" t="n">
        <v>38</v>
      </c>
      <c r="H511" s="56" t="n">
        <v>40</v>
      </c>
      <c r="I511" s="57" t="n">
        <f aca="false">VLOOKUP(C511,[1]M0113A!$A$1:$Z$211,24,TRUE())+(G511/100)</f>
        <v>173.87</v>
      </c>
      <c r="J511" s="57" t="n">
        <f aca="false">I511+0.02</f>
        <v>173.89</v>
      </c>
      <c r="K511" s="63" t="s">
        <v>383</v>
      </c>
      <c r="L511" s="60" t="s">
        <v>106</v>
      </c>
      <c r="M511" s="58" t="n">
        <f aca="false">I511-I510</f>
        <v>1.5</v>
      </c>
    </row>
    <row r="512" customFormat="false" ht="14.25" hidden="false" customHeight="false" outlineLevel="0" collapsed="false">
      <c r="A512" s="44" t="s">
        <v>90</v>
      </c>
      <c r="B512" s="44" t="s">
        <v>85</v>
      </c>
      <c r="C512" s="44" t="n">
        <v>102</v>
      </c>
      <c r="D512" s="44" t="s">
        <v>44</v>
      </c>
      <c r="E512" s="44" t="n">
        <v>1</v>
      </c>
      <c r="F512" s="44" t="s">
        <v>104</v>
      </c>
      <c r="G512" s="0" t="n">
        <v>38</v>
      </c>
      <c r="H512" s="44" t="n">
        <v>40</v>
      </c>
      <c r="I512" s="0" t="n">
        <f aca="false">VLOOKUP(C512,[1]M0113A!$A$1:$Z$211,24,TRUE())+(G512/100)</f>
        <v>175.37</v>
      </c>
      <c r="J512" s="0" t="n">
        <f aca="false">I512+0.02</f>
        <v>175.39</v>
      </c>
      <c r="K512" s="0" t="s">
        <v>384</v>
      </c>
      <c r="L512" s="36" t="s">
        <v>106</v>
      </c>
      <c r="M512" s="53" t="n">
        <f aca="false">I512-I511</f>
        <v>1.5</v>
      </c>
    </row>
    <row r="513" customFormat="false" ht="14.25" hidden="false" customHeight="false" outlineLevel="0" collapsed="false">
      <c r="A513" s="44" t="s">
        <v>90</v>
      </c>
      <c r="B513" s="44" t="s">
        <v>85</v>
      </c>
      <c r="C513" s="44" t="n">
        <v>103</v>
      </c>
      <c r="D513" s="44" t="s">
        <v>44</v>
      </c>
      <c r="E513" s="44" t="n">
        <v>1</v>
      </c>
      <c r="F513" s="44" t="s">
        <v>104</v>
      </c>
      <c r="G513" s="0" t="n">
        <v>28</v>
      </c>
      <c r="H513" s="44" t="n">
        <v>30</v>
      </c>
      <c r="I513" s="0" t="n">
        <f aca="false">VLOOKUP(C513,[1]M0113A!$A$1:$Z$211,24,TRUE())+(G513/100)</f>
        <v>176.77</v>
      </c>
      <c r="J513" s="0" t="n">
        <f aca="false">I513+0.02</f>
        <v>176.79</v>
      </c>
      <c r="K513" s="0" t="s">
        <v>384</v>
      </c>
      <c r="L513" s="36" t="s">
        <v>106</v>
      </c>
      <c r="M513" s="53" t="n">
        <f aca="false">I513-I512</f>
        <v>1.40000000000001</v>
      </c>
    </row>
    <row r="514" customFormat="false" ht="14.25" hidden="false" customHeight="false" outlineLevel="0" collapsed="false">
      <c r="A514" s="44" t="s">
        <v>90</v>
      </c>
      <c r="B514" s="44" t="s">
        <v>85</v>
      </c>
      <c r="C514" s="44" t="n">
        <v>104</v>
      </c>
      <c r="D514" s="44" t="s">
        <v>44</v>
      </c>
      <c r="E514" s="44" t="n">
        <v>1</v>
      </c>
      <c r="F514" s="44" t="s">
        <v>104</v>
      </c>
      <c r="G514" s="0" t="n">
        <v>38</v>
      </c>
      <c r="H514" s="44" t="n">
        <v>40</v>
      </c>
      <c r="I514" s="0" t="n">
        <f aca="false">VLOOKUP(C514,[1]M0113A!$A$1:$Z$211,24,TRUE())+(G514/100)</f>
        <v>178.37</v>
      </c>
      <c r="J514" s="0" t="n">
        <f aca="false">I514+0.02</f>
        <v>178.39</v>
      </c>
      <c r="K514" s="0" t="s">
        <v>384</v>
      </c>
      <c r="L514" s="36" t="s">
        <v>106</v>
      </c>
      <c r="M514" s="53" t="n">
        <f aca="false">I514-I513</f>
        <v>1.59999999999999</v>
      </c>
    </row>
    <row r="515" customFormat="false" ht="14.25" hidden="false" customHeight="false" outlineLevel="0" collapsed="false">
      <c r="A515" s="44" t="s">
        <v>90</v>
      </c>
      <c r="B515" s="44" t="s">
        <v>85</v>
      </c>
      <c r="C515" s="44" t="n">
        <v>105</v>
      </c>
      <c r="D515" s="44" t="s">
        <v>44</v>
      </c>
      <c r="E515" s="44" t="n">
        <v>1</v>
      </c>
      <c r="F515" s="44" t="s">
        <v>104</v>
      </c>
      <c r="G515" s="0" t="n">
        <v>38</v>
      </c>
      <c r="H515" s="44" t="n">
        <v>40</v>
      </c>
      <c r="I515" s="0" t="n">
        <f aca="false">VLOOKUP(C515,[1]M0113A!$A$1:$Z$211,24,TRUE())+(G515/100)</f>
        <v>179.87</v>
      </c>
      <c r="J515" s="0" t="n">
        <f aca="false">I515+0.02</f>
        <v>179.89</v>
      </c>
      <c r="K515" s="0" t="s">
        <v>384</v>
      </c>
      <c r="L515" s="36" t="s">
        <v>106</v>
      </c>
      <c r="M515" s="53" t="n">
        <f aca="false">I515-I514</f>
        <v>1.5</v>
      </c>
    </row>
    <row r="516" customFormat="false" ht="14.25" hidden="false" customHeight="false" outlineLevel="0" collapsed="false">
      <c r="A516" s="44" t="s">
        <v>90</v>
      </c>
      <c r="B516" s="44" t="s">
        <v>85</v>
      </c>
      <c r="C516" s="44" t="n">
        <v>106</v>
      </c>
      <c r="D516" s="44" t="s">
        <v>44</v>
      </c>
      <c r="E516" s="44" t="n">
        <v>1</v>
      </c>
      <c r="F516" s="44" t="s">
        <v>104</v>
      </c>
      <c r="G516" s="0" t="n">
        <v>8</v>
      </c>
      <c r="H516" s="44" t="n">
        <v>10</v>
      </c>
      <c r="I516" s="0" t="n">
        <f aca="false">VLOOKUP(C516,[1]M0113A!$A$1:$Z$211,24,TRUE())+(G516/100)</f>
        <v>182.57</v>
      </c>
      <c r="J516" s="0" t="n">
        <f aca="false">I516+0.02</f>
        <v>182.59</v>
      </c>
      <c r="K516" s="54" t="s">
        <v>133</v>
      </c>
      <c r="L516" s="36" t="s">
        <v>106</v>
      </c>
      <c r="M516" s="53" t="n">
        <f aca="false">I516-I515</f>
        <v>2.70000000000002</v>
      </c>
    </row>
    <row r="517" customFormat="false" ht="14.25" hidden="false" customHeight="false" outlineLevel="0" collapsed="false">
      <c r="A517" s="44" t="s">
        <v>90</v>
      </c>
      <c r="B517" s="44" t="s">
        <v>85</v>
      </c>
      <c r="C517" s="44" t="n">
        <v>107</v>
      </c>
      <c r="D517" s="44" t="s">
        <v>44</v>
      </c>
      <c r="E517" s="44" t="n">
        <v>1</v>
      </c>
      <c r="F517" s="44" t="s">
        <v>104</v>
      </c>
      <c r="G517" s="0" t="n">
        <v>38</v>
      </c>
      <c r="H517" s="44" t="n">
        <v>40</v>
      </c>
      <c r="I517" s="0" t="n">
        <f aca="false">VLOOKUP(C517,[1]M0113A!$A$1:$Z$211,24,TRUE())+(G517/100)</f>
        <v>185.87</v>
      </c>
      <c r="J517" s="0" t="n">
        <f aca="false">I517+0.02</f>
        <v>185.89</v>
      </c>
      <c r="K517" s="54" t="s">
        <v>313</v>
      </c>
      <c r="L517" s="36" t="s">
        <v>106</v>
      </c>
      <c r="M517" s="53" t="n">
        <f aca="false">I517-I516</f>
        <v>3.29999999999998</v>
      </c>
    </row>
    <row r="518" customFormat="false" ht="14.25" hidden="false" customHeight="false" outlineLevel="0" collapsed="false">
      <c r="A518" s="44" t="s">
        <v>90</v>
      </c>
      <c r="B518" s="44" t="s">
        <v>85</v>
      </c>
      <c r="C518" s="44" t="n">
        <v>108</v>
      </c>
      <c r="D518" s="44" t="s">
        <v>44</v>
      </c>
      <c r="E518" s="44" t="n">
        <v>1</v>
      </c>
      <c r="F518" s="44" t="s">
        <v>104</v>
      </c>
      <c r="G518" s="0" t="n">
        <v>38</v>
      </c>
      <c r="H518" s="44" t="n">
        <v>40</v>
      </c>
      <c r="I518" s="0" t="n">
        <f aca="false">VLOOKUP(C518,[1]M0113A!$A$1:$Z$211,24,TRUE())+(G518/100)</f>
        <v>187.37</v>
      </c>
      <c r="J518" s="0" t="n">
        <f aca="false">I518+0.02</f>
        <v>187.39</v>
      </c>
      <c r="K518" s="54" t="s">
        <v>313</v>
      </c>
      <c r="L518" s="36" t="s">
        <v>106</v>
      </c>
      <c r="M518" s="53" t="n">
        <f aca="false">I518-I517</f>
        <v>1.5</v>
      </c>
    </row>
    <row r="519" customFormat="false" ht="14.25" hidden="false" customHeight="false" outlineLevel="0" collapsed="false">
      <c r="A519" s="44" t="s">
        <v>90</v>
      </c>
      <c r="B519" s="44" t="s">
        <v>85</v>
      </c>
      <c r="C519" s="44" t="n">
        <v>109</v>
      </c>
      <c r="D519" s="44" t="s">
        <v>44</v>
      </c>
      <c r="E519" s="44" t="n">
        <v>1</v>
      </c>
      <c r="F519" s="44" t="s">
        <v>104</v>
      </c>
      <c r="G519" s="0" t="n">
        <v>18</v>
      </c>
      <c r="H519" s="44" t="n">
        <v>20</v>
      </c>
      <c r="I519" s="0" t="n">
        <f aca="false">VLOOKUP(C519,[1]M0113A!$A$1:$Z$211,24,TRUE())+(G519/100)</f>
        <v>188.67</v>
      </c>
      <c r="J519" s="0" t="n">
        <f aca="false">I519+0.02</f>
        <v>188.69</v>
      </c>
      <c r="K519" s="54" t="s">
        <v>313</v>
      </c>
      <c r="L519" s="36" t="s">
        <v>111</v>
      </c>
      <c r="M519" s="53" t="n">
        <f aca="false">I519-I518</f>
        <v>1.30000000000001</v>
      </c>
    </row>
    <row r="520" customFormat="false" ht="14.25" hidden="false" customHeight="false" outlineLevel="0" collapsed="false">
      <c r="A520" s="44" t="s">
        <v>90</v>
      </c>
      <c r="B520" s="44" t="s">
        <v>85</v>
      </c>
      <c r="C520" s="44" t="n">
        <v>110</v>
      </c>
      <c r="D520" s="44" t="s">
        <v>44</v>
      </c>
      <c r="E520" s="44" t="n">
        <v>1</v>
      </c>
      <c r="F520" s="44" t="s">
        <v>104</v>
      </c>
      <c r="G520" s="0" t="n">
        <v>38</v>
      </c>
      <c r="H520" s="44" t="n">
        <v>40</v>
      </c>
      <c r="I520" s="0" t="n">
        <f aca="false">VLOOKUP(C520,[1]M0113A!$A$1:$Z$211,24,TRUE())+(G520/100)</f>
        <v>190.37</v>
      </c>
      <c r="J520" s="0" t="n">
        <f aca="false">I520+0.02</f>
        <v>190.39</v>
      </c>
      <c r="K520" s="54" t="s">
        <v>313</v>
      </c>
      <c r="L520" s="36" t="s">
        <v>106</v>
      </c>
      <c r="M520" s="53" t="n">
        <f aca="false">I520-I519</f>
        <v>1.69999999999999</v>
      </c>
    </row>
    <row r="521" customFormat="false" ht="14.25" hidden="false" customHeight="false" outlineLevel="0" collapsed="false">
      <c r="A521" s="44" t="s">
        <v>90</v>
      </c>
      <c r="B521" s="44" t="s">
        <v>85</v>
      </c>
      <c r="C521" s="44" t="n">
        <v>111</v>
      </c>
      <c r="D521" s="44" t="s">
        <v>44</v>
      </c>
      <c r="E521" s="44" t="n">
        <v>1</v>
      </c>
      <c r="F521" s="44" t="s">
        <v>104</v>
      </c>
      <c r="G521" s="0" t="n">
        <v>18</v>
      </c>
      <c r="H521" s="44" t="n">
        <v>20</v>
      </c>
      <c r="I521" s="0" t="n">
        <f aca="false">VLOOKUP(C521,[1]M0113A!$A$1:$Z$211,24,TRUE())+(G521/100)</f>
        <v>191.67</v>
      </c>
      <c r="J521" s="0" t="n">
        <f aca="false">I521+0.02</f>
        <v>191.69</v>
      </c>
      <c r="K521" s="54" t="s">
        <v>313</v>
      </c>
      <c r="L521" s="36" t="s">
        <v>111</v>
      </c>
      <c r="M521" s="53" t="n">
        <f aca="false">I521-I520</f>
        <v>1.30000000000001</v>
      </c>
    </row>
    <row r="522" customFormat="false" ht="14.25" hidden="false" customHeight="false" outlineLevel="0" collapsed="false">
      <c r="A522" s="44" t="s">
        <v>90</v>
      </c>
      <c r="B522" s="44" t="s">
        <v>85</v>
      </c>
      <c r="C522" s="44" t="n">
        <v>112</v>
      </c>
      <c r="D522" s="44" t="s">
        <v>44</v>
      </c>
      <c r="E522" s="44" t="n">
        <v>1</v>
      </c>
      <c r="F522" s="44" t="s">
        <v>104</v>
      </c>
      <c r="G522" s="0" t="n">
        <v>18</v>
      </c>
      <c r="H522" s="44" t="n">
        <v>20</v>
      </c>
      <c r="I522" s="0" t="n">
        <f aca="false">VLOOKUP(C522,[1]M0113A!$A$1:$Z$211,24,TRUE())+(G522/100)</f>
        <v>193.17</v>
      </c>
      <c r="J522" s="0" t="n">
        <f aca="false">I522+0.02</f>
        <v>193.19</v>
      </c>
      <c r="K522" s="54" t="s">
        <v>313</v>
      </c>
      <c r="L522" s="36" t="s">
        <v>111</v>
      </c>
      <c r="M522" s="53" t="n">
        <f aca="false">I522-I521</f>
        <v>1.5</v>
      </c>
    </row>
    <row r="523" customFormat="false" ht="14.25" hidden="false" customHeight="false" outlineLevel="0" collapsed="false">
      <c r="A523" s="44" t="s">
        <v>90</v>
      </c>
      <c r="B523" s="44" t="s">
        <v>85</v>
      </c>
      <c r="C523" s="44" t="n">
        <v>114</v>
      </c>
      <c r="D523" s="44" t="s">
        <v>44</v>
      </c>
      <c r="E523" s="44" t="n">
        <v>1</v>
      </c>
      <c r="F523" s="44" t="s">
        <v>104</v>
      </c>
      <c r="G523" s="0" t="n">
        <v>38</v>
      </c>
      <c r="H523" s="44" t="n">
        <v>40</v>
      </c>
      <c r="I523" s="0" t="n">
        <f aca="false">VLOOKUP(C523,[1]M0113A!$A$1:$Z$211,24,TRUE())+(G523/100)</f>
        <v>196.37</v>
      </c>
      <c r="J523" s="0" t="n">
        <f aca="false">I523+0.02</f>
        <v>196.39</v>
      </c>
      <c r="K523" s="54" t="s">
        <v>313</v>
      </c>
      <c r="L523" s="36" t="s">
        <v>106</v>
      </c>
      <c r="M523" s="53" t="n">
        <f aca="false">I523-I522</f>
        <v>3.19999999999999</v>
      </c>
    </row>
    <row r="524" customFormat="false" ht="14.25" hidden="false" customHeight="false" outlineLevel="0" collapsed="false">
      <c r="A524" s="44" t="s">
        <v>90</v>
      </c>
      <c r="B524" s="44" t="s">
        <v>85</v>
      </c>
      <c r="C524" s="44" t="n">
        <v>115</v>
      </c>
      <c r="D524" s="44" t="s">
        <v>44</v>
      </c>
      <c r="E524" s="44" t="n">
        <v>1</v>
      </c>
      <c r="F524" s="44" t="s">
        <v>104</v>
      </c>
      <c r="G524" s="0" t="n">
        <v>38</v>
      </c>
      <c r="H524" s="44" t="n">
        <v>40</v>
      </c>
      <c r="I524" s="0" t="n">
        <f aca="false">VLOOKUP(C524,[1]M0113A!$A$1:$Z$211,24,TRUE())+(G524/100)</f>
        <v>197.87</v>
      </c>
      <c r="J524" s="0" t="n">
        <f aca="false">I524+0.02</f>
        <v>197.89</v>
      </c>
      <c r="K524" s="54" t="s">
        <v>313</v>
      </c>
      <c r="L524" s="36" t="s">
        <v>106</v>
      </c>
      <c r="M524" s="53" t="n">
        <f aca="false">I524-I523</f>
        <v>1.5</v>
      </c>
    </row>
    <row r="525" customFormat="false" ht="14.25" hidden="false" customHeight="false" outlineLevel="0" collapsed="false">
      <c r="A525" s="44" t="s">
        <v>90</v>
      </c>
      <c r="B525" s="44" t="s">
        <v>85</v>
      </c>
      <c r="C525" s="44" t="n">
        <v>116</v>
      </c>
      <c r="D525" s="44" t="s">
        <v>44</v>
      </c>
      <c r="E525" s="44" t="n">
        <v>1</v>
      </c>
      <c r="F525" s="44" t="s">
        <v>104</v>
      </c>
      <c r="G525" s="0" t="n">
        <v>38</v>
      </c>
      <c r="H525" s="44" t="n">
        <v>40</v>
      </c>
      <c r="I525" s="0" t="n">
        <f aca="false">VLOOKUP(C525,[1]M0113A!$A$1:$Z$211,24,TRUE())+(G525/100)</f>
        <v>199.37</v>
      </c>
      <c r="J525" s="0" t="n">
        <f aca="false">I525+0.02</f>
        <v>199.39</v>
      </c>
      <c r="K525" s="54" t="s">
        <v>235</v>
      </c>
      <c r="L525" s="36" t="s">
        <v>106</v>
      </c>
      <c r="M525" s="53" t="n">
        <f aca="false">I525-I524</f>
        <v>1.5</v>
      </c>
    </row>
    <row r="526" customFormat="false" ht="14.25" hidden="false" customHeight="false" outlineLevel="0" collapsed="false">
      <c r="A526" s="44" t="s">
        <v>90</v>
      </c>
      <c r="B526" s="44" t="s">
        <v>85</v>
      </c>
      <c r="C526" s="44" t="n">
        <v>117</v>
      </c>
      <c r="D526" s="44" t="s">
        <v>44</v>
      </c>
      <c r="E526" s="44" t="n">
        <v>1</v>
      </c>
      <c r="F526" s="44" t="s">
        <v>104</v>
      </c>
      <c r="G526" s="0" t="n">
        <v>38</v>
      </c>
      <c r="H526" s="44" t="n">
        <v>40</v>
      </c>
      <c r="I526" s="0" t="n">
        <f aca="false">VLOOKUP(C526,[1]M0113A!$A$1:$Z$211,24,TRUE())+(G526/100)</f>
        <v>200.87</v>
      </c>
      <c r="J526" s="0" t="n">
        <f aca="false">I526+0.02</f>
        <v>200.89</v>
      </c>
      <c r="K526" s="54" t="s">
        <v>313</v>
      </c>
      <c r="L526" s="36" t="s">
        <v>106</v>
      </c>
      <c r="M526" s="53" t="n">
        <f aca="false">I526-I525</f>
        <v>1.5</v>
      </c>
    </row>
    <row r="527" customFormat="false" ht="14.25" hidden="false" customHeight="false" outlineLevel="0" collapsed="false">
      <c r="A527" s="44" t="s">
        <v>90</v>
      </c>
      <c r="B527" s="44" t="s">
        <v>85</v>
      </c>
      <c r="C527" s="44" t="n">
        <v>118</v>
      </c>
      <c r="D527" s="44" t="s">
        <v>44</v>
      </c>
      <c r="E527" s="44" t="n">
        <v>1</v>
      </c>
      <c r="F527" s="44" t="s">
        <v>104</v>
      </c>
      <c r="G527" s="0" t="n">
        <v>38</v>
      </c>
      <c r="H527" s="44" t="n">
        <v>40</v>
      </c>
      <c r="I527" s="0" t="n">
        <f aca="false">VLOOKUP(C527,[1]M0113A!$A$1:$Z$211,24,TRUE())+(G527/100)</f>
        <v>202.37</v>
      </c>
      <c r="J527" s="0" t="n">
        <f aca="false">I527+0.02</f>
        <v>202.39</v>
      </c>
      <c r="K527" s="54" t="s">
        <v>192</v>
      </c>
      <c r="L527" s="36" t="s">
        <v>106</v>
      </c>
      <c r="M527" s="53" t="n">
        <f aca="false">I527-I526</f>
        <v>1.5</v>
      </c>
    </row>
    <row r="528" customFormat="false" ht="14.25" hidden="false" customHeight="false" outlineLevel="0" collapsed="false">
      <c r="A528" s="44" t="s">
        <v>90</v>
      </c>
      <c r="B528" s="44" t="s">
        <v>85</v>
      </c>
      <c r="C528" s="44" t="n">
        <v>119</v>
      </c>
      <c r="D528" s="44" t="s">
        <v>44</v>
      </c>
      <c r="E528" s="44" t="n">
        <v>1</v>
      </c>
      <c r="F528" s="44" t="s">
        <v>104</v>
      </c>
      <c r="G528" s="0" t="n">
        <v>38</v>
      </c>
      <c r="H528" s="44" t="n">
        <v>40</v>
      </c>
      <c r="I528" s="0" t="n">
        <f aca="false">VLOOKUP(C528,[1]M0113A!$A$1:$Z$211,24,TRUE())+(G528/100)</f>
        <v>203.87</v>
      </c>
      <c r="J528" s="0" t="n">
        <f aca="false">I528+0.02</f>
        <v>203.89</v>
      </c>
      <c r="K528" s="54" t="s">
        <v>192</v>
      </c>
      <c r="L528" s="36" t="s">
        <v>106</v>
      </c>
      <c r="M528" s="53" t="n">
        <f aca="false">I528-I527</f>
        <v>1.5</v>
      </c>
    </row>
    <row r="529" customFormat="false" ht="14.25" hidden="false" customHeight="false" outlineLevel="0" collapsed="false">
      <c r="A529" s="56" t="s">
        <v>90</v>
      </c>
      <c r="B529" s="56" t="s">
        <v>85</v>
      </c>
      <c r="C529" s="56" t="n">
        <v>120</v>
      </c>
      <c r="D529" s="56" t="s">
        <v>44</v>
      </c>
      <c r="E529" s="56" t="n">
        <v>1</v>
      </c>
      <c r="F529" s="56" t="s">
        <v>104</v>
      </c>
      <c r="G529" s="57" t="n">
        <v>38</v>
      </c>
      <c r="H529" s="56" t="n">
        <v>40</v>
      </c>
      <c r="I529" s="57" t="n">
        <f aca="false">VLOOKUP(C529,[1]M0113A!$A$1:$Z$211,24,TRUE())+(G529/100)</f>
        <v>205.37</v>
      </c>
      <c r="J529" s="57" t="n">
        <f aca="false">I529+0.02</f>
        <v>205.39</v>
      </c>
      <c r="K529" s="63" t="s">
        <v>385</v>
      </c>
      <c r="L529" s="60" t="s">
        <v>106</v>
      </c>
      <c r="M529" s="58" t="n">
        <f aca="false">I529-I528</f>
        <v>1.5</v>
      </c>
    </row>
    <row r="530" customFormat="false" ht="14.25" hidden="false" customHeight="false" outlineLevel="0" collapsed="false">
      <c r="A530" s="44" t="s">
        <v>90</v>
      </c>
      <c r="B530" s="44" t="s">
        <v>85</v>
      </c>
      <c r="C530" s="44" t="n">
        <v>121</v>
      </c>
      <c r="D530" s="44" t="s">
        <v>44</v>
      </c>
      <c r="E530" s="44" t="n">
        <v>1</v>
      </c>
      <c r="F530" s="44" t="s">
        <v>104</v>
      </c>
      <c r="G530" s="0" t="n">
        <v>38</v>
      </c>
      <c r="H530" s="44" t="n">
        <v>40</v>
      </c>
      <c r="I530" s="0" t="n">
        <f aca="false">VLOOKUP(C530,[1]M0113A!$A$1:$Z$211,24,TRUE())+(G530/100)</f>
        <v>206.87</v>
      </c>
      <c r="J530" s="0" t="n">
        <f aca="false">I530+0.02</f>
        <v>206.89</v>
      </c>
      <c r="K530" s="0" t="s">
        <v>313</v>
      </c>
      <c r="L530" s="36" t="s">
        <v>106</v>
      </c>
      <c r="M530" s="53" t="n">
        <f aca="false">I530-I529</f>
        <v>1.5</v>
      </c>
    </row>
    <row r="531" customFormat="false" ht="14.25" hidden="false" customHeight="false" outlineLevel="0" collapsed="false">
      <c r="A531" s="56" t="s">
        <v>90</v>
      </c>
      <c r="B531" s="56" t="s">
        <v>85</v>
      </c>
      <c r="C531" s="56" t="n">
        <v>122</v>
      </c>
      <c r="D531" s="56" t="s">
        <v>44</v>
      </c>
      <c r="E531" s="56" t="n">
        <v>1</v>
      </c>
      <c r="F531" s="56" t="s">
        <v>104</v>
      </c>
      <c r="G531" s="57" t="n">
        <v>18</v>
      </c>
      <c r="H531" s="56" t="n">
        <v>20</v>
      </c>
      <c r="I531" s="57" t="n">
        <f aca="false">VLOOKUP(C531,[1]M0113A!$A$1:$Z$211,24,TRUE())+(G531/100)</f>
        <v>208.17</v>
      </c>
      <c r="J531" s="57" t="n">
        <f aca="false">I531+0.02</f>
        <v>208.19</v>
      </c>
      <c r="K531" s="57" t="s">
        <v>312</v>
      </c>
      <c r="L531" s="60" t="s">
        <v>106</v>
      </c>
      <c r="M531" s="58" t="n">
        <f aca="false">I531-I530</f>
        <v>1.30000000000001</v>
      </c>
    </row>
    <row r="532" customFormat="false" ht="14.25" hidden="false" customHeight="false" outlineLevel="0" collapsed="false">
      <c r="A532" s="44" t="s">
        <v>90</v>
      </c>
      <c r="B532" s="44" t="s">
        <v>85</v>
      </c>
      <c r="C532" s="44" t="n">
        <v>124</v>
      </c>
      <c r="D532" s="44" t="s">
        <v>44</v>
      </c>
      <c r="E532" s="44" t="n">
        <v>1</v>
      </c>
      <c r="F532" s="44" t="s">
        <v>104</v>
      </c>
      <c r="G532" s="0" t="n">
        <v>38</v>
      </c>
      <c r="H532" s="44" t="n">
        <v>40</v>
      </c>
      <c r="I532" s="0" t="n">
        <f aca="false">VLOOKUP(C532,[1]M0113A!$A$1:$Z$211,24,TRUE())+(G532/100)</f>
        <v>211.37</v>
      </c>
      <c r="J532" s="0" t="n">
        <f aca="false">I532+0.02</f>
        <v>211.39</v>
      </c>
      <c r="K532" s="0" t="s">
        <v>386</v>
      </c>
      <c r="L532" s="36" t="s">
        <v>106</v>
      </c>
      <c r="M532" s="53" t="n">
        <f aca="false">I532-I531</f>
        <v>3.19999999999999</v>
      </c>
    </row>
    <row r="533" customFormat="false" ht="14.25" hidden="false" customHeight="false" outlineLevel="0" collapsed="false">
      <c r="A533" s="44" t="s">
        <v>90</v>
      </c>
      <c r="B533" s="44" t="s">
        <v>85</v>
      </c>
      <c r="C533" s="44" t="n">
        <v>125</v>
      </c>
      <c r="D533" s="44" t="s">
        <v>44</v>
      </c>
      <c r="E533" s="44" t="n">
        <v>1</v>
      </c>
      <c r="F533" s="44" t="s">
        <v>104</v>
      </c>
      <c r="G533" s="0" t="n">
        <v>8</v>
      </c>
      <c r="H533" s="44" t="n">
        <v>10</v>
      </c>
      <c r="I533" s="0" t="n">
        <f aca="false">VLOOKUP(C533,[1]M0113A!$A$1:$Z$211,24,TRUE())+(G533/100)</f>
        <v>212.57</v>
      </c>
      <c r="J533" s="0" t="n">
        <f aca="false">I533+0.02</f>
        <v>212.59</v>
      </c>
      <c r="K533" s="54" t="s">
        <v>386</v>
      </c>
      <c r="L533" s="36" t="s">
        <v>106</v>
      </c>
      <c r="M533" s="53" t="n">
        <f aca="false">I533-I532</f>
        <v>1.20000000000002</v>
      </c>
    </row>
    <row r="534" customFormat="false" ht="14.25" hidden="false" customHeight="false" outlineLevel="0" collapsed="false">
      <c r="A534" s="44" t="s">
        <v>90</v>
      </c>
      <c r="B534" s="44" t="s">
        <v>85</v>
      </c>
      <c r="C534" s="44" t="n">
        <v>126</v>
      </c>
      <c r="D534" s="44" t="s">
        <v>44</v>
      </c>
      <c r="E534" s="44" t="n">
        <v>1</v>
      </c>
      <c r="F534" s="44" t="s">
        <v>104</v>
      </c>
      <c r="G534" s="0" t="n">
        <v>38</v>
      </c>
      <c r="H534" s="44" t="n">
        <v>40</v>
      </c>
      <c r="I534" s="0" t="n">
        <f aca="false">VLOOKUP(C534,[1]M0113A!$A$1:$Z$211,24,TRUE())+(G534/100)</f>
        <v>215.87</v>
      </c>
      <c r="J534" s="0" t="n">
        <f aca="false">I534+0.02</f>
        <v>215.89</v>
      </c>
      <c r="K534" s="54" t="s">
        <v>386</v>
      </c>
      <c r="L534" s="36" t="s">
        <v>106</v>
      </c>
      <c r="M534" s="53" t="n">
        <f aca="false">I534-I533</f>
        <v>3.29999999999998</v>
      </c>
    </row>
    <row r="535" customFormat="false" ht="14.25" hidden="false" customHeight="false" outlineLevel="0" collapsed="false">
      <c r="A535" s="44" t="s">
        <v>90</v>
      </c>
      <c r="B535" s="44" t="s">
        <v>85</v>
      </c>
      <c r="C535" s="44" t="n">
        <v>127</v>
      </c>
      <c r="D535" s="44" t="s">
        <v>44</v>
      </c>
      <c r="E535" s="44" t="n">
        <v>1</v>
      </c>
      <c r="F535" s="44" t="s">
        <v>104</v>
      </c>
      <c r="G535" s="0" t="n">
        <v>18</v>
      </c>
      <c r="H535" s="44" t="n">
        <v>20</v>
      </c>
      <c r="I535" s="0" t="n">
        <f aca="false">VLOOKUP(C535,[1]M0113A!$A$1:$Z$211,24,TRUE())+(G535/100)</f>
        <v>217.17</v>
      </c>
      <c r="J535" s="0" t="n">
        <f aca="false">I535+0.02</f>
        <v>217.19</v>
      </c>
      <c r="K535" s="54" t="s">
        <v>386</v>
      </c>
      <c r="L535" s="36" t="s">
        <v>111</v>
      </c>
      <c r="M535" s="53" t="n">
        <f aca="false">I535-I534</f>
        <v>1.30000000000001</v>
      </c>
    </row>
    <row r="536" customFormat="false" ht="14.25" hidden="false" customHeight="false" outlineLevel="0" collapsed="false">
      <c r="A536" s="44" t="s">
        <v>90</v>
      </c>
      <c r="B536" s="44" t="s">
        <v>85</v>
      </c>
      <c r="C536" s="44" t="n">
        <v>128</v>
      </c>
      <c r="D536" s="44" t="s">
        <v>44</v>
      </c>
      <c r="E536" s="44" t="n">
        <v>1</v>
      </c>
      <c r="F536" s="44" t="s">
        <v>104</v>
      </c>
      <c r="G536" s="0" t="n">
        <v>38</v>
      </c>
      <c r="H536" s="44" t="n">
        <v>40</v>
      </c>
      <c r="I536" s="0" t="n">
        <f aca="false">VLOOKUP(C536,[1]M0113A!$A$1:$Z$211,24,TRUE())+(G536/100)</f>
        <v>217.85</v>
      </c>
      <c r="J536" s="0" t="n">
        <f aca="false">I536+0.02</f>
        <v>217.87</v>
      </c>
      <c r="K536" s="54" t="s">
        <v>386</v>
      </c>
      <c r="L536" s="36" t="s">
        <v>106</v>
      </c>
      <c r="M536" s="53" t="n">
        <f aca="false">I536-I535</f>
        <v>0.679999999999978</v>
      </c>
    </row>
    <row r="537" customFormat="false" ht="14.25" hidden="false" customHeight="false" outlineLevel="0" collapsed="false">
      <c r="A537" s="44" t="s">
        <v>90</v>
      </c>
      <c r="B537" s="44" t="s">
        <v>85</v>
      </c>
      <c r="C537" s="44" t="n">
        <v>129</v>
      </c>
      <c r="D537" s="44" t="s">
        <v>44</v>
      </c>
      <c r="E537" s="44" t="n">
        <v>1</v>
      </c>
      <c r="F537" s="44" t="s">
        <v>104</v>
      </c>
      <c r="G537" s="0" t="n">
        <v>38</v>
      </c>
      <c r="H537" s="44" t="n">
        <v>40</v>
      </c>
      <c r="I537" s="0" t="n">
        <f aca="false">VLOOKUP(C537,[1]M0113A!$A$1:$Z$211,24,TRUE())+(G537/100)</f>
        <v>218.72</v>
      </c>
      <c r="J537" s="0" t="n">
        <f aca="false">I537+0.02</f>
        <v>218.74</v>
      </c>
      <c r="K537" s="54" t="s">
        <v>386</v>
      </c>
      <c r="L537" s="36" t="s">
        <v>106</v>
      </c>
      <c r="M537" s="53" t="n">
        <f aca="false">I537-I536</f>
        <v>0.870000000000005</v>
      </c>
    </row>
    <row r="538" customFormat="false" ht="14.25" hidden="false" customHeight="false" outlineLevel="0" collapsed="false">
      <c r="A538" s="44" t="s">
        <v>90</v>
      </c>
      <c r="B538" s="44" t="s">
        <v>85</v>
      </c>
      <c r="C538" s="44" t="n">
        <v>132</v>
      </c>
      <c r="D538" s="44" t="s">
        <v>44</v>
      </c>
      <c r="E538" s="44" t="n">
        <v>1</v>
      </c>
      <c r="F538" s="44" t="s">
        <v>104</v>
      </c>
      <c r="G538" s="0" t="n">
        <v>38</v>
      </c>
      <c r="H538" s="44" t="n">
        <v>40</v>
      </c>
      <c r="I538" s="0" t="n">
        <f aca="false">VLOOKUP(C538,[1]M0113A!$A$1:$Z$211,24,TRUE())+(G538/100)</f>
        <v>219.82</v>
      </c>
      <c r="J538" s="0" t="n">
        <f aca="false">I538+0.02</f>
        <v>219.84</v>
      </c>
      <c r="K538" s="0" t="s">
        <v>386</v>
      </c>
      <c r="L538" s="36" t="s">
        <v>106</v>
      </c>
      <c r="M538" s="53" t="n">
        <f aca="false">I538-I537</f>
        <v>1.09999999999999</v>
      </c>
    </row>
    <row r="539" customFormat="false" ht="14.25" hidden="false" customHeight="false" outlineLevel="0" collapsed="false">
      <c r="A539" s="44" t="s">
        <v>90</v>
      </c>
      <c r="B539" s="44" t="s">
        <v>85</v>
      </c>
      <c r="C539" s="44" t="n">
        <v>133</v>
      </c>
      <c r="D539" s="44" t="s">
        <v>44</v>
      </c>
      <c r="E539" s="44" t="n">
        <v>1</v>
      </c>
      <c r="F539" s="44" t="s">
        <v>104</v>
      </c>
      <c r="G539" s="0" t="n">
        <v>38</v>
      </c>
      <c r="H539" s="44" t="n">
        <v>40</v>
      </c>
      <c r="I539" s="0" t="n">
        <f aca="false">VLOOKUP(C539,[1]M0113A!$A$1:$Z$211,24,TRUE())+(G539/100)</f>
        <v>221.87</v>
      </c>
      <c r="J539" s="0" t="n">
        <f aca="false">I539+0.02</f>
        <v>221.89</v>
      </c>
      <c r="K539" s="54" t="s">
        <v>141</v>
      </c>
      <c r="L539" s="36" t="s">
        <v>106</v>
      </c>
      <c r="M539" s="53" t="n">
        <f aca="false">I539-I538</f>
        <v>2.05000000000001</v>
      </c>
    </row>
    <row r="540" customFormat="false" ht="14.25" hidden="false" customHeight="false" outlineLevel="0" collapsed="false">
      <c r="A540" s="44" t="s">
        <v>90</v>
      </c>
      <c r="B540" s="44" t="s">
        <v>85</v>
      </c>
      <c r="C540" s="44" t="n">
        <v>134</v>
      </c>
      <c r="D540" s="44" t="s">
        <v>44</v>
      </c>
      <c r="E540" s="44" t="n">
        <v>1</v>
      </c>
      <c r="F540" s="44" t="s">
        <v>104</v>
      </c>
      <c r="G540" s="0" t="n">
        <v>38</v>
      </c>
      <c r="H540" s="44" t="n">
        <v>40</v>
      </c>
      <c r="I540" s="0" t="n">
        <f aca="false">VLOOKUP(C540,[1]M0113A!$A$1:$Z$211,24,TRUE())+(G540/100)</f>
        <v>223.32</v>
      </c>
      <c r="J540" s="0" t="n">
        <f aca="false">I540+0.02</f>
        <v>223.34</v>
      </c>
      <c r="K540" s="54" t="s">
        <v>386</v>
      </c>
      <c r="L540" s="36" t="s">
        <v>106</v>
      </c>
      <c r="M540" s="53" t="n">
        <f aca="false">I540-I539</f>
        <v>1.44999999999999</v>
      </c>
    </row>
    <row r="541" customFormat="false" ht="14.25" hidden="false" customHeight="false" outlineLevel="0" collapsed="false">
      <c r="A541" s="44" t="s">
        <v>90</v>
      </c>
      <c r="B541" s="44" t="s">
        <v>85</v>
      </c>
      <c r="C541" s="44" t="n">
        <v>135</v>
      </c>
      <c r="D541" s="44" t="s">
        <v>44</v>
      </c>
      <c r="E541" s="44" t="n">
        <v>1</v>
      </c>
      <c r="F541" s="44" t="s">
        <v>104</v>
      </c>
      <c r="G541" s="0" t="n">
        <v>38</v>
      </c>
      <c r="H541" s="44" t="n">
        <v>40</v>
      </c>
      <c r="I541" s="0" t="n">
        <f aca="false">VLOOKUP(C541,[1]M0113A!$A$1:$Z$211,24,TRUE())+(G541/100)</f>
        <v>224.87</v>
      </c>
      <c r="J541" s="0" t="n">
        <f aca="false">I541+0.02</f>
        <v>224.89</v>
      </c>
      <c r="K541" s="54" t="s">
        <v>386</v>
      </c>
      <c r="L541" s="36" t="s">
        <v>106</v>
      </c>
      <c r="M541" s="53" t="n">
        <f aca="false">I541-I540</f>
        <v>1.55000000000001</v>
      </c>
    </row>
    <row r="542" customFormat="false" ht="14.25" hidden="false" customHeight="false" outlineLevel="0" collapsed="false">
      <c r="A542" s="44" t="s">
        <v>90</v>
      </c>
      <c r="B542" s="44" t="s">
        <v>85</v>
      </c>
      <c r="C542" s="44" t="n">
        <v>136</v>
      </c>
      <c r="D542" s="44" t="s">
        <v>44</v>
      </c>
      <c r="E542" s="44" t="n">
        <v>1</v>
      </c>
      <c r="F542" s="44" t="s">
        <v>104</v>
      </c>
      <c r="G542" s="0" t="n">
        <v>38</v>
      </c>
      <c r="H542" s="44" t="n">
        <v>40</v>
      </c>
      <c r="I542" s="0" t="n">
        <f aca="false">VLOOKUP(C542,[1]M0113A!$A$1:$Z$211,24,TRUE())+(G542/100)</f>
        <v>227.87</v>
      </c>
      <c r="J542" s="0" t="n">
        <f aca="false">I542+0.02</f>
        <v>227.89</v>
      </c>
      <c r="K542" s="54" t="s">
        <v>386</v>
      </c>
      <c r="L542" s="36" t="s">
        <v>106</v>
      </c>
      <c r="M542" s="53" t="n">
        <f aca="false">I542-I541</f>
        <v>3</v>
      </c>
    </row>
    <row r="543" customFormat="false" ht="14.25" hidden="false" customHeight="false" outlineLevel="0" collapsed="false">
      <c r="A543" s="44" t="s">
        <v>90</v>
      </c>
      <c r="B543" s="44" t="s">
        <v>85</v>
      </c>
      <c r="C543" s="44" t="n">
        <v>138</v>
      </c>
      <c r="D543" s="44" t="s">
        <v>40</v>
      </c>
      <c r="E543" s="44" t="n">
        <v>1</v>
      </c>
      <c r="F543" s="44" t="s">
        <v>104</v>
      </c>
      <c r="G543" s="0" t="n">
        <v>38</v>
      </c>
      <c r="H543" s="44" t="n">
        <v>40</v>
      </c>
      <c r="I543" s="0" t="n">
        <f aca="false">VLOOKUP(C543,[1]M0113A!$A$1:$Z$211,24,TRUE())+(G543/100)</f>
        <v>231.97</v>
      </c>
      <c r="J543" s="0" t="n">
        <f aca="false">I543+0.02</f>
        <v>231.99</v>
      </c>
      <c r="K543" s="54" t="s">
        <v>387</v>
      </c>
      <c r="L543" s="36" t="s">
        <v>106</v>
      </c>
      <c r="M543" s="53" t="n">
        <f aca="false">I543-I542</f>
        <v>4.09999999999999</v>
      </c>
    </row>
    <row r="544" customFormat="false" ht="14.25" hidden="false" customHeight="false" outlineLevel="0" collapsed="false">
      <c r="A544" s="44" t="s">
        <v>90</v>
      </c>
      <c r="B544" s="44" t="s">
        <v>85</v>
      </c>
      <c r="C544" s="44" t="n">
        <v>139</v>
      </c>
      <c r="D544" s="44" t="s">
        <v>40</v>
      </c>
      <c r="E544" s="44" t="n">
        <v>1</v>
      </c>
      <c r="F544" s="44" t="s">
        <v>104</v>
      </c>
      <c r="G544" s="0" t="n">
        <v>38</v>
      </c>
      <c r="H544" s="44" t="n">
        <v>40</v>
      </c>
      <c r="I544" s="0" t="n">
        <f aca="false">VLOOKUP(C544,[1]M0113A!$A$1:$Z$211,24,TRUE())+(G544/100)</f>
        <v>232.55</v>
      </c>
      <c r="J544" s="0" t="n">
        <f aca="false">I544+0.02</f>
        <v>232.57</v>
      </c>
      <c r="K544" s="54" t="s">
        <v>387</v>
      </c>
      <c r="L544" s="36" t="s">
        <v>106</v>
      </c>
      <c r="M544" s="53" t="n">
        <f aca="false">I544-I543</f>
        <v>0.579999999999984</v>
      </c>
    </row>
    <row r="545" customFormat="false" ht="14.25" hidden="false" customHeight="false" outlineLevel="0" collapsed="false">
      <c r="A545" s="44" t="s">
        <v>90</v>
      </c>
      <c r="B545" s="44" t="s">
        <v>85</v>
      </c>
      <c r="C545" s="44" t="n">
        <v>140</v>
      </c>
      <c r="D545" s="44" t="s">
        <v>44</v>
      </c>
      <c r="E545" s="44" t="n">
        <v>1</v>
      </c>
      <c r="F545" s="44" t="s">
        <v>104</v>
      </c>
      <c r="G545" s="0" t="n">
        <v>38</v>
      </c>
      <c r="H545" s="44" t="n">
        <v>40</v>
      </c>
      <c r="I545" s="0" t="n">
        <f aca="false">VLOOKUP(C545,[1]M0113A!$A$1:$Z$211,24,TRUE())+(G545/100)</f>
        <v>233.24</v>
      </c>
      <c r="J545" s="0" t="n">
        <f aca="false">I545+0.02</f>
        <v>233.26</v>
      </c>
      <c r="K545" s="54" t="s">
        <v>388</v>
      </c>
      <c r="L545" s="36" t="s">
        <v>106</v>
      </c>
      <c r="M545" s="53" t="n">
        <f aca="false">I545-I544</f>
        <v>0.690000000000026</v>
      </c>
    </row>
    <row r="546" customFormat="false" ht="14.25" hidden="false" customHeight="false" outlineLevel="0" collapsed="false">
      <c r="A546" s="44" t="s">
        <v>90</v>
      </c>
      <c r="B546" s="44" t="s">
        <v>85</v>
      </c>
      <c r="C546" s="44" t="n">
        <v>141</v>
      </c>
      <c r="D546" s="44" t="s">
        <v>44</v>
      </c>
      <c r="E546" s="44" t="n">
        <v>1</v>
      </c>
      <c r="F546" s="44" t="s">
        <v>104</v>
      </c>
      <c r="G546" s="0" t="n">
        <v>18</v>
      </c>
      <c r="H546" s="44" t="n">
        <v>20</v>
      </c>
      <c r="I546" s="0" t="n">
        <f aca="false">VLOOKUP(C546,[1]M0113A!$A$1:$Z$211,24,TRUE())+(G546/100)</f>
        <v>233.67</v>
      </c>
      <c r="J546" s="0" t="n">
        <f aca="false">I546+0.02</f>
        <v>233.69</v>
      </c>
      <c r="K546" s="54" t="s">
        <v>388</v>
      </c>
      <c r="L546" s="36" t="s">
        <v>106</v>
      </c>
      <c r="M546" s="53" t="n">
        <f aca="false">I546-I545</f>
        <v>0.430000000000007</v>
      </c>
    </row>
    <row r="547" customFormat="false" ht="14.25" hidden="false" customHeight="false" outlineLevel="0" collapsed="false">
      <c r="A547" s="44" t="s">
        <v>90</v>
      </c>
      <c r="B547" s="44" t="s">
        <v>85</v>
      </c>
      <c r="C547" s="44" t="n">
        <v>142</v>
      </c>
      <c r="D547" s="44" t="s">
        <v>44</v>
      </c>
      <c r="E547" s="44" t="n">
        <v>1</v>
      </c>
      <c r="F547" s="44" t="s">
        <v>104</v>
      </c>
      <c r="G547" s="0" t="n">
        <v>38</v>
      </c>
      <c r="H547" s="44" t="n">
        <v>40</v>
      </c>
      <c r="I547" s="0" t="n">
        <f aca="false">VLOOKUP(C547,[1]M0113A!$A$1:$Z$211,24,TRUE())+(G547/100)</f>
        <v>235.37</v>
      </c>
      <c r="J547" s="0" t="n">
        <f aca="false">I547+0.02</f>
        <v>235.39</v>
      </c>
      <c r="K547" s="54" t="s">
        <v>388</v>
      </c>
      <c r="L547" s="36" t="s">
        <v>106</v>
      </c>
      <c r="M547" s="53" t="n">
        <f aca="false">I547-I546</f>
        <v>1.69999999999999</v>
      </c>
    </row>
    <row r="548" customFormat="false" ht="14.25" hidden="false" customHeight="false" outlineLevel="0" collapsed="false">
      <c r="A548" s="56" t="s">
        <v>90</v>
      </c>
      <c r="B548" s="56" t="s">
        <v>85</v>
      </c>
      <c r="C548" s="56" t="n">
        <v>144</v>
      </c>
      <c r="D548" s="56" t="s">
        <v>44</v>
      </c>
      <c r="E548" s="56" t="n">
        <v>1</v>
      </c>
      <c r="F548" s="56" t="s">
        <v>104</v>
      </c>
      <c r="G548" s="57" t="n">
        <v>38</v>
      </c>
      <c r="H548" s="56" t="n">
        <v>40</v>
      </c>
      <c r="I548" s="57" t="n">
        <f aca="false">VLOOKUP(C548,[1]M0113A!$A$1:$Z$211,24,TRUE())+(G548/100)</f>
        <v>236.87</v>
      </c>
      <c r="J548" s="57" t="n">
        <f aca="false">I548+0.02</f>
        <v>236.89</v>
      </c>
      <c r="K548" s="57" t="s">
        <v>312</v>
      </c>
      <c r="L548" s="60" t="s">
        <v>106</v>
      </c>
      <c r="M548" s="58" t="n">
        <f aca="false">I548-I547</f>
        <v>1.5</v>
      </c>
    </row>
    <row r="549" customFormat="false" ht="14.25" hidden="false" customHeight="false" outlineLevel="0" collapsed="false">
      <c r="A549" s="56" t="s">
        <v>90</v>
      </c>
      <c r="B549" s="56" t="s">
        <v>85</v>
      </c>
      <c r="C549" s="56" t="n">
        <v>145</v>
      </c>
      <c r="D549" s="56" t="s">
        <v>44</v>
      </c>
      <c r="E549" s="56" t="n">
        <v>1</v>
      </c>
      <c r="F549" s="56" t="s">
        <v>104</v>
      </c>
      <c r="G549" s="57" t="n">
        <v>8</v>
      </c>
      <c r="H549" s="56" t="n">
        <v>10</v>
      </c>
      <c r="I549" s="57" t="n">
        <f aca="false">VLOOKUP(C549,[1]M0113A!$A$1:$Z$211,24,TRUE())+(G549/100)</f>
        <v>238.07</v>
      </c>
      <c r="J549" s="57" t="n">
        <f aca="false">I549+0.02</f>
        <v>238.09</v>
      </c>
      <c r="K549" s="63" t="s">
        <v>312</v>
      </c>
      <c r="L549" s="60" t="s">
        <v>324</v>
      </c>
      <c r="M549" s="58" t="n">
        <f aca="false">I549-I548</f>
        <v>1.20000000000002</v>
      </c>
    </row>
    <row r="550" customFormat="false" ht="14.25" hidden="false" customHeight="false" outlineLevel="0" collapsed="false">
      <c r="A550" s="56" t="s">
        <v>90</v>
      </c>
      <c r="B550" s="56" t="s">
        <v>85</v>
      </c>
      <c r="C550" s="56" t="n">
        <v>146</v>
      </c>
      <c r="D550" s="56" t="s">
        <v>44</v>
      </c>
      <c r="E550" s="56" t="n">
        <v>1</v>
      </c>
      <c r="F550" s="56" t="s">
        <v>104</v>
      </c>
      <c r="G550" s="57" t="n">
        <v>38</v>
      </c>
      <c r="H550" s="56" t="n">
        <v>40</v>
      </c>
      <c r="I550" s="57" t="n">
        <f aca="false">VLOOKUP(C550,[1]M0113A!$A$1:$Z$211,24,TRUE())+(G550/100)</f>
        <v>239.87</v>
      </c>
      <c r="J550" s="57" t="n">
        <f aca="false">I550+0.02</f>
        <v>239.89</v>
      </c>
      <c r="K550" s="63" t="s">
        <v>312</v>
      </c>
      <c r="L550" s="60" t="s">
        <v>106</v>
      </c>
      <c r="M550" s="58" t="n">
        <f aca="false">I550-I549</f>
        <v>1.79999999999998</v>
      </c>
    </row>
    <row r="551" customFormat="false" ht="14.25" hidden="false" customHeight="false" outlineLevel="0" collapsed="false">
      <c r="A551" s="56" t="s">
        <v>90</v>
      </c>
      <c r="B551" s="56" t="s">
        <v>85</v>
      </c>
      <c r="C551" s="56" t="n">
        <v>148</v>
      </c>
      <c r="D551" s="56" t="s">
        <v>44</v>
      </c>
      <c r="E551" s="56" t="n">
        <v>1</v>
      </c>
      <c r="F551" s="56" t="s">
        <v>104</v>
      </c>
      <c r="G551" s="57" t="n">
        <v>38</v>
      </c>
      <c r="H551" s="56" t="n">
        <v>40</v>
      </c>
      <c r="I551" s="57" t="n">
        <f aca="false">VLOOKUP(C551,[1]M0113A!$A$1:$Z$211,24,TRUE())+(G551/100)</f>
        <v>242.87</v>
      </c>
      <c r="J551" s="57" t="n">
        <f aca="false">I551+0.02</f>
        <v>242.89</v>
      </c>
      <c r="K551" s="63" t="s">
        <v>312</v>
      </c>
      <c r="L551" s="60" t="s">
        <v>106</v>
      </c>
      <c r="M551" s="58" t="n">
        <f aca="false">I551-I550</f>
        <v>3</v>
      </c>
    </row>
    <row r="552" customFormat="false" ht="14.25" hidden="false" customHeight="false" outlineLevel="0" collapsed="false">
      <c r="A552" s="44" t="s">
        <v>90</v>
      </c>
      <c r="B552" s="44" t="s">
        <v>85</v>
      </c>
      <c r="C552" s="44" t="n">
        <v>149</v>
      </c>
      <c r="D552" s="44" t="s">
        <v>44</v>
      </c>
      <c r="E552" s="44" t="n">
        <v>1</v>
      </c>
      <c r="F552" s="44" t="s">
        <v>104</v>
      </c>
      <c r="G552" s="0" t="n">
        <v>38</v>
      </c>
      <c r="H552" s="44" t="n">
        <v>40</v>
      </c>
      <c r="I552" s="0" t="n">
        <f aca="false">VLOOKUP(C552,[1]M0113A!$A$1:$Z$211,24,TRUE())+(G552/100)</f>
        <v>244.37</v>
      </c>
      <c r="J552" s="0" t="n">
        <f aca="false">I552+0.02</f>
        <v>244.39</v>
      </c>
      <c r="K552" s="0" t="s">
        <v>389</v>
      </c>
      <c r="L552" s="36" t="s">
        <v>106</v>
      </c>
      <c r="M552" s="53" t="n">
        <f aca="false">I552-I551</f>
        <v>1.5</v>
      </c>
    </row>
    <row r="553" customFormat="false" ht="14.25" hidden="false" customHeight="false" outlineLevel="0" collapsed="false">
      <c r="A553" s="44" t="s">
        <v>90</v>
      </c>
      <c r="B553" s="44" t="s">
        <v>85</v>
      </c>
      <c r="C553" s="44" t="n">
        <v>150</v>
      </c>
      <c r="D553" s="44" t="s">
        <v>44</v>
      </c>
      <c r="E553" s="44" t="n">
        <v>1</v>
      </c>
      <c r="F553" s="44" t="s">
        <v>104</v>
      </c>
      <c r="G553" s="0" t="n">
        <v>38</v>
      </c>
      <c r="H553" s="44" t="n">
        <v>40</v>
      </c>
      <c r="I553" s="0" t="n">
        <f aca="false">VLOOKUP(C553,[1]M0113A!$A$1:$Z$211,24,TRUE())+(G553/100)</f>
        <v>245.87</v>
      </c>
      <c r="J553" s="0" t="n">
        <f aca="false">I553+0.02</f>
        <v>245.89</v>
      </c>
      <c r="K553" s="0" t="s">
        <v>390</v>
      </c>
      <c r="L553" s="36" t="s">
        <v>106</v>
      </c>
      <c r="M553" s="53" t="n">
        <f aca="false">I553-I552</f>
        <v>1.5</v>
      </c>
    </row>
    <row r="554" customFormat="false" ht="14.25" hidden="false" customHeight="false" outlineLevel="0" collapsed="false">
      <c r="A554" s="44" t="s">
        <v>90</v>
      </c>
      <c r="B554" s="44" t="s">
        <v>85</v>
      </c>
      <c r="C554" s="44" t="n">
        <v>151</v>
      </c>
      <c r="D554" s="44" t="s">
        <v>44</v>
      </c>
      <c r="E554" s="44" t="n">
        <v>1</v>
      </c>
      <c r="F554" s="44" t="s">
        <v>104</v>
      </c>
      <c r="G554" s="0" t="n">
        <v>38</v>
      </c>
      <c r="H554" s="44" t="n">
        <v>40</v>
      </c>
      <c r="I554" s="0" t="n">
        <f aca="false">VLOOKUP(C554,[1]M0113A!$A$1:$Z$211,24,TRUE())+(G554/100)</f>
        <v>247.37</v>
      </c>
      <c r="J554" s="0" t="n">
        <f aca="false">I554+0.02</f>
        <v>247.39</v>
      </c>
      <c r="K554" s="0" t="s">
        <v>391</v>
      </c>
      <c r="L554" s="36" t="s">
        <v>106</v>
      </c>
      <c r="M554" s="53" t="n">
        <f aca="false">I554-I553</f>
        <v>1.5</v>
      </c>
    </row>
    <row r="555" customFormat="false" ht="14.25" hidden="false" customHeight="false" outlineLevel="0" collapsed="false">
      <c r="A555" s="44" t="s">
        <v>90</v>
      </c>
      <c r="B555" s="44" t="s">
        <v>85</v>
      </c>
      <c r="C555" s="44" t="n">
        <v>152</v>
      </c>
      <c r="D555" s="44" t="s">
        <v>44</v>
      </c>
      <c r="E555" s="44" t="n">
        <v>1</v>
      </c>
      <c r="F555" s="44" t="s">
        <v>104</v>
      </c>
      <c r="G555" s="0" t="n">
        <v>38</v>
      </c>
      <c r="H555" s="44" t="n">
        <v>40</v>
      </c>
      <c r="I555" s="0" t="n">
        <f aca="false">VLOOKUP(C555,[1]M0113A!$A$1:$Z$211,24,TRUE())+(G555/100)</f>
        <v>248.87</v>
      </c>
      <c r="J555" s="0" t="n">
        <f aca="false">I555+0.02</f>
        <v>248.89</v>
      </c>
      <c r="K555" s="0" t="s">
        <v>392</v>
      </c>
      <c r="L555" s="36" t="s">
        <v>106</v>
      </c>
      <c r="M555" s="53" t="n">
        <f aca="false">I555-I554</f>
        <v>1.5</v>
      </c>
    </row>
    <row r="556" customFormat="false" ht="14.25" hidden="false" customHeight="false" outlineLevel="0" collapsed="false">
      <c r="A556" s="44" t="s">
        <v>90</v>
      </c>
      <c r="B556" s="44" t="s">
        <v>85</v>
      </c>
      <c r="C556" s="44" t="n">
        <v>153</v>
      </c>
      <c r="D556" s="44" t="s">
        <v>44</v>
      </c>
      <c r="E556" s="44" t="n">
        <v>1</v>
      </c>
      <c r="F556" s="44" t="s">
        <v>104</v>
      </c>
      <c r="G556" s="0" t="n">
        <v>8</v>
      </c>
      <c r="H556" s="44" t="n">
        <v>10</v>
      </c>
      <c r="I556" s="0" t="n">
        <f aca="false">VLOOKUP(C556,[1]M0113A!$A$1:$Z$211,24,TRUE())+(G556/100)</f>
        <v>250.07</v>
      </c>
      <c r="J556" s="0" t="n">
        <f aca="false">I556+0.02</f>
        <v>250.09</v>
      </c>
      <c r="K556" s="54" t="s">
        <v>393</v>
      </c>
      <c r="L556" s="36" t="s">
        <v>111</v>
      </c>
      <c r="M556" s="53" t="n">
        <f aca="false">I556-I555</f>
        <v>1.20000000000002</v>
      </c>
    </row>
    <row r="557" customFormat="false" ht="14.25" hidden="false" customHeight="false" outlineLevel="0" collapsed="false">
      <c r="A557" s="44" t="s">
        <v>90</v>
      </c>
      <c r="B557" s="44" t="s">
        <v>85</v>
      </c>
      <c r="C557" s="44" t="n">
        <v>154</v>
      </c>
      <c r="D557" s="44" t="s">
        <v>44</v>
      </c>
      <c r="E557" s="44" t="n">
        <v>1</v>
      </c>
      <c r="F557" s="44" t="s">
        <v>104</v>
      </c>
      <c r="G557" s="0" t="n">
        <v>8</v>
      </c>
      <c r="H557" s="44" t="n">
        <v>10</v>
      </c>
      <c r="I557" s="0" t="n">
        <f aca="false">VLOOKUP(C557,[1]M0113A!$A$1:$Z$211,24,TRUE())+(G557/100)</f>
        <v>250.92</v>
      </c>
      <c r="J557" s="0" t="n">
        <f aca="false">I557+0.02</f>
        <v>250.94</v>
      </c>
      <c r="K557" s="54" t="s">
        <v>393</v>
      </c>
      <c r="L557" s="36" t="s">
        <v>106</v>
      </c>
      <c r="M557" s="53" t="n">
        <f aca="false">I557-I556</f>
        <v>0.849999999999994</v>
      </c>
    </row>
    <row r="558" customFormat="false" ht="14.25" hidden="false" customHeight="false" outlineLevel="0" collapsed="false">
      <c r="A558" s="44" t="s">
        <v>90</v>
      </c>
      <c r="B558" s="44" t="s">
        <v>85</v>
      </c>
      <c r="C558" s="44" t="n">
        <v>156</v>
      </c>
      <c r="D558" s="44" t="s">
        <v>40</v>
      </c>
      <c r="E558" s="44" t="n">
        <v>1</v>
      </c>
      <c r="F558" s="44" t="s">
        <v>104</v>
      </c>
      <c r="G558" s="0" t="n">
        <v>38</v>
      </c>
      <c r="H558" s="44" t="n">
        <v>40</v>
      </c>
      <c r="I558" s="0" t="n">
        <f aca="false">VLOOKUP(C558,[1]M0113A!$A$1:$Z$211,24,TRUE())+(G558/100)</f>
        <v>253.37</v>
      </c>
      <c r="J558" s="0" t="n">
        <f aca="false">I558+0.02</f>
        <v>253.39</v>
      </c>
      <c r="K558" s="54" t="s">
        <v>393</v>
      </c>
      <c r="L558" s="36" t="s">
        <v>106</v>
      </c>
      <c r="M558" s="53" t="n">
        <f aca="false">I558-I557</f>
        <v>2.44999999999999</v>
      </c>
    </row>
    <row r="559" customFormat="false" ht="14.25" hidden="false" customHeight="false" outlineLevel="0" collapsed="false">
      <c r="A559" s="44" t="s">
        <v>90</v>
      </c>
      <c r="B559" s="44" t="s">
        <v>85</v>
      </c>
      <c r="C559" s="44" t="n">
        <v>157</v>
      </c>
      <c r="D559" s="44" t="s">
        <v>40</v>
      </c>
      <c r="E559" s="44" t="n">
        <v>1</v>
      </c>
      <c r="F559" s="44" t="s">
        <v>104</v>
      </c>
      <c r="G559" s="0" t="n">
        <v>38</v>
      </c>
      <c r="H559" s="44" t="n">
        <v>40</v>
      </c>
      <c r="I559" s="0" t="n">
        <f aca="false">VLOOKUP(C559,[1]M0113A!$A$1:$Z$211,24,TRUE())+(G559/100)</f>
        <v>254.53</v>
      </c>
      <c r="J559" s="0" t="n">
        <f aca="false">I559+0.02</f>
        <v>254.55</v>
      </c>
      <c r="K559" s="54" t="s">
        <v>393</v>
      </c>
      <c r="L559" s="36" t="s">
        <v>106</v>
      </c>
      <c r="M559" s="53" t="n">
        <f aca="false">I559-I558</f>
        <v>1.16</v>
      </c>
    </row>
    <row r="560" customFormat="false" ht="14.25" hidden="false" customHeight="false" outlineLevel="0" collapsed="false">
      <c r="A560" s="44" t="s">
        <v>90</v>
      </c>
      <c r="B560" s="44" t="s">
        <v>85</v>
      </c>
      <c r="C560" s="44" t="n">
        <v>159</v>
      </c>
      <c r="D560" s="44" t="s">
        <v>40</v>
      </c>
      <c r="E560" s="44" t="n">
        <v>1</v>
      </c>
      <c r="F560" s="44" t="s">
        <v>104</v>
      </c>
      <c r="G560" s="0" t="n">
        <v>38</v>
      </c>
      <c r="H560" s="44" t="n">
        <v>40</v>
      </c>
      <c r="I560" s="0" t="n">
        <f aca="false">VLOOKUP(C560,[1]M0113A!$A$1:$Z$211,24,TRUE())+(G560/100)</f>
        <v>256.94</v>
      </c>
      <c r="J560" s="0" t="n">
        <f aca="false">I560+0.02</f>
        <v>256.96</v>
      </c>
      <c r="K560" s="54" t="s">
        <v>394</v>
      </c>
      <c r="L560" s="36" t="s">
        <v>106</v>
      </c>
      <c r="M560" s="53" t="n">
        <f aca="false">I560-I559</f>
        <v>2.41</v>
      </c>
    </row>
    <row r="561" customFormat="false" ht="14.25" hidden="false" customHeight="false" outlineLevel="0" collapsed="false">
      <c r="A561" s="44" t="s">
        <v>90</v>
      </c>
      <c r="B561" s="44" t="s">
        <v>85</v>
      </c>
      <c r="C561" s="44" t="n">
        <v>160</v>
      </c>
      <c r="D561" s="44" t="s">
        <v>40</v>
      </c>
      <c r="E561" s="44" t="n">
        <v>1</v>
      </c>
      <c r="F561" s="44" t="s">
        <v>104</v>
      </c>
      <c r="G561" s="0" t="n">
        <v>38</v>
      </c>
      <c r="H561" s="44" t="n">
        <v>40</v>
      </c>
      <c r="I561" s="0" t="n">
        <f aca="false">VLOOKUP(C561,[1]M0113A!$A$1:$Z$211,24,TRUE())+(G561/100)</f>
        <v>258.67</v>
      </c>
      <c r="J561" s="0" t="n">
        <f aca="false">I561+0.02</f>
        <v>258.69</v>
      </c>
      <c r="K561" s="54" t="s">
        <v>394</v>
      </c>
      <c r="L561" s="36" t="s">
        <v>106</v>
      </c>
      <c r="M561" s="53" t="n">
        <f aca="false">I561-I560</f>
        <v>1.73000000000002</v>
      </c>
    </row>
    <row r="562" customFormat="false" ht="14.25" hidden="false" customHeight="false" outlineLevel="0" collapsed="false">
      <c r="A562" s="44" t="s">
        <v>90</v>
      </c>
      <c r="B562" s="44" t="s">
        <v>85</v>
      </c>
      <c r="C562" s="44" t="n">
        <v>161</v>
      </c>
      <c r="D562" s="44" t="s">
        <v>40</v>
      </c>
      <c r="E562" s="44" t="n">
        <v>1</v>
      </c>
      <c r="F562" s="44" t="s">
        <v>104</v>
      </c>
      <c r="G562" s="0" t="n">
        <v>8</v>
      </c>
      <c r="H562" s="44" t="n">
        <v>10</v>
      </c>
      <c r="I562" s="0" t="n">
        <f aca="false">VLOOKUP(C562,[1]M0113A!$A$1:$Z$211,24,TRUE())+(G562/100)</f>
        <v>260.06</v>
      </c>
      <c r="J562" s="0" t="n">
        <f aca="false">I562+0.02</f>
        <v>260.08</v>
      </c>
      <c r="K562" s="54" t="s">
        <v>394</v>
      </c>
      <c r="L562" s="36" t="s">
        <v>111</v>
      </c>
      <c r="M562" s="53" t="n">
        <f aca="false">I562-I561</f>
        <v>1.38999999999999</v>
      </c>
    </row>
    <row r="563" customFormat="false" ht="14.25" hidden="false" customHeight="false" outlineLevel="0" collapsed="false">
      <c r="A563" s="44" t="s">
        <v>90</v>
      </c>
      <c r="B563" s="44" t="s">
        <v>85</v>
      </c>
      <c r="C563" s="44" t="n">
        <v>163</v>
      </c>
      <c r="D563" s="44" t="s">
        <v>40</v>
      </c>
      <c r="E563" s="44" t="n">
        <v>1</v>
      </c>
      <c r="F563" s="44" t="s">
        <v>104</v>
      </c>
      <c r="G563" s="0" t="n">
        <v>38</v>
      </c>
      <c r="H563" s="44" t="n">
        <v>40</v>
      </c>
      <c r="I563" s="0" t="n">
        <f aca="false">VLOOKUP(C563,[1]M0113A!$A$1:$Z$211,24,TRUE())+(G563/100)</f>
        <v>262.01</v>
      </c>
      <c r="J563" s="0" t="n">
        <f aca="false">I563+0.02</f>
        <v>262.03</v>
      </c>
      <c r="K563" s="54" t="s">
        <v>394</v>
      </c>
      <c r="L563" s="36" t="s">
        <v>106</v>
      </c>
      <c r="M563" s="53" t="n">
        <f aca="false">I563-I562</f>
        <v>1.94999999999999</v>
      </c>
    </row>
    <row r="564" customFormat="false" ht="14.25" hidden="false" customHeight="false" outlineLevel="0" collapsed="false">
      <c r="A564" s="44" t="s">
        <v>90</v>
      </c>
      <c r="B564" s="44" t="s">
        <v>85</v>
      </c>
      <c r="C564" s="44" t="n">
        <v>164</v>
      </c>
      <c r="D564" s="44" t="s">
        <v>40</v>
      </c>
      <c r="E564" s="44" t="n">
        <v>1</v>
      </c>
      <c r="F564" s="44" t="s">
        <v>104</v>
      </c>
      <c r="G564" s="0" t="n">
        <v>38</v>
      </c>
      <c r="H564" s="44" t="n">
        <v>40</v>
      </c>
      <c r="I564" s="0" t="n">
        <f aca="false">VLOOKUP(C564,[1]M0113A!$A$1:$Z$211,24,TRUE())+(G564/100)</f>
        <v>262.87</v>
      </c>
      <c r="J564" s="0" t="n">
        <f aca="false">I564+0.02</f>
        <v>262.89</v>
      </c>
      <c r="K564" s="54" t="s">
        <v>394</v>
      </c>
      <c r="L564" s="36" t="s">
        <v>106</v>
      </c>
      <c r="M564" s="53" t="n">
        <f aca="false">I564-I563</f>
        <v>0.860000000000014</v>
      </c>
    </row>
    <row r="565" customFormat="false" ht="14.25" hidden="false" customHeight="false" outlineLevel="0" collapsed="false">
      <c r="A565" s="44" t="s">
        <v>90</v>
      </c>
      <c r="B565" s="44" t="s">
        <v>85</v>
      </c>
      <c r="C565" s="44" t="n">
        <v>165</v>
      </c>
      <c r="D565" s="44" t="s">
        <v>40</v>
      </c>
      <c r="E565" s="44" t="n">
        <v>1</v>
      </c>
      <c r="F565" s="44" t="s">
        <v>104</v>
      </c>
      <c r="G565" s="0" t="n">
        <v>38</v>
      </c>
      <c r="H565" s="44" t="n">
        <v>40</v>
      </c>
      <c r="I565" s="0" t="n">
        <f aca="false">VLOOKUP(C565,[1]M0113A!$A$1:$Z$211,24,TRUE())+(G565/100)</f>
        <v>263.3</v>
      </c>
      <c r="J565" s="0" t="n">
        <f aca="false">I565+0.02</f>
        <v>263.32</v>
      </c>
      <c r="K565" s="54" t="s">
        <v>394</v>
      </c>
      <c r="L565" s="36" t="s">
        <v>106</v>
      </c>
      <c r="M565" s="53" t="n">
        <f aca="false">I565-I564</f>
        <v>0.430000000000007</v>
      </c>
    </row>
    <row r="566" customFormat="false" ht="14.25" hidden="false" customHeight="false" outlineLevel="0" collapsed="false">
      <c r="A566" s="44" t="s">
        <v>90</v>
      </c>
      <c r="B566" s="44" t="s">
        <v>85</v>
      </c>
      <c r="C566" s="44" t="n">
        <v>166</v>
      </c>
      <c r="D566" s="44" t="s">
        <v>40</v>
      </c>
      <c r="E566" s="44" t="n">
        <v>1</v>
      </c>
      <c r="F566" s="44" t="s">
        <v>104</v>
      </c>
      <c r="G566" s="0" t="n">
        <v>38</v>
      </c>
      <c r="H566" s="44" t="n">
        <v>40</v>
      </c>
      <c r="I566" s="0" t="n">
        <f aca="false">VLOOKUP(C566,[1]M0113A!$A$1:$Z$211,24,TRUE())+(G566/100)</f>
        <v>265.44</v>
      </c>
      <c r="J566" s="0" t="n">
        <f aca="false">I566+0.02</f>
        <v>265.46</v>
      </c>
      <c r="K566" s="54" t="s">
        <v>394</v>
      </c>
      <c r="L566" s="36" t="s">
        <v>106</v>
      </c>
      <c r="M566" s="53" t="n">
        <f aca="false">I566-I565</f>
        <v>2.13999999999999</v>
      </c>
    </row>
    <row r="567" customFormat="false" ht="14.25" hidden="false" customHeight="false" outlineLevel="0" collapsed="false">
      <c r="A567" s="44" t="s">
        <v>90</v>
      </c>
      <c r="B567" s="44" t="s">
        <v>85</v>
      </c>
      <c r="C567" s="44" t="n">
        <v>167</v>
      </c>
      <c r="D567" s="44" t="s">
        <v>40</v>
      </c>
      <c r="E567" s="44" t="n">
        <v>1</v>
      </c>
      <c r="F567" s="44" t="s">
        <v>104</v>
      </c>
      <c r="G567" s="0" t="n">
        <v>38</v>
      </c>
      <c r="H567" s="44" t="n">
        <v>40</v>
      </c>
      <c r="I567" s="0" t="n">
        <f aca="false">VLOOKUP(C567,[1]M0113A!$A$1:$Z$211,24,TRUE())+(G567/100)</f>
        <v>267.16</v>
      </c>
      <c r="J567" s="0" t="n">
        <f aca="false">I567+0.02</f>
        <v>267.18</v>
      </c>
      <c r="K567" s="54" t="s">
        <v>394</v>
      </c>
      <c r="L567" s="36" t="s">
        <v>106</v>
      </c>
      <c r="M567" s="53" t="n">
        <f aca="false">I567-I566</f>
        <v>1.71999999999997</v>
      </c>
    </row>
    <row r="568" customFormat="false" ht="14.25" hidden="false" customHeight="false" outlineLevel="0" collapsed="false">
      <c r="A568" s="44" t="s">
        <v>90</v>
      </c>
      <c r="B568" s="44" t="s">
        <v>85</v>
      </c>
      <c r="C568" s="44" t="n">
        <v>168</v>
      </c>
      <c r="D568" s="44" t="s">
        <v>40</v>
      </c>
      <c r="E568" s="44" t="n">
        <v>1</v>
      </c>
      <c r="F568" s="44" t="s">
        <v>104</v>
      </c>
      <c r="G568" s="0" t="n">
        <v>38</v>
      </c>
      <c r="H568" s="44" t="n">
        <v>40</v>
      </c>
      <c r="I568" s="0" t="n">
        <f aca="false">VLOOKUP(C568,[1]M0113A!$A$1:$Z$211,24,TRUE())+(G568/100)</f>
        <v>269.41</v>
      </c>
      <c r="J568" s="0" t="n">
        <f aca="false">I568+0.02</f>
        <v>269.43</v>
      </c>
      <c r="K568" s="54" t="s">
        <v>395</v>
      </c>
      <c r="L568" s="36" t="s">
        <v>106</v>
      </c>
      <c r="M568" s="53" t="n">
        <f aca="false">I568-I567</f>
        <v>2.25</v>
      </c>
    </row>
    <row r="569" customFormat="false" ht="14.25" hidden="false" customHeight="false" outlineLevel="0" collapsed="false">
      <c r="A569" s="44" t="s">
        <v>90</v>
      </c>
      <c r="B569" s="44" t="s">
        <v>85</v>
      </c>
      <c r="C569" s="44" t="n">
        <v>169</v>
      </c>
      <c r="D569" s="44" t="s">
        <v>40</v>
      </c>
      <c r="E569" s="44" t="n">
        <v>1</v>
      </c>
      <c r="F569" s="44" t="s">
        <v>104</v>
      </c>
      <c r="G569" s="0" t="n">
        <v>38</v>
      </c>
      <c r="H569" s="44" t="n">
        <v>40</v>
      </c>
      <c r="I569" s="0" t="n">
        <f aca="false">VLOOKUP(C569,[1]M0113A!$A$1:$Z$211,24,TRUE())+(G569/100)</f>
        <v>271.33</v>
      </c>
      <c r="J569" s="0" t="n">
        <f aca="false">I569+0.02</f>
        <v>271.35</v>
      </c>
      <c r="K569" s="54" t="s">
        <v>396</v>
      </c>
      <c r="L569" s="36" t="s">
        <v>106</v>
      </c>
      <c r="M569" s="53" t="n">
        <f aca="false">I569-I568</f>
        <v>1.92000000000002</v>
      </c>
    </row>
    <row r="570" customFormat="false" ht="14.25" hidden="false" customHeight="false" outlineLevel="0" collapsed="false">
      <c r="A570" s="44" t="s">
        <v>90</v>
      </c>
      <c r="B570" s="44" t="s">
        <v>85</v>
      </c>
      <c r="C570" s="44" t="n">
        <v>171</v>
      </c>
      <c r="D570" s="44" t="s">
        <v>40</v>
      </c>
      <c r="E570" s="44" t="n">
        <v>1</v>
      </c>
      <c r="F570" s="44" t="s">
        <v>104</v>
      </c>
      <c r="G570" s="0" t="n">
        <v>38</v>
      </c>
      <c r="H570" s="44" t="n">
        <v>40</v>
      </c>
      <c r="I570" s="0" t="n">
        <f aca="false">VLOOKUP(C570,[1]M0113A!$A$1:$Z$211,24,TRUE())+(G570/100)</f>
        <v>273.34</v>
      </c>
      <c r="J570" s="0" t="n">
        <f aca="false">I570+0.02</f>
        <v>273.36</v>
      </c>
      <c r="K570" s="54" t="s">
        <v>397</v>
      </c>
      <c r="L570" s="36" t="s">
        <v>106</v>
      </c>
      <c r="M570" s="53" t="n">
        <f aca="false">I570-I569</f>
        <v>2.00999999999999</v>
      </c>
    </row>
    <row r="571" customFormat="false" ht="14.25" hidden="false" customHeight="false" outlineLevel="0" collapsed="false">
      <c r="A571" s="44" t="s">
        <v>90</v>
      </c>
      <c r="B571" s="44" t="s">
        <v>85</v>
      </c>
      <c r="C571" s="44" t="n">
        <v>172</v>
      </c>
      <c r="D571" s="44" t="s">
        <v>40</v>
      </c>
      <c r="E571" s="44" t="n">
        <v>1</v>
      </c>
      <c r="F571" s="44" t="s">
        <v>104</v>
      </c>
      <c r="G571" s="0" t="n">
        <v>38</v>
      </c>
      <c r="H571" s="44" t="n">
        <v>40</v>
      </c>
      <c r="I571" s="0" t="n">
        <f aca="false">VLOOKUP(C571,[1]M0113A!$A$1:$Z$211,24,TRUE())+(G571/100)</f>
        <v>274.84</v>
      </c>
      <c r="J571" s="0" t="n">
        <f aca="false">I571+0.02</f>
        <v>274.86</v>
      </c>
      <c r="K571" s="54" t="s">
        <v>397</v>
      </c>
      <c r="L571" s="36" t="s">
        <v>106</v>
      </c>
      <c r="M571" s="53" t="n">
        <f aca="false">I571-I570</f>
        <v>1.5</v>
      </c>
    </row>
    <row r="572" customFormat="false" ht="14.25" hidden="false" customHeight="false" outlineLevel="0" collapsed="false">
      <c r="A572" s="44" t="s">
        <v>90</v>
      </c>
      <c r="B572" s="44" t="s">
        <v>85</v>
      </c>
      <c r="C572" s="44" t="n">
        <v>173</v>
      </c>
      <c r="D572" s="44" t="s">
        <v>40</v>
      </c>
      <c r="E572" s="44" t="n">
        <v>1</v>
      </c>
      <c r="F572" s="44" t="s">
        <v>104</v>
      </c>
      <c r="G572" s="0" t="n">
        <v>38</v>
      </c>
      <c r="H572" s="44" t="n">
        <v>40</v>
      </c>
      <c r="I572" s="0" t="n">
        <f aca="false">VLOOKUP(C572,[1]M0113A!$A$1:$Z$211,24,TRUE())+(G572/100)</f>
        <v>277.22</v>
      </c>
      <c r="J572" s="0" t="n">
        <f aca="false">I572+0.02</f>
        <v>277.24</v>
      </c>
      <c r="K572" s="54" t="s">
        <v>365</v>
      </c>
      <c r="L572" s="36" t="s">
        <v>106</v>
      </c>
      <c r="M572" s="53" t="n">
        <f aca="false">I572-I571</f>
        <v>2.38</v>
      </c>
    </row>
    <row r="573" customFormat="false" ht="14.25" hidden="false" customHeight="false" outlineLevel="0" collapsed="false">
      <c r="A573" s="44" t="s">
        <v>90</v>
      </c>
      <c r="B573" s="44" t="s">
        <v>85</v>
      </c>
      <c r="C573" s="44" t="n">
        <v>175</v>
      </c>
      <c r="D573" s="44" t="s">
        <v>44</v>
      </c>
      <c r="E573" s="44" t="n">
        <v>1</v>
      </c>
      <c r="F573" s="44" t="s">
        <v>104</v>
      </c>
      <c r="G573" s="0" t="n">
        <v>38</v>
      </c>
      <c r="H573" s="44" t="n">
        <v>40</v>
      </c>
      <c r="I573" s="0" t="n">
        <f aca="false">VLOOKUP(C573,[1]M0113A!$A$1:$Z$211,24,TRUE())+(G573/100)</f>
        <v>278.12</v>
      </c>
      <c r="J573" s="0" t="n">
        <f aca="false">I573+0.02</f>
        <v>278.14</v>
      </c>
      <c r="K573" s="54" t="s">
        <v>398</v>
      </c>
      <c r="L573" s="36" t="s">
        <v>106</v>
      </c>
      <c r="M573" s="53" t="n">
        <f aca="false">I573-I572</f>
        <v>0.900000000000034</v>
      </c>
    </row>
    <row r="574" customFormat="false" ht="14.25" hidden="false" customHeight="false" outlineLevel="0" collapsed="false">
      <c r="A574" s="44" t="s">
        <v>90</v>
      </c>
      <c r="B574" s="44" t="s">
        <v>85</v>
      </c>
      <c r="C574" s="44" t="n">
        <v>176</v>
      </c>
      <c r="D574" s="44" t="s">
        <v>44</v>
      </c>
      <c r="E574" s="44" t="n">
        <v>1</v>
      </c>
      <c r="F574" s="44" t="s">
        <v>104</v>
      </c>
      <c r="G574" s="0" t="n">
        <v>28</v>
      </c>
      <c r="H574" s="44" t="n">
        <v>30</v>
      </c>
      <c r="I574" s="0" t="n">
        <f aca="false">VLOOKUP(C574,[1]M0113A!$A$1:$Z$211,24,TRUE())+(G574/100)</f>
        <v>280.02</v>
      </c>
      <c r="J574" s="0" t="n">
        <f aca="false">I574+0.02</f>
        <v>280.04</v>
      </c>
      <c r="K574" s="54" t="s">
        <v>398</v>
      </c>
      <c r="L574" s="36" t="s">
        <v>111</v>
      </c>
      <c r="M574" s="53" t="n">
        <f aca="false">I574-I573</f>
        <v>1.89999999999998</v>
      </c>
    </row>
    <row r="575" customFormat="false" ht="14.25" hidden="false" customHeight="false" outlineLevel="0" collapsed="false">
      <c r="A575" s="44" t="s">
        <v>90</v>
      </c>
      <c r="B575" s="44" t="s">
        <v>85</v>
      </c>
      <c r="C575" s="44" t="n">
        <v>177</v>
      </c>
      <c r="D575" s="44" t="s">
        <v>40</v>
      </c>
      <c r="E575" s="44" t="n">
        <v>1</v>
      </c>
      <c r="F575" s="44" t="s">
        <v>104</v>
      </c>
      <c r="G575" s="0" t="n">
        <v>38</v>
      </c>
      <c r="H575" s="44" t="n">
        <v>40</v>
      </c>
      <c r="I575" s="0" t="n">
        <f aca="false">VLOOKUP(C575,[1]M0113A!$A$1:$Z$211,24,TRUE())+(G575/100)</f>
        <v>281.87</v>
      </c>
      <c r="J575" s="0" t="n">
        <f aca="false">I575+0.02</f>
        <v>281.89</v>
      </c>
      <c r="K575" s="0" t="s">
        <v>399</v>
      </c>
      <c r="L575" s="36" t="s">
        <v>106</v>
      </c>
      <c r="M575" s="53" t="n">
        <f aca="false">I575-I574</f>
        <v>1.85000000000002</v>
      </c>
    </row>
    <row r="576" customFormat="false" ht="14.25" hidden="false" customHeight="false" outlineLevel="0" collapsed="false">
      <c r="A576" s="44" t="s">
        <v>90</v>
      </c>
      <c r="B576" s="44" t="s">
        <v>85</v>
      </c>
      <c r="C576" s="44" t="n">
        <v>178</v>
      </c>
      <c r="D576" s="44" t="s">
        <v>40</v>
      </c>
      <c r="E576" s="44" t="n">
        <v>1</v>
      </c>
      <c r="F576" s="44" t="s">
        <v>104</v>
      </c>
      <c r="G576" s="0" t="n">
        <v>38</v>
      </c>
      <c r="H576" s="44" t="n">
        <v>40</v>
      </c>
      <c r="I576" s="0" t="n">
        <f aca="false">VLOOKUP(C576,[1]M0113A!$A$1:$Z$211,24,TRUE())+(G576/100)</f>
        <v>283.27</v>
      </c>
      <c r="J576" s="0" t="n">
        <f aca="false">I576+0.02</f>
        <v>283.29</v>
      </c>
      <c r="K576" s="0" t="s">
        <v>399</v>
      </c>
      <c r="L576" s="36" t="s">
        <v>106</v>
      </c>
      <c r="M576" s="53" t="n">
        <f aca="false">I576-I575</f>
        <v>1.39999999999998</v>
      </c>
    </row>
    <row r="577" customFormat="false" ht="14.25" hidden="false" customHeight="false" outlineLevel="0" collapsed="false">
      <c r="A577" s="44" t="s">
        <v>90</v>
      </c>
      <c r="B577" s="44" t="s">
        <v>85</v>
      </c>
      <c r="C577" s="44" t="n">
        <v>179</v>
      </c>
      <c r="D577" s="44" t="s">
        <v>40</v>
      </c>
      <c r="E577" s="44" t="n">
        <v>1</v>
      </c>
      <c r="F577" s="44" t="s">
        <v>104</v>
      </c>
      <c r="G577" s="0" t="n">
        <v>38</v>
      </c>
      <c r="H577" s="44" t="n">
        <v>40</v>
      </c>
      <c r="I577" s="0" t="n">
        <f aca="false">VLOOKUP(C577,[1]M0113A!$A$1:$Z$211,24,TRUE())+(G577/100)</f>
        <v>285.17</v>
      </c>
      <c r="J577" s="0" t="n">
        <f aca="false">I577+0.02</f>
        <v>285.19</v>
      </c>
      <c r="K577" s="54" t="s">
        <v>400</v>
      </c>
      <c r="L577" s="36" t="s">
        <v>106</v>
      </c>
      <c r="M577" s="53" t="n">
        <f aca="false">I577-I576</f>
        <v>1.90000000000003</v>
      </c>
    </row>
    <row r="578" customFormat="false" ht="14.25" hidden="false" customHeight="false" outlineLevel="0" collapsed="false">
      <c r="A578" s="44" t="s">
        <v>90</v>
      </c>
      <c r="B578" s="44" t="s">
        <v>85</v>
      </c>
      <c r="C578" s="44" t="n">
        <v>180</v>
      </c>
      <c r="D578" s="44" t="s">
        <v>40</v>
      </c>
      <c r="E578" s="44" t="n">
        <v>1</v>
      </c>
      <c r="F578" s="44" t="s">
        <v>104</v>
      </c>
      <c r="G578" s="0" t="n">
        <v>38</v>
      </c>
      <c r="H578" s="44" t="n">
        <v>40</v>
      </c>
      <c r="I578" s="0" t="n">
        <f aca="false">VLOOKUP(C578,[1]M0113A!$A$1:$Z$211,24,TRUE())+(G578/100)</f>
        <v>286.47</v>
      </c>
      <c r="J578" s="0" t="n">
        <f aca="false">I578+0.02</f>
        <v>286.49</v>
      </c>
      <c r="K578" s="54" t="s">
        <v>401</v>
      </c>
      <c r="L578" s="36" t="s">
        <v>106</v>
      </c>
      <c r="M578" s="53" t="n">
        <f aca="false">I578-I577</f>
        <v>1.29999999999995</v>
      </c>
    </row>
    <row r="579" customFormat="false" ht="14.25" hidden="false" customHeight="false" outlineLevel="0" collapsed="false">
      <c r="A579" s="44" t="s">
        <v>90</v>
      </c>
      <c r="B579" s="44" t="s">
        <v>85</v>
      </c>
      <c r="C579" s="44" t="n">
        <v>181</v>
      </c>
      <c r="D579" s="44" t="s">
        <v>40</v>
      </c>
      <c r="E579" s="44" t="n">
        <v>1</v>
      </c>
      <c r="F579" s="44" t="s">
        <v>104</v>
      </c>
      <c r="G579" s="0" t="n">
        <v>38</v>
      </c>
      <c r="H579" s="44" t="n">
        <v>40</v>
      </c>
      <c r="I579" s="0" t="n">
        <f aca="false">VLOOKUP(C579,[1]M0113A!$A$1:$Z$211,24,TRUE())+(G579/100)</f>
        <v>287.37</v>
      </c>
      <c r="J579" s="0" t="n">
        <f aca="false">I579+0.02</f>
        <v>287.39</v>
      </c>
      <c r="K579" s="54" t="s">
        <v>401</v>
      </c>
      <c r="L579" s="36" t="s">
        <v>106</v>
      </c>
      <c r="M579" s="53" t="n">
        <f aca="false">I579-I578</f>
        <v>0.900000000000034</v>
      </c>
    </row>
    <row r="580" customFormat="false" ht="14.25" hidden="false" customHeight="false" outlineLevel="0" collapsed="false">
      <c r="A580" s="44" t="s">
        <v>90</v>
      </c>
      <c r="B580" s="44" t="s">
        <v>85</v>
      </c>
      <c r="C580" s="44" t="n">
        <v>182</v>
      </c>
      <c r="D580" s="44" t="s">
        <v>40</v>
      </c>
      <c r="E580" s="44" t="n">
        <v>1</v>
      </c>
      <c r="F580" s="44" t="s">
        <v>104</v>
      </c>
      <c r="G580" s="0" t="n">
        <v>38</v>
      </c>
      <c r="H580" s="44" t="n">
        <v>40</v>
      </c>
      <c r="I580" s="0" t="n">
        <f aca="false">VLOOKUP(C580,[1]M0113A!$A$1:$Z$211,24,TRUE())+(G580/100)</f>
        <v>288.78</v>
      </c>
      <c r="J580" s="0" t="n">
        <f aca="false">I580+0.02</f>
        <v>288.8</v>
      </c>
      <c r="K580" s="54" t="s">
        <v>401</v>
      </c>
      <c r="L580" s="36" t="s">
        <v>106</v>
      </c>
      <c r="M580" s="53" t="n">
        <f aca="false">I580-I579</f>
        <v>1.40999999999997</v>
      </c>
    </row>
    <row r="581" customFormat="false" ht="14.25" hidden="false" customHeight="false" outlineLevel="0" collapsed="false">
      <c r="A581" s="44" t="s">
        <v>90</v>
      </c>
      <c r="B581" s="44" t="s">
        <v>85</v>
      </c>
      <c r="C581" s="44" t="n">
        <v>184</v>
      </c>
      <c r="D581" s="44" t="s">
        <v>40</v>
      </c>
      <c r="E581" s="44" t="n">
        <v>1</v>
      </c>
      <c r="F581" s="44" t="s">
        <v>104</v>
      </c>
      <c r="G581" s="0" t="n">
        <v>38</v>
      </c>
      <c r="H581" s="44" t="n">
        <v>40</v>
      </c>
      <c r="I581" s="0" t="n">
        <f aca="false">VLOOKUP(C581,[1]M0113A!$A$1:$Z$211,24,TRUE())+(G581/100)</f>
        <v>291.27</v>
      </c>
      <c r="J581" s="0" t="n">
        <f aca="false">I581+0.02</f>
        <v>291.29</v>
      </c>
      <c r="K581" s="54" t="s">
        <v>402</v>
      </c>
      <c r="L581" s="36" t="s">
        <v>106</v>
      </c>
      <c r="M581" s="53" t="n">
        <f aca="false">I581-I580</f>
        <v>2.49000000000001</v>
      </c>
    </row>
    <row r="582" customFormat="false" ht="14.25" hidden="false" customHeight="false" outlineLevel="0" collapsed="false">
      <c r="A582" s="44" t="s">
        <v>90</v>
      </c>
      <c r="B582" s="44" t="s">
        <v>85</v>
      </c>
      <c r="C582" s="44" t="n">
        <v>185</v>
      </c>
      <c r="D582" s="44" t="s">
        <v>40</v>
      </c>
      <c r="E582" s="44" t="n">
        <v>1</v>
      </c>
      <c r="F582" s="44" t="s">
        <v>104</v>
      </c>
      <c r="G582" s="0" t="n">
        <v>38</v>
      </c>
      <c r="H582" s="44" t="n">
        <v>40</v>
      </c>
      <c r="I582" s="0" t="n">
        <f aca="false">VLOOKUP(C582,[1]M0113A!$A$1:$Z$211,24,TRUE())+(G582/100)</f>
        <v>292.57</v>
      </c>
      <c r="J582" s="0" t="n">
        <f aca="false">I582+0.02</f>
        <v>292.59</v>
      </c>
      <c r="K582" s="54" t="s">
        <v>402</v>
      </c>
      <c r="L582" s="36" t="s">
        <v>106</v>
      </c>
      <c r="M582" s="53" t="n">
        <f aca="false">I582-I581</f>
        <v>1.30000000000001</v>
      </c>
    </row>
    <row r="583" customFormat="false" ht="14.25" hidden="false" customHeight="false" outlineLevel="0" collapsed="false">
      <c r="A583" s="44" t="s">
        <v>90</v>
      </c>
      <c r="B583" s="44" t="s">
        <v>85</v>
      </c>
      <c r="C583" s="44" t="n">
        <v>187</v>
      </c>
      <c r="D583" s="44" t="s">
        <v>40</v>
      </c>
      <c r="E583" s="44" t="n">
        <v>1</v>
      </c>
      <c r="F583" s="44" t="s">
        <v>104</v>
      </c>
      <c r="G583" s="0" t="n">
        <v>38</v>
      </c>
      <c r="H583" s="44" t="n">
        <v>40</v>
      </c>
      <c r="I583" s="0" t="n">
        <f aca="false">VLOOKUP(C583,[1]M0113A!$A$1:$Z$211,24,TRUE())+(G583/100)</f>
        <v>294.27</v>
      </c>
      <c r="J583" s="0" t="n">
        <f aca="false">I583+0.02</f>
        <v>294.29</v>
      </c>
      <c r="K583" s="54" t="s">
        <v>402</v>
      </c>
      <c r="L583" s="36" t="s">
        <v>106</v>
      </c>
      <c r="M583" s="53" t="n">
        <f aca="false">I583-I582</f>
        <v>1.69999999999999</v>
      </c>
    </row>
    <row r="584" customFormat="false" ht="14.25" hidden="false" customHeight="false" outlineLevel="0" collapsed="false">
      <c r="A584" s="44" t="s">
        <v>90</v>
      </c>
      <c r="B584" s="44" t="s">
        <v>85</v>
      </c>
      <c r="C584" s="44" t="n">
        <v>188</v>
      </c>
      <c r="D584" s="44" t="s">
        <v>40</v>
      </c>
      <c r="E584" s="44" t="n">
        <v>1</v>
      </c>
      <c r="F584" s="44" t="s">
        <v>104</v>
      </c>
      <c r="G584" s="0" t="n">
        <v>38</v>
      </c>
      <c r="H584" s="44" t="n">
        <v>40</v>
      </c>
      <c r="I584" s="0" t="n">
        <f aca="false">VLOOKUP(C584,[1]M0113A!$A$1:$Z$211,24,TRUE())+(G584/100)</f>
        <v>294.85</v>
      </c>
      <c r="J584" s="0" t="n">
        <f aca="false">I584+0.02</f>
        <v>294.87</v>
      </c>
      <c r="K584" s="54" t="s">
        <v>397</v>
      </c>
      <c r="L584" s="36" t="s">
        <v>106</v>
      </c>
      <c r="M584" s="53" t="n">
        <f aca="false">I584-I583</f>
        <v>0.580000000000041</v>
      </c>
    </row>
    <row r="585" customFormat="false" ht="14.25" hidden="false" customHeight="false" outlineLevel="0" collapsed="false">
      <c r="A585" s="44" t="s">
        <v>90</v>
      </c>
      <c r="B585" s="44" t="s">
        <v>85</v>
      </c>
      <c r="C585" s="44" t="n">
        <v>189</v>
      </c>
      <c r="D585" s="44" t="s">
        <v>44</v>
      </c>
      <c r="E585" s="44" t="n">
        <v>1</v>
      </c>
      <c r="F585" s="44" t="s">
        <v>104</v>
      </c>
      <c r="G585" s="0" t="n">
        <v>28</v>
      </c>
      <c r="H585" s="44" t="n">
        <v>30</v>
      </c>
      <c r="I585" s="0" t="n">
        <f aca="false">VLOOKUP(C585,[1]M0113A!$A$1:$Z$211,24,TRUE())+(G585/100)</f>
        <v>295.69</v>
      </c>
      <c r="J585" s="0" t="n">
        <f aca="false">I585+0.02</f>
        <v>295.71</v>
      </c>
      <c r="K585" s="54" t="s">
        <v>403</v>
      </c>
      <c r="L585" s="36" t="s">
        <v>111</v>
      </c>
      <c r="M585" s="53" t="n">
        <f aca="false">I585-I584</f>
        <v>0.839999999999975</v>
      </c>
    </row>
    <row r="586" customFormat="false" ht="14.25" hidden="false" customHeight="false" outlineLevel="0" collapsed="false">
      <c r="A586" s="44" t="s">
        <v>90</v>
      </c>
      <c r="B586" s="44" t="s">
        <v>85</v>
      </c>
      <c r="C586" s="44" t="n">
        <v>190</v>
      </c>
      <c r="D586" s="44" t="s">
        <v>44</v>
      </c>
      <c r="E586" s="44" t="n">
        <v>1</v>
      </c>
      <c r="F586" s="44" t="s">
        <v>104</v>
      </c>
      <c r="G586" s="0" t="n">
        <v>18</v>
      </c>
      <c r="H586" s="44" t="n">
        <v>20</v>
      </c>
      <c r="I586" s="0" t="n">
        <f aca="false">VLOOKUP(C586,[1]M0113A!$A$1:$Z$211,24,TRUE())+(G586/100)</f>
        <v>296.67</v>
      </c>
      <c r="J586" s="0" t="n">
        <f aca="false">I586+0.02</f>
        <v>296.69</v>
      </c>
      <c r="K586" s="54" t="s">
        <v>404</v>
      </c>
      <c r="L586" s="36" t="s">
        <v>111</v>
      </c>
      <c r="M586" s="53" t="n">
        <f aca="false">I586-I585</f>
        <v>0.980000000000018</v>
      </c>
    </row>
    <row r="587" customFormat="false" ht="14.25" hidden="false" customHeight="false" outlineLevel="0" collapsed="false">
      <c r="A587" s="44" t="s">
        <v>90</v>
      </c>
      <c r="B587" s="44" t="s">
        <v>85</v>
      </c>
      <c r="C587" s="44" t="n">
        <v>191</v>
      </c>
      <c r="D587" s="44" t="s">
        <v>40</v>
      </c>
      <c r="E587" s="44" t="n">
        <v>1</v>
      </c>
      <c r="F587" s="44" t="s">
        <v>104</v>
      </c>
      <c r="G587" s="0" t="n">
        <v>38</v>
      </c>
      <c r="H587" s="44" t="n">
        <v>40</v>
      </c>
      <c r="I587" s="0" t="n">
        <f aca="false">VLOOKUP(C587,[1]M0113A!$A$1:$Z$211,24,TRUE())+(G587/100)</f>
        <v>298.37</v>
      </c>
      <c r="J587" s="0" t="n">
        <f aca="false">I587+0.02</f>
        <v>298.39</v>
      </c>
      <c r="K587" s="54" t="s">
        <v>404</v>
      </c>
      <c r="L587" s="36" t="s">
        <v>106</v>
      </c>
      <c r="M587" s="53" t="n">
        <f aca="false">I587-I586</f>
        <v>1.69999999999999</v>
      </c>
    </row>
    <row r="588" customFormat="false" ht="14.25" hidden="false" customHeight="false" outlineLevel="0" collapsed="false">
      <c r="A588" s="44" t="s">
        <v>90</v>
      </c>
      <c r="B588" s="44" t="s">
        <v>85</v>
      </c>
      <c r="C588" s="44" t="n">
        <v>192</v>
      </c>
      <c r="D588" s="44" t="s">
        <v>40</v>
      </c>
      <c r="E588" s="44" t="n">
        <v>1</v>
      </c>
      <c r="F588" s="44" t="s">
        <v>104</v>
      </c>
      <c r="G588" s="0" t="n">
        <v>38</v>
      </c>
      <c r="H588" s="44" t="n">
        <v>40</v>
      </c>
      <c r="I588" s="0" t="n">
        <f aca="false">VLOOKUP(C588,[1]M0113A!$A$1:$Z$211,24,TRUE())+(G588/100)</f>
        <v>300.21</v>
      </c>
      <c r="J588" s="0" t="n">
        <f aca="false">I588+0.02</f>
        <v>300.23</v>
      </c>
      <c r="K588" s="54" t="s">
        <v>404</v>
      </c>
      <c r="L588" s="36" t="s">
        <v>106</v>
      </c>
      <c r="M588" s="53" t="n">
        <f aca="false">I588-I587</f>
        <v>1.83999999999998</v>
      </c>
    </row>
    <row r="589" customFormat="false" ht="14.25" hidden="false" customHeight="false" outlineLevel="0" collapsed="false">
      <c r="A589" s="44" t="s">
        <v>90</v>
      </c>
      <c r="B589" s="44" t="s">
        <v>85</v>
      </c>
      <c r="C589" s="44" t="n">
        <v>193</v>
      </c>
      <c r="D589" s="44" t="s">
        <v>40</v>
      </c>
      <c r="E589" s="44" t="n">
        <v>1</v>
      </c>
      <c r="F589" s="44" t="s">
        <v>104</v>
      </c>
      <c r="G589" s="0" t="n">
        <v>38</v>
      </c>
      <c r="H589" s="44" t="n">
        <v>40</v>
      </c>
      <c r="I589" s="0" t="n">
        <f aca="false">VLOOKUP(C589,[1]M0113A!$A$1:$Z$211,24,TRUE())+(G589/100)</f>
        <v>301.35</v>
      </c>
      <c r="J589" s="0" t="n">
        <f aca="false">I589+0.02</f>
        <v>301.37</v>
      </c>
      <c r="K589" s="54" t="s">
        <v>404</v>
      </c>
      <c r="L589" s="36" t="s">
        <v>106</v>
      </c>
      <c r="M589" s="53" t="n">
        <f aca="false">I589-I588</f>
        <v>1.14000000000004</v>
      </c>
    </row>
    <row r="590" customFormat="false" ht="14.25" hidden="false" customHeight="false" outlineLevel="0" collapsed="false">
      <c r="A590" s="44" t="s">
        <v>90</v>
      </c>
      <c r="B590" s="44" t="s">
        <v>85</v>
      </c>
      <c r="C590" s="44" t="n">
        <v>195</v>
      </c>
      <c r="D590" s="44" t="s">
        <v>40</v>
      </c>
      <c r="E590" s="44" t="n">
        <v>1</v>
      </c>
      <c r="F590" s="44" t="s">
        <v>104</v>
      </c>
      <c r="G590" s="0" t="n">
        <v>38</v>
      </c>
      <c r="H590" s="44" t="n">
        <v>40</v>
      </c>
      <c r="I590" s="0" t="n">
        <f aca="false">VLOOKUP(C590,[1]M0113A!$A$1:$Z$211,24,TRUE())+(G590/100)</f>
        <v>303.07</v>
      </c>
      <c r="J590" s="0" t="n">
        <f aca="false">I590+0.02</f>
        <v>303.09</v>
      </c>
      <c r="K590" s="54" t="s">
        <v>404</v>
      </c>
      <c r="L590" s="36" t="s">
        <v>106</v>
      </c>
      <c r="M590" s="53" t="n">
        <f aca="false">I590-I589</f>
        <v>1.71999999999997</v>
      </c>
    </row>
    <row r="591" customFormat="false" ht="14.25" hidden="false" customHeight="false" outlineLevel="0" collapsed="false">
      <c r="A591" s="44" t="s">
        <v>90</v>
      </c>
      <c r="B591" s="44" t="s">
        <v>85</v>
      </c>
      <c r="C591" s="44" t="n">
        <v>196</v>
      </c>
      <c r="D591" s="44" t="s">
        <v>40</v>
      </c>
      <c r="E591" s="44" t="n">
        <v>1</v>
      </c>
      <c r="F591" s="44" t="s">
        <v>104</v>
      </c>
      <c r="G591" s="0" t="n">
        <v>38</v>
      </c>
      <c r="H591" s="44" t="n">
        <v>40</v>
      </c>
      <c r="I591" s="0" t="n">
        <f aca="false">VLOOKUP(C591,[1]M0113A!$A$1:$Z$211,24,TRUE())+(G591/100)</f>
        <v>303.64</v>
      </c>
      <c r="J591" s="0" t="n">
        <f aca="false">I591+0.02</f>
        <v>303.66</v>
      </c>
      <c r="K591" s="54" t="s">
        <v>404</v>
      </c>
      <c r="L591" s="36" t="s">
        <v>106</v>
      </c>
      <c r="M591" s="53" t="n">
        <f aca="false">I591-I590</f>
        <v>0.569999999999993</v>
      </c>
    </row>
    <row r="592" customFormat="false" ht="14.25" hidden="false" customHeight="false" outlineLevel="0" collapsed="false">
      <c r="A592" s="44" t="s">
        <v>90</v>
      </c>
      <c r="B592" s="44" t="s">
        <v>85</v>
      </c>
      <c r="C592" s="44" t="n">
        <v>197</v>
      </c>
      <c r="D592" s="44" t="s">
        <v>40</v>
      </c>
      <c r="E592" s="44" t="n">
        <v>1</v>
      </c>
      <c r="F592" s="44" t="s">
        <v>104</v>
      </c>
      <c r="G592" s="0" t="n">
        <v>38</v>
      </c>
      <c r="H592" s="44" t="n">
        <v>40</v>
      </c>
      <c r="I592" s="0" t="n">
        <f aca="false">VLOOKUP(C592,[1]M0113A!$A$1:$Z$211,24,TRUE())+(G592/100)</f>
        <v>305.17</v>
      </c>
      <c r="J592" s="0" t="n">
        <f aca="false">I592+0.02</f>
        <v>305.19</v>
      </c>
      <c r="K592" s="54" t="s">
        <v>404</v>
      </c>
      <c r="L592" s="36" t="s">
        <v>106</v>
      </c>
      <c r="M592" s="53" t="n">
        <f aca="false">I592-I591</f>
        <v>1.53000000000003</v>
      </c>
    </row>
    <row r="593" customFormat="false" ht="14.25" hidden="false" customHeight="false" outlineLevel="0" collapsed="false">
      <c r="A593" s="56" t="s">
        <v>90</v>
      </c>
      <c r="B593" s="56" t="s">
        <v>85</v>
      </c>
      <c r="C593" s="56" t="n">
        <v>199</v>
      </c>
      <c r="D593" s="56" t="s">
        <v>40</v>
      </c>
      <c r="E593" s="56" t="n">
        <v>1</v>
      </c>
      <c r="F593" s="56" t="s">
        <v>104</v>
      </c>
      <c r="G593" s="57" t="n">
        <v>38</v>
      </c>
      <c r="H593" s="56" t="n">
        <v>40</v>
      </c>
      <c r="I593" s="57" t="n">
        <f aca="false">VLOOKUP(C593,[1]M0113A!$A$1:$Z$211,24,TRUE())+(G593/100)</f>
        <v>306.42</v>
      </c>
      <c r="J593" s="57" t="n">
        <f aca="false">I593+0.02</f>
        <v>306.44</v>
      </c>
      <c r="K593" s="63" t="s">
        <v>405</v>
      </c>
      <c r="L593" s="60" t="s">
        <v>106</v>
      </c>
      <c r="M593" s="58" t="n">
        <f aca="false">I593-I592</f>
        <v>1.25</v>
      </c>
    </row>
    <row r="594" customFormat="false" ht="14.25" hidden="false" customHeight="false" outlineLevel="0" collapsed="false">
      <c r="A594" s="56" t="s">
        <v>90</v>
      </c>
      <c r="B594" s="56" t="s">
        <v>85</v>
      </c>
      <c r="C594" s="56" t="n">
        <v>200</v>
      </c>
      <c r="D594" s="56" t="s">
        <v>44</v>
      </c>
      <c r="E594" s="56" t="n">
        <v>1</v>
      </c>
      <c r="F594" s="56" t="s">
        <v>104</v>
      </c>
      <c r="G594" s="57" t="n">
        <v>38</v>
      </c>
      <c r="H594" s="56" t="n">
        <v>40</v>
      </c>
      <c r="I594" s="57" t="n">
        <f aca="false">VLOOKUP(C594,[1]M0113A!$A$1:$Z$211,24,TRUE())+(G594/100)</f>
        <v>306.84</v>
      </c>
      <c r="J594" s="57" t="n">
        <f aca="false">I594+0.02</f>
        <v>306.86</v>
      </c>
      <c r="K594" s="63" t="s">
        <v>406</v>
      </c>
      <c r="L594" s="60" t="s">
        <v>106</v>
      </c>
      <c r="M594" s="58" t="n">
        <f aca="false">I594-I593</f>
        <v>0.419999999999959</v>
      </c>
    </row>
    <row r="595" customFormat="false" ht="14.25" hidden="false" customHeight="false" outlineLevel="0" collapsed="false">
      <c r="A595" s="56" t="s">
        <v>90</v>
      </c>
      <c r="B595" s="56" t="s">
        <v>85</v>
      </c>
      <c r="C595" s="56" t="n">
        <v>201</v>
      </c>
      <c r="D595" s="56" t="s">
        <v>44</v>
      </c>
      <c r="E595" s="56" t="n">
        <v>1</v>
      </c>
      <c r="F595" s="56" t="s">
        <v>104</v>
      </c>
      <c r="G595" s="57" t="n">
        <v>28</v>
      </c>
      <c r="H595" s="56" t="n">
        <v>30</v>
      </c>
      <c r="I595" s="57" t="n">
        <f aca="false">VLOOKUP(C595,[1]M0113A!$A$1:$Z$211,24,TRUE())+(G595/100)</f>
        <v>308.77</v>
      </c>
      <c r="J595" s="57" t="n">
        <f aca="false">I595+0.02</f>
        <v>308.79</v>
      </c>
      <c r="K595" s="63" t="s">
        <v>406</v>
      </c>
      <c r="L595" s="60" t="s">
        <v>111</v>
      </c>
      <c r="M595" s="58" t="n">
        <f aca="false">I595-I594</f>
        <v>1.93000000000001</v>
      </c>
    </row>
    <row r="596" customFormat="false" ht="14.25" hidden="false" customHeight="false" outlineLevel="0" collapsed="false">
      <c r="A596" s="56" t="s">
        <v>90</v>
      </c>
      <c r="B596" s="56" t="s">
        <v>85</v>
      </c>
      <c r="C596" s="56" t="n">
        <v>202</v>
      </c>
      <c r="D596" s="56" t="s">
        <v>44</v>
      </c>
      <c r="E596" s="56" t="n">
        <v>1</v>
      </c>
      <c r="F596" s="56" t="s">
        <v>104</v>
      </c>
      <c r="G596" s="57" t="n">
        <v>38</v>
      </c>
      <c r="H596" s="56" t="n">
        <v>40</v>
      </c>
      <c r="I596" s="57" t="n">
        <f aca="false">VLOOKUP(C596,[1]M0113A!$A$1:$Z$211,24,TRUE())+(G596/100)</f>
        <v>311.87</v>
      </c>
      <c r="J596" s="57" t="n">
        <f aca="false">I596+0.02</f>
        <v>311.89</v>
      </c>
      <c r="K596" s="63" t="s">
        <v>406</v>
      </c>
      <c r="L596" s="60" t="s">
        <v>106</v>
      </c>
      <c r="M596" s="58" t="n">
        <f aca="false">I596-I595</f>
        <v>3.10000000000002</v>
      </c>
    </row>
    <row r="597" customFormat="false" ht="14.25" hidden="false" customHeight="false" outlineLevel="0" collapsed="false">
      <c r="A597" s="56" t="s">
        <v>90</v>
      </c>
      <c r="B597" s="56" t="s">
        <v>85</v>
      </c>
      <c r="C597" s="56" t="n">
        <v>203</v>
      </c>
      <c r="D597" s="56" t="s">
        <v>44</v>
      </c>
      <c r="E597" s="56" t="n">
        <v>1</v>
      </c>
      <c r="F597" s="56" t="s">
        <v>104</v>
      </c>
      <c r="G597" s="57" t="n">
        <v>38</v>
      </c>
      <c r="H597" s="56" t="n">
        <v>40</v>
      </c>
      <c r="I597" s="57" t="n">
        <f aca="false">VLOOKUP(C597,[1]M0113A!$A$1:$Z$211,24,TRUE())+(G597/100)</f>
        <v>313.37</v>
      </c>
      <c r="J597" s="57" t="n">
        <f aca="false">I597+0.02</f>
        <v>313.39</v>
      </c>
      <c r="K597" s="63" t="s">
        <v>406</v>
      </c>
      <c r="L597" s="60" t="s">
        <v>106</v>
      </c>
      <c r="M597" s="58" t="n">
        <f aca="false">I597-I596</f>
        <v>1.5</v>
      </c>
    </row>
    <row r="598" customFormat="false" ht="14.25" hidden="false" customHeight="false" outlineLevel="0" collapsed="false">
      <c r="A598" s="56" t="s">
        <v>90</v>
      </c>
      <c r="B598" s="56" t="s">
        <v>85</v>
      </c>
      <c r="C598" s="56" t="n">
        <v>204</v>
      </c>
      <c r="D598" s="56" t="s">
        <v>44</v>
      </c>
      <c r="E598" s="56" t="n">
        <v>1</v>
      </c>
      <c r="F598" s="56" t="s">
        <v>104</v>
      </c>
      <c r="G598" s="57" t="n">
        <v>28</v>
      </c>
      <c r="H598" s="56" t="n">
        <v>30</v>
      </c>
      <c r="I598" s="57" t="n">
        <f aca="false">VLOOKUP(C598,[1]M0113A!$A$1:$Z$211,24,TRUE())+(G598/100)</f>
        <v>314.77</v>
      </c>
      <c r="J598" s="57" t="n">
        <f aca="false">I598+0.02</f>
        <v>314.79</v>
      </c>
      <c r="K598" s="63" t="s">
        <v>406</v>
      </c>
      <c r="L598" s="60" t="s">
        <v>106</v>
      </c>
      <c r="M598" s="58" t="n">
        <f aca="false">I598-I597</f>
        <v>1.39999999999998</v>
      </c>
    </row>
    <row r="599" customFormat="false" ht="14.25" hidden="false" customHeight="false" outlineLevel="0" collapsed="false">
      <c r="A599" s="56" t="s">
        <v>90</v>
      </c>
      <c r="B599" s="56" t="s">
        <v>85</v>
      </c>
      <c r="C599" s="56" t="n">
        <v>205</v>
      </c>
      <c r="D599" s="56" t="s">
        <v>44</v>
      </c>
      <c r="E599" s="56" t="n">
        <v>1</v>
      </c>
      <c r="F599" s="56" t="s">
        <v>104</v>
      </c>
      <c r="G599" s="57" t="n">
        <v>38</v>
      </c>
      <c r="H599" s="56" t="n">
        <v>40</v>
      </c>
      <c r="I599" s="57" t="n">
        <f aca="false">VLOOKUP(C599,[1]M0113A!$A$1:$Z$211,24,TRUE())+(G599/100)</f>
        <v>316.37</v>
      </c>
      <c r="J599" s="57" t="n">
        <f aca="false">I599+0.02</f>
        <v>316.39</v>
      </c>
      <c r="K599" s="63" t="s">
        <v>406</v>
      </c>
      <c r="L599" s="60" t="s">
        <v>106</v>
      </c>
      <c r="M599" s="58" t="n">
        <f aca="false">I599-I598</f>
        <v>1.60000000000002</v>
      </c>
    </row>
    <row r="600" customFormat="false" ht="14.25" hidden="false" customHeight="false" outlineLevel="0" collapsed="false">
      <c r="A600" s="56" t="s">
        <v>90</v>
      </c>
      <c r="B600" s="56" t="s">
        <v>85</v>
      </c>
      <c r="C600" s="56" t="n">
        <v>206</v>
      </c>
      <c r="D600" s="56" t="s">
        <v>44</v>
      </c>
      <c r="E600" s="56" t="n">
        <v>1</v>
      </c>
      <c r="F600" s="56" t="s">
        <v>104</v>
      </c>
      <c r="G600" s="57" t="n">
        <v>38</v>
      </c>
      <c r="H600" s="56" t="n">
        <v>40</v>
      </c>
      <c r="I600" s="57" t="n">
        <f aca="false">VLOOKUP(C600,[1]M0113A!$A$1:$Z$211,24,TRUE())+(G600/100)</f>
        <v>317.87</v>
      </c>
      <c r="J600" s="57" t="n">
        <f aca="false">I600+0.02</f>
        <v>317.89</v>
      </c>
      <c r="K600" s="63" t="s">
        <v>406</v>
      </c>
      <c r="L600" s="60" t="s">
        <v>106</v>
      </c>
      <c r="M600" s="58" t="n">
        <f aca="false">I600-I599</f>
        <v>1.5</v>
      </c>
    </row>
    <row r="601" customFormat="false" ht="14.25" hidden="false" customHeight="false" outlineLevel="0" collapsed="false">
      <c r="A601" s="56" t="s">
        <v>90</v>
      </c>
      <c r="B601" s="56" t="s">
        <v>85</v>
      </c>
      <c r="C601" s="56" t="n">
        <v>207</v>
      </c>
      <c r="D601" s="56" t="s">
        <v>44</v>
      </c>
      <c r="E601" s="56" t="n">
        <v>1</v>
      </c>
      <c r="F601" s="56" t="s">
        <v>104</v>
      </c>
      <c r="G601" s="57" t="n">
        <v>38</v>
      </c>
      <c r="H601" s="56" t="n">
        <v>40</v>
      </c>
      <c r="I601" s="57" t="n">
        <f aca="false">VLOOKUP(C601,[1]M0113A!$A$1:$Z$211,24,TRUE())+(G601/100)</f>
        <v>319.37</v>
      </c>
      <c r="J601" s="57" t="n">
        <f aca="false">I601+0.02</f>
        <v>319.39</v>
      </c>
      <c r="K601" s="63" t="s">
        <v>406</v>
      </c>
      <c r="L601" s="60" t="s">
        <v>106</v>
      </c>
      <c r="M601" s="58" t="n">
        <f aca="false">I601-I600</f>
        <v>1.5</v>
      </c>
    </row>
    <row r="602" customFormat="false" ht="14.25" hidden="false" customHeight="false" outlineLevel="0" collapsed="false">
      <c r="A602" s="56" t="s">
        <v>90</v>
      </c>
      <c r="B602" s="56" t="s">
        <v>85</v>
      </c>
      <c r="C602" s="56" t="n">
        <v>208</v>
      </c>
      <c r="D602" s="56" t="s">
        <v>44</v>
      </c>
      <c r="E602" s="56" t="n">
        <v>1</v>
      </c>
      <c r="F602" s="56" t="s">
        <v>104</v>
      </c>
      <c r="G602" s="57" t="n">
        <v>38</v>
      </c>
      <c r="H602" s="56" t="n">
        <v>40</v>
      </c>
      <c r="I602" s="57" t="n">
        <f aca="false">VLOOKUP(C602,[1]M0113A!$A$1:$Z$211,24,TRUE())+(G602/100)</f>
        <v>320.87</v>
      </c>
      <c r="J602" s="57" t="n">
        <f aca="false">I602+0.02</f>
        <v>320.89</v>
      </c>
      <c r="K602" s="63" t="s">
        <v>406</v>
      </c>
      <c r="L602" s="60" t="s">
        <v>106</v>
      </c>
      <c r="M602" s="58" t="n">
        <f aca="false">I602-I601</f>
        <v>1.5</v>
      </c>
    </row>
    <row r="603" customFormat="false" ht="14.25" hidden="false" customHeight="false" outlineLevel="0" collapsed="false">
      <c r="A603" s="44" t="s">
        <v>90</v>
      </c>
      <c r="B603" s="44" t="s">
        <v>85</v>
      </c>
      <c r="C603" s="44" t="n">
        <v>209</v>
      </c>
      <c r="D603" s="44" t="s">
        <v>44</v>
      </c>
      <c r="E603" s="44" t="n">
        <v>1</v>
      </c>
      <c r="F603" s="44" t="s">
        <v>104</v>
      </c>
      <c r="G603" s="0" t="n">
        <v>38</v>
      </c>
      <c r="H603" s="44" t="n">
        <v>40</v>
      </c>
      <c r="I603" s="0" t="n">
        <f aca="false">VLOOKUP(C603,[1]M0113A!$A$1:$Z$211,24,TRUE())+(G603/100)</f>
        <v>322.37</v>
      </c>
      <c r="J603" s="0" t="n">
        <f aca="false">I603+0.02</f>
        <v>322.39</v>
      </c>
      <c r="K603" s="54" t="s">
        <v>407</v>
      </c>
      <c r="L603" s="36" t="s">
        <v>106</v>
      </c>
      <c r="M603" s="53" t="n">
        <f aca="false">I603-I602</f>
        <v>1.5</v>
      </c>
    </row>
    <row r="604" customFormat="false" ht="14.25" hidden="false" customHeight="false" outlineLevel="0" collapsed="false">
      <c r="A604" s="44" t="s">
        <v>90</v>
      </c>
      <c r="B604" s="44" t="s">
        <v>85</v>
      </c>
      <c r="C604" s="44" t="n">
        <v>210</v>
      </c>
      <c r="D604" s="44" t="s">
        <v>44</v>
      </c>
      <c r="E604" s="44" t="n">
        <v>1</v>
      </c>
      <c r="F604" s="44" t="s">
        <v>104</v>
      </c>
      <c r="G604" s="0" t="n">
        <v>38</v>
      </c>
      <c r="H604" s="44" t="n">
        <v>40</v>
      </c>
      <c r="I604" s="0" t="n">
        <f aca="false">VLOOKUP(C604,[1]M0113A!$A$1:$Z$211,24,TRUE())+(G604/100)</f>
        <v>323.87</v>
      </c>
      <c r="J604" s="0" t="n">
        <f aca="false">I604+0.02</f>
        <v>323.89</v>
      </c>
      <c r="K604" s="54" t="s">
        <v>408</v>
      </c>
      <c r="L604" s="36" t="s">
        <v>106</v>
      </c>
      <c r="M604" s="53" t="n">
        <f aca="false">I604-I603</f>
        <v>1.5</v>
      </c>
    </row>
    <row r="605" customFormat="false" ht="14.25" hidden="false" customHeight="false" outlineLevel="0" collapsed="false">
      <c r="L605" s="35"/>
      <c r="M605" s="3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J16" activeCellId="0" sqref="J16"/>
    </sheetView>
  </sheetViews>
  <sheetFormatPr defaultColWidth="8.6328125" defaultRowHeight="14.25" customHeight="true" zeroHeight="false" outlineLevelRow="0" outlineLevelCol="0"/>
  <cols>
    <col collapsed="false" customWidth="true" hidden="false" outlineLevel="0" max="5" min="1" style="44" width="4.09"/>
    <col collapsed="false" customWidth="true" hidden="false" outlineLevel="0" max="7" min="6" style="0" width="7.63"/>
    <col collapsed="false" customWidth="true" hidden="false" outlineLevel="0" max="8" min="8" style="0" width="7"/>
    <col collapsed="false" customWidth="true" hidden="false" outlineLevel="0" max="10" min="10" style="0" width="9.63"/>
    <col collapsed="false" customWidth="true" hidden="false" outlineLevel="0" max="11" min="11" style="65" width="4.09"/>
    <col collapsed="false" customWidth="true" hidden="false" outlineLevel="0" max="12" min="12" style="44" width="9.63"/>
    <col collapsed="false" customWidth="true" hidden="false" outlineLevel="0" max="13" min="13" style="44" width="4.09"/>
    <col collapsed="false" customWidth="true" hidden="false" outlineLevel="0" max="15" min="14" style="44" width="9.63"/>
    <col collapsed="false" customWidth="true" hidden="false" outlineLevel="0" max="17" min="17" style="0" width="9.63"/>
    <col collapsed="false" customWidth="true" hidden="false" outlineLevel="0" max="18" min="18" style="0" width="4.09"/>
  </cols>
  <sheetData>
    <row r="1" customFormat="false" ht="14.25" hidden="false" customHeight="false" outlineLevel="0" collapsed="false">
      <c r="A1" s="66" t="s">
        <v>409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</row>
    <row r="2" s="71" customFormat="true" ht="40.25" hidden="false" customHeight="false" outlineLevel="0" collapsed="false">
      <c r="A2" s="67" t="s">
        <v>1</v>
      </c>
      <c r="B2" s="67" t="s">
        <v>2</v>
      </c>
      <c r="C2" s="67" t="s">
        <v>3</v>
      </c>
      <c r="D2" s="67" t="s">
        <v>4</v>
      </c>
      <c r="E2" s="67" t="s">
        <v>5</v>
      </c>
      <c r="F2" s="68" t="s">
        <v>6</v>
      </c>
      <c r="G2" s="68" t="s">
        <v>410</v>
      </c>
      <c r="H2" s="68" t="s">
        <v>12</v>
      </c>
      <c r="I2" s="69" t="s">
        <v>411</v>
      </c>
      <c r="J2" s="68" t="s">
        <v>412</v>
      </c>
      <c r="K2" s="67" t="s">
        <v>17</v>
      </c>
      <c r="L2" s="68" t="s">
        <v>413</v>
      </c>
      <c r="M2" s="67" t="s">
        <v>17</v>
      </c>
      <c r="N2" s="68" t="s">
        <v>414</v>
      </c>
      <c r="O2" s="68" t="s">
        <v>415</v>
      </c>
      <c r="P2" s="69" t="s">
        <v>416</v>
      </c>
      <c r="Q2" s="68" t="s">
        <v>417</v>
      </c>
      <c r="R2" s="67" t="s">
        <v>418</v>
      </c>
      <c r="S2" s="70" t="s">
        <v>419</v>
      </c>
    </row>
    <row r="3" s="76" customFormat="true" ht="16.15" hidden="false" customHeight="false" outlineLevel="0" collapsed="false">
      <c r="A3" s="72"/>
      <c r="B3" s="72"/>
      <c r="C3" s="72"/>
      <c r="D3" s="72"/>
      <c r="E3" s="72"/>
      <c r="F3" s="73"/>
      <c r="G3" s="73"/>
      <c r="H3" s="73"/>
      <c r="I3" s="74"/>
      <c r="J3" s="73"/>
      <c r="K3" s="75"/>
      <c r="L3" s="72"/>
      <c r="M3" s="72"/>
      <c r="N3" s="72"/>
      <c r="O3" s="72"/>
      <c r="P3" s="74"/>
      <c r="Q3" s="73"/>
      <c r="R3" s="73"/>
      <c r="S3" s="74"/>
    </row>
    <row r="4" s="76" customFormat="true" ht="16.15" hidden="false" customHeight="false" outlineLevel="0" collapsed="false">
      <c r="A4" s="72"/>
      <c r="B4" s="72"/>
      <c r="C4" s="72"/>
      <c r="D4" s="72"/>
      <c r="E4" s="72"/>
      <c r="F4" s="73"/>
      <c r="G4" s="73"/>
      <c r="H4" s="73"/>
      <c r="I4" s="74"/>
      <c r="J4" s="73"/>
      <c r="K4" s="75"/>
      <c r="L4" s="72"/>
      <c r="M4" s="72"/>
      <c r="N4" s="72"/>
      <c r="O4" s="72"/>
      <c r="P4" s="74"/>
      <c r="Q4" s="73"/>
      <c r="R4" s="73"/>
      <c r="S4" s="74"/>
    </row>
    <row r="5" s="76" customFormat="true" ht="16.15" hidden="false" customHeight="false" outlineLevel="0" collapsed="false">
      <c r="A5" s="72"/>
      <c r="B5" s="72"/>
      <c r="C5" s="72"/>
      <c r="D5" s="72"/>
      <c r="E5" s="72"/>
      <c r="F5" s="73"/>
      <c r="G5" s="73"/>
      <c r="H5" s="73"/>
      <c r="I5" s="74"/>
      <c r="J5" s="73"/>
      <c r="K5" s="75"/>
      <c r="L5" s="72"/>
      <c r="M5" s="72"/>
      <c r="N5" s="72"/>
      <c r="O5" s="72"/>
      <c r="P5" s="74"/>
      <c r="Q5" s="73"/>
      <c r="R5" s="73"/>
      <c r="S5" s="74"/>
    </row>
    <row r="6" s="76" customFormat="true" ht="16.15" hidden="false" customHeight="false" outlineLevel="0" collapsed="false">
      <c r="A6" s="72"/>
      <c r="B6" s="72"/>
      <c r="C6" s="72"/>
      <c r="D6" s="72"/>
      <c r="E6" s="72"/>
      <c r="F6" s="73"/>
      <c r="G6" s="73"/>
      <c r="H6" s="73"/>
      <c r="I6" s="74"/>
      <c r="J6" s="73"/>
      <c r="K6" s="75"/>
      <c r="L6" s="72"/>
      <c r="M6" s="72"/>
      <c r="N6" s="72"/>
      <c r="O6" s="72"/>
      <c r="P6" s="74"/>
      <c r="Q6" s="73"/>
      <c r="R6" s="73"/>
      <c r="S6" s="74"/>
    </row>
    <row r="7" s="76" customFormat="true" ht="16.15" hidden="false" customHeight="false" outlineLevel="0" collapsed="false">
      <c r="A7" s="72"/>
      <c r="B7" s="72"/>
      <c r="C7" s="72"/>
      <c r="D7" s="72"/>
      <c r="E7" s="72"/>
      <c r="F7" s="73"/>
      <c r="G7" s="73"/>
      <c r="H7" s="73"/>
      <c r="I7" s="74"/>
      <c r="J7" s="73"/>
      <c r="K7" s="75"/>
      <c r="L7" s="72"/>
      <c r="M7" s="72"/>
      <c r="N7" s="72"/>
      <c r="O7" s="72"/>
      <c r="P7" s="74"/>
      <c r="Q7" s="73"/>
      <c r="R7" s="73"/>
      <c r="S7" s="74"/>
    </row>
    <row r="8" s="76" customFormat="true" ht="16.15" hidden="false" customHeight="false" outlineLevel="0" collapsed="false">
      <c r="A8" s="72"/>
      <c r="B8" s="72"/>
      <c r="C8" s="72"/>
      <c r="D8" s="72"/>
      <c r="E8" s="72"/>
      <c r="F8" s="73"/>
      <c r="G8" s="73"/>
      <c r="H8" s="73"/>
      <c r="I8" s="74"/>
      <c r="J8" s="73"/>
      <c r="K8" s="75"/>
      <c r="L8" s="72"/>
      <c r="M8" s="72"/>
      <c r="N8" s="72"/>
      <c r="O8" s="72"/>
      <c r="P8" s="74"/>
      <c r="Q8" s="73"/>
      <c r="R8" s="73"/>
      <c r="S8" s="74"/>
    </row>
    <row r="9" s="76" customFormat="true" ht="16.15" hidden="false" customHeight="false" outlineLevel="0" collapsed="false">
      <c r="A9" s="72"/>
      <c r="B9" s="72"/>
      <c r="C9" s="72"/>
      <c r="D9" s="72"/>
      <c r="E9" s="72"/>
      <c r="F9" s="73"/>
      <c r="G9" s="73"/>
      <c r="H9" s="73"/>
      <c r="I9" s="74"/>
      <c r="J9" s="73"/>
      <c r="K9" s="75"/>
      <c r="L9" s="72"/>
      <c r="M9" s="72"/>
      <c r="N9" s="72"/>
      <c r="O9" s="72"/>
      <c r="P9" s="74"/>
      <c r="Q9" s="73"/>
      <c r="R9" s="73"/>
      <c r="S9" s="74"/>
    </row>
    <row r="10" s="76" customFormat="true" ht="16.15" hidden="false" customHeight="false" outlineLevel="0" collapsed="false">
      <c r="A10" s="72"/>
      <c r="B10" s="72"/>
      <c r="C10" s="72"/>
      <c r="D10" s="72"/>
      <c r="E10" s="72"/>
      <c r="F10" s="73"/>
      <c r="G10" s="73"/>
      <c r="H10" s="73"/>
      <c r="I10" s="74"/>
      <c r="J10" s="73"/>
      <c r="K10" s="75"/>
      <c r="L10" s="72"/>
      <c r="M10" s="72"/>
      <c r="N10" s="72"/>
      <c r="O10" s="72"/>
      <c r="P10" s="74"/>
      <c r="Q10" s="73"/>
      <c r="R10" s="73"/>
      <c r="S10" s="74"/>
    </row>
    <row r="11" s="76" customFormat="true" ht="16.15" hidden="false" customHeight="false" outlineLevel="0" collapsed="false">
      <c r="A11" s="72"/>
      <c r="B11" s="72"/>
      <c r="C11" s="72"/>
      <c r="D11" s="72"/>
      <c r="E11" s="72"/>
      <c r="F11" s="73"/>
      <c r="G11" s="73"/>
      <c r="H11" s="73"/>
      <c r="I11" s="74"/>
      <c r="J11" s="73"/>
      <c r="K11" s="75"/>
      <c r="L11" s="72"/>
      <c r="M11" s="72"/>
      <c r="N11" s="72"/>
      <c r="O11" s="72"/>
      <c r="P11" s="74"/>
      <c r="Q11" s="73"/>
      <c r="R11" s="73"/>
      <c r="S11" s="74"/>
    </row>
    <row r="12" s="76" customFormat="true" ht="16.15" hidden="false" customHeight="false" outlineLevel="0" collapsed="false">
      <c r="A12" s="72"/>
      <c r="B12" s="72"/>
      <c r="C12" s="72"/>
      <c r="D12" s="72"/>
      <c r="E12" s="72"/>
      <c r="F12" s="73"/>
      <c r="G12" s="73"/>
      <c r="H12" s="73"/>
      <c r="I12" s="74"/>
      <c r="J12" s="73"/>
      <c r="K12" s="75"/>
      <c r="L12" s="72"/>
      <c r="M12" s="72"/>
      <c r="N12" s="72"/>
      <c r="O12" s="72"/>
      <c r="P12" s="74"/>
      <c r="Q12" s="73"/>
      <c r="R12" s="73"/>
      <c r="S12" s="74"/>
    </row>
    <row r="13" s="76" customFormat="true" ht="16.15" hidden="false" customHeight="false" outlineLevel="0" collapsed="false">
      <c r="A13" s="72"/>
      <c r="B13" s="72"/>
      <c r="C13" s="72"/>
      <c r="D13" s="72"/>
      <c r="E13" s="72"/>
      <c r="F13" s="73"/>
      <c r="G13" s="73"/>
      <c r="H13" s="73"/>
      <c r="I13" s="74"/>
      <c r="J13" s="73"/>
      <c r="K13" s="75"/>
      <c r="L13" s="72"/>
      <c r="M13" s="72"/>
      <c r="N13" s="72"/>
      <c r="O13" s="72"/>
      <c r="P13" s="74"/>
      <c r="Q13" s="73"/>
      <c r="R13" s="73"/>
      <c r="S13" s="74"/>
    </row>
    <row r="14" s="76" customFormat="true" ht="16.15" hidden="false" customHeight="false" outlineLevel="0" collapsed="false">
      <c r="A14" s="72"/>
      <c r="B14" s="72"/>
      <c r="C14" s="72"/>
      <c r="D14" s="72"/>
      <c r="E14" s="72"/>
      <c r="F14" s="73"/>
      <c r="G14" s="73"/>
      <c r="H14" s="73"/>
      <c r="I14" s="74"/>
      <c r="J14" s="73"/>
      <c r="K14" s="75"/>
      <c r="L14" s="72"/>
      <c r="M14" s="72"/>
      <c r="N14" s="72"/>
      <c r="O14" s="72"/>
      <c r="P14" s="74"/>
      <c r="Q14" s="73"/>
      <c r="R14" s="73"/>
      <c r="S14" s="74"/>
    </row>
    <row r="15" s="76" customFormat="true" ht="16.15" hidden="false" customHeight="false" outlineLevel="0" collapsed="false">
      <c r="A15" s="72"/>
      <c r="B15" s="72"/>
      <c r="C15" s="72"/>
      <c r="D15" s="72"/>
      <c r="E15" s="72"/>
      <c r="F15" s="73"/>
      <c r="G15" s="73"/>
      <c r="H15" s="73"/>
      <c r="I15" s="74"/>
      <c r="J15" s="73"/>
      <c r="K15" s="75"/>
      <c r="L15" s="72"/>
      <c r="M15" s="72"/>
      <c r="N15" s="72"/>
      <c r="O15" s="72"/>
      <c r="P15" s="74"/>
      <c r="Q15" s="73"/>
      <c r="R15" s="73"/>
      <c r="S15" s="74"/>
    </row>
    <row r="16" s="76" customFormat="true" ht="16.15" hidden="false" customHeight="false" outlineLevel="0" collapsed="false">
      <c r="A16" s="72"/>
      <c r="B16" s="72"/>
      <c r="C16" s="72"/>
      <c r="D16" s="72"/>
      <c r="E16" s="72"/>
      <c r="F16" s="73"/>
      <c r="G16" s="73"/>
      <c r="H16" s="73"/>
      <c r="I16" s="74"/>
      <c r="J16" s="73"/>
      <c r="K16" s="75"/>
      <c r="L16" s="72"/>
      <c r="M16" s="72"/>
      <c r="N16" s="72"/>
      <c r="O16" s="72"/>
      <c r="P16" s="74"/>
      <c r="Q16" s="73"/>
      <c r="R16" s="73"/>
      <c r="S16" s="74"/>
    </row>
    <row r="17" s="76" customFormat="true" ht="16.15" hidden="false" customHeight="false" outlineLevel="0" collapsed="false">
      <c r="A17" s="72"/>
      <c r="B17" s="72"/>
      <c r="C17" s="72"/>
      <c r="D17" s="72"/>
      <c r="E17" s="72"/>
      <c r="F17" s="73"/>
      <c r="G17" s="73"/>
      <c r="H17" s="73"/>
      <c r="I17" s="74"/>
      <c r="J17" s="73"/>
      <c r="K17" s="75"/>
      <c r="L17" s="72"/>
      <c r="M17" s="72"/>
      <c r="N17" s="72"/>
      <c r="O17" s="72"/>
      <c r="P17" s="74"/>
      <c r="Q17" s="73"/>
      <c r="R17" s="73"/>
      <c r="S17" s="74"/>
    </row>
    <row r="18" s="76" customFormat="true" ht="16.15" hidden="false" customHeight="false" outlineLevel="0" collapsed="false">
      <c r="A18" s="72"/>
      <c r="B18" s="72"/>
      <c r="C18" s="72"/>
      <c r="D18" s="72"/>
      <c r="E18" s="72"/>
      <c r="F18" s="73"/>
      <c r="G18" s="73"/>
      <c r="H18" s="73"/>
      <c r="I18" s="74"/>
      <c r="J18" s="73"/>
      <c r="K18" s="75"/>
      <c r="L18" s="72"/>
      <c r="M18" s="72"/>
      <c r="N18" s="72"/>
      <c r="O18" s="72"/>
      <c r="P18" s="74"/>
      <c r="Q18" s="73"/>
      <c r="R18" s="73"/>
      <c r="S18" s="74"/>
    </row>
    <row r="19" s="76" customFormat="true" ht="16.15" hidden="false" customHeight="false" outlineLevel="0" collapsed="false">
      <c r="A19" s="72"/>
      <c r="B19" s="72"/>
      <c r="C19" s="72"/>
      <c r="D19" s="72"/>
      <c r="E19" s="72"/>
      <c r="F19" s="73"/>
      <c r="G19" s="73"/>
      <c r="H19" s="73"/>
      <c r="I19" s="74"/>
      <c r="J19" s="73"/>
      <c r="K19" s="75"/>
      <c r="L19" s="72"/>
      <c r="M19" s="72"/>
      <c r="N19" s="72"/>
      <c r="O19" s="72"/>
      <c r="P19" s="74"/>
      <c r="Q19" s="73"/>
      <c r="R19" s="73"/>
      <c r="S19" s="74"/>
    </row>
    <row r="20" s="76" customFormat="true" ht="16.15" hidden="false" customHeight="false" outlineLevel="0" collapsed="false">
      <c r="A20" s="72"/>
      <c r="B20" s="72"/>
      <c r="C20" s="72"/>
      <c r="D20" s="72"/>
      <c r="E20" s="72"/>
      <c r="F20" s="73"/>
      <c r="G20" s="73"/>
      <c r="H20" s="73"/>
      <c r="I20" s="74"/>
      <c r="J20" s="73"/>
      <c r="K20" s="75"/>
      <c r="L20" s="72"/>
      <c r="M20" s="72"/>
      <c r="N20" s="72"/>
      <c r="O20" s="72"/>
      <c r="P20" s="74"/>
      <c r="Q20" s="73"/>
      <c r="R20" s="73"/>
      <c r="S20" s="74"/>
    </row>
    <row r="21" s="76" customFormat="true" ht="16.15" hidden="false" customHeight="false" outlineLevel="0" collapsed="false">
      <c r="A21" s="72"/>
      <c r="B21" s="72"/>
      <c r="C21" s="72"/>
      <c r="D21" s="72"/>
      <c r="E21" s="72"/>
      <c r="F21" s="73"/>
      <c r="G21" s="73"/>
      <c r="H21" s="73"/>
      <c r="I21" s="74"/>
      <c r="J21" s="73"/>
      <c r="K21" s="75"/>
      <c r="L21" s="72"/>
      <c r="M21" s="72"/>
      <c r="N21" s="72"/>
      <c r="O21" s="72"/>
      <c r="P21" s="74"/>
      <c r="Q21" s="73"/>
      <c r="R21" s="73"/>
      <c r="S21" s="74"/>
    </row>
    <row r="22" s="76" customFormat="true" ht="16.15" hidden="false" customHeight="false" outlineLevel="0" collapsed="false">
      <c r="A22" s="72"/>
      <c r="B22" s="72"/>
      <c r="C22" s="72"/>
      <c r="D22" s="72"/>
      <c r="E22" s="72"/>
      <c r="F22" s="73"/>
      <c r="G22" s="73"/>
      <c r="H22" s="73"/>
      <c r="I22" s="74"/>
      <c r="J22" s="73"/>
      <c r="K22" s="75"/>
      <c r="L22" s="72"/>
      <c r="M22" s="72"/>
      <c r="N22" s="72"/>
      <c r="O22" s="72"/>
      <c r="P22" s="74"/>
      <c r="Q22" s="73"/>
      <c r="R22" s="73"/>
      <c r="S22" s="74"/>
    </row>
    <row r="23" s="76" customFormat="true" ht="16.15" hidden="false" customHeight="false" outlineLevel="0" collapsed="false">
      <c r="A23" s="72"/>
      <c r="B23" s="72"/>
      <c r="C23" s="72"/>
      <c r="D23" s="72"/>
      <c r="E23" s="72"/>
      <c r="F23" s="73"/>
      <c r="G23" s="73"/>
      <c r="H23" s="73"/>
      <c r="I23" s="74"/>
      <c r="J23" s="73"/>
      <c r="K23" s="75"/>
      <c r="L23" s="72"/>
      <c r="M23" s="72"/>
      <c r="N23" s="72"/>
      <c r="O23" s="72"/>
      <c r="P23" s="74"/>
      <c r="Q23" s="73"/>
      <c r="R23" s="73"/>
      <c r="S23" s="74"/>
    </row>
    <row r="24" s="76" customFormat="true" ht="16.15" hidden="false" customHeight="false" outlineLevel="0" collapsed="false">
      <c r="A24" s="72"/>
      <c r="B24" s="72"/>
      <c r="C24" s="72"/>
      <c r="D24" s="72"/>
      <c r="E24" s="72"/>
      <c r="F24" s="73"/>
      <c r="G24" s="73"/>
      <c r="H24" s="73"/>
      <c r="I24" s="74"/>
      <c r="J24" s="73"/>
      <c r="K24" s="75"/>
      <c r="L24" s="72"/>
      <c r="M24" s="72"/>
      <c r="N24" s="72"/>
      <c r="O24" s="72"/>
      <c r="P24" s="74"/>
      <c r="Q24" s="73"/>
      <c r="R24" s="73"/>
      <c r="S24" s="74"/>
    </row>
    <row r="25" s="76" customFormat="true" ht="16.15" hidden="false" customHeight="false" outlineLevel="0" collapsed="false">
      <c r="A25" s="72"/>
      <c r="B25" s="72"/>
      <c r="C25" s="72"/>
      <c r="D25" s="72"/>
      <c r="E25" s="72"/>
      <c r="F25" s="73"/>
      <c r="G25" s="73"/>
      <c r="H25" s="73"/>
      <c r="I25" s="74"/>
      <c r="J25" s="73"/>
      <c r="K25" s="75"/>
      <c r="L25" s="72"/>
      <c r="M25" s="72"/>
      <c r="N25" s="72"/>
      <c r="O25" s="72"/>
      <c r="P25" s="74"/>
      <c r="Q25" s="73"/>
      <c r="R25" s="73"/>
      <c r="S25" s="74"/>
    </row>
    <row r="26" s="76" customFormat="true" ht="16.15" hidden="false" customHeight="false" outlineLevel="0" collapsed="false">
      <c r="A26" s="72"/>
      <c r="B26" s="72"/>
      <c r="C26" s="72"/>
      <c r="D26" s="72"/>
      <c r="E26" s="72"/>
      <c r="F26" s="73"/>
      <c r="G26" s="73"/>
      <c r="H26" s="73"/>
      <c r="I26" s="74"/>
      <c r="J26" s="73"/>
      <c r="K26" s="75"/>
      <c r="L26" s="72"/>
      <c r="M26" s="72"/>
      <c r="N26" s="72"/>
      <c r="O26" s="72"/>
      <c r="P26" s="74"/>
      <c r="Q26" s="73"/>
      <c r="R26" s="73"/>
      <c r="S26" s="74"/>
    </row>
    <row r="27" s="76" customFormat="true" ht="16.5" hidden="false" customHeight="false" outlineLevel="0" collapsed="false">
      <c r="A27" s="77"/>
      <c r="B27" s="77"/>
      <c r="C27" s="77"/>
      <c r="D27" s="77"/>
      <c r="E27" s="77"/>
      <c r="K27" s="78"/>
      <c r="L27" s="77"/>
      <c r="M27" s="77"/>
      <c r="N27" s="77"/>
      <c r="O27" s="77"/>
    </row>
    <row r="28" s="76" customFormat="true" ht="16.5" hidden="false" customHeight="false" outlineLevel="0" collapsed="false">
      <c r="A28" s="77"/>
      <c r="B28" s="77"/>
      <c r="C28" s="77"/>
      <c r="D28" s="77"/>
      <c r="E28" s="77"/>
      <c r="K28" s="78"/>
      <c r="L28" s="77"/>
      <c r="M28" s="77"/>
      <c r="N28" s="77"/>
      <c r="O28" s="77"/>
    </row>
  </sheetData>
  <mergeCells count="1">
    <mergeCell ref="A1:S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94"/>
  <sheetViews>
    <sheetView showFormulas="false" showGridLines="true" showRowColHeaders="true" showZeros="true" rightToLeft="false" tabSelected="true" showOutlineSymbols="true" defaultGridColor="true" view="normal" topLeftCell="A2" colorId="64" zoomScale="200" zoomScaleNormal="200" zoomScalePageLayoutView="100" workbookViewId="0">
      <selection pane="topLeft" activeCell="E94" activeCellId="0" sqref="E94"/>
    </sheetView>
  </sheetViews>
  <sheetFormatPr defaultColWidth="8.9140625" defaultRowHeight="14.25" customHeight="true" zeroHeight="false" outlineLevelRow="0" outlineLevelCol="0"/>
  <cols>
    <col collapsed="false" customWidth="false" hidden="false" outlineLevel="0" max="1" min="1" style="79" width="8.91"/>
    <col collapsed="false" customWidth="false" hidden="false" outlineLevel="0" max="2" min="2" style="80" width="8.91"/>
    <col collapsed="false" customWidth="false" hidden="false" outlineLevel="0" max="22" min="3" style="79" width="8.91"/>
    <col collapsed="false" customWidth="true" hidden="false" outlineLevel="0" max="23" min="23" style="0" width="8.73"/>
    <col collapsed="false" customWidth="false" hidden="false" outlineLevel="0" max="16384" min="24" style="79" width="8.91"/>
  </cols>
  <sheetData>
    <row r="1" customFormat="false" ht="14.25" hidden="false" customHeight="false" outlineLevel="0" collapsed="false">
      <c r="A1" s="79" t="s">
        <v>420</v>
      </c>
      <c r="B1" s="80" t="s">
        <v>421</v>
      </c>
      <c r="E1" s="79" t="s">
        <v>422</v>
      </c>
      <c r="F1" s="80" t="s">
        <v>421</v>
      </c>
      <c r="S1" s="79" t="s">
        <v>47</v>
      </c>
      <c r="T1" s="79" t="s">
        <v>49</v>
      </c>
      <c r="U1" s="79" t="s">
        <v>50</v>
      </c>
      <c r="V1" s="79" t="s">
        <v>48</v>
      </c>
      <c r="X1" s="79" t="s">
        <v>48</v>
      </c>
      <c r="Y1" s="79" t="s">
        <v>47</v>
      </c>
      <c r="Z1" s="79" t="s">
        <v>49</v>
      </c>
      <c r="AA1" s="79" t="s">
        <v>50</v>
      </c>
      <c r="AC1" s="79" t="s">
        <v>48</v>
      </c>
      <c r="AD1" s="79" t="s">
        <v>47</v>
      </c>
      <c r="AE1" s="79" t="s">
        <v>49</v>
      </c>
      <c r="AF1" s="79" t="s">
        <v>50</v>
      </c>
      <c r="AH1" s="79" t="s">
        <v>48</v>
      </c>
      <c r="AI1" s="79" t="s">
        <v>47</v>
      </c>
      <c r="AJ1" s="79" t="s">
        <v>49</v>
      </c>
      <c r="AK1" s="79" t="s">
        <v>50</v>
      </c>
      <c r="AM1" s="79" t="s">
        <v>48</v>
      </c>
      <c r="AN1" s="79" t="s">
        <v>49</v>
      </c>
      <c r="AO1" s="79" t="s">
        <v>50</v>
      </c>
      <c r="AP1" s="79" t="s">
        <v>47</v>
      </c>
    </row>
    <row r="2" customFormat="false" ht="14.25" hidden="false" customHeight="false" outlineLevel="0" collapsed="false">
      <c r="A2" s="81" t="n">
        <v>52.8</v>
      </c>
      <c r="B2" s="81" t="n">
        <v>0.408907333925854</v>
      </c>
      <c r="C2" s="82" t="s">
        <v>45</v>
      </c>
      <c r="E2" s="80" t="n">
        <v>0.635</v>
      </c>
      <c r="F2" s="80" t="n">
        <v>0.340861519302008</v>
      </c>
      <c r="G2" s="79" t="s">
        <v>42</v>
      </c>
      <c r="S2" s="79" t="n">
        <v>2</v>
      </c>
      <c r="T2" s="79" t="n">
        <v>9.2176</v>
      </c>
      <c r="U2" s="79" t="n">
        <v>-0.00269999999999904</v>
      </c>
      <c r="V2" s="79" t="n">
        <v>1</v>
      </c>
      <c r="X2" s="79" t="n">
        <v>3</v>
      </c>
      <c r="Y2" s="79" t="n">
        <v>2</v>
      </c>
      <c r="Z2" s="79" t="n">
        <v>9.2133</v>
      </c>
      <c r="AA2" s="79" t="n">
        <v>0.00159999999999982</v>
      </c>
      <c r="AC2" s="79" t="n">
        <v>4</v>
      </c>
      <c r="AD2" s="79" t="n">
        <v>3</v>
      </c>
      <c r="AE2" s="79" t="n">
        <v>9.2299</v>
      </c>
      <c r="AF2" s="79" t="n">
        <v>-0.0150000000000006</v>
      </c>
      <c r="AH2" s="79" t="n">
        <v>1</v>
      </c>
      <c r="AI2" s="79" t="n">
        <v>5</v>
      </c>
      <c r="AJ2" s="79" t="n">
        <v>9.2015</v>
      </c>
      <c r="AK2" s="79" t="n">
        <v>0.0134000000000007</v>
      </c>
      <c r="AM2" s="79" t="n">
        <v>5</v>
      </c>
      <c r="AN2" s="79" t="n">
        <v>9.1656</v>
      </c>
      <c r="AO2" s="79" t="n">
        <v>0.0493000000000006</v>
      </c>
      <c r="AP2" s="79" t="n">
        <v>4</v>
      </c>
    </row>
    <row r="3" customFormat="false" ht="14.25" hidden="false" customHeight="false" outlineLevel="0" collapsed="false">
      <c r="A3" s="83" t="n">
        <v>79.78</v>
      </c>
      <c r="B3" s="83" t="n">
        <v>0.418583243107455</v>
      </c>
      <c r="C3" s="84" t="s">
        <v>45</v>
      </c>
      <c r="E3" s="80" t="n">
        <v>4.29</v>
      </c>
      <c r="F3" s="80" t="n">
        <v>0.397161973750557</v>
      </c>
      <c r="G3" s="79" t="s">
        <v>42</v>
      </c>
      <c r="S3" s="79" t="n">
        <v>8</v>
      </c>
      <c r="T3" s="79" t="n">
        <v>9.1865</v>
      </c>
      <c r="U3" s="79" t="n">
        <v>0.0283999999999995</v>
      </c>
      <c r="V3" s="79" t="n">
        <v>1</v>
      </c>
      <c r="X3" s="79" t="n">
        <v>10</v>
      </c>
      <c r="Y3" s="79" t="n">
        <v>2</v>
      </c>
      <c r="Z3" s="79" t="n">
        <v>9.2397</v>
      </c>
      <c r="AA3" s="79" t="n">
        <v>-0.024799999999999</v>
      </c>
      <c r="AC3" s="79" t="n">
        <v>11</v>
      </c>
      <c r="AD3" s="79" t="n">
        <v>3</v>
      </c>
      <c r="AE3" s="79" t="n">
        <v>9.2187</v>
      </c>
      <c r="AF3" s="79" t="n">
        <v>-0.00380000000000003</v>
      </c>
      <c r="AH3" s="79" t="n">
        <v>7</v>
      </c>
      <c r="AI3" s="79" t="n">
        <v>5</v>
      </c>
      <c r="AJ3" s="79" t="n">
        <v>9.2127</v>
      </c>
      <c r="AK3" s="79" t="n">
        <v>0.0022000000000002</v>
      </c>
      <c r="AM3" s="79" t="s">
        <v>56</v>
      </c>
      <c r="AN3" s="79" t="n">
        <v>9.2059</v>
      </c>
      <c r="AO3" s="79" t="n">
        <v>0.00900000000000034</v>
      </c>
      <c r="AP3" s="79" t="n">
        <v>4</v>
      </c>
    </row>
    <row r="4" customFormat="false" ht="14.25" hidden="false" customHeight="false" outlineLevel="0" collapsed="false">
      <c r="A4" s="83" t="n">
        <v>82.8</v>
      </c>
      <c r="B4" s="83" t="n">
        <v>0.428513430557839</v>
      </c>
      <c r="C4" s="84" t="s">
        <v>45</v>
      </c>
      <c r="E4" s="80" t="n">
        <v>4.84</v>
      </c>
      <c r="F4" s="80" t="n">
        <v>0.390213151121771</v>
      </c>
      <c r="G4" s="79" t="s">
        <v>42</v>
      </c>
      <c r="S4" s="79" t="s">
        <v>56</v>
      </c>
      <c r="T4" s="79" t="n">
        <v>9.2188</v>
      </c>
      <c r="U4" s="79" t="n">
        <v>-0.00389999999999979</v>
      </c>
      <c r="V4" s="79" t="n">
        <v>1</v>
      </c>
      <c r="X4" s="79" t="s">
        <v>56</v>
      </c>
      <c r="Y4" s="79" t="n">
        <v>2</v>
      </c>
      <c r="Z4" s="79" t="n">
        <v>9.2111</v>
      </c>
      <c r="AA4" s="79" t="n">
        <v>0.00380000000000003</v>
      </c>
      <c r="AC4" s="79" t="n">
        <v>15</v>
      </c>
      <c r="AD4" s="79" t="n">
        <v>3</v>
      </c>
      <c r="AE4" s="79" t="n">
        <v>9.1812</v>
      </c>
      <c r="AF4" s="79" t="n">
        <v>0.0336999999999996</v>
      </c>
      <c r="AH4" s="79" t="n">
        <v>12</v>
      </c>
      <c r="AI4" s="79" t="n">
        <v>5</v>
      </c>
      <c r="AJ4" s="79" t="n">
        <v>9.2231</v>
      </c>
      <c r="AK4" s="79" t="n">
        <v>-0.00820000000000043</v>
      </c>
      <c r="AM4" s="79" t="n">
        <v>6</v>
      </c>
      <c r="AN4" s="79" t="n">
        <v>9.1879</v>
      </c>
      <c r="AO4" s="79" t="n">
        <v>0.0269999999999992</v>
      </c>
      <c r="AP4" s="79" t="n">
        <v>4</v>
      </c>
    </row>
    <row r="5" customFormat="false" ht="14.25" hidden="false" customHeight="false" outlineLevel="0" collapsed="false">
      <c r="A5" s="83" t="n">
        <v>84.98</v>
      </c>
      <c r="B5" s="83" t="n">
        <v>0.474812570278815</v>
      </c>
      <c r="C5" s="84" t="s">
        <v>45</v>
      </c>
      <c r="E5" s="80" t="n">
        <v>7.77</v>
      </c>
      <c r="F5" s="80" t="n">
        <v>0.39333308980938</v>
      </c>
      <c r="G5" s="79" t="s">
        <v>42</v>
      </c>
      <c r="S5" s="79" t="n">
        <v>9</v>
      </c>
      <c r="T5" s="79" t="n">
        <v>9.2164</v>
      </c>
      <c r="U5" s="79" t="n">
        <v>-0.00150000000000006</v>
      </c>
      <c r="V5" s="79" t="n">
        <v>1</v>
      </c>
      <c r="X5" s="79" t="n">
        <v>14</v>
      </c>
      <c r="Y5" s="79" t="n">
        <v>2</v>
      </c>
      <c r="Z5" s="79" t="n">
        <v>9.2141</v>
      </c>
      <c r="AA5" s="79" t="n">
        <v>0.000799999999999912</v>
      </c>
      <c r="AC5" s="79" t="n">
        <v>19</v>
      </c>
      <c r="AD5" s="79" t="n">
        <v>3</v>
      </c>
      <c r="AE5" s="79" t="n">
        <v>9.2131</v>
      </c>
      <c r="AF5" s="79" t="n">
        <v>0.00179999999999936</v>
      </c>
      <c r="AH5" s="79" t="n">
        <v>16</v>
      </c>
      <c r="AI5" s="79" t="n">
        <v>5</v>
      </c>
      <c r="AJ5" s="79" t="n">
        <v>9.2207</v>
      </c>
      <c r="AK5" s="79" t="n">
        <v>-0.00580000000000069</v>
      </c>
      <c r="AM5" s="79" t="s">
        <v>56</v>
      </c>
      <c r="AN5" s="79" t="s">
        <v>58</v>
      </c>
      <c r="AP5" s="79" t="n">
        <v>4</v>
      </c>
    </row>
    <row r="6" customFormat="false" ht="14.25" hidden="false" customHeight="false" outlineLevel="0" collapsed="false">
      <c r="A6" s="83" t="n">
        <v>86.78</v>
      </c>
      <c r="B6" s="83" t="n">
        <v>0.493473542415748</v>
      </c>
      <c r="C6" s="84" t="s">
        <v>45</v>
      </c>
      <c r="E6" s="80" t="n">
        <v>10.6</v>
      </c>
      <c r="F6" s="80" t="n">
        <v>0.370499934829474</v>
      </c>
      <c r="G6" s="79" t="s">
        <v>42</v>
      </c>
      <c r="S6" s="79" t="n">
        <v>13</v>
      </c>
      <c r="T6" s="79" t="n">
        <v>9.2205</v>
      </c>
      <c r="U6" s="79" t="n">
        <v>-0.00559999999999938</v>
      </c>
      <c r="V6" s="79" t="n">
        <v>1</v>
      </c>
      <c r="X6" s="79" t="n">
        <v>18</v>
      </c>
      <c r="Y6" s="79" t="n">
        <v>2</v>
      </c>
      <c r="Z6" s="79" t="n">
        <v>9.2031</v>
      </c>
      <c r="AA6" s="79" t="n">
        <v>0.0118000000000009</v>
      </c>
      <c r="AC6" s="79" t="n">
        <v>23</v>
      </c>
      <c r="AD6" s="79" t="n">
        <v>3</v>
      </c>
      <c r="AE6" s="79" t="n">
        <v>9.2051</v>
      </c>
      <c r="AF6" s="79" t="n">
        <v>0.00980000000000025</v>
      </c>
      <c r="AH6" s="79" t="n">
        <v>20</v>
      </c>
      <c r="AI6" s="79" t="n">
        <v>5</v>
      </c>
      <c r="AJ6" s="79" t="n">
        <v>9.215</v>
      </c>
      <c r="AK6" s="79" t="n">
        <v>-9.99999999997669E-005</v>
      </c>
      <c r="AM6" s="79" t="s">
        <v>56</v>
      </c>
      <c r="AN6" s="79" t="n">
        <v>9.2189</v>
      </c>
      <c r="AO6" s="79" t="n">
        <v>-0.00399999999999956</v>
      </c>
      <c r="AP6" s="79" t="n">
        <v>4</v>
      </c>
    </row>
    <row r="7" customFormat="false" ht="14.25" hidden="false" customHeight="false" outlineLevel="0" collapsed="false">
      <c r="A7" s="83" t="n">
        <v>88.78</v>
      </c>
      <c r="B7" s="83" t="n">
        <v>0.539791736884617</v>
      </c>
      <c r="C7" s="84" t="s">
        <v>45</v>
      </c>
      <c r="E7" s="80" t="n">
        <v>12.9</v>
      </c>
      <c r="F7" s="80" t="n">
        <v>0.403642095997382</v>
      </c>
      <c r="G7" s="79" t="s">
        <v>42</v>
      </c>
      <c r="S7" s="79" t="n">
        <v>17</v>
      </c>
      <c r="T7" s="79" t="n">
        <v>9.2045</v>
      </c>
      <c r="U7" s="79" t="n">
        <v>0.0104000000000006</v>
      </c>
      <c r="V7" s="79" t="n">
        <v>1</v>
      </c>
      <c r="X7" s="79" t="n">
        <v>22</v>
      </c>
      <c r="Y7" s="79" t="n">
        <v>2</v>
      </c>
      <c r="Z7" s="79" t="n">
        <v>9.2305</v>
      </c>
      <c r="AA7" s="79" t="n">
        <v>-0.0155999999999992</v>
      </c>
      <c r="AC7" s="79" t="n">
        <v>27</v>
      </c>
      <c r="AD7" s="79" t="n">
        <v>3</v>
      </c>
      <c r="AE7" s="79" t="n">
        <v>9.226</v>
      </c>
      <c r="AF7" s="79" t="n">
        <v>-0.0111000000000008</v>
      </c>
      <c r="AH7" s="79" t="n">
        <v>24</v>
      </c>
      <c r="AI7" s="79" t="n">
        <v>5</v>
      </c>
      <c r="AJ7" s="79" t="n">
        <v>9.2266</v>
      </c>
      <c r="AK7" s="79" t="n">
        <v>-0.0116999999999994</v>
      </c>
    </row>
    <row r="8" customFormat="false" ht="14.25" hidden="false" customHeight="false" outlineLevel="0" collapsed="false">
      <c r="A8" s="83" t="n">
        <v>91.26</v>
      </c>
      <c r="B8" s="83" t="n">
        <v>0.486631052425396</v>
      </c>
      <c r="C8" s="84" t="s">
        <v>45</v>
      </c>
      <c r="D8" s="85"/>
      <c r="E8" s="80" t="n">
        <v>14.08</v>
      </c>
      <c r="F8" s="80" t="n">
        <v>0.385007638176828</v>
      </c>
      <c r="G8" s="79" t="s">
        <v>42</v>
      </c>
      <c r="H8" s="85"/>
      <c r="S8" s="79" t="n">
        <v>21</v>
      </c>
      <c r="T8" s="79" t="n">
        <v>9.2215</v>
      </c>
      <c r="U8" s="79" t="n">
        <v>-0.00660000000000061</v>
      </c>
      <c r="V8" s="79" t="n">
        <v>1</v>
      </c>
      <c r="X8" s="79" t="n">
        <v>26</v>
      </c>
      <c r="Y8" s="79" t="n">
        <v>2</v>
      </c>
      <c r="Z8" s="79" t="n">
        <v>9.2153</v>
      </c>
      <c r="AA8" s="79" t="n">
        <v>-0.000399999999999068</v>
      </c>
      <c r="AC8" s="79" t="n">
        <v>31</v>
      </c>
      <c r="AD8" s="79" t="n">
        <v>3</v>
      </c>
      <c r="AE8" s="79" t="n">
        <v>9.2201</v>
      </c>
      <c r="AF8" s="79" t="n">
        <v>-0.00520000000000032</v>
      </c>
      <c r="AH8" s="79" t="n">
        <v>28</v>
      </c>
      <c r="AI8" s="79" t="n">
        <v>5</v>
      </c>
      <c r="AJ8" s="79" t="n">
        <v>9.2235</v>
      </c>
      <c r="AK8" s="79" t="n">
        <v>-0.0085999999999995</v>
      </c>
    </row>
    <row r="9" customFormat="false" ht="14.25" hidden="false" customHeight="false" outlineLevel="0" collapsed="false">
      <c r="A9" s="80" t="n">
        <v>100.67</v>
      </c>
      <c r="B9" s="80" t="n">
        <v>0.502345883275419</v>
      </c>
      <c r="C9" s="79" t="s">
        <v>45</v>
      </c>
      <c r="E9" s="80" t="n">
        <v>14.95</v>
      </c>
      <c r="F9" s="80" t="n">
        <v>0.392949531211013</v>
      </c>
      <c r="G9" s="79" t="s">
        <v>42</v>
      </c>
      <c r="S9" s="79" t="n">
        <v>25</v>
      </c>
      <c r="T9" s="79" t="n">
        <v>9.2237</v>
      </c>
      <c r="U9" s="79" t="n">
        <v>-0.00879999999999903</v>
      </c>
      <c r="V9" s="79" t="n">
        <v>1</v>
      </c>
      <c r="X9" s="79" t="n">
        <v>30</v>
      </c>
      <c r="Y9" s="79" t="n">
        <v>2</v>
      </c>
      <c r="Z9" s="79" t="n">
        <v>9.1928</v>
      </c>
      <c r="AA9" s="79" t="n">
        <v>0.0221</v>
      </c>
      <c r="AC9" s="79" t="n">
        <v>35</v>
      </c>
      <c r="AD9" s="79" t="n">
        <v>3</v>
      </c>
      <c r="AE9" s="79" t="n">
        <v>9.1984</v>
      </c>
      <c r="AF9" s="79" t="n">
        <v>0.0165000000000006</v>
      </c>
      <c r="AH9" s="79" t="n">
        <v>32</v>
      </c>
      <c r="AI9" s="79" t="n">
        <v>5</v>
      </c>
      <c r="AJ9" s="79" t="n">
        <v>9.2217</v>
      </c>
      <c r="AK9" s="79" t="n">
        <v>-0.00680000000000014</v>
      </c>
    </row>
    <row r="10" customFormat="false" ht="14.25" hidden="false" customHeight="false" outlineLevel="0" collapsed="false">
      <c r="A10" s="80" t="n">
        <v>106.79</v>
      </c>
      <c r="B10" s="80" t="n">
        <v>0.484006823259473</v>
      </c>
      <c r="C10" s="79" t="s">
        <v>45</v>
      </c>
      <c r="E10" s="80" t="n">
        <v>15.61</v>
      </c>
      <c r="F10" s="80" t="n">
        <v>0.350899570715513</v>
      </c>
      <c r="G10" s="79" t="s">
        <v>42</v>
      </c>
      <c r="S10" s="79" t="n">
        <v>29</v>
      </c>
      <c r="T10" s="79" t="n">
        <v>9.2304</v>
      </c>
      <c r="U10" s="79" t="n">
        <v>-0.0154999999999994</v>
      </c>
      <c r="V10" s="79" t="n">
        <v>1</v>
      </c>
      <c r="X10" s="79" t="n">
        <v>34</v>
      </c>
      <c r="Y10" s="79" t="n">
        <v>2</v>
      </c>
      <c r="Z10" s="79" t="n">
        <v>9.2164</v>
      </c>
      <c r="AA10" s="79" t="n">
        <v>-0.00150000000000006</v>
      </c>
      <c r="AC10" s="79" t="n">
        <v>39</v>
      </c>
      <c r="AD10" s="79" t="n">
        <v>3</v>
      </c>
      <c r="AE10" s="79" t="n">
        <v>9.2056</v>
      </c>
      <c r="AF10" s="79" t="n">
        <v>0.00929999999999964</v>
      </c>
      <c r="AH10" s="79" t="n">
        <v>36</v>
      </c>
      <c r="AI10" s="79" t="n">
        <v>5</v>
      </c>
      <c r="AJ10" s="79" t="n">
        <v>9.2076</v>
      </c>
      <c r="AK10" s="79" t="n">
        <v>0.00730000000000075</v>
      </c>
    </row>
    <row r="11" customFormat="false" ht="14.25" hidden="false" customHeight="false" outlineLevel="0" collapsed="false">
      <c r="A11" s="80" t="n">
        <v>103.79</v>
      </c>
      <c r="B11" s="83" t="n">
        <v>0.436702926176574</v>
      </c>
      <c r="C11" s="79" t="s">
        <v>45</v>
      </c>
      <c r="E11" s="80" t="n">
        <v>16.74</v>
      </c>
      <c r="F11" s="80" t="n">
        <v>0.333458571603797</v>
      </c>
      <c r="G11" s="79" t="s">
        <v>42</v>
      </c>
      <c r="S11" s="79" t="n">
        <v>33</v>
      </c>
      <c r="T11" s="79" t="n">
        <v>9.2265</v>
      </c>
      <c r="U11" s="79" t="n">
        <v>-0.0115999999999996</v>
      </c>
      <c r="V11" s="79" t="n">
        <v>1</v>
      </c>
      <c r="X11" s="79" t="n">
        <v>38</v>
      </c>
      <c r="Y11" s="79" t="n">
        <v>2</v>
      </c>
      <c r="Z11" s="79" t="n">
        <v>9.2096</v>
      </c>
      <c r="AA11" s="79" t="n">
        <v>0.00530000000000008</v>
      </c>
      <c r="AC11" s="79" t="n">
        <v>43</v>
      </c>
      <c r="AD11" s="79" t="n">
        <v>3</v>
      </c>
      <c r="AE11" s="79" t="n">
        <v>9.2077</v>
      </c>
      <c r="AF11" s="79" t="n">
        <v>0.00719999999999921</v>
      </c>
      <c r="AH11" s="79" t="n">
        <v>44</v>
      </c>
      <c r="AI11" s="79" t="n">
        <v>5</v>
      </c>
      <c r="AJ11" s="79" t="n">
        <v>9.2193</v>
      </c>
      <c r="AK11" s="79" t="n">
        <v>-0.0044000000000004</v>
      </c>
    </row>
    <row r="12" customFormat="false" ht="14.25" hidden="false" customHeight="false" outlineLevel="0" collapsed="false">
      <c r="A12" s="80" t="n">
        <v>109.8</v>
      </c>
      <c r="B12" s="80" t="n">
        <v>0.548411010553702</v>
      </c>
      <c r="C12" s="79" t="s">
        <v>45</v>
      </c>
      <c r="E12" s="80" t="n">
        <v>32.73</v>
      </c>
      <c r="F12" s="80" t="n">
        <v>0.352968516270939</v>
      </c>
      <c r="G12" s="79" t="s">
        <v>42</v>
      </c>
      <c r="S12" s="79" t="n">
        <v>37</v>
      </c>
      <c r="T12" s="79" t="n">
        <v>9.2242</v>
      </c>
      <c r="U12" s="79" t="n">
        <v>-0.00929999999999964</v>
      </c>
      <c r="V12" s="79" t="n">
        <v>1</v>
      </c>
      <c r="X12" s="79" t="n">
        <v>46</v>
      </c>
      <c r="Y12" s="79" t="n">
        <v>2</v>
      </c>
      <c r="Z12" s="79" t="n">
        <v>9.2095</v>
      </c>
      <c r="AA12" s="79" t="n">
        <v>0.00539999999999985</v>
      </c>
      <c r="AC12" s="79" t="n">
        <v>50</v>
      </c>
      <c r="AD12" s="79" t="n">
        <v>3</v>
      </c>
      <c r="AE12" s="79" t="n">
        <v>9.1775</v>
      </c>
      <c r="AF12" s="79" t="n">
        <v>0.0373999999999999</v>
      </c>
      <c r="AH12" s="79" t="n">
        <v>48</v>
      </c>
      <c r="AI12" s="79" t="n">
        <v>5</v>
      </c>
      <c r="AJ12" s="79" t="n">
        <v>9.2251</v>
      </c>
      <c r="AK12" s="79" t="n">
        <v>-0.0101999999999993</v>
      </c>
    </row>
    <row r="13" customFormat="false" ht="14.25" hidden="false" customHeight="false" outlineLevel="0" collapsed="false">
      <c r="A13" s="80" t="n">
        <v>112.54</v>
      </c>
      <c r="B13" s="80" t="n">
        <v>0.453112726022825</v>
      </c>
      <c r="C13" s="79" t="s">
        <v>45</v>
      </c>
      <c r="E13" s="80" t="n">
        <v>34.18</v>
      </c>
      <c r="F13" s="80" t="n">
        <v>0.4238544971981</v>
      </c>
      <c r="G13" s="79" t="s">
        <v>42</v>
      </c>
      <c r="S13" s="79" t="n">
        <v>45</v>
      </c>
      <c r="T13" s="79" t="n">
        <v>9.209</v>
      </c>
      <c r="U13" s="79" t="n">
        <v>0.00590000000000046</v>
      </c>
      <c r="V13" s="79" t="n">
        <v>1</v>
      </c>
    </row>
    <row r="14" customFormat="false" ht="14.25" hidden="false" customHeight="false" outlineLevel="0" collapsed="false">
      <c r="A14" s="80" t="n">
        <v>115.52</v>
      </c>
      <c r="B14" s="80" t="n">
        <v>0.461219646460597</v>
      </c>
      <c r="C14" s="79" t="s">
        <v>45</v>
      </c>
      <c r="E14" s="80" t="n">
        <v>38.5</v>
      </c>
      <c r="F14" s="80" t="n">
        <v>0.379542191761527</v>
      </c>
      <c r="G14" s="79" t="s">
        <v>42</v>
      </c>
      <c r="S14" s="79" t="n">
        <v>49</v>
      </c>
      <c r="T14" s="79" t="n">
        <v>9.2176</v>
      </c>
      <c r="U14" s="79" t="n">
        <v>-0.00269999999999904</v>
      </c>
      <c r="V14" s="79" t="n">
        <v>1</v>
      </c>
    </row>
    <row r="15" customFormat="false" ht="14.25" hidden="false" customHeight="false" outlineLevel="0" collapsed="false">
      <c r="A15" s="80" t="n">
        <v>118.48</v>
      </c>
      <c r="B15" s="80" t="n">
        <v>0.460057461085421</v>
      </c>
      <c r="C15" s="79" t="s">
        <v>45</v>
      </c>
      <c r="E15" s="80" t="n">
        <v>40.83</v>
      </c>
      <c r="F15" s="80" t="n">
        <v>0.348636090291238</v>
      </c>
      <c r="G15" s="79" t="s">
        <v>42</v>
      </c>
    </row>
    <row r="16" customFormat="false" ht="14.25" hidden="false" customHeight="false" outlineLevel="0" collapsed="false">
      <c r="A16" s="80" t="n">
        <v>121.43</v>
      </c>
      <c r="B16" s="80" t="n">
        <v>0.505879297538156</v>
      </c>
      <c r="C16" s="79" t="s">
        <v>45</v>
      </c>
      <c r="E16" s="80" t="n">
        <v>41.57</v>
      </c>
      <c r="F16" s="80" t="n">
        <v>0.383376325989338</v>
      </c>
      <c r="G16" s="79" t="s">
        <v>42</v>
      </c>
    </row>
    <row r="17" customFormat="false" ht="14.25" hidden="false" customHeight="false" outlineLevel="0" collapsed="false">
      <c r="A17" s="80" t="n">
        <v>124.48</v>
      </c>
      <c r="B17" s="80" t="n">
        <v>0.445928019009582</v>
      </c>
      <c r="C17" s="79" t="s">
        <v>45</v>
      </c>
      <c r="E17" s="80" t="n">
        <v>43.39</v>
      </c>
      <c r="F17" s="83" t="n">
        <v>0.439561293729967</v>
      </c>
      <c r="G17" s="84" t="s">
        <v>42</v>
      </c>
    </row>
    <row r="18" customFormat="false" ht="14.25" hidden="false" customHeight="false" outlineLevel="0" collapsed="false">
      <c r="A18" s="80" t="n">
        <v>127.39</v>
      </c>
      <c r="B18" s="80" t="n">
        <v>0.501306095630099</v>
      </c>
      <c r="C18" s="79" t="s">
        <v>45</v>
      </c>
      <c r="E18" s="83" t="n">
        <v>44.21</v>
      </c>
      <c r="F18" s="83" t="n">
        <v>0.357808565072902</v>
      </c>
      <c r="G18" s="84" t="s">
        <v>42</v>
      </c>
    </row>
    <row r="19" customFormat="false" ht="14.25" hidden="false" customHeight="false" outlineLevel="0" collapsed="false">
      <c r="A19" s="80" t="n">
        <v>121.7</v>
      </c>
      <c r="B19" s="80" t="n">
        <v>0.571237341819525</v>
      </c>
      <c r="C19" s="79" t="s">
        <v>45</v>
      </c>
      <c r="E19" s="83" t="n">
        <v>46.58</v>
      </c>
      <c r="F19" s="83" t="n">
        <v>0.343246458630491</v>
      </c>
      <c r="G19" s="84" t="s">
        <v>42</v>
      </c>
    </row>
    <row r="20" customFormat="false" ht="14.25" hidden="false" customHeight="false" outlineLevel="0" collapsed="false">
      <c r="A20" s="80" t="n">
        <v>124.2</v>
      </c>
      <c r="B20" s="80" t="n">
        <v>0.428082585568758</v>
      </c>
      <c r="C20" s="79" t="s">
        <v>45</v>
      </c>
      <c r="E20" s="83" t="n">
        <v>49.08</v>
      </c>
      <c r="F20" s="83" t="n">
        <v>0.418100487450175</v>
      </c>
      <c r="G20" s="84" t="s">
        <v>42</v>
      </c>
    </row>
    <row r="21" customFormat="false" ht="14.25" hidden="false" customHeight="false" outlineLevel="0" collapsed="false">
      <c r="A21" s="80" t="n">
        <v>126.75</v>
      </c>
      <c r="B21" s="80" t="n">
        <v>0.4450837290481</v>
      </c>
      <c r="C21" s="79" t="s">
        <v>45</v>
      </c>
      <c r="E21" s="83" t="n">
        <v>51.05</v>
      </c>
      <c r="F21" s="81" t="n">
        <v>0.441008337631521</v>
      </c>
      <c r="G21" s="82" t="s">
        <v>42</v>
      </c>
    </row>
    <row r="22" customFormat="false" ht="14.25" hidden="false" customHeight="false" outlineLevel="0" collapsed="false">
      <c r="A22" s="80" t="n">
        <v>127.82</v>
      </c>
      <c r="B22" s="80" t="n">
        <v>0.411697645765849</v>
      </c>
      <c r="C22" s="79" t="s">
        <v>45</v>
      </c>
      <c r="E22" s="81" t="n">
        <v>55.3</v>
      </c>
      <c r="F22" s="81" t="n">
        <v>0.365711604420914</v>
      </c>
      <c r="G22" s="82" t="s">
        <v>42</v>
      </c>
    </row>
    <row r="23" customFormat="false" ht="14.25" hidden="false" customHeight="false" outlineLevel="0" collapsed="false">
      <c r="A23" s="80" t="n">
        <v>129.57</v>
      </c>
      <c r="B23" s="80" t="n">
        <v>0.370324197770715</v>
      </c>
      <c r="C23" s="79" t="s">
        <v>45</v>
      </c>
      <c r="E23" s="81" t="n">
        <v>57.04</v>
      </c>
      <c r="F23" s="81" t="n">
        <v>0.404531468047261</v>
      </c>
      <c r="G23" s="82" t="s">
        <v>42</v>
      </c>
    </row>
    <row r="24" customFormat="false" ht="14.25" hidden="false" customHeight="false" outlineLevel="0" collapsed="false">
      <c r="A24" s="80" t="n">
        <v>131.85</v>
      </c>
      <c r="B24" s="80" t="n">
        <v>0.450548283610727</v>
      </c>
      <c r="C24" s="79" t="s">
        <v>45</v>
      </c>
      <c r="E24" s="81" t="n">
        <v>59.78</v>
      </c>
      <c r="F24" s="81" t="n">
        <v>0.387749708267034</v>
      </c>
      <c r="G24" s="82" t="s">
        <v>42</v>
      </c>
    </row>
    <row r="25" customFormat="false" ht="14.25" hidden="false" customHeight="false" outlineLevel="0" collapsed="false">
      <c r="A25" s="80" t="n">
        <v>131.85</v>
      </c>
      <c r="B25" s="80" t="n">
        <v>0.400326186370225</v>
      </c>
      <c r="C25" s="79" t="s">
        <v>45</v>
      </c>
      <c r="E25" s="81" t="n">
        <v>61.9</v>
      </c>
      <c r="F25" s="81" t="n">
        <v>0.319203029994903</v>
      </c>
      <c r="G25" s="82" t="s">
        <v>42</v>
      </c>
    </row>
    <row r="26" customFormat="false" ht="14.25" hidden="false" customHeight="false" outlineLevel="0" collapsed="false">
      <c r="A26" s="80" t="n">
        <v>131.85</v>
      </c>
      <c r="B26" s="80" t="n">
        <v>0.496194287950593</v>
      </c>
      <c r="C26" s="79" t="s">
        <v>45</v>
      </c>
      <c r="E26" s="81" t="n">
        <v>63.98</v>
      </c>
      <c r="F26" s="81" t="n">
        <v>0.364324024896013</v>
      </c>
      <c r="G26" s="82" t="s">
        <v>42</v>
      </c>
    </row>
    <row r="27" customFormat="false" ht="14.25" hidden="false" customHeight="false" outlineLevel="0" collapsed="false">
      <c r="A27" s="80" t="n">
        <v>131.85</v>
      </c>
      <c r="B27" s="80" t="n">
        <v>0.51929471160676</v>
      </c>
      <c r="C27" s="79" t="s">
        <v>45</v>
      </c>
      <c r="E27" s="81" t="n">
        <v>65.91</v>
      </c>
      <c r="F27" s="81" t="n">
        <v>0.333516317744954</v>
      </c>
      <c r="G27" s="82" t="s">
        <v>42</v>
      </c>
    </row>
    <row r="28" customFormat="false" ht="14.25" hidden="false" customHeight="false" outlineLevel="0" collapsed="false">
      <c r="A28" s="80" t="n">
        <v>131.85</v>
      </c>
      <c r="B28" s="80" t="n">
        <v>0.475077828997887</v>
      </c>
      <c r="C28" s="79" t="s">
        <v>45</v>
      </c>
      <c r="E28" s="81" t="n">
        <v>67.94</v>
      </c>
      <c r="F28" s="81" t="n">
        <v>0.385608566961382</v>
      </c>
      <c r="G28" s="82" t="s">
        <v>42</v>
      </c>
    </row>
    <row r="29" customFormat="false" ht="14.25" hidden="false" customHeight="false" outlineLevel="0" collapsed="false">
      <c r="A29" s="80" t="n">
        <v>131.85</v>
      </c>
      <c r="B29" s="80" t="n">
        <v>0.514943406457715</v>
      </c>
      <c r="C29" s="79" t="s">
        <v>45</v>
      </c>
      <c r="E29" s="81" t="n">
        <v>69.2</v>
      </c>
      <c r="F29" s="81" t="n">
        <v>0.348912015838346</v>
      </c>
      <c r="G29" s="82" t="s">
        <v>42</v>
      </c>
    </row>
    <row r="30" customFormat="false" ht="14.25" hidden="false" customHeight="false" outlineLevel="0" collapsed="false">
      <c r="A30" s="80" t="n">
        <v>131.85</v>
      </c>
      <c r="B30" s="80" t="n">
        <v>0.482316872847531</v>
      </c>
      <c r="C30" s="79" t="s">
        <v>45</v>
      </c>
      <c r="E30" s="81" t="n">
        <v>71.06</v>
      </c>
      <c r="F30" s="83" t="n">
        <v>0.241281722899587</v>
      </c>
      <c r="G30" s="84" t="s">
        <v>42</v>
      </c>
    </row>
    <row r="31" customFormat="false" ht="14.25" hidden="false" customHeight="false" outlineLevel="0" collapsed="false">
      <c r="A31" s="80" t="n">
        <v>131.85</v>
      </c>
      <c r="B31" s="80" t="n">
        <v>0.500486129364514</v>
      </c>
      <c r="C31" s="79" t="s">
        <v>45</v>
      </c>
      <c r="E31" s="83" t="n">
        <v>72.14</v>
      </c>
      <c r="F31" s="83" t="n">
        <v>0.40369403602901</v>
      </c>
      <c r="G31" s="84" t="s">
        <v>42</v>
      </c>
    </row>
    <row r="32" customFormat="false" ht="14.25" hidden="false" customHeight="false" outlineLevel="0" collapsed="false">
      <c r="A32" s="80" t="n">
        <v>131.85</v>
      </c>
      <c r="B32" s="80" t="n">
        <v>0.489735094289803</v>
      </c>
      <c r="C32" s="79" t="s">
        <v>45</v>
      </c>
      <c r="E32" s="83" t="n">
        <v>76.8</v>
      </c>
      <c r="F32" s="83" t="n">
        <v>0.454278535302891</v>
      </c>
      <c r="G32" s="84" t="s">
        <v>42</v>
      </c>
    </row>
    <row r="33" customFormat="false" ht="14.25" hidden="false" customHeight="false" outlineLevel="0" collapsed="false">
      <c r="A33" s="80" t="n">
        <v>131.85</v>
      </c>
      <c r="B33" s="80" t="n">
        <v>0.406195905085065</v>
      </c>
      <c r="C33" s="79" t="s">
        <v>45</v>
      </c>
      <c r="E33" s="83" t="n">
        <v>73.76</v>
      </c>
      <c r="F33" s="83" t="n">
        <v>0.395303126354044</v>
      </c>
      <c r="G33" s="84" t="s">
        <v>42</v>
      </c>
    </row>
    <row r="34" customFormat="false" ht="14.25" hidden="false" customHeight="false" outlineLevel="0" collapsed="false">
      <c r="A34" s="80" t="n">
        <v>131.85</v>
      </c>
      <c r="B34" s="80" t="n">
        <v>0.456693026059276</v>
      </c>
      <c r="C34" s="79" t="s">
        <v>45</v>
      </c>
      <c r="E34" s="83" t="n">
        <v>94.28</v>
      </c>
      <c r="F34" s="83" t="n">
        <v>0.286175423681054</v>
      </c>
      <c r="G34" s="79" t="s">
        <v>42</v>
      </c>
    </row>
    <row r="35" customFormat="false" ht="14.25" hidden="false" customHeight="false" outlineLevel="0" collapsed="false">
      <c r="A35" s="80" t="n">
        <v>131.85</v>
      </c>
      <c r="B35" s="80" t="n">
        <v>0.456729499139148</v>
      </c>
      <c r="C35" s="79" t="s">
        <v>45</v>
      </c>
      <c r="E35" s="80" t="n">
        <v>96.64</v>
      </c>
      <c r="F35" s="83" t="n">
        <v>0.332061385632537</v>
      </c>
      <c r="G35" s="79" t="s">
        <v>42</v>
      </c>
    </row>
    <row r="36" customFormat="false" ht="14.25" hidden="false" customHeight="false" outlineLevel="0" collapsed="false">
      <c r="A36" s="79" t="n">
        <v>268.51</v>
      </c>
      <c r="B36" s="80" t="n">
        <v>0.389981999001876</v>
      </c>
      <c r="C36" s="79" t="s">
        <v>45</v>
      </c>
      <c r="E36" s="80" t="n">
        <v>98.94</v>
      </c>
      <c r="F36" s="83" t="n">
        <v>0.404407188148791</v>
      </c>
      <c r="G36" s="79" t="s">
        <v>42</v>
      </c>
    </row>
    <row r="37" customFormat="false" ht="14.25" hidden="false" customHeight="false" outlineLevel="0" collapsed="false">
      <c r="A37" s="79" t="n">
        <v>265.32</v>
      </c>
      <c r="B37" s="80" t="n">
        <v>0.355021482487223</v>
      </c>
      <c r="C37" s="79" t="s">
        <v>45</v>
      </c>
      <c r="E37" s="80" t="n">
        <v>134.82</v>
      </c>
      <c r="F37" s="80" t="n">
        <v>0.295603999544761</v>
      </c>
      <c r="G37" s="79" t="s">
        <v>42</v>
      </c>
    </row>
    <row r="38" customFormat="false" ht="14.25" hidden="false" customHeight="false" outlineLevel="0" collapsed="false">
      <c r="A38" s="79" t="n">
        <v>271.31</v>
      </c>
      <c r="B38" s="80" t="n">
        <v>0.363362610495946</v>
      </c>
      <c r="C38" s="79" t="s">
        <v>45</v>
      </c>
      <c r="E38" s="80" t="n">
        <v>138.15</v>
      </c>
      <c r="F38" s="80" t="n">
        <v>0.403066976172316</v>
      </c>
      <c r="G38" s="79" t="s">
        <v>42</v>
      </c>
    </row>
    <row r="39" customFormat="false" ht="14.25" hidden="false" customHeight="false" outlineLevel="0" collapsed="false">
      <c r="A39" s="79" t="n">
        <v>259.31</v>
      </c>
      <c r="B39" s="80" t="n">
        <v>0.40885639931688</v>
      </c>
      <c r="C39" s="79" t="s">
        <v>45</v>
      </c>
      <c r="E39" s="80" t="n">
        <v>141.2</v>
      </c>
      <c r="F39" s="80" t="n">
        <v>0.373914907829445</v>
      </c>
      <c r="G39" s="79" t="s">
        <v>42</v>
      </c>
    </row>
    <row r="40" customFormat="false" ht="14.25" hidden="false" customHeight="false" outlineLevel="0" collapsed="false">
      <c r="A40" s="79" t="n">
        <v>281.94</v>
      </c>
      <c r="B40" s="79" t="n">
        <v>0.373670525632824</v>
      </c>
      <c r="C40" s="23" t="s">
        <v>45</v>
      </c>
      <c r="E40" s="80" t="n">
        <v>144.55</v>
      </c>
      <c r="F40" s="80" t="n">
        <v>0.488373590129824</v>
      </c>
      <c r="G40" s="79" t="s">
        <v>42</v>
      </c>
    </row>
    <row r="41" customFormat="false" ht="14.25" hidden="false" customHeight="false" outlineLevel="0" collapsed="false">
      <c r="A41" s="79" t="n">
        <v>285.16</v>
      </c>
      <c r="B41" s="79" t="n">
        <v>0.385726165751073</v>
      </c>
      <c r="C41" s="23" t="s">
        <v>45</v>
      </c>
      <c r="E41" s="80" t="n">
        <v>146.955</v>
      </c>
      <c r="F41" s="80" t="n">
        <v>0.5627799214171</v>
      </c>
      <c r="G41" s="79" t="s">
        <v>42</v>
      </c>
    </row>
    <row r="42" customFormat="false" ht="14.25" hidden="false" customHeight="false" outlineLevel="0" collapsed="false">
      <c r="A42" s="79" t="n">
        <v>289.71</v>
      </c>
      <c r="B42" s="79" t="n">
        <v>0.387358890755552</v>
      </c>
      <c r="C42" s="9" t="s">
        <v>45</v>
      </c>
      <c r="E42" s="80" t="n">
        <v>149.7</v>
      </c>
      <c r="F42" s="80" t="n">
        <v>0.567144200725244</v>
      </c>
      <c r="G42" s="79" t="s">
        <v>42</v>
      </c>
    </row>
    <row r="43" customFormat="false" ht="14.25" hidden="false" customHeight="false" outlineLevel="0" collapsed="false">
      <c r="A43" s="79" t="n">
        <v>299.13</v>
      </c>
      <c r="B43" s="79" t="n">
        <v>0.456278362332719</v>
      </c>
      <c r="C43" s="9" t="s">
        <v>45</v>
      </c>
      <c r="E43" s="80" t="n">
        <v>149.92</v>
      </c>
      <c r="F43" s="80" t="n">
        <v>0.564432186169464</v>
      </c>
      <c r="G43" s="79" t="s">
        <v>42</v>
      </c>
    </row>
    <row r="44" customFormat="false" ht="14.25" hidden="false" customHeight="false" outlineLevel="0" collapsed="false">
      <c r="A44" s="79" t="n">
        <v>301.52</v>
      </c>
      <c r="B44" s="79" t="n">
        <v>0.403332978367121</v>
      </c>
      <c r="C44" s="9" t="s">
        <v>45</v>
      </c>
      <c r="E44" s="80" t="n">
        <v>152.59</v>
      </c>
      <c r="F44" s="80" t="n">
        <v>0.577897497968463</v>
      </c>
      <c r="G44" s="79" t="s">
        <v>42</v>
      </c>
    </row>
    <row r="45" customFormat="false" ht="14.25" hidden="false" customHeight="false" outlineLevel="0" collapsed="false">
      <c r="A45" s="79" t="n">
        <v>307.41</v>
      </c>
      <c r="B45" s="79" t="n">
        <v>0.500530066043636</v>
      </c>
      <c r="C45" s="9" t="s">
        <v>45</v>
      </c>
      <c r="E45" s="80" t="n">
        <v>155.64</v>
      </c>
      <c r="F45" s="80" t="n">
        <v>0.409958474391797</v>
      </c>
      <c r="G45" s="79" t="s">
        <v>42</v>
      </c>
      <c r="S45" s="79" t="s">
        <v>60</v>
      </c>
      <c r="T45" s="79" t="s">
        <v>61</v>
      </c>
    </row>
    <row r="46" customFormat="false" ht="14.25" hidden="false" customHeight="false" outlineLevel="0" collapsed="false">
      <c r="A46" s="79" t="n">
        <v>310.51</v>
      </c>
      <c r="B46" s="79" t="n">
        <v>0.437472231629462</v>
      </c>
      <c r="C46" s="9" t="s">
        <v>45</v>
      </c>
      <c r="E46" s="80" t="n">
        <v>158.39</v>
      </c>
      <c r="F46" s="80" t="n">
        <v>0.392619958102606</v>
      </c>
      <c r="G46" s="79" t="s">
        <v>42</v>
      </c>
    </row>
    <row r="47" customFormat="false" ht="14.25" hidden="false" customHeight="false" outlineLevel="0" collapsed="false">
      <c r="A47" s="79" t="n">
        <v>314.7</v>
      </c>
      <c r="B47" s="79" t="n">
        <v>0.410261157374463</v>
      </c>
      <c r="C47" s="9" t="s">
        <v>45</v>
      </c>
      <c r="E47" s="80" t="n">
        <v>161.66</v>
      </c>
      <c r="F47" s="80" t="n">
        <v>0.404293975557986</v>
      </c>
      <c r="G47" s="79" t="s">
        <v>42</v>
      </c>
    </row>
    <row r="48" customFormat="false" ht="14.25" hidden="false" customHeight="false" outlineLevel="0" collapsed="false">
      <c r="A48" s="79" t="n">
        <v>316.29</v>
      </c>
      <c r="B48" s="79" t="n">
        <v>0.418351341356021</v>
      </c>
      <c r="C48" s="9" t="s">
        <v>45</v>
      </c>
      <c r="E48" s="80" t="n">
        <v>168.89</v>
      </c>
      <c r="F48" s="80" t="n">
        <v>0.413040846463776</v>
      </c>
      <c r="G48" s="79" t="s">
        <v>42</v>
      </c>
    </row>
    <row r="49" customFormat="false" ht="14.25" hidden="false" customHeight="false" outlineLevel="0" collapsed="false">
      <c r="A49" s="79" t="n">
        <v>322.31</v>
      </c>
      <c r="B49" s="79" t="n">
        <v>0.368891671665245</v>
      </c>
      <c r="C49" s="9" t="s">
        <v>45</v>
      </c>
      <c r="E49" s="80" t="n">
        <v>169.93</v>
      </c>
      <c r="F49" s="80" t="n">
        <v>0.427149950656558</v>
      </c>
      <c r="G49" s="79" t="s">
        <v>42</v>
      </c>
    </row>
    <row r="50" customFormat="false" ht="14.25" hidden="false" customHeight="false" outlineLevel="0" collapsed="false">
      <c r="A50" s="79" t="n">
        <v>323.85</v>
      </c>
      <c r="B50" s="79" t="n">
        <v>0.482108154711558</v>
      </c>
      <c r="C50" s="9" t="s">
        <v>45</v>
      </c>
      <c r="E50" s="80" t="n">
        <v>188.22</v>
      </c>
      <c r="F50" s="80" t="n">
        <v>0.491453623606309</v>
      </c>
      <c r="G50" s="79" t="s">
        <v>42</v>
      </c>
    </row>
    <row r="51" customFormat="false" ht="14.25" hidden="false" customHeight="false" outlineLevel="0" collapsed="false">
      <c r="A51" s="79" t="n">
        <v>356.04</v>
      </c>
      <c r="B51" s="79" t="n">
        <v>0.40023951668374</v>
      </c>
      <c r="C51" s="23" t="s">
        <v>45</v>
      </c>
      <c r="E51" s="80" t="n">
        <v>191.27</v>
      </c>
      <c r="F51" s="80" t="n">
        <v>0.495216794557851</v>
      </c>
      <c r="G51" s="79" t="s">
        <v>42</v>
      </c>
    </row>
    <row r="52" customFormat="false" ht="14.25" hidden="false" customHeight="false" outlineLevel="0" collapsed="false">
      <c r="A52" s="79" t="n">
        <v>361.21</v>
      </c>
      <c r="B52" s="79" t="n">
        <v>0.440765441829973</v>
      </c>
      <c r="C52" s="23" t="s">
        <v>45</v>
      </c>
      <c r="E52" s="80" t="n">
        <v>194.35</v>
      </c>
      <c r="F52" s="80" t="n">
        <v>0.444104811419097</v>
      </c>
      <c r="G52" s="79" t="s">
        <v>42</v>
      </c>
    </row>
    <row r="53" customFormat="false" ht="14.25" hidden="false" customHeight="false" outlineLevel="0" collapsed="false">
      <c r="A53" s="79" t="n">
        <v>362.16</v>
      </c>
      <c r="B53" s="79" t="n">
        <v>0.483555547206381</v>
      </c>
      <c r="C53" s="23" t="s">
        <v>45</v>
      </c>
      <c r="E53" s="80" t="n">
        <v>198.35</v>
      </c>
      <c r="F53" s="80" t="n">
        <v>0.466725491691538</v>
      </c>
      <c r="G53" s="79" t="s">
        <v>42</v>
      </c>
    </row>
    <row r="54" customFormat="false" ht="14.25" hidden="false" customHeight="false" outlineLevel="0" collapsed="false">
      <c r="A54" s="79" t="n">
        <v>364.81</v>
      </c>
      <c r="B54" s="79" t="n">
        <v>0.324902008565603</v>
      </c>
      <c r="C54" s="23" t="s">
        <v>45</v>
      </c>
      <c r="E54" s="80" t="n">
        <v>201.24</v>
      </c>
      <c r="F54" s="80" t="n">
        <v>0.503799095005089</v>
      </c>
      <c r="G54" s="79" t="s">
        <v>42</v>
      </c>
    </row>
    <row r="55" customFormat="false" ht="14.25" hidden="false" customHeight="false" outlineLevel="0" collapsed="false">
      <c r="A55" s="79" t="n">
        <v>369.21</v>
      </c>
      <c r="B55" s="79" t="n">
        <v>0.307941548250106</v>
      </c>
      <c r="C55" s="23" t="s">
        <v>45</v>
      </c>
      <c r="E55" s="80" t="n">
        <v>207.71</v>
      </c>
      <c r="F55" s="80" t="n">
        <v>0.412161256198874</v>
      </c>
      <c r="G55" s="79" t="s">
        <v>42</v>
      </c>
    </row>
    <row r="56" customFormat="false" ht="14.25" hidden="false" customHeight="false" outlineLevel="0" collapsed="false">
      <c r="E56" s="80" t="n">
        <v>215.71</v>
      </c>
      <c r="F56" s="80" t="n">
        <v>0.348405827172943</v>
      </c>
      <c r="G56" s="79" t="s">
        <v>42</v>
      </c>
    </row>
    <row r="57" customFormat="false" ht="14.25" hidden="false" customHeight="false" outlineLevel="0" collapsed="false">
      <c r="E57" s="80" t="n">
        <v>210.21</v>
      </c>
      <c r="F57" s="80" t="n">
        <v>0.495045036119259</v>
      </c>
      <c r="G57" s="79" t="s">
        <v>42</v>
      </c>
    </row>
    <row r="58" customFormat="false" ht="14.25" hidden="false" customHeight="false" outlineLevel="0" collapsed="false">
      <c r="E58" s="80" t="n">
        <v>213.26</v>
      </c>
      <c r="F58" s="80" t="n">
        <v>0.427547938774791</v>
      </c>
      <c r="G58" s="79" t="s">
        <v>42</v>
      </c>
    </row>
    <row r="59" customFormat="false" ht="14.25" hidden="false" customHeight="false" outlineLevel="0" collapsed="false">
      <c r="E59" s="80" t="n">
        <v>220.31</v>
      </c>
      <c r="F59" s="80" t="n">
        <v>0.423441590223084</v>
      </c>
      <c r="G59" s="79" t="s">
        <v>42</v>
      </c>
    </row>
    <row r="60" customFormat="false" ht="14.25" hidden="false" customHeight="false" outlineLevel="0" collapsed="false">
      <c r="E60" s="80" t="n">
        <v>224.27</v>
      </c>
      <c r="F60" s="80" t="n">
        <v>0.331562566409314</v>
      </c>
      <c r="G60" s="79" t="s">
        <v>42</v>
      </c>
    </row>
    <row r="61" customFormat="false" ht="14.25" hidden="false" customHeight="false" outlineLevel="0" collapsed="false">
      <c r="E61" s="80" t="n">
        <v>228.01</v>
      </c>
      <c r="F61" s="80" t="n">
        <v>0.433696413301426</v>
      </c>
      <c r="G61" s="79" t="s">
        <v>42</v>
      </c>
    </row>
    <row r="62" customFormat="false" ht="14.25" hidden="false" customHeight="false" outlineLevel="0" collapsed="false">
      <c r="E62" s="80" t="n">
        <v>234.17</v>
      </c>
      <c r="F62" s="80" t="n">
        <v>0.450977710693272</v>
      </c>
      <c r="G62" s="79" t="s">
        <v>42</v>
      </c>
    </row>
    <row r="63" customFormat="false" ht="14.25" hidden="false" customHeight="false" outlineLevel="0" collapsed="false">
      <c r="E63" s="80" t="n">
        <v>234.91</v>
      </c>
      <c r="F63" s="80" t="n">
        <v>0.473859600620842</v>
      </c>
      <c r="G63" s="79" t="s">
        <v>42</v>
      </c>
    </row>
    <row r="64" customFormat="false" ht="14.25" hidden="false" customHeight="false" outlineLevel="0" collapsed="false">
      <c r="E64" s="80" t="n">
        <v>245.21</v>
      </c>
      <c r="F64" s="80" t="n">
        <v>0.455780117190229</v>
      </c>
      <c r="G64" s="79" t="s">
        <v>42</v>
      </c>
    </row>
    <row r="65" customFormat="false" ht="14.25" hidden="false" customHeight="false" outlineLevel="0" collapsed="false">
      <c r="E65" s="80" t="n">
        <v>237.96</v>
      </c>
      <c r="F65" s="80" t="n">
        <v>0.461610966512829</v>
      </c>
      <c r="G65" s="79" t="s">
        <v>42</v>
      </c>
    </row>
    <row r="66" customFormat="false" ht="14.25" hidden="false" customHeight="false" outlineLevel="0" collapsed="false">
      <c r="E66" s="80" t="n">
        <v>251.91</v>
      </c>
      <c r="F66" s="80" t="n">
        <v>0.423110149146033</v>
      </c>
      <c r="G66" s="79" t="s">
        <v>42</v>
      </c>
    </row>
    <row r="67" customFormat="false" ht="14.25" hidden="false" customHeight="false" outlineLevel="0" collapsed="false">
      <c r="E67" s="80" t="n">
        <v>253.21</v>
      </c>
      <c r="F67" s="80" t="n">
        <v>0.508905541401876</v>
      </c>
      <c r="G67" s="79" t="s">
        <v>42</v>
      </c>
    </row>
    <row r="68" customFormat="false" ht="14.25" hidden="false" customHeight="false" outlineLevel="0" collapsed="false">
      <c r="E68" s="80" t="n">
        <v>255.91</v>
      </c>
      <c r="F68" s="80" t="n">
        <v>0.406062382208773</v>
      </c>
      <c r="G68" s="79" t="s">
        <v>42</v>
      </c>
    </row>
    <row r="69" customFormat="false" ht="14.25" hidden="false" customHeight="false" outlineLevel="0" collapsed="false">
      <c r="E69" s="80" t="n">
        <v>256.66</v>
      </c>
      <c r="F69" s="80" t="n">
        <v>0.373310793668442</v>
      </c>
      <c r="G69" s="79" t="s">
        <v>42</v>
      </c>
    </row>
    <row r="70" customFormat="false" ht="14.25" hidden="false" customHeight="false" outlineLevel="0" collapsed="false">
      <c r="E70" s="79" t="n">
        <v>262.36</v>
      </c>
      <c r="F70" s="80" t="n">
        <v>0.491961384881449</v>
      </c>
      <c r="G70" s="79" t="s">
        <v>42</v>
      </c>
    </row>
    <row r="71" customFormat="false" ht="14.25" hidden="false" customHeight="false" outlineLevel="0" collapsed="false">
      <c r="E71" s="79" t="n">
        <v>274.46</v>
      </c>
      <c r="F71" s="80" t="n">
        <v>0.183427452461079</v>
      </c>
      <c r="G71" s="79" t="s">
        <v>42</v>
      </c>
    </row>
    <row r="72" customFormat="false" ht="14.25" hidden="false" customHeight="false" outlineLevel="0" collapsed="false">
      <c r="E72" s="79" t="n">
        <v>275.56</v>
      </c>
      <c r="F72" s="80" t="n">
        <v>0.326313420312558</v>
      </c>
      <c r="G72" s="79" t="s">
        <v>42</v>
      </c>
    </row>
    <row r="73" customFormat="false" ht="14.25" hidden="false" customHeight="false" outlineLevel="0" collapsed="false">
      <c r="E73" s="79" t="n">
        <v>277.61</v>
      </c>
      <c r="F73" s="80" t="n">
        <v>0.311870831838094</v>
      </c>
      <c r="G73" s="79" t="s">
        <v>42</v>
      </c>
    </row>
    <row r="74" customFormat="false" ht="14.25" hidden="false" customHeight="false" outlineLevel="0" collapsed="false">
      <c r="E74" s="79" t="n">
        <v>278.31</v>
      </c>
      <c r="F74" s="80" t="n">
        <v>0.350256836906022</v>
      </c>
      <c r="G74" s="79" t="s">
        <v>42</v>
      </c>
    </row>
    <row r="75" customFormat="false" ht="14.25" hidden="false" customHeight="false" outlineLevel="0" collapsed="false">
      <c r="E75" s="79" t="n">
        <v>278.76</v>
      </c>
      <c r="F75" s="79" t="n">
        <v>0.242052162544978</v>
      </c>
      <c r="G75" s="23" t="s">
        <v>42</v>
      </c>
    </row>
    <row r="76" customFormat="false" ht="14.25" hidden="false" customHeight="false" outlineLevel="0" collapsed="false">
      <c r="E76" s="79" t="n">
        <v>288.37</v>
      </c>
      <c r="F76" s="79" t="n">
        <v>0.436361254403549</v>
      </c>
      <c r="G76" s="9" t="s">
        <v>42</v>
      </c>
    </row>
    <row r="77" customFormat="false" ht="14.25" hidden="false" customHeight="false" outlineLevel="0" collapsed="false">
      <c r="E77" s="79" t="n">
        <v>293.31</v>
      </c>
      <c r="F77" s="79" t="n">
        <v>0.407541226342458</v>
      </c>
      <c r="G77" s="9" t="s">
        <v>42</v>
      </c>
    </row>
    <row r="78" customFormat="false" ht="14.25" hidden="false" customHeight="false" outlineLevel="0" collapsed="false">
      <c r="E78" s="79" t="n">
        <v>296.01</v>
      </c>
      <c r="F78" s="79" t="n">
        <v>0.419529511840043</v>
      </c>
      <c r="G78" s="9" t="s">
        <v>42</v>
      </c>
    </row>
    <row r="79" customFormat="false" ht="14.25" hidden="false" customHeight="false" outlineLevel="0" collapsed="false">
      <c r="E79" s="79" t="n">
        <v>306.71</v>
      </c>
      <c r="F79" s="79" t="n">
        <v>0.338617621555912</v>
      </c>
      <c r="G79" s="9" t="s">
        <v>42</v>
      </c>
    </row>
    <row r="80" customFormat="false" ht="14.25" hidden="false" customHeight="false" outlineLevel="0" collapsed="false">
      <c r="E80" s="79" t="n">
        <v>319.65</v>
      </c>
      <c r="F80" s="79" t="n">
        <v>0.432420289801492</v>
      </c>
      <c r="G80" s="9" t="s">
        <v>42</v>
      </c>
    </row>
    <row r="81" customFormat="false" ht="14.25" hidden="false" customHeight="false" outlineLevel="0" collapsed="false">
      <c r="E81" s="79" t="n">
        <v>326.51</v>
      </c>
      <c r="F81" s="79" t="n">
        <v>0.501093726739306</v>
      </c>
      <c r="G81" s="9" t="s">
        <v>42</v>
      </c>
    </row>
    <row r="82" customFormat="false" ht="14.25" hidden="false" customHeight="false" outlineLevel="0" collapsed="false">
      <c r="E82" s="79" t="n">
        <v>329.28</v>
      </c>
      <c r="F82" s="79" t="n">
        <v>0.341262290619615</v>
      </c>
      <c r="G82" s="9" t="s">
        <v>42</v>
      </c>
    </row>
    <row r="83" customFormat="false" ht="14.25" hidden="false" customHeight="false" outlineLevel="0" collapsed="false">
      <c r="E83" s="79" t="n">
        <v>331.24</v>
      </c>
      <c r="F83" s="79" t="n">
        <v>0.349963169536396</v>
      </c>
      <c r="G83" s="9" t="s">
        <v>42</v>
      </c>
    </row>
    <row r="84" customFormat="false" ht="14.25" hidden="false" customHeight="false" outlineLevel="0" collapsed="false">
      <c r="E84" s="79" t="n">
        <v>332.96</v>
      </c>
      <c r="F84" s="79" t="n">
        <v>0.395402074948777</v>
      </c>
      <c r="G84" s="9" t="s">
        <v>42</v>
      </c>
    </row>
    <row r="85" customFormat="false" ht="14.25" hidden="false" customHeight="false" outlineLevel="0" collapsed="false">
      <c r="E85" s="79" t="n">
        <v>335.36</v>
      </c>
      <c r="F85" s="79" t="n">
        <v>0.416592622061982</v>
      </c>
      <c r="G85" s="9" t="s">
        <v>42</v>
      </c>
    </row>
    <row r="86" customFormat="false" ht="14.25" hidden="false" customHeight="false" outlineLevel="0" collapsed="false">
      <c r="E86" s="79" t="n">
        <v>336.71</v>
      </c>
      <c r="F86" s="79" t="n">
        <v>0.418763230858824</v>
      </c>
      <c r="G86" s="9" t="s">
        <v>42</v>
      </c>
    </row>
    <row r="87" customFormat="false" ht="14.25" hidden="false" customHeight="false" outlineLevel="0" collapsed="false">
      <c r="E87" s="79" t="n">
        <v>338.38</v>
      </c>
      <c r="F87" s="79" t="n">
        <v>0.309027508672956</v>
      </c>
      <c r="G87" s="9" t="s">
        <v>42</v>
      </c>
    </row>
    <row r="88" customFormat="false" ht="14.25" hidden="false" customHeight="false" outlineLevel="0" collapsed="false">
      <c r="E88" s="79" t="n">
        <v>344.61</v>
      </c>
      <c r="F88" s="79" t="n">
        <v>0.34419563425762</v>
      </c>
      <c r="G88" s="23" t="s">
        <v>42</v>
      </c>
    </row>
    <row r="89" customFormat="false" ht="14.25" hidden="false" customHeight="false" outlineLevel="0" collapsed="false">
      <c r="E89" s="79" t="n">
        <v>346.51</v>
      </c>
      <c r="F89" s="79" t="n">
        <v>0.334913096618673</v>
      </c>
      <c r="G89" s="23" t="s">
        <v>42</v>
      </c>
    </row>
    <row r="90" customFormat="false" ht="14.25" hidden="false" customHeight="false" outlineLevel="0" collapsed="false">
      <c r="E90" s="79" t="n">
        <v>350.53</v>
      </c>
      <c r="F90" s="79" t="n">
        <v>0.30399511623483</v>
      </c>
      <c r="G90" s="23" t="s">
        <v>42</v>
      </c>
    </row>
    <row r="91" customFormat="false" ht="14.25" hidden="false" customHeight="false" outlineLevel="0" collapsed="false">
      <c r="E91" s="79" t="n">
        <v>348.41</v>
      </c>
      <c r="F91" s="79" t="n">
        <v>0.436430071855246</v>
      </c>
      <c r="G91" s="23" t="s">
        <v>42</v>
      </c>
    </row>
    <row r="92" customFormat="false" ht="14.25" hidden="false" customHeight="false" outlineLevel="0" collapsed="false">
      <c r="E92" s="79" t="n">
        <v>351.56</v>
      </c>
      <c r="F92" s="79" t="n">
        <v>0.368668807710312</v>
      </c>
      <c r="G92" s="23" t="s">
        <v>42</v>
      </c>
    </row>
    <row r="93" customFormat="false" ht="14.25" hidden="false" customHeight="false" outlineLevel="0" collapsed="false">
      <c r="E93" s="79" t="n">
        <v>353.76</v>
      </c>
      <c r="F93" s="79" t="n">
        <v>0.296425000128962</v>
      </c>
      <c r="G93" s="23" t="s">
        <v>42</v>
      </c>
    </row>
    <row r="94" customFormat="false" ht="14.25" hidden="false" customHeight="false" outlineLevel="0" collapsed="false">
      <c r="E94" s="79" t="n">
        <v>366.46</v>
      </c>
      <c r="F94" s="79" t="n">
        <v>0.377032666588946</v>
      </c>
      <c r="G94" s="23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MYGAABQSwMEFAAGAAgAAAAhACrdqkDSAAAANwEAABMACAJbQ29udGVudF9UeXBlc10ueG1sIKIEAiigAAI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GyPvU7EMBCEeyTewdr+soECIZTkCn5KuOJ4gJWzyVnYa8teUO7tcS5UQLk/M99Mt1+CN1+ci4vSw03TgmGxcXQy9/B+fNndgylKMpKPwj2cucB+uL7qjufExVS1lB5OqukBsdgTBypNTCz1MsUcSOuYZ0xkP2hmvG3bO7RRlEV3unrA0D3xRJ9ezfNS11uSAOZx+1pBPSgvismTE8B/BZX3S0IpeWdJazNcr1X3VptmN7I5UNZXCtUYK2ZyMx62gM1fnwv6xwAvtYdvAAAA//8DAFBLAwQUAAIACAAAACEAeAxVz6wAAAD2AAAAEgAAAENvbmZpZy9QYWNrYWdlLnhtbHq/e7+NfUVujkJZalFxZn6erZKhnoGSQnFJYl5KYk5+XqqtUl6+kr0dL5dNQGJydmJ6qgJQdV6xVUVxiq1SRklJgZW+fnl5uV65sV5+Ubq+kYGBoX6Er09wckZqbqISXHEmYcW6mXkga5NTlexswiCusTPSszTTszAx0jOw0YeJ2fhm5iHkjYDuBckiCdo4l+aUlBal2qWk6rq42ujDuDb6UC/YAQAAAP//AwBQSwMEFAACAAgAAAAhAOKitJPWAQAAeQQAABMAAABGb3JtdWxhcy9TZWN0aW9uMS5tfFPNTttAEL5Hyjus3IuRLEuJaA9FPhQnBaQKCg4niqzNepystD/W7hiBIt6mz8AL8GId1wYTEscX786333zf7M54ECitYVn7n5yMR+ORX3MHBUutgy6ez3+dsoQpwPGI0Xddg1JAkdQ/xDMrag0Gw59SQZxag7TxYTD7/udTilj4h+AoupuBkloiuCSIgoiEVK2NT6bTiM2NsIU0q2Qy/Urb69oiZPikIOmX8aU1cH8UtV6+BOevL2twbAUe6xKBnQMvwAVkb8GXdPy3s5q4bdiHrfmI3XXxH0plgivufIKu/pj4DF7/GuKQU7Z4qvqMC8eNL63TrXXCwIeDRqLNJpAFFXph8Ntx3Jx+jtgmEHQ7+T7At1e2j6GX0kDRspDCDOERP5JyBWaF6z3c2nEk6iDeuBEcxbqxPGApF9YUsjO3ra9Fkduy9IAD2tY1bOQC84regZLtqYIqbHppKJ4XUP03v42ird6RT9JLi2j1ENqYPkBu4MMJ3u7FV0piDo/S47C7XPiSH7Y4cCTtHp5lsukrq2BHJb26me8Ss3m6uLi63Aae+xa/1Usw3NDMsqziika37/IbQjR00xnujkPT133+t2U8CUhgPJLmgMbJPwAAAP//AwBQSwECLQAUAAYACAAAACEAKt2qQNIAAAA3AQAAEwAAAAAAAAAAAAAAAAAAAAAAW0NvbnRlbnRfVHlwZXNdLnhtbFBLAQItABQAAgAIAAAAIQB4DFXPrAAAAPYAAAASAAAAAAAAAAAAAAAAAAsDAABDb25maWcvUGFja2FnZS54bWxQSwECLQAUAAIACAAAACEA4qK0k9YBAAB5BAAAEwAAAAAAAAAAAAAAAADnAwAARm9ybXVsYXMvU2VjdGlvbjEubVBLBQYAAAAAAwADAMIAAADuBQAAAAARAQAA77u/PD94bWwgdmVyc2lvbj0iMS4wIiBzdGFuZGFsb25lPSJubyI/Pg0K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xhYAAAAAAACkFgAA77u/PD94bWwgdmVyc2lvbj0iMS4wIiBzdGFuZGFsb25lPSJubyI/Pg0KPExvY2FsUGFja2FnZU1ldGFkYXRhRmlsZSB4bWxuczp4c2Q9Imh0dHA6Ly93d3cudzMub3JnLzIwMDEvWE1MU2NoZW1hIiB4bWxuczp4c2k9Imh0dHA6Ly93d3cudzMub3JnLzIwMDEvWE1MU2NoZW1hLWluc3RhbmNlIj48SXRlbXM+PEl0ZW0+PEl0ZW1Mb2NhdGlvbj48SXRlbVR5cGU+Rm9ybXVsYTwvSXRlbVR5cGU+PEl0ZW1QYXRoPlNlY3Rpb24xL0NvcmVTZWN0aW9uX0VMQjwvSXRlbVBhdGg+PC9JdGVtTG9jYXRpb24+PFN0YWJsZUVudHJpZXM+PEVudHJ5IFR5cGU9IkFkZGVkVG9EYXRhTW9kZWwiIFZhbHVlPSJsMCIvPjxFbnRyeSBUeXBlPSJCdWZmZXJOZXh0UmVmcmVzaCIgVmFsdWU9ImwxIi8+PEVudHJ5IFR5cGU9IkZpbGxDb3VudCIgVmFsdWU9Imw1OTkiLz48RW50cnkgVHlwZT0iRmlsbEVuYWJsZWQiIFZhbHVlPSJsMCIvPjxFbnRyeSBUeXBlPSJGaWxsRXJyb3JDb2RlIiBWYWx1ZT0ic1Vua25vd24iLz48RW50cnkgVHlwZT0iRmlsbEVycm9yQ291bnQiIFZhbHVlPSJsMCIvPjxFbnRyeSBUeXBlPSJGaWxsTGFzdFVwZGF0ZWQiIFZhbHVlPSJkMjAyNC0wMi0xM1QwODo0NzowMy42NzAxNDUzWiIvPjxFbnRyeSBUeXBlPSJGaWxsQ29sdW1uVHlwZXMiIFZhbHVlPSJzQXdNREJnTURBd1lEQmdZR0F3TURBd1lEQXdZREF3PT0iLz48RW50cnkgVHlwZT0iRmlsbENvbHVtbk5hbWVzIiBWYWx1ZT0ic1smcXVvdDtpZCZxdW90OywmcXVvdDtjb3JlX2lkJnF1b3Q7LCZxdW90O3NlY3Rpb24mcXVvdDssJnF1b3Q7Y29tYmluZWRfaWQmcXVvdDssJnF1b3Q7c2VjdGlvbl9sZW5ndGgmcXVvdDssJnF1b3Q7Y3VyYXRlZF9sZW5ndGgmcXVvdDssJnF1b3Q7Y29yZV9jYXRjaGVyJnF1b3Q7LCZxdW90O3NlY3Rpb25fY29uZGl0aW9uJnF1b3Q7LCZxdW90O21jZF9vZmZzZXQmcXVvdDssJnF1b3Q7Y3VyYXRvcl9jb250YWN0X3BlcnNvbl9pZCZxdW90OywmcXVvdDtjb21tZW50JnF1b3Q7LCZxdW90O2NvbW1lbnRfZGVwdGgmcXVvdDssJnF1b3Q7dG9wX2RlcHRoJnF1b3Q7LCZxdW90O2JvdHRvbV9kZXB0aCZxdW90OywmcXVvdDttY2RfdG9wX2RlcHRoJnF1b3Q7LCZxdW90O21jZF9ib3R0b21fZGVwdGgmcXVvdDssJnF1b3Q7c2VjdGlvbl9zcGxpdF9leGlzdCZxdW90OywmcXVvdDt0b3BfZGVwdGhfY3NmYSZxdW90OywmcXVvdDtib3R0b21fZGVwdGhfY3NmYSZxdW90OywmcXVvdDtDb21iaW5lZCBTaXRlIEhvbGUmcXVvdDssJnF1b3Q7Q09SRSZxdW90OywmcXVvdDtTRUNUSU9OLjEmcXVvdDtdIi8+PEVudHJ5IFR5cGU9IkZpbGxlZENvbXBsZXRlUmVzdWx0VG9Xb3Jrc2hlZXQiIFZhbHVlPSJsMSIvPjxFbnRyeSBUeXBlPSJGaWxsU3RhdHVzIiBWYWx1ZT0ic0NvbXBsZXRlIi8+PEVudHJ5IFR5cGU9IkZpbGxUb0RhdGFNb2RlbEVuYWJsZWQiIFZhbHVlPSJsMCIvPjxFbnRyeSBUeXBlPSJJc1ByaXZhdGUiIFZhbHVlPSJsMCIvPjxFbnRyeSBUeXBlPSJSZWxhdGlvbnNoaXBJbmZvQ29udGFpbmVyIiBWYWx1ZT0ic3smcXVvdDtjb2x1bW5Db3VudCZxdW90OzoyMiwmcXVvdDtrZXlDb2x1bW5OYW1lcyZxdW90OzpbXSwmcXVvdDtxdWVyeVJlbGF0aW9uc2hpcHMmcXVvdDs6W10sJnF1b3Q7Y29sdW1uSWRlbnRpdGllcyZxdW90OzpbJnF1b3Q7U2VjdGlvbjEvQ29yZVNlY3Rpb25fRUxCL0dlw6RuZGVydGVyIFR5cC57aWQsMH0mcXVvdDssJnF1b3Q7U2VjdGlvbjEvQ29yZVNlY3Rpb25fRUxCL0dlw6RuZGVydGVyIFR5cC57Y29yZV9pZCwxfSZxdW90OywmcXVvdDtTZWN0aW9uMS9Db3JlU2VjdGlvbl9FTEIvR2XDpG5kZXJ0ZXIgVHlwLntzZWN0aW9uLDJ9JnF1b3Q7LCZxdW90O1NlY3Rpb24xL0NvcmVTZWN0aW9uX0VMQi9HZcOkbmRlcnRlciBUeXAue2NvbWJpbmVkX2lkLDN9JnF1b3Q7LCZxdW90O1NlY3Rpb24xL0NvcmVTZWN0aW9uX0VMQi9HZcOkbmRlcnRlciBUeXAue3NlY3Rpb25fbGVuZ3RoLDR9JnF1b3Q7LCZxdW90O1NlY3Rpb24xL0NvcmVTZWN0aW9uX0VMQi9HZcOkbmRlcnRlciBUeXAue2N1cmF0ZWRfbGVuZ3RoLDV9JnF1b3Q7LCZxdW90O1NlY3Rpb24xL0NvcmVTZWN0aW9uX0VMQi9HZcOkbmRlcnRlciBUeXAue2NvcmVfY2F0Y2hlciw2fSZxdW90OywmcXVvdDtTZWN0aW9uMS9Db3JlU2VjdGlvbl9FTEIvR2XDpG5kZXJ0ZXIgVHlwLntzZWN0aW9uX2NvbmRpdGlvbiw3fSZxdW90OywmcXVvdDtTZWN0aW9uMS9Db3JlU2VjdGlvbl9FTEIvR2XDpG5kZXJ0ZXIgVHlwLnttY2Rfb2Zmc2V0LDh9JnF1b3Q7LCZxdW90O1NlY3Rpb24xL0NvcmVTZWN0aW9uX0VMQi9HZcOkbmRlcnRlciBUeXAue2N1cmF0b3JfY29udGFjdF9wZXJzb25faWQsOX0mcXVvdDssJnF1b3Q7U2VjdGlvbjEvQ29yZVNlY3Rpb25fRUxCL0dlw6RuZGVydGVyIFR5cC57Y29tbWVudCwxMH0mcXVvdDssJnF1b3Q7U2VjdGlvbjEvQ29yZVNlY3Rpb25fRUxCL0dlw6RuZGVydGVyIFR5cC57Y29tbWVudF9kZXB0aCwxMX0mcXVvdDssJnF1b3Q7U2VjdGlvbjEvQ29yZVNlY3Rpb25fRUxCL0dlw6RuZGVydGVyIFR5cC57dG9wX2RlcHRoLDEyfSZxdW90OywmcXVvdDtTZWN0aW9uMS9Db3JlU2VjdGlvbl9FTEIvR2XDpG5kZXJ0ZXIgVHlwLntib3R0b21fZGVwdGgsMTN9JnF1b3Q7LCZxdW90O1NlY3Rpb24xL0NvcmVTZWN0aW9uX0VMQi9HZcOkbmRlcnRlciBUeXAue21jZF90b3BfZGVwdGgsMTR9JnF1b3Q7LCZxdW90O1NlY3Rpb24xL0NvcmVTZWN0aW9uX0VMQi9HZcOkbmRlcnRlciBUeXAue21jZF9ib3R0b21fZGVwdGgsMTV9JnF1b3Q7LCZxdW90O1NlY3Rpb24xL0NvcmVTZWN0aW9uX0VMQi9HZcOkbmRlcnRlciBUeXAue3NlY3Rpb25fc3BsaXRfZXhpc3QsMTZ9JnF1b3Q7LCZxdW90O1NlY3Rpb24xL0NvcmVTZWN0aW9uX0VMQi9HZcOkbmRlcnRlciBUeXAue3RvcF9kZXB0aF9jc2ZhLDE3fSZxdW90OywmcXVvdDtTZWN0aW9uMS9Db3JlU2VjdGlvbl9FTEIvR2XDpG5kZXJ0ZXIgVHlwLntib3R0b21fZGVwdGhfY3NmYSwxOH0mcXVvdDssJnF1b3Q7U2VjdGlvbjEvQ29yZVNlY3Rpb25fRUxCL0dlw6RuZGVydGVyIFR5cC57Q29tYmluZWQgU2l0ZSBIb2xlLDE5fSZxdW90OywmcXVvdDtTZWN0aW9uMS9Db3JlU2VjdGlvbl9FTEIvR2XDpG5kZXJ0ZXIgVHlwLntDT1JFLDIwfSZxdW90OywmcXVvdDtTZWN0aW9uMS9Db3JlU2VjdGlvbl9FTEIvR2XDpG5kZXJ0ZXIgVHlwLntTRUNUSU9OLDIxfSZxdW90O10sJnF1b3Q7Q29sdW1uQ291bnQmcXVvdDs6MjIsJnF1b3Q7S2V5Q29sdW1uTmFtZXMmcXVvdDs6W10sJnF1b3Q7Q29sdW1uSWRlbnRpdGllcyZxdW90OzpbJnF1b3Q7U2VjdGlvbjEvQ29yZVNlY3Rpb25fRUxCL0dlw6RuZGVydGVyIFR5cC57aWQsMH0mcXVvdDssJnF1b3Q7U2VjdGlvbjEvQ29yZVNlY3Rpb25fRUxCL0dlw6RuZGVydGVyIFR5cC57Y29yZV9pZCwxfSZxdW90OywmcXVvdDtTZWN0aW9uMS9Db3JlU2VjdGlvbl9FTEIvR2XDpG5kZXJ0ZXIgVHlwLntzZWN0aW9uLDJ9JnF1b3Q7LCZxdW90O1NlY3Rpb24xL0NvcmVTZWN0aW9uX0VMQi9HZcOkbmRlcnRlciBUeXAue2NvbWJpbmVkX2lkLDN9JnF1b3Q7LCZxdW90O1NlY3Rpb24xL0NvcmVTZWN0aW9uX0VMQi9HZcOkbmRlcnRlciBUeXAue3NlY3Rpb25fbGVuZ3RoLDR9JnF1b3Q7LCZxdW90O1NlY3Rpb24xL0NvcmVTZWN0aW9uX0VMQi9HZcOkbmRlcnRlciBUeXAue2N1cmF0ZWRfbGVuZ3RoLDV9JnF1b3Q7LCZxdW90O1NlY3Rpb24xL0NvcmVTZWN0aW9uX0VMQi9HZcOkbmRlcnRlciBUeXAue2NvcmVfY2F0Y2hlciw2fSZxdW90OywmcXVvdDtTZWN0aW9uMS9Db3JlU2VjdGlvbl9FTEIvR2XDpG5kZXJ0ZXIgVHlwLntzZWN0aW9uX2NvbmRpdGlvbiw3fSZxdW90OywmcXVvdDtTZWN0aW9uMS9Db3JlU2VjdGlvbl9FTEIvR2XDpG5kZXJ0ZXIgVHlwLnttY2Rfb2Zmc2V0LDh9JnF1b3Q7LCZxdW90O1NlY3Rpb24xL0NvcmVTZWN0aW9uX0VMQi9HZcOkbmRlcnRlciBUeXAue2N1cmF0b3JfY29udGFjdF9wZXJzb25faWQsOX0mcXVvdDssJnF1b3Q7U2VjdGlvbjEvQ29yZVNlY3Rpb25fRUxCL0dlw6RuZGVydGVyIFR5cC57Y29tbWVudCwxMH0mcXVvdDssJnF1b3Q7U2VjdGlvbjEvQ29yZVNlY3Rpb25fRUxCL0dlw6RuZGVydGVyIFR5cC57Y29tbWVudF9kZXB0aCwxMX0mcXVvdDssJnF1b3Q7U2VjdGlvbjEvQ29yZVNlY3Rpb25fRUxCL0dlw6RuZGVydGVyIFR5cC57dG9wX2RlcHRoLDEyfSZxdW90OywmcXVvdDtTZWN0aW9uMS9Db3JlU2VjdGlvbl9FTEIvR2XDpG5kZXJ0ZXIgVHlwLntib3R0b21fZGVwdGgsMTN9JnF1b3Q7LCZxdW90O1NlY3Rpb24xL0NvcmVTZWN0aW9uX0VMQi9HZcOkbmRlcnRlciBUeXAue21jZF90b3BfZGVwdGgsMTR9JnF1b3Q7LCZxdW90O1NlY3Rpb24xL0NvcmVTZWN0aW9uX0VMQi9HZcOkbmRlcnRlciBUeXAue21jZF9ib3R0b21fZGVwdGgsMTV9JnF1b3Q7LCZxdW90O1NlY3Rpb24xL0NvcmVTZWN0aW9uX0VMQi9HZcOkbmRlcnRlciBUeXAue3NlY3Rpb25fc3BsaXRfZXhpc3QsMTZ9JnF1b3Q7LCZxdW90O1NlY3Rpb24xL0NvcmVTZWN0aW9uX0VMQi9HZcOkbmRlcnRlciBUeXAue3RvcF9kZXB0aF9jc2ZhLDE3fSZxdW90OywmcXVvdDtTZWN0aW9uMS9Db3JlU2VjdGlvbl9FTEIvR2XDpG5kZXJ0ZXIgVHlwLntib3R0b21fZGVwdGhfY3NmYSwxOH0mcXVvdDssJnF1b3Q7U2VjdGlvbjEvQ29yZVNlY3Rpb25fRUxCL0dlw6RuZGVydGVyIFR5cC57Q29tYmluZWQgU2l0ZSBIb2xlLDE5fSZxdW90OywmcXVvdDtTZWN0aW9uMS9Db3JlU2VjdGlvbl9FTEIvR2XDpG5kZXJ0ZXIgVHlwLntDT1JFLDIwfSZxdW90OywmcXVvdDtTZWN0aW9uMS9Db3JlU2VjdGlvbl9FTEIvR2XDpG5kZXJ0ZXIgVHlwLntTRUNUSU9OLDIxfSZxdW90O10sJnF1b3Q7UmVsYXRpb25zaGlwSW5mbyZxdW90OzpbXX0iLz48RW50cnkgVHlwZT0iUmVzdWx0VHlwZSIgVmFsdWU9InNUYWJsZSIvPjxFbnRyeSBUeXBlPSJGaWxsT2JqZWN0VHlwZSIgVmFsdWU9InNDb25uZWN0aW9uT25seSIvPjxFbnRyeSBUeXBlPSJOYW1lVXBkYXRlZEFmdGVyRmlsbCIgVmFsdWU9ImwwIi8+PC9TdGFibGVFbnRyaWVzPjwvSXRlbT48SXRlbT48SXRlbUxvY2F0aW9uPjxJdGVtVHlwZT5Gb3JtdWxhPC9JdGVtVHlwZT48SXRlbVBhdGg+U2VjdGlvbjEvQ29yZVNlY3Rpb25fRUxCL1F1ZWxsZTwvSXRlbVBhdGg+PC9JdGVtTG9jYXRpb24+PFN0YWJsZUVudHJpZXMvPjwvSXRlbT48SXRlbT48SXRlbUxvY2F0aW9uPjxJdGVtVHlwZT5Gb3JtdWxhPC9JdGVtVHlwZT48SXRlbVBhdGg+U2VjdGlvbjEvQ29yZVNlY3Rpb25fRUxCL0glQzMlQjZoZXIlMjBnZXN0dWZ0ZSUyMEhlYWRlcjwvSXRlbVBhdGg+PC9JdGVtTG9jYXRpb24+PFN0YWJsZUVudHJpZXMvPjwvSXRlbT48SXRlbT48SXRlbUxvY2F0aW9uPjxJdGVtVHlwZT5Gb3JtdWxhPC9JdGVtVHlwZT48SXRlbVBhdGg+U2VjdGlvbjEvQ29yZVNlY3Rpb25fRUxCL0dlJUMzJUE0bmRlcnRlciUyMFR5cDwvSXRlbVBhdGg+PC9JdGVtTG9jYXRpb24+PFN0YWJsZUVudHJpZXMvPjwvSXRlbT48SXRlbT48SXRlbUxvY2F0aW9uPjxJdGVtVHlwZT5Gb3JtdWxhPC9JdGVtVHlwZT48SXRlbVBhdGg+U2VjdGlvbjEvQ29yZVNlY3Rpb25fRUxCL1VtYmVuYW5udGUlMjBTcGFsdGVuPC9JdGVtUGF0aD48L0l0ZW1Mb2NhdGlvbj48U3RhYmxlRW50cmllcy8+PC9JdGVtPjxJdGVtPjxJdGVtTG9jYXRpb24+PEl0ZW1UeXBlPkFsbEZvcm11bGFzPC9JdGVtVHlwZT48SXRlbVBhdGg+PC9JdGVtUGF0aD48L0l0ZW1Mb2NhdGlvbj48U3RhYmxlRW50cmllcy8+PC9JdGVtPjwvSXRlbXM+PC9Mb2NhbFBhY2thZ2VNZXRhZGF0YUZpbGU+FgAAAFBLBQYAAAAAAAAAAAAAAAAAAAAAAAAmAQAAAQAAANCMnd8BFdERjHoAwE/Cl+sBAAAAf6Q8Yc/XRE6g5a0p086xUwAAAAACAAAAAAAQZgAAAAEAACAAAABcLiYsbiEvHBom5unzV8mV+GEk8W3ikns1+BlHi9CYcgAAAAAOgAAAAAIAACAAAAA0U6wZC9y5H1HPoyLbOSXroCWUC56twke6p0PvaPMwI1AAAAC8nguFIMHo1ruC8d4IXVvVDQHTo5+4csm+p/53+QmMZSfgDKRLujcW/V9ToOkkThUjKnYWVzJqBX2EfLMxzjXXt794AgbilraI+oTMiQ7hrEAAAACsz2ubxocmlY+raWWNrogwee+7Htoz9J5S7b/pY8gResoPcaF4OX8bTCxwlakguuAUnbXMxu+MTWGmNRaN0qpv</DataMashup>
</file>

<file path=customXml/itemProps1.xml><?xml version="1.0" encoding="utf-8"?>
<ds:datastoreItem xmlns:ds="http://schemas.openxmlformats.org/officeDocument/2006/customXml" ds:itemID="{45354DAB-EA40-45B5-B897-4E73CBE830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Collabora_Office/25.04.2.2$Linux_X86_64 LibreOffice_project/b678ed74695d64e638db9eb734e86703ad84516d</Application>
  <AppVersion>15.0000</AppVersion>
  <Company>University of Leicester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2024-02-05T08:47:56Z</dcterms:created>
  <dc:creator>Rydzy, Marisa B. (Dr.)</dc:creator>
  <dc:description/>
  <dc:language>en-US</dc:language>
  <cp:lastModifiedBy/>
  <cp:lastPrinted>2024-02-07T15:07:26Z</cp:lastPrinted>
  <dcterms:modified xsi:type="dcterms:W3CDTF">2026-01-26T19:46:28Z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