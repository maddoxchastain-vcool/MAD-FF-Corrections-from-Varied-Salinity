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M0111C/"/>
    </mc:Choice>
  </mc:AlternateContent>
  <xr:revisionPtr revIDLastSave="1" documentId="14_{B96E9D15-E3D1-4FE3-AD8D-4DA11EC31CAB}" xr6:coauthVersionLast="47" xr6:coauthVersionMax="47" xr10:uidLastSave="{542A4EAE-4A76-45D2-84D3-AF45A3AD7D98}"/>
  <bookViews>
    <workbookView xWindow="-108" yWindow="-108" windowWidth="23256" windowHeight="12456" xr2:uid="{00000000-000D-0000-FFFF-FFFF00000000}"/>
  </bookViews>
  <sheets>
    <sheet name="MAD" sheetId="2" r:id="rId1"/>
    <sheet name="STD" sheetId="9" r:id="rId2"/>
    <sheet name="Depth vlookup" sheetId="6" r:id="rId3"/>
    <sheet name="Beakers" sheetId="1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D76" i="9"/>
  <c r="AC172" i="2"/>
  <c r="AC173" i="2"/>
  <c r="AC174" i="2"/>
  <c r="AC175" i="2"/>
  <c r="AC176" i="2"/>
  <c r="AC177" i="2"/>
  <c r="AC178" i="2"/>
  <c r="AC179" i="2"/>
  <c r="AC180" i="2"/>
  <c r="AC181" i="2"/>
  <c r="AC113" i="2"/>
  <c r="AC114" i="2"/>
  <c r="AC115" i="2"/>
  <c r="AC116" i="2"/>
  <c r="AF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V113" i="2"/>
  <c r="W113" i="2"/>
  <c r="V114" i="2"/>
  <c r="W114" i="2"/>
  <c r="V115" i="2"/>
  <c r="W115" i="2"/>
  <c r="V116" i="2"/>
  <c r="X116" i="2" s="1"/>
  <c r="W116" i="2"/>
  <c r="V117" i="2"/>
  <c r="W117" i="2"/>
  <c r="V118" i="2"/>
  <c r="W118" i="2"/>
  <c r="X118" i="2"/>
  <c r="V119" i="2"/>
  <c r="W119" i="2"/>
  <c r="V120" i="2"/>
  <c r="W120" i="2"/>
  <c r="V121" i="2"/>
  <c r="W121" i="2"/>
  <c r="V122" i="2"/>
  <c r="W122" i="2"/>
  <c r="X122" i="2" s="1"/>
  <c r="V123" i="2"/>
  <c r="W123" i="2"/>
  <c r="V124" i="2"/>
  <c r="W124" i="2"/>
  <c r="X124" i="2" s="1"/>
  <c r="AF124" i="2" s="1"/>
  <c r="V125" i="2"/>
  <c r="X125" i="2" s="1"/>
  <c r="W125" i="2"/>
  <c r="V126" i="2"/>
  <c r="W126" i="2"/>
  <c r="X126" i="2" s="1"/>
  <c r="V127" i="2"/>
  <c r="W127" i="2"/>
  <c r="X127" i="2"/>
  <c r="V128" i="2"/>
  <c r="W128" i="2"/>
  <c r="V129" i="2"/>
  <c r="W129" i="2"/>
  <c r="V130" i="2"/>
  <c r="W130" i="2"/>
  <c r="V131" i="2"/>
  <c r="W131" i="2"/>
  <c r="V132" i="2"/>
  <c r="W132" i="2"/>
  <c r="V133" i="2"/>
  <c r="W133" i="2"/>
  <c r="V134" i="2"/>
  <c r="W134" i="2"/>
  <c r="V135" i="2"/>
  <c r="W135" i="2"/>
  <c r="V136" i="2"/>
  <c r="W136" i="2"/>
  <c r="X136" i="2" s="1"/>
  <c r="AF136" i="2" s="1"/>
  <c r="V137" i="2"/>
  <c r="W137" i="2"/>
  <c r="V138" i="2"/>
  <c r="W138" i="2"/>
  <c r="V139" i="2"/>
  <c r="W139" i="2"/>
  <c r="V140" i="2"/>
  <c r="W140" i="2"/>
  <c r="V141" i="2"/>
  <c r="W141" i="2"/>
  <c r="V142" i="2"/>
  <c r="X142" i="2" s="1"/>
  <c r="AF142" i="2" s="1"/>
  <c r="W142" i="2"/>
  <c r="V143" i="2"/>
  <c r="W143" i="2"/>
  <c r="X143" i="2" s="1"/>
  <c r="V144" i="2"/>
  <c r="W144" i="2"/>
  <c r="V145" i="2"/>
  <c r="W145" i="2"/>
  <c r="V146" i="2"/>
  <c r="X146" i="2" s="1"/>
  <c r="W146" i="2"/>
  <c r="V147" i="2"/>
  <c r="W147" i="2"/>
  <c r="V148" i="2"/>
  <c r="W148" i="2"/>
  <c r="V149" i="2"/>
  <c r="W149" i="2"/>
  <c r="V150" i="2"/>
  <c r="X150" i="2" s="1"/>
  <c r="W150" i="2"/>
  <c r="V151" i="2"/>
  <c r="W151" i="2"/>
  <c r="V152" i="2"/>
  <c r="W152" i="2"/>
  <c r="X152" i="2" s="1"/>
  <c r="V153" i="2"/>
  <c r="W153" i="2"/>
  <c r="V154" i="2"/>
  <c r="W154" i="2"/>
  <c r="V155" i="2"/>
  <c r="W155" i="2"/>
  <c r="V156" i="2"/>
  <c r="W156" i="2"/>
  <c r="V157" i="2"/>
  <c r="W157" i="2"/>
  <c r="V158" i="2"/>
  <c r="X158" i="2" s="1"/>
  <c r="W158" i="2"/>
  <c r="V159" i="2"/>
  <c r="X159" i="2" s="1"/>
  <c r="Y159" i="2" s="1"/>
  <c r="W159" i="2"/>
  <c r="V160" i="2"/>
  <c r="W160" i="2"/>
  <c r="V161" i="2"/>
  <c r="W161" i="2"/>
  <c r="V162" i="2"/>
  <c r="X162" i="2" s="1"/>
  <c r="W162" i="2"/>
  <c r="V163" i="2"/>
  <c r="X163" i="2" s="1"/>
  <c r="AF163" i="2" s="1"/>
  <c r="W163" i="2"/>
  <c r="V164" i="2"/>
  <c r="W164" i="2"/>
  <c r="V165" i="2"/>
  <c r="W165" i="2"/>
  <c r="V166" i="2"/>
  <c r="X166" i="2" s="1"/>
  <c r="W166" i="2"/>
  <c r="V167" i="2"/>
  <c r="X167" i="2" s="1"/>
  <c r="AF167" i="2" s="1"/>
  <c r="W167" i="2"/>
  <c r="V168" i="2"/>
  <c r="W168" i="2"/>
  <c r="V169" i="2"/>
  <c r="W169" i="2"/>
  <c r="V170" i="2"/>
  <c r="W170" i="2"/>
  <c r="V171" i="2"/>
  <c r="X171" i="2" s="1"/>
  <c r="W171" i="2"/>
  <c r="V172" i="2"/>
  <c r="W172" i="2"/>
  <c r="V173" i="2"/>
  <c r="W173" i="2"/>
  <c r="V174" i="2"/>
  <c r="X174" i="2" s="1"/>
  <c r="W174" i="2"/>
  <c r="V175" i="2"/>
  <c r="W175" i="2"/>
  <c r="V176" i="2"/>
  <c r="W176" i="2"/>
  <c r="V177" i="2"/>
  <c r="W177" i="2"/>
  <c r="V178" i="2"/>
  <c r="W178" i="2"/>
  <c r="V179" i="2"/>
  <c r="X179" i="2" s="1"/>
  <c r="AF179" i="2" s="1"/>
  <c r="W179" i="2"/>
  <c r="V180" i="2"/>
  <c r="W180" i="2"/>
  <c r="V181" i="2"/>
  <c r="W181" i="2"/>
  <c r="D75" i="9"/>
  <c r="D74" i="9"/>
  <c r="D73" i="9"/>
  <c r="D72" i="9"/>
  <c r="D71" i="9"/>
  <c r="D70" i="9"/>
  <c r="D69" i="9"/>
  <c r="M34" i="9"/>
  <c r="M33" i="9"/>
  <c r="M32" i="9"/>
  <c r="M31" i="9"/>
  <c r="M30" i="9"/>
  <c r="D68" i="9"/>
  <c r="D67" i="9"/>
  <c r="D66" i="9"/>
  <c r="D65" i="9"/>
  <c r="D64" i="9"/>
  <c r="AC21" i="2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M27" i="9"/>
  <c r="M26" i="9"/>
  <c r="M25" i="9"/>
  <c r="M24" i="9"/>
  <c r="M23" i="9"/>
  <c r="D15" i="9"/>
  <c r="D14" i="9"/>
  <c r="D13" i="9"/>
  <c r="M21" i="9"/>
  <c r="M20" i="9"/>
  <c r="M19" i="9"/>
  <c r="M18" i="9"/>
  <c r="M17" i="9"/>
  <c r="D12" i="9"/>
  <c r="D11" i="9"/>
  <c r="M12" i="9"/>
  <c r="M13" i="9"/>
  <c r="M14" i="9"/>
  <c r="M11" i="9"/>
  <c r="D8" i="9"/>
  <c r="D7" i="9"/>
  <c r="D6" i="9"/>
  <c r="D5" i="9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D4" i="9"/>
  <c r="D3" i="9"/>
  <c r="D2" i="9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5" i="1"/>
  <c r="C17" i="1"/>
  <c r="C16" i="1"/>
  <c r="C14" i="1"/>
  <c r="C13" i="1"/>
  <c r="C12" i="1"/>
  <c r="C11" i="1"/>
  <c r="C10" i="1"/>
  <c r="C9" i="1"/>
  <c r="C8" i="1"/>
  <c r="C7" i="1"/>
  <c r="C2" i="1"/>
  <c r="C3" i="1"/>
  <c r="X161" i="2" l="1"/>
  <c r="X115" i="2"/>
  <c r="X168" i="2"/>
  <c r="AF168" i="2" s="1"/>
  <c r="X157" i="2"/>
  <c r="Y157" i="2" s="1"/>
  <c r="Z157" i="2" s="1"/>
  <c r="X145" i="2"/>
  <c r="X133" i="2"/>
  <c r="AA133" i="2" s="1"/>
  <c r="X129" i="2"/>
  <c r="X175" i="2"/>
  <c r="Y175" i="2" s="1"/>
  <c r="X132" i="2"/>
  <c r="AF132" i="2" s="1"/>
  <c r="X128" i="2"/>
  <c r="X121" i="2"/>
  <c r="AF121" i="2" s="1"/>
  <c r="X113" i="2"/>
  <c r="AA113" i="2" s="1"/>
  <c r="X155" i="2"/>
  <c r="AA155" i="2" s="1"/>
  <c r="X151" i="2"/>
  <c r="AF151" i="2" s="1"/>
  <c r="X147" i="2"/>
  <c r="AF147" i="2" s="1"/>
  <c r="X139" i="2"/>
  <c r="X135" i="2"/>
  <c r="AF135" i="2" s="1"/>
  <c r="X178" i="2"/>
  <c r="AF178" i="2" s="1"/>
  <c r="X123" i="2"/>
  <c r="AF123" i="2" s="1"/>
  <c r="AF175" i="2"/>
  <c r="Y143" i="2"/>
  <c r="AF143" i="2"/>
  <c r="Y171" i="2"/>
  <c r="AF171" i="2"/>
  <c r="X141" i="2"/>
  <c r="AA141" i="2" s="1"/>
  <c r="Y125" i="2"/>
  <c r="AF125" i="2"/>
  <c r="AF145" i="2"/>
  <c r="Y145" i="2"/>
  <c r="AA174" i="2"/>
  <c r="AF174" i="2"/>
  <c r="Y174" i="2"/>
  <c r="AF166" i="2"/>
  <c r="AF162" i="2"/>
  <c r="AF155" i="2"/>
  <c r="AF128" i="2"/>
  <c r="AF159" i="2"/>
  <c r="AE115" i="2"/>
  <c r="Y127" i="2"/>
  <c r="AF127" i="2"/>
  <c r="AD129" i="2"/>
  <c r="AH129" i="2" s="1"/>
  <c r="AA145" i="2"/>
  <c r="X173" i="2"/>
  <c r="AA158" i="2"/>
  <c r="AF158" i="2"/>
  <c r="Y158" i="2"/>
  <c r="AF150" i="2"/>
  <c r="AF146" i="2"/>
  <c r="Y139" i="2"/>
  <c r="AF139" i="2"/>
  <c r="Y118" i="2"/>
  <c r="AB118" i="2" s="1"/>
  <c r="AF118" i="2"/>
  <c r="AA118" i="2"/>
  <c r="AF115" i="2"/>
  <c r="Z159" i="2"/>
  <c r="AG159" i="2" s="1"/>
  <c r="AB159" i="2"/>
  <c r="Y129" i="2"/>
  <c r="AB129" i="2" s="1"/>
  <c r="AE129" i="2" s="1"/>
  <c r="AL129" i="2" s="1"/>
  <c r="AA129" i="2"/>
  <c r="AF129" i="2"/>
  <c r="Y161" i="2"/>
  <c r="AA161" i="2"/>
  <c r="Y123" i="2"/>
  <c r="AF122" i="2"/>
  <c r="AA142" i="2"/>
  <c r="Y142" i="2"/>
  <c r="X134" i="2"/>
  <c r="X130" i="2"/>
  <c r="Y130" i="2" s="1"/>
  <c r="AA126" i="2"/>
  <c r="Y126" i="2"/>
  <c r="AF126" i="2"/>
  <c r="AF161" i="2"/>
  <c r="AF157" i="2"/>
  <c r="X176" i="2"/>
  <c r="X170" i="2"/>
  <c r="X160" i="2"/>
  <c r="X154" i="2"/>
  <c r="Y154" i="2" s="1"/>
  <c r="X144" i="2"/>
  <c r="AA144" i="2" s="1"/>
  <c r="X138" i="2"/>
  <c r="AA138" i="2" s="1"/>
  <c r="X131" i="2"/>
  <c r="AA131" i="2" s="1"/>
  <c r="X119" i="2"/>
  <c r="AA119" i="2" s="1"/>
  <c r="AF152" i="2"/>
  <c r="AF133" i="2"/>
  <c r="X181" i="2"/>
  <c r="AA181" i="2" s="1"/>
  <c r="X172" i="2"/>
  <c r="X169" i="2"/>
  <c r="X165" i="2"/>
  <c r="Y165" i="2" s="1"/>
  <c r="X156" i="2"/>
  <c r="AA156" i="2" s="1"/>
  <c r="X153" i="2"/>
  <c r="Y153" i="2" s="1"/>
  <c r="X149" i="2"/>
  <c r="Y149" i="2" s="1"/>
  <c r="X140" i="2"/>
  <c r="X137" i="2"/>
  <c r="Y137" i="2" s="1"/>
  <c r="X114" i="2"/>
  <c r="X177" i="2"/>
  <c r="X180" i="2"/>
  <c r="AA180" i="2" s="1"/>
  <c r="X164" i="2"/>
  <c r="X148" i="2"/>
  <c r="AA148" i="2" s="1"/>
  <c r="X120" i="2"/>
  <c r="X117" i="2"/>
  <c r="AE159" i="2"/>
  <c r="AE118" i="2"/>
  <c r="AA178" i="2"/>
  <c r="AA166" i="2"/>
  <c r="Y166" i="2"/>
  <c r="AA146" i="2"/>
  <c r="Y146" i="2"/>
  <c r="Y128" i="2"/>
  <c r="AA128" i="2"/>
  <c r="AA122" i="2"/>
  <c r="Y122" i="2"/>
  <c r="AA115" i="2"/>
  <c r="Y115" i="2"/>
  <c r="AB115" i="2" s="1"/>
  <c r="AA153" i="2"/>
  <c r="Y140" i="2"/>
  <c r="Y152" i="2"/>
  <c r="AA152" i="2"/>
  <c r="Y133" i="2"/>
  <c r="AA121" i="2"/>
  <c r="AA164" i="2"/>
  <c r="Y164" i="2"/>
  <c r="Y120" i="2"/>
  <c r="Y176" i="2"/>
  <c r="AA176" i="2"/>
  <c r="Y144" i="2"/>
  <c r="Y138" i="2"/>
  <c r="AB138" i="2" s="1"/>
  <c r="AE138" i="2" s="1"/>
  <c r="AA132" i="2"/>
  <c r="Y132" i="2"/>
  <c r="AA163" i="2"/>
  <c r="Y163" i="2"/>
  <c r="AA162" i="2"/>
  <c r="Y162" i="2"/>
  <c r="AA150" i="2"/>
  <c r="Y150" i="2"/>
  <c r="AA130" i="2"/>
  <c r="Y169" i="2"/>
  <c r="AA169" i="2"/>
  <c r="AA168" i="2"/>
  <c r="Y136" i="2"/>
  <c r="AB136" i="2" s="1"/>
  <c r="AD136" i="2" s="1"/>
  <c r="AH136" i="2" s="1"/>
  <c r="AA136" i="2"/>
  <c r="Y124" i="2"/>
  <c r="AA124" i="2"/>
  <c r="AA179" i="2"/>
  <c r="Y179" i="2"/>
  <c r="AB179" i="2" s="1"/>
  <c r="AE179" i="2" s="1"/>
  <c r="AA167" i="2"/>
  <c r="Y167" i="2"/>
  <c r="AA135" i="2"/>
  <c r="Y135" i="2"/>
  <c r="AA116" i="2"/>
  <c r="Y116" i="2"/>
  <c r="AA160" i="2"/>
  <c r="AA154" i="2"/>
  <c r="Z115" i="2"/>
  <c r="AA159" i="2"/>
  <c r="AA143" i="2"/>
  <c r="AA127" i="2"/>
  <c r="AA173" i="2"/>
  <c r="AA125" i="2"/>
  <c r="AA171" i="2"/>
  <c r="AA13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K19" i="2"/>
  <c r="L19" i="2" s="1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AK136" i="2" l="1"/>
  <c r="Y178" i="2"/>
  <c r="AB178" i="2" s="1"/>
  <c r="AE136" i="2"/>
  <c r="Y113" i="2"/>
  <c r="AB113" i="2" s="1"/>
  <c r="AE113" i="2" s="1"/>
  <c r="AL113" i="2" s="1"/>
  <c r="Y168" i="2"/>
  <c r="Z168" i="2" s="1"/>
  <c r="Y119" i="2"/>
  <c r="Y121" i="2"/>
  <c r="AB157" i="2"/>
  <c r="AE157" i="2" s="1"/>
  <c r="AJ157" i="2" s="1"/>
  <c r="Y155" i="2"/>
  <c r="AB155" i="2" s="1"/>
  <c r="AD118" i="2"/>
  <c r="AH118" i="2" s="1"/>
  <c r="AA123" i="2"/>
  <c r="AA175" i="2"/>
  <c r="AA149" i="2"/>
  <c r="AK129" i="2"/>
  <c r="AF113" i="2"/>
  <c r="Y147" i="2"/>
  <c r="Y180" i="2"/>
  <c r="Z180" i="2" s="1"/>
  <c r="Y131" i="2"/>
  <c r="AA157" i="2"/>
  <c r="AL157" i="2" s="1"/>
  <c r="AA147" i="2"/>
  <c r="Y151" i="2"/>
  <c r="AD159" i="2"/>
  <c r="AK159" i="2" s="1"/>
  <c r="Z136" i="2"/>
  <c r="AG136" i="2" s="1"/>
  <c r="AA151" i="2"/>
  <c r="Z130" i="2"/>
  <c r="AB130" i="2"/>
  <c r="Z176" i="2"/>
  <c r="AB176" i="2"/>
  <c r="AF114" i="2"/>
  <c r="AA114" i="2"/>
  <c r="Y114" i="2"/>
  <c r="AF172" i="2"/>
  <c r="Y172" i="2"/>
  <c r="AA172" i="2"/>
  <c r="AL138" i="2"/>
  <c r="Z126" i="2"/>
  <c r="AB126" i="2"/>
  <c r="AB168" i="2"/>
  <c r="Z140" i="2"/>
  <c r="AG140" i="2" s="1"/>
  <c r="AB140" i="2"/>
  <c r="AD179" i="2"/>
  <c r="AH179" i="2" s="1"/>
  <c r="AF117" i="2"/>
  <c r="Y117" i="2"/>
  <c r="AA117" i="2"/>
  <c r="Z137" i="2"/>
  <c r="AB137" i="2"/>
  <c r="AF120" i="2"/>
  <c r="AB122" i="2"/>
  <c r="Z122" i="2"/>
  <c r="AA177" i="2"/>
  <c r="AF177" i="2"/>
  <c r="Y177" i="2"/>
  <c r="AG157" i="2"/>
  <c r="AJ115" i="2"/>
  <c r="AB135" i="2"/>
  <c r="Z135" i="2"/>
  <c r="Z131" i="2"/>
  <c r="AB131" i="2"/>
  <c r="AF160" i="2"/>
  <c r="Y160" i="2"/>
  <c r="AH159" i="2"/>
  <c r="AI159" i="2"/>
  <c r="Z169" i="2"/>
  <c r="AB169" i="2"/>
  <c r="AA120" i="2"/>
  <c r="AB166" i="2"/>
  <c r="Z166" i="2"/>
  <c r="Z162" i="2"/>
  <c r="AB162" i="2"/>
  <c r="AB120" i="2"/>
  <c r="Z120" i="2"/>
  <c r="AG120" i="2" s="1"/>
  <c r="Z152" i="2"/>
  <c r="AB152" i="2"/>
  <c r="AL115" i="2"/>
  <c r="Z165" i="2"/>
  <c r="AB165" i="2"/>
  <c r="AA137" i="2"/>
  <c r="Z164" i="2"/>
  <c r="AB164" i="2"/>
  <c r="Z153" i="2"/>
  <c r="AB153" i="2"/>
  <c r="Z178" i="2"/>
  <c r="AF148" i="2"/>
  <c r="AF140" i="2"/>
  <c r="AF176" i="2"/>
  <c r="AG176" i="2"/>
  <c r="AF130" i="2"/>
  <c r="AG130" i="2"/>
  <c r="Y173" i="2"/>
  <c r="AF173" i="2"/>
  <c r="Z118" i="2"/>
  <c r="Z175" i="2"/>
  <c r="AB175" i="2"/>
  <c r="AF181" i="2"/>
  <c r="AF170" i="2"/>
  <c r="Y181" i="2"/>
  <c r="Z163" i="2"/>
  <c r="AB163" i="2"/>
  <c r="AA165" i="2"/>
  <c r="AF164" i="2"/>
  <c r="AG164" i="2"/>
  <c r="AF149" i="2"/>
  <c r="AF119" i="2"/>
  <c r="Y134" i="2"/>
  <c r="AF134" i="2"/>
  <c r="AA134" i="2"/>
  <c r="Z129" i="2"/>
  <c r="Y148" i="2"/>
  <c r="Z128" i="2"/>
  <c r="AB128" i="2"/>
  <c r="AF180" i="2"/>
  <c r="AF153" i="2"/>
  <c r="AF131" i="2"/>
  <c r="AG131" i="2"/>
  <c r="Z174" i="2"/>
  <c r="AB174" i="2"/>
  <c r="AB145" i="2"/>
  <c r="Z145" i="2"/>
  <c r="Z171" i="2"/>
  <c r="AB171" i="2"/>
  <c r="Z167" i="2"/>
  <c r="AB167" i="2"/>
  <c r="Z124" i="2"/>
  <c r="AB124" i="2"/>
  <c r="Z149" i="2"/>
  <c r="AB149" i="2"/>
  <c r="Z144" i="2"/>
  <c r="AB144" i="2"/>
  <c r="AD138" i="2"/>
  <c r="AH138" i="2" s="1"/>
  <c r="AF156" i="2"/>
  <c r="AF138" i="2"/>
  <c r="Z142" i="2"/>
  <c r="AB142" i="2"/>
  <c r="Z123" i="2"/>
  <c r="AB123" i="2"/>
  <c r="Z125" i="2"/>
  <c r="AB125" i="2"/>
  <c r="Z138" i="2"/>
  <c r="AI138" i="2" s="1"/>
  <c r="Z150" i="2"/>
  <c r="AB150" i="2"/>
  <c r="Z132" i="2"/>
  <c r="AB132" i="2"/>
  <c r="Z119" i="2"/>
  <c r="AB119" i="2"/>
  <c r="Y170" i="2"/>
  <c r="Z151" i="2"/>
  <c r="AB151" i="2"/>
  <c r="Z146" i="2"/>
  <c r="AB146" i="2"/>
  <c r="AF165" i="2"/>
  <c r="AF144" i="2"/>
  <c r="AG115" i="2"/>
  <c r="Z158" i="2"/>
  <c r="AB158" i="2"/>
  <c r="Z155" i="2"/>
  <c r="Z143" i="2"/>
  <c r="AB143" i="2"/>
  <c r="AF137" i="2"/>
  <c r="AG137" i="2"/>
  <c r="Z139" i="2"/>
  <c r="AB139" i="2"/>
  <c r="Z154" i="2"/>
  <c r="AB154" i="2"/>
  <c r="Z116" i="2"/>
  <c r="AB116" i="2"/>
  <c r="Z179" i="2"/>
  <c r="Y156" i="2"/>
  <c r="AA170" i="2"/>
  <c r="Z133" i="2"/>
  <c r="AB133" i="2"/>
  <c r="AA140" i="2"/>
  <c r="AD115" i="2"/>
  <c r="AG169" i="2"/>
  <c r="AF169" i="2"/>
  <c r="AF154" i="2"/>
  <c r="AG154" i="2"/>
  <c r="AD157" i="2"/>
  <c r="AH157" i="2" s="1"/>
  <c r="AB161" i="2"/>
  <c r="Z161" i="2"/>
  <c r="Z127" i="2"/>
  <c r="AB127" i="2"/>
  <c r="Y141" i="2"/>
  <c r="AF141" i="2"/>
  <c r="AJ179" i="2"/>
  <c r="AL179" i="2"/>
  <c r="AJ159" i="2"/>
  <c r="AL159" i="2"/>
  <c r="AJ118" i="2"/>
  <c r="AL118" i="2"/>
  <c r="AL136" i="2"/>
  <c r="N2" i="2"/>
  <c r="W2" i="2" s="1"/>
  <c r="N3" i="2"/>
  <c r="N4" i="2"/>
  <c r="W4" i="2" s="1"/>
  <c r="N5" i="2"/>
  <c r="N6" i="2"/>
  <c r="W6" i="2" s="1"/>
  <c r="N7" i="2"/>
  <c r="N8" i="2"/>
  <c r="W8" i="2" s="1"/>
  <c r="N9" i="2"/>
  <c r="N10" i="2"/>
  <c r="W10" i="2" s="1"/>
  <c r="N11" i="2"/>
  <c r="N12" i="2"/>
  <c r="N13" i="2"/>
  <c r="N14" i="2"/>
  <c r="W14" i="2" s="1"/>
  <c r="N15" i="2"/>
  <c r="N16" i="2"/>
  <c r="N17" i="2"/>
  <c r="W17" i="2" s="1"/>
  <c r="N18" i="2"/>
  <c r="W18" i="2" s="1"/>
  <c r="N19" i="2"/>
  <c r="W19" i="2" s="1"/>
  <c r="N20" i="2"/>
  <c r="W20" i="2" s="1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W33" i="2" s="1"/>
  <c r="N34" i="2"/>
  <c r="N35" i="2"/>
  <c r="N36" i="2"/>
  <c r="AB147" i="2" l="1"/>
  <c r="Z147" i="2"/>
  <c r="Z113" i="2"/>
  <c r="AJ113" i="2" s="1"/>
  <c r="AB180" i="2"/>
  <c r="AI136" i="2"/>
  <c r="AG138" i="2"/>
  <c r="AI157" i="2"/>
  <c r="AD113" i="2"/>
  <c r="AH113" i="2" s="1"/>
  <c r="AB121" i="2"/>
  <c r="Z121" i="2"/>
  <c r="AJ136" i="2"/>
  <c r="AK118" i="2"/>
  <c r="AG139" i="2"/>
  <c r="AD119" i="2"/>
  <c r="AE119" i="2"/>
  <c r="AE144" i="2"/>
  <c r="AD144" i="2"/>
  <c r="AI144" i="2" s="1"/>
  <c r="AG180" i="2"/>
  <c r="AE165" i="2"/>
  <c r="AJ165" i="2" s="1"/>
  <c r="AD165" i="2"/>
  <c r="AH165" i="2" s="1"/>
  <c r="AH115" i="2"/>
  <c r="AI115" i="2"/>
  <c r="AG179" i="2"/>
  <c r="AI179" i="2"/>
  <c r="AE158" i="2"/>
  <c r="AD158" i="2"/>
  <c r="AD125" i="2"/>
  <c r="AI125" i="2" s="1"/>
  <c r="AE125" i="2"/>
  <c r="AL125" i="2" s="1"/>
  <c r="AI167" i="2"/>
  <c r="AG167" i="2"/>
  <c r="Z148" i="2"/>
  <c r="AB148" i="2"/>
  <c r="AB134" i="2"/>
  <c r="Z134" i="2"/>
  <c r="AD163" i="2"/>
  <c r="AE163" i="2"/>
  <c r="AK115" i="2"/>
  <c r="AG162" i="2"/>
  <c r="AD131" i="2"/>
  <c r="AE131" i="2"/>
  <c r="AE176" i="2"/>
  <c r="AD176" i="2"/>
  <c r="AE139" i="2"/>
  <c r="AD139" i="2"/>
  <c r="AI139" i="2" s="1"/>
  <c r="AE120" i="2"/>
  <c r="AJ120" i="2" s="1"/>
  <c r="AD120" i="2"/>
  <c r="AH120" i="2" s="1"/>
  <c r="AE161" i="2"/>
  <c r="AL161" i="2" s="1"/>
  <c r="AD161" i="2"/>
  <c r="AG155" i="2"/>
  <c r="Z117" i="2"/>
  <c r="AB117" i="2"/>
  <c r="AE116" i="2"/>
  <c r="AD116" i="2"/>
  <c r="AI116" i="2" s="1"/>
  <c r="AG158" i="2"/>
  <c r="AI158" i="2"/>
  <c r="AE146" i="2"/>
  <c r="AD146" i="2"/>
  <c r="AI146" i="2" s="1"/>
  <c r="AD132" i="2"/>
  <c r="AI132" i="2" s="1"/>
  <c r="AE132" i="2"/>
  <c r="AG125" i="2"/>
  <c r="AE149" i="2"/>
  <c r="AD149" i="2"/>
  <c r="AI149" i="2" s="1"/>
  <c r="AD171" i="2"/>
  <c r="AI171" i="2" s="1"/>
  <c r="AE171" i="2"/>
  <c r="AI163" i="2"/>
  <c r="AG163" i="2"/>
  <c r="AJ138" i="2"/>
  <c r="Z160" i="2"/>
  <c r="AB160" i="2"/>
  <c r="AI131" i="2"/>
  <c r="AD126" i="2"/>
  <c r="AE126" i="2"/>
  <c r="Z114" i="2"/>
  <c r="AB114" i="2"/>
  <c r="AB170" i="2"/>
  <c r="Z170" i="2"/>
  <c r="AB156" i="2"/>
  <c r="Z156" i="2"/>
  <c r="Z141" i="2"/>
  <c r="AB141" i="2"/>
  <c r="AD133" i="2"/>
  <c r="AI133" i="2" s="1"/>
  <c r="AE133" i="2"/>
  <c r="AG116" i="2"/>
  <c r="AD143" i="2"/>
  <c r="AE143" i="2"/>
  <c r="AG146" i="2"/>
  <c r="AG132" i="2"/>
  <c r="AD123" i="2"/>
  <c r="AE123" i="2"/>
  <c r="AG171" i="2"/>
  <c r="AG119" i="2"/>
  <c r="AD175" i="2"/>
  <c r="AE175" i="2"/>
  <c r="AK137" i="2"/>
  <c r="AK157" i="2"/>
  <c r="AD137" i="2"/>
  <c r="AH137" i="2" s="1"/>
  <c r="AE137" i="2"/>
  <c r="AG126" i="2"/>
  <c r="AI126" i="2"/>
  <c r="AD130" i="2"/>
  <c r="AI130" i="2" s="1"/>
  <c r="AE130" i="2"/>
  <c r="AD168" i="2"/>
  <c r="AE168" i="2"/>
  <c r="AG133" i="2"/>
  <c r="AE154" i="2"/>
  <c r="AD154" i="2"/>
  <c r="AG143" i="2"/>
  <c r="AI143" i="2"/>
  <c r="AD150" i="2"/>
  <c r="AI150" i="2" s="1"/>
  <c r="AE150" i="2"/>
  <c r="AG123" i="2"/>
  <c r="AE124" i="2"/>
  <c r="AD124" i="2"/>
  <c r="AG145" i="2"/>
  <c r="Z181" i="2"/>
  <c r="AB181" i="2"/>
  <c r="AI175" i="2"/>
  <c r="AG175" i="2"/>
  <c r="AD178" i="2"/>
  <c r="AE178" i="2"/>
  <c r="AL178" i="2" s="1"/>
  <c r="AD152" i="2"/>
  <c r="AE152" i="2"/>
  <c r="AG166" i="2"/>
  <c r="AD169" i="2"/>
  <c r="AE169" i="2"/>
  <c r="AG135" i="2"/>
  <c r="AI122" i="2"/>
  <c r="AG122" i="2"/>
  <c r="AI137" i="2"/>
  <c r="AE140" i="2"/>
  <c r="AD140" i="2"/>
  <c r="AH140" i="2" s="1"/>
  <c r="AK138" i="2"/>
  <c r="AJ161" i="2"/>
  <c r="AG161" i="2"/>
  <c r="AI161" i="2"/>
  <c r="AD155" i="2"/>
  <c r="AI155" i="2" s="1"/>
  <c r="AE155" i="2"/>
  <c r="AL155" i="2" s="1"/>
  <c r="AD167" i="2"/>
  <c r="AE167" i="2"/>
  <c r="Z173" i="2"/>
  <c r="AB173" i="2"/>
  <c r="AD164" i="2"/>
  <c r="AI164" i="2" s="1"/>
  <c r="AE164" i="2"/>
  <c r="AE162" i="2"/>
  <c r="AD162" i="2"/>
  <c r="AI162" i="2" s="1"/>
  <c r="AD127" i="2"/>
  <c r="AE127" i="2"/>
  <c r="AI154" i="2"/>
  <c r="AG144" i="2"/>
  <c r="AE151" i="2"/>
  <c r="AD151" i="2"/>
  <c r="AG150" i="2"/>
  <c r="AD142" i="2"/>
  <c r="AE142" i="2"/>
  <c r="AG124" i="2"/>
  <c r="AI124" i="2"/>
  <c r="AE145" i="2"/>
  <c r="AL145" i="2" s="1"/>
  <c r="AD145" i="2"/>
  <c r="AG153" i="2"/>
  <c r="AD128" i="2"/>
  <c r="AE128" i="2"/>
  <c r="AG129" i="2"/>
  <c r="AJ129" i="2"/>
  <c r="AI129" i="2"/>
  <c r="AG149" i="2"/>
  <c r="AL165" i="2"/>
  <c r="AI118" i="2"/>
  <c r="AG118" i="2"/>
  <c r="AG178" i="2"/>
  <c r="AJ178" i="2"/>
  <c r="AI178" i="2"/>
  <c r="AG152" i="2"/>
  <c r="AI152" i="2"/>
  <c r="AD166" i="2"/>
  <c r="AE166" i="2"/>
  <c r="AI169" i="2"/>
  <c r="AD135" i="2"/>
  <c r="AI135" i="2" s="1"/>
  <c r="AE135" i="2"/>
  <c r="AE122" i="2"/>
  <c r="AD122" i="2"/>
  <c r="AI140" i="2"/>
  <c r="AK179" i="2"/>
  <c r="AG174" i="2"/>
  <c r="AK120" i="2"/>
  <c r="AB172" i="2"/>
  <c r="Z172" i="2"/>
  <c r="AJ153" i="2"/>
  <c r="AI127" i="2"/>
  <c r="AG127" i="2"/>
  <c r="AG113" i="2"/>
  <c r="AI113" i="2"/>
  <c r="AG165" i="2"/>
  <c r="AI151" i="2"/>
  <c r="AG151" i="2"/>
  <c r="AD180" i="2"/>
  <c r="AI180" i="2" s="1"/>
  <c r="AE180" i="2"/>
  <c r="AL180" i="2" s="1"/>
  <c r="AG142" i="2"/>
  <c r="AD174" i="2"/>
  <c r="AE174" i="2"/>
  <c r="AL174" i="2" s="1"/>
  <c r="AG128" i="2"/>
  <c r="AI128" i="2"/>
  <c r="AD153" i="2"/>
  <c r="AI153" i="2" s="1"/>
  <c r="AE153" i="2"/>
  <c r="AL153" i="2" s="1"/>
  <c r="AI120" i="2"/>
  <c r="AB177" i="2"/>
  <c r="Z177" i="2"/>
  <c r="AK113" i="2"/>
  <c r="AG168" i="2"/>
  <c r="V22" i="2"/>
  <c r="W22" i="2"/>
  <c r="V36" i="2"/>
  <c r="W36" i="2"/>
  <c r="V31" i="2"/>
  <c r="W31" i="2"/>
  <c r="V15" i="2"/>
  <c r="W15" i="2"/>
  <c r="V32" i="2"/>
  <c r="W32" i="2"/>
  <c r="V30" i="2"/>
  <c r="W30" i="2"/>
  <c r="V27" i="2"/>
  <c r="W27" i="2"/>
  <c r="V11" i="2"/>
  <c r="W11" i="2"/>
  <c r="V13" i="2"/>
  <c r="W13" i="2"/>
  <c r="V12" i="2"/>
  <c r="W12" i="2"/>
  <c r="V26" i="2"/>
  <c r="W26" i="2"/>
  <c r="V16" i="2"/>
  <c r="W16" i="2"/>
  <c r="V29" i="2"/>
  <c r="W29" i="2"/>
  <c r="V28" i="2"/>
  <c r="W28" i="2"/>
  <c r="V25" i="2"/>
  <c r="W25" i="2"/>
  <c r="X25" i="2" s="1"/>
  <c r="AA25" i="2" s="1"/>
  <c r="V9" i="2"/>
  <c r="W9" i="2"/>
  <c r="V23" i="2"/>
  <c r="W23" i="2"/>
  <c r="V7" i="2"/>
  <c r="W7" i="2"/>
  <c r="V21" i="2"/>
  <c r="W21" i="2"/>
  <c r="V5" i="2"/>
  <c r="W5" i="2"/>
  <c r="V24" i="2"/>
  <c r="W24" i="2"/>
  <c r="V35" i="2"/>
  <c r="W35" i="2"/>
  <c r="V3" i="2"/>
  <c r="W3" i="2"/>
  <c r="V34" i="2"/>
  <c r="W34" i="2"/>
  <c r="V2" i="2"/>
  <c r="X2" i="2" s="1"/>
  <c r="V10" i="2"/>
  <c r="X10" i="2" s="1"/>
  <c r="Y10" i="2" s="1"/>
  <c r="AB10" i="2" s="1"/>
  <c r="V8" i="2"/>
  <c r="X8" i="2" s="1"/>
  <c r="AF8" i="2" s="1"/>
  <c r="V19" i="2"/>
  <c r="X19" i="2" s="1"/>
  <c r="AA19" i="2" s="1"/>
  <c r="V6" i="2"/>
  <c r="X6" i="2" s="1"/>
  <c r="Y6" i="2" s="1"/>
  <c r="AB6" i="2" s="1"/>
  <c r="V18" i="2"/>
  <c r="X18" i="2" s="1"/>
  <c r="V33" i="2"/>
  <c r="X33" i="2" s="1"/>
  <c r="V4" i="2"/>
  <c r="X4" i="2" s="1"/>
  <c r="V14" i="2"/>
  <c r="X14" i="2" s="1"/>
  <c r="V17" i="2"/>
  <c r="V20" i="2"/>
  <c r="C113" i="1"/>
  <c r="C112" i="1"/>
  <c r="C111" i="1"/>
  <c r="C4" i="1"/>
  <c r="C5" i="1"/>
  <c r="C6" i="1"/>
  <c r="AG121" i="2" l="1"/>
  <c r="AG147" i="2"/>
  <c r="AE147" i="2"/>
  <c r="AL147" i="2" s="1"/>
  <c r="AD147" i="2"/>
  <c r="AJ125" i="2"/>
  <c r="AD121" i="2"/>
  <c r="AE121" i="2"/>
  <c r="AL121" i="2" s="1"/>
  <c r="X29" i="2"/>
  <c r="Y29" i="2" s="1"/>
  <c r="AH168" i="2"/>
  <c r="AK168" i="2"/>
  <c r="AH158" i="2"/>
  <c r="AK158" i="2"/>
  <c r="AG172" i="2"/>
  <c r="AH122" i="2"/>
  <c r="AK122" i="2"/>
  <c r="AJ142" i="2"/>
  <c r="AL142" i="2"/>
  <c r="AJ167" i="2"/>
  <c r="AL167" i="2"/>
  <c r="AH123" i="2"/>
  <c r="AK123" i="2"/>
  <c r="AG114" i="2"/>
  <c r="AL139" i="2"/>
  <c r="AJ139" i="2"/>
  <c r="AJ163" i="2"/>
  <c r="AL163" i="2"/>
  <c r="AJ158" i="2"/>
  <c r="AL158" i="2"/>
  <c r="AH119" i="2"/>
  <c r="AK119" i="2"/>
  <c r="X27" i="2"/>
  <c r="AD172" i="2"/>
  <c r="AI172" i="2" s="1"/>
  <c r="AE172" i="2"/>
  <c r="AL172" i="2" s="1"/>
  <c r="AJ122" i="2"/>
  <c r="AL122" i="2"/>
  <c r="AJ128" i="2"/>
  <c r="AL128" i="2"/>
  <c r="AK142" i="2"/>
  <c r="AH142" i="2"/>
  <c r="AH167" i="2"/>
  <c r="AK167" i="2"/>
  <c r="AL152" i="2"/>
  <c r="AJ152" i="2"/>
  <c r="AD181" i="2"/>
  <c r="AE181" i="2"/>
  <c r="AL181" i="2" s="1"/>
  <c r="AI123" i="2"/>
  <c r="AJ175" i="2"/>
  <c r="AL175" i="2"/>
  <c r="AJ133" i="2"/>
  <c r="AL133" i="2"/>
  <c r="AJ126" i="2"/>
  <c r="AL126" i="2"/>
  <c r="AH116" i="2"/>
  <c r="AK116" i="2"/>
  <c r="AH161" i="2"/>
  <c r="AK161" i="2"/>
  <c r="AH176" i="2"/>
  <c r="AK176" i="2"/>
  <c r="AK163" i="2"/>
  <c r="AH163" i="2"/>
  <c r="AJ124" i="2"/>
  <c r="AL124" i="2"/>
  <c r="AJ149" i="2"/>
  <c r="AL149" i="2"/>
  <c r="AH174" i="2"/>
  <c r="AK174" i="2"/>
  <c r="AI142" i="2"/>
  <c r="AJ135" i="2"/>
  <c r="AL135" i="2"/>
  <c r="AK165" i="2"/>
  <c r="AJ162" i="2"/>
  <c r="AL162" i="2"/>
  <c r="AH169" i="2"/>
  <c r="AK169" i="2"/>
  <c r="AJ145" i="2"/>
  <c r="AH150" i="2"/>
  <c r="AK150" i="2"/>
  <c r="AE141" i="2"/>
  <c r="AL141" i="2" s="1"/>
  <c r="AD141" i="2"/>
  <c r="AE156" i="2"/>
  <c r="AL156" i="2" s="1"/>
  <c r="AD156" i="2"/>
  <c r="AD160" i="2"/>
  <c r="AE160" i="2"/>
  <c r="AL160" i="2" s="1"/>
  <c r="AJ132" i="2"/>
  <c r="AL132" i="2"/>
  <c r="AK140" i="2"/>
  <c r="AI165" i="2"/>
  <c r="AG134" i="2"/>
  <c r="AH166" i="2"/>
  <c r="AK166" i="2"/>
  <c r="AG173" i="2"/>
  <c r="AL123" i="2"/>
  <c r="AJ123" i="2"/>
  <c r="AL119" i="2"/>
  <c r="AJ119" i="2"/>
  <c r="AH128" i="2"/>
  <c r="AK128" i="2"/>
  <c r="AI181" i="2"/>
  <c r="AJ181" i="2"/>
  <c r="AG181" i="2"/>
  <c r="AH175" i="2"/>
  <c r="AK175" i="2"/>
  <c r="AI156" i="2"/>
  <c r="AG156" i="2"/>
  <c r="AJ116" i="2"/>
  <c r="AL116" i="2"/>
  <c r="AG177" i="2"/>
  <c r="AI174" i="2"/>
  <c r="AH135" i="2"/>
  <c r="AK135" i="2"/>
  <c r="AK145" i="2"/>
  <c r="AH145" i="2"/>
  <c r="AH151" i="2"/>
  <c r="AK151" i="2"/>
  <c r="AJ164" i="2"/>
  <c r="AL164" i="2"/>
  <c r="AJ140" i="2"/>
  <c r="AL140" i="2"/>
  <c r="AI166" i="2"/>
  <c r="AJ130" i="2"/>
  <c r="AL130" i="2"/>
  <c r="AJ137" i="2"/>
  <c r="AL137" i="2"/>
  <c r="AJ141" i="2"/>
  <c r="AI141" i="2"/>
  <c r="AG141" i="2"/>
  <c r="AG170" i="2"/>
  <c r="AI160" i="2"/>
  <c r="AG160" i="2"/>
  <c r="AJ160" i="2"/>
  <c r="AL171" i="2"/>
  <c r="AJ171" i="2"/>
  <c r="AH132" i="2"/>
  <c r="AK132" i="2"/>
  <c r="AJ131" i="2"/>
  <c r="AL131" i="2"/>
  <c r="AD134" i="2"/>
  <c r="AE134" i="2"/>
  <c r="AL134" i="2" s="1"/>
  <c r="AJ174" i="2"/>
  <c r="AD114" i="2"/>
  <c r="AE114" i="2"/>
  <c r="AH139" i="2"/>
  <c r="AK139" i="2"/>
  <c r="AH162" i="2"/>
  <c r="AK162" i="2"/>
  <c r="AH152" i="2"/>
  <c r="AK152" i="2"/>
  <c r="AJ150" i="2"/>
  <c r="AL150" i="2"/>
  <c r="AH133" i="2"/>
  <c r="AK133" i="2"/>
  <c r="AJ176" i="2"/>
  <c r="AL176" i="2"/>
  <c r="AE177" i="2"/>
  <c r="AL177" i="2" s="1"/>
  <c r="AD177" i="2"/>
  <c r="AL151" i="2"/>
  <c r="AJ151" i="2"/>
  <c r="AJ127" i="2"/>
  <c r="AL127" i="2"/>
  <c r="AH164" i="2"/>
  <c r="AK164" i="2"/>
  <c r="AH155" i="2"/>
  <c r="AK155" i="2"/>
  <c r="AI145" i="2"/>
  <c r="AH130" i="2"/>
  <c r="AK130" i="2"/>
  <c r="AJ143" i="2"/>
  <c r="AL143" i="2"/>
  <c r="AD170" i="2"/>
  <c r="AE170" i="2"/>
  <c r="AH171" i="2"/>
  <c r="AK171" i="2"/>
  <c r="AH146" i="2"/>
  <c r="AK146" i="2"/>
  <c r="AD117" i="2"/>
  <c r="AE117" i="2"/>
  <c r="AH131" i="2"/>
  <c r="AK131" i="2"/>
  <c r="AE148" i="2"/>
  <c r="AD148" i="2"/>
  <c r="AI148" i="2" s="1"/>
  <c r="AH125" i="2"/>
  <c r="AK125" i="2"/>
  <c r="AH144" i="2"/>
  <c r="AK144" i="2"/>
  <c r="AL120" i="2"/>
  <c r="AJ154" i="2"/>
  <c r="AL154" i="2"/>
  <c r="AI168" i="2"/>
  <c r="AH153" i="2"/>
  <c r="AK153" i="2"/>
  <c r="AJ169" i="2"/>
  <c r="AL169" i="2"/>
  <c r="AH126" i="2"/>
  <c r="AK126" i="2"/>
  <c r="AH180" i="2"/>
  <c r="AK180" i="2"/>
  <c r="AJ166" i="2"/>
  <c r="AL166" i="2"/>
  <c r="AH127" i="2"/>
  <c r="AK127" i="2"/>
  <c r="AD173" i="2"/>
  <c r="AE173" i="2"/>
  <c r="AL173" i="2" s="1"/>
  <c r="AH178" i="2"/>
  <c r="AK178" i="2"/>
  <c r="AH124" i="2"/>
  <c r="AK124" i="2"/>
  <c r="AH154" i="2"/>
  <c r="AK154" i="2"/>
  <c r="AL168" i="2"/>
  <c r="AJ168" i="2"/>
  <c r="AH143" i="2"/>
  <c r="AK143" i="2"/>
  <c r="AJ155" i="2"/>
  <c r="AI176" i="2"/>
  <c r="AH149" i="2"/>
  <c r="AK149" i="2"/>
  <c r="AJ146" i="2"/>
  <c r="AL146" i="2"/>
  <c r="AI117" i="2"/>
  <c r="AG117" i="2"/>
  <c r="AG148" i="2"/>
  <c r="AI119" i="2"/>
  <c r="AJ144" i="2"/>
  <c r="AL144" i="2"/>
  <c r="AJ180" i="2"/>
  <c r="X35" i="2"/>
  <c r="Y35" i="2" s="1"/>
  <c r="X24" i="2"/>
  <c r="AF24" i="2" s="1"/>
  <c r="X26" i="2"/>
  <c r="AA26" i="2" s="1"/>
  <c r="X16" i="2"/>
  <c r="AF16" i="2" s="1"/>
  <c r="X15" i="2"/>
  <c r="AA15" i="2" s="1"/>
  <c r="X23" i="2"/>
  <c r="Y23" i="2" s="1"/>
  <c r="X13" i="2"/>
  <c r="Y13" i="2" s="1"/>
  <c r="AB13" i="2" s="1"/>
  <c r="AE13" i="2" s="1"/>
  <c r="X11" i="2"/>
  <c r="AF11" i="2" s="1"/>
  <c r="X31" i="2"/>
  <c r="Y31" i="2" s="1"/>
  <c r="AB31" i="2" s="1"/>
  <c r="X3" i="2"/>
  <c r="AF3" i="2" s="1"/>
  <c r="X34" i="2"/>
  <c r="AA34" i="2" s="1"/>
  <c r="X5" i="2"/>
  <c r="AA5" i="2" s="1"/>
  <c r="X28" i="2"/>
  <c r="AA28" i="2" s="1"/>
  <c r="X7" i="2"/>
  <c r="AA7" i="2" s="1"/>
  <c r="X30" i="2"/>
  <c r="Y30" i="2" s="1"/>
  <c r="AB30" i="2" s="1"/>
  <c r="X36" i="2"/>
  <c r="AA36" i="2" s="1"/>
  <c r="X12" i="2"/>
  <c r="AA12" i="2" s="1"/>
  <c r="X22" i="2"/>
  <c r="AF22" i="2" s="1"/>
  <c r="X32" i="2"/>
  <c r="AA32" i="2" s="1"/>
  <c r="X9" i="2"/>
  <c r="AF9" i="2" s="1"/>
  <c r="AE10" i="2"/>
  <c r="AE6" i="2"/>
  <c r="Y8" i="2"/>
  <c r="AB8" i="2" s="1"/>
  <c r="AA8" i="2"/>
  <c r="AF25" i="2"/>
  <c r="Z10" i="2"/>
  <c r="AG10" i="2" s="1"/>
  <c r="Y25" i="2"/>
  <c r="Z25" i="2" s="1"/>
  <c r="AF10" i="2"/>
  <c r="AA10" i="2"/>
  <c r="AD10" i="2" s="1"/>
  <c r="AA14" i="2"/>
  <c r="AF14" i="2"/>
  <c r="Y14" i="2"/>
  <c r="AB14" i="2" s="1"/>
  <c r="AD14" i="2" s="1"/>
  <c r="Y19" i="2"/>
  <c r="AB19" i="2" s="1"/>
  <c r="AD19" i="2" s="1"/>
  <c r="Z6" i="2"/>
  <c r="AG6" i="2" s="1"/>
  <c r="AA6" i="2"/>
  <c r="AD6" i="2" s="1"/>
  <c r="AF19" i="2"/>
  <c r="AF6" i="2"/>
  <c r="X21" i="2"/>
  <c r="AA2" i="2"/>
  <c r="Y2" i="2"/>
  <c r="AB2" i="2" s="1"/>
  <c r="AF2" i="2"/>
  <c r="AA27" i="2"/>
  <c r="AF27" i="2"/>
  <c r="Y27" i="2"/>
  <c r="Z27" i="2" s="1"/>
  <c r="AF23" i="2"/>
  <c r="AA23" i="2"/>
  <c r="AA18" i="2"/>
  <c r="AF18" i="2"/>
  <c r="Y18" i="2"/>
  <c r="X17" i="2"/>
  <c r="Y33" i="2"/>
  <c r="AF33" i="2"/>
  <c r="AA33" i="2"/>
  <c r="Y4" i="2"/>
  <c r="AA4" i="2"/>
  <c r="AF4" i="2"/>
  <c r="AF29" i="2"/>
  <c r="X20" i="2"/>
  <c r="AI147" i="2" l="1"/>
  <c r="AH147" i="2"/>
  <c r="AK147" i="2"/>
  <c r="AH121" i="2"/>
  <c r="AK121" i="2"/>
  <c r="AJ147" i="2"/>
  <c r="AA24" i="2"/>
  <c r="AJ121" i="2"/>
  <c r="Y24" i="2"/>
  <c r="AI121" i="2"/>
  <c r="AA29" i="2"/>
  <c r="Z13" i="2"/>
  <c r="AJ172" i="2"/>
  <c r="AH141" i="2"/>
  <c r="AK141" i="2"/>
  <c r="AA35" i="2"/>
  <c r="AH134" i="2"/>
  <c r="AK134" i="2"/>
  <c r="AJ134" i="2"/>
  <c r="AJ148" i="2"/>
  <c r="AL148" i="2"/>
  <c r="AF28" i="2"/>
  <c r="AH173" i="2"/>
  <c r="AK173" i="2"/>
  <c r="AI173" i="2"/>
  <c r="AH160" i="2"/>
  <c r="AK160" i="2"/>
  <c r="AH181" i="2"/>
  <c r="AK181" i="2"/>
  <c r="AH177" i="2"/>
  <c r="AK177" i="2"/>
  <c r="AJ156" i="2"/>
  <c r="AJ173" i="2"/>
  <c r="AI134" i="2"/>
  <c r="AJ117" i="2"/>
  <c r="AL117" i="2"/>
  <c r="AJ170" i="2"/>
  <c r="AL170" i="2"/>
  <c r="AJ177" i="2"/>
  <c r="AH117" i="2"/>
  <c r="AK117" i="2"/>
  <c r="AH170" i="2"/>
  <c r="AK170" i="2"/>
  <c r="AJ114" i="2"/>
  <c r="AL114" i="2"/>
  <c r="AA13" i="2"/>
  <c r="AD13" i="2" s="1"/>
  <c r="AH13" i="2" s="1"/>
  <c r="AH148" i="2"/>
  <c r="AK148" i="2"/>
  <c r="AH114" i="2"/>
  <c r="AK114" i="2"/>
  <c r="AI170" i="2"/>
  <c r="AI177" i="2"/>
  <c r="AH156" i="2"/>
  <c r="AK156" i="2"/>
  <c r="AH172" i="2"/>
  <c r="AK172" i="2"/>
  <c r="AI114" i="2"/>
  <c r="AF35" i="2"/>
  <c r="Z31" i="2"/>
  <c r="AG31" i="2" s="1"/>
  <c r="AF15" i="2"/>
  <c r="Y16" i="2"/>
  <c r="AB16" i="2" s="1"/>
  <c r="AE16" i="2" s="1"/>
  <c r="AA16" i="2"/>
  <c r="Y15" i="2"/>
  <c r="AB15" i="2" s="1"/>
  <c r="AD15" i="2" s="1"/>
  <c r="AH15" i="2" s="1"/>
  <c r="Y36" i="2"/>
  <c r="AB36" i="2" s="1"/>
  <c r="AD36" i="2" s="1"/>
  <c r="AF36" i="2"/>
  <c r="AD2" i="2"/>
  <c r="AA3" i="2"/>
  <c r="Y3" i="2"/>
  <c r="AB3" i="2" s="1"/>
  <c r="AD3" i="2" s="1"/>
  <c r="AK3" i="2" s="1"/>
  <c r="AF32" i="2"/>
  <c r="AF30" i="2"/>
  <c r="AA30" i="2"/>
  <c r="AD30" i="2" s="1"/>
  <c r="Y28" i="2"/>
  <c r="AB28" i="2" s="1"/>
  <c r="AD28" i="2" s="1"/>
  <c r="AH28" i="2" s="1"/>
  <c r="AF26" i="2"/>
  <c r="Y7" i="2"/>
  <c r="AB7" i="2" s="1"/>
  <c r="AD7" i="2" s="1"/>
  <c r="Y26" i="2"/>
  <c r="Z26" i="2" s="1"/>
  <c r="AG26" i="2" s="1"/>
  <c r="AF34" i="2"/>
  <c r="Y34" i="2"/>
  <c r="Z34" i="2" s="1"/>
  <c r="Y32" i="2"/>
  <c r="Z32" i="2" s="1"/>
  <c r="AG32" i="2" s="1"/>
  <c r="AF12" i="2"/>
  <c r="Y22" i="2"/>
  <c r="AB22" i="2" s="1"/>
  <c r="AE22" i="2" s="1"/>
  <c r="AF13" i="2"/>
  <c r="Y12" i="2"/>
  <c r="AB12" i="2" s="1"/>
  <c r="AD12" i="2" s="1"/>
  <c r="AA11" i="2"/>
  <c r="Y11" i="2"/>
  <c r="AB11" i="2" s="1"/>
  <c r="AE11" i="2" s="1"/>
  <c r="AF7" i="2"/>
  <c r="AF5" i="2"/>
  <c r="Y5" i="2"/>
  <c r="AB5" i="2" s="1"/>
  <c r="AD5" i="2" s="1"/>
  <c r="AA31" i="2"/>
  <c r="AD31" i="2" s="1"/>
  <c r="AF31" i="2"/>
  <c r="AA9" i="2"/>
  <c r="Y9" i="2"/>
  <c r="Z9" i="2" s="1"/>
  <c r="AA22" i="2"/>
  <c r="AD8" i="2"/>
  <c r="AH8" i="2" s="1"/>
  <c r="AJ13" i="2"/>
  <c r="AE14" i="2"/>
  <c r="AL14" i="2" s="1"/>
  <c r="AH6" i="2"/>
  <c r="AE8" i="2"/>
  <c r="AL8" i="2" s="1"/>
  <c r="AK19" i="2"/>
  <c r="AH10" i="2"/>
  <c r="Z8" i="2"/>
  <c r="AG13" i="2"/>
  <c r="AJ6" i="2"/>
  <c r="Z30" i="2"/>
  <c r="AG30" i="2" s="1"/>
  <c r="AI6" i="2"/>
  <c r="AJ10" i="2"/>
  <c r="AH14" i="2"/>
  <c r="AK6" i="2"/>
  <c r="AL6" i="2"/>
  <c r="AB25" i="2"/>
  <c r="AD25" i="2" s="1"/>
  <c r="Z19" i="2"/>
  <c r="AG19" i="2" s="1"/>
  <c r="AL10" i="2"/>
  <c r="Z14" i="2"/>
  <c r="AK10" i="2"/>
  <c r="AH19" i="2"/>
  <c r="AI10" i="2"/>
  <c r="AE19" i="2"/>
  <c r="AL19" i="2" s="1"/>
  <c r="Z7" i="2"/>
  <c r="AG7" i="2" s="1"/>
  <c r="Y21" i="2"/>
  <c r="AF21" i="2"/>
  <c r="AA21" i="2"/>
  <c r="AE2" i="2"/>
  <c r="AL2" i="2" s="1"/>
  <c r="Z2" i="2"/>
  <c r="AB23" i="2"/>
  <c r="AD23" i="2" s="1"/>
  <c r="Z23" i="2"/>
  <c r="AB27" i="2"/>
  <c r="AD27" i="2" s="1"/>
  <c r="AG27" i="2"/>
  <c r="AB35" i="2"/>
  <c r="AD35" i="2" s="1"/>
  <c r="Z35" i="2"/>
  <c r="AK28" i="2"/>
  <c r="AB4" i="2"/>
  <c r="AD4" i="2" s="1"/>
  <c r="Z4" i="2"/>
  <c r="Z36" i="2"/>
  <c r="AE31" i="2"/>
  <c r="AB29" i="2"/>
  <c r="AD29" i="2" s="1"/>
  <c r="Z29" i="2"/>
  <c r="AE30" i="2"/>
  <c r="AF20" i="2"/>
  <c r="Y20" i="2"/>
  <c r="AA20" i="2"/>
  <c r="AI13" i="2"/>
  <c r="AA17" i="2"/>
  <c r="Y17" i="2"/>
  <c r="AF17" i="2"/>
  <c r="AB18" i="2"/>
  <c r="AD18" i="2" s="1"/>
  <c r="Z18" i="2"/>
  <c r="AG25" i="2"/>
  <c r="AB24" i="2"/>
  <c r="AD24" i="2" s="1"/>
  <c r="Z24" i="2"/>
  <c r="AB33" i="2"/>
  <c r="AD33" i="2" s="1"/>
  <c r="Z33" i="2"/>
  <c r="Z15" i="2" l="1"/>
  <c r="AK13" i="2"/>
  <c r="AL13" i="2"/>
  <c r="Z16" i="2"/>
  <c r="AG16" i="2" s="1"/>
  <c r="AB34" i="2"/>
  <c r="AD34" i="2" s="1"/>
  <c r="Z22" i="2"/>
  <c r="AG22" i="2" s="1"/>
  <c r="AE15" i="2"/>
  <c r="AL15" i="2" s="1"/>
  <c r="AL30" i="2"/>
  <c r="AD16" i="2"/>
  <c r="AI16" i="2" s="1"/>
  <c r="AL16" i="2"/>
  <c r="Z3" i="2"/>
  <c r="AG3" i="2" s="1"/>
  <c r="AE3" i="2"/>
  <c r="AL3" i="2" s="1"/>
  <c r="AB32" i="2"/>
  <c r="AD32" i="2" s="1"/>
  <c r="AE28" i="2"/>
  <c r="AL28" i="2" s="1"/>
  <c r="Z28" i="2"/>
  <c r="AG28" i="2" s="1"/>
  <c r="AB26" i="2"/>
  <c r="AD26" i="2" s="1"/>
  <c r="AI26" i="2" s="1"/>
  <c r="AE7" i="2"/>
  <c r="AJ7" i="2" s="1"/>
  <c r="Z11" i="2"/>
  <c r="AG11" i="2" s="1"/>
  <c r="AD11" i="2"/>
  <c r="AK11" i="2" s="1"/>
  <c r="AL22" i="2"/>
  <c r="AD22" i="2"/>
  <c r="AH22" i="2" s="1"/>
  <c r="Z12" i="2"/>
  <c r="AG12" i="2" s="1"/>
  <c r="AE12" i="2"/>
  <c r="AL12" i="2" s="1"/>
  <c r="AB9" i="2"/>
  <c r="AD9" i="2" s="1"/>
  <c r="Z5" i="2"/>
  <c r="AI5" i="2" s="1"/>
  <c r="AL31" i="2"/>
  <c r="AJ8" i="2"/>
  <c r="AI27" i="2"/>
  <c r="AE25" i="2"/>
  <c r="AL25" i="2" s="1"/>
  <c r="AK8" i="2"/>
  <c r="AI8" i="2"/>
  <c r="AK14" i="2"/>
  <c r="AH25" i="2"/>
  <c r="AG8" i="2"/>
  <c r="AL11" i="2"/>
  <c r="AI30" i="2"/>
  <c r="AI14" i="2"/>
  <c r="AH3" i="2"/>
  <c r="AI3" i="2"/>
  <c r="AJ19" i="2"/>
  <c r="AI19" i="2"/>
  <c r="AJ14" i="2"/>
  <c r="AG14" i="2"/>
  <c r="AI7" i="2"/>
  <c r="AB21" i="2"/>
  <c r="AD21" i="2" s="1"/>
  <c r="Z21" i="2"/>
  <c r="AJ2" i="2"/>
  <c r="AI2" i="2"/>
  <c r="AG2" i="2"/>
  <c r="AK2" i="2"/>
  <c r="AE27" i="2"/>
  <c r="AJ15" i="2"/>
  <c r="AI15" i="2"/>
  <c r="AG15" i="2"/>
  <c r="AG23" i="2"/>
  <c r="AE23" i="2"/>
  <c r="AL23" i="2" s="1"/>
  <c r="AK15" i="2"/>
  <c r="AK7" i="2"/>
  <c r="AH7" i="2"/>
  <c r="AJ30" i="2"/>
  <c r="AH12" i="2"/>
  <c r="AK12" i="2"/>
  <c r="AG35" i="2"/>
  <c r="AI35" i="2"/>
  <c r="AE35" i="2"/>
  <c r="AL35" i="2" s="1"/>
  <c r="AE18" i="2"/>
  <c r="AL18" i="2" s="1"/>
  <c r="AK31" i="2"/>
  <c r="AH31" i="2"/>
  <c r="AG24" i="2"/>
  <c r="AE24" i="2"/>
  <c r="AL24" i="2" s="1"/>
  <c r="AI34" i="2"/>
  <c r="AB17" i="2"/>
  <c r="AD17" i="2" s="1"/>
  <c r="Z17" i="2"/>
  <c r="AG34" i="2"/>
  <c r="AG29" i="2"/>
  <c r="AJ31" i="2"/>
  <c r="AB20" i="2"/>
  <c r="AD20" i="2" s="1"/>
  <c r="Z20" i="2"/>
  <c r="AI29" i="2"/>
  <c r="AE29" i="2"/>
  <c r="AL29" i="2" s="1"/>
  <c r="AI31" i="2"/>
  <c r="AG33" i="2"/>
  <c r="AE33" i="2"/>
  <c r="AL33" i="2" s="1"/>
  <c r="AG36" i="2"/>
  <c r="AI36" i="2"/>
  <c r="AE36" i="2"/>
  <c r="AL36" i="2" s="1"/>
  <c r="AE5" i="2"/>
  <c r="AL5" i="2" s="1"/>
  <c r="AE4" i="2"/>
  <c r="AL4" i="2" s="1"/>
  <c r="AI4" i="2"/>
  <c r="AG18" i="2"/>
  <c r="AK30" i="2"/>
  <c r="AH30" i="2"/>
  <c r="AG9" i="2"/>
  <c r="AG4" i="2"/>
  <c r="AK16" i="2" l="1"/>
  <c r="AH16" i="2"/>
  <c r="AJ16" i="2"/>
  <c r="AE34" i="2"/>
  <c r="AL34" i="2" s="1"/>
  <c r="AJ22" i="2"/>
  <c r="AH11" i="2"/>
  <c r="AJ3" i="2"/>
  <c r="AE32" i="2"/>
  <c r="AJ32" i="2" s="1"/>
  <c r="AJ28" i="2"/>
  <c r="AI28" i="2"/>
  <c r="AI11" i="2"/>
  <c r="AK26" i="2"/>
  <c r="AJ11" i="2"/>
  <c r="AH26" i="2"/>
  <c r="AL7" i="2"/>
  <c r="AE26" i="2"/>
  <c r="AL26" i="2" s="1"/>
  <c r="AK22" i="2"/>
  <c r="AI22" i="2"/>
  <c r="AJ12" i="2"/>
  <c r="AI12" i="2"/>
  <c r="AE9" i="2"/>
  <c r="AL9" i="2" s="1"/>
  <c r="AG5" i="2"/>
  <c r="AK27" i="2"/>
  <c r="AJ25" i="2"/>
  <c r="AH27" i="2"/>
  <c r="AK25" i="2"/>
  <c r="AI25" i="2"/>
  <c r="AK32" i="2"/>
  <c r="AH32" i="2"/>
  <c r="AI32" i="2"/>
  <c r="AG21" i="2"/>
  <c r="AE21" i="2"/>
  <c r="AL27" i="2"/>
  <c r="AJ27" i="2"/>
  <c r="AJ23" i="2"/>
  <c r="AK23" i="2"/>
  <c r="AI23" i="2"/>
  <c r="AH23" i="2"/>
  <c r="AJ35" i="2"/>
  <c r="AJ5" i="2"/>
  <c r="AH35" i="2"/>
  <c r="AK35" i="2"/>
  <c r="AJ36" i="2"/>
  <c r="AJ4" i="2"/>
  <c r="AJ33" i="2"/>
  <c r="AG20" i="2"/>
  <c r="AI20" i="2"/>
  <c r="AE20" i="2"/>
  <c r="AL20" i="2" s="1"/>
  <c r="AH9" i="2"/>
  <c r="AK9" i="2"/>
  <c r="AI9" i="2"/>
  <c r="AJ29" i="2"/>
  <c r="AJ34" i="2"/>
  <c r="AH24" i="2"/>
  <c r="AK24" i="2"/>
  <c r="AH18" i="2"/>
  <c r="AK18" i="2"/>
  <c r="AH36" i="2"/>
  <c r="AK36" i="2"/>
  <c r="AH33" i="2"/>
  <c r="AK33" i="2"/>
  <c r="AI24" i="2"/>
  <c r="AE17" i="2"/>
  <c r="AL17" i="2" s="1"/>
  <c r="AJ24" i="2"/>
  <c r="AG17" i="2"/>
  <c r="AH29" i="2"/>
  <c r="AK29" i="2"/>
  <c r="AJ18" i="2"/>
  <c r="AH4" i="2"/>
  <c r="AK4" i="2"/>
  <c r="AI18" i="2"/>
  <c r="AH5" i="2"/>
  <c r="AK5" i="2"/>
  <c r="AI33" i="2"/>
  <c r="AH34" i="2"/>
  <c r="AK34" i="2"/>
  <c r="AJ26" i="2" l="1"/>
  <c r="AL32" i="2"/>
  <c r="AJ9" i="2"/>
  <c r="AH21" i="2"/>
  <c r="AK21" i="2"/>
  <c r="AJ21" i="2"/>
  <c r="AL21" i="2"/>
  <c r="AI21" i="2"/>
  <c r="AJ20" i="2"/>
  <c r="AH17" i="2"/>
  <c r="AK17" i="2"/>
  <c r="AJ17" i="2"/>
  <c r="AI17" i="2"/>
  <c r="AH20" i="2"/>
  <c r="AK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CoreSection_ELB" description="Verbindung mit der Abfrage 'CoreSection_ELB' in der Arbeitsmappe." type="5" refreshedVersion="7" background="1" saveData="1">
    <dbPr connection="Provider=Microsoft.Mashup.OleDb.1;Data Source=$Workbook$;Location=CoreSection_ELB;Extended Properties=&quot;&quot;" command="SELECT * FROM [CoreSection_ELB]"/>
  </connection>
</connections>
</file>

<file path=xl/sharedStrings.xml><?xml version="1.0" encoding="utf-8"?>
<sst xmlns="http://schemas.openxmlformats.org/spreadsheetml/2006/main" count="3479" uniqueCount="97">
  <si>
    <t>Number</t>
  </si>
  <si>
    <t>Weight, g</t>
  </si>
  <si>
    <t>Volume, cc</t>
  </si>
  <si>
    <t>Section</t>
  </si>
  <si>
    <t>Sample Top, cm</t>
  </si>
  <si>
    <t>Sample Bottom, cm</t>
  </si>
  <si>
    <t>Beaker Number</t>
  </si>
  <si>
    <t>Scientist</t>
  </si>
  <si>
    <t>Pycnometer Cell</t>
  </si>
  <si>
    <r>
      <rPr>
        <b/>
        <sz val="9"/>
        <color theme="1"/>
        <rFont val="Calibri"/>
        <family val="2"/>
        <scheme val="minor"/>
      </rPr>
      <t>WET</t>
    </r>
    <r>
      <rPr>
        <sz val="9"/>
        <color theme="1"/>
        <rFont val="Calibri"/>
        <family val="2"/>
        <scheme val="minor"/>
      </rPr>
      <t xml:space="preserve"> Weight (Sample + Beaker), g </t>
    </r>
  </si>
  <si>
    <r>
      <rPr>
        <b/>
        <sz val="9"/>
        <color theme="1"/>
        <rFont val="Calibri"/>
        <family val="2"/>
        <scheme val="minor"/>
      </rPr>
      <t>DRY</t>
    </r>
    <r>
      <rPr>
        <sz val="9"/>
        <color theme="1"/>
        <rFont val="Calibri"/>
        <family val="2"/>
        <scheme val="minor"/>
      </rPr>
      <t xml:space="preserve"> Weight (Sample + Beaker), g</t>
    </r>
  </si>
  <si>
    <r>
      <t xml:space="preserve">OVEN             Date/Time                    </t>
    </r>
    <r>
      <rPr>
        <b/>
        <sz val="9"/>
        <color theme="1"/>
        <rFont val="Calibri"/>
        <family val="2"/>
        <scheme val="minor"/>
      </rPr>
      <t>IN</t>
    </r>
  </si>
  <si>
    <t>Beaker Weight,         g</t>
  </si>
  <si>
    <t>WEIGHT   WET Sample, g</t>
  </si>
  <si>
    <t>WEIGHT     DRY Sample,  g</t>
  </si>
  <si>
    <t>WEIGHT Salt,                g</t>
  </si>
  <si>
    <t xml:space="preserve">WEIGHT Grains,               g </t>
  </si>
  <si>
    <t>WEIGHT Pore Water, g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</si>
  <si>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</si>
  <si>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</si>
  <si>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</si>
  <si>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</si>
  <si>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</si>
  <si>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</si>
  <si>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</si>
  <si>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</si>
  <si>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</si>
  <si>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</si>
  <si>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</si>
  <si>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Site</t>
  </si>
  <si>
    <t>Hole</t>
  </si>
  <si>
    <t>A</t>
  </si>
  <si>
    <t>Core</t>
  </si>
  <si>
    <t>Type</t>
  </si>
  <si>
    <t>R</t>
  </si>
  <si>
    <t>Void Ratio, v/v</t>
  </si>
  <si>
    <t>B</t>
  </si>
  <si>
    <t>C</t>
  </si>
  <si>
    <t>top_depth</t>
  </si>
  <si>
    <t>Combined id</t>
  </si>
  <si>
    <t>DRY Volume, cc</t>
  </si>
  <si>
    <t>Expedition</t>
  </si>
  <si>
    <t xml:space="preserve">Core </t>
  </si>
  <si>
    <t>Combined</t>
  </si>
  <si>
    <t>bottom_depth</t>
  </si>
  <si>
    <t>M0111</t>
  </si>
  <si>
    <t>H</t>
  </si>
  <si>
    <t>X</t>
  </si>
  <si>
    <t>O</t>
  </si>
  <si>
    <t>M0112</t>
  </si>
  <si>
    <t>M0113</t>
  </si>
  <si>
    <t>Sample Bot Depth, mbsf</t>
  </si>
  <si>
    <t>Sample Top Depth, mbsf</t>
  </si>
  <si>
    <t>Exp</t>
  </si>
  <si>
    <t>Need editing with values for X501</t>
  </si>
  <si>
    <t>sand</t>
  </si>
  <si>
    <t>Sample Label</t>
  </si>
  <si>
    <t>Run Number</t>
  </si>
  <si>
    <t>Pyc Cell</t>
  </si>
  <si>
    <t>date and time</t>
  </si>
  <si>
    <t>17.01.2026</t>
  </si>
  <si>
    <t>Volume of Std</t>
  </si>
  <si>
    <t>Offset</t>
  </si>
  <si>
    <t>MS</t>
  </si>
  <si>
    <t>19.01.2026</t>
  </si>
  <si>
    <t>19.01.2025</t>
  </si>
  <si>
    <t>TS</t>
  </si>
  <si>
    <t>Comments</t>
  </si>
  <si>
    <t>Calibration Cell</t>
  </si>
  <si>
    <t>Cell 4 was recalibrated</t>
  </si>
  <si>
    <t>Unstable Pressure</t>
  </si>
  <si>
    <t>Cell 1</t>
  </si>
  <si>
    <t>Cell 2</t>
  </si>
  <si>
    <t>Cell 3</t>
  </si>
  <si>
    <t>Cell 5</t>
  </si>
  <si>
    <t>Recalibration of all cells</t>
  </si>
  <si>
    <t>From 19:17 on 19.01 - the threshold for standard and recalibration is &gt;0.04</t>
  </si>
  <si>
    <t>Cell 4 not to be used - use 3 samples and 1 std</t>
  </si>
  <si>
    <t>Recalibration of Cells</t>
  </si>
  <si>
    <t>20.01.2026</t>
  </si>
  <si>
    <t>Cell1 check</t>
  </si>
  <si>
    <t xml:space="preserve">Calibration after Stefan repaired Cell 4 (maybe gasket), </t>
  </si>
  <si>
    <t>Cell4 check</t>
  </si>
  <si>
    <t>Cell4</t>
  </si>
  <si>
    <t>Cell 1 was recalibrated</t>
  </si>
  <si>
    <t xml:space="preserve"> </t>
  </si>
  <si>
    <t>Lithology</t>
  </si>
  <si>
    <t>clay</t>
  </si>
  <si>
    <t>21.01.2027</t>
  </si>
  <si>
    <t>22.01.2026</t>
  </si>
  <si>
    <t>23.01.2026</t>
  </si>
  <si>
    <t>24.01.2026</t>
  </si>
  <si>
    <t>26.01.2026</t>
  </si>
  <si>
    <t>27.01.2026</t>
  </si>
  <si>
    <t>Cell 2 was recalibrated</t>
  </si>
  <si>
    <t>Cell2 check</t>
  </si>
  <si>
    <t>was inittially requested at 38-40(extra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</si>
</sst>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 applyAlignment="1">
      <alignment horizontal="center"/>
    </xf>
    <xf numFmtId="0" fontId="0" fillId="6" borderId="1" xfId="0" applyFill="1" applyBorder="1"/>
    <xf numFmtId="0" fontId="6" fillId="9" borderId="0" xfId="0" applyFont="1" applyFill="1"/>
    <xf numFmtId="0" fontId="4" fillId="0" borderId="0" xfId="0" applyFont="1"/>
    <xf numFmtId="164" fontId="0" fillId="0" borderId="0" xfId="0" applyNumberFormat="1"/>
    <xf numFmtId="15" fontId="0" fillId="0" borderId="0" xfId="0" applyNumberFormat="1"/>
    <xf numFmtId="22" fontId="1" fillId="4" borderId="1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165" fontId="0" fillId="0" borderId="0" xfId="0" applyNumberFormat="1"/>
    <xf numFmtId="0" fontId="1" fillId="8" borderId="2" xfId="0" applyFont="1" applyFill="1" applyBorder="1" applyAlignment="1">
      <alignment horizontal="center" vertical="center" wrapText="1"/>
    </xf>
    <xf numFmtId="0" fontId="0" fillId="9" borderId="0" xfId="0" applyFill="1"/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3"/>
  <sheetViews>
    <sheetView tabSelected="1" zoomScale="70" zoomScaleNormal="110" workbookViewId="0">
      <pane xSplit="12" ySplit="1" topLeftCell="U2" activePane="bottomRight" state="frozen"/>
      <selection pane="topRight" activeCell="K1" sqref="K1"/>
      <selection pane="bottomLeft" activeCell="A9" sqref="A9"/>
      <selection pane="bottomRight" activeCell="AH2" sqref="AH2"/>
    </sheetView>
  </sheetViews>
  <sheetFormatPr defaultColWidth="8.6640625" defaultRowHeight="14.4" x14ac:dyDescent="0.3"/>
  <cols>
    <col min="1" max="1" width="5.6640625" style="16" customWidth="1"/>
    <col min="2" max="2" width="7.33203125" style="7" customWidth="1"/>
    <col min="3" max="3" width="5" style="7" customWidth="1"/>
    <col min="4" max="4" width="4.109375" style="7" bestFit="1" customWidth="1"/>
    <col min="5" max="5" width="4.6640625" style="7" customWidth="1"/>
    <col min="6" max="6" width="6.109375" style="7" bestFit="1" customWidth="1"/>
    <col min="7" max="7" width="8.109375" style="7" customWidth="1"/>
    <col min="8" max="8" width="8.6640625" style="7"/>
    <col min="9" max="9" width="13.5546875" style="8" bestFit="1" customWidth="1"/>
    <col min="10" max="10" width="24.5546875" style="8" customWidth="1"/>
    <col min="11" max="11" width="8.6640625" style="8"/>
    <col min="12" max="12" width="9.33203125" style="11" bestFit="1" customWidth="1"/>
    <col min="13" max="13" width="8.6640625" style="10"/>
    <col min="14" max="14" width="8.6640625" style="11"/>
    <col min="15" max="15" width="9.6640625" style="7" customWidth="1"/>
    <col min="16" max="16" width="16" style="12" bestFit="1" customWidth="1"/>
    <col min="17" max="17" width="9.44140625" style="7" customWidth="1"/>
    <col min="18" max="18" width="7.6640625" style="8" bestFit="1" customWidth="1"/>
    <col min="19" max="19" width="11" style="8" customWidth="1"/>
    <col min="20" max="20" width="10" style="7" customWidth="1"/>
    <col min="21" max="21" width="10" style="8" customWidth="1"/>
    <col min="22" max="22" width="9.6640625" style="13" customWidth="1"/>
    <col min="23" max="31" width="9.109375" style="13" customWidth="1"/>
    <col min="32" max="38" width="8.6640625" style="13"/>
    <col min="39" max="39" width="11" style="14" customWidth="1"/>
    <col min="40" max="16384" width="8.6640625" style="14"/>
  </cols>
  <sheetData>
    <row r="1" spans="1:39" s="2" customFormat="1" ht="36" x14ac:dyDescent="0.3">
      <c r="A1" s="1" t="s">
        <v>53</v>
      </c>
      <c r="B1" s="1" t="s">
        <v>29</v>
      </c>
      <c r="C1" s="1" t="s">
        <v>30</v>
      </c>
      <c r="D1" s="1" t="s">
        <v>32</v>
      </c>
      <c r="E1" s="1" t="s">
        <v>33</v>
      </c>
      <c r="F1" s="1" t="s">
        <v>3</v>
      </c>
      <c r="G1" s="1" t="s">
        <v>4</v>
      </c>
      <c r="H1" s="1" t="s">
        <v>5</v>
      </c>
      <c r="I1" s="2" t="s">
        <v>39</v>
      </c>
      <c r="J1" s="2" t="s">
        <v>56</v>
      </c>
      <c r="K1" s="3" t="s">
        <v>52</v>
      </c>
      <c r="L1" s="3" t="s">
        <v>51</v>
      </c>
      <c r="M1" s="1" t="s">
        <v>6</v>
      </c>
      <c r="N1" s="4" t="s">
        <v>12</v>
      </c>
      <c r="O1" s="1" t="s">
        <v>9</v>
      </c>
      <c r="P1" s="21" t="s">
        <v>11</v>
      </c>
      <c r="Q1" s="1" t="s">
        <v>10</v>
      </c>
      <c r="R1" s="5" t="s">
        <v>7</v>
      </c>
      <c r="S1" s="5" t="s">
        <v>8</v>
      </c>
      <c r="T1" s="1" t="s">
        <v>40</v>
      </c>
      <c r="V1" s="2" t="s">
        <v>13</v>
      </c>
      <c r="W1" s="2" t="s">
        <v>14</v>
      </c>
      <c r="X1" s="2" t="s">
        <v>17</v>
      </c>
      <c r="Y1" s="2" t="s">
        <v>15</v>
      </c>
      <c r="Z1" s="2" t="s">
        <v>16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2" t="s">
        <v>35</v>
      </c>
      <c r="AM1" s="24" t="s">
        <v>86</v>
      </c>
    </row>
    <row r="2" spans="1:39" x14ac:dyDescent="0.3">
      <c r="A2" s="16">
        <v>501</v>
      </c>
      <c r="B2" s="7" t="s">
        <v>45</v>
      </c>
      <c r="C2" s="7" t="s">
        <v>37</v>
      </c>
      <c r="D2" s="7">
        <v>1</v>
      </c>
      <c r="E2" s="7" t="s">
        <v>46</v>
      </c>
      <c r="F2" s="7">
        <v>1</v>
      </c>
      <c r="G2" s="7">
        <v>38</v>
      </c>
      <c r="H2" s="7">
        <v>40</v>
      </c>
      <c r="I2" s="8" t="str">
        <f t="shared" ref="I2:I36" si="0">_xlfn.CONCAT(B2, "-", C2,"-", D2,"-", F2)</f>
        <v>M0111-C-1-1</v>
      </c>
      <c r="J2" s="14" t="str">
        <f t="shared" ref="J2:J36" si="1">_xlfn.CONCAT(A2, "-", I2, ",",G2, "-",H2)</f>
        <v>501-M0111-C-1-1,38-40</v>
      </c>
      <c r="K2" s="8">
        <f>VLOOKUP(I2, 'Depth vlookup'!$G$2:$I$997,2,FALSE)+(G2/100)</f>
        <v>45.940000000000005</v>
      </c>
      <c r="L2" s="9">
        <f t="shared" ref="L2:L36" si="2">K2+2/100</f>
        <v>45.960000000000008</v>
      </c>
      <c r="M2" s="7">
        <v>277</v>
      </c>
      <c r="N2" s="11">
        <f>VLOOKUP(M2,  Beakers!$A$2:$B$151, 2, 0)</f>
        <v>9.8651999999999997</v>
      </c>
      <c r="O2" s="7">
        <v>19.244700000000002</v>
      </c>
      <c r="P2" s="12">
        <v>46045.820833333331</v>
      </c>
      <c r="Q2" s="7">
        <v>17.915800000000001</v>
      </c>
      <c r="R2" s="8" t="s">
        <v>63</v>
      </c>
      <c r="S2" s="8">
        <v>1</v>
      </c>
      <c r="T2" s="7">
        <v>7.4896000000000003</v>
      </c>
      <c r="V2" s="15">
        <f t="shared" ref="V2:V36" si="3">O2-N2</f>
        <v>9.3795000000000019</v>
      </c>
      <c r="W2" s="15">
        <f t="shared" ref="W2" si="4">Q5-N2</f>
        <v>8.5068999999999999</v>
      </c>
      <c r="X2" s="15">
        <f t="shared" ref="X2:X36" si="5">(V2-W2)/(1-35/1000)</f>
        <v>0.90424870466321461</v>
      </c>
      <c r="Y2" s="15">
        <f t="shared" ref="Y2:Y36" si="6">X2-(V2-W2)</f>
        <v>3.1648704663212568E-2</v>
      </c>
      <c r="Z2" s="15">
        <f t="shared" ref="Z2:Z36" si="7">W2-Y2</f>
        <v>8.475251295336788</v>
      </c>
      <c r="AA2" s="15">
        <f t="shared" ref="AA2:AA36" si="8">X2/1.024</f>
        <v>0.88305537564767045</v>
      </c>
      <c r="AB2" s="15">
        <f t="shared" ref="AB2:AB36" si="9">Y2/2.22</f>
        <v>1.4256173271717371E-2</v>
      </c>
      <c r="AC2" s="15">
        <f>T2-VLOOKUP(M2, Beakers!$A$2:$C$151, 3, 0)</f>
        <v>3.0657434977578477</v>
      </c>
      <c r="AD2" s="15">
        <f t="shared" ref="AD2:AD36" si="10">AC2-AB2+AA2</f>
        <v>3.9345427001338007</v>
      </c>
      <c r="AE2" s="15">
        <f t="shared" ref="AE2:AE36" si="11">AC2-AB2</f>
        <v>3.0514873244861302</v>
      </c>
      <c r="AF2" s="15">
        <f t="shared" ref="AF2:AF36" si="12">X2/V2</f>
        <v>9.6406919842551786E-2</v>
      </c>
      <c r="AG2" s="15">
        <f t="shared" ref="AG2:AG36" si="13">X2/Z2</f>
        <v>0.10669284876080855</v>
      </c>
      <c r="AH2" s="15">
        <f>V2/AD2</f>
        <v>2.3838856799498038</v>
      </c>
      <c r="AI2" s="15">
        <f t="shared" ref="AI2:AI36" si="14">Z2/AD2</f>
        <v>2.1540626042890763</v>
      </c>
      <c r="AJ2" s="15">
        <f t="shared" ref="AJ2:AJ36" si="15">Z2/AE2</f>
        <v>2.7774165166371838</v>
      </c>
      <c r="AK2" s="15">
        <f t="shared" ref="AK2:AK36" si="16">AA2/AD2</f>
        <v>0.22443659732492943</v>
      </c>
      <c r="AL2" s="15">
        <f t="shared" ref="AL2:AL36" si="17">AA2/AE2</f>
        <v>0.28938523472201438</v>
      </c>
      <c r="AM2" s="14" t="s">
        <v>55</v>
      </c>
    </row>
    <row r="3" spans="1:39" x14ac:dyDescent="0.3">
      <c r="A3" s="16">
        <v>501</v>
      </c>
      <c r="B3" s="7" t="s">
        <v>45</v>
      </c>
      <c r="C3" s="7" t="s">
        <v>37</v>
      </c>
      <c r="D3" s="7">
        <v>2</v>
      </c>
      <c r="E3" s="7" t="s">
        <v>46</v>
      </c>
      <c r="F3" s="7">
        <v>1</v>
      </c>
      <c r="G3" s="7">
        <v>38</v>
      </c>
      <c r="H3" s="7">
        <v>40</v>
      </c>
      <c r="I3" s="8" t="str">
        <f t="shared" si="0"/>
        <v>M0111-C-2-1</v>
      </c>
      <c r="J3" s="14" t="str">
        <f t="shared" si="1"/>
        <v>501-M0111-C-2-1,38-40</v>
      </c>
      <c r="K3" s="8">
        <f>VLOOKUP(I3, 'Depth vlookup'!$G$2:$I$997,2,FALSE)+(G3/100)</f>
        <v>48.050000000000004</v>
      </c>
      <c r="L3" s="9">
        <f t="shared" si="2"/>
        <v>48.070000000000007</v>
      </c>
      <c r="M3" s="7">
        <v>278</v>
      </c>
      <c r="N3" s="11">
        <f>VLOOKUP(M3,  Beakers!$A$2:$B$151, 2, 0)</f>
        <v>10.157</v>
      </c>
      <c r="O3" s="7">
        <v>20.021100000000001</v>
      </c>
      <c r="P3" s="12">
        <v>46045.838888888888</v>
      </c>
      <c r="Q3" s="7">
        <v>16.987200000000001</v>
      </c>
      <c r="R3" s="8" t="s">
        <v>66</v>
      </c>
      <c r="S3" s="8">
        <v>1</v>
      </c>
      <c r="T3" s="7">
        <v>7.1081000000000003</v>
      </c>
      <c r="V3" s="15">
        <f t="shared" si="3"/>
        <v>9.8641000000000005</v>
      </c>
      <c r="W3" s="15">
        <f t="shared" ref="W3:W36" si="18">Q3-N3</f>
        <v>6.8302000000000014</v>
      </c>
      <c r="X3" s="15">
        <f t="shared" si="5"/>
        <v>3.1439378238341962</v>
      </c>
      <c r="Y3" s="15">
        <f t="shared" si="6"/>
        <v>0.11003782383419702</v>
      </c>
      <c r="Z3" s="15">
        <f t="shared" si="7"/>
        <v>6.7201621761658039</v>
      </c>
      <c r="AA3" s="15">
        <f t="shared" si="8"/>
        <v>3.0702517810880821</v>
      </c>
      <c r="AB3" s="15">
        <f t="shared" si="9"/>
        <v>4.956658731270136E-2</v>
      </c>
      <c r="AC3" s="15">
        <f>T3-VLOOKUP(M3, Beakers!$A$2:$C$151, 3, 0)</f>
        <v>2.5533914798206281</v>
      </c>
      <c r="AD3" s="15">
        <f t="shared" si="10"/>
        <v>5.574076673596009</v>
      </c>
      <c r="AE3" s="15">
        <f t="shared" si="11"/>
        <v>2.5038248925079269</v>
      </c>
      <c r="AF3" s="15">
        <f t="shared" si="12"/>
        <v>0.31872525864845208</v>
      </c>
      <c r="AG3" s="15">
        <f t="shared" si="13"/>
        <v>0.46783659998336136</v>
      </c>
      <c r="AH3" s="15">
        <f t="shared" ref="AH2:AH36" si="19">V3/AD3</f>
        <v>1.7696383773702855</v>
      </c>
      <c r="AI3" s="15">
        <f t="shared" si="14"/>
        <v>1.2056099278287142</v>
      </c>
      <c r="AJ3" s="15">
        <f t="shared" si="15"/>
        <v>2.6839585293181711</v>
      </c>
      <c r="AK3" s="15">
        <f t="shared" si="16"/>
        <v>0.55080903275544069</v>
      </c>
      <c r="AL3" s="15">
        <f t="shared" si="17"/>
        <v>1.2262246414575741</v>
      </c>
      <c r="AM3" s="14" t="s">
        <v>87</v>
      </c>
    </row>
    <row r="4" spans="1:39" x14ac:dyDescent="0.3">
      <c r="A4" s="16">
        <v>501</v>
      </c>
      <c r="B4" s="7" t="s">
        <v>45</v>
      </c>
      <c r="C4" s="7" t="s">
        <v>37</v>
      </c>
      <c r="D4" s="7">
        <v>3</v>
      </c>
      <c r="E4" s="7" t="s">
        <v>46</v>
      </c>
      <c r="F4" s="7">
        <v>2</v>
      </c>
      <c r="G4" s="7">
        <v>2</v>
      </c>
      <c r="H4" s="7">
        <v>4</v>
      </c>
      <c r="I4" s="8" t="str">
        <f t="shared" si="0"/>
        <v>M0111-C-3-2</v>
      </c>
      <c r="J4" s="14" t="str">
        <f t="shared" si="1"/>
        <v>501-M0111-C-3-2,2-4</v>
      </c>
      <c r="K4" s="8">
        <f>VLOOKUP(I4, 'Depth vlookup'!$G$2:$I$997,2,FALSE)+(G4/100)</f>
        <v>49.790000000000006</v>
      </c>
      <c r="L4" s="9">
        <f t="shared" si="2"/>
        <v>49.810000000000009</v>
      </c>
      <c r="M4" s="7">
        <v>279</v>
      </c>
      <c r="N4" s="11">
        <f>VLOOKUP(M4,  Beakers!$A$2:$B$151, 2, 0)</f>
        <v>9.9806000000000008</v>
      </c>
      <c r="O4" s="7">
        <v>19.742100000000001</v>
      </c>
      <c r="P4" s="12">
        <v>46045.838888888888</v>
      </c>
      <c r="Q4" s="7">
        <v>16.787400000000002</v>
      </c>
      <c r="R4" s="8" t="s">
        <v>66</v>
      </c>
      <c r="S4" s="8">
        <v>2</v>
      </c>
      <c r="T4" s="7">
        <v>7.0130999999999997</v>
      </c>
      <c r="V4" s="15">
        <f t="shared" si="3"/>
        <v>9.7614999999999998</v>
      </c>
      <c r="W4" s="15">
        <f t="shared" si="18"/>
        <v>6.8068000000000008</v>
      </c>
      <c r="X4" s="15">
        <f t="shared" si="5"/>
        <v>3.0618652849740924</v>
      </c>
      <c r="Y4" s="15">
        <f t="shared" si="6"/>
        <v>0.10716528497409339</v>
      </c>
      <c r="Z4" s="15">
        <f t="shared" si="7"/>
        <v>6.6996347150259075</v>
      </c>
      <c r="AA4" s="15">
        <f t="shared" si="8"/>
        <v>2.9901028173575122</v>
      </c>
      <c r="AB4" s="15">
        <f t="shared" si="9"/>
        <v>4.8272650889231251E-2</v>
      </c>
      <c r="AC4" s="15">
        <f>T4-VLOOKUP(M4, Beakers!$A$2:$C$151, 3, 0)</f>
        <v>2.5374946188340797</v>
      </c>
      <c r="AD4" s="15">
        <f t="shared" si="10"/>
        <v>5.4793247853023601</v>
      </c>
      <c r="AE4" s="15">
        <f t="shared" si="11"/>
        <v>2.4892219679448484</v>
      </c>
      <c r="AF4" s="15">
        <f t="shared" si="12"/>
        <v>0.31366749833264279</v>
      </c>
      <c r="AG4" s="15">
        <f t="shared" si="13"/>
        <v>0.45701973543527025</v>
      </c>
      <c r="AH4" s="15">
        <f t="shared" si="19"/>
        <v>1.781515128685941</v>
      </c>
      <c r="AI4" s="15">
        <f t="shared" si="14"/>
        <v>1.2227117350292658</v>
      </c>
      <c r="AJ4" s="15">
        <f t="shared" si="15"/>
        <v>2.6914573313673831</v>
      </c>
      <c r="AK4" s="15">
        <f t="shared" si="16"/>
        <v>0.545706439117847</v>
      </c>
      <c r="AL4" s="15">
        <f t="shared" si="17"/>
        <v>1.201219841325039</v>
      </c>
      <c r="AM4" s="14" t="s">
        <v>87</v>
      </c>
    </row>
    <row r="5" spans="1:39" x14ac:dyDescent="0.3">
      <c r="A5" s="16">
        <v>501</v>
      </c>
      <c r="B5" s="7" t="s">
        <v>45</v>
      </c>
      <c r="C5" s="7" t="s">
        <v>37</v>
      </c>
      <c r="D5" s="7">
        <v>6</v>
      </c>
      <c r="E5" s="7" t="s">
        <v>46</v>
      </c>
      <c r="F5" s="7">
        <v>1</v>
      </c>
      <c r="G5" s="7">
        <v>17</v>
      </c>
      <c r="H5" s="7">
        <v>19</v>
      </c>
      <c r="I5" s="8" t="str">
        <f t="shared" si="0"/>
        <v>M0111-C-6-1</v>
      </c>
      <c r="J5" s="14" t="str">
        <f t="shared" si="1"/>
        <v>501-M0111-C-6-1,17-19</v>
      </c>
      <c r="K5" s="8">
        <f>VLOOKUP(I5, 'Depth vlookup'!$G$2:$I$997,2,FALSE)+(G5/100)</f>
        <v>111.53</v>
      </c>
      <c r="L5" s="9">
        <f t="shared" si="2"/>
        <v>111.55</v>
      </c>
      <c r="M5" s="7">
        <v>161</v>
      </c>
      <c r="N5" s="11">
        <f>VLOOKUP(M5,  Beakers!$A$2:$B$151, 2, 0)</f>
        <v>9.7497000000000007</v>
      </c>
      <c r="O5" s="7">
        <v>20.479500000000002</v>
      </c>
      <c r="P5" s="12">
        <v>46045.838888888888</v>
      </c>
      <c r="Q5" s="7">
        <v>18.3721</v>
      </c>
      <c r="R5" s="8" t="s">
        <v>66</v>
      </c>
      <c r="S5" s="8">
        <v>3</v>
      </c>
      <c r="T5" s="7">
        <v>7.5574000000000003</v>
      </c>
      <c r="V5" s="15">
        <f t="shared" si="3"/>
        <v>10.729800000000001</v>
      </c>
      <c r="W5" s="15">
        <f t="shared" si="18"/>
        <v>8.622399999999999</v>
      </c>
      <c r="X5" s="15">
        <f t="shared" si="5"/>
        <v>2.1838341968911936</v>
      </c>
      <c r="Y5" s="15">
        <f t="shared" si="6"/>
        <v>7.6434196891191686E-2</v>
      </c>
      <c r="Z5" s="15">
        <f t="shared" si="7"/>
        <v>8.5459658031088068</v>
      </c>
      <c r="AA5" s="15">
        <f t="shared" si="8"/>
        <v>2.1326505829015563</v>
      </c>
      <c r="AB5" s="15">
        <f t="shared" si="9"/>
        <v>3.4429818419455714E-2</v>
      </c>
      <c r="AC5" s="15">
        <f>T5-VLOOKUP(M5, Beakers!$A$2:$C$151, 3, 0)</f>
        <v>3.1853372197309415</v>
      </c>
      <c r="AD5" s="15">
        <f t="shared" si="10"/>
        <v>5.2835579842130418</v>
      </c>
      <c r="AE5" s="15">
        <f t="shared" si="11"/>
        <v>3.1509074013114859</v>
      </c>
      <c r="AF5" s="15">
        <f t="shared" si="12"/>
        <v>0.2035298138726904</v>
      </c>
      <c r="AG5" s="15">
        <f t="shared" si="13"/>
        <v>0.25553977715389053</v>
      </c>
      <c r="AH5" s="15">
        <f t="shared" si="19"/>
        <v>2.0307906210284825</v>
      </c>
      <c r="AI5" s="15">
        <f t="shared" si="14"/>
        <v>1.6174641839161501</v>
      </c>
      <c r="AJ5" s="15">
        <f t="shared" si="15"/>
        <v>2.7122237230937869</v>
      </c>
      <c r="AK5" s="15">
        <f t="shared" si="16"/>
        <v>0.40363909874251214</v>
      </c>
      <c r="AL5" s="15">
        <f t="shared" si="17"/>
        <v>0.67683695878015782</v>
      </c>
      <c r="AM5" s="14" t="s">
        <v>87</v>
      </c>
    </row>
    <row r="6" spans="1:39" x14ac:dyDescent="0.3">
      <c r="A6" s="16">
        <v>501</v>
      </c>
      <c r="B6" s="7" t="s">
        <v>45</v>
      </c>
      <c r="C6" s="7" t="s">
        <v>37</v>
      </c>
      <c r="D6" s="7">
        <v>7</v>
      </c>
      <c r="E6" s="7" t="s">
        <v>34</v>
      </c>
      <c r="F6" s="7">
        <v>1</v>
      </c>
      <c r="G6" s="7">
        <v>38</v>
      </c>
      <c r="H6" s="7">
        <v>40</v>
      </c>
      <c r="I6" s="8" t="str">
        <f t="shared" si="0"/>
        <v>M0111-C-7-1</v>
      </c>
      <c r="J6" s="14" t="str">
        <f t="shared" si="1"/>
        <v>501-M0111-C-7-1,38-40</v>
      </c>
      <c r="K6" s="8">
        <f>VLOOKUP(I6, 'Depth vlookup'!$G$2:$I$997,2,FALSE)+(G6/100)</f>
        <v>120.74</v>
      </c>
      <c r="L6" s="9">
        <f t="shared" si="2"/>
        <v>120.75999999999999</v>
      </c>
      <c r="M6" s="7">
        <v>168</v>
      </c>
      <c r="N6" s="11">
        <f>VLOOKUP(M6,  Beakers!$A$2:$B$151, 2, 0)</f>
        <v>9.8671000000000006</v>
      </c>
      <c r="O6" s="7">
        <v>19.944600000000001</v>
      </c>
      <c r="P6" s="12">
        <v>46045.927083333336</v>
      </c>
      <c r="Q6" s="7">
        <v>17.186199999999999</v>
      </c>
      <c r="R6" s="8" t="s">
        <v>66</v>
      </c>
      <c r="S6" s="8">
        <v>2</v>
      </c>
      <c r="T6" s="7">
        <v>7.1177999999999999</v>
      </c>
      <c r="V6" s="15">
        <f t="shared" si="3"/>
        <v>10.077500000000001</v>
      </c>
      <c r="W6" s="15">
        <f t="shared" si="18"/>
        <v>7.3190999999999988</v>
      </c>
      <c r="X6" s="15">
        <f t="shared" si="5"/>
        <v>2.8584455958549242</v>
      </c>
      <c r="Y6" s="15">
        <f t="shared" si="6"/>
        <v>0.10004559585492245</v>
      </c>
      <c r="Z6" s="15">
        <f t="shared" si="7"/>
        <v>7.2190544041450764</v>
      </c>
      <c r="AA6" s="15">
        <f t="shared" si="8"/>
        <v>2.7914507772020745</v>
      </c>
      <c r="AB6" s="15">
        <f t="shared" si="9"/>
        <v>4.5065583718433534E-2</v>
      </c>
      <c r="AC6" s="15">
        <f>T6-VLOOKUP(M6, Beakers!$A$2:$C$151, 3, 0)</f>
        <v>2.6930914798206276</v>
      </c>
      <c r="AD6" s="15">
        <f t="shared" si="10"/>
        <v>5.4394766733042683</v>
      </c>
      <c r="AE6" s="15">
        <f t="shared" si="11"/>
        <v>2.6480258961021939</v>
      </c>
      <c r="AF6" s="15">
        <f t="shared" si="12"/>
        <v>0.28364630075464392</v>
      </c>
      <c r="AG6" s="15">
        <f t="shared" si="13"/>
        <v>0.39595845048814787</v>
      </c>
      <c r="AH6" s="15">
        <f t="shared" si="19"/>
        <v>1.8526598430797783</v>
      </c>
      <c r="AI6" s="15">
        <f t="shared" si="14"/>
        <v>1.3271597320335202</v>
      </c>
      <c r="AJ6" s="15">
        <f t="shared" si="15"/>
        <v>2.726202343704903</v>
      </c>
      <c r="AK6" s="15">
        <f t="shared" si="16"/>
        <v>0.51318370219361154</v>
      </c>
      <c r="AL6" s="15">
        <f t="shared" si="17"/>
        <v>1.0541629450493657</v>
      </c>
      <c r="AM6" s="14" t="s">
        <v>87</v>
      </c>
    </row>
    <row r="7" spans="1:39" x14ac:dyDescent="0.3">
      <c r="A7" s="16">
        <v>501</v>
      </c>
      <c r="B7" s="7" t="s">
        <v>45</v>
      </c>
      <c r="C7" s="7" t="s">
        <v>37</v>
      </c>
      <c r="D7" s="7">
        <v>8</v>
      </c>
      <c r="E7" s="7" t="s">
        <v>34</v>
      </c>
      <c r="F7" s="7">
        <v>2</v>
      </c>
      <c r="G7" s="7">
        <v>40</v>
      </c>
      <c r="H7" s="7">
        <v>42</v>
      </c>
      <c r="I7" s="8" t="str">
        <f t="shared" si="0"/>
        <v>M0111-C-8-2</v>
      </c>
      <c r="J7" s="14" t="str">
        <f t="shared" si="1"/>
        <v>501-M0111-C-8-2,40-42</v>
      </c>
      <c r="K7" s="8">
        <f>VLOOKUP(I7, 'Depth vlookup'!$G$2:$I$997,2,FALSE)+(G7/100)</f>
        <v>126.41000000000001</v>
      </c>
      <c r="L7" s="9">
        <f t="shared" si="2"/>
        <v>126.43</v>
      </c>
      <c r="M7" s="7">
        <v>169</v>
      </c>
      <c r="N7" s="11">
        <f>VLOOKUP(M7,  Beakers!$A$2:$B$151, 2, 0)</f>
        <v>9.4824999999999999</v>
      </c>
      <c r="O7" s="7">
        <v>19.177800000000001</v>
      </c>
      <c r="P7" s="12">
        <v>46045.927083333336</v>
      </c>
      <c r="Q7" s="7">
        <v>17.165900000000001</v>
      </c>
      <c r="R7" s="8" t="s">
        <v>66</v>
      </c>
      <c r="S7" s="8">
        <v>3</v>
      </c>
      <c r="T7" s="7">
        <v>7.0971000000000002</v>
      </c>
      <c r="V7" s="15">
        <f t="shared" si="3"/>
        <v>9.6953000000000014</v>
      </c>
      <c r="W7" s="15">
        <f t="shared" si="18"/>
        <v>7.6834000000000007</v>
      </c>
      <c r="X7" s="15">
        <f t="shared" si="5"/>
        <v>2.0848704663212443</v>
      </c>
      <c r="Y7" s="15">
        <f t="shared" si="6"/>
        <v>7.2970466321243599E-2</v>
      </c>
      <c r="Z7" s="15">
        <f t="shared" si="7"/>
        <v>7.6104295336787571</v>
      </c>
      <c r="AA7" s="15">
        <f t="shared" si="8"/>
        <v>2.0360063147668401</v>
      </c>
      <c r="AB7" s="15">
        <f t="shared" si="9"/>
        <v>3.2869579423983601E-2</v>
      </c>
      <c r="AC7" s="15">
        <f>T7-VLOOKUP(M7, Beakers!$A$2:$C$151, 3, 0)</f>
        <v>2.8448578475336328</v>
      </c>
      <c r="AD7" s="15">
        <f t="shared" si="10"/>
        <v>4.8479945828764892</v>
      </c>
      <c r="AE7" s="15">
        <f t="shared" si="11"/>
        <v>2.8119882681096491</v>
      </c>
      <c r="AF7" s="15">
        <f t="shared" si="12"/>
        <v>0.21503929391779975</v>
      </c>
      <c r="AG7" s="15">
        <f t="shared" si="13"/>
        <v>0.27394911904708907</v>
      </c>
      <c r="AH7" s="15">
        <f t="shared" si="19"/>
        <v>1.9998578451891404</v>
      </c>
      <c r="AI7" s="15">
        <f t="shared" si="14"/>
        <v>1.5698098262236952</v>
      </c>
      <c r="AJ7" s="15">
        <f t="shared" si="15"/>
        <v>2.706422932125121</v>
      </c>
      <c r="AK7" s="15">
        <f t="shared" si="16"/>
        <v>0.41996876852094261</v>
      </c>
      <c r="AL7" s="15">
        <f t="shared" si="17"/>
        <v>0.72404509572706699</v>
      </c>
      <c r="AM7" s="14" t="s">
        <v>87</v>
      </c>
    </row>
    <row r="8" spans="1:39" x14ac:dyDescent="0.3">
      <c r="A8" s="16">
        <v>501</v>
      </c>
      <c r="B8" s="7" t="s">
        <v>45</v>
      </c>
      <c r="C8" s="7" t="s">
        <v>37</v>
      </c>
      <c r="D8" s="7">
        <v>5</v>
      </c>
      <c r="E8" s="7" t="s">
        <v>46</v>
      </c>
      <c r="F8" s="7">
        <v>1</v>
      </c>
      <c r="G8" s="7">
        <v>41</v>
      </c>
      <c r="H8" s="7">
        <v>43</v>
      </c>
      <c r="I8" s="8" t="str">
        <f t="shared" si="0"/>
        <v>M0111-C-5-1</v>
      </c>
      <c r="J8" s="14" t="str">
        <f t="shared" si="1"/>
        <v>501-M0111-C-5-1,41-43</v>
      </c>
      <c r="K8" s="8">
        <f>VLOOKUP(I8, 'Depth vlookup'!$G$2:$I$997,2,FALSE)+(G8/100)</f>
        <v>110.41</v>
      </c>
      <c r="L8" s="9">
        <f t="shared" si="2"/>
        <v>110.42999999999999</v>
      </c>
      <c r="M8" s="7">
        <v>170</v>
      </c>
      <c r="N8" s="11">
        <f>VLOOKUP(M8,  Beakers!$A$2:$B$151, 2, 0)</f>
        <v>9.5950000000000006</v>
      </c>
      <c r="O8" s="7">
        <v>20.983899999999998</v>
      </c>
      <c r="P8" s="12">
        <v>46045.927083333336</v>
      </c>
      <c r="Q8" s="7">
        <v>18.611999999999998</v>
      </c>
      <c r="R8" s="8" t="s">
        <v>66</v>
      </c>
      <c r="S8" s="8">
        <v>5</v>
      </c>
      <c r="T8" s="7">
        <v>7.5971000000000002</v>
      </c>
      <c r="V8" s="15">
        <f t="shared" si="3"/>
        <v>11.388899999999998</v>
      </c>
      <c r="W8" s="15">
        <f t="shared" si="18"/>
        <v>9.0169999999999977</v>
      </c>
      <c r="X8" s="15">
        <f t="shared" si="5"/>
        <v>2.4579274611398967</v>
      </c>
      <c r="Y8" s="15">
        <f t="shared" si="6"/>
        <v>8.6027461139896566E-2</v>
      </c>
      <c r="Z8" s="15">
        <f t="shared" si="7"/>
        <v>8.9309725388601002</v>
      </c>
      <c r="AA8" s="15">
        <f t="shared" si="8"/>
        <v>2.4003197862694301</v>
      </c>
      <c r="AB8" s="15">
        <f t="shared" si="9"/>
        <v>3.8751108621575027E-2</v>
      </c>
      <c r="AC8" s="15">
        <f>T8-VLOOKUP(M8, Beakers!$A$2:$C$151, 3, 0)</f>
        <v>3.2944094170403586</v>
      </c>
      <c r="AD8" s="15">
        <f t="shared" si="10"/>
        <v>5.6559780946882139</v>
      </c>
      <c r="AE8" s="15">
        <f t="shared" si="11"/>
        <v>3.2556583084187838</v>
      </c>
      <c r="AF8" s="15">
        <f t="shared" si="12"/>
        <v>0.21581781042417592</v>
      </c>
      <c r="AG8" s="15">
        <f t="shared" si="13"/>
        <v>0.27521386393755642</v>
      </c>
      <c r="AH8" s="15">
        <f t="shared" si="19"/>
        <v>2.0136039796009522</v>
      </c>
      <c r="AI8" s="15">
        <f t="shared" si="14"/>
        <v>1.5790323776620674</v>
      </c>
      <c r="AJ8" s="15">
        <f t="shared" si="15"/>
        <v>2.7432155628143042</v>
      </c>
      <c r="AK8" s="15">
        <f t="shared" si="16"/>
        <v>0.42438633001844184</v>
      </c>
      <c r="AL8" s="15">
        <f t="shared" si="17"/>
        <v>0.73727632290601874</v>
      </c>
      <c r="AM8" s="14" t="s">
        <v>87</v>
      </c>
    </row>
    <row r="9" spans="1:39" x14ac:dyDescent="0.3">
      <c r="A9" s="16">
        <v>501</v>
      </c>
      <c r="B9" s="7" t="s">
        <v>45</v>
      </c>
      <c r="C9" s="7" t="s">
        <v>37</v>
      </c>
      <c r="D9" s="7">
        <v>9</v>
      </c>
      <c r="E9" s="7" t="s">
        <v>34</v>
      </c>
      <c r="F9" s="7">
        <v>1</v>
      </c>
      <c r="G9" s="7">
        <v>38</v>
      </c>
      <c r="H9" s="7">
        <v>40</v>
      </c>
      <c r="I9" s="8" t="str">
        <f t="shared" si="0"/>
        <v>M0111-C-9-1</v>
      </c>
      <c r="J9" s="14" t="str">
        <f t="shared" si="1"/>
        <v>501-M0111-C-9-1,38-40</v>
      </c>
      <c r="K9" s="8">
        <f>VLOOKUP(I9, 'Depth vlookup'!$G$2:$I$997,2,FALSE)+(G9/100)</f>
        <v>126.74</v>
      </c>
      <c r="L9" s="9">
        <f t="shared" si="2"/>
        <v>126.75999999999999</v>
      </c>
      <c r="M9" s="7">
        <v>181</v>
      </c>
      <c r="N9" s="11">
        <f>VLOOKUP(M9,  Beakers!$A$2:$B$151, 2, 0)</f>
        <v>9.5058000000000007</v>
      </c>
      <c r="O9" s="7">
        <v>20.696100000000001</v>
      </c>
      <c r="P9" s="12">
        <v>46046.45</v>
      </c>
      <c r="Q9" s="7">
        <v>18.239100000000001</v>
      </c>
      <c r="R9" s="8" t="s">
        <v>66</v>
      </c>
      <c r="S9" s="8">
        <v>3</v>
      </c>
      <c r="T9" s="7">
        <v>7.4825999999999997</v>
      </c>
      <c r="V9" s="15">
        <f t="shared" si="3"/>
        <v>11.190300000000001</v>
      </c>
      <c r="W9" s="15">
        <f t="shared" si="18"/>
        <v>8.7332999999999998</v>
      </c>
      <c r="X9" s="15">
        <f t="shared" si="5"/>
        <v>2.5461139896373064</v>
      </c>
      <c r="Y9" s="15">
        <f t="shared" si="6"/>
        <v>8.9113989637305657E-2</v>
      </c>
      <c r="Z9" s="15">
        <f t="shared" si="7"/>
        <v>8.6441860103626951</v>
      </c>
      <c r="AA9" s="15">
        <f t="shared" si="8"/>
        <v>2.4864394430051822</v>
      </c>
      <c r="AB9" s="15">
        <f t="shared" si="9"/>
        <v>4.0141436773561107E-2</v>
      </c>
      <c r="AC9" s="15">
        <f>T9-VLOOKUP(M9, Beakers!$A$2:$C$151, 3, 0)</f>
        <v>3.2199094170403582</v>
      </c>
      <c r="AD9" s="15">
        <f t="shared" si="10"/>
        <v>5.6662074232719792</v>
      </c>
      <c r="AE9" s="15">
        <f t="shared" si="11"/>
        <v>3.1797679802667971</v>
      </c>
      <c r="AF9" s="15">
        <f t="shared" si="12"/>
        <v>0.22752866229120813</v>
      </c>
      <c r="AG9" s="15">
        <f t="shared" si="13"/>
        <v>0.29454641380750157</v>
      </c>
      <c r="AH9" s="15">
        <f t="shared" si="19"/>
        <v>1.9749188767851542</v>
      </c>
      <c r="AI9" s="15">
        <f t="shared" si="14"/>
        <v>1.5255682266165731</v>
      </c>
      <c r="AJ9" s="15">
        <f t="shared" si="15"/>
        <v>2.7184958349185617</v>
      </c>
      <c r="AK9" s="15">
        <f t="shared" si="16"/>
        <v>0.43881899430525534</v>
      </c>
      <c r="AL9" s="15">
        <f t="shared" si="17"/>
        <v>0.78195624914637907</v>
      </c>
      <c r="AM9" s="14" t="s">
        <v>87</v>
      </c>
    </row>
    <row r="10" spans="1:39" x14ac:dyDescent="0.3">
      <c r="A10" s="16">
        <v>501</v>
      </c>
      <c r="B10" s="7" t="s">
        <v>45</v>
      </c>
      <c r="C10" s="7" t="s">
        <v>37</v>
      </c>
      <c r="D10" s="7">
        <v>10</v>
      </c>
      <c r="E10" s="7" t="s">
        <v>34</v>
      </c>
      <c r="F10" s="7">
        <v>1</v>
      </c>
      <c r="G10" s="7">
        <v>38</v>
      </c>
      <c r="H10" s="7">
        <v>40</v>
      </c>
      <c r="I10" s="8" t="str">
        <f t="shared" si="0"/>
        <v>M0111-C-10-1</v>
      </c>
      <c r="J10" s="14" t="str">
        <f t="shared" si="1"/>
        <v>501-M0111-C-10-1,38-40</v>
      </c>
      <c r="K10" s="8">
        <f>VLOOKUP(I10, 'Depth vlookup'!$G$2:$I$997,2,FALSE)+(G10/100)</f>
        <v>150.38</v>
      </c>
      <c r="L10" s="9">
        <f t="shared" si="2"/>
        <v>150.4</v>
      </c>
      <c r="M10" s="7">
        <v>182</v>
      </c>
      <c r="N10" s="11">
        <f>VLOOKUP(M10,  Beakers!$A$2:$B$151, 2, 0)</f>
        <v>9.7033000000000005</v>
      </c>
      <c r="O10" s="7">
        <v>19.320399999999999</v>
      </c>
      <c r="P10" s="12">
        <v>46046.450694444444</v>
      </c>
      <c r="Q10" s="7">
        <v>16.298300000000001</v>
      </c>
      <c r="R10" s="8" t="s">
        <v>66</v>
      </c>
      <c r="S10" s="8">
        <v>5</v>
      </c>
      <c r="T10" s="7">
        <v>6.8409000000000004</v>
      </c>
      <c r="V10" s="15">
        <f t="shared" si="3"/>
        <v>9.6170999999999989</v>
      </c>
      <c r="W10" s="15">
        <f t="shared" si="18"/>
        <v>6.5950000000000006</v>
      </c>
      <c r="X10" s="15">
        <f t="shared" si="5"/>
        <v>3.1317098445595839</v>
      </c>
      <c r="Y10" s="15">
        <f t="shared" si="6"/>
        <v>0.10960984455958567</v>
      </c>
      <c r="Z10" s="15">
        <f t="shared" si="7"/>
        <v>6.485390155440415</v>
      </c>
      <c r="AA10" s="15">
        <f t="shared" si="8"/>
        <v>3.0583103950777186</v>
      </c>
      <c r="AB10" s="15">
        <f t="shared" si="9"/>
        <v>4.9373803855669217E-2</v>
      </c>
      <c r="AC10" s="15">
        <f>T10-VLOOKUP(M10, Beakers!$A$2:$C$151, 3, 0)</f>
        <v>2.4896443946188347</v>
      </c>
      <c r="AD10" s="15">
        <f t="shared" si="10"/>
        <v>5.4985809858408841</v>
      </c>
      <c r="AE10" s="15">
        <f t="shared" si="11"/>
        <v>2.4402705907631654</v>
      </c>
      <c r="AF10" s="15">
        <f t="shared" si="12"/>
        <v>0.32563972970641714</v>
      </c>
      <c r="AG10" s="15">
        <f t="shared" si="13"/>
        <v>0.48288688413487024</v>
      </c>
      <c r="AH10" s="15">
        <f t="shared" si="19"/>
        <v>1.7490148867070439</v>
      </c>
      <c r="AI10" s="15">
        <f t="shared" si="14"/>
        <v>1.1794661517472622</v>
      </c>
      <c r="AJ10" s="15">
        <f t="shared" si="15"/>
        <v>2.6576520571073994</v>
      </c>
      <c r="AK10" s="15">
        <f t="shared" si="16"/>
        <v>0.55619993648416166</v>
      </c>
      <c r="AL10" s="15">
        <f t="shared" si="17"/>
        <v>1.2532669150109572</v>
      </c>
      <c r="AM10" s="14" t="s">
        <v>87</v>
      </c>
    </row>
    <row r="11" spans="1:39" x14ac:dyDescent="0.3">
      <c r="A11" s="16">
        <v>501</v>
      </c>
      <c r="B11" s="7" t="s">
        <v>45</v>
      </c>
      <c r="C11" s="7" t="s">
        <v>37</v>
      </c>
      <c r="D11" s="7">
        <v>11</v>
      </c>
      <c r="E11" s="7" t="s">
        <v>34</v>
      </c>
      <c r="F11" s="7">
        <v>1</v>
      </c>
      <c r="G11" s="7">
        <v>49</v>
      </c>
      <c r="H11" s="7">
        <v>51</v>
      </c>
      <c r="I11" s="8" t="str">
        <f t="shared" si="0"/>
        <v>M0111-C-11-1</v>
      </c>
      <c r="J11" s="14" t="str">
        <f t="shared" si="1"/>
        <v>501-M0111-C-11-1,49-51</v>
      </c>
      <c r="K11" s="8">
        <f>VLOOKUP(I11, 'Depth vlookup'!$G$2:$I$997,2,FALSE)+(G11/100)</f>
        <v>153.49</v>
      </c>
      <c r="L11" s="9">
        <f t="shared" si="2"/>
        <v>153.51000000000002</v>
      </c>
      <c r="M11" s="7">
        <v>183</v>
      </c>
      <c r="N11" s="11">
        <f>VLOOKUP(M11,  Beakers!$A$2:$B$151, 2, 0)</f>
        <v>9.6636000000000006</v>
      </c>
      <c r="O11" s="7">
        <v>19.575900000000001</v>
      </c>
      <c r="P11" s="12">
        <v>46046.45208333333</v>
      </c>
      <c r="Q11" s="7">
        <v>16.354800000000001</v>
      </c>
      <c r="R11" s="8" t="s">
        <v>66</v>
      </c>
      <c r="S11" s="8">
        <v>1</v>
      </c>
      <c r="T11" s="7">
        <v>6.9203999999999999</v>
      </c>
      <c r="V11" s="15">
        <f t="shared" si="3"/>
        <v>9.9123000000000001</v>
      </c>
      <c r="W11" s="15">
        <f t="shared" si="18"/>
        <v>6.6912000000000003</v>
      </c>
      <c r="X11" s="15">
        <f t="shared" si="5"/>
        <v>3.3379274611398961</v>
      </c>
      <c r="Y11" s="15">
        <f t="shared" si="6"/>
        <v>0.11682746113989628</v>
      </c>
      <c r="Z11" s="15">
        <f t="shared" si="7"/>
        <v>6.5743725388601035</v>
      </c>
      <c r="AA11" s="15">
        <f t="shared" si="8"/>
        <v>3.2596947862694297</v>
      </c>
      <c r="AB11" s="15">
        <f t="shared" si="9"/>
        <v>5.2624982495448773E-2</v>
      </c>
      <c r="AC11" s="15">
        <f>T11-VLOOKUP(M11, Beakers!$A$2:$C$151, 3, 0)</f>
        <v>2.5869470852017935</v>
      </c>
      <c r="AD11" s="15">
        <f t="shared" si="10"/>
        <v>5.7940168889757739</v>
      </c>
      <c r="AE11" s="15">
        <f t="shared" si="11"/>
        <v>2.5343221027063447</v>
      </c>
      <c r="AF11" s="15">
        <f t="shared" si="12"/>
        <v>0.33674600860949488</v>
      </c>
      <c r="AG11" s="15">
        <f t="shared" si="13"/>
        <v>0.507718028056658</v>
      </c>
      <c r="AH11" s="15">
        <f t="shared" si="19"/>
        <v>1.7107820342843749</v>
      </c>
      <c r="AI11" s="15">
        <f t="shared" si="14"/>
        <v>1.1346830126382796</v>
      </c>
      <c r="AJ11" s="15">
        <f t="shared" si="15"/>
        <v>2.5941345544986096</v>
      </c>
      <c r="AK11" s="15">
        <f t="shared" si="16"/>
        <v>0.56259670082626489</v>
      </c>
      <c r="AL11" s="15">
        <f t="shared" si="17"/>
        <v>1.2862196098863976</v>
      </c>
      <c r="AM11" s="14" t="s">
        <v>55</v>
      </c>
    </row>
    <row r="12" spans="1:39" x14ac:dyDescent="0.3">
      <c r="A12" s="16">
        <v>501</v>
      </c>
      <c r="B12" s="7" t="s">
        <v>45</v>
      </c>
      <c r="C12" s="7" t="s">
        <v>37</v>
      </c>
      <c r="D12" s="7">
        <v>12</v>
      </c>
      <c r="E12" s="7" t="s">
        <v>34</v>
      </c>
      <c r="F12" s="7">
        <v>1</v>
      </c>
      <c r="G12" s="7">
        <v>38</v>
      </c>
      <c r="H12" s="7">
        <v>40</v>
      </c>
      <c r="I12" s="8" t="str">
        <f t="shared" si="0"/>
        <v>M0111-C-12-1</v>
      </c>
      <c r="J12" s="14" t="str">
        <f t="shared" si="1"/>
        <v>501-M0111-C-12-1,38-40</v>
      </c>
      <c r="K12" s="8">
        <f>VLOOKUP(I12, 'Depth vlookup'!$G$2:$I$997,2,FALSE)+(G12/100)</f>
        <v>156.38</v>
      </c>
      <c r="L12" s="9">
        <f t="shared" si="2"/>
        <v>156.4</v>
      </c>
      <c r="M12" s="7">
        <v>184</v>
      </c>
      <c r="N12" s="11">
        <f>VLOOKUP(M12,  Beakers!$A$2:$B$151, 2, 0)</f>
        <v>9.8976000000000006</v>
      </c>
      <c r="O12" s="7">
        <v>17.893699999999999</v>
      </c>
      <c r="P12" s="12">
        <v>46046.489583333336</v>
      </c>
      <c r="Q12" s="7">
        <v>15.886900000000001</v>
      </c>
      <c r="R12" s="8" t="s">
        <v>66</v>
      </c>
      <c r="S12" s="8">
        <v>5</v>
      </c>
      <c r="T12" s="7">
        <v>6.6776</v>
      </c>
      <c r="V12" s="15">
        <f t="shared" si="3"/>
        <v>7.9960999999999984</v>
      </c>
      <c r="W12" s="15">
        <f t="shared" si="18"/>
        <v>5.9893000000000001</v>
      </c>
      <c r="X12" s="15">
        <f t="shared" si="5"/>
        <v>2.0795854922279777</v>
      </c>
      <c r="Y12" s="15">
        <f t="shared" si="6"/>
        <v>7.2785492227979365E-2</v>
      </c>
      <c r="Z12" s="15">
        <f t="shared" si="7"/>
        <v>5.9165145077720211</v>
      </c>
      <c r="AA12" s="15">
        <f t="shared" si="8"/>
        <v>2.0308452072538845</v>
      </c>
      <c r="AB12" s="15">
        <f t="shared" si="9"/>
        <v>3.2786257760351059E-2</v>
      </c>
      <c r="AC12" s="15">
        <f>T12-VLOOKUP(M12, Beakers!$A$2:$C$151, 3, 0)</f>
        <v>2.2392143497757848</v>
      </c>
      <c r="AD12" s="15">
        <f t="shared" si="10"/>
        <v>4.2372732992693187</v>
      </c>
      <c r="AE12" s="15">
        <f t="shared" si="11"/>
        <v>2.2064280920154338</v>
      </c>
      <c r="AF12" s="15">
        <f t="shared" si="12"/>
        <v>0.26007497307787275</v>
      </c>
      <c r="AG12" s="15">
        <f t="shared" si="13"/>
        <v>0.35148827734575877</v>
      </c>
      <c r="AH12" s="15">
        <f t="shared" si="19"/>
        <v>1.8870862073916395</v>
      </c>
      <c r="AI12" s="15">
        <f t="shared" si="14"/>
        <v>1.396302312808634</v>
      </c>
      <c r="AJ12" s="15">
        <f t="shared" si="15"/>
        <v>2.6814898383421397</v>
      </c>
      <c r="AK12" s="15">
        <f t="shared" si="16"/>
        <v>0.47928114705371644</v>
      </c>
      <c r="AL12" s="15">
        <f t="shared" si="17"/>
        <v>0.92042211328030854</v>
      </c>
      <c r="AM12" s="14" t="s">
        <v>55</v>
      </c>
    </row>
    <row r="13" spans="1:39" x14ac:dyDescent="0.3">
      <c r="A13" s="16">
        <v>501</v>
      </c>
      <c r="B13" s="7" t="s">
        <v>45</v>
      </c>
      <c r="C13" s="7" t="s">
        <v>37</v>
      </c>
      <c r="D13" s="7">
        <v>13</v>
      </c>
      <c r="E13" s="7" t="s">
        <v>34</v>
      </c>
      <c r="F13" s="7">
        <v>1</v>
      </c>
      <c r="G13" s="7">
        <v>38</v>
      </c>
      <c r="H13" s="7">
        <v>40</v>
      </c>
      <c r="I13" s="8" t="str">
        <f t="shared" si="0"/>
        <v>M0111-C-13-1</v>
      </c>
      <c r="J13" s="14" t="str">
        <f t="shared" si="1"/>
        <v>501-M0111-C-13-1,38-40</v>
      </c>
      <c r="K13" s="8">
        <f>VLOOKUP(I13, 'Depth vlookup'!$G$2:$I$997,2,FALSE)+(G13/100)</f>
        <v>159.38</v>
      </c>
      <c r="L13" s="9">
        <f t="shared" si="2"/>
        <v>159.4</v>
      </c>
      <c r="M13" s="7">
        <v>185</v>
      </c>
      <c r="N13" s="11">
        <f>VLOOKUP(M13,  Beakers!$A$2:$B$151, 2, 0)</f>
        <v>9.8465000000000007</v>
      </c>
      <c r="O13" s="7">
        <v>19.567900000000002</v>
      </c>
      <c r="P13" s="12">
        <v>46046.489583333336</v>
      </c>
      <c r="Q13" s="7">
        <v>17.3764</v>
      </c>
      <c r="R13" s="8" t="s">
        <v>66</v>
      </c>
      <c r="S13" s="8">
        <v>1</v>
      </c>
      <c r="T13" s="7">
        <v>7.2502000000000004</v>
      </c>
      <c r="V13" s="15">
        <f t="shared" si="3"/>
        <v>9.7214000000000009</v>
      </c>
      <c r="W13" s="15">
        <f t="shared" si="18"/>
        <v>7.5298999999999996</v>
      </c>
      <c r="X13" s="15">
        <f t="shared" si="5"/>
        <v>2.2709844559585508</v>
      </c>
      <c r="Y13" s="15">
        <f t="shared" si="6"/>
        <v>7.9484455958549471E-2</v>
      </c>
      <c r="Z13" s="15">
        <f t="shared" si="7"/>
        <v>7.4504155440414497</v>
      </c>
      <c r="AA13" s="15">
        <f t="shared" si="8"/>
        <v>2.2177582577720223</v>
      </c>
      <c r="AB13" s="15">
        <f t="shared" si="9"/>
        <v>3.5803808990337596E-2</v>
      </c>
      <c r="AC13" s="15">
        <f>T13-VLOOKUP(M13, Beakers!$A$2:$C$151, 3, 0)</f>
        <v>2.8347291479820624</v>
      </c>
      <c r="AD13" s="15">
        <f t="shared" si="10"/>
        <v>5.0166835967637473</v>
      </c>
      <c r="AE13" s="15">
        <f t="shared" si="11"/>
        <v>2.798925338991725</v>
      </c>
      <c r="AF13" s="15">
        <f t="shared" si="12"/>
        <v>0.23360672906768065</v>
      </c>
      <c r="AG13" s="15">
        <f t="shared" si="13"/>
        <v>0.30481312653423676</v>
      </c>
      <c r="AH13" s="15">
        <f t="shared" si="19"/>
        <v>1.937814058329542</v>
      </c>
      <c r="AI13" s="15">
        <f t="shared" si="14"/>
        <v>1.48512765462181</v>
      </c>
      <c r="AJ13" s="15">
        <f t="shared" si="15"/>
        <v>2.6618843454843142</v>
      </c>
      <c r="AK13" s="15">
        <f t="shared" si="16"/>
        <v>0.44207656612083207</v>
      </c>
      <c r="AL13" s="15">
        <f t="shared" si="17"/>
        <v>0.79236063458946704</v>
      </c>
      <c r="AM13" s="14" t="s">
        <v>55</v>
      </c>
    </row>
    <row r="14" spans="1:39" x14ac:dyDescent="0.3">
      <c r="A14" s="16">
        <v>501</v>
      </c>
      <c r="B14" s="7" t="s">
        <v>45</v>
      </c>
      <c r="C14" s="7" t="s">
        <v>37</v>
      </c>
      <c r="D14" s="7">
        <v>14</v>
      </c>
      <c r="E14" s="7" t="s">
        <v>34</v>
      </c>
      <c r="F14" s="7">
        <v>1</v>
      </c>
      <c r="G14" s="7">
        <v>38</v>
      </c>
      <c r="H14" s="7">
        <v>40</v>
      </c>
      <c r="I14" s="8" t="str">
        <f t="shared" si="0"/>
        <v>M0111-C-14-1</v>
      </c>
      <c r="J14" s="14" t="str">
        <f t="shared" si="1"/>
        <v>501-M0111-C-14-1,38-40</v>
      </c>
      <c r="K14" s="8">
        <f>VLOOKUP(I14, 'Depth vlookup'!$G$2:$I$997,2,FALSE)+(G14/100)</f>
        <v>161.54</v>
      </c>
      <c r="L14" s="9">
        <f t="shared" si="2"/>
        <v>161.56</v>
      </c>
      <c r="M14" s="7">
        <v>186</v>
      </c>
      <c r="N14" s="11">
        <f>VLOOKUP(M14,  Beakers!$A$2:$B$151, 2, 0)</f>
        <v>9.8185000000000002</v>
      </c>
      <c r="O14" s="7">
        <v>17.680499999999999</v>
      </c>
      <c r="P14" s="12">
        <v>46046.489583333336</v>
      </c>
      <c r="Q14" s="7">
        <v>16.0946</v>
      </c>
      <c r="R14" s="8" t="s">
        <v>66</v>
      </c>
      <c r="S14" s="8">
        <v>2</v>
      </c>
      <c r="T14" s="7">
        <v>6.7416999999999998</v>
      </c>
      <c r="V14" s="15">
        <f t="shared" si="3"/>
        <v>7.8619999999999983</v>
      </c>
      <c r="W14" s="15">
        <f t="shared" si="18"/>
        <v>6.2760999999999996</v>
      </c>
      <c r="X14" s="15">
        <f t="shared" si="5"/>
        <v>1.6434196891191697</v>
      </c>
      <c r="Y14" s="15">
        <f t="shared" si="6"/>
        <v>5.7519689119170936E-2</v>
      </c>
      <c r="Z14" s="15">
        <f t="shared" si="7"/>
        <v>6.2185803108808289</v>
      </c>
      <c r="AA14" s="15">
        <f t="shared" si="8"/>
        <v>1.604902040155439</v>
      </c>
      <c r="AB14" s="15">
        <f t="shared" si="9"/>
        <v>2.590976987350042E-2</v>
      </c>
      <c r="AC14" s="15">
        <f>T14-VLOOKUP(M14, Beakers!$A$2:$C$151, 3, 0)</f>
        <v>2.3387852017937218</v>
      </c>
      <c r="AD14" s="15">
        <f t="shared" si="10"/>
        <v>3.9177774720756604</v>
      </c>
      <c r="AE14" s="15">
        <f t="shared" si="11"/>
        <v>2.3128754319202214</v>
      </c>
      <c r="AF14" s="15">
        <f t="shared" si="12"/>
        <v>0.20903328531151996</v>
      </c>
      <c r="AG14" s="15">
        <f t="shared" si="13"/>
        <v>0.26427570393255689</v>
      </c>
      <c r="AH14" s="15">
        <f t="shared" si="19"/>
        <v>2.0067500147818929</v>
      </c>
      <c r="AI14" s="15">
        <f t="shared" si="14"/>
        <v>1.5872724663930926</v>
      </c>
      <c r="AJ14" s="15">
        <f t="shared" si="15"/>
        <v>2.6886793058794218</v>
      </c>
      <c r="AK14" s="15">
        <f t="shared" si="16"/>
        <v>0.40964604334843779</v>
      </c>
      <c r="AL14" s="15">
        <f t="shared" si="17"/>
        <v>0.69389903926775653</v>
      </c>
      <c r="AM14" s="14" t="s">
        <v>55</v>
      </c>
    </row>
    <row r="15" spans="1:39" x14ac:dyDescent="0.3">
      <c r="A15" s="16">
        <v>501</v>
      </c>
      <c r="B15" s="7" t="s">
        <v>45</v>
      </c>
      <c r="C15" s="7" t="s">
        <v>37</v>
      </c>
      <c r="D15" s="7">
        <v>15</v>
      </c>
      <c r="E15" s="7" t="s">
        <v>34</v>
      </c>
      <c r="F15" s="7">
        <v>1</v>
      </c>
      <c r="G15" s="7">
        <v>38</v>
      </c>
      <c r="H15" s="7">
        <v>40</v>
      </c>
      <c r="I15" s="8" t="str">
        <f t="shared" si="0"/>
        <v>M0111-C-15-1</v>
      </c>
      <c r="J15" s="14" t="str">
        <f t="shared" si="1"/>
        <v>501-M0111-C-15-1,38-40</v>
      </c>
      <c r="K15" s="8">
        <f>VLOOKUP(I15, 'Depth vlookup'!$G$2:$I$997,2,FALSE)+(G15/100)</f>
        <v>162.74</v>
      </c>
      <c r="L15" s="9">
        <f t="shared" si="2"/>
        <v>162.76000000000002</v>
      </c>
      <c r="M15" s="7">
        <v>187</v>
      </c>
      <c r="N15" s="11">
        <f>VLOOKUP(M15,  Beakers!$A$2:$B$151, 2, 0)</f>
        <v>9.7688000000000006</v>
      </c>
      <c r="O15" s="7">
        <v>18.113199999999999</v>
      </c>
      <c r="P15" s="12">
        <v>46046.520138888889</v>
      </c>
      <c r="Q15" s="7">
        <v>16.316700000000001</v>
      </c>
      <c r="R15" s="8" t="s">
        <v>66</v>
      </c>
      <c r="S15" s="8">
        <v>1</v>
      </c>
      <c r="T15" s="7">
        <v>6.8310000000000004</v>
      </c>
      <c r="V15" s="15">
        <f t="shared" si="3"/>
        <v>8.3443999999999985</v>
      </c>
      <c r="W15" s="15">
        <f t="shared" si="18"/>
        <v>6.5479000000000003</v>
      </c>
      <c r="X15" s="15">
        <f t="shared" si="5"/>
        <v>1.861658031088081</v>
      </c>
      <c r="Y15" s="15">
        <f t="shared" si="6"/>
        <v>6.5158031088082824E-2</v>
      </c>
      <c r="Z15" s="15">
        <f t="shared" si="7"/>
        <v>6.4827419689119177</v>
      </c>
      <c r="AA15" s="15">
        <f t="shared" si="8"/>
        <v>1.8180254209844542</v>
      </c>
      <c r="AB15" s="15">
        <f t="shared" si="9"/>
        <v>2.9350464454091358E-2</v>
      </c>
      <c r="AC15" s="15">
        <f>T15-VLOOKUP(M15, Beakers!$A$2:$C$151, 3, 0)</f>
        <v>2.4503721973094175</v>
      </c>
      <c r="AD15" s="15">
        <f t="shared" si="10"/>
        <v>4.2390471538397803</v>
      </c>
      <c r="AE15" s="15">
        <f t="shared" si="11"/>
        <v>2.4210217328553263</v>
      </c>
      <c r="AF15" s="15">
        <f t="shared" si="12"/>
        <v>0.22310268336705832</v>
      </c>
      <c r="AG15" s="15">
        <f t="shared" si="13"/>
        <v>0.2871713913673703</v>
      </c>
      <c r="AH15" s="15">
        <f t="shared" si="19"/>
        <v>1.9684612360212932</v>
      </c>
      <c r="AI15" s="15">
        <f t="shared" si="14"/>
        <v>1.5292922521609065</v>
      </c>
      <c r="AJ15" s="15">
        <f t="shared" si="15"/>
        <v>2.6776884655497262</v>
      </c>
      <c r="AK15" s="15">
        <f t="shared" si="16"/>
        <v>0.42887596080115897</v>
      </c>
      <c r="AL15" s="15">
        <f t="shared" si="17"/>
        <v>0.75093312724636097</v>
      </c>
      <c r="AM15" s="14" t="s">
        <v>55</v>
      </c>
    </row>
    <row r="16" spans="1:39" x14ac:dyDescent="0.3">
      <c r="A16" s="16">
        <v>501</v>
      </c>
      <c r="B16" s="7" t="s">
        <v>45</v>
      </c>
      <c r="C16" s="7" t="s">
        <v>37</v>
      </c>
      <c r="D16" s="7">
        <v>17</v>
      </c>
      <c r="E16" s="7" t="s">
        <v>34</v>
      </c>
      <c r="F16" s="7">
        <v>1</v>
      </c>
      <c r="G16" s="7">
        <v>8</v>
      </c>
      <c r="H16" s="7">
        <v>10</v>
      </c>
      <c r="I16" s="8" t="str">
        <f t="shared" si="0"/>
        <v>M0111-C-17-1</v>
      </c>
      <c r="J16" s="14" t="str">
        <f t="shared" si="1"/>
        <v>501-M0111-C-17-1,8-10</v>
      </c>
      <c r="K16" s="8">
        <f>VLOOKUP(I16, 'Depth vlookup'!$G$2:$I$997,2,FALSE)+(G16/100)</f>
        <v>166.44000000000003</v>
      </c>
      <c r="L16" s="9">
        <f t="shared" si="2"/>
        <v>166.46000000000004</v>
      </c>
      <c r="M16" s="7">
        <v>188</v>
      </c>
      <c r="N16" s="11">
        <f>VLOOKUP(M16,  Beakers!$A$2:$B$151, 2, 0)</f>
        <v>9.8792000000000009</v>
      </c>
      <c r="O16" s="7">
        <v>17.110900000000001</v>
      </c>
      <c r="P16" s="12">
        <v>46046.520138888889</v>
      </c>
      <c r="Q16" s="7">
        <v>15.303900000000001</v>
      </c>
      <c r="R16" s="8" t="s">
        <v>66</v>
      </c>
      <c r="S16" s="8">
        <v>2</v>
      </c>
      <c r="T16" s="7">
        <v>6.4189999999999996</v>
      </c>
      <c r="V16" s="15">
        <f t="shared" si="3"/>
        <v>7.2317</v>
      </c>
      <c r="W16" s="15">
        <f t="shared" si="18"/>
        <v>5.4246999999999996</v>
      </c>
      <c r="X16" s="15">
        <f t="shared" si="5"/>
        <v>1.8725388601036275</v>
      </c>
      <c r="Y16" s="15">
        <f t="shared" si="6"/>
        <v>6.5538860103627083E-2</v>
      </c>
      <c r="Z16" s="15">
        <f t="shared" si="7"/>
        <v>5.3591611398963721</v>
      </c>
      <c r="AA16" s="15">
        <f t="shared" si="8"/>
        <v>1.8286512305699487</v>
      </c>
      <c r="AB16" s="15">
        <f t="shared" si="9"/>
        <v>2.9522009055687873E-2</v>
      </c>
      <c r="AC16" s="15">
        <f>T16-VLOOKUP(M16, Beakers!$A$2:$C$151, 3, 0)</f>
        <v>1.9888654708520175</v>
      </c>
      <c r="AD16" s="15">
        <f t="shared" si="10"/>
        <v>3.7879946923662784</v>
      </c>
      <c r="AE16" s="15">
        <f t="shared" si="11"/>
        <v>1.9593434617963297</v>
      </c>
      <c r="AF16" s="15">
        <f t="shared" si="12"/>
        <v>0.25893480925696966</v>
      </c>
      <c r="AG16" s="15">
        <f t="shared" si="13"/>
        <v>0.34940894875570694</v>
      </c>
      <c r="AH16" s="15">
        <f t="shared" si="19"/>
        <v>1.9091103835424101</v>
      </c>
      <c r="AI16" s="15">
        <f t="shared" si="14"/>
        <v>1.414775250529356</v>
      </c>
      <c r="AJ16" s="15">
        <f t="shared" si="15"/>
        <v>2.7351820874646875</v>
      </c>
      <c r="AK16" s="15">
        <f t="shared" si="16"/>
        <v>0.48274915333306073</v>
      </c>
      <c r="AL16" s="15">
        <f t="shared" si="17"/>
        <v>0.93329794710593406</v>
      </c>
      <c r="AM16" s="14" t="s">
        <v>55</v>
      </c>
    </row>
    <row r="17" spans="1:40" x14ac:dyDescent="0.3">
      <c r="A17" s="16">
        <v>501</v>
      </c>
      <c r="B17" s="7" t="s">
        <v>45</v>
      </c>
      <c r="C17" s="7" t="s">
        <v>37</v>
      </c>
      <c r="D17" s="7">
        <v>18</v>
      </c>
      <c r="E17" s="7" t="s">
        <v>34</v>
      </c>
      <c r="F17" s="7">
        <v>1</v>
      </c>
      <c r="G17" s="7">
        <v>38</v>
      </c>
      <c r="H17" s="7">
        <v>40</v>
      </c>
      <c r="I17" s="8" t="str">
        <f t="shared" si="0"/>
        <v>M0111-C-18-1</v>
      </c>
      <c r="J17" s="14" t="str">
        <f t="shared" si="1"/>
        <v>501-M0111-C-18-1,38-40</v>
      </c>
      <c r="K17" s="8">
        <f>VLOOKUP(I17, 'Depth vlookup'!$G$2:$I$997,2,FALSE)+(G17/100)</f>
        <v>168.74</v>
      </c>
      <c r="L17" s="9">
        <f t="shared" si="2"/>
        <v>168.76000000000002</v>
      </c>
      <c r="M17" s="7">
        <v>189</v>
      </c>
      <c r="N17" s="11">
        <f>VLOOKUP(M17,  Beakers!$A$2:$B$151, 2, 0)</f>
        <v>9.7583000000000002</v>
      </c>
      <c r="O17" s="7">
        <v>18.1557</v>
      </c>
      <c r="P17" s="12">
        <v>46046.520138888889</v>
      </c>
      <c r="Q17" s="7">
        <v>16.161100000000001</v>
      </c>
      <c r="R17" s="8" t="s">
        <v>66</v>
      </c>
      <c r="S17" s="8">
        <v>3</v>
      </c>
      <c r="T17" s="7">
        <v>6.7885999999999997</v>
      </c>
      <c r="V17" s="15">
        <f t="shared" si="3"/>
        <v>8.3973999999999993</v>
      </c>
      <c r="W17" s="15">
        <f t="shared" si="18"/>
        <v>6.4028000000000009</v>
      </c>
      <c r="X17" s="15">
        <f t="shared" si="5"/>
        <v>2.0669430051813453</v>
      </c>
      <c r="Y17" s="15">
        <f t="shared" si="6"/>
        <v>7.2343005181346953E-2</v>
      </c>
      <c r="Z17" s="15">
        <f t="shared" si="7"/>
        <v>6.330456994818654</v>
      </c>
      <c r="AA17" s="15">
        <f t="shared" si="8"/>
        <v>2.0184990284974074</v>
      </c>
      <c r="AB17" s="15">
        <f t="shared" si="9"/>
        <v>3.2586939270877004E-2</v>
      </c>
      <c r="AC17" s="15">
        <f>T17-VLOOKUP(M17, Beakers!$A$2:$C$151, 3, 0)</f>
        <v>2.4126807174887892</v>
      </c>
      <c r="AD17" s="15">
        <f t="shared" si="10"/>
        <v>4.3985928067153193</v>
      </c>
      <c r="AE17" s="15">
        <f t="shared" si="11"/>
        <v>2.3800937782179123</v>
      </c>
      <c r="AF17" s="15">
        <f t="shared" si="12"/>
        <v>0.2461408299213263</v>
      </c>
      <c r="AG17" s="15">
        <f t="shared" si="13"/>
        <v>0.32650770819122454</v>
      </c>
      <c r="AH17" s="15">
        <f t="shared" si="19"/>
        <v>1.9091105653562004</v>
      </c>
      <c r="AI17" s="15">
        <f t="shared" si="14"/>
        <v>1.4392005063878528</v>
      </c>
      <c r="AJ17" s="15">
        <f t="shared" si="15"/>
        <v>2.6597510790346099</v>
      </c>
      <c r="AK17" s="15">
        <f t="shared" si="16"/>
        <v>0.45889654196127694</v>
      </c>
      <c r="AL17" s="15">
        <f t="shared" si="17"/>
        <v>0.84807541911594431</v>
      </c>
      <c r="AM17" s="14" t="s">
        <v>55</v>
      </c>
    </row>
    <row r="18" spans="1:40" x14ac:dyDescent="0.3">
      <c r="A18" s="16">
        <v>501</v>
      </c>
      <c r="B18" s="7" t="s">
        <v>45</v>
      </c>
      <c r="C18" s="7" t="s">
        <v>37</v>
      </c>
      <c r="D18" s="7">
        <v>20</v>
      </c>
      <c r="E18" s="7" t="s">
        <v>34</v>
      </c>
      <c r="F18" s="7">
        <v>1</v>
      </c>
      <c r="G18" s="7">
        <v>65.5</v>
      </c>
      <c r="H18" s="7">
        <v>67.5</v>
      </c>
      <c r="I18" s="8" t="str">
        <f t="shared" si="0"/>
        <v>M0111-C-20-1</v>
      </c>
      <c r="J18" s="14" t="str">
        <f t="shared" si="1"/>
        <v>501-M0111-C-20-1,65.5-67.5</v>
      </c>
      <c r="K18" s="8">
        <f>VLOOKUP(I18, 'Depth vlookup'!$G$2:$I$997,2,FALSE)+(G18/100)</f>
        <v>172.01500000000001</v>
      </c>
      <c r="L18" s="9">
        <f t="shared" si="2"/>
        <v>172.03500000000003</v>
      </c>
      <c r="M18" s="7">
        <v>190</v>
      </c>
      <c r="N18" s="11">
        <f>VLOOKUP(M18,  Beakers!$A$2:$B$151, 2, 0)</f>
        <v>9.7570999999999994</v>
      </c>
      <c r="O18" s="7">
        <v>20.400700000000001</v>
      </c>
      <c r="P18" s="12">
        <v>46046.637499999997</v>
      </c>
      <c r="Q18" s="7">
        <v>17.761299999999999</v>
      </c>
      <c r="R18" s="8" t="s">
        <v>66</v>
      </c>
      <c r="S18" s="8">
        <v>2</v>
      </c>
      <c r="T18" s="7">
        <v>7.3669000000000002</v>
      </c>
      <c r="V18" s="15">
        <f t="shared" si="3"/>
        <v>10.643600000000001</v>
      </c>
      <c r="W18" s="15">
        <f t="shared" si="18"/>
        <v>8.0041999999999991</v>
      </c>
      <c r="X18" s="15">
        <f t="shared" si="5"/>
        <v>2.7351295336787587</v>
      </c>
      <c r="Y18" s="15">
        <f t="shared" si="6"/>
        <v>9.5729533678756695E-2</v>
      </c>
      <c r="Z18" s="15">
        <f t="shared" si="7"/>
        <v>7.9084704663212424</v>
      </c>
      <c r="AA18" s="15">
        <f t="shared" si="8"/>
        <v>2.6710249352331625</v>
      </c>
      <c r="AB18" s="15">
        <f t="shared" si="9"/>
        <v>4.3121411567007516E-2</v>
      </c>
      <c r="AC18" s="15">
        <f>T18-VLOOKUP(M18, Beakers!$A$2:$C$151, 3, 0)</f>
        <v>2.9915188340807175</v>
      </c>
      <c r="AD18" s="15">
        <f t="shared" si="10"/>
        <v>5.6194223577468723</v>
      </c>
      <c r="AE18" s="15">
        <f t="shared" si="11"/>
        <v>2.9483974225137102</v>
      </c>
      <c r="AF18" s="15">
        <f t="shared" si="12"/>
        <v>0.25697410027422662</v>
      </c>
      <c r="AG18" s="15">
        <f t="shared" si="13"/>
        <v>0.34584810619531214</v>
      </c>
      <c r="AH18" s="15">
        <f t="shared" si="19"/>
        <v>1.8940736827383786</v>
      </c>
      <c r="AI18" s="15">
        <f t="shared" si="14"/>
        <v>1.4073458022635927</v>
      </c>
      <c r="AJ18" s="15">
        <f t="shared" si="15"/>
        <v>2.6822945936435976</v>
      </c>
      <c r="AK18" s="15">
        <f t="shared" si="16"/>
        <v>0.47532019577615797</v>
      </c>
      <c r="AL18" s="15">
        <f t="shared" si="17"/>
        <v>0.9059243217476195</v>
      </c>
      <c r="AM18" s="14" t="s">
        <v>87</v>
      </c>
    </row>
    <row r="19" spans="1:40" x14ac:dyDescent="0.3">
      <c r="A19" s="16">
        <v>501</v>
      </c>
      <c r="B19" s="7" t="s">
        <v>45</v>
      </c>
      <c r="C19" s="7" t="s">
        <v>37</v>
      </c>
      <c r="D19" s="7">
        <v>21</v>
      </c>
      <c r="E19" s="7" t="s">
        <v>34</v>
      </c>
      <c r="F19" s="7">
        <v>1</v>
      </c>
      <c r="G19" s="7">
        <v>34</v>
      </c>
      <c r="H19" s="7">
        <v>36</v>
      </c>
      <c r="I19" s="8" t="str">
        <f t="shared" si="0"/>
        <v>M0111-C-21-1</v>
      </c>
      <c r="J19" s="14" t="str">
        <f t="shared" si="1"/>
        <v>501-M0111-C-21-1,34-36</v>
      </c>
      <c r="K19" s="8">
        <f>VLOOKUP(I19, 'Depth vlookup'!$G$2:$I$997,2,FALSE)+(G19/100)</f>
        <v>177.70000000000002</v>
      </c>
      <c r="L19" s="9">
        <f t="shared" si="2"/>
        <v>177.72000000000003</v>
      </c>
      <c r="M19" s="7">
        <v>280</v>
      </c>
      <c r="N19" s="11">
        <f>VLOOKUP(M19,  Beakers!$A$2:$B$151, 2, 0)</f>
        <v>10.0747</v>
      </c>
      <c r="O19" s="7">
        <v>20.154299999999999</v>
      </c>
      <c r="P19" s="12">
        <v>46046.637499999997</v>
      </c>
      <c r="Q19" s="7">
        <v>17.459900000000001</v>
      </c>
      <c r="R19" s="8" t="s">
        <v>66</v>
      </c>
      <c r="S19" s="8">
        <v>3</v>
      </c>
      <c r="T19" s="7">
        <v>7.3956</v>
      </c>
      <c r="V19" s="15">
        <f t="shared" si="3"/>
        <v>10.079599999999999</v>
      </c>
      <c r="W19" s="15">
        <f t="shared" si="18"/>
        <v>7.3852000000000011</v>
      </c>
      <c r="X19" s="15">
        <f t="shared" si="5"/>
        <v>2.7921243523316042</v>
      </c>
      <c r="Y19" s="15">
        <f t="shared" si="6"/>
        <v>9.7724352331606035E-2</v>
      </c>
      <c r="Z19" s="15">
        <f t="shared" si="7"/>
        <v>7.2874756476683951</v>
      </c>
      <c r="AA19" s="15">
        <f t="shared" si="8"/>
        <v>2.7266839378238323</v>
      </c>
      <c r="AB19" s="15">
        <f t="shared" si="9"/>
        <v>4.4019978527750463E-2</v>
      </c>
      <c r="AC19" s="15">
        <f>T19-VLOOKUP(M19, Beakers!$A$2:$C$151, 3, 0)</f>
        <v>2.8777973094170406</v>
      </c>
      <c r="AD19" s="15">
        <f t="shared" si="10"/>
        <v>5.560461268713123</v>
      </c>
      <c r="AE19" s="15">
        <f t="shared" si="11"/>
        <v>2.8337773308892902</v>
      </c>
      <c r="AF19" s="15">
        <f t="shared" si="12"/>
        <v>0.27700745588432124</v>
      </c>
      <c r="AG19" s="15">
        <f t="shared" si="13"/>
        <v>0.38314012798450114</v>
      </c>
      <c r="AH19" s="15">
        <f t="shared" si="19"/>
        <v>1.8127273103608466</v>
      </c>
      <c r="AI19" s="15">
        <f t="shared" si="14"/>
        <v>1.3105883299057599</v>
      </c>
      <c r="AJ19" s="15">
        <f t="shared" si="15"/>
        <v>2.5716472385575386</v>
      </c>
      <c r="AK19" s="15">
        <f t="shared" si="16"/>
        <v>0.49037009810067039</v>
      </c>
      <c r="AL19" s="15">
        <f t="shared" si="17"/>
        <v>0.96220825401555099</v>
      </c>
      <c r="AM19" s="14" t="s">
        <v>87</v>
      </c>
    </row>
    <row r="20" spans="1:40" x14ac:dyDescent="0.3">
      <c r="A20" s="16">
        <v>501</v>
      </c>
      <c r="B20" s="7" t="s">
        <v>45</v>
      </c>
      <c r="C20" s="7" t="s">
        <v>37</v>
      </c>
      <c r="D20" s="7">
        <v>21</v>
      </c>
      <c r="E20" s="7" t="s">
        <v>34</v>
      </c>
      <c r="F20" s="7">
        <v>2</v>
      </c>
      <c r="G20" s="7">
        <v>146</v>
      </c>
      <c r="H20" s="7">
        <v>148</v>
      </c>
      <c r="I20" s="8" t="str">
        <f t="shared" si="0"/>
        <v>M0111-C-21-2</v>
      </c>
      <c r="J20" s="14" t="str">
        <f t="shared" si="1"/>
        <v>501-M0111-C-21-2,146-148</v>
      </c>
      <c r="K20" s="8">
        <f>VLOOKUP(I20, 'Depth vlookup'!$G$2:$I$997,2,FALSE)+(G20/100)</f>
        <v>180.34</v>
      </c>
      <c r="L20" s="9">
        <f t="shared" si="2"/>
        <v>180.36</v>
      </c>
      <c r="M20" s="7">
        <v>281</v>
      </c>
      <c r="N20" s="11">
        <f>VLOOKUP(M20,  Beakers!$A$2:$B$151, 2, 0)</f>
        <v>9.8646999999999991</v>
      </c>
      <c r="O20" s="7">
        <v>18.438099999999999</v>
      </c>
      <c r="P20" s="12">
        <v>46046.637499999997</v>
      </c>
      <c r="Q20" s="7">
        <v>15.8843</v>
      </c>
      <c r="R20" s="8" t="s">
        <v>66</v>
      </c>
      <c r="S20" s="8">
        <v>5</v>
      </c>
      <c r="T20" s="7">
        <v>6.7804000000000002</v>
      </c>
      <c r="V20" s="15">
        <f t="shared" si="3"/>
        <v>8.5733999999999995</v>
      </c>
      <c r="W20" s="15">
        <f t="shared" si="18"/>
        <v>6.0196000000000005</v>
      </c>
      <c r="X20" s="15">
        <f t="shared" si="5"/>
        <v>2.6464248704663205</v>
      </c>
      <c r="Y20" s="15">
        <f t="shared" si="6"/>
        <v>9.2624870466321507E-2</v>
      </c>
      <c r="Z20" s="15">
        <f t="shared" si="7"/>
        <v>5.9269751295336786</v>
      </c>
      <c r="AA20" s="15">
        <f t="shared" si="8"/>
        <v>2.5843992875647661</v>
      </c>
      <c r="AB20" s="15">
        <f t="shared" si="9"/>
        <v>4.1722914624469143E-2</v>
      </c>
      <c r="AC20" s="15">
        <f>T20-VLOOKUP(M20, Beakers!$A$2:$C$151, 3, 0)</f>
        <v>2.3567677130044853</v>
      </c>
      <c r="AD20" s="15">
        <f t="shared" si="10"/>
        <v>4.8994440859447828</v>
      </c>
      <c r="AE20" s="15">
        <f t="shared" si="11"/>
        <v>2.3150447983800162</v>
      </c>
      <c r="AF20" s="15">
        <f t="shared" si="12"/>
        <v>0.30867857214947636</v>
      </c>
      <c r="AG20" s="15">
        <f t="shared" si="13"/>
        <v>0.44650514176774275</v>
      </c>
      <c r="AH20" s="15">
        <f t="shared" si="19"/>
        <v>1.7498719955994253</v>
      </c>
      <c r="AI20" s="15">
        <f t="shared" si="14"/>
        <v>1.2097240065534398</v>
      </c>
      <c r="AJ20" s="15">
        <f t="shared" si="15"/>
        <v>2.5601988927735477</v>
      </c>
      <c r="AK20" s="15">
        <f t="shared" si="16"/>
        <v>0.52748827055272007</v>
      </c>
      <c r="AL20" s="15">
        <f t="shared" si="17"/>
        <v>1.1163495796596397</v>
      </c>
      <c r="AM20" s="14" t="s">
        <v>87</v>
      </c>
    </row>
    <row r="21" spans="1:40" x14ac:dyDescent="0.3">
      <c r="A21" s="16">
        <v>501</v>
      </c>
      <c r="B21" s="7" t="s">
        <v>45</v>
      </c>
      <c r="C21" s="7" t="s">
        <v>37</v>
      </c>
      <c r="D21" s="7">
        <v>22</v>
      </c>
      <c r="E21" s="7" t="s">
        <v>34</v>
      </c>
      <c r="F21" s="7">
        <v>1</v>
      </c>
      <c r="G21" s="7">
        <v>12.5</v>
      </c>
      <c r="H21" s="7">
        <v>191</v>
      </c>
      <c r="I21" s="8" t="str">
        <f t="shared" si="0"/>
        <v>M0111-C-22-1</v>
      </c>
      <c r="J21" s="14" t="str">
        <f t="shared" si="1"/>
        <v>501-M0111-C-22-1,12.5-191</v>
      </c>
      <c r="K21" s="8">
        <f>VLOOKUP(I21, 'Depth vlookup'!$G$2:$I$997,2,FALSE)+(G21/100)</f>
        <v>185.125</v>
      </c>
      <c r="L21" s="9">
        <f t="shared" si="2"/>
        <v>185.14500000000001</v>
      </c>
      <c r="M21" s="7">
        <v>191</v>
      </c>
      <c r="N21" s="11">
        <f>VLOOKUP(M21,  Beakers!$A$2:$B$151, 2, 0)</f>
        <v>9.5350000000000001</v>
      </c>
      <c r="O21" s="7">
        <v>20.405999999999999</v>
      </c>
      <c r="P21" s="12">
        <v>46046.689583333333</v>
      </c>
      <c r="Q21" s="7">
        <v>17.599</v>
      </c>
      <c r="R21" s="8" t="s">
        <v>63</v>
      </c>
      <c r="S21" s="8">
        <v>3</v>
      </c>
      <c r="T21" s="7">
        <v>7.4359999999999999</v>
      </c>
      <c r="V21" s="15">
        <f t="shared" si="3"/>
        <v>10.870999999999999</v>
      </c>
      <c r="W21" s="15">
        <f t="shared" si="18"/>
        <v>8.0640000000000001</v>
      </c>
      <c r="X21" s="15">
        <f t="shared" si="5"/>
        <v>2.9088082901554388</v>
      </c>
      <c r="Y21" s="15">
        <f t="shared" si="6"/>
        <v>0.10180829015544024</v>
      </c>
      <c r="Z21" s="15">
        <f t="shared" si="7"/>
        <v>7.9621917098445598</v>
      </c>
      <c r="AA21" s="15">
        <f t="shared" si="8"/>
        <v>2.8406330958549209</v>
      </c>
      <c r="AB21" s="15">
        <f t="shared" si="9"/>
        <v>4.585959016010821E-2</v>
      </c>
      <c r="AC21" s="15">
        <f>T21-VLOOKUP(M21, Beakers!$A$2:$C$151, 3, 0)</f>
        <v>3.1602152466367714</v>
      </c>
      <c r="AD21" s="15">
        <f t="shared" si="10"/>
        <v>5.9549887523315839</v>
      </c>
      <c r="AE21" s="15">
        <f t="shared" si="11"/>
        <v>3.114355656476663</v>
      </c>
      <c r="AF21" s="15">
        <f t="shared" si="12"/>
        <v>0.2675750427886523</v>
      </c>
      <c r="AG21" s="15">
        <f t="shared" si="13"/>
        <v>0.36532758769911927</v>
      </c>
      <c r="AH21" s="15">
        <f t="shared" si="19"/>
        <v>1.8255282171177278</v>
      </c>
      <c r="AI21" s="15">
        <f t="shared" si="14"/>
        <v>1.3370624263105597</v>
      </c>
      <c r="AJ21" s="15">
        <f t="shared" si="15"/>
        <v>2.5566096451721116</v>
      </c>
      <c r="AK21" s="15">
        <f t="shared" si="16"/>
        <v>0.47701737383512521</v>
      </c>
      <c r="AL21" s="15">
        <f t="shared" si="17"/>
        <v>0.91210940855373901</v>
      </c>
      <c r="AM21" s="14" t="s">
        <v>87</v>
      </c>
    </row>
    <row r="22" spans="1:40" x14ac:dyDescent="0.3">
      <c r="A22" s="16">
        <v>501</v>
      </c>
      <c r="B22" s="7" t="s">
        <v>45</v>
      </c>
      <c r="C22" s="7" t="s">
        <v>37</v>
      </c>
      <c r="D22" s="7">
        <v>23</v>
      </c>
      <c r="E22" s="7" t="s">
        <v>34</v>
      </c>
      <c r="F22" s="7">
        <v>1</v>
      </c>
      <c r="G22" s="7">
        <v>41.5</v>
      </c>
      <c r="H22" s="7">
        <v>151</v>
      </c>
      <c r="I22" s="8" t="str">
        <f t="shared" si="0"/>
        <v>M0111-C-23-1</v>
      </c>
      <c r="J22" s="14" t="str">
        <f t="shared" si="1"/>
        <v>501-M0111-C-23-1,41.5-151</v>
      </c>
      <c r="K22" s="8">
        <f>VLOOKUP(I22, 'Depth vlookup'!$G$2:$I$997,2,FALSE)+(G22/100)</f>
        <v>186.77500000000001</v>
      </c>
      <c r="L22" s="9">
        <f t="shared" si="2"/>
        <v>186.79500000000002</v>
      </c>
      <c r="M22" s="7">
        <v>151</v>
      </c>
      <c r="N22" s="11">
        <f>VLOOKUP(M22,  Beakers!$A$2:$B$151, 2, 0)</f>
        <v>9.7263999999999999</v>
      </c>
      <c r="O22" s="7">
        <v>20.197199999999999</v>
      </c>
      <c r="P22" s="12">
        <v>46046.689583333333</v>
      </c>
      <c r="Q22" s="7">
        <v>17.3246</v>
      </c>
      <c r="R22" s="8" t="s">
        <v>63</v>
      </c>
      <c r="S22" s="8">
        <v>5</v>
      </c>
      <c r="T22" s="7">
        <v>7.3859000000000004</v>
      </c>
      <c r="V22" s="15">
        <f t="shared" si="3"/>
        <v>10.470799999999999</v>
      </c>
      <c r="W22" s="15">
        <f t="shared" si="18"/>
        <v>7.5982000000000003</v>
      </c>
      <c r="X22" s="15">
        <f t="shared" si="5"/>
        <v>2.976787564766838</v>
      </c>
      <c r="Y22" s="15">
        <f t="shared" si="6"/>
        <v>0.10418756476683955</v>
      </c>
      <c r="Z22" s="15">
        <f t="shared" si="7"/>
        <v>7.4940124352331612</v>
      </c>
      <c r="AA22" s="15">
        <f t="shared" si="8"/>
        <v>2.9070191062176152</v>
      </c>
      <c r="AB22" s="15">
        <f t="shared" si="9"/>
        <v>4.6931335480558348E-2</v>
      </c>
      <c r="AC22" s="15">
        <f>T22-VLOOKUP(M22, Beakers!$A$2:$C$151, 3, 0)</f>
        <v>3.0242856502242157</v>
      </c>
      <c r="AD22" s="15">
        <f t="shared" si="10"/>
        <v>5.884373420961273</v>
      </c>
      <c r="AE22" s="15">
        <f t="shared" si="11"/>
        <v>2.9773543147436574</v>
      </c>
      <c r="AF22" s="15">
        <f t="shared" si="12"/>
        <v>0.28429418619082003</v>
      </c>
      <c r="AG22" s="15">
        <f t="shared" si="13"/>
        <v>0.39722212773112664</v>
      </c>
      <c r="AH22" s="15">
        <f t="shared" si="19"/>
        <v>1.7794248003875808</v>
      </c>
      <c r="AI22" s="15">
        <f t="shared" si="14"/>
        <v>1.2735446748736312</v>
      </c>
      <c r="AJ22" s="15">
        <f t="shared" si="15"/>
        <v>2.5170039044810077</v>
      </c>
      <c r="AK22" s="15">
        <f t="shared" si="16"/>
        <v>0.49402356007221643</v>
      </c>
      <c r="AL22" s="15">
        <f t="shared" si="17"/>
        <v>0.97637660785693292</v>
      </c>
      <c r="AM22" s="14" t="s">
        <v>87</v>
      </c>
    </row>
    <row r="23" spans="1:40" x14ac:dyDescent="0.3">
      <c r="A23" s="16">
        <v>501</v>
      </c>
      <c r="B23" s="7" t="s">
        <v>45</v>
      </c>
      <c r="C23" s="7" t="s">
        <v>37</v>
      </c>
      <c r="D23" s="7">
        <v>24</v>
      </c>
      <c r="E23" s="7" t="s">
        <v>34</v>
      </c>
      <c r="F23" s="7">
        <v>2</v>
      </c>
      <c r="G23" s="7">
        <v>38</v>
      </c>
      <c r="H23" s="7">
        <v>210</v>
      </c>
      <c r="I23" s="8" t="str">
        <f t="shared" si="0"/>
        <v>M0111-C-24-2</v>
      </c>
      <c r="J23" s="14" t="str">
        <f t="shared" si="1"/>
        <v>501-M0111-C-24-2,38-210</v>
      </c>
      <c r="K23" s="8">
        <f>VLOOKUP(I23, 'Depth vlookup'!$G$2:$I$997,2,FALSE)+(G23/100)</f>
        <v>191.24</v>
      </c>
      <c r="L23" s="9">
        <f t="shared" si="2"/>
        <v>191.26000000000002</v>
      </c>
      <c r="M23" s="7">
        <v>210</v>
      </c>
      <c r="N23" s="11">
        <f>VLOOKUP(M23,  Beakers!$A$2:$B$151, 2, 0)</f>
        <v>9.7520000000000007</v>
      </c>
      <c r="O23" s="7">
        <v>19.132200000000001</v>
      </c>
      <c r="P23" s="12">
        <v>46046.689583333333</v>
      </c>
      <c r="Q23" s="7">
        <v>16.7624</v>
      </c>
      <c r="R23" s="8" t="s">
        <v>63</v>
      </c>
      <c r="S23" s="8">
        <v>1</v>
      </c>
      <c r="T23" s="7">
        <v>7.0674000000000001</v>
      </c>
      <c r="V23" s="15">
        <f t="shared" si="3"/>
        <v>9.3802000000000003</v>
      </c>
      <c r="W23" s="15">
        <f t="shared" si="18"/>
        <v>7.0103999999999989</v>
      </c>
      <c r="X23" s="15">
        <f t="shared" si="5"/>
        <v>2.455751295336789</v>
      </c>
      <c r="Y23" s="15">
        <f t="shared" si="6"/>
        <v>8.5951295336787581E-2</v>
      </c>
      <c r="Z23" s="15">
        <f t="shared" si="7"/>
        <v>6.9244487046632113</v>
      </c>
      <c r="AA23" s="15">
        <f t="shared" si="8"/>
        <v>2.3981946243523331</v>
      </c>
      <c r="AB23" s="15">
        <f t="shared" si="9"/>
        <v>3.8716799701255661E-2</v>
      </c>
      <c r="AC23" s="15">
        <f>T23-VLOOKUP(M23, Beakers!$A$2:$C$151, 3, 0)</f>
        <v>2.694305829596412</v>
      </c>
      <c r="AD23" s="15">
        <f t="shared" si="10"/>
        <v>5.0537836542474892</v>
      </c>
      <c r="AE23" s="15">
        <f t="shared" si="11"/>
        <v>2.6555890298951561</v>
      </c>
      <c r="AF23" s="15">
        <f t="shared" si="12"/>
        <v>0.26180159221943977</v>
      </c>
      <c r="AG23" s="15">
        <f t="shared" si="13"/>
        <v>0.35464935911547502</v>
      </c>
      <c r="AH23" s="15">
        <f t="shared" si="19"/>
        <v>1.8560747039728032</v>
      </c>
      <c r="AI23" s="15">
        <f t="shared" si="14"/>
        <v>1.370151391194498</v>
      </c>
      <c r="AJ23" s="15">
        <f t="shared" si="15"/>
        <v>2.6075001164380436</v>
      </c>
      <c r="AK23" s="15">
        <f t="shared" si="16"/>
        <v>0.47453448513506369</v>
      </c>
      <c r="AL23" s="15">
        <f t="shared" si="17"/>
        <v>0.90307445819167842</v>
      </c>
      <c r="AM23" s="14" t="s">
        <v>55</v>
      </c>
    </row>
    <row r="24" spans="1:40" x14ac:dyDescent="0.3">
      <c r="A24" s="16">
        <v>501</v>
      </c>
      <c r="B24" s="7" t="s">
        <v>45</v>
      </c>
      <c r="C24" s="7" t="s">
        <v>37</v>
      </c>
      <c r="D24" s="7">
        <v>25</v>
      </c>
      <c r="E24" s="7" t="s">
        <v>34</v>
      </c>
      <c r="F24" s="7">
        <v>1</v>
      </c>
      <c r="G24" s="7">
        <v>38</v>
      </c>
      <c r="H24" s="7">
        <v>40</v>
      </c>
      <c r="I24" s="8" t="str">
        <f t="shared" si="0"/>
        <v>M0111-C-25-1</v>
      </c>
      <c r="J24" s="14" t="str">
        <f t="shared" si="1"/>
        <v>501-M0111-C-25-1,38-40</v>
      </c>
      <c r="K24" s="8">
        <f>VLOOKUP(I24, 'Depth vlookup'!$G$2:$I$997,2,FALSE)+(G24/100)</f>
        <v>192.74</v>
      </c>
      <c r="L24" s="9">
        <f t="shared" si="2"/>
        <v>192.76000000000002</v>
      </c>
      <c r="M24" s="7">
        <v>211</v>
      </c>
      <c r="N24" s="11">
        <f>VLOOKUP(M24,  Beakers!$A$2:$B$151, 2, 0)</f>
        <v>9.7985000000000007</v>
      </c>
      <c r="O24" s="7">
        <v>18.243200000000002</v>
      </c>
      <c r="P24" s="12">
        <v>46046.774305555555</v>
      </c>
      <c r="Q24" s="7">
        <v>15.9091</v>
      </c>
      <c r="R24" s="8" t="s">
        <v>63</v>
      </c>
      <c r="S24" s="8">
        <v>5</v>
      </c>
      <c r="T24" s="7">
        <v>6.7388000000000003</v>
      </c>
      <c r="V24" s="15">
        <f t="shared" si="3"/>
        <v>8.444700000000001</v>
      </c>
      <c r="W24" s="15">
        <f t="shared" si="18"/>
        <v>6.1105999999999998</v>
      </c>
      <c r="X24" s="15">
        <f t="shared" si="5"/>
        <v>2.4187564766839391</v>
      </c>
      <c r="Y24" s="15">
        <f t="shared" si="6"/>
        <v>8.4656476683937942E-2</v>
      </c>
      <c r="Z24" s="15">
        <f t="shared" si="7"/>
        <v>6.0259435233160623</v>
      </c>
      <c r="AA24" s="15">
        <f t="shared" si="8"/>
        <v>2.3620668717616593</v>
      </c>
      <c r="AB24" s="15">
        <f t="shared" si="9"/>
        <v>3.8133548055827901E-2</v>
      </c>
      <c r="AC24" s="15">
        <f>T24-VLOOKUP(M24, Beakers!$A$2:$C$151, 3, 0)</f>
        <v>2.3448538116591928</v>
      </c>
      <c r="AD24" s="15">
        <f t="shared" si="10"/>
        <v>4.6687871353650241</v>
      </c>
      <c r="AE24" s="15">
        <f t="shared" si="11"/>
        <v>2.3067202636033648</v>
      </c>
      <c r="AF24" s="15">
        <f t="shared" si="12"/>
        <v>0.28642301996328334</v>
      </c>
      <c r="AG24" s="15">
        <f t="shared" si="13"/>
        <v>0.40139049881982686</v>
      </c>
      <c r="AH24" s="15">
        <f t="shared" si="19"/>
        <v>1.8087566974371732</v>
      </c>
      <c r="AI24" s="15">
        <f t="shared" si="14"/>
        <v>1.2906871417784034</v>
      </c>
      <c r="AJ24" s="15">
        <f t="shared" si="15"/>
        <v>2.6123425620334384</v>
      </c>
      <c r="AK24" s="15">
        <f t="shared" si="16"/>
        <v>0.50592730044801748</v>
      </c>
      <c r="AL24" s="15">
        <f t="shared" si="17"/>
        <v>1.0239936367801428</v>
      </c>
      <c r="AM24" s="14" t="s">
        <v>55</v>
      </c>
    </row>
    <row r="25" spans="1:40" x14ac:dyDescent="0.3">
      <c r="A25" s="16">
        <v>501</v>
      </c>
      <c r="B25" s="7" t="s">
        <v>45</v>
      </c>
      <c r="C25" s="7" t="s">
        <v>37</v>
      </c>
      <c r="D25" s="7">
        <v>26</v>
      </c>
      <c r="E25" s="7" t="s">
        <v>34</v>
      </c>
      <c r="F25" s="7">
        <v>1</v>
      </c>
      <c r="G25" s="7">
        <v>30</v>
      </c>
      <c r="H25" s="7">
        <v>32</v>
      </c>
      <c r="I25" s="8" t="str">
        <f t="shared" si="0"/>
        <v>M0111-C-26-1</v>
      </c>
      <c r="J25" s="14" t="str">
        <f t="shared" si="1"/>
        <v>501-M0111-C-26-1,30-32</v>
      </c>
      <c r="K25" s="8">
        <f>VLOOKUP(I25, 'Depth vlookup'!$G$2:$I$997,2,FALSE)+(G25/100)</f>
        <v>195.66000000000003</v>
      </c>
      <c r="L25" s="9">
        <f t="shared" si="2"/>
        <v>195.68000000000004</v>
      </c>
      <c r="M25" s="7">
        <v>212</v>
      </c>
      <c r="N25" s="11">
        <f>VLOOKUP(M25,  Beakers!$A$2:$B$151, 2, 0)</f>
        <v>9.7664000000000009</v>
      </c>
      <c r="O25" s="7">
        <v>19.7087</v>
      </c>
      <c r="P25" s="12">
        <v>46046.774305555555</v>
      </c>
      <c r="Q25" s="7">
        <v>17.312200000000001</v>
      </c>
      <c r="R25" s="8" t="s">
        <v>63</v>
      </c>
      <c r="S25" s="8">
        <v>1</v>
      </c>
      <c r="T25" s="7">
        <v>7.2378999999999998</v>
      </c>
      <c r="V25" s="15">
        <f t="shared" si="3"/>
        <v>9.9422999999999995</v>
      </c>
      <c r="W25" s="15">
        <f t="shared" si="18"/>
        <v>7.5457999999999998</v>
      </c>
      <c r="X25" s="15">
        <f t="shared" si="5"/>
        <v>2.4834196891191707</v>
      </c>
      <c r="Y25" s="15">
        <f t="shared" si="6"/>
        <v>8.6919689119171029E-2</v>
      </c>
      <c r="Z25" s="15">
        <f t="shared" si="7"/>
        <v>7.4588803108808293</v>
      </c>
      <c r="AA25" s="15">
        <f t="shared" si="8"/>
        <v>2.4252145401554399</v>
      </c>
      <c r="AB25" s="15">
        <f t="shared" si="9"/>
        <v>3.9153013116743705E-2</v>
      </c>
      <c r="AC25" s="15">
        <f>T25-VLOOKUP(M25, Beakers!$A$2:$C$151, 3, 0)</f>
        <v>2.8583484304932725</v>
      </c>
      <c r="AD25" s="15">
        <f t="shared" si="10"/>
        <v>5.2444099575319685</v>
      </c>
      <c r="AE25" s="15">
        <f t="shared" si="11"/>
        <v>2.8191954173765286</v>
      </c>
      <c r="AF25" s="15">
        <f t="shared" si="12"/>
        <v>0.24978321808024007</v>
      </c>
      <c r="AG25" s="15">
        <f t="shared" si="13"/>
        <v>0.33294805461570681</v>
      </c>
      <c r="AH25" s="15">
        <f t="shared" si="19"/>
        <v>1.8957900088876478</v>
      </c>
      <c r="AI25" s="15">
        <f t="shared" si="14"/>
        <v>1.4222534796633244</v>
      </c>
      <c r="AJ25" s="15">
        <f t="shared" si="15"/>
        <v>2.645747884274682</v>
      </c>
      <c r="AK25" s="15">
        <f t="shared" si="16"/>
        <v>0.46243801682062846</v>
      </c>
      <c r="AL25" s="15">
        <f t="shared" si="17"/>
        <v>0.86025059675085691</v>
      </c>
      <c r="AM25" s="14" t="s">
        <v>55</v>
      </c>
    </row>
    <row r="26" spans="1:40" x14ac:dyDescent="0.3">
      <c r="A26" s="16">
        <v>501</v>
      </c>
      <c r="B26" s="7" t="s">
        <v>45</v>
      </c>
      <c r="C26" s="7" t="s">
        <v>37</v>
      </c>
      <c r="D26" s="7">
        <v>27</v>
      </c>
      <c r="E26" s="7" t="s">
        <v>34</v>
      </c>
      <c r="F26" s="7">
        <v>1</v>
      </c>
      <c r="G26" s="7">
        <v>38</v>
      </c>
      <c r="H26" s="7">
        <v>40</v>
      </c>
      <c r="I26" s="8" t="str">
        <f t="shared" si="0"/>
        <v>M0111-C-27-1</v>
      </c>
      <c r="J26" s="14" t="str">
        <f t="shared" si="1"/>
        <v>501-M0111-C-27-1,38-40</v>
      </c>
      <c r="K26" s="8">
        <f>VLOOKUP(I26, 'Depth vlookup'!$G$2:$I$997,2,FALSE)+(G26/100)</f>
        <v>198.74</v>
      </c>
      <c r="L26" s="9">
        <f t="shared" si="2"/>
        <v>198.76000000000002</v>
      </c>
      <c r="M26" s="7">
        <v>213</v>
      </c>
      <c r="N26" s="11">
        <f>VLOOKUP(M26,  Beakers!$A$2:$B$151, 2, 0)</f>
        <v>9.3755000000000006</v>
      </c>
      <c r="O26" s="7">
        <v>20.472799999999999</v>
      </c>
      <c r="P26" s="12">
        <v>46046.774305555555</v>
      </c>
      <c r="Q26" s="7">
        <v>18.152200000000001</v>
      </c>
      <c r="R26" s="8" t="s">
        <v>63</v>
      </c>
      <c r="S26" s="8">
        <v>2</v>
      </c>
      <c r="T26" s="7">
        <v>7.2359999999999998</v>
      </c>
      <c r="V26" s="15">
        <f t="shared" si="3"/>
        <v>11.097299999999999</v>
      </c>
      <c r="W26" s="15">
        <f t="shared" si="18"/>
        <v>8.7766999999999999</v>
      </c>
      <c r="X26" s="15">
        <f t="shared" si="5"/>
        <v>2.4047668393782371</v>
      </c>
      <c r="Y26" s="15">
        <f t="shared" si="6"/>
        <v>8.4166839378238212E-2</v>
      </c>
      <c r="Z26" s="15">
        <f t="shared" si="7"/>
        <v>8.6925331606217622</v>
      </c>
      <c r="AA26" s="15">
        <f t="shared" si="8"/>
        <v>2.3484051165803095</v>
      </c>
      <c r="AB26" s="15">
        <f t="shared" si="9"/>
        <v>3.791299071091811E-2</v>
      </c>
      <c r="AC26" s="15">
        <f>T26-VLOOKUP(M26, Beakers!$A$2:$C$151, 3, 0)</f>
        <v>3.0317399103139007</v>
      </c>
      <c r="AD26" s="15">
        <f t="shared" si="10"/>
        <v>5.342232036183292</v>
      </c>
      <c r="AE26" s="15">
        <f t="shared" si="11"/>
        <v>2.9938269196029825</v>
      </c>
      <c r="AF26" s="15">
        <f t="shared" si="12"/>
        <v>0.21669837161996497</v>
      </c>
      <c r="AG26" s="15">
        <f t="shared" si="13"/>
        <v>0.27664741622984251</v>
      </c>
      <c r="AH26" s="15">
        <f t="shared" si="19"/>
        <v>2.0772777979011861</v>
      </c>
      <c r="AI26" s="15">
        <f t="shared" si="14"/>
        <v>1.6271350816936925</v>
      </c>
      <c r="AJ26" s="15">
        <f t="shared" si="15"/>
        <v>2.9034855367572474</v>
      </c>
      <c r="AK26" s="15">
        <f t="shared" si="16"/>
        <v>0.43959249629638059</v>
      </c>
      <c r="AL26" s="15">
        <f t="shared" si="17"/>
        <v>0.78441579277793927</v>
      </c>
      <c r="AM26" s="14" t="s">
        <v>55</v>
      </c>
    </row>
    <row r="27" spans="1:40" x14ac:dyDescent="0.3">
      <c r="A27" s="16">
        <v>501</v>
      </c>
      <c r="B27" s="7" t="s">
        <v>45</v>
      </c>
      <c r="C27" s="7" t="s">
        <v>37</v>
      </c>
      <c r="D27" s="7">
        <v>28</v>
      </c>
      <c r="E27" s="7" t="s">
        <v>34</v>
      </c>
      <c r="F27" s="7">
        <v>1</v>
      </c>
      <c r="G27" s="7">
        <v>38</v>
      </c>
      <c r="H27" s="7">
        <v>40</v>
      </c>
      <c r="I27" s="8" t="str">
        <f t="shared" si="0"/>
        <v>M0111-C-28-1</v>
      </c>
      <c r="J27" s="14" t="str">
        <f t="shared" si="1"/>
        <v>501-M0111-C-28-1,38-40</v>
      </c>
      <c r="K27" s="8">
        <f>VLOOKUP(I27, 'Depth vlookup'!$G$2:$I$997,2,FALSE)+(G27/100)</f>
        <v>201.74</v>
      </c>
      <c r="L27" s="9">
        <f t="shared" si="2"/>
        <v>201.76000000000002</v>
      </c>
      <c r="M27" s="7">
        <v>214</v>
      </c>
      <c r="N27" s="11">
        <f>VLOOKUP(M27,  Beakers!$A$2:$B$151, 2, 0)</f>
        <v>9.9960000000000004</v>
      </c>
      <c r="O27" s="7">
        <v>21.127800000000001</v>
      </c>
      <c r="P27" s="12">
        <v>46046.871527777781</v>
      </c>
      <c r="Q27" s="7">
        <v>18.749400000000001</v>
      </c>
      <c r="R27" s="8" t="s">
        <v>63</v>
      </c>
      <c r="S27" s="8">
        <v>1</v>
      </c>
      <c r="T27" s="7">
        <v>7.5959000000000003</v>
      </c>
      <c r="V27" s="15">
        <f t="shared" si="3"/>
        <v>11.1318</v>
      </c>
      <c r="W27" s="15">
        <f t="shared" si="18"/>
        <v>8.753400000000001</v>
      </c>
      <c r="X27" s="15">
        <f t="shared" si="5"/>
        <v>2.4646632124352323</v>
      </c>
      <c r="Y27" s="15">
        <f t="shared" si="6"/>
        <v>8.6263212435233161E-2</v>
      </c>
      <c r="Z27" s="15">
        <f t="shared" si="7"/>
        <v>8.6671367875647682</v>
      </c>
      <c r="AA27" s="15">
        <f t="shared" si="8"/>
        <v>2.4068976683937815</v>
      </c>
      <c r="AB27" s="15">
        <f t="shared" si="9"/>
        <v>3.8857302898753672E-2</v>
      </c>
      <c r="AC27" s="15">
        <f>T27-VLOOKUP(M27, Beakers!$A$2:$C$151, 3, 0)</f>
        <v>3.1133887892376686</v>
      </c>
      <c r="AD27" s="15">
        <f t="shared" si="10"/>
        <v>5.4814291547326963</v>
      </c>
      <c r="AE27" s="15">
        <f t="shared" si="11"/>
        <v>3.0745314863389148</v>
      </c>
      <c r="AF27" s="15">
        <f t="shared" si="12"/>
        <v>0.2214074284873275</v>
      </c>
      <c r="AG27" s="15">
        <f t="shared" si="13"/>
        <v>0.28436879131426934</v>
      </c>
      <c r="AH27" s="15">
        <f t="shared" si="19"/>
        <v>2.0308207377611991</v>
      </c>
      <c r="AI27" s="15">
        <f t="shared" si="14"/>
        <v>1.5811819404947547</v>
      </c>
      <c r="AJ27" s="15">
        <f t="shared" si="15"/>
        <v>2.8190105796852341</v>
      </c>
      <c r="AK27" s="15">
        <f t="shared" si="16"/>
        <v>0.43910038795551204</v>
      </c>
      <c r="AL27" s="15">
        <f t="shared" si="17"/>
        <v>0.78285022582737085</v>
      </c>
      <c r="AM27" s="14" t="s">
        <v>55</v>
      </c>
    </row>
    <row r="28" spans="1:40" x14ac:dyDescent="0.3">
      <c r="A28" s="16">
        <v>501</v>
      </c>
      <c r="B28" s="7" t="s">
        <v>45</v>
      </c>
      <c r="C28" s="7" t="s">
        <v>37</v>
      </c>
      <c r="D28" s="7">
        <v>29</v>
      </c>
      <c r="E28" s="7" t="s">
        <v>34</v>
      </c>
      <c r="F28" s="7">
        <v>1</v>
      </c>
      <c r="G28" s="7">
        <v>30</v>
      </c>
      <c r="H28" s="7">
        <v>32</v>
      </c>
      <c r="I28" s="8" t="str">
        <f t="shared" si="0"/>
        <v>M0111-C-29-1</v>
      </c>
      <c r="J28" s="14" t="str">
        <f t="shared" si="1"/>
        <v>501-M0111-C-29-1,30-32</v>
      </c>
      <c r="K28" s="8">
        <f>VLOOKUP(I28, 'Depth vlookup'!$G$2:$I$997,2,FALSE)+(G28/100)</f>
        <v>204.66000000000003</v>
      </c>
      <c r="L28" s="9">
        <f t="shared" si="2"/>
        <v>204.68000000000004</v>
      </c>
      <c r="M28" s="7">
        <v>215</v>
      </c>
      <c r="N28" s="11">
        <f>VLOOKUP(M28,  Beakers!$A$2:$B$151, 2, 0)</f>
        <v>10.084</v>
      </c>
      <c r="O28" s="7">
        <v>20.549700000000001</v>
      </c>
      <c r="P28" s="12">
        <v>46046.871527777781</v>
      </c>
      <c r="Q28" s="7">
        <v>18.6983</v>
      </c>
      <c r="R28" s="8" t="s">
        <v>63</v>
      </c>
      <c r="S28" s="8">
        <v>2</v>
      </c>
      <c r="T28" s="7">
        <v>7.5381999999999998</v>
      </c>
      <c r="V28" s="15">
        <f t="shared" si="3"/>
        <v>10.465700000000002</v>
      </c>
      <c r="W28" s="15">
        <f t="shared" si="18"/>
        <v>8.6143000000000001</v>
      </c>
      <c r="X28" s="15">
        <f t="shared" si="5"/>
        <v>1.9185492227979293</v>
      </c>
      <c r="Y28" s="15">
        <f t="shared" si="6"/>
        <v>6.7149222797927566E-2</v>
      </c>
      <c r="Z28" s="15">
        <f t="shared" si="7"/>
        <v>8.5471507772020718</v>
      </c>
      <c r="AA28" s="15">
        <f t="shared" si="8"/>
        <v>1.8735832253886027</v>
      </c>
      <c r="AB28" s="15">
        <f t="shared" si="9"/>
        <v>3.0247397656724125E-2</v>
      </c>
      <c r="AC28" s="15">
        <f>T28-VLOOKUP(M28, Beakers!$A$2:$C$151, 3, 0)</f>
        <v>3.0162269058295967</v>
      </c>
      <c r="AD28" s="15">
        <f t="shared" si="10"/>
        <v>4.8595627335614751</v>
      </c>
      <c r="AE28" s="15">
        <f t="shared" si="11"/>
        <v>2.9859795081728726</v>
      </c>
      <c r="AF28" s="15">
        <f t="shared" si="12"/>
        <v>0.18331781178496698</v>
      </c>
      <c r="AG28" s="15">
        <f t="shared" si="13"/>
        <v>0.22446652373505577</v>
      </c>
      <c r="AH28" s="15">
        <f t="shared" si="19"/>
        <v>2.1536299815045092</v>
      </c>
      <c r="AI28" s="15">
        <f t="shared" si="14"/>
        <v>1.7588312459006035</v>
      </c>
      <c r="AJ28" s="15">
        <f t="shared" si="15"/>
        <v>2.8624278076282219</v>
      </c>
      <c r="AK28" s="15">
        <f t="shared" si="16"/>
        <v>0.38554564023818899</v>
      </c>
      <c r="AL28" s="15">
        <f t="shared" si="17"/>
        <v>0.62746017521568742</v>
      </c>
      <c r="AM28" s="14" t="s">
        <v>55</v>
      </c>
      <c r="AN28" s="14" t="s">
        <v>96</v>
      </c>
    </row>
    <row r="29" spans="1:40" x14ac:dyDescent="0.3">
      <c r="A29" s="16">
        <v>501</v>
      </c>
      <c r="B29" s="7" t="s">
        <v>45</v>
      </c>
      <c r="C29" s="7" t="s">
        <v>37</v>
      </c>
      <c r="D29" s="7">
        <v>30</v>
      </c>
      <c r="E29" s="7" t="s">
        <v>34</v>
      </c>
      <c r="F29" s="7">
        <v>1</v>
      </c>
      <c r="G29" s="7">
        <v>48</v>
      </c>
      <c r="H29" s="7">
        <v>50</v>
      </c>
      <c r="I29" s="8" t="str">
        <f t="shared" si="0"/>
        <v>M0111-C-30-1</v>
      </c>
      <c r="J29" s="14" t="str">
        <f t="shared" si="1"/>
        <v>501-M0111-C-30-1,48-50</v>
      </c>
      <c r="K29" s="8">
        <f>VLOOKUP(I29, 'Depth vlookup'!$G$2:$I$997,2,FALSE)+(G29/100)</f>
        <v>207.84</v>
      </c>
      <c r="L29" s="9">
        <f t="shared" si="2"/>
        <v>207.86</v>
      </c>
      <c r="M29" s="7">
        <v>216</v>
      </c>
      <c r="N29" s="11">
        <f>VLOOKUP(M29,  Beakers!$A$2:$B$151, 2, 0)</f>
        <v>10.079499999999999</v>
      </c>
      <c r="O29" s="7">
        <v>20.2514</v>
      </c>
      <c r="P29" s="12">
        <v>46046.871527777781</v>
      </c>
      <c r="Q29" s="7">
        <v>17.4343</v>
      </c>
      <c r="R29" s="8" t="s">
        <v>63</v>
      </c>
      <c r="S29" s="8">
        <v>3</v>
      </c>
      <c r="T29" s="7">
        <v>7.4657</v>
      </c>
      <c r="V29" s="15">
        <f t="shared" si="3"/>
        <v>10.171900000000001</v>
      </c>
      <c r="W29" s="15">
        <f t="shared" si="18"/>
        <v>7.3548000000000009</v>
      </c>
      <c r="X29" s="15">
        <f t="shared" si="5"/>
        <v>2.9192746113989636</v>
      </c>
      <c r="Y29" s="15">
        <f t="shared" si="6"/>
        <v>0.10217461139896367</v>
      </c>
      <c r="Z29" s="15">
        <f t="shared" si="7"/>
        <v>7.2526253886010377</v>
      </c>
      <c r="AA29" s="15">
        <f t="shared" si="8"/>
        <v>2.8508541126943001</v>
      </c>
      <c r="AB29" s="15">
        <f t="shared" si="9"/>
        <v>4.6024599729262906E-2</v>
      </c>
      <c r="AC29" s="15">
        <f>T29-VLOOKUP(M29, Beakers!$A$2:$C$151, 3, 0)</f>
        <v>2.9457448430493276</v>
      </c>
      <c r="AD29" s="15">
        <f t="shared" si="10"/>
        <v>5.750574356014365</v>
      </c>
      <c r="AE29" s="15">
        <f t="shared" si="11"/>
        <v>2.8997202433200648</v>
      </c>
      <c r="AF29" s="15">
        <f t="shared" si="12"/>
        <v>0.2869940337005833</v>
      </c>
      <c r="AG29" s="15">
        <f t="shared" si="13"/>
        <v>0.40251280811872509</v>
      </c>
      <c r="AH29" s="15">
        <f t="shared" si="19"/>
        <v>1.7688494001232233</v>
      </c>
      <c r="AI29" s="15">
        <f t="shared" si="14"/>
        <v>1.2612001757730025</v>
      </c>
      <c r="AJ29" s="15">
        <f t="shared" si="15"/>
        <v>2.501146586574527</v>
      </c>
      <c r="AK29" s="15">
        <f t="shared" si="16"/>
        <v>0.49575119565451259</v>
      </c>
      <c r="AL29" s="15">
        <f t="shared" si="17"/>
        <v>0.98314798445183282</v>
      </c>
      <c r="AM29" s="14" t="s">
        <v>87</v>
      </c>
    </row>
    <row r="30" spans="1:40" x14ac:dyDescent="0.3">
      <c r="A30" s="16">
        <v>501</v>
      </c>
      <c r="B30" s="7" t="s">
        <v>45</v>
      </c>
      <c r="C30" s="7" t="s">
        <v>37</v>
      </c>
      <c r="D30" s="7">
        <v>31</v>
      </c>
      <c r="E30" s="7" t="s">
        <v>34</v>
      </c>
      <c r="F30" s="7">
        <v>1</v>
      </c>
      <c r="G30" s="7">
        <v>38</v>
      </c>
      <c r="H30" s="7">
        <v>40</v>
      </c>
      <c r="I30" s="8" t="str">
        <f t="shared" si="0"/>
        <v>M0111-C-31-1</v>
      </c>
      <c r="J30" s="14" t="str">
        <f t="shared" si="1"/>
        <v>501-M0111-C-31-1,38-40</v>
      </c>
      <c r="K30" s="8">
        <f>VLOOKUP(I30, 'Depth vlookup'!$G$2:$I$997,2,FALSE)+(G30/100)</f>
        <v>210.74</v>
      </c>
      <c r="L30" s="9">
        <f t="shared" si="2"/>
        <v>210.76000000000002</v>
      </c>
      <c r="M30" s="7">
        <v>217</v>
      </c>
      <c r="N30" s="11">
        <f>VLOOKUP(M30,  Beakers!$A$2:$B$151, 2, 0)</f>
        <v>9.6670999999999996</v>
      </c>
      <c r="O30" s="7">
        <v>20.057300000000001</v>
      </c>
      <c r="P30" s="12">
        <v>46048.325694444444</v>
      </c>
      <c r="Q30" s="7">
        <v>17.966200000000001</v>
      </c>
      <c r="R30" s="8" t="s">
        <v>66</v>
      </c>
      <c r="S30" s="8">
        <v>2</v>
      </c>
      <c r="T30" s="7">
        <v>7.4805999999999999</v>
      </c>
      <c r="V30" s="15">
        <f t="shared" si="3"/>
        <v>10.390200000000002</v>
      </c>
      <c r="W30" s="15">
        <f t="shared" si="18"/>
        <v>8.299100000000001</v>
      </c>
      <c r="X30" s="15">
        <f t="shared" si="5"/>
        <v>2.1669430051813481</v>
      </c>
      <c r="Y30" s="15">
        <f t="shared" si="6"/>
        <v>7.5843005181347234E-2</v>
      </c>
      <c r="Z30" s="15">
        <f t="shared" si="7"/>
        <v>8.2232569948186534</v>
      </c>
      <c r="AA30" s="15">
        <f t="shared" si="8"/>
        <v>2.11615527849741</v>
      </c>
      <c r="AB30" s="15">
        <f t="shared" si="9"/>
        <v>3.4163515847453703E-2</v>
      </c>
      <c r="AC30" s="15">
        <f>T30-VLOOKUP(M30, Beakers!$A$2:$C$151, 3, 0)</f>
        <v>3.1455775784753364</v>
      </c>
      <c r="AD30" s="15">
        <f t="shared" si="10"/>
        <v>5.2275693411252924</v>
      </c>
      <c r="AE30" s="15">
        <f t="shared" si="11"/>
        <v>3.1114140626278828</v>
      </c>
      <c r="AF30" s="15">
        <f t="shared" si="12"/>
        <v>0.20855642867137761</v>
      </c>
      <c r="AG30" s="15">
        <f t="shared" si="13"/>
        <v>0.26351395883002382</v>
      </c>
      <c r="AH30" s="15">
        <f t="shared" si="19"/>
        <v>1.9875776526310784</v>
      </c>
      <c r="AI30" s="15">
        <f t="shared" si="14"/>
        <v>1.5730555556913006</v>
      </c>
      <c r="AJ30" s="15">
        <f t="shared" si="15"/>
        <v>2.6429323867853629</v>
      </c>
      <c r="AK30" s="15">
        <f t="shared" si="16"/>
        <v>0.40480673529275157</v>
      </c>
      <c r="AL30" s="15">
        <f t="shared" si="17"/>
        <v>0.68012653922060029</v>
      </c>
      <c r="AM30" s="14" t="s">
        <v>55</v>
      </c>
    </row>
    <row r="31" spans="1:40" x14ac:dyDescent="0.3">
      <c r="A31" s="16">
        <v>501</v>
      </c>
      <c r="B31" s="7" t="s">
        <v>45</v>
      </c>
      <c r="C31" s="7" t="s">
        <v>37</v>
      </c>
      <c r="D31" s="7">
        <v>32</v>
      </c>
      <c r="E31" s="7" t="s">
        <v>34</v>
      </c>
      <c r="F31" s="7">
        <v>1</v>
      </c>
      <c r="G31" s="7">
        <v>38</v>
      </c>
      <c r="H31" s="7">
        <v>40</v>
      </c>
      <c r="I31" s="8" t="str">
        <f t="shared" si="0"/>
        <v>M0111-C-32-1</v>
      </c>
      <c r="J31" s="14" t="str">
        <f t="shared" si="1"/>
        <v>501-M0111-C-32-1,38-40</v>
      </c>
      <c r="K31" s="8">
        <f>VLOOKUP(I31, 'Depth vlookup'!$G$2:$I$997,2,FALSE)+(G31/100)</f>
        <v>213.74</v>
      </c>
      <c r="L31" s="9">
        <f t="shared" si="2"/>
        <v>213.76000000000002</v>
      </c>
      <c r="M31" s="7">
        <v>218</v>
      </c>
      <c r="N31" s="11">
        <f>VLOOKUP(M31,  Beakers!$A$2:$B$151, 2, 0)</f>
        <v>10.0969</v>
      </c>
      <c r="O31" s="7">
        <v>20.692499999999999</v>
      </c>
      <c r="P31" s="12">
        <v>46048.325694444444</v>
      </c>
      <c r="Q31" s="7">
        <v>19.101299999999998</v>
      </c>
      <c r="R31" s="8" t="s">
        <v>66</v>
      </c>
      <c r="S31" s="8">
        <v>3</v>
      </c>
      <c r="T31" s="7">
        <v>7.9034000000000004</v>
      </c>
      <c r="V31" s="15">
        <f t="shared" si="3"/>
        <v>10.595599999999999</v>
      </c>
      <c r="W31" s="15">
        <f t="shared" si="18"/>
        <v>9.0043999999999986</v>
      </c>
      <c r="X31" s="15">
        <f t="shared" si="5"/>
        <v>1.6489119170984463</v>
      </c>
      <c r="Y31" s="15">
        <f t="shared" si="6"/>
        <v>5.7711917098445698E-2</v>
      </c>
      <c r="Z31" s="15">
        <f t="shared" si="7"/>
        <v>8.9466880829015523</v>
      </c>
      <c r="AA31" s="15">
        <f t="shared" si="8"/>
        <v>1.6102655440414515</v>
      </c>
      <c r="AB31" s="15">
        <f t="shared" si="9"/>
        <v>2.5996359053353915E-2</v>
      </c>
      <c r="AC31" s="15">
        <f>T31-VLOOKUP(M31, Beakers!$A$2:$C$151, 3, 0)</f>
        <v>3.3756421524663685</v>
      </c>
      <c r="AD31" s="15">
        <f t="shared" si="10"/>
        <v>4.9599113374544661</v>
      </c>
      <c r="AE31" s="15">
        <f t="shared" si="11"/>
        <v>3.3496457934130146</v>
      </c>
      <c r="AF31" s="15">
        <f t="shared" si="12"/>
        <v>0.15562232597478637</v>
      </c>
      <c r="AG31" s="15">
        <f t="shared" si="13"/>
        <v>0.1843041695227714</v>
      </c>
      <c r="AH31" s="15">
        <f t="shared" si="19"/>
        <v>2.1362478639462719</v>
      </c>
      <c r="AI31" s="15">
        <f t="shared" si="14"/>
        <v>1.8038000025002838</v>
      </c>
      <c r="AJ31" s="15">
        <f t="shared" si="15"/>
        <v>2.6709355659320653</v>
      </c>
      <c r="AK31" s="15">
        <f t="shared" si="16"/>
        <v>0.32465611469334743</v>
      </c>
      <c r="AL31" s="15">
        <f t="shared" si="17"/>
        <v>0.48072711067181906</v>
      </c>
      <c r="AM31" s="14" t="s">
        <v>55</v>
      </c>
    </row>
    <row r="32" spans="1:40" x14ac:dyDescent="0.3">
      <c r="A32" s="16">
        <v>501</v>
      </c>
      <c r="B32" s="7" t="s">
        <v>45</v>
      </c>
      <c r="C32" s="7" t="s">
        <v>37</v>
      </c>
      <c r="D32" s="7">
        <v>33</v>
      </c>
      <c r="E32" s="7" t="s">
        <v>34</v>
      </c>
      <c r="F32" s="7">
        <v>1</v>
      </c>
      <c r="G32" s="7">
        <v>38</v>
      </c>
      <c r="H32" s="7">
        <v>40</v>
      </c>
      <c r="I32" s="8" t="str">
        <f t="shared" si="0"/>
        <v>M0111-C-33-1</v>
      </c>
      <c r="J32" s="14" t="str">
        <f t="shared" si="1"/>
        <v>501-M0111-C-33-1,38-40</v>
      </c>
      <c r="K32" s="8">
        <f>VLOOKUP(I32, 'Depth vlookup'!$G$2:$I$997,2,FALSE)+(G32/100)</f>
        <v>216.74</v>
      </c>
      <c r="L32" s="9">
        <f t="shared" si="2"/>
        <v>216.76000000000002</v>
      </c>
      <c r="M32" s="7">
        <v>219</v>
      </c>
      <c r="N32" s="11">
        <f>VLOOKUP(M32,  Beakers!$A$2:$B$151, 2, 0)</f>
        <v>9.6616999999999997</v>
      </c>
      <c r="O32" s="7">
        <v>20.808199999999999</v>
      </c>
      <c r="P32" s="12">
        <v>46048.325694444444</v>
      </c>
      <c r="Q32" s="7">
        <v>18.5063</v>
      </c>
      <c r="R32" s="8" t="s">
        <v>66</v>
      </c>
      <c r="S32" s="8">
        <v>5</v>
      </c>
      <c r="T32" s="7">
        <v>7.6558000000000002</v>
      </c>
      <c r="V32" s="15">
        <f t="shared" si="3"/>
        <v>11.1465</v>
      </c>
      <c r="W32" s="15">
        <f t="shared" si="18"/>
        <v>8.8445999999999998</v>
      </c>
      <c r="X32" s="15">
        <f t="shared" si="5"/>
        <v>2.3853886010362695</v>
      </c>
      <c r="Y32" s="15">
        <f t="shared" si="6"/>
        <v>8.348860103626965E-2</v>
      </c>
      <c r="Z32" s="15">
        <f t="shared" si="7"/>
        <v>8.761111398963731</v>
      </c>
      <c r="AA32" s="15">
        <f t="shared" si="8"/>
        <v>2.3294810556994818</v>
      </c>
      <c r="AB32" s="15">
        <f t="shared" si="9"/>
        <v>3.7607477944265603E-2</v>
      </c>
      <c r="AC32" s="15">
        <f>T32-VLOOKUP(M32, Beakers!$A$2:$C$151, 3, 0)</f>
        <v>3.3231991031390136</v>
      </c>
      <c r="AD32" s="15">
        <f t="shared" si="10"/>
        <v>5.6150726808942295</v>
      </c>
      <c r="AE32" s="15">
        <f t="shared" si="11"/>
        <v>3.2855916251947481</v>
      </c>
      <c r="AF32" s="15">
        <f t="shared" si="12"/>
        <v>0.21400337334914724</v>
      </c>
      <c r="AG32" s="15">
        <f t="shared" si="13"/>
        <v>0.27227009136288516</v>
      </c>
      <c r="AH32" s="15">
        <f t="shared" si="19"/>
        <v>1.9851034231358982</v>
      </c>
      <c r="AI32" s="15">
        <f t="shared" si="14"/>
        <v>1.5602845941378765</v>
      </c>
      <c r="AJ32" s="15">
        <f t="shared" si="15"/>
        <v>2.6665247536490266</v>
      </c>
      <c r="AK32" s="15">
        <f t="shared" si="16"/>
        <v>0.41486213769338065</v>
      </c>
      <c r="AL32" s="15">
        <f t="shared" si="17"/>
        <v>0.70899896318106959</v>
      </c>
      <c r="AM32" s="14" t="s">
        <v>55</v>
      </c>
    </row>
    <row r="33" spans="1:39" x14ac:dyDescent="0.3">
      <c r="A33" s="16">
        <v>501</v>
      </c>
      <c r="B33" s="7" t="s">
        <v>45</v>
      </c>
      <c r="C33" s="7" t="s">
        <v>37</v>
      </c>
      <c r="D33" s="7">
        <v>34</v>
      </c>
      <c r="E33" s="7" t="s">
        <v>34</v>
      </c>
      <c r="F33" s="7">
        <v>1</v>
      </c>
      <c r="G33" s="7">
        <v>38</v>
      </c>
      <c r="H33" s="7">
        <v>40</v>
      </c>
      <c r="I33" s="8" t="str">
        <f t="shared" si="0"/>
        <v>M0111-C-34-1</v>
      </c>
      <c r="J33" s="14" t="str">
        <f t="shared" si="1"/>
        <v>501-M0111-C-34-1,38-40</v>
      </c>
      <c r="K33" s="8">
        <f>VLOOKUP(I33, 'Depth vlookup'!$G$2:$I$997,2,FALSE)+(G33/100)</f>
        <v>219.74</v>
      </c>
      <c r="L33" s="9">
        <f t="shared" si="2"/>
        <v>219.76000000000002</v>
      </c>
      <c r="M33" s="7">
        <v>162</v>
      </c>
      <c r="N33" s="11">
        <f>VLOOKUP(M33,  Beakers!$A$2:$B$151, 2, 0)</f>
        <v>9.8841999999999999</v>
      </c>
      <c r="O33" s="7">
        <v>21.025600000000001</v>
      </c>
      <c r="P33" s="12">
        <v>46048.399305555555</v>
      </c>
      <c r="Q33" s="7">
        <v>19.310700000000001</v>
      </c>
      <c r="R33" s="8" t="s">
        <v>66</v>
      </c>
      <c r="S33" s="8">
        <v>3</v>
      </c>
      <c r="T33" s="7">
        <v>7.9508000000000001</v>
      </c>
      <c r="V33" s="15">
        <f t="shared" si="3"/>
        <v>11.141400000000001</v>
      </c>
      <c r="W33" s="15">
        <f t="shared" si="18"/>
        <v>9.4265000000000008</v>
      </c>
      <c r="X33" s="15">
        <f t="shared" si="5"/>
        <v>1.7770984455958552</v>
      </c>
      <c r="Y33" s="15">
        <f t="shared" si="6"/>
        <v>6.2198445595855079E-2</v>
      </c>
      <c r="Z33" s="15">
        <f t="shared" si="7"/>
        <v>9.364301554404145</v>
      </c>
      <c r="AA33" s="15">
        <f t="shared" si="8"/>
        <v>1.7354477007772022</v>
      </c>
      <c r="AB33" s="15">
        <f t="shared" si="9"/>
        <v>2.8017317835970754E-2</v>
      </c>
      <c r="AC33" s="15">
        <f>T33-VLOOKUP(M33, Beakers!$A$2:$C$151, 3, 0)</f>
        <v>3.5184233183856506</v>
      </c>
      <c r="AD33" s="15">
        <f t="shared" si="10"/>
        <v>5.2258537013268818</v>
      </c>
      <c r="AE33" s="15">
        <f t="shared" si="11"/>
        <v>3.49040600054968</v>
      </c>
      <c r="AF33" s="15">
        <f t="shared" si="12"/>
        <v>0.15950405205771762</v>
      </c>
      <c r="AG33" s="15">
        <f t="shared" si="13"/>
        <v>0.18977373115030283</v>
      </c>
      <c r="AH33" s="15">
        <f t="shared" si="19"/>
        <v>2.1319770197874308</v>
      </c>
      <c r="AI33" s="15">
        <f t="shared" si="14"/>
        <v>1.7919180462373989</v>
      </c>
      <c r="AJ33" s="15">
        <f t="shared" si="15"/>
        <v>2.6828688562102592</v>
      </c>
      <c r="AK33" s="15">
        <f t="shared" si="16"/>
        <v>0.33208884135745315</v>
      </c>
      <c r="AL33" s="15">
        <f t="shared" si="17"/>
        <v>0.49720511038082632</v>
      </c>
      <c r="AM33" s="14" t="s">
        <v>55</v>
      </c>
    </row>
    <row r="34" spans="1:39" x14ac:dyDescent="0.3">
      <c r="A34" s="16">
        <v>501</v>
      </c>
      <c r="B34" s="7" t="s">
        <v>45</v>
      </c>
      <c r="C34" s="7" t="s">
        <v>37</v>
      </c>
      <c r="D34" s="7">
        <v>35</v>
      </c>
      <c r="E34" s="7" t="s">
        <v>34</v>
      </c>
      <c r="F34" s="7">
        <v>1</v>
      </c>
      <c r="G34" s="7">
        <v>48</v>
      </c>
      <c r="H34" s="7">
        <v>50</v>
      </c>
      <c r="I34" s="8" t="str">
        <f t="shared" si="0"/>
        <v>M0111-C-35-1</v>
      </c>
      <c r="J34" s="14" t="str">
        <f t="shared" si="1"/>
        <v>501-M0111-C-35-1,48-50</v>
      </c>
      <c r="K34" s="8">
        <f>VLOOKUP(I34, 'Depth vlookup'!$G$2:$I$997,2,FALSE)+(G34/100)</f>
        <v>222.84</v>
      </c>
      <c r="L34" s="9">
        <f t="shared" si="2"/>
        <v>222.86</v>
      </c>
      <c r="M34" s="7">
        <v>163</v>
      </c>
      <c r="N34" s="11">
        <f>VLOOKUP(M34,  Beakers!$A$2:$B$151, 2, 0)</f>
        <v>9.5631000000000004</v>
      </c>
      <c r="O34" s="7">
        <v>19.840399999999999</v>
      </c>
      <c r="P34" s="12">
        <v>46048.399305555555</v>
      </c>
      <c r="Q34" s="7">
        <v>18.272300000000001</v>
      </c>
      <c r="R34" s="8" t="s">
        <v>66</v>
      </c>
      <c r="S34" s="8">
        <v>5</v>
      </c>
      <c r="T34" s="7">
        <v>7.5655999999999999</v>
      </c>
      <c r="V34" s="15">
        <f t="shared" si="3"/>
        <v>10.277299999999999</v>
      </c>
      <c r="W34" s="15">
        <f t="shared" si="18"/>
        <v>8.7092000000000009</v>
      </c>
      <c r="X34" s="15">
        <f t="shared" si="5"/>
        <v>1.6249740932642462</v>
      </c>
      <c r="Y34" s="15">
        <f t="shared" si="6"/>
        <v>5.6874093264248637E-2</v>
      </c>
      <c r="Z34" s="15">
        <f t="shared" si="7"/>
        <v>8.6523259067357525</v>
      </c>
      <c r="AA34" s="15">
        <f t="shared" si="8"/>
        <v>1.5868887629533655</v>
      </c>
      <c r="AB34" s="15">
        <f t="shared" si="9"/>
        <v>2.5618960929841728E-2</v>
      </c>
      <c r="AC34" s="15">
        <f>T34-VLOOKUP(M34, Beakers!$A$2:$C$151, 3, 0)</f>
        <v>3.2772143497757842</v>
      </c>
      <c r="AD34" s="15">
        <f t="shared" si="10"/>
        <v>4.8384841517993085</v>
      </c>
      <c r="AE34" s="15">
        <f t="shared" si="11"/>
        <v>3.2515953888459426</v>
      </c>
      <c r="AF34" s="15">
        <f t="shared" si="12"/>
        <v>0.15811293756767308</v>
      </c>
      <c r="AG34" s="15">
        <f t="shared" si="13"/>
        <v>0.18780777686601235</v>
      </c>
      <c r="AH34" s="15">
        <f t="shared" si="19"/>
        <v>2.1240743335240921</v>
      </c>
      <c r="AI34" s="15">
        <f t="shared" si="14"/>
        <v>1.7882307010385006</v>
      </c>
      <c r="AJ34" s="15">
        <f t="shared" si="15"/>
        <v>2.6609478954288464</v>
      </c>
      <c r="AK34" s="15">
        <f t="shared" si="16"/>
        <v>0.32797229734921052</v>
      </c>
      <c r="AL34" s="15">
        <f t="shared" si="17"/>
        <v>0.48803389511404882</v>
      </c>
      <c r="AM34" s="14" t="s">
        <v>55</v>
      </c>
    </row>
    <row r="35" spans="1:39" x14ac:dyDescent="0.3">
      <c r="A35" s="16">
        <v>501</v>
      </c>
      <c r="B35" s="7" t="s">
        <v>45</v>
      </c>
      <c r="C35" s="7" t="s">
        <v>37</v>
      </c>
      <c r="D35" s="7">
        <v>36</v>
      </c>
      <c r="E35" s="7" t="s">
        <v>34</v>
      </c>
      <c r="F35" s="7">
        <v>1</v>
      </c>
      <c r="G35" s="7">
        <v>37.5</v>
      </c>
      <c r="H35" s="7">
        <v>39.5</v>
      </c>
      <c r="I35" s="8" t="str">
        <f t="shared" si="0"/>
        <v>M0111-C-36-1</v>
      </c>
      <c r="J35" s="14" t="str">
        <f t="shared" si="1"/>
        <v>501-M0111-C-36-1,37.5-39.5</v>
      </c>
      <c r="K35" s="8">
        <f>VLOOKUP(I35, 'Depth vlookup'!$G$2:$I$997,2,FALSE)+(G35/100)</f>
        <v>223.535</v>
      </c>
      <c r="L35" s="9">
        <f t="shared" si="2"/>
        <v>223.55500000000001</v>
      </c>
      <c r="M35" s="7">
        <v>164</v>
      </c>
      <c r="N35" s="11">
        <f>VLOOKUP(M35,  Beakers!$A$2:$B$151, 2, 0)</f>
        <v>9.9097000000000008</v>
      </c>
      <c r="O35" s="7">
        <v>17.7898</v>
      </c>
      <c r="P35" s="12">
        <v>46048.399305555555</v>
      </c>
      <c r="Q35" s="7">
        <v>16.974900000000002</v>
      </c>
      <c r="R35" s="8" t="s">
        <v>66</v>
      </c>
      <c r="S35" s="8">
        <v>1</v>
      </c>
      <c r="T35" s="7">
        <v>7.1132</v>
      </c>
      <c r="V35" s="15">
        <f t="shared" si="3"/>
        <v>7.8800999999999988</v>
      </c>
      <c r="W35" s="15">
        <f t="shared" si="18"/>
        <v>7.0652000000000008</v>
      </c>
      <c r="X35" s="15">
        <f t="shared" si="5"/>
        <v>0.84445595854922073</v>
      </c>
      <c r="Y35" s="15">
        <f t="shared" si="6"/>
        <v>2.9555958549222772E-2</v>
      </c>
      <c r="Z35" s="15">
        <f t="shared" si="7"/>
        <v>7.0356440414507784</v>
      </c>
      <c r="AA35" s="15">
        <f t="shared" si="8"/>
        <v>0.82466402202072331</v>
      </c>
      <c r="AB35" s="15">
        <f t="shared" si="9"/>
        <v>1.3313494841992238E-2</v>
      </c>
      <c r="AC35" s="15">
        <f>T35-VLOOKUP(M35, Beakers!$A$2:$C$151, 3, 0)</f>
        <v>2.6693883408071741</v>
      </c>
      <c r="AD35" s="15">
        <f t="shared" si="10"/>
        <v>3.480738867985905</v>
      </c>
      <c r="AE35" s="15">
        <f t="shared" si="11"/>
        <v>2.6560748459651817</v>
      </c>
      <c r="AF35" s="15">
        <f t="shared" si="12"/>
        <v>0.1071631018069848</v>
      </c>
      <c r="AG35" s="15">
        <f t="shared" si="13"/>
        <v>0.12002539548249949</v>
      </c>
      <c r="AH35" s="15">
        <f t="shared" si="19"/>
        <v>2.263915880756588</v>
      </c>
      <c r="AI35" s="15">
        <f t="shared" si="14"/>
        <v>2.02130763274462</v>
      </c>
      <c r="AJ35" s="15">
        <f t="shared" si="15"/>
        <v>2.6488877194626346</v>
      </c>
      <c r="AK35" s="15">
        <f t="shared" si="16"/>
        <v>0.23692211719918735</v>
      </c>
      <c r="AL35" s="15">
        <f t="shared" si="17"/>
        <v>0.31048222277074106</v>
      </c>
      <c r="AM35" s="14" t="s">
        <v>55</v>
      </c>
    </row>
    <row r="36" spans="1:39" x14ac:dyDescent="0.3">
      <c r="A36" s="16">
        <v>501</v>
      </c>
      <c r="B36" s="7" t="s">
        <v>45</v>
      </c>
      <c r="C36" s="7" t="s">
        <v>37</v>
      </c>
      <c r="D36" s="7">
        <v>39</v>
      </c>
      <c r="E36" s="7" t="s">
        <v>34</v>
      </c>
      <c r="F36" s="7">
        <v>1</v>
      </c>
      <c r="G36" s="7">
        <v>30</v>
      </c>
      <c r="H36" s="7">
        <v>32</v>
      </c>
      <c r="I36" s="8" t="str">
        <f t="shared" si="0"/>
        <v>M0111-C-39-1</v>
      </c>
      <c r="J36" s="14" t="str">
        <f t="shared" si="1"/>
        <v>501-M0111-C-39-1,30-32</v>
      </c>
      <c r="K36" s="8">
        <f>VLOOKUP(I36, 'Depth vlookup'!$G$2:$I$997,2,FALSE)+(G36/100)</f>
        <v>229.66000000000003</v>
      </c>
      <c r="L36" s="9">
        <f t="shared" si="2"/>
        <v>229.68000000000004</v>
      </c>
      <c r="M36" s="7">
        <v>165</v>
      </c>
      <c r="N36" s="11">
        <f>VLOOKUP(M36,  Beakers!$A$2:$B$151, 2, 0)</f>
        <v>9.8137000000000008</v>
      </c>
      <c r="O36" s="7">
        <v>20.126799999999999</v>
      </c>
      <c r="P36" s="12">
        <v>46048.416666666664</v>
      </c>
      <c r="Q36" s="7">
        <v>17.430199999999999</v>
      </c>
      <c r="R36" s="8" t="s">
        <v>66</v>
      </c>
      <c r="S36" s="8">
        <v>5</v>
      </c>
      <c r="T36" s="7">
        <v>7.2896999999999998</v>
      </c>
      <c r="V36" s="15">
        <f t="shared" si="3"/>
        <v>10.313099999999999</v>
      </c>
      <c r="W36" s="15">
        <f t="shared" si="18"/>
        <v>7.6164999999999985</v>
      </c>
      <c r="X36" s="15">
        <f t="shared" si="5"/>
        <v>2.7944041450777206</v>
      </c>
      <c r="Y36" s="15">
        <f t="shared" si="6"/>
        <v>9.7804145077720506E-2</v>
      </c>
      <c r="Z36" s="15">
        <f t="shared" si="7"/>
        <v>7.518695854922278</v>
      </c>
      <c r="AA36" s="15">
        <f t="shared" si="8"/>
        <v>2.7289102979274613</v>
      </c>
      <c r="AB36" s="15">
        <f t="shared" si="9"/>
        <v>4.4055921206180404E-2</v>
      </c>
      <c r="AC36" s="15">
        <f>T36-VLOOKUP(M36, Beakers!$A$2:$C$151, 3, 0)</f>
        <v>2.888937668161434</v>
      </c>
      <c r="AD36" s="15">
        <f t="shared" si="10"/>
        <v>5.5737920448827154</v>
      </c>
      <c r="AE36" s="15">
        <f t="shared" si="11"/>
        <v>2.8448817469552536</v>
      </c>
      <c r="AF36" s="15">
        <f t="shared" si="12"/>
        <v>0.27095675840219924</v>
      </c>
      <c r="AG36" s="15">
        <f t="shared" si="13"/>
        <v>0.3716607506138585</v>
      </c>
      <c r="AH36" s="15">
        <f t="shared" si="19"/>
        <v>1.8502843157681905</v>
      </c>
      <c r="AI36" s="15">
        <f t="shared" si="14"/>
        <v>1.3489372754452105</v>
      </c>
      <c r="AJ36" s="15">
        <f t="shared" si="15"/>
        <v>2.6428851965355653</v>
      </c>
      <c r="AK36" s="15">
        <f t="shared" si="16"/>
        <v>0.48959671906541025</v>
      </c>
      <c r="AL36" s="15">
        <f t="shared" si="17"/>
        <v>0.9592350546197882</v>
      </c>
      <c r="AM36" s="14" t="s">
        <v>87</v>
      </c>
    </row>
    <row r="37" spans="1:39" x14ac:dyDescent="0.3"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9" x14ac:dyDescent="0.3"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9" x14ac:dyDescent="0.3"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9" x14ac:dyDescent="0.3"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9" x14ac:dyDescent="0.3"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9" x14ac:dyDescent="0.3"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9" x14ac:dyDescent="0.3"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9" x14ac:dyDescent="0.3"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9" x14ac:dyDescent="0.3"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9" x14ac:dyDescent="0.3"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9" x14ac:dyDescent="0.3"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9" x14ac:dyDescent="0.3"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22:38" x14ac:dyDescent="0.3"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22:38" x14ac:dyDescent="0.3"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22:38" x14ac:dyDescent="0.3"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22:38" x14ac:dyDescent="0.3"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22:38" x14ac:dyDescent="0.3"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22:38" x14ac:dyDescent="0.3"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22:38" x14ac:dyDescent="0.3"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22:38" x14ac:dyDescent="0.3"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22:38" x14ac:dyDescent="0.3"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spans="22:38" x14ac:dyDescent="0.3"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22:38" x14ac:dyDescent="0.3"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22:38" x14ac:dyDescent="0.3"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22:38" x14ac:dyDescent="0.3"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22:38" x14ac:dyDescent="0.3"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22:38" x14ac:dyDescent="0.3"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22:38" x14ac:dyDescent="0.3"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22:38" x14ac:dyDescent="0.3"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22:38" x14ac:dyDescent="0.3"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spans="22:38" x14ac:dyDescent="0.3"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spans="22:38" x14ac:dyDescent="0.3"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22:38" x14ac:dyDescent="0.3"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spans="22:38" x14ac:dyDescent="0.3"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22:38" x14ac:dyDescent="0.3"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22:38" x14ac:dyDescent="0.3"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22:38" x14ac:dyDescent="0.3"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spans="22:38" x14ac:dyDescent="0.3"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22:38" x14ac:dyDescent="0.3"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22:38" x14ac:dyDescent="0.3"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22:38" x14ac:dyDescent="0.3"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spans="22:38" x14ac:dyDescent="0.3"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spans="22:38" x14ac:dyDescent="0.3"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spans="22:38" x14ac:dyDescent="0.3"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22:38" x14ac:dyDescent="0.3"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22:38" x14ac:dyDescent="0.3"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22:38" x14ac:dyDescent="0.3"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22:38" x14ac:dyDescent="0.3"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22:38" x14ac:dyDescent="0.3"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22:38" x14ac:dyDescent="0.3"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spans="22:38" x14ac:dyDescent="0.3"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spans="22:38" x14ac:dyDescent="0.3"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spans="22:38" x14ac:dyDescent="0.3"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spans="22:38" x14ac:dyDescent="0.3"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22:38" x14ac:dyDescent="0.3"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22:38" x14ac:dyDescent="0.3"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22:38" x14ac:dyDescent="0.3"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22:38" x14ac:dyDescent="0.3"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spans="22:38" x14ac:dyDescent="0.3"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spans="22:38" x14ac:dyDescent="0.3"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 spans="22:38" x14ac:dyDescent="0.3"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 spans="22:38" x14ac:dyDescent="0.3"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22:38" x14ac:dyDescent="0.3"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 spans="22:38" x14ac:dyDescent="0.3"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22:38" x14ac:dyDescent="0.3"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22:38" x14ac:dyDescent="0.3"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22:38" x14ac:dyDescent="0.3"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22:38" x14ac:dyDescent="0.3"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spans="22:38" x14ac:dyDescent="0.3"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22:38" x14ac:dyDescent="0.3"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22:38" x14ac:dyDescent="0.3"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spans="22:38" x14ac:dyDescent="0.3"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22:38" x14ac:dyDescent="0.3"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22:38" x14ac:dyDescent="0.3"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22:38" x14ac:dyDescent="0.3"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22:38" x14ac:dyDescent="0.3"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22:38" x14ac:dyDescent="0.3">
      <c r="V113" s="15">
        <f t="shared" ref="V113:V161" si="20">O113-N113</f>
        <v>0</v>
      </c>
      <c r="W113" s="15">
        <f t="shared" ref="W113:W161" si="21">Q113-N113</f>
        <v>0</v>
      </c>
      <c r="X113" s="15">
        <f t="shared" ref="X113:X161" si="22">(V113-W113)/(1-35/1000)</f>
        <v>0</v>
      </c>
      <c r="Y113" s="15">
        <f t="shared" ref="Y113:Y161" si="23">X113-(V113-W113)</f>
        <v>0</v>
      </c>
      <c r="Z113" s="15">
        <f t="shared" ref="Z113:Z161" si="24">W113-Y113</f>
        <v>0</v>
      </c>
      <c r="AA113" s="15">
        <f t="shared" ref="AA113:AA122" si="25">X113/1.024</f>
        <v>0</v>
      </c>
      <c r="AB113" s="15">
        <f t="shared" ref="AB113:AB149" si="26">Y113/2.22</f>
        <v>0</v>
      </c>
      <c r="AC113" s="15" t="e">
        <f>T113-VLOOKUP(M113, Beakers!$A$2:$C$151, 3, 0)</f>
        <v>#N/A</v>
      </c>
      <c r="AD113" s="15" t="e">
        <f t="shared" ref="AD113:AD149" si="27">AC113-AB113+AA113</f>
        <v>#N/A</v>
      </c>
      <c r="AE113" s="15" t="e">
        <f t="shared" ref="AE113:AE149" si="28">AC113-AB113</f>
        <v>#N/A</v>
      </c>
      <c r="AF113" s="15" t="e">
        <f t="shared" ref="AF113:AF149" si="29">X113/V113</f>
        <v>#DIV/0!</v>
      </c>
      <c r="AG113" s="15" t="e">
        <f t="shared" ref="AG113:AG149" si="30">X113/Z113</f>
        <v>#DIV/0!</v>
      </c>
      <c r="AH113" s="15" t="e">
        <f t="shared" ref="AH113:AH149" si="31">V113/AD113</f>
        <v>#N/A</v>
      </c>
      <c r="AI113" s="15" t="e">
        <f t="shared" ref="AI113:AI149" si="32">Z113/AD113</f>
        <v>#N/A</v>
      </c>
      <c r="AJ113" s="15" t="e">
        <f t="shared" ref="AJ113:AJ149" si="33">Z113/AE113</f>
        <v>#N/A</v>
      </c>
      <c r="AK113" s="15" t="e">
        <f t="shared" ref="AK113:AK149" si="34">AA113/AD113</f>
        <v>#N/A</v>
      </c>
      <c r="AL113" s="15" t="e">
        <f t="shared" ref="AL113:AL149" si="35">AA113/AE113</f>
        <v>#N/A</v>
      </c>
    </row>
    <row r="114" spans="22:38" x14ac:dyDescent="0.3">
      <c r="V114" s="15">
        <f t="shared" si="20"/>
        <v>0</v>
      </c>
      <c r="W114" s="15">
        <f t="shared" si="21"/>
        <v>0</v>
      </c>
      <c r="X114" s="15">
        <f t="shared" si="22"/>
        <v>0</v>
      </c>
      <c r="Y114" s="15">
        <f t="shared" si="23"/>
        <v>0</v>
      </c>
      <c r="Z114" s="15">
        <f t="shared" si="24"/>
        <v>0</v>
      </c>
      <c r="AA114" s="15">
        <f t="shared" si="25"/>
        <v>0</v>
      </c>
      <c r="AB114" s="15">
        <f t="shared" si="26"/>
        <v>0</v>
      </c>
      <c r="AC114" s="15" t="e">
        <f>T114-VLOOKUP(M114, Beakers!$A$2:$C$151, 3, 0)</f>
        <v>#N/A</v>
      </c>
      <c r="AD114" s="15" t="e">
        <f t="shared" si="27"/>
        <v>#N/A</v>
      </c>
      <c r="AE114" s="15" t="e">
        <f t="shared" si="28"/>
        <v>#N/A</v>
      </c>
      <c r="AF114" s="15" t="e">
        <f t="shared" si="29"/>
        <v>#DIV/0!</v>
      </c>
      <c r="AG114" s="15" t="e">
        <f t="shared" si="30"/>
        <v>#DIV/0!</v>
      </c>
      <c r="AH114" s="15" t="e">
        <f t="shared" si="31"/>
        <v>#N/A</v>
      </c>
      <c r="AI114" s="15" t="e">
        <f t="shared" si="32"/>
        <v>#N/A</v>
      </c>
      <c r="AJ114" s="15" t="e">
        <f t="shared" si="33"/>
        <v>#N/A</v>
      </c>
      <c r="AK114" s="15" t="e">
        <f t="shared" si="34"/>
        <v>#N/A</v>
      </c>
      <c r="AL114" s="15" t="e">
        <f t="shared" si="35"/>
        <v>#N/A</v>
      </c>
    </row>
    <row r="115" spans="22:38" x14ac:dyDescent="0.3">
      <c r="V115" s="15">
        <f t="shared" si="20"/>
        <v>0</v>
      </c>
      <c r="W115" s="15">
        <f t="shared" si="21"/>
        <v>0</v>
      </c>
      <c r="X115" s="15">
        <f t="shared" si="22"/>
        <v>0</v>
      </c>
      <c r="Y115" s="15">
        <f t="shared" si="23"/>
        <v>0</v>
      </c>
      <c r="Z115" s="15">
        <f t="shared" si="24"/>
        <v>0</v>
      </c>
      <c r="AA115" s="15">
        <f t="shared" si="25"/>
        <v>0</v>
      </c>
      <c r="AB115" s="15">
        <f t="shared" si="26"/>
        <v>0</v>
      </c>
      <c r="AC115" s="15" t="e">
        <f>T115-VLOOKUP(M115, Beakers!$A$2:$C$151, 3, 0)</f>
        <v>#N/A</v>
      </c>
      <c r="AD115" s="15" t="e">
        <f t="shared" si="27"/>
        <v>#N/A</v>
      </c>
      <c r="AE115" s="15" t="e">
        <f t="shared" si="28"/>
        <v>#N/A</v>
      </c>
      <c r="AF115" s="15" t="e">
        <f t="shared" si="29"/>
        <v>#DIV/0!</v>
      </c>
      <c r="AG115" s="15" t="e">
        <f t="shared" si="30"/>
        <v>#DIV/0!</v>
      </c>
      <c r="AH115" s="15" t="e">
        <f t="shared" si="31"/>
        <v>#N/A</v>
      </c>
      <c r="AI115" s="15" t="e">
        <f t="shared" si="32"/>
        <v>#N/A</v>
      </c>
      <c r="AJ115" s="15" t="e">
        <f t="shared" si="33"/>
        <v>#N/A</v>
      </c>
      <c r="AK115" s="15" t="e">
        <f t="shared" si="34"/>
        <v>#N/A</v>
      </c>
      <c r="AL115" s="15" t="e">
        <f t="shared" si="35"/>
        <v>#N/A</v>
      </c>
    </row>
    <row r="116" spans="22:38" x14ac:dyDescent="0.3">
      <c r="V116" s="15">
        <f t="shared" si="20"/>
        <v>0</v>
      </c>
      <c r="W116" s="15">
        <f t="shared" si="21"/>
        <v>0</v>
      </c>
      <c r="X116" s="15">
        <f t="shared" si="22"/>
        <v>0</v>
      </c>
      <c r="Y116" s="15">
        <f t="shared" si="23"/>
        <v>0</v>
      </c>
      <c r="Z116" s="15">
        <f t="shared" si="24"/>
        <v>0</v>
      </c>
      <c r="AA116" s="15">
        <f t="shared" si="25"/>
        <v>0</v>
      </c>
      <c r="AB116" s="15">
        <f t="shared" si="26"/>
        <v>0</v>
      </c>
      <c r="AC116" s="15" t="e">
        <f>T116-VLOOKUP(M116, Beakers!$A$2:$C$151, 3, 0)</f>
        <v>#N/A</v>
      </c>
      <c r="AD116" s="15" t="e">
        <f t="shared" si="27"/>
        <v>#N/A</v>
      </c>
      <c r="AE116" s="15" t="e">
        <f t="shared" si="28"/>
        <v>#N/A</v>
      </c>
      <c r="AF116" s="15" t="e">
        <f t="shared" si="29"/>
        <v>#DIV/0!</v>
      </c>
      <c r="AG116" s="15" t="e">
        <f t="shared" si="30"/>
        <v>#DIV/0!</v>
      </c>
      <c r="AH116" s="15" t="e">
        <f t="shared" si="31"/>
        <v>#N/A</v>
      </c>
      <c r="AI116" s="15" t="e">
        <f t="shared" si="32"/>
        <v>#N/A</v>
      </c>
      <c r="AJ116" s="15" t="e">
        <f t="shared" si="33"/>
        <v>#N/A</v>
      </c>
      <c r="AK116" s="15" t="e">
        <f t="shared" si="34"/>
        <v>#N/A</v>
      </c>
      <c r="AL116" s="15" t="e">
        <f t="shared" si="35"/>
        <v>#N/A</v>
      </c>
    </row>
    <row r="117" spans="22:38" x14ac:dyDescent="0.3">
      <c r="V117" s="15">
        <f t="shared" si="20"/>
        <v>0</v>
      </c>
      <c r="W117" s="15">
        <f t="shared" si="21"/>
        <v>0</v>
      </c>
      <c r="X117" s="15">
        <f t="shared" si="22"/>
        <v>0</v>
      </c>
      <c r="Y117" s="15">
        <f t="shared" si="23"/>
        <v>0</v>
      </c>
      <c r="Z117" s="15">
        <f t="shared" si="24"/>
        <v>0</v>
      </c>
      <c r="AA117" s="15">
        <f t="shared" si="25"/>
        <v>0</v>
      </c>
      <c r="AB117" s="15">
        <f t="shared" si="26"/>
        <v>0</v>
      </c>
      <c r="AC117" s="15" t="e">
        <f>T117-VLOOKUP(M117, Beakers!$A$2:$C$151, 3, 0)</f>
        <v>#N/A</v>
      </c>
      <c r="AD117" s="15" t="e">
        <f t="shared" si="27"/>
        <v>#N/A</v>
      </c>
      <c r="AE117" s="15" t="e">
        <f t="shared" si="28"/>
        <v>#N/A</v>
      </c>
      <c r="AF117" s="15" t="e">
        <f t="shared" si="29"/>
        <v>#DIV/0!</v>
      </c>
      <c r="AG117" s="15" t="e">
        <f t="shared" si="30"/>
        <v>#DIV/0!</v>
      </c>
      <c r="AH117" s="15" t="e">
        <f t="shared" si="31"/>
        <v>#N/A</v>
      </c>
      <c r="AI117" s="15" t="e">
        <f t="shared" si="32"/>
        <v>#N/A</v>
      </c>
      <c r="AJ117" s="15" t="e">
        <f t="shared" si="33"/>
        <v>#N/A</v>
      </c>
      <c r="AK117" s="15" t="e">
        <f t="shared" si="34"/>
        <v>#N/A</v>
      </c>
      <c r="AL117" s="15" t="e">
        <f t="shared" si="35"/>
        <v>#N/A</v>
      </c>
    </row>
    <row r="118" spans="22:38" x14ac:dyDescent="0.3">
      <c r="V118" s="15">
        <f t="shared" si="20"/>
        <v>0</v>
      </c>
      <c r="W118" s="15">
        <f t="shared" si="21"/>
        <v>0</v>
      </c>
      <c r="X118" s="15">
        <f t="shared" si="22"/>
        <v>0</v>
      </c>
      <c r="Y118" s="15">
        <f t="shared" si="23"/>
        <v>0</v>
      </c>
      <c r="Z118" s="15">
        <f t="shared" si="24"/>
        <v>0</v>
      </c>
      <c r="AA118" s="15">
        <f t="shared" si="25"/>
        <v>0</v>
      </c>
      <c r="AB118" s="15">
        <f t="shared" si="26"/>
        <v>0</v>
      </c>
      <c r="AC118" s="15" t="e">
        <f>T118-VLOOKUP(M118, Beakers!$A$2:$C$151, 3, 0)</f>
        <v>#N/A</v>
      </c>
      <c r="AD118" s="15" t="e">
        <f t="shared" si="27"/>
        <v>#N/A</v>
      </c>
      <c r="AE118" s="15" t="e">
        <f t="shared" si="28"/>
        <v>#N/A</v>
      </c>
      <c r="AF118" s="15" t="e">
        <f t="shared" si="29"/>
        <v>#DIV/0!</v>
      </c>
      <c r="AG118" s="15" t="e">
        <f t="shared" si="30"/>
        <v>#DIV/0!</v>
      </c>
      <c r="AH118" s="15" t="e">
        <f t="shared" si="31"/>
        <v>#N/A</v>
      </c>
      <c r="AI118" s="15" t="e">
        <f t="shared" si="32"/>
        <v>#N/A</v>
      </c>
      <c r="AJ118" s="15" t="e">
        <f t="shared" si="33"/>
        <v>#N/A</v>
      </c>
      <c r="AK118" s="15" t="e">
        <f t="shared" si="34"/>
        <v>#N/A</v>
      </c>
      <c r="AL118" s="15" t="e">
        <f t="shared" si="35"/>
        <v>#N/A</v>
      </c>
    </row>
    <row r="119" spans="22:38" x14ac:dyDescent="0.3">
      <c r="V119" s="15">
        <f t="shared" si="20"/>
        <v>0</v>
      </c>
      <c r="W119" s="15">
        <f t="shared" si="21"/>
        <v>0</v>
      </c>
      <c r="X119" s="15">
        <f t="shared" si="22"/>
        <v>0</v>
      </c>
      <c r="Y119" s="15">
        <f t="shared" si="23"/>
        <v>0</v>
      </c>
      <c r="Z119" s="15">
        <f t="shared" si="24"/>
        <v>0</v>
      </c>
      <c r="AA119" s="15">
        <f t="shared" si="25"/>
        <v>0</v>
      </c>
      <c r="AB119" s="15">
        <f t="shared" si="26"/>
        <v>0</v>
      </c>
      <c r="AC119" s="15" t="e">
        <f>T119-VLOOKUP(M119, Beakers!$A$2:$C$151, 3, 0)</f>
        <v>#N/A</v>
      </c>
      <c r="AD119" s="15" t="e">
        <f t="shared" si="27"/>
        <v>#N/A</v>
      </c>
      <c r="AE119" s="15" t="e">
        <f t="shared" si="28"/>
        <v>#N/A</v>
      </c>
      <c r="AF119" s="15" t="e">
        <f t="shared" si="29"/>
        <v>#DIV/0!</v>
      </c>
      <c r="AG119" s="15" t="e">
        <f t="shared" si="30"/>
        <v>#DIV/0!</v>
      </c>
      <c r="AH119" s="15" t="e">
        <f t="shared" si="31"/>
        <v>#N/A</v>
      </c>
      <c r="AI119" s="15" t="e">
        <f t="shared" si="32"/>
        <v>#N/A</v>
      </c>
      <c r="AJ119" s="15" t="e">
        <f t="shared" si="33"/>
        <v>#N/A</v>
      </c>
      <c r="AK119" s="15" t="e">
        <f t="shared" si="34"/>
        <v>#N/A</v>
      </c>
      <c r="AL119" s="15" t="e">
        <f t="shared" si="35"/>
        <v>#N/A</v>
      </c>
    </row>
    <row r="120" spans="22:38" x14ac:dyDescent="0.3">
      <c r="V120" s="15">
        <f t="shared" si="20"/>
        <v>0</v>
      </c>
      <c r="W120" s="15">
        <f t="shared" si="21"/>
        <v>0</v>
      </c>
      <c r="X120" s="15">
        <f t="shared" si="22"/>
        <v>0</v>
      </c>
      <c r="Y120" s="15">
        <f t="shared" si="23"/>
        <v>0</v>
      </c>
      <c r="Z120" s="15">
        <f t="shared" si="24"/>
        <v>0</v>
      </c>
      <c r="AA120" s="15">
        <f t="shared" si="25"/>
        <v>0</v>
      </c>
      <c r="AB120" s="15">
        <f t="shared" si="26"/>
        <v>0</v>
      </c>
      <c r="AC120" s="15" t="e">
        <f>T120-VLOOKUP(M120, Beakers!$A$2:$C$151, 3, 0)</f>
        <v>#N/A</v>
      </c>
      <c r="AD120" s="15" t="e">
        <f t="shared" si="27"/>
        <v>#N/A</v>
      </c>
      <c r="AE120" s="15" t="e">
        <f t="shared" si="28"/>
        <v>#N/A</v>
      </c>
      <c r="AF120" s="15" t="e">
        <f t="shared" si="29"/>
        <v>#DIV/0!</v>
      </c>
      <c r="AG120" s="15" t="e">
        <f t="shared" si="30"/>
        <v>#DIV/0!</v>
      </c>
      <c r="AH120" s="15" t="e">
        <f t="shared" si="31"/>
        <v>#N/A</v>
      </c>
      <c r="AI120" s="15" t="e">
        <f t="shared" si="32"/>
        <v>#N/A</v>
      </c>
      <c r="AJ120" s="15" t="e">
        <f t="shared" si="33"/>
        <v>#N/A</v>
      </c>
      <c r="AK120" s="15" t="e">
        <f t="shared" si="34"/>
        <v>#N/A</v>
      </c>
      <c r="AL120" s="15" t="e">
        <f t="shared" si="35"/>
        <v>#N/A</v>
      </c>
    </row>
    <row r="121" spans="22:38" x14ac:dyDescent="0.3">
      <c r="V121" s="15">
        <f t="shared" si="20"/>
        <v>0</v>
      </c>
      <c r="W121" s="15">
        <f t="shared" si="21"/>
        <v>0</v>
      </c>
      <c r="X121" s="15">
        <f t="shared" si="22"/>
        <v>0</v>
      </c>
      <c r="Y121" s="15">
        <f t="shared" si="23"/>
        <v>0</v>
      </c>
      <c r="Z121" s="15">
        <f t="shared" si="24"/>
        <v>0</v>
      </c>
      <c r="AA121" s="15">
        <f t="shared" si="25"/>
        <v>0</v>
      </c>
      <c r="AB121" s="15">
        <f t="shared" si="26"/>
        <v>0</v>
      </c>
      <c r="AC121" s="15" t="e">
        <f>T121-VLOOKUP(M121, Beakers!$A$2:$C$151, 3, 0)</f>
        <v>#N/A</v>
      </c>
      <c r="AD121" s="15" t="e">
        <f t="shared" si="27"/>
        <v>#N/A</v>
      </c>
      <c r="AE121" s="15" t="e">
        <f t="shared" si="28"/>
        <v>#N/A</v>
      </c>
      <c r="AF121" s="15" t="e">
        <f t="shared" si="29"/>
        <v>#DIV/0!</v>
      </c>
      <c r="AG121" s="15" t="e">
        <f t="shared" si="30"/>
        <v>#DIV/0!</v>
      </c>
      <c r="AH121" s="15" t="e">
        <f t="shared" si="31"/>
        <v>#N/A</v>
      </c>
      <c r="AI121" s="15" t="e">
        <f t="shared" si="32"/>
        <v>#N/A</v>
      </c>
      <c r="AJ121" s="15" t="e">
        <f t="shared" si="33"/>
        <v>#N/A</v>
      </c>
      <c r="AK121" s="15" t="e">
        <f t="shared" si="34"/>
        <v>#N/A</v>
      </c>
      <c r="AL121" s="15" t="e">
        <f t="shared" si="35"/>
        <v>#N/A</v>
      </c>
    </row>
    <row r="122" spans="22:38" x14ac:dyDescent="0.3">
      <c r="V122" s="15">
        <f t="shared" si="20"/>
        <v>0</v>
      </c>
      <c r="W122" s="15">
        <f t="shared" si="21"/>
        <v>0</v>
      </c>
      <c r="X122" s="15">
        <f t="shared" si="22"/>
        <v>0</v>
      </c>
      <c r="Y122" s="15">
        <f t="shared" si="23"/>
        <v>0</v>
      </c>
      <c r="Z122" s="15">
        <f t="shared" si="24"/>
        <v>0</v>
      </c>
      <c r="AA122" s="15">
        <f t="shared" si="25"/>
        <v>0</v>
      </c>
      <c r="AB122" s="15">
        <f t="shared" si="26"/>
        <v>0</v>
      </c>
      <c r="AC122" s="15" t="e">
        <f>T122-VLOOKUP(M122, Beakers!$A$2:$C$151, 3, 0)</f>
        <v>#N/A</v>
      </c>
      <c r="AD122" s="15" t="e">
        <f t="shared" si="27"/>
        <v>#N/A</v>
      </c>
      <c r="AE122" s="15" t="e">
        <f t="shared" si="28"/>
        <v>#N/A</v>
      </c>
      <c r="AF122" s="15" t="e">
        <f t="shared" si="29"/>
        <v>#DIV/0!</v>
      </c>
      <c r="AG122" s="15" t="e">
        <f t="shared" si="30"/>
        <v>#DIV/0!</v>
      </c>
      <c r="AH122" s="15" t="e">
        <f t="shared" si="31"/>
        <v>#N/A</v>
      </c>
      <c r="AI122" s="15" t="e">
        <f t="shared" si="32"/>
        <v>#N/A</v>
      </c>
      <c r="AJ122" s="15" t="e">
        <f t="shared" si="33"/>
        <v>#N/A</v>
      </c>
      <c r="AK122" s="15" t="e">
        <f t="shared" si="34"/>
        <v>#N/A</v>
      </c>
      <c r="AL122" s="15" t="e">
        <f t="shared" si="35"/>
        <v>#N/A</v>
      </c>
    </row>
    <row r="123" spans="22:38" x14ac:dyDescent="0.3">
      <c r="V123" s="15">
        <f t="shared" si="20"/>
        <v>0</v>
      </c>
      <c r="W123" s="15">
        <f t="shared" si="21"/>
        <v>0</v>
      </c>
      <c r="X123" s="15">
        <f t="shared" si="22"/>
        <v>0</v>
      </c>
      <c r="Y123" s="15">
        <f t="shared" si="23"/>
        <v>0</v>
      </c>
      <c r="Z123" s="15">
        <f t="shared" si="24"/>
        <v>0</v>
      </c>
      <c r="AA123" s="15">
        <f t="shared" ref="AA123:AA181" si="36">X123/1.024</f>
        <v>0</v>
      </c>
      <c r="AB123" s="15">
        <f t="shared" si="26"/>
        <v>0</v>
      </c>
      <c r="AC123" s="15" t="e">
        <f>T123-VLOOKUP(M123, Beakers!$A$2:$C$151, 3, 0)</f>
        <v>#N/A</v>
      </c>
      <c r="AD123" s="15" t="e">
        <f t="shared" si="27"/>
        <v>#N/A</v>
      </c>
      <c r="AE123" s="15" t="e">
        <f t="shared" si="28"/>
        <v>#N/A</v>
      </c>
      <c r="AF123" s="15" t="e">
        <f t="shared" si="29"/>
        <v>#DIV/0!</v>
      </c>
      <c r="AG123" s="15" t="e">
        <f t="shared" si="30"/>
        <v>#DIV/0!</v>
      </c>
      <c r="AH123" s="15" t="e">
        <f t="shared" si="31"/>
        <v>#N/A</v>
      </c>
      <c r="AI123" s="15" t="e">
        <f t="shared" si="32"/>
        <v>#N/A</v>
      </c>
      <c r="AJ123" s="15" t="e">
        <f t="shared" si="33"/>
        <v>#N/A</v>
      </c>
      <c r="AK123" s="15" t="e">
        <f t="shared" si="34"/>
        <v>#N/A</v>
      </c>
      <c r="AL123" s="15" t="e">
        <f t="shared" si="35"/>
        <v>#N/A</v>
      </c>
    </row>
    <row r="124" spans="22:38" x14ac:dyDescent="0.3">
      <c r="V124" s="15">
        <f t="shared" si="20"/>
        <v>0</v>
      </c>
      <c r="W124" s="15">
        <f t="shared" si="21"/>
        <v>0</v>
      </c>
      <c r="X124" s="15">
        <f t="shared" si="22"/>
        <v>0</v>
      </c>
      <c r="Y124" s="15">
        <f t="shared" si="23"/>
        <v>0</v>
      </c>
      <c r="Z124" s="15">
        <f t="shared" si="24"/>
        <v>0</v>
      </c>
      <c r="AA124" s="15">
        <f t="shared" si="36"/>
        <v>0</v>
      </c>
      <c r="AB124" s="15">
        <f t="shared" si="26"/>
        <v>0</v>
      </c>
      <c r="AC124" s="15" t="e">
        <f>T124-VLOOKUP(M124, Beakers!$A$2:$C$151, 3, 0)</f>
        <v>#N/A</v>
      </c>
      <c r="AD124" s="15" t="e">
        <f t="shared" si="27"/>
        <v>#N/A</v>
      </c>
      <c r="AE124" s="15" t="e">
        <f t="shared" si="28"/>
        <v>#N/A</v>
      </c>
      <c r="AF124" s="15" t="e">
        <f t="shared" si="29"/>
        <v>#DIV/0!</v>
      </c>
      <c r="AG124" s="15" t="e">
        <f t="shared" si="30"/>
        <v>#DIV/0!</v>
      </c>
      <c r="AH124" s="15" t="e">
        <f t="shared" si="31"/>
        <v>#N/A</v>
      </c>
      <c r="AI124" s="15" t="e">
        <f t="shared" si="32"/>
        <v>#N/A</v>
      </c>
      <c r="AJ124" s="15" t="e">
        <f t="shared" si="33"/>
        <v>#N/A</v>
      </c>
      <c r="AK124" s="15" t="e">
        <f t="shared" si="34"/>
        <v>#N/A</v>
      </c>
      <c r="AL124" s="15" t="e">
        <f t="shared" si="35"/>
        <v>#N/A</v>
      </c>
    </row>
    <row r="125" spans="22:38" x14ac:dyDescent="0.3">
      <c r="V125" s="15">
        <f t="shared" si="20"/>
        <v>0</v>
      </c>
      <c r="W125" s="15">
        <f t="shared" si="21"/>
        <v>0</v>
      </c>
      <c r="X125" s="15">
        <f t="shared" si="22"/>
        <v>0</v>
      </c>
      <c r="Y125" s="15">
        <f t="shared" si="23"/>
        <v>0</v>
      </c>
      <c r="Z125" s="15">
        <f t="shared" si="24"/>
        <v>0</v>
      </c>
      <c r="AA125" s="15">
        <f t="shared" si="36"/>
        <v>0</v>
      </c>
      <c r="AB125" s="15">
        <f t="shared" si="26"/>
        <v>0</v>
      </c>
      <c r="AC125" s="15" t="e">
        <f>T125-VLOOKUP(M125, Beakers!$A$2:$C$151, 3, 0)</f>
        <v>#N/A</v>
      </c>
      <c r="AD125" s="15" t="e">
        <f t="shared" si="27"/>
        <v>#N/A</v>
      </c>
      <c r="AE125" s="15" t="e">
        <f t="shared" si="28"/>
        <v>#N/A</v>
      </c>
      <c r="AF125" s="15" t="e">
        <f t="shared" si="29"/>
        <v>#DIV/0!</v>
      </c>
      <c r="AG125" s="15" t="e">
        <f t="shared" si="30"/>
        <v>#DIV/0!</v>
      </c>
      <c r="AH125" s="15" t="e">
        <f t="shared" si="31"/>
        <v>#N/A</v>
      </c>
      <c r="AI125" s="15" t="e">
        <f t="shared" si="32"/>
        <v>#N/A</v>
      </c>
      <c r="AJ125" s="15" t="e">
        <f t="shared" si="33"/>
        <v>#N/A</v>
      </c>
      <c r="AK125" s="15" t="e">
        <f t="shared" si="34"/>
        <v>#N/A</v>
      </c>
      <c r="AL125" s="15" t="e">
        <f t="shared" si="35"/>
        <v>#N/A</v>
      </c>
    </row>
    <row r="126" spans="22:38" x14ac:dyDescent="0.3">
      <c r="V126" s="15">
        <f t="shared" si="20"/>
        <v>0</v>
      </c>
      <c r="W126" s="15">
        <f t="shared" si="21"/>
        <v>0</v>
      </c>
      <c r="X126" s="15">
        <f t="shared" si="22"/>
        <v>0</v>
      </c>
      <c r="Y126" s="15">
        <f t="shared" si="23"/>
        <v>0</v>
      </c>
      <c r="Z126" s="15">
        <f t="shared" si="24"/>
        <v>0</v>
      </c>
      <c r="AA126" s="15">
        <f t="shared" si="36"/>
        <v>0</v>
      </c>
      <c r="AB126" s="15">
        <f t="shared" si="26"/>
        <v>0</v>
      </c>
      <c r="AC126" s="15" t="e">
        <f>T126-VLOOKUP(M126, Beakers!$A$2:$C$151, 3, 0)</f>
        <v>#N/A</v>
      </c>
      <c r="AD126" s="15" t="e">
        <f t="shared" si="27"/>
        <v>#N/A</v>
      </c>
      <c r="AE126" s="15" t="e">
        <f t="shared" si="28"/>
        <v>#N/A</v>
      </c>
      <c r="AF126" s="15" t="e">
        <f t="shared" si="29"/>
        <v>#DIV/0!</v>
      </c>
      <c r="AG126" s="15" t="e">
        <f t="shared" si="30"/>
        <v>#DIV/0!</v>
      </c>
      <c r="AH126" s="15" t="e">
        <f t="shared" si="31"/>
        <v>#N/A</v>
      </c>
      <c r="AI126" s="15" t="e">
        <f t="shared" si="32"/>
        <v>#N/A</v>
      </c>
      <c r="AJ126" s="15" t="e">
        <f t="shared" si="33"/>
        <v>#N/A</v>
      </c>
      <c r="AK126" s="15" t="e">
        <f t="shared" si="34"/>
        <v>#N/A</v>
      </c>
      <c r="AL126" s="15" t="e">
        <f t="shared" si="35"/>
        <v>#N/A</v>
      </c>
    </row>
    <row r="127" spans="22:38" x14ac:dyDescent="0.3">
      <c r="V127" s="15">
        <f t="shared" si="20"/>
        <v>0</v>
      </c>
      <c r="W127" s="15">
        <f t="shared" si="21"/>
        <v>0</v>
      </c>
      <c r="X127" s="15">
        <f t="shared" si="22"/>
        <v>0</v>
      </c>
      <c r="Y127" s="15">
        <f t="shared" si="23"/>
        <v>0</v>
      </c>
      <c r="Z127" s="15">
        <f t="shared" si="24"/>
        <v>0</v>
      </c>
      <c r="AA127" s="15">
        <f t="shared" si="36"/>
        <v>0</v>
      </c>
      <c r="AB127" s="15">
        <f t="shared" si="26"/>
        <v>0</v>
      </c>
      <c r="AC127" s="15" t="e">
        <f>T127-VLOOKUP(M127, Beakers!$A$2:$C$151, 3, 0)</f>
        <v>#N/A</v>
      </c>
      <c r="AD127" s="15" t="e">
        <f t="shared" si="27"/>
        <v>#N/A</v>
      </c>
      <c r="AE127" s="15" t="e">
        <f t="shared" si="28"/>
        <v>#N/A</v>
      </c>
      <c r="AF127" s="15" t="e">
        <f t="shared" si="29"/>
        <v>#DIV/0!</v>
      </c>
      <c r="AG127" s="15" t="e">
        <f t="shared" si="30"/>
        <v>#DIV/0!</v>
      </c>
      <c r="AH127" s="15" t="e">
        <f t="shared" si="31"/>
        <v>#N/A</v>
      </c>
      <c r="AI127" s="15" t="e">
        <f t="shared" si="32"/>
        <v>#N/A</v>
      </c>
      <c r="AJ127" s="15" t="e">
        <f t="shared" si="33"/>
        <v>#N/A</v>
      </c>
      <c r="AK127" s="15" t="e">
        <f t="shared" si="34"/>
        <v>#N/A</v>
      </c>
      <c r="AL127" s="15" t="e">
        <f t="shared" si="35"/>
        <v>#N/A</v>
      </c>
    </row>
    <row r="128" spans="22:38" x14ac:dyDescent="0.3">
      <c r="V128" s="15">
        <f t="shared" si="20"/>
        <v>0</v>
      </c>
      <c r="W128" s="15">
        <f t="shared" si="21"/>
        <v>0</v>
      </c>
      <c r="X128" s="15">
        <f t="shared" si="22"/>
        <v>0</v>
      </c>
      <c r="Y128" s="15">
        <f t="shared" si="23"/>
        <v>0</v>
      </c>
      <c r="Z128" s="15">
        <f t="shared" si="24"/>
        <v>0</v>
      </c>
      <c r="AA128" s="15">
        <f t="shared" si="36"/>
        <v>0</v>
      </c>
      <c r="AB128" s="15">
        <f t="shared" si="26"/>
        <v>0</v>
      </c>
      <c r="AC128" s="15" t="e">
        <f>T128-VLOOKUP(M128, Beakers!$A$2:$C$151, 3, 0)</f>
        <v>#N/A</v>
      </c>
      <c r="AD128" s="15" t="e">
        <f t="shared" si="27"/>
        <v>#N/A</v>
      </c>
      <c r="AE128" s="15" t="e">
        <f t="shared" si="28"/>
        <v>#N/A</v>
      </c>
      <c r="AF128" s="15" t="e">
        <f t="shared" si="29"/>
        <v>#DIV/0!</v>
      </c>
      <c r="AG128" s="15" t="e">
        <f t="shared" si="30"/>
        <v>#DIV/0!</v>
      </c>
      <c r="AH128" s="15" t="e">
        <f t="shared" si="31"/>
        <v>#N/A</v>
      </c>
      <c r="AI128" s="15" t="e">
        <f t="shared" si="32"/>
        <v>#N/A</v>
      </c>
      <c r="AJ128" s="15" t="e">
        <f t="shared" si="33"/>
        <v>#N/A</v>
      </c>
      <c r="AK128" s="15" t="e">
        <f t="shared" si="34"/>
        <v>#N/A</v>
      </c>
      <c r="AL128" s="15" t="e">
        <f t="shared" si="35"/>
        <v>#N/A</v>
      </c>
    </row>
    <row r="129" spans="22:38" x14ac:dyDescent="0.3">
      <c r="V129" s="15">
        <f t="shared" si="20"/>
        <v>0</v>
      </c>
      <c r="W129" s="15">
        <f t="shared" si="21"/>
        <v>0</v>
      </c>
      <c r="X129" s="15">
        <f t="shared" si="22"/>
        <v>0</v>
      </c>
      <c r="Y129" s="15">
        <f t="shared" si="23"/>
        <v>0</v>
      </c>
      <c r="Z129" s="15">
        <f t="shared" si="24"/>
        <v>0</v>
      </c>
      <c r="AA129" s="15">
        <f t="shared" si="36"/>
        <v>0</v>
      </c>
      <c r="AB129" s="15">
        <f t="shared" si="26"/>
        <v>0</v>
      </c>
      <c r="AC129" s="15" t="e">
        <f>T129-VLOOKUP(M129, Beakers!$A$2:$C$151, 3, 0)</f>
        <v>#N/A</v>
      </c>
      <c r="AD129" s="15" t="e">
        <f t="shared" si="27"/>
        <v>#N/A</v>
      </c>
      <c r="AE129" s="15" t="e">
        <f t="shared" si="28"/>
        <v>#N/A</v>
      </c>
      <c r="AF129" s="15" t="e">
        <f t="shared" si="29"/>
        <v>#DIV/0!</v>
      </c>
      <c r="AG129" s="15" t="e">
        <f t="shared" si="30"/>
        <v>#DIV/0!</v>
      </c>
      <c r="AH129" s="15" t="e">
        <f t="shared" si="31"/>
        <v>#N/A</v>
      </c>
      <c r="AI129" s="15" t="e">
        <f t="shared" si="32"/>
        <v>#N/A</v>
      </c>
      <c r="AJ129" s="15" t="e">
        <f t="shared" si="33"/>
        <v>#N/A</v>
      </c>
      <c r="AK129" s="15" t="e">
        <f t="shared" si="34"/>
        <v>#N/A</v>
      </c>
      <c r="AL129" s="15" t="e">
        <f t="shared" si="35"/>
        <v>#N/A</v>
      </c>
    </row>
    <row r="130" spans="22:38" x14ac:dyDescent="0.3">
      <c r="V130" s="15">
        <f t="shared" si="20"/>
        <v>0</v>
      </c>
      <c r="W130" s="15">
        <f t="shared" si="21"/>
        <v>0</v>
      </c>
      <c r="X130" s="15">
        <f t="shared" si="22"/>
        <v>0</v>
      </c>
      <c r="Y130" s="15">
        <f t="shared" si="23"/>
        <v>0</v>
      </c>
      <c r="Z130" s="15">
        <f t="shared" si="24"/>
        <v>0</v>
      </c>
      <c r="AA130" s="15">
        <f t="shared" si="36"/>
        <v>0</v>
      </c>
      <c r="AB130" s="15">
        <f t="shared" si="26"/>
        <v>0</v>
      </c>
      <c r="AC130" s="15" t="e">
        <f>T130-VLOOKUP(M130, Beakers!$A$2:$C$151, 3, 0)</f>
        <v>#N/A</v>
      </c>
      <c r="AD130" s="15" t="e">
        <f t="shared" si="27"/>
        <v>#N/A</v>
      </c>
      <c r="AE130" s="15" t="e">
        <f t="shared" si="28"/>
        <v>#N/A</v>
      </c>
      <c r="AF130" s="15" t="e">
        <f t="shared" si="29"/>
        <v>#DIV/0!</v>
      </c>
      <c r="AG130" s="15" t="e">
        <f t="shared" si="30"/>
        <v>#DIV/0!</v>
      </c>
      <c r="AH130" s="15" t="e">
        <f t="shared" si="31"/>
        <v>#N/A</v>
      </c>
      <c r="AI130" s="15" t="e">
        <f t="shared" si="32"/>
        <v>#N/A</v>
      </c>
      <c r="AJ130" s="15" t="e">
        <f t="shared" si="33"/>
        <v>#N/A</v>
      </c>
      <c r="AK130" s="15" t="e">
        <f t="shared" si="34"/>
        <v>#N/A</v>
      </c>
      <c r="AL130" s="15" t="e">
        <f t="shared" si="35"/>
        <v>#N/A</v>
      </c>
    </row>
    <row r="131" spans="22:38" x14ac:dyDescent="0.3">
      <c r="V131" s="15">
        <f t="shared" si="20"/>
        <v>0</v>
      </c>
      <c r="W131" s="15">
        <f t="shared" si="21"/>
        <v>0</v>
      </c>
      <c r="X131" s="15">
        <f t="shared" si="22"/>
        <v>0</v>
      </c>
      <c r="Y131" s="15">
        <f t="shared" si="23"/>
        <v>0</v>
      </c>
      <c r="Z131" s="15">
        <f t="shared" si="24"/>
        <v>0</v>
      </c>
      <c r="AA131" s="15">
        <f t="shared" si="36"/>
        <v>0</v>
      </c>
      <c r="AB131" s="15">
        <f t="shared" si="26"/>
        <v>0</v>
      </c>
      <c r="AC131" s="15" t="e">
        <f>T131-VLOOKUP(M131, Beakers!$A$2:$C$151, 3, 0)</f>
        <v>#N/A</v>
      </c>
      <c r="AD131" s="15" t="e">
        <f t="shared" si="27"/>
        <v>#N/A</v>
      </c>
      <c r="AE131" s="15" t="e">
        <f t="shared" si="28"/>
        <v>#N/A</v>
      </c>
      <c r="AF131" s="15" t="e">
        <f t="shared" si="29"/>
        <v>#DIV/0!</v>
      </c>
      <c r="AG131" s="15" t="e">
        <f t="shared" si="30"/>
        <v>#DIV/0!</v>
      </c>
      <c r="AH131" s="15" t="e">
        <f t="shared" si="31"/>
        <v>#N/A</v>
      </c>
      <c r="AI131" s="15" t="e">
        <f t="shared" si="32"/>
        <v>#N/A</v>
      </c>
      <c r="AJ131" s="15" t="e">
        <f t="shared" si="33"/>
        <v>#N/A</v>
      </c>
      <c r="AK131" s="15" t="e">
        <f t="shared" si="34"/>
        <v>#N/A</v>
      </c>
      <c r="AL131" s="15" t="e">
        <f t="shared" si="35"/>
        <v>#N/A</v>
      </c>
    </row>
    <row r="132" spans="22:38" x14ac:dyDescent="0.3">
      <c r="V132" s="15">
        <f t="shared" si="20"/>
        <v>0</v>
      </c>
      <c r="W132" s="15">
        <f t="shared" si="21"/>
        <v>0</v>
      </c>
      <c r="X132" s="15">
        <f t="shared" si="22"/>
        <v>0</v>
      </c>
      <c r="Y132" s="15">
        <f t="shared" si="23"/>
        <v>0</v>
      </c>
      <c r="Z132" s="15">
        <f t="shared" si="24"/>
        <v>0</v>
      </c>
      <c r="AA132" s="15">
        <f t="shared" si="36"/>
        <v>0</v>
      </c>
      <c r="AB132" s="15">
        <f t="shared" si="26"/>
        <v>0</v>
      </c>
      <c r="AC132" s="15" t="e">
        <f>T132-VLOOKUP(M132, Beakers!$A$2:$C$151, 3, 0)</f>
        <v>#N/A</v>
      </c>
      <c r="AD132" s="15" t="e">
        <f t="shared" si="27"/>
        <v>#N/A</v>
      </c>
      <c r="AE132" s="15" t="e">
        <f t="shared" si="28"/>
        <v>#N/A</v>
      </c>
      <c r="AF132" s="15" t="e">
        <f t="shared" si="29"/>
        <v>#DIV/0!</v>
      </c>
      <c r="AG132" s="15" t="e">
        <f t="shared" si="30"/>
        <v>#DIV/0!</v>
      </c>
      <c r="AH132" s="15" t="e">
        <f t="shared" si="31"/>
        <v>#N/A</v>
      </c>
      <c r="AI132" s="15" t="e">
        <f t="shared" si="32"/>
        <v>#N/A</v>
      </c>
      <c r="AJ132" s="15" t="e">
        <f t="shared" si="33"/>
        <v>#N/A</v>
      </c>
      <c r="AK132" s="15" t="e">
        <f t="shared" si="34"/>
        <v>#N/A</v>
      </c>
      <c r="AL132" s="15" t="e">
        <f t="shared" si="35"/>
        <v>#N/A</v>
      </c>
    </row>
    <row r="133" spans="22:38" x14ac:dyDescent="0.3">
      <c r="V133" s="15">
        <f t="shared" si="20"/>
        <v>0</v>
      </c>
      <c r="W133" s="15">
        <f t="shared" si="21"/>
        <v>0</v>
      </c>
      <c r="X133" s="15">
        <f t="shared" si="22"/>
        <v>0</v>
      </c>
      <c r="Y133" s="15">
        <f t="shared" si="23"/>
        <v>0</v>
      </c>
      <c r="Z133" s="15">
        <f t="shared" si="24"/>
        <v>0</v>
      </c>
      <c r="AA133" s="15">
        <f t="shared" si="36"/>
        <v>0</v>
      </c>
      <c r="AB133" s="15">
        <f t="shared" si="26"/>
        <v>0</v>
      </c>
      <c r="AC133" s="15" t="e">
        <f>T133-VLOOKUP(M133, Beakers!$A$2:$C$151, 3, 0)</f>
        <v>#N/A</v>
      </c>
      <c r="AD133" s="15" t="e">
        <f t="shared" si="27"/>
        <v>#N/A</v>
      </c>
      <c r="AE133" s="15" t="e">
        <f t="shared" si="28"/>
        <v>#N/A</v>
      </c>
      <c r="AF133" s="15" t="e">
        <f t="shared" si="29"/>
        <v>#DIV/0!</v>
      </c>
      <c r="AG133" s="15" t="e">
        <f t="shared" si="30"/>
        <v>#DIV/0!</v>
      </c>
      <c r="AH133" s="15" t="e">
        <f t="shared" si="31"/>
        <v>#N/A</v>
      </c>
      <c r="AI133" s="15" t="e">
        <f t="shared" si="32"/>
        <v>#N/A</v>
      </c>
      <c r="AJ133" s="15" t="e">
        <f t="shared" si="33"/>
        <v>#N/A</v>
      </c>
      <c r="AK133" s="15" t="e">
        <f t="shared" si="34"/>
        <v>#N/A</v>
      </c>
      <c r="AL133" s="15" t="e">
        <f t="shared" si="35"/>
        <v>#N/A</v>
      </c>
    </row>
    <row r="134" spans="22:38" x14ac:dyDescent="0.3">
      <c r="V134" s="15">
        <f t="shared" si="20"/>
        <v>0</v>
      </c>
      <c r="W134" s="15">
        <f t="shared" si="21"/>
        <v>0</v>
      </c>
      <c r="X134" s="15">
        <f t="shared" si="22"/>
        <v>0</v>
      </c>
      <c r="Y134" s="15">
        <f t="shared" si="23"/>
        <v>0</v>
      </c>
      <c r="Z134" s="15">
        <f t="shared" si="24"/>
        <v>0</v>
      </c>
      <c r="AA134" s="15">
        <f t="shared" si="36"/>
        <v>0</v>
      </c>
      <c r="AB134" s="15">
        <f t="shared" si="26"/>
        <v>0</v>
      </c>
      <c r="AC134" s="15" t="e">
        <f>T134-VLOOKUP(M134, Beakers!$A$2:$C$151, 3, 0)</f>
        <v>#N/A</v>
      </c>
      <c r="AD134" s="15" t="e">
        <f t="shared" si="27"/>
        <v>#N/A</v>
      </c>
      <c r="AE134" s="15" t="e">
        <f t="shared" si="28"/>
        <v>#N/A</v>
      </c>
      <c r="AF134" s="15" t="e">
        <f t="shared" si="29"/>
        <v>#DIV/0!</v>
      </c>
      <c r="AG134" s="15" t="e">
        <f t="shared" si="30"/>
        <v>#DIV/0!</v>
      </c>
      <c r="AH134" s="15" t="e">
        <f t="shared" si="31"/>
        <v>#N/A</v>
      </c>
      <c r="AI134" s="15" t="e">
        <f t="shared" si="32"/>
        <v>#N/A</v>
      </c>
      <c r="AJ134" s="15" t="e">
        <f t="shared" si="33"/>
        <v>#N/A</v>
      </c>
      <c r="AK134" s="15" t="e">
        <f t="shared" si="34"/>
        <v>#N/A</v>
      </c>
      <c r="AL134" s="15" t="e">
        <f t="shared" si="35"/>
        <v>#N/A</v>
      </c>
    </row>
    <row r="135" spans="22:38" x14ac:dyDescent="0.3">
      <c r="V135" s="15">
        <f t="shared" si="20"/>
        <v>0</v>
      </c>
      <c r="W135" s="15">
        <f t="shared" si="21"/>
        <v>0</v>
      </c>
      <c r="X135" s="15">
        <f t="shared" si="22"/>
        <v>0</v>
      </c>
      <c r="Y135" s="15">
        <f t="shared" si="23"/>
        <v>0</v>
      </c>
      <c r="Z135" s="15">
        <f t="shared" si="24"/>
        <v>0</v>
      </c>
      <c r="AA135" s="15">
        <f t="shared" si="36"/>
        <v>0</v>
      </c>
      <c r="AB135" s="15">
        <f t="shared" si="26"/>
        <v>0</v>
      </c>
      <c r="AC135" s="15" t="e">
        <f>T135-VLOOKUP(M135, Beakers!$A$2:$C$151, 3, 0)</f>
        <v>#N/A</v>
      </c>
      <c r="AD135" s="15" t="e">
        <f t="shared" si="27"/>
        <v>#N/A</v>
      </c>
      <c r="AE135" s="15" t="e">
        <f t="shared" si="28"/>
        <v>#N/A</v>
      </c>
      <c r="AF135" s="15" t="e">
        <f t="shared" si="29"/>
        <v>#DIV/0!</v>
      </c>
      <c r="AG135" s="15" t="e">
        <f t="shared" si="30"/>
        <v>#DIV/0!</v>
      </c>
      <c r="AH135" s="15" t="e">
        <f t="shared" si="31"/>
        <v>#N/A</v>
      </c>
      <c r="AI135" s="15" t="e">
        <f t="shared" si="32"/>
        <v>#N/A</v>
      </c>
      <c r="AJ135" s="15" t="e">
        <f t="shared" si="33"/>
        <v>#N/A</v>
      </c>
      <c r="AK135" s="15" t="e">
        <f t="shared" si="34"/>
        <v>#N/A</v>
      </c>
      <c r="AL135" s="15" t="e">
        <f t="shared" si="35"/>
        <v>#N/A</v>
      </c>
    </row>
    <row r="136" spans="22:38" x14ac:dyDescent="0.3">
      <c r="V136" s="15">
        <f t="shared" si="20"/>
        <v>0</v>
      </c>
      <c r="W136" s="15">
        <f t="shared" si="21"/>
        <v>0</v>
      </c>
      <c r="X136" s="15">
        <f t="shared" si="22"/>
        <v>0</v>
      </c>
      <c r="Y136" s="15">
        <f t="shared" si="23"/>
        <v>0</v>
      </c>
      <c r="Z136" s="15">
        <f t="shared" si="24"/>
        <v>0</v>
      </c>
      <c r="AA136" s="15">
        <f t="shared" si="36"/>
        <v>0</v>
      </c>
      <c r="AB136" s="15">
        <f t="shared" si="26"/>
        <v>0</v>
      </c>
      <c r="AC136" s="15" t="e">
        <f>T136-VLOOKUP(M136, Beakers!$A$2:$C$151, 3, 0)</f>
        <v>#N/A</v>
      </c>
      <c r="AD136" s="15" t="e">
        <f t="shared" si="27"/>
        <v>#N/A</v>
      </c>
      <c r="AE136" s="15" t="e">
        <f t="shared" si="28"/>
        <v>#N/A</v>
      </c>
      <c r="AF136" s="15" t="e">
        <f t="shared" si="29"/>
        <v>#DIV/0!</v>
      </c>
      <c r="AG136" s="15" t="e">
        <f t="shared" si="30"/>
        <v>#DIV/0!</v>
      </c>
      <c r="AH136" s="15" t="e">
        <f t="shared" si="31"/>
        <v>#N/A</v>
      </c>
      <c r="AI136" s="15" t="e">
        <f t="shared" si="32"/>
        <v>#N/A</v>
      </c>
      <c r="AJ136" s="15" t="e">
        <f t="shared" si="33"/>
        <v>#N/A</v>
      </c>
      <c r="AK136" s="15" t="e">
        <f t="shared" si="34"/>
        <v>#N/A</v>
      </c>
      <c r="AL136" s="15" t="e">
        <f t="shared" si="35"/>
        <v>#N/A</v>
      </c>
    </row>
    <row r="137" spans="22:38" x14ac:dyDescent="0.3">
      <c r="V137" s="15">
        <f t="shared" si="20"/>
        <v>0</v>
      </c>
      <c r="W137" s="15">
        <f t="shared" si="21"/>
        <v>0</v>
      </c>
      <c r="X137" s="15">
        <f t="shared" si="22"/>
        <v>0</v>
      </c>
      <c r="Y137" s="15">
        <f t="shared" si="23"/>
        <v>0</v>
      </c>
      <c r="Z137" s="15">
        <f t="shared" si="24"/>
        <v>0</v>
      </c>
      <c r="AA137" s="15">
        <f t="shared" si="36"/>
        <v>0</v>
      </c>
      <c r="AB137" s="15">
        <f t="shared" si="26"/>
        <v>0</v>
      </c>
      <c r="AC137" s="15" t="e">
        <f>T137-VLOOKUP(M137, Beakers!$A$2:$C$151, 3, 0)</f>
        <v>#N/A</v>
      </c>
      <c r="AD137" s="15" t="e">
        <f t="shared" si="27"/>
        <v>#N/A</v>
      </c>
      <c r="AE137" s="15" t="e">
        <f t="shared" si="28"/>
        <v>#N/A</v>
      </c>
      <c r="AF137" s="15" t="e">
        <f t="shared" si="29"/>
        <v>#DIV/0!</v>
      </c>
      <c r="AG137" s="15" t="e">
        <f t="shared" si="30"/>
        <v>#DIV/0!</v>
      </c>
      <c r="AH137" s="15" t="e">
        <f t="shared" si="31"/>
        <v>#N/A</v>
      </c>
      <c r="AI137" s="15" t="e">
        <f t="shared" si="32"/>
        <v>#N/A</v>
      </c>
      <c r="AJ137" s="15" t="e">
        <f t="shared" si="33"/>
        <v>#N/A</v>
      </c>
      <c r="AK137" s="15" t="e">
        <f t="shared" si="34"/>
        <v>#N/A</v>
      </c>
      <c r="AL137" s="15" t="e">
        <f t="shared" si="35"/>
        <v>#N/A</v>
      </c>
    </row>
    <row r="138" spans="22:38" x14ac:dyDescent="0.3">
      <c r="V138" s="15">
        <f t="shared" si="20"/>
        <v>0</v>
      </c>
      <c r="W138" s="15">
        <f t="shared" si="21"/>
        <v>0</v>
      </c>
      <c r="X138" s="15">
        <f t="shared" si="22"/>
        <v>0</v>
      </c>
      <c r="Y138" s="15">
        <f t="shared" si="23"/>
        <v>0</v>
      </c>
      <c r="Z138" s="15">
        <f t="shared" si="24"/>
        <v>0</v>
      </c>
      <c r="AA138" s="15">
        <f t="shared" si="36"/>
        <v>0</v>
      </c>
      <c r="AB138" s="15">
        <f t="shared" si="26"/>
        <v>0</v>
      </c>
      <c r="AC138" s="15" t="e">
        <f>T138-VLOOKUP(M138, Beakers!$A$2:$C$151, 3, 0)</f>
        <v>#N/A</v>
      </c>
      <c r="AD138" s="15" t="e">
        <f t="shared" si="27"/>
        <v>#N/A</v>
      </c>
      <c r="AE138" s="15" t="e">
        <f t="shared" si="28"/>
        <v>#N/A</v>
      </c>
      <c r="AF138" s="15" t="e">
        <f t="shared" si="29"/>
        <v>#DIV/0!</v>
      </c>
      <c r="AG138" s="15" t="e">
        <f t="shared" si="30"/>
        <v>#DIV/0!</v>
      </c>
      <c r="AH138" s="15" t="e">
        <f t="shared" si="31"/>
        <v>#N/A</v>
      </c>
      <c r="AI138" s="15" t="e">
        <f t="shared" si="32"/>
        <v>#N/A</v>
      </c>
      <c r="AJ138" s="15" t="e">
        <f t="shared" si="33"/>
        <v>#N/A</v>
      </c>
      <c r="AK138" s="15" t="e">
        <f t="shared" si="34"/>
        <v>#N/A</v>
      </c>
      <c r="AL138" s="15" t="e">
        <f t="shared" si="35"/>
        <v>#N/A</v>
      </c>
    </row>
    <row r="139" spans="22:38" x14ac:dyDescent="0.3">
      <c r="V139" s="15">
        <f t="shared" si="20"/>
        <v>0</v>
      </c>
      <c r="W139" s="15">
        <f t="shared" si="21"/>
        <v>0</v>
      </c>
      <c r="X139" s="15">
        <f t="shared" si="22"/>
        <v>0</v>
      </c>
      <c r="Y139" s="15">
        <f t="shared" si="23"/>
        <v>0</v>
      </c>
      <c r="Z139" s="15">
        <f t="shared" si="24"/>
        <v>0</v>
      </c>
      <c r="AA139" s="15">
        <f t="shared" si="36"/>
        <v>0</v>
      </c>
      <c r="AB139" s="15">
        <f t="shared" si="26"/>
        <v>0</v>
      </c>
      <c r="AC139" s="15" t="e">
        <f>T139-VLOOKUP(M139, Beakers!$A$2:$C$151, 3, 0)</f>
        <v>#N/A</v>
      </c>
      <c r="AD139" s="15" t="e">
        <f t="shared" si="27"/>
        <v>#N/A</v>
      </c>
      <c r="AE139" s="15" t="e">
        <f t="shared" si="28"/>
        <v>#N/A</v>
      </c>
      <c r="AF139" s="15" t="e">
        <f t="shared" si="29"/>
        <v>#DIV/0!</v>
      </c>
      <c r="AG139" s="15" t="e">
        <f t="shared" si="30"/>
        <v>#DIV/0!</v>
      </c>
      <c r="AH139" s="15" t="e">
        <f t="shared" si="31"/>
        <v>#N/A</v>
      </c>
      <c r="AI139" s="15" t="e">
        <f t="shared" si="32"/>
        <v>#N/A</v>
      </c>
      <c r="AJ139" s="15" t="e">
        <f t="shared" si="33"/>
        <v>#N/A</v>
      </c>
      <c r="AK139" s="15" t="e">
        <f t="shared" si="34"/>
        <v>#N/A</v>
      </c>
      <c r="AL139" s="15" t="e">
        <f t="shared" si="35"/>
        <v>#N/A</v>
      </c>
    </row>
    <row r="140" spans="22:38" x14ac:dyDescent="0.3">
      <c r="V140" s="15">
        <f t="shared" si="20"/>
        <v>0</v>
      </c>
      <c r="W140" s="15">
        <f t="shared" si="21"/>
        <v>0</v>
      </c>
      <c r="X140" s="15">
        <f t="shared" si="22"/>
        <v>0</v>
      </c>
      <c r="Y140" s="15">
        <f t="shared" si="23"/>
        <v>0</v>
      </c>
      <c r="Z140" s="15">
        <f t="shared" si="24"/>
        <v>0</v>
      </c>
      <c r="AA140" s="15">
        <f t="shared" si="36"/>
        <v>0</v>
      </c>
      <c r="AB140" s="15">
        <f t="shared" si="26"/>
        <v>0</v>
      </c>
      <c r="AC140" s="15" t="e">
        <f>T140-VLOOKUP(M140, Beakers!$A$2:$C$151, 3, 0)</f>
        <v>#N/A</v>
      </c>
      <c r="AD140" s="15" t="e">
        <f t="shared" si="27"/>
        <v>#N/A</v>
      </c>
      <c r="AE140" s="15" t="e">
        <f t="shared" si="28"/>
        <v>#N/A</v>
      </c>
      <c r="AF140" s="15" t="e">
        <f t="shared" si="29"/>
        <v>#DIV/0!</v>
      </c>
      <c r="AG140" s="15" t="e">
        <f t="shared" si="30"/>
        <v>#DIV/0!</v>
      </c>
      <c r="AH140" s="15" t="e">
        <f t="shared" si="31"/>
        <v>#N/A</v>
      </c>
      <c r="AI140" s="15" t="e">
        <f t="shared" si="32"/>
        <v>#N/A</v>
      </c>
      <c r="AJ140" s="15" t="e">
        <f t="shared" si="33"/>
        <v>#N/A</v>
      </c>
      <c r="AK140" s="15" t="e">
        <f t="shared" si="34"/>
        <v>#N/A</v>
      </c>
      <c r="AL140" s="15" t="e">
        <f t="shared" si="35"/>
        <v>#N/A</v>
      </c>
    </row>
    <row r="141" spans="22:38" x14ac:dyDescent="0.3">
      <c r="V141" s="15">
        <f t="shared" si="20"/>
        <v>0</v>
      </c>
      <c r="W141" s="15">
        <f t="shared" si="21"/>
        <v>0</v>
      </c>
      <c r="X141" s="15">
        <f t="shared" si="22"/>
        <v>0</v>
      </c>
      <c r="Y141" s="15">
        <f t="shared" si="23"/>
        <v>0</v>
      </c>
      <c r="Z141" s="15">
        <f t="shared" si="24"/>
        <v>0</v>
      </c>
      <c r="AA141" s="15">
        <f t="shared" si="36"/>
        <v>0</v>
      </c>
      <c r="AB141" s="15">
        <f t="shared" si="26"/>
        <v>0</v>
      </c>
      <c r="AC141" s="15" t="e">
        <f>T141-VLOOKUP(M141, Beakers!$A$2:$C$151, 3, 0)</f>
        <v>#N/A</v>
      </c>
      <c r="AD141" s="15" t="e">
        <f t="shared" si="27"/>
        <v>#N/A</v>
      </c>
      <c r="AE141" s="15" t="e">
        <f t="shared" si="28"/>
        <v>#N/A</v>
      </c>
      <c r="AF141" s="15" t="e">
        <f t="shared" si="29"/>
        <v>#DIV/0!</v>
      </c>
      <c r="AG141" s="15" t="e">
        <f t="shared" si="30"/>
        <v>#DIV/0!</v>
      </c>
      <c r="AH141" s="15" t="e">
        <f t="shared" si="31"/>
        <v>#N/A</v>
      </c>
      <c r="AI141" s="15" t="e">
        <f t="shared" si="32"/>
        <v>#N/A</v>
      </c>
      <c r="AJ141" s="15" t="e">
        <f t="shared" si="33"/>
        <v>#N/A</v>
      </c>
      <c r="AK141" s="15" t="e">
        <f t="shared" si="34"/>
        <v>#N/A</v>
      </c>
      <c r="AL141" s="15" t="e">
        <f t="shared" si="35"/>
        <v>#N/A</v>
      </c>
    </row>
    <row r="142" spans="22:38" x14ac:dyDescent="0.3">
      <c r="V142" s="15">
        <f t="shared" si="20"/>
        <v>0</v>
      </c>
      <c r="W142" s="15">
        <f t="shared" si="21"/>
        <v>0</v>
      </c>
      <c r="X142" s="15">
        <f t="shared" si="22"/>
        <v>0</v>
      </c>
      <c r="Y142" s="15">
        <f t="shared" si="23"/>
        <v>0</v>
      </c>
      <c r="Z142" s="15">
        <f t="shared" si="24"/>
        <v>0</v>
      </c>
      <c r="AA142" s="15">
        <f t="shared" si="36"/>
        <v>0</v>
      </c>
      <c r="AB142" s="15">
        <f t="shared" si="26"/>
        <v>0</v>
      </c>
      <c r="AC142" s="15" t="e">
        <f>T142-VLOOKUP(M142, Beakers!$A$2:$C$151, 3, 0)</f>
        <v>#N/A</v>
      </c>
      <c r="AD142" s="15" t="e">
        <f t="shared" si="27"/>
        <v>#N/A</v>
      </c>
      <c r="AE142" s="15" t="e">
        <f t="shared" si="28"/>
        <v>#N/A</v>
      </c>
      <c r="AF142" s="15" t="e">
        <f t="shared" si="29"/>
        <v>#DIV/0!</v>
      </c>
      <c r="AG142" s="15" t="e">
        <f t="shared" si="30"/>
        <v>#DIV/0!</v>
      </c>
      <c r="AH142" s="15" t="e">
        <f t="shared" si="31"/>
        <v>#N/A</v>
      </c>
      <c r="AI142" s="15" t="e">
        <f t="shared" si="32"/>
        <v>#N/A</v>
      </c>
      <c r="AJ142" s="15" t="e">
        <f t="shared" si="33"/>
        <v>#N/A</v>
      </c>
      <c r="AK142" s="15" t="e">
        <f t="shared" si="34"/>
        <v>#N/A</v>
      </c>
      <c r="AL142" s="15" t="e">
        <f t="shared" si="35"/>
        <v>#N/A</v>
      </c>
    </row>
    <row r="143" spans="22:38" x14ac:dyDescent="0.3">
      <c r="V143" s="15">
        <f t="shared" si="20"/>
        <v>0</v>
      </c>
      <c r="W143" s="15">
        <f t="shared" si="21"/>
        <v>0</v>
      </c>
      <c r="X143" s="15">
        <f t="shared" si="22"/>
        <v>0</v>
      </c>
      <c r="Y143" s="15">
        <f t="shared" si="23"/>
        <v>0</v>
      </c>
      <c r="Z143" s="15">
        <f t="shared" si="24"/>
        <v>0</v>
      </c>
      <c r="AA143" s="15">
        <f t="shared" si="36"/>
        <v>0</v>
      </c>
      <c r="AB143" s="15">
        <f t="shared" si="26"/>
        <v>0</v>
      </c>
      <c r="AC143" s="15" t="e">
        <f>T143-VLOOKUP(M143, Beakers!$A$2:$C$151, 3, 0)</f>
        <v>#N/A</v>
      </c>
      <c r="AD143" s="15" t="e">
        <f t="shared" si="27"/>
        <v>#N/A</v>
      </c>
      <c r="AE143" s="15" t="e">
        <f t="shared" si="28"/>
        <v>#N/A</v>
      </c>
      <c r="AF143" s="15" t="e">
        <f t="shared" si="29"/>
        <v>#DIV/0!</v>
      </c>
      <c r="AG143" s="15" t="e">
        <f t="shared" si="30"/>
        <v>#DIV/0!</v>
      </c>
      <c r="AH143" s="15" t="e">
        <f t="shared" si="31"/>
        <v>#N/A</v>
      </c>
      <c r="AI143" s="15" t="e">
        <f t="shared" si="32"/>
        <v>#N/A</v>
      </c>
      <c r="AJ143" s="15" t="e">
        <f t="shared" si="33"/>
        <v>#N/A</v>
      </c>
      <c r="AK143" s="15" t="e">
        <f t="shared" si="34"/>
        <v>#N/A</v>
      </c>
      <c r="AL143" s="15" t="e">
        <f t="shared" si="35"/>
        <v>#N/A</v>
      </c>
    </row>
    <row r="144" spans="22:38" x14ac:dyDescent="0.3">
      <c r="V144" s="15">
        <f t="shared" si="20"/>
        <v>0</v>
      </c>
      <c r="W144" s="15">
        <f t="shared" si="21"/>
        <v>0</v>
      </c>
      <c r="X144" s="15">
        <f t="shared" si="22"/>
        <v>0</v>
      </c>
      <c r="Y144" s="15">
        <f t="shared" si="23"/>
        <v>0</v>
      </c>
      <c r="Z144" s="15">
        <f t="shared" si="24"/>
        <v>0</v>
      </c>
      <c r="AA144" s="15">
        <f t="shared" si="36"/>
        <v>0</v>
      </c>
      <c r="AB144" s="15">
        <f t="shared" si="26"/>
        <v>0</v>
      </c>
      <c r="AC144" s="15" t="e">
        <f>T144-VLOOKUP(M144, Beakers!$A$2:$C$151, 3, 0)</f>
        <v>#N/A</v>
      </c>
      <c r="AD144" s="15" t="e">
        <f t="shared" si="27"/>
        <v>#N/A</v>
      </c>
      <c r="AE144" s="15" t="e">
        <f t="shared" si="28"/>
        <v>#N/A</v>
      </c>
      <c r="AF144" s="15" t="e">
        <f t="shared" si="29"/>
        <v>#DIV/0!</v>
      </c>
      <c r="AG144" s="15" t="e">
        <f t="shared" si="30"/>
        <v>#DIV/0!</v>
      </c>
      <c r="AH144" s="15" t="e">
        <f t="shared" si="31"/>
        <v>#N/A</v>
      </c>
      <c r="AI144" s="15" t="e">
        <f t="shared" si="32"/>
        <v>#N/A</v>
      </c>
      <c r="AJ144" s="15" t="e">
        <f t="shared" si="33"/>
        <v>#N/A</v>
      </c>
      <c r="AK144" s="15" t="e">
        <f t="shared" si="34"/>
        <v>#N/A</v>
      </c>
      <c r="AL144" s="15" t="e">
        <f t="shared" si="35"/>
        <v>#N/A</v>
      </c>
    </row>
    <row r="145" spans="22:38" x14ac:dyDescent="0.3">
      <c r="V145" s="15">
        <f t="shared" si="20"/>
        <v>0</v>
      </c>
      <c r="W145" s="15">
        <f t="shared" si="21"/>
        <v>0</v>
      </c>
      <c r="X145" s="15">
        <f t="shared" si="22"/>
        <v>0</v>
      </c>
      <c r="Y145" s="15">
        <f t="shared" si="23"/>
        <v>0</v>
      </c>
      <c r="Z145" s="15">
        <f t="shared" si="24"/>
        <v>0</v>
      </c>
      <c r="AA145" s="15">
        <f t="shared" si="36"/>
        <v>0</v>
      </c>
      <c r="AB145" s="15">
        <f t="shared" si="26"/>
        <v>0</v>
      </c>
      <c r="AC145" s="15" t="e">
        <f>T145-VLOOKUP(M145, Beakers!$A$2:$C$151, 3, 0)</f>
        <v>#N/A</v>
      </c>
      <c r="AD145" s="15" t="e">
        <f t="shared" si="27"/>
        <v>#N/A</v>
      </c>
      <c r="AE145" s="15" t="e">
        <f t="shared" si="28"/>
        <v>#N/A</v>
      </c>
      <c r="AF145" s="15" t="e">
        <f t="shared" si="29"/>
        <v>#DIV/0!</v>
      </c>
      <c r="AG145" s="15" t="e">
        <f t="shared" si="30"/>
        <v>#DIV/0!</v>
      </c>
      <c r="AH145" s="15" t="e">
        <f t="shared" si="31"/>
        <v>#N/A</v>
      </c>
      <c r="AI145" s="15" t="e">
        <f t="shared" si="32"/>
        <v>#N/A</v>
      </c>
      <c r="AJ145" s="15" t="e">
        <f t="shared" si="33"/>
        <v>#N/A</v>
      </c>
      <c r="AK145" s="15" t="e">
        <f t="shared" si="34"/>
        <v>#N/A</v>
      </c>
      <c r="AL145" s="15" t="e">
        <f t="shared" si="35"/>
        <v>#N/A</v>
      </c>
    </row>
    <row r="146" spans="22:38" x14ac:dyDescent="0.3">
      <c r="V146" s="15">
        <f t="shared" si="20"/>
        <v>0</v>
      </c>
      <c r="W146" s="15">
        <f t="shared" si="21"/>
        <v>0</v>
      </c>
      <c r="X146" s="15">
        <f t="shared" si="22"/>
        <v>0</v>
      </c>
      <c r="Y146" s="15">
        <f t="shared" si="23"/>
        <v>0</v>
      </c>
      <c r="Z146" s="15">
        <f t="shared" si="24"/>
        <v>0</v>
      </c>
      <c r="AA146" s="15">
        <f t="shared" si="36"/>
        <v>0</v>
      </c>
      <c r="AB146" s="15">
        <f t="shared" si="26"/>
        <v>0</v>
      </c>
      <c r="AC146" s="15" t="e">
        <f>T146-VLOOKUP(M146, Beakers!$A$2:$C$151, 3, 0)</f>
        <v>#N/A</v>
      </c>
      <c r="AD146" s="15" t="e">
        <f t="shared" si="27"/>
        <v>#N/A</v>
      </c>
      <c r="AE146" s="15" t="e">
        <f t="shared" si="28"/>
        <v>#N/A</v>
      </c>
      <c r="AF146" s="15" t="e">
        <f t="shared" si="29"/>
        <v>#DIV/0!</v>
      </c>
      <c r="AG146" s="15" t="e">
        <f t="shared" si="30"/>
        <v>#DIV/0!</v>
      </c>
      <c r="AH146" s="15" t="e">
        <f t="shared" si="31"/>
        <v>#N/A</v>
      </c>
      <c r="AI146" s="15" t="e">
        <f t="shared" si="32"/>
        <v>#N/A</v>
      </c>
      <c r="AJ146" s="15" t="e">
        <f t="shared" si="33"/>
        <v>#N/A</v>
      </c>
      <c r="AK146" s="15" t="e">
        <f t="shared" si="34"/>
        <v>#N/A</v>
      </c>
      <c r="AL146" s="15" t="e">
        <f t="shared" si="35"/>
        <v>#N/A</v>
      </c>
    </row>
    <row r="147" spans="22:38" x14ac:dyDescent="0.3">
      <c r="V147" s="15">
        <f t="shared" si="20"/>
        <v>0</v>
      </c>
      <c r="W147" s="15">
        <f t="shared" si="21"/>
        <v>0</v>
      </c>
      <c r="X147" s="15">
        <f t="shared" si="22"/>
        <v>0</v>
      </c>
      <c r="Y147" s="15">
        <f t="shared" si="23"/>
        <v>0</v>
      </c>
      <c r="Z147" s="15">
        <f t="shared" si="24"/>
        <v>0</v>
      </c>
      <c r="AA147" s="15">
        <f t="shared" si="36"/>
        <v>0</v>
      </c>
      <c r="AB147" s="15">
        <f t="shared" si="26"/>
        <v>0</v>
      </c>
      <c r="AC147" s="15" t="e">
        <f>T147-VLOOKUP(M147, Beakers!$A$2:$C$151, 3, 0)</f>
        <v>#N/A</v>
      </c>
      <c r="AD147" s="15" t="e">
        <f t="shared" si="27"/>
        <v>#N/A</v>
      </c>
      <c r="AE147" s="15" t="e">
        <f t="shared" si="28"/>
        <v>#N/A</v>
      </c>
      <c r="AF147" s="15" t="e">
        <f t="shared" si="29"/>
        <v>#DIV/0!</v>
      </c>
      <c r="AG147" s="15" t="e">
        <f t="shared" si="30"/>
        <v>#DIV/0!</v>
      </c>
      <c r="AH147" s="15" t="e">
        <f t="shared" si="31"/>
        <v>#N/A</v>
      </c>
      <c r="AI147" s="15" t="e">
        <f t="shared" si="32"/>
        <v>#N/A</v>
      </c>
      <c r="AJ147" s="15" t="e">
        <f t="shared" si="33"/>
        <v>#N/A</v>
      </c>
      <c r="AK147" s="15" t="e">
        <f t="shared" si="34"/>
        <v>#N/A</v>
      </c>
      <c r="AL147" s="15" t="e">
        <f t="shared" si="35"/>
        <v>#N/A</v>
      </c>
    </row>
    <row r="148" spans="22:38" x14ac:dyDescent="0.3">
      <c r="V148" s="15">
        <f t="shared" si="20"/>
        <v>0</v>
      </c>
      <c r="W148" s="15">
        <f t="shared" si="21"/>
        <v>0</v>
      </c>
      <c r="X148" s="15">
        <f t="shared" si="22"/>
        <v>0</v>
      </c>
      <c r="Y148" s="15">
        <f t="shared" si="23"/>
        <v>0</v>
      </c>
      <c r="Z148" s="15">
        <f t="shared" si="24"/>
        <v>0</v>
      </c>
      <c r="AA148" s="15">
        <f t="shared" si="36"/>
        <v>0</v>
      </c>
      <c r="AB148" s="15">
        <f t="shared" si="26"/>
        <v>0</v>
      </c>
      <c r="AC148" s="15" t="e">
        <f>T148-VLOOKUP(M148, Beakers!$A$2:$C$151, 3, 0)</f>
        <v>#N/A</v>
      </c>
      <c r="AD148" s="15" t="e">
        <f t="shared" si="27"/>
        <v>#N/A</v>
      </c>
      <c r="AE148" s="15" t="e">
        <f t="shared" si="28"/>
        <v>#N/A</v>
      </c>
      <c r="AF148" s="15" t="e">
        <f t="shared" si="29"/>
        <v>#DIV/0!</v>
      </c>
      <c r="AG148" s="15" t="e">
        <f t="shared" si="30"/>
        <v>#DIV/0!</v>
      </c>
      <c r="AH148" s="15" t="e">
        <f t="shared" si="31"/>
        <v>#N/A</v>
      </c>
      <c r="AI148" s="15" t="e">
        <f t="shared" si="32"/>
        <v>#N/A</v>
      </c>
      <c r="AJ148" s="15" t="e">
        <f t="shared" si="33"/>
        <v>#N/A</v>
      </c>
      <c r="AK148" s="15" t="e">
        <f t="shared" si="34"/>
        <v>#N/A</v>
      </c>
      <c r="AL148" s="15" t="e">
        <f t="shared" si="35"/>
        <v>#N/A</v>
      </c>
    </row>
    <row r="149" spans="22:38" x14ac:dyDescent="0.3">
      <c r="V149" s="15">
        <f t="shared" si="20"/>
        <v>0</v>
      </c>
      <c r="W149" s="15">
        <f t="shared" si="21"/>
        <v>0</v>
      </c>
      <c r="X149" s="15">
        <f t="shared" si="22"/>
        <v>0</v>
      </c>
      <c r="Y149" s="15">
        <f t="shared" si="23"/>
        <v>0</v>
      </c>
      <c r="Z149" s="15">
        <f t="shared" si="24"/>
        <v>0</v>
      </c>
      <c r="AA149" s="15">
        <f t="shared" si="36"/>
        <v>0</v>
      </c>
      <c r="AB149" s="15">
        <f t="shared" si="26"/>
        <v>0</v>
      </c>
      <c r="AC149" s="15" t="e">
        <f>T149-VLOOKUP(M149, Beakers!$A$2:$C$151, 3, 0)</f>
        <v>#N/A</v>
      </c>
      <c r="AD149" s="15" t="e">
        <f t="shared" si="27"/>
        <v>#N/A</v>
      </c>
      <c r="AE149" s="15" t="e">
        <f t="shared" si="28"/>
        <v>#N/A</v>
      </c>
      <c r="AF149" s="15" t="e">
        <f t="shared" si="29"/>
        <v>#DIV/0!</v>
      </c>
      <c r="AG149" s="15" t="e">
        <f t="shared" si="30"/>
        <v>#DIV/0!</v>
      </c>
      <c r="AH149" s="15" t="e">
        <f t="shared" si="31"/>
        <v>#N/A</v>
      </c>
      <c r="AI149" s="15" t="e">
        <f t="shared" si="32"/>
        <v>#N/A</v>
      </c>
      <c r="AJ149" s="15" t="e">
        <f t="shared" si="33"/>
        <v>#N/A</v>
      </c>
      <c r="AK149" s="15" t="e">
        <f t="shared" si="34"/>
        <v>#N/A</v>
      </c>
      <c r="AL149" s="15" t="e">
        <f t="shared" si="35"/>
        <v>#N/A</v>
      </c>
    </row>
    <row r="150" spans="22:38" x14ac:dyDescent="0.3">
      <c r="V150" s="15">
        <f t="shared" si="20"/>
        <v>0</v>
      </c>
      <c r="W150" s="15">
        <f t="shared" si="21"/>
        <v>0</v>
      </c>
      <c r="X150" s="15">
        <f t="shared" si="22"/>
        <v>0</v>
      </c>
      <c r="Y150" s="15">
        <f t="shared" si="23"/>
        <v>0</v>
      </c>
      <c r="Z150" s="15">
        <f t="shared" si="24"/>
        <v>0</v>
      </c>
      <c r="AA150" s="15">
        <f t="shared" si="36"/>
        <v>0</v>
      </c>
      <c r="AB150" s="15">
        <f t="shared" ref="AB150:AB181" si="37">Y150/2.22</f>
        <v>0</v>
      </c>
      <c r="AC150" s="15" t="e">
        <f>T150-VLOOKUP(M150, Beakers!$A$2:$C$151, 3, 0)</f>
        <v>#N/A</v>
      </c>
      <c r="AD150" s="15" t="e">
        <f t="shared" ref="AD150:AD181" si="38">AC150-AB150+AA150</f>
        <v>#N/A</v>
      </c>
      <c r="AE150" s="15" t="e">
        <f t="shared" ref="AE150:AE181" si="39">AC150-AB150</f>
        <v>#N/A</v>
      </c>
      <c r="AF150" s="15" t="e">
        <f t="shared" ref="AF150:AF181" si="40">X150/V150</f>
        <v>#DIV/0!</v>
      </c>
      <c r="AG150" s="15" t="e">
        <f t="shared" ref="AG150:AG181" si="41">X150/Z150</f>
        <v>#DIV/0!</v>
      </c>
      <c r="AH150" s="15" t="e">
        <f t="shared" ref="AH150:AH181" si="42">V150/AD150</f>
        <v>#N/A</v>
      </c>
      <c r="AI150" s="15" t="e">
        <f t="shared" ref="AI150:AI181" si="43">Z150/AD150</f>
        <v>#N/A</v>
      </c>
      <c r="AJ150" s="15" t="e">
        <f t="shared" ref="AJ150:AJ181" si="44">Z150/AE150</f>
        <v>#N/A</v>
      </c>
      <c r="AK150" s="15" t="e">
        <f t="shared" ref="AK150:AK181" si="45">AA150/AD150</f>
        <v>#N/A</v>
      </c>
      <c r="AL150" s="15" t="e">
        <f t="shared" ref="AL150:AL181" si="46">AA150/AE150</f>
        <v>#N/A</v>
      </c>
    </row>
    <row r="151" spans="22:38" x14ac:dyDescent="0.3">
      <c r="V151" s="15">
        <f t="shared" si="20"/>
        <v>0</v>
      </c>
      <c r="W151" s="15">
        <f t="shared" si="21"/>
        <v>0</v>
      </c>
      <c r="X151" s="15">
        <f t="shared" si="22"/>
        <v>0</v>
      </c>
      <c r="Y151" s="15">
        <f t="shared" si="23"/>
        <v>0</v>
      </c>
      <c r="Z151" s="15">
        <f t="shared" si="24"/>
        <v>0</v>
      </c>
      <c r="AA151" s="15">
        <f t="shared" si="36"/>
        <v>0</v>
      </c>
      <c r="AB151" s="15">
        <f t="shared" si="37"/>
        <v>0</v>
      </c>
      <c r="AC151" s="15" t="e">
        <f>T151-VLOOKUP(M151, Beakers!$A$2:$C$151, 3, 0)</f>
        <v>#N/A</v>
      </c>
      <c r="AD151" s="15" t="e">
        <f t="shared" si="38"/>
        <v>#N/A</v>
      </c>
      <c r="AE151" s="15" t="e">
        <f t="shared" si="39"/>
        <v>#N/A</v>
      </c>
      <c r="AF151" s="15" t="e">
        <f t="shared" si="40"/>
        <v>#DIV/0!</v>
      </c>
      <c r="AG151" s="15" t="e">
        <f t="shared" si="41"/>
        <v>#DIV/0!</v>
      </c>
      <c r="AH151" s="15" t="e">
        <f t="shared" si="42"/>
        <v>#N/A</v>
      </c>
      <c r="AI151" s="15" t="e">
        <f t="shared" si="43"/>
        <v>#N/A</v>
      </c>
      <c r="AJ151" s="15" t="e">
        <f t="shared" si="44"/>
        <v>#N/A</v>
      </c>
      <c r="AK151" s="15" t="e">
        <f t="shared" si="45"/>
        <v>#N/A</v>
      </c>
      <c r="AL151" s="15" t="e">
        <f t="shared" si="46"/>
        <v>#N/A</v>
      </c>
    </row>
    <row r="152" spans="22:38" x14ac:dyDescent="0.3">
      <c r="V152" s="15">
        <f t="shared" si="20"/>
        <v>0</v>
      </c>
      <c r="W152" s="15">
        <f t="shared" si="21"/>
        <v>0</v>
      </c>
      <c r="X152" s="15">
        <f t="shared" si="22"/>
        <v>0</v>
      </c>
      <c r="Y152" s="15">
        <f t="shared" si="23"/>
        <v>0</v>
      </c>
      <c r="Z152" s="15">
        <f t="shared" si="24"/>
        <v>0</v>
      </c>
      <c r="AA152" s="15">
        <f t="shared" si="36"/>
        <v>0</v>
      </c>
      <c r="AB152" s="15">
        <f t="shared" si="37"/>
        <v>0</v>
      </c>
      <c r="AC152" s="15" t="e">
        <f>T152-VLOOKUP(M152, Beakers!$A$2:$C$151, 3, 0)</f>
        <v>#N/A</v>
      </c>
      <c r="AD152" s="15" t="e">
        <f t="shared" si="38"/>
        <v>#N/A</v>
      </c>
      <c r="AE152" s="15" t="e">
        <f t="shared" si="39"/>
        <v>#N/A</v>
      </c>
      <c r="AF152" s="15" t="e">
        <f t="shared" si="40"/>
        <v>#DIV/0!</v>
      </c>
      <c r="AG152" s="15" t="e">
        <f t="shared" si="41"/>
        <v>#DIV/0!</v>
      </c>
      <c r="AH152" s="15" t="e">
        <f t="shared" si="42"/>
        <v>#N/A</v>
      </c>
      <c r="AI152" s="15" t="e">
        <f t="shared" si="43"/>
        <v>#N/A</v>
      </c>
      <c r="AJ152" s="15" t="e">
        <f t="shared" si="44"/>
        <v>#N/A</v>
      </c>
      <c r="AK152" s="15" t="e">
        <f t="shared" si="45"/>
        <v>#N/A</v>
      </c>
      <c r="AL152" s="15" t="e">
        <f t="shared" si="46"/>
        <v>#N/A</v>
      </c>
    </row>
    <row r="153" spans="22:38" x14ac:dyDescent="0.3">
      <c r="V153" s="15">
        <f t="shared" si="20"/>
        <v>0</v>
      </c>
      <c r="W153" s="15">
        <f t="shared" si="21"/>
        <v>0</v>
      </c>
      <c r="X153" s="15">
        <f t="shared" si="22"/>
        <v>0</v>
      </c>
      <c r="Y153" s="15">
        <f t="shared" si="23"/>
        <v>0</v>
      </c>
      <c r="Z153" s="15">
        <f t="shared" si="24"/>
        <v>0</v>
      </c>
      <c r="AA153" s="15">
        <f t="shared" si="36"/>
        <v>0</v>
      </c>
      <c r="AB153" s="15">
        <f t="shared" si="37"/>
        <v>0</v>
      </c>
      <c r="AC153" s="15" t="e">
        <f>T153-VLOOKUP(M153, Beakers!$A$2:$C$151, 3, 0)</f>
        <v>#N/A</v>
      </c>
      <c r="AD153" s="15" t="e">
        <f t="shared" si="38"/>
        <v>#N/A</v>
      </c>
      <c r="AE153" s="15" t="e">
        <f t="shared" si="39"/>
        <v>#N/A</v>
      </c>
      <c r="AF153" s="15" t="e">
        <f t="shared" si="40"/>
        <v>#DIV/0!</v>
      </c>
      <c r="AG153" s="15" t="e">
        <f t="shared" si="41"/>
        <v>#DIV/0!</v>
      </c>
      <c r="AH153" s="15" t="e">
        <f t="shared" si="42"/>
        <v>#N/A</v>
      </c>
      <c r="AI153" s="15" t="e">
        <f t="shared" si="43"/>
        <v>#N/A</v>
      </c>
      <c r="AJ153" s="15" t="e">
        <f t="shared" si="44"/>
        <v>#N/A</v>
      </c>
      <c r="AK153" s="15" t="e">
        <f t="shared" si="45"/>
        <v>#N/A</v>
      </c>
      <c r="AL153" s="15" t="e">
        <f t="shared" si="46"/>
        <v>#N/A</v>
      </c>
    </row>
    <row r="154" spans="22:38" x14ac:dyDescent="0.3">
      <c r="V154" s="15">
        <f t="shared" si="20"/>
        <v>0</v>
      </c>
      <c r="W154" s="15">
        <f t="shared" si="21"/>
        <v>0</v>
      </c>
      <c r="X154" s="15">
        <f t="shared" si="22"/>
        <v>0</v>
      </c>
      <c r="Y154" s="15">
        <f t="shared" si="23"/>
        <v>0</v>
      </c>
      <c r="Z154" s="15">
        <f t="shared" si="24"/>
        <v>0</v>
      </c>
      <c r="AA154" s="15">
        <f t="shared" si="36"/>
        <v>0</v>
      </c>
      <c r="AB154" s="15">
        <f t="shared" si="37"/>
        <v>0</v>
      </c>
      <c r="AC154" s="15" t="e">
        <f>T154-VLOOKUP(M154, Beakers!$A$2:$C$151, 3, 0)</f>
        <v>#N/A</v>
      </c>
      <c r="AD154" s="15" t="e">
        <f t="shared" si="38"/>
        <v>#N/A</v>
      </c>
      <c r="AE154" s="15" t="e">
        <f t="shared" si="39"/>
        <v>#N/A</v>
      </c>
      <c r="AF154" s="15" t="e">
        <f t="shared" si="40"/>
        <v>#DIV/0!</v>
      </c>
      <c r="AG154" s="15" t="e">
        <f t="shared" si="41"/>
        <v>#DIV/0!</v>
      </c>
      <c r="AH154" s="15" t="e">
        <f t="shared" si="42"/>
        <v>#N/A</v>
      </c>
      <c r="AI154" s="15" t="e">
        <f t="shared" si="43"/>
        <v>#N/A</v>
      </c>
      <c r="AJ154" s="15" t="e">
        <f t="shared" si="44"/>
        <v>#N/A</v>
      </c>
      <c r="AK154" s="15" t="e">
        <f t="shared" si="45"/>
        <v>#N/A</v>
      </c>
      <c r="AL154" s="15" t="e">
        <f t="shared" si="46"/>
        <v>#N/A</v>
      </c>
    </row>
    <row r="155" spans="22:38" x14ac:dyDescent="0.3">
      <c r="V155" s="15">
        <f t="shared" si="20"/>
        <v>0</v>
      </c>
      <c r="W155" s="15">
        <f t="shared" si="21"/>
        <v>0</v>
      </c>
      <c r="X155" s="15">
        <f t="shared" si="22"/>
        <v>0</v>
      </c>
      <c r="Y155" s="15">
        <f t="shared" si="23"/>
        <v>0</v>
      </c>
      <c r="Z155" s="15">
        <f t="shared" si="24"/>
        <v>0</v>
      </c>
      <c r="AA155" s="15">
        <f t="shared" si="36"/>
        <v>0</v>
      </c>
      <c r="AB155" s="15">
        <f t="shared" si="37"/>
        <v>0</v>
      </c>
      <c r="AC155" s="15" t="e">
        <f>T155-VLOOKUP(M155, Beakers!$A$2:$C$151, 3, 0)</f>
        <v>#N/A</v>
      </c>
      <c r="AD155" s="15" t="e">
        <f t="shared" si="38"/>
        <v>#N/A</v>
      </c>
      <c r="AE155" s="15" t="e">
        <f t="shared" si="39"/>
        <v>#N/A</v>
      </c>
      <c r="AF155" s="15" t="e">
        <f t="shared" si="40"/>
        <v>#DIV/0!</v>
      </c>
      <c r="AG155" s="15" t="e">
        <f t="shared" si="41"/>
        <v>#DIV/0!</v>
      </c>
      <c r="AH155" s="15" t="e">
        <f t="shared" si="42"/>
        <v>#N/A</v>
      </c>
      <c r="AI155" s="15" t="e">
        <f t="shared" si="43"/>
        <v>#N/A</v>
      </c>
      <c r="AJ155" s="15" t="e">
        <f t="shared" si="44"/>
        <v>#N/A</v>
      </c>
      <c r="AK155" s="15" t="e">
        <f t="shared" si="45"/>
        <v>#N/A</v>
      </c>
      <c r="AL155" s="15" t="e">
        <f t="shared" si="46"/>
        <v>#N/A</v>
      </c>
    </row>
    <row r="156" spans="22:38" x14ac:dyDescent="0.3">
      <c r="V156" s="15">
        <f t="shared" si="20"/>
        <v>0</v>
      </c>
      <c r="W156" s="15">
        <f t="shared" si="21"/>
        <v>0</v>
      </c>
      <c r="X156" s="15">
        <f t="shared" si="22"/>
        <v>0</v>
      </c>
      <c r="Y156" s="15">
        <f t="shared" si="23"/>
        <v>0</v>
      </c>
      <c r="Z156" s="15">
        <f t="shared" si="24"/>
        <v>0</v>
      </c>
      <c r="AA156" s="15">
        <f t="shared" si="36"/>
        <v>0</v>
      </c>
      <c r="AB156" s="15">
        <f t="shared" si="37"/>
        <v>0</v>
      </c>
      <c r="AC156" s="15" t="e">
        <f>T156-VLOOKUP(M156, Beakers!$A$2:$C$151, 3, 0)</f>
        <v>#N/A</v>
      </c>
      <c r="AD156" s="15" t="e">
        <f t="shared" si="38"/>
        <v>#N/A</v>
      </c>
      <c r="AE156" s="15" t="e">
        <f t="shared" si="39"/>
        <v>#N/A</v>
      </c>
      <c r="AF156" s="15" t="e">
        <f t="shared" si="40"/>
        <v>#DIV/0!</v>
      </c>
      <c r="AG156" s="15" t="e">
        <f t="shared" si="41"/>
        <v>#DIV/0!</v>
      </c>
      <c r="AH156" s="15" t="e">
        <f t="shared" si="42"/>
        <v>#N/A</v>
      </c>
      <c r="AI156" s="15" t="e">
        <f t="shared" si="43"/>
        <v>#N/A</v>
      </c>
      <c r="AJ156" s="15" t="e">
        <f t="shared" si="44"/>
        <v>#N/A</v>
      </c>
      <c r="AK156" s="15" t="e">
        <f t="shared" si="45"/>
        <v>#N/A</v>
      </c>
      <c r="AL156" s="15" t="e">
        <f t="shared" si="46"/>
        <v>#N/A</v>
      </c>
    </row>
    <row r="157" spans="22:38" x14ac:dyDescent="0.3">
      <c r="V157" s="15">
        <f t="shared" si="20"/>
        <v>0</v>
      </c>
      <c r="W157" s="15">
        <f t="shared" si="21"/>
        <v>0</v>
      </c>
      <c r="X157" s="15">
        <f t="shared" si="22"/>
        <v>0</v>
      </c>
      <c r="Y157" s="15">
        <f t="shared" si="23"/>
        <v>0</v>
      </c>
      <c r="Z157" s="15">
        <f t="shared" si="24"/>
        <v>0</v>
      </c>
      <c r="AA157" s="15">
        <f t="shared" si="36"/>
        <v>0</v>
      </c>
      <c r="AB157" s="15">
        <f t="shared" si="37"/>
        <v>0</v>
      </c>
      <c r="AC157" s="15" t="e">
        <f>T157-VLOOKUP(M157, Beakers!$A$2:$C$151, 3, 0)</f>
        <v>#N/A</v>
      </c>
      <c r="AD157" s="15" t="e">
        <f t="shared" si="38"/>
        <v>#N/A</v>
      </c>
      <c r="AE157" s="15" t="e">
        <f t="shared" si="39"/>
        <v>#N/A</v>
      </c>
      <c r="AF157" s="15" t="e">
        <f t="shared" si="40"/>
        <v>#DIV/0!</v>
      </c>
      <c r="AG157" s="15" t="e">
        <f t="shared" si="41"/>
        <v>#DIV/0!</v>
      </c>
      <c r="AH157" s="15" t="e">
        <f t="shared" si="42"/>
        <v>#N/A</v>
      </c>
      <c r="AI157" s="15" t="e">
        <f t="shared" si="43"/>
        <v>#N/A</v>
      </c>
      <c r="AJ157" s="15" t="e">
        <f t="shared" si="44"/>
        <v>#N/A</v>
      </c>
      <c r="AK157" s="15" t="e">
        <f t="shared" si="45"/>
        <v>#N/A</v>
      </c>
      <c r="AL157" s="15" t="e">
        <f t="shared" si="46"/>
        <v>#N/A</v>
      </c>
    </row>
    <row r="158" spans="22:38" x14ac:dyDescent="0.3">
      <c r="V158" s="15">
        <f t="shared" si="20"/>
        <v>0</v>
      </c>
      <c r="W158" s="15">
        <f t="shared" si="21"/>
        <v>0</v>
      </c>
      <c r="X158" s="15">
        <f t="shared" si="22"/>
        <v>0</v>
      </c>
      <c r="Y158" s="15">
        <f t="shared" si="23"/>
        <v>0</v>
      </c>
      <c r="Z158" s="15">
        <f t="shared" si="24"/>
        <v>0</v>
      </c>
      <c r="AA158" s="15">
        <f t="shared" si="36"/>
        <v>0</v>
      </c>
      <c r="AB158" s="15">
        <f t="shared" si="37"/>
        <v>0</v>
      </c>
      <c r="AC158" s="15" t="e">
        <f>T158-VLOOKUP(M158, Beakers!$A$2:$C$151, 3, 0)</f>
        <v>#N/A</v>
      </c>
      <c r="AD158" s="15" t="e">
        <f t="shared" si="38"/>
        <v>#N/A</v>
      </c>
      <c r="AE158" s="15" t="e">
        <f t="shared" si="39"/>
        <v>#N/A</v>
      </c>
      <c r="AF158" s="15" t="e">
        <f t="shared" si="40"/>
        <v>#DIV/0!</v>
      </c>
      <c r="AG158" s="15" t="e">
        <f t="shared" si="41"/>
        <v>#DIV/0!</v>
      </c>
      <c r="AH158" s="15" t="e">
        <f t="shared" si="42"/>
        <v>#N/A</v>
      </c>
      <c r="AI158" s="15" t="e">
        <f t="shared" si="43"/>
        <v>#N/A</v>
      </c>
      <c r="AJ158" s="15" t="e">
        <f t="shared" si="44"/>
        <v>#N/A</v>
      </c>
      <c r="AK158" s="15" t="e">
        <f t="shared" si="45"/>
        <v>#N/A</v>
      </c>
      <c r="AL158" s="15" t="e">
        <f t="shared" si="46"/>
        <v>#N/A</v>
      </c>
    </row>
    <row r="159" spans="22:38" x14ac:dyDescent="0.3">
      <c r="V159" s="15">
        <f t="shared" si="20"/>
        <v>0</v>
      </c>
      <c r="W159" s="15">
        <f t="shared" si="21"/>
        <v>0</v>
      </c>
      <c r="X159" s="15">
        <f t="shared" si="22"/>
        <v>0</v>
      </c>
      <c r="Y159" s="15">
        <f t="shared" si="23"/>
        <v>0</v>
      </c>
      <c r="Z159" s="15">
        <f t="shared" si="24"/>
        <v>0</v>
      </c>
      <c r="AA159" s="15">
        <f t="shared" si="36"/>
        <v>0</v>
      </c>
      <c r="AB159" s="15">
        <f t="shared" si="37"/>
        <v>0</v>
      </c>
      <c r="AC159" s="15" t="e">
        <f>T159-VLOOKUP(M159, Beakers!$A$2:$C$151, 3, 0)</f>
        <v>#N/A</v>
      </c>
      <c r="AD159" s="15" t="e">
        <f t="shared" si="38"/>
        <v>#N/A</v>
      </c>
      <c r="AE159" s="15" t="e">
        <f t="shared" si="39"/>
        <v>#N/A</v>
      </c>
      <c r="AF159" s="15" t="e">
        <f t="shared" si="40"/>
        <v>#DIV/0!</v>
      </c>
      <c r="AG159" s="15" t="e">
        <f t="shared" si="41"/>
        <v>#DIV/0!</v>
      </c>
      <c r="AH159" s="15" t="e">
        <f t="shared" si="42"/>
        <v>#N/A</v>
      </c>
      <c r="AI159" s="15" t="e">
        <f t="shared" si="43"/>
        <v>#N/A</v>
      </c>
      <c r="AJ159" s="15" t="e">
        <f t="shared" si="44"/>
        <v>#N/A</v>
      </c>
      <c r="AK159" s="15" t="e">
        <f t="shared" si="45"/>
        <v>#N/A</v>
      </c>
      <c r="AL159" s="15" t="e">
        <f t="shared" si="46"/>
        <v>#N/A</v>
      </c>
    </row>
    <row r="160" spans="22:38" x14ac:dyDescent="0.3">
      <c r="V160" s="15">
        <f t="shared" si="20"/>
        <v>0</v>
      </c>
      <c r="W160" s="15">
        <f t="shared" si="21"/>
        <v>0</v>
      </c>
      <c r="X160" s="15">
        <f t="shared" si="22"/>
        <v>0</v>
      </c>
      <c r="Y160" s="15">
        <f t="shared" si="23"/>
        <v>0</v>
      </c>
      <c r="Z160" s="15">
        <f t="shared" si="24"/>
        <v>0</v>
      </c>
      <c r="AA160" s="15">
        <f t="shared" si="36"/>
        <v>0</v>
      </c>
      <c r="AB160" s="15">
        <f t="shared" si="37"/>
        <v>0</v>
      </c>
      <c r="AC160" s="15" t="e">
        <f>T160-VLOOKUP(M160, Beakers!$A$2:$C$151, 3, 0)</f>
        <v>#N/A</v>
      </c>
      <c r="AD160" s="15" t="e">
        <f t="shared" si="38"/>
        <v>#N/A</v>
      </c>
      <c r="AE160" s="15" t="e">
        <f t="shared" si="39"/>
        <v>#N/A</v>
      </c>
      <c r="AF160" s="15" t="e">
        <f t="shared" si="40"/>
        <v>#DIV/0!</v>
      </c>
      <c r="AG160" s="15" t="e">
        <f t="shared" si="41"/>
        <v>#DIV/0!</v>
      </c>
      <c r="AH160" s="15" t="e">
        <f t="shared" si="42"/>
        <v>#N/A</v>
      </c>
      <c r="AI160" s="15" t="e">
        <f t="shared" si="43"/>
        <v>#N/A</v>
      </c>
      <c r="AJ160" s="15" t="e">
        <f t="shared" si="44"/>
        <v>#N/A</v>
      </c>
      <c r="AK160" s="15" t="e">
        <f t="shared" si="45"/>
        <v>#N/A</v>
      </c>
      <c r="AL160" s="15" t="e">
        <f t="shared" si="46"/>
        <v>#N/A</v>
      </c>
    </row>
    <row r="161" spans="22:38" x14ac:dyDescent="0.3">
      <c r="V161" s="15">
        <f t="shared" si="20"/>
        <v>0</v>
      </c>
      <c r="W161" s="15">
        <f t="shared" si="21"/>
        <v>0</v>
      </c>
      <c r="X161" s="15">
        <f t="shared" si="22"/>
        <v>0</v>
      </c>
      <c r="Y161" s="15">
        <f t="shared" si="23"/>
        <v>0</v>
      </c>
      <c r="Z161" s="15">
        <f t="shared" si="24"/>
        <v>0</v>
      </c>
      <c r="AA161" s="15">
        <f t="shared" si="36"/>
        <v>0</v>
      </c>
      <c r="AB161" s="15">
        <f t="shared" si="37"/>
        <v>0</v>
      </c>
      <c r="AC161" s="15" t="e">
        <f>T161-VLOOKUP(M161, Beakers!$A$2:$C$151, 3, 0)</f>
        <v>#N/A</v>
      </c>
      <c r="AD161" s="15" t="e">
        <f t="shared" si="38"/>
        <v>#N/A</v>
      </c>
      <c r="AE161" s="15" t="e">
        <f t="shared" si="39"/>
        <v>#N/A</v>
      </c>
      <c r="AF161" s="15" t="e">
        <f t="shared" si="40"/>
        <v>#DIV/0!</v>
      </c>
      <c r="AG161" s="15" t="e">
        <f t="shared" si="41"/>
        <v>#DIV/0!</v>
      </c>
      <c r="AH161" s="15" t="e">
        <f t="shared" si="42"/>
        <v>#N/A</v>
      </c>
      <c r="AI161" s="15" t="e">
        <f t="shared" si="43"/>
        <v>#N/A</v>
      </c>
      <c r="AJ161" s="15" t="e">
        <f t="shared" si="44"/>
        <v>#N/A</v>
      </c>
      <c r="AK161" s="15" t="e">
        <f t="shared" si="45"/>
        <v>#N/A</v>
      </c>
      <c r="AL161" s="15" t="e">
        <f t="shared" si="46"/>
        <v>#N/A</v>
      </c>
    </row>
    <row r="162" spans="22:38" x14ac:dyDescent="0.3">
      <c r="V162" s="15">
        <f t="shared" ref="V162:V181" si="47">O162-N162</f>
        <v>0</v>
      </c>
      <c r="W162" s="15">
        <f t="shared" ref="W162:W181" si="48">Q162-N162</f>
        <v>0</v>
      </c>
      <c r="X162" s="15">
        <f t="shared" ref="X162:X181" si="49">(V162-W162)/(1-35/1000)</f>
        <v>0</v>
      </c>
      <c r="Y162" s="15">
        <f t="shared" ref="Y162:Y181" si="50">X162-(V162-W162)</f>
        <v>0</v>
      </c>
      <c r="Z162" s="15">
        <f t="shared" ref="Z162:Z181" si="51">W162-Y162</f>
        <v>0</v>
      </c>
      <c r="AA162" s="15">
        <f t="shared" si="36"/>
        <v>0</v>
      </c>
      <c r="AB162" s="15">
        <f t="shared" si="37"/>
        <v>0</v>
      </c>
      <c r="AC162" s="15" t="e">
        <f>T162-VLOOKUP(M162, Beakers!$A$2:$C$151, 3, 0)</f>
        <v>#N/A</v>
      </c>
      <c r="AD162" s="15" t="e">
        <f t="shared" si="38"/>
        <v>#N/A</v>
      </c>
      <c r="AE162" s="15" t="e">
        <f t="shared" si="39"/>
        <v>#N/A</v>
      </c>
      <c r="AF162" s="15" t="e">
        <f t="shared" si="40"/>
        <v>#DIV/0!</v>
      </c>
      <c r="AG162" s="15" t="e">
        <f t="shared" si="41"/>
        <v>#DIV/0!</v>
      </c>
      <c r="AH162" s="15" t="e">
        <f t="shared" si="42"/>
        <v>#N/A</v>
      </c>
      <c r="AI162" s="15" t="e">
        <f t="shared" si="43"/>
        <v>#N/A</v>
      </c>
      <c r="AJ162" s="15" t="e">
        <f t="shared" si="44"/>
        <v>#N/A</v>
      </c>
      <c r="AK162" s="15" t="e">
        <f t="shared" si="45"/>
        <v>#N/A</v>
      </c>
      <c r="AL162" s="15" t="e">
        <f t="shared" si="46"/>
        <v>#N/A</v>
      </c>
    </row>
    <row r="163" spans="22:38" x14ac:dyDescent="0.3">
      <c r="V163" s="15">
        <f t="shared" si="47"/>
        <v>0</v>
      </c>
      <c r="W163" s="15">
        <f t="shared" si="48"/>
        <v>0</v>
      </c>
      <c r="X163" s="15">
        <f t="shared" si="49"/>
        <v>0</v>
      </c>
      <c r="Y163" s="15">
        <f t="shared" si="50"/>
        <v>0</v>
      </c>
      <c r="Z163" s="15">
        <f t="shared" si="51"/>
        <v>0</v>
      </c>
      <c r="AA163" s="15">
        <f t="shared" si="36"/>
        <v>0</v>
      </c>
      <c r="AB163" s="15">
        <f t="shared" si="37"/>
        <v>0</v>
      </c>
      <c r="AC163" s="15" t="e">
        <f>T163-VLOOKUP(M163, Beakers!$A$2:$C$151, 3, 0)</f>
        <v>#N/A</v>
      </c>
      <c r="AD163" s="15" t="e">
        <f t="shared" si="38"/>
        <v>#N/A</v>
      </c>
      <c r="AE163" s="15" t="e">
        <f t="shared" si="39"/>
        <v>#N/A</v>
      </c>
      <c r="AF163" s="15" t="e">
        <f t="shared" si="40"/>
        <v>#DIV/0!</v>
      </c>
      <c r="AG163" s="15" t="e">
        <f t="shared" si="41"/>
        <v>#DIV/0!</v>
      </c>
      <c r="AH163" s="15" t="e">
        <f t="shared" si="42"/>
        <v>#N/A</v>
      </c>
      <c r="AI163" s="15" t="e">
        <f t="shared" si="43"/>
        <v>#N/A</v>
      </c>
      <c r="AJ163" s="15" t="e">
        <f t="shared" si="44"/>
        <v>#N/A</v>
      </c>
      <c r="AK163" s="15" t="e">
        <f t="shared" si="45"/>
        <v>#N/A</v>
      </c>
      <c r="AL163" s="15" t="e">
        <f t="shared" si="46"/>
        <v>#N/A</v>
      </c>
    </row>
    <row r="164" spans="22:38" x14ac:dyDescent="0.3">
      <c r="V164" s="15">
        <f t="shared" si="47"/>
        <v>0</v>
      </c>
      <c r="W164" s="15">
        <f t="shared" si="48"/>
        <v>0</v>
      </c>
      <c r="X164" s="15">
        <f t="shared" si="49"/>
        <v>0</v>
      </c>
      <c r="Y164" s="15">
        <f t="shared" si="50"/>
        <v>0</v>
      </c>
      <c r="Z164" s="15">
        <f t="shared" si="51"/>
        <v>0</v>
      </c>
      <c r="AA164" s="15">
        <f t="shared" si="36"/>
        <v>0</v>
      </c>
      <c r="AB164" s="15">
        <f t="shared" si="37"/>
        <v>0</v>
      </c>
      <c r="AC164" s="15" t="e">
        <f>T164-VLOOKUP(M164, Beakers!$A$2:$C$151, 3, 0)</f>
        <v>#N/A</v>
      </c>
      <c r="AD164" s="15" t="e">
        <f t="shared" si="38"/>
        <v>#N/A</v>
      </c>
      <c r="AE164" s="15" t="e">
        <f t="shared" si="39"/>
        <v>#N/A</v>
      </c>
      <c r="AF164" s="15" t="e">
        <f t="shared" si="40"/>
        <v>#DIV/0!</v>
      </c>
      <c r="AG164" s="15" t="e">
        <f t="shared" si="41"/>
        <v>#DIV/0!</v>
      </c>
      <c r="AH164" s="15" t="e">
        <f t="shared" si="42"/>
        <v>#N/A</v>
      </c>
      <c r="AI164" s="15" t="e">
        <f t="shared" si="43"/>
        <v>#N/A</v>
      </c>
      <c r="AJ164" s="15" t="e">
        <f t="shared" si="44"/>
        <v>#N/A</v>
      </c>
      <c r="AK164" s="15" t="e">
        <f t="shared" si="45"/>
        <v>#N/A</v>
      </c>
      <c r="AL164" s="15" t="e">
        <f t="shared" si="46"/>
        <v>#N/A</v>
      </c>
    </row>
    <row r="165" spans="22:38" x14ac:dyDescent="0.3">
      <c r="V165" s="15">
        <f t="shared" si="47"/>
        <v>0</v>
      </c>
      <c r="W165" s="15">
        <f t="shared" si="48"/>
        <v>0</v>
      </c>
      <c r="X165" s="15">
        <f t="shared" si="49"/>
        <v>0</v>
      </c>
      <c r="Y165" s="15">
        <f t="shared" si="50"/>
        <v>0</v>
      </c>
      <c r="Z165" s="15">
        <f t="shared" si="51"/>
        <v>0</v>
      </c>
      <c r="AA165" s="15">
        <f t="shared" si="36"/>
        <v>0</v>
      </c>
      <c r="AB165" s="15">
        <f t="shared" si="37"/>
        <v>0</v>
      </c>
      <c r="AC165" s="15" t="e">
        <f>T165-VLOOKUP(M165, Beakers!$A$2:$C$151, 3, 0)</f>
        <v>#N/A</v>
      </c>
      <c r="AD165" s="15" t="e">
        <f t="shared" si="38"/>
        <v>#N/A</v>
      </c>
      <c r="AE165" s="15" t="e">
        <f t="shared" si="39"/>
        <v>#N/A</v>
      </c>
      <c r="AF165" s="15" t="e">
        <f t="shared" si="40"/>
        <v>#DIV/0!</v>
      </c>
      <c r="AG165" s="15" t="e">
        <f t="shared" si="41"/>
        <v>#DIV/0!</v>
      </c>
      <c r="AH165" s="15" t="e">
        <f t="shared" si="42"/>
        <v>#N/A</v>
      </c>
      <c r="AI165" s="15" t="e">
        <f t="shared" si="43"/>
        <v>#N/A</v>
      </c>
      <c r="AJ165" s="15" t="e">
        <f t="shared" si="44"/>
        <v>#N/A</v>
      </c>
      <c r="AK165" s="15" t="e">
        <f t="shared" si="45"/>
        <v>#N/A</v>
      </c>
      <c r="AL165" s="15" t="e">
        <f t="shared" si="46"/>
        <v>#N/A</v>
      </c>
    </row>
    <row r="166" spans="22:38" x14ac:dyDescent="0.3">
      <c r="V166" s="15">
        <f t="shared" si="47"/>
        <v>0</v>
      </c>
      <c r="W166" s="15">
        <f t="shared" si="48"/>
        <v>0</v>
      </c>
      <c r="X166" s="15">
        <f t="shared" si="49"/>
        <v>0</v>
      </c>
      <c r="Y166" s="15">
        <f t="shared" si="50"/>
        <v>0</v>
      </c>
      <c r="Z166" s="15">
        <f t="shared" si="51"/>
        <v>0</v>
      </c>
      <c r="AA166" s="15">
        <f t="shared" si="36"/>
        <v>0</v>
      </c>
      <c r="AB166" s="15">
        <f t="shared" si="37"/>
        <v>0</v>
      </c>
      <c r="AC166" s="15" t="e">
        <f>T166-VLOOKUP(M166, Beakers!$A$2:$C$151, 3, 0)</f>
        <v>#N/A</v>
      </c>
      <c r="AD166" s="15" t="e">
        <f t="shared" si="38"/>
        <v>#N/A</v>
      </c>
      <c r="AE166" s="15" t="e">
        <f t="shared" si="39"/>
        <v>#N/A</v>
      </c>
      <c r="AF166" s="15" t="e">
        <f t="shared" si="40"/>
        <v>#DIV/0!</v>
      </c>
      <c r="AG166" s="15" t="e">
        <f t="shared" si="41"/>
        <v>#DIV/0!</v>
      </c>
      <c r="AH166" s="15" t="e">
        <f t="shared" si="42"/>
        <v>#N/A</v>
      </c>
      <c r="AI166" s="15" t="e">
        <f t="shared" si="43"/>
        <v>#N/A</v>
      </c>
      <c r="AJ166" s="15" t="e">
        <f t="shared" si="44"/>
        <v>#N/A</v>
      </c>
      <c r="AK166" s="15" t="e">
        <f t="shared" si="45"/>
        <v>#N/A</v>
      </c>
      <c r="AL166" s="15" t="e">
        <f t="shared" si="46"/>
        <v>#N/A</v>
      </c>
    </row>
    <row r="167" spans="22:38" x14ac:dyDescent="0.3">
      <c r="V167" s="15">
        <f t="shared" si="47"/>
        <v>0</v>
      </c>
      <c r="W167" s="15">
        <f t="shared" si="48"/>
        <v>0</v>
      </c>
      <c r="X167" s="15">
        <f t="shared" si="49"/>
        <v>0</v>
      </c>
      <c r="Y167" s="15">
        <f t="shared" si="50"/>
        <v>0</v>
      </c>
      <c r="Z167" s="15">
        <f t="shared" si="51"/>
        <v>0</v>
      </c>
      <c r="AA167" s="15">
        <f t="shared" si="36"/>
        <v>0</v>
      </c>
      <c r="AB167" s="15">
        <f t="shared" si="37"/>
        <v>0</v>
      </c>
      <c r="AC167" s="15" t="e">
        <f>T167-VLOOKUP(M167, Beakers!$A$2:$C$151, 3, 0)</f>
        <v>#N/A</v>
      </c>
      <c r="AD167" s="15" t="e">
        <f t="shared" si="38"/>
        <v>#N/A</v>
      </c>
      <c r="AE167" s="15" t="e">
        <f t="shared" si="39"/>
        <v>#N/A</v>
      </c>
      <c r="AF167" s="15" t="e">
        <f t="shared" si="40"/>
        <v>#DIV/0!</v>
      </c>
      <c r="AG167" s="15" t="e">
        <f t="shared" si="41"/>
        <v>#DIV/0!</v>
      </c>
      <c r="AH167" s="15" t="e">
        <f t="shared" si="42"/>
        <v>#N/A</v>
      </c>
      <c r="AI167" s="15" t="e">
        <f t="shared" si="43"/>
        <v>#N/A</v>
      </c>
      <c r="AJ167" s="15" t="e">
        <f t="shared" si="44"/>
        <v>#N/A</v>
      </c>
      <c r="AK167" s="15" t="e">
        <f t="shared" si="45"/>
        <v>#N/A</v>
      </c>
      <c r="AL167" s="15" t="e">
        <f t="shared" si="46"/>
        <v>#N/A</v>
      </c>
    </row>
    <row r="168" spans="22:38" x14ac:dyDescent="0.3">
      <c r="V168" s="15">
        <f t="shared" si="47"/>
        <v>0</v>
      </c>
      <c r="W168" s="15">
        <f t="shared" si="48"/>
        <v>0</v>
      </c>
      <c r="X168" s="15">
        <f t="shared" si="49"/>
        <v>0</v>
      </c>
      <c r="Y168" s="15">
        <f t="shared" si="50"/>
        <v>0</v>
      </c>
      <c r="Z168" s="15">
        <f t="shared" si="51"/>
        <v>0</v>
      </c>
      <c r="AA168" s="15">
        <f t="shared" si="36"/>
        <v>0</v>
      </c>
      <c r="AB168" s="15">
        <f t="shared" si="37"/>
        <v>0</v>
      </c>
      <c r="AC168" s="15" t="e">
        <f>T168-VLOOKUP(M168, Beakers!$A$2:$C$151, 3, 0)</f>
        <v>#N/A</v>
      </c>
      <c r="AD168" s="15" t="e">
        <f t="shared" si="38"/>
        <v>#N/A</v>
      </c>
      <c r="AE168" s="15" t="e">
        <f t="shared" si="39"/>
        <v>#N/A</v>
      </c>
      <c r="AF168" s="15" t="e">
        <f t="shared" si="40"/>
        <v>#DIV/0!</v>
      </c>
      <c r="AG168" s="15" t="e">
        <f t="shared" si="41"/>
        <v>#DIV/0!</v>
      </c>
      <c r="AH168" s="15" t="e">
        <f t="shared" si="42"/>
        <v>#N/A</v>
      </c>
      <c r="AI168" s="15" t="e">
        <f t="shared" si="43"/>
        <v>#N/A</v>
      </c>
      <c r="AJ168" s="15" t="e">
        <f t="shared" si="44"/>
        <v>#N/A</v>
      </c>
      <c r="AK168" s="15" t="e">
        <f t="shared" si="45"/>
        <v>#N/A</v>
      </c>
      <c r="AL168" s="15" t="e">
        <f t="shared" si="46"/>
        <v>#N/A</v>
      </c>
    </row>
    <row r="169" spans="22:38" x14ac:dyDescent="0.3">
      <c r="V169" s="15">
        <f t="shared" si="47"/>
        <v>0</v>
      </c>
      <c r="W169" s="15">
        <f t="shared" si="48"/>
        <v>0</v>
      </c>
      <c r="X169" s="15">
        <f t="shared" si="49"/>
        <v>0</v>
      </c>
      <c r="Y169" s="15">
        <f t="shared" si="50"/>
        <v>0</v>
      </c>
      <c r="Z169" s="15">
        <f t="shared" si="51"/>
        <v>0</v>
      </c>
      <c r="AA169" s="15">
        <f t="shared" si="36"/>
        <v>0</v>
      </c>
      <c r="AB169" s="15">
        <f t="shared" si="37"/>
        <v>0</v>
      </c>
      <c r="AC169" s="15" t="e">
        <f>T169-VLOOKUP(M169, Beakers!$A$2:$C$151, 3, 0)</f>
        <v>#N/A</v>
      </c>
      <c r="AD169" s="15" t="e">
        <f t="shared" si="38"/>
        <v>#N/A</v>
      </c>
      <c r="AE169" s="15" t="e">
        <f t="shared" si="39"/>
        <v>#N/A</v>
      </c>
      <c r="AF169" s="15" t="e">
        <f t="shared" si="40"/>
        <v>#DIV/0!</v>
      </c>
      <c r="AG169" s="15" t="e">
        <f t="shared" si="41"/>
        <v>#DIV/0!</v>
      </c>
      <c r="AH169" s="15" t="e">
        <f t="shared" si="42"/>
        <v>#N/A</v>
      </c>
      <c r="AI169" s="15" t="e">
        <f t="shared" si="43"/>
        <v>#N/A</v>
      </c>
      <c r="AJ169" s="15" t="e">
        <f t="shared" si="44"/>
        <v>#N/A</v>
      </c>
      <c r="AK169" s="15" t="e">
        <f t="shared" si="45"/>
        <v>#N/A</v>
      </c>
      <c r="AL169" s="15" t="e">
        <f t="shared" si="46"/>
        <v>#N/A</v>
      </c>
    </row>
    <row r="170" spans="22:38" x14ac:dyDescent="0.3">
      <c r="V170" s="15">
        <f t="shared" si="47"/>
        <v>0</v>
      </c>
      <c r="W170" s="15">
        <f t="shared" si="48"/>
        <v>0</v>
      </c>
      <c r="X170" s="15">
        <f t="shared" si="49"/>
        <v>0</v>
      </c>
      <c r="Y170" s="15">
        <f t="shared" si="50"/>
        <v>0</v>
      </c>
      <c r="Z170" s="15">
        <f t="shared" si="51"/>
        <v>0</v>
      </c>
      <c r="AA170" s="15">
        <f t="shared" si="36"/>
        <v>0</v>
      </c>
      <c r="AB170" s="15">
        <f t="shared" si="37"/>
        <v>0</v>
      </c>
      <c r="AC170" s="15" t="e">
        <f>T170-VLOOKUP(M170, Beakers!$A$2:$C$151, 3, 0)</f>
        <v>#N/A</v>
      </c>
      <c r="AD170" s="15" t="e">
        <f t="shared" si="38"/>
        <v>#N/A</v>
      </c>
      <c r="AE170" s="15" t="e">
        <f t="shared" si="39"/>
        <v>#N/A</v>
      </c>
      <c r="AF170" s="15" t="e">
        <f t="shared" si="40"/>
        <v>#DIV/0!</v>
      </c>
      <c r="AG170" s="15" t="e">
        <f t="shared" si="41"/>
        <v>#DIV/0!</v>
      </c>
      <c r="AH170" s="15" t="e">
        <f t="shared" si="42"/>
        <v>#N/A</v>
      </c>
      <c r="AI170" s="15" t="e">
        <f t="shared" si="43"/>
        <v>#N/A</v>
      </c>
      <c r="AJ170" s="15" t="e">
        <f t="shared" si="44"/>
        <v>#N/A</v>
      </c>
      <c r="AK170" s="15" t="e">
        <f t="shared" si="45"/>
        <v>#N/A</v>
      </c>
      <c r="AL170" s="15" t="e">
        <f t="shared" si="46"/>
        <v>#N/A</v>
      </c>
    </row>
    <row r="171" spans="22:38" x14ac:dyDescent="0.3">
      <c r="V171" s="15">
        <f t="shared" si="47"/>
        <v>0</v>
      </c>
      <c r="W171" s="15">
        <f t="shared" si="48"/>
        <v>0</v>
      </c>
      <c r="X171" s="15">
        <f t="shared" si="49"/>
        <v>0</v>
      </c>
      <c r="Y171" s="15">
        <f t="shared" si="50"/>
        <v>0</v>
      </c>
      <c r="Z171" s="15">
        <f t="shared" si="51"/>
        <v>0</v>
      </c>
      <c r="AA171" s="15">
        <f t="shared" si="36"/>
        <v>0</v>
      </c>
      <c r="AB171" s="15">
        <f t="shared" si="37"/>
        <v>0</v>
      </c>
      <c r="AC171" s="15" t="e">
        <f>T171-VLOOKUP(M171, Beakers!$A$2:$C$151, 3, 0)</f>
        <v>#N/A</v>
      </c>
      <c r="AD171" s="15" t="e">
        <f t="shared" si="38"/>
        <v>#N/A</v>
      </c>
      <c r="AE171" s="15" t="e">
        <f t="shared" si="39"/>
        <v>#N/A</v>
      </c>
      <c r="AF171" s="15" t="e">
        <f t="shared" si="40"/>
        <v>#DIV/0!</v>
      </c>
      <c r="AG171" s="15" t="e">
        <f t="shared" si="41"/>
        <v>#DIV/0!</v>
      </c>
      <c r="AH171" s="15" t="e">
        <f t="shared" si="42"/>
        <v>#N/A</v>
      </c>
      <c r="AI171" s="15" t="e">
        <f t="shared" si="43"/>
        <v>#N/A</v>
      </c>
      <c r="AJ171" s="15" t="e">
        <f t="shared" si="44"/>
        <v>#N/A</v>
      </c>
      <c r="AK171" s="15" t="e">
        <f t="shared" si="45"/>
        <v>#N/A</v>
      </c>
      <c r="AL171" s="15" t="e">
        <f t="shared" si="46"/>
        <v>#N/A</v>
      </c>
    </row>
    <row r="172" spans="22:38" x14ac:dyDescent="0.3">
      <c r="V172" s="15">
        <f t="shared" si="47"/>
        <v>0</v>
      </c>
      <c r="W172" s="15">
        <f t="shared" si="48"/>
        <v>0</v>
      </c>
      <c r="X172" s="15">
        <f t="shared" si="49"/>
        <v>0</v>
      </c>
      <c r="Y172" s="15">
        <f t="shared" si="50"/>
        <v>0</v>
      </c>
      <c r="Z172" s="15">
        <f t="shared" si="51"/>
        <v>0</v>
      </c>
      <c r="AA172" s="15">
        <f t="shared" si="36"/>
        <v>0</v>
      </c>
      <c r="AB172" s="15">
        <f t="shared" si="37"/>
        <v>0</v>
      </c>
      <c r="AC172" s="15" t="e">
        <f>T172-VLOOKUP(M172, Beakers!$A$2:$C$151, 3, 0)</f>
        <v>#N/A</v>
      </c>
      <c r="AD172" s="15" t="e">
        <f t="shared" si="38"/>
        <v>#N/A</v>
      </c>
      <c r="AE172" s="15" t="e">
        <f t="shared" si="39"/>
        <v>#N/A</v>
      </c>
      <c r="AF172" s="15" t="e">
        <f t="shared" si="40"/>
        <v>#DIV/0!</v>
      </c>
      <c r="AG172" s="15" t="e">
        <f t="shared" si="41"/>
        <v>#DIV/0!</v>
      </c>
      <c r="AH172" s="15" t="e">
        <f t="shared" si="42"/>
        <v>#N/A</v>
      </c>
      <c r="AI172" s="15" t="e">
        <f t="shared" si="43"/>
        <v>#N/A</v>
      </c>
      <c r="AJ172" s="15" t="e">
        <f t="shared" si="44"/>
        <v>#N/A</v>
      </c>
      <c r="AK172" s="15" t="e">
        <f t="shared" si="45"/>
        <v>#N/A</v>
      </c>
      <c r="AL172" s="15" t="e">
        <f t="shared" si="46"/>
        <v>#N/A</v>
      </c>
    </row>
    <row r="173" spans="22:38" x14ac:dyDescent="0.3">
      <c r="V173" s="15">
        <f t="shared" si="47"/>
        <v>0</v>
      </c>
      <c r="W173" s="15">
        <f t="shared" si="48"/>
        <v>0</v>
      </c>
      <c r="X173" s="15">
        <f t="shared" si="49"/>
        <v>0</v>
      </c>
      <c r="Y173" s="15">
        <f t="shared" si="50"/>
        <v>0</v>
      </c>
      <c r="Z173" s="15">
        <f t="shared" si="51"/>
        <v>0</v>
      </c>
      <c r="AA173" s="15">
        <f t="shared" si="36"/>
        <v>0</v>
      </c>
      <c r="AB173" s="15">
        <f t="shared" si="37"/>
        <v>0</v>
      </c>
      <c r="AC173" s="15" t="e">
        <f>T173-VLOOKUP(M173, Beakers!$A$2:$C$151, 3, 0)</f>
        <v>#N/A</v>
      </c>
      <c r="AD173" s="15" t="e">
        <f t="shared" si="38"/>
        <v>#N/A</v>
      </c>
      <c r="AE173" s="15" t="e">
        <f t="shared" si="39"/>
        <v>#N/A</v>
      </c>
      <c r="AF173" s="15" t="e">
        <f t="shared" si="40"/>
        <v>#DIV/0!</v>
      </c>
      <c r="AG173" s="15" t="e">
        <f t="shared" si="41"/>
        <v>#DIV/0!</v>
      </c>
      <c r="AH173" s="15" t="e">
        <f t="shared" si="42"/>
        <v>#N/A</v>
      </c>
      <c r="AI173" s="15" t="e">
        <f t="shared" si="43"/>
        <v>#N/A</v>
      </c>
      <c r="AJ173" s="15" t="e">
        <f t="shared" si="44"/>
        <v>#N/A</v>
      </c>
      <c r="AK173" s="15" t="e">
        <f t="shared" si="45"/>
        <v>#N/A</v>
      </c>
      <c r="AL173" s="15" t="e">
        <f t="shared" si="46"/>
        <v>#N/A</v>
      </c>
    </row>
    <row r="174" spans="22:38" x14ac:dyDescent="0.3">
      <c r="V174" s="15">
        <f t="shared" si="47"/>
        <v>0</v>
      </c>
      <c r="W174" s="15">
        <f t="shared" si="48"/>
        <v>0</v>
      </c>
      <c r="X174" s="15">
        <f t="shared" si="49"/>
        <v>0</v>
      </c>
      <c r="Y174" s="15">
        <f t="shared" si="50"/>
        <v>0</v>
      </c>
      <c r="Z174" s="15">
        <f t="shared" si="51"/>
        <v>0</v>
      </c>
      <c r="AA174" s="15">
        <f t="shared" si="36"/>
        <v>0</v>
      </c>
      <c r="AB174" s="15">
        <f t="shared" si="37"/>
        <v>0</v>
      </c>
      <c r="AC174" s="15" t="e">
        <f>T174-VLOOKUP(M174, Beakers!$A$2:$C$151, 3, 0)</f>
        <v>#N/A</v>
      </c>
      <c r="AD174" s="15" t="e">
        <f t="shared" si="38"/>
        <v>#N/A</v>
      </c>
      <c r="AE174" s="15" t="e">
        <f t="shared" si="39"/>
        <v>#N/A</v>
      </c>
      <c r="AF174" s="15" t="e">
        <f t="shared" si="40"/>
        <v>#DIV/0!</v>
      </c>
      <c r="AG174" s="15" t="e">
        <f t="shared" si="41"/>
        <v>#DIV/0!</v>
      </c>
      <c r="AH174" s="15" t="e">
        <f t="shared" si="42"/>
        <v>#N/A</v>
      </c>
      <c r="AI174" s="15" t="e">
        <f t="shared" si="43"/>
        <v>#N/A</v>
      </c>
      <c r="AJ174" s="15" t="e">
        <f t="shared" si="44"/>
        <v>#N/A</v>
      </c>
      <c r="AK174" s="15" t="e">
        <f t="shared" si="45"/>
        <v>#N/A</v>
      </c>
      <c r="AL174" s="15" t="e">
        <f t="shared" si="46"/>
        <v>#N/A</v>
      </c>
    </row>
    <row r="175" spans="22:38" x14ac:dyDescent="0.3">
      <c r="V175" s="15">
        <f t="shared" si="47"/>
        <v>0</v>
      </c>
      <c r="W175" s="15">
        <f t="shared" si="48"/>
        <v>0</v>
      </c>
      <c r="X175" s="15">
        <f t="shared" si="49"/>
        <v>0</v>
      </c>
      <c r="Y175" s="15">
        <f t="shared" si="50"/>
        <v>0</v>
      </c>
      <c r="Z175" s="15">
        <f t="shared" si="51"/>
        <v>0</v>
      </c>
      <c r="AA175" s="15">
        <f t="shared" si="36"/>
        <v>0</v>
      </c>
      <c r="AB175" s="15">
        <f t="shared" si="37"/>
        <v>0</v>
      </c>
      <c r="AC175" s="15" t="e">
        <f>T175-VLOOKUP(M175, Beakers!$A$2:$C$151, 3, 0)</f>
        <v>#N/A</v>
      </c>
      <c r="AD175" s="15" t="e">
        <f t="shared" si="38"/>
        <v>#N/A</v>
      </c>
      <c r="AE175" s="15" t="e">
        <f t="shared" si="39"/>
        <v>#N/A</v>
      </c>
      <c r="AF175" s="15" t="e">
        <f t="shared" si="40"/>
        <v>#DIV/0!</v>
      </c>
      <c r="AG175" s="15" t="e">
        <f t="shared" si="41"/>
        <v>#DIV/0!</v>
      </c>
      <c r="AH175" s="15" t="e">
        <f t="shared" si="42"/>
        <v>#N/A</v>
      </c>
      <c r="AI175" s="15" t="e">
        <f t="shared" si="43"/>
        <v>#N/A</v>
      </c>
      <c r="AJ175" s="15" t="e">
        <f t="shared" si="44"/>
        <v>#N/A</v>
      </c>
      <c r="AK175" s="15" t="e">
        <f t="shared" si="45"/>
        <v>#N/A</v>
      </c>
      <c r="AL175" s="15" t="e">
        <f t="shared" si="46"/>
        <v>#N/A</v>
      </c>
    </row>
    <row r="176" spans="22:38" x14ac:dyDescent="0.3">
      <c r="V176" s="15">
        <f t="shared" si="47"/>
        <v>0</v>
      </c>
      <c r="W176" s="15">
        <f t="shared" si="48"/>
        <v>0</v>
      </c>
      <c r="X176" s="15">
        <f t="shared" si="49"/>
        <v>0</v>
      </c>
      <c r="Y176" s="15">
        <f t="shared" si="50"/>
        <v>0</v>
      </c>
      <c r="Z176" s="15">
        <f t="shared" si="51"/>
        <v>0</v>
      </c>
      <c r="AA176" s="15">
        <f t="shared" si="36"/>
        <v>0</v>
      </c>
      <c r="AB176" s="15">
        <f t="shared" si="37"/>
        <v>0</v>
      </c>
      <c r="AC176" s="15" t="e">
        <f>T176-VLOOKUP(M176, Beakers!$A$2:$C$151, 3, 0)</f>
        <v>#N/A</v>
      </c>
      <c r="AD176" s="15" t="e">
        <f t="shared" si="38"/>
        <v>#N/A</v>
      </c>
      <c r="AE176" s="15" t="e">
        <f t="shared" si="39"/>
        <v>#N/A</v>
      </c>
      <c r="AF176" s="15" t="e">
        <f t="shared" si="40"/>
        <v>#DIV/0!</v>
      </c>
      <c r="AG176" s="15" t="e">
        <f t="shared" si="41"/>
        <v>#DIV/0!</v>
      </c>
      <c r="AH176" s="15" t="e">
        <f t="shared" si="42"/>
        <v>#N/A</v>
      </c>
      <c r="AI176" s="15" t="e">
        <f t="shared" si="43"/>
        <v>#N/A</v>
      </c>
      <c r="AJ176" s="15" t="e">
        <f t="shared" si="44"/>
        <v>#N/A</v>
      </c>
      <c r="AK176" s="15" t="e">
        <f t="shared" si="45"/>
        <v>#N/A</v>
      </c>
      <c r="AL176" s="15" t="e">
        <f t="shared" si="46"/>
        <v>#N/A</v>
      </c>
    </row>
    <row r="177" spans="22:38" x14ac:dyDescent="0.3">
      <c r="V177" s="15">
        <f t="shared" si="47"/>
        <v>0</v>
      </c>
      <c r="W177" s="15">
        <f t="shared" si="48"/>
        <v>0</v>
      </c>
      <c r="X177" s="15">
        <f t="shared" si="49"/>
        <v>0</v>
      </c>
      <c r="Y177" s="15">
        <f t="shared" si="50"/>
        <v>0</v>
      </c>
      <c r="Z177" s="15">
        <f t="shared" si="51"/>
        <v>0</v>
      </c>
      <c r="AA177" s="15">
        <f t="shared" si="36"/>
        <v>0</v>
      </c>
      <c r="AB177" s="15">
        <f t="shared" si="37"/>
        <v>0</v>
      </c>
      <c r="AC177" s="15" t="e">
        <f>T177-VLOOKUP(M177, Beakers!$A$2:$C$151, 3, 0)</f>
        <v>#N/A</v>
      </c>
      <c r="AD177" s="15" t="e">
        <f t="shared" si="38"/>
        <v>#N/A</v>
      </c>
      <c r="AE177" s="15" t="e">
        <f t="shared" si="39"/>
        <v>#N/A</v>
      </c>
      <c r="AF177" s="15" t="e">
        <f t="shared" si="40"/>
        <v>#DIV/0!</v>
      </c>
      <c r="AG177" s="15" t="e">
        <f t="shared" si="41"/>
        <v>#DIV/0!</v>
      </c>
      <c r="AH177" s="15" t="e">
        <f t="shared" si="42"/>
        <v>#N/A</v>
      </c>
      <c r="AI177" s="15" t="e">
        <f t="shared" si="43"/>
        <v>#N/A</v>
      </c>
      <c r="AJ177" s="15" t="e">
        <f t="shared" si="44"/>
        <v>#N/A</v>
      </c>
      <c r="AK177" s="15" t="e">
        <f t="shared" si="45"/>
        <v>#N/A</v>
      </c>
      <c r="AL177" s="15" t="e">
        <f t="shared" si="46"/>
        <v>#N/A</v>
      </c>
    </row>
    <row r="178" spans="22:38" x14ac:dyDescent="0.3">
      <c r="V178" s="15">
        <f t="shared" si="47"/>
        <v>0</v>
      </c>
      <c r="W178" s="15">
        <f t="shared" si="48"/>
        <v>0</v>
      </c>
      <c r="X178" s="15">
        <f t="shared" si="49"/>
        <v>0</v>
      </c>
      <c r="Y178" s="15">
        <f t="shared" si="50"/>
        <v>0</v>
      </c>
      <c r="Z178" s="15">
        <f t="shared" si="51"/>
        <v>0</v>
      </c>
      <c r="AA178" s="15">
        <f t="shared" si="36"/>
        <v>0</v>
      </c>
      <c r="AB178" s="15">
        <f t="shared" si="37"/>
        <v>0</v>
      </c>
      <c r="AC178" s="15" t="e">
        <f>T178-VLOOKUP(M178, Beakers!$A$2:$C$151, 3, 0)</f>
        <v>#N/A</v>
      </c>
      <c r="AD178" s="15" t="e">
        <f t="shared" si="38"/>
        <v>#N/A</v>
      </c>
      <c r="AE178" s="15" t="e">
        <f t="shared" si="39"/>
        <v>#N/A</v>
      </c>
      <c r="AF178" s="15" t="e">
        <f t="shared" si="40"/>
        <v>#DIV/0!</v>
      </c>
      <c r="AG178" s="15" t="e">
        <f t="shared" si="41"/>
        <v>#DIV/0!</v>
      </c>
      <c r="AH178" s="15" t="e">
        <f t="shared" si="42"/>
        <v>#N/A</v>
      </c>
      <c r="AI178" s="15" t="e">
        <f t="shared" si="43"/>
        <v>#N/A</v>
      </c>
      <c r="AJ178" s="15" t="e">
        <f t="shared" si="44"/>
        <v>#N/A</v>
      </c>
      <c r="AK178" s="15" t="e">
        <f t="shared" si="45"/>
        <v>#N/A</v>
      </c>
      <c r="AL178" s="15" t="e">
        <f t="shared" si="46"/>
        <v>#N/A</v>
      </c>
    </row>
    <row r="179" spans="22:38" x14ac:dyDescent="0.3">
      <c r="V179" s="15">
        <f t="shared" si="47"/>
        <v>0</v>
      </c>
      <c r="W179" s="15">
        <f t="shared" si="48"/>
        <v>0</v>
      </c>
      <c r="X179" s="15">
        <f t="shared" si="49"/>
        <v>0</v>
      </c>
      <c r="Y179" s="15">
        <f t="shared" si="50"/>
        <v>0</v>
      </c>
      <c r="Z179" s="15">
        <f t="shared" si="51"/>
        <v>0</v>
      </c>
      <c r="AA179" s="15">
        <f t="shared" si="36"/>
        <v>0</v>
      </c>
      <c r="AB179" s="15">
        <f t="shared" si="37"/>
        <v>0</v>
      </c>
      <c r="AC179" s="15" t="e">
        <f>T179-VLOOKUP(M179, Beakers!$A$2:$C$151, 3, 0)</f>
        <v>#N/A</v>
      </c>
      <c r="AD179" s="15" t="e">
        <f t="shared" si="38"/>
        <v>#N/A</v>
      </c>
      <c r="AE179" s="15" t="e">
        <f t="shared" si="39"/>
        <v>#N/A</v>
      </c>
      <c r="AF179" s="15" t="e">
        <f t="shared" si="40"/>
        <v>#DIV/0!</v>
      </c>
      <c r="AG179" s="15" t="e">
        <f t="shared" si="41"/>
        <v>#DIV/0!</v>
      </c>
      <c r="AH179" s="15" t="e">
        <f t="shared" si="42"/>
        <v>#N/A</v>
      </c>
      <c r="AI179" s="15" t="e">
        <f t="shared" si="43"/>
        <v>#N/A</v>
      </c>
      <c r="AJ179" s="15" t="e">
        <f t="shared" si="44"/>
        <v>#N/A</v>
      </c>
      <c r="AK179" s="15" t="e">
        <f t="shared" si="45"/>
        <v>#N/A</v>
      </c>
      <c r="AL179" s="15" t="e">
        <f t="shared" si="46"/>
        <v>#N/A</v>
      </c>
    </row>
    <row r="180" spans="22:38" x14ac:dyDescent="0.3">
      <c r="V180" s="15">
        <f t="shared" si="47"/>
        <v>0</v>
      </c>
      <c r="W180" s="15">
        <f t="shared" si="48"/>
        <v>0</v>
      </c>
      <c r="X180" s="15">
        <f t="shared" si="49"/>
        <v>0</v>
      </c>
      <c r="Y180" s="15">
        <f t="shared" si="50"/>
        <v>0</v>
      </c>
      <c r="Z180" s="15">
        <f t="shared" si="51"/>
        <v>0</v>
      </c>
      <c r="AA180" s="15">
        <f t="shared" si="36"/>
        <v>0</v>
      </c>
      <c r="AB180" s="15">
        <f t="shared" si="37"/>
        <v>0</v>
      </c>
      <c r="AC180" s="15" t="e">
        <f>T180-VLOOKUP(M180, Beakers!$A$2:$C$151, 3, 0)</f>
        <v>#N/A</v>
      </c>
      <c r="AD180" s="15" t="e">
        <f t="shared" si="38"/>
        <v>#N/A</v>
      </c>
      <c r="AE180" s="15" t="e">
        <f t="shared" si="39"/>
        <v>#N/A</v>
      </c>
      <c r="AF180" s="15" t="e">
        <f t="shared" si="40"/>
        <v>#DIV/0!</v>
      </c>
      <c r="AG180" s="15" t="e">
        <f t="shared" si="41"/>
        <v>#DIV/0!</v>
      </c>
      <c r="AH180" s="15" t="e">
        <f t="shared" si="42"/>
        <v>#N/A</v>
      </c>
      <c r="AI180" s="15" t="e">
        <f t="shared" si="43"/>
        <v>#N/A</v>
      </c>
      <c r="AJ180" s="15" t="e">
        <f t="shared" si="44"/>
        <v>#N/A</v>
      </c>
      <c r="AK180" s="15" t="e">
        <f t="shared" si="45"/>
        <v>#N/A</v>
      </c>
      <c r="AL180" s="15" t="e">
        <f t="shared" si="46"/>
        <v>#N/A</v>
      </c>
    </row>
    <row r="181" spans="22:38" x14ac:dyDescent="0.3">
      <c r="V181" s="15">
        <f t="shared" si="47"/>
        <v>0</v>
      </c>
      <c r="W181" s="15">
        <f t="shared" si="48"/>
        <v>0</v>
      </c>
      <c r="X181" s="15">
        <f t="shared" si="49"/>
        <v>0</v>
      </c>
      <c r="Y181" s="15">
        <f t="shared" si="50"/>
        <v>0</v>
      </c>
      <c r="Z181" s="15">
        <f t="shared" si="51"/>
        <v>0</v>
      </c>
      <c r="AA181" s="15">
        <f t="shared" si="36"/>
        <v>0</v>
      </c>
      <c r="AB181" s="15">
        <f t="shared" si="37"/>
        <v>0</v>
      </c>
      <c r="AC181" s="15" t="e">
        <f>T181-VLOOKUP(M181, Beakers!$A$2:$C$151, 3, 0)</f>
        <v>#N/A</v>
      </c>
      <c r="AD181" s="15" t="e">
        <f t="shared" si="38"/>
        <v>#N/A</v>
      </c>
      <c r="AE181" s="15" t="e">
        <f t="shared" si="39"/>
        <v>#N/A</v>
      </c>
      <c r="AF181" s="15" t="e">
        <f t="shared" si="40"/>
        <v>#DIV/0!</v>
      </c>
      <c r="AG181" s="15" t="e">
        <f t="shared" si="41"/>
        <v>#DIV/0!</v>
      </c>
      <c r="AH181" s="15" t="e">
        <f t="shared" si="42"/>
        <v>#N/A</v>
      </c>
      <c r="AI181" s="15" t="e">
        <f t="shared" si="43"/>
        <v>#N/A</v>
      </c>
      <c r="AJ181" s="15" t="e">
        <f t="shared" si="44"/>
        <v>#N/A</v>
      </c>
      <c r="AK181" s="15" t="e">
        <f t="shared" si="45"/>
        <v>#N/A</v>
      </c>
      <c r="AL181" s="15" t="e">
        <f t="shared" si="46"/>
        <v>#N/A</v>
      </c>
    </row>
    <row r="182" spans="22:38" x14ac:dyDescent="0.3"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spans="22:38" x14ac:dyDescent="0.3"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22:38" x14ac:dyDescent="0.3"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22:38" x14ac:dyDescent="0.3"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22:38" x14ac:dyDescent="0.3"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22:38" x14ac:dyDescent="0.3"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spans="22:38" x14ac:dyDescent="0.3"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 spans="22:38" x14ac:dyDescent="0.3"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 spans="22:38" x14ac:dyDescent="0.3"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 spans="22:38" x14ac:dyDescent="0.3"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spans="22:38" x14ac:dyDescent="0.3"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spans="22:38" x14ac:dyDescent="0.3"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 spans="22:38" x14ac:dyDescent="0.3"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 spans="22:38" x14ac:dyDescent="0.3"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 spans="22:38" x14ac:dyDescent="0.3"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 spans="22:38" x14ac:dyDescent="0.3"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 spans="22:38" x14ac:dyDescent="0.3"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spans="22:38" x14ac:dyDescent="0.3"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 spans="22:38" x14ac:dyDescent="0.3"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 spans="22:38" x14ac:dyDescent="0.3"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 spans="22:38" x14ac:dyDescent="0.3"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 spans="22:38" x14ac:dyDescent="0.3"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 spans="22:38" x14ac:dyDescent="0.3"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spans="22:38" x14ac:dyDescent="0.3"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spans="22:38" x14ac:dyDescent="0.3"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spans="22:38" x14ac:dyDescent="0.3"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spans="22:38" x14ac:dyDescent="0.3"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spans="22:38" x14ac:dyDescent="0.3"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spans="22:38" x14ac:dyDescent="0.3"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spans="22:38" x14ac:dyDescent="0.3"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spans="22:38" x14ac:dyDescent="0.3"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spans="22:38" x14ac:dyDescent="0.3"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spans="22:38" x14ac:dyDescent="0.3"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 spans="22:38" x14ac:dyDescent="0.3"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 spans="22:38" x14ac:dyDescent="0.3"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 spans="22:38" x14ac:dyDescent="0.3"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 spans="22:38" x14ac:dyDescent="0.3"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 spans="22:38" x14ac:dyDescent="0.3"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 spans="22:38" x14ac:dyDescent="0.3"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 spans="22:38" x14ac:dyDescent="0.3"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 spans="22:38" x14ac:dyDescent="0.3"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 spans="22:38" x14ac:dyDescent="0.3"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 spans="22:38" x14ac:dyDescent="0.3"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 spans="22:38" x14ac:dyDescent="0.3"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 spans="22:38" x14ac:dyDescent="0.3"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 spans="22:38" x14ac:dyDescent="0.3"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 spans="22:38" x14ac:dyDescent="0.3"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 spans="22:38" x14ac:dyDescent="0.3"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 spans="22:38" x14ac:dyDescent="0.3"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 spans="22:38" x14ac:dyDescent="0.3"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 spans="22:38" x14ac:dyDescent="0.3"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 spans="22:38" x14ac:dyDescent="0.3"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spans="22:38" x14ac:dyDescent="0.3"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spans="22:38" x14ac:dyDescent="0.3"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spans="22:38" x14ac:dyDescent="0.3"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spans="22:38" x14ac:dyDescent="0.3"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spans="22:38" x14ac:dyDescent="0.3"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spans="22:38" x14ac:dyDescent="0.3"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spans="22:38" x14ac:dyDescent="0.3"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spans="22:38" x14ac:dyDescent="0.3"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spans="22:38" x14ac:dyDescent="0.3"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spans="22:38" x14ac:dyDescent="0.3"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spans="22:38" x14ac:dyDescent="0.3"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spans="22:38" x14ac:dyDescent="0.3"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spans="22:38" x14ac:dyDescent="0.3"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spans="22:38" x14ac:dyDescent="0.3"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spans="22:38" x14ac:dyDescent="0.3"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spans="22:38" x14ac:dyDescent="0.3"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spans="22:38" x14ac:dyDescent="0.3"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spans="22:38" x14ac:dyDescent="0.3"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spans="22:38" x14ac:dyDescent="0.3"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spans="22:38" x14ac:dyDescent="0.3"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spans="22:38" x14ac:dyDescent="0.3"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spans="22:38" x14ac:dyDescent="0.3"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spans="22:38" x14ac:dyDescent="0.3"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spans="22:38" x14ac:dyDescent="0.3"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spans="22:38" x14ac:dyDescent="0.3"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spans="22:38" x14ac:dyDescent="0.3"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spans="22:38" x14ac:dyDescent="0.3"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spans="22:38" x14ac:dyDescent="0.3"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spans="22:38" x14ac:dyDescent="0.3"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spans="22:38" x14ac:dyDescent="0.3"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spans="22:38" x14ac:dyDescent="0.3"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spans="22:38" x14ac:dyDescent="0.3"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spans="22:38" x14ac:dyDescent="0.3"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spans="22:38" x14ac:dyDescent="0.3"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spans="22:38" x14ac:dyDescent="0.3"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spans="22:38" x14ac:dyDescent="0.3"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spans="22:38" x14ac:dyDescent="0.3"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spans="22:38" x14ac:dyDescent="0.3"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spans="22:38" x14ac:dyDescent="0.3"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spans="22:38" x14ac:dyDescent="0.3"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spans="22:38" x14ac:dyDescent="0.3"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spans="22:38" x14ac:dyDescent="0.3"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spans="22:38" x14ac:dyDescent="0.3"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spans="22:38" x14ac:dyDescent="0.3"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spans="22:38" x14ac:dyDescent="0.3"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spans="22:38" x14ac:dyDescent="0.3"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spans="22:38" x14ac:dyDescent="0.3"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spans="22:38" x14ac:dyDescent="0.3"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spans="22:38" x14ac:dyDescent="0.3"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spans="22:38" x14ac:dyDescent="0.3"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spans="22:38" x14ac:dyDescent="0.3"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spans="22:38" x14ac:dyDescent="0.3"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spans="22:38" x14ac:dyDescent="0.3"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spans="22:38" x14ac:dyDescent="0.3"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spans="22:38" x14ac:dyDescent="0.3"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spans="22:38" x14ac:dyDescent="0.3"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spans="22:38" x14ac:dyDescent="0.3"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 spans="22:38" x14ac:dyDescent="0.3"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 spans="22:38" x14ac:dyDescent="0.3"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 spans="22:38" x14ac:dyDescent="0.3"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 spans="22:38" x14ac:dyDescent="0.3"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 spans="22:38" x14ac:dyDescent="0.3"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 spans="22:38" x14ac:dyDescent="0.3"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spans="22:38" x14ac:dyDescent="0.3"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spans="22:38" x14ac:dyDescent="0.3"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spans="22:38" x14ac:dyDescent="0.3"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spans="22:38" x14ac:dyDescent="0.3"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spans="22:38" x14ac:dyDescent="0.3"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spans="22:38" x14ac:dyDescent="0.3"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spans="22:38" x14ac:dyDescent="0.3"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spans="22:38" x14ac:dyDescent="0.3"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spans="22:38" x14ac:dyDescent="0.3"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spans="22:38" x14ac:dyDescent="0.3"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spans="22:38" x14ac:dyDescent="0.3"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spans="22:38" x14ac:dyDescent="0.3"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spans="22:38" x14ac:dyDescent="0.3"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spans="22:38" x14ac:dyDescent="0.3"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spans="22:38" x14ac:dyDescent="0.3"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spans="22:38" x14ac:dyDescent="0.3"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spans="22:38" x14ac:dyDescent="0.3"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spans="22:38" x14ac:dyDescent="0.3"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spans="22:38" x14ac:dyDescent="0.3"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spans="22:38" x14ac:dyDescent="0.3"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spans="22:38" x14ac:dyDescent="0.3"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spans="22:38" x14ac:dyDescent="0.3"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spans="22:38" x14ac:dyDescent="0.3"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spans="22:38" x14ac:dyDescent="0.3"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spans="22:38" x14ac:dyDescent="0.3"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spans="22:38" x14ac:dyDescent="0.3"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spans="22:38" x14ac:dyDescent="0.3"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spans="22:38" x14ac:dyDescent="0.3"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spans="22:38" x14ac:dyDescent="0.3"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spans="22:38" x14ac:dyDescent="0.3"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spans="22:38" x14ac:dyDescent="0.3"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spans="22:38" x14ac:dyDescent="0.3"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spans="22:38" x14ac:dyDescent="0.3"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spans="22:38" x14ac:dyDescent="0.3"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spans="22:38" x14ac:dyDescent="0.3"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spans="22:38" x14ac:dyDescent="0.3"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spans="22:38" x14ac:dyDescent="0.3"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spans="22:38" x14ac:dyDescent="0.3"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spans="22:38" x14ac:dyDescent="0.3"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spans="22:38" x14ac:dyDescent="0.3"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spans="22:38" x14ac:dyDescent="0.3"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spans="22:38" x14ac:dyDescent="0.3"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spans="22:38" x14ac:dyDescent="0.3"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spans="22:38" x14ac:dyDescent="0.3"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spans="22:38" x14ac:dyDescent="0.3"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spans="22:38" x14ac:dyDescent="0.3"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spans="22:38" x14ac:dyDescent="0.3"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spans="22:38" x14ac:dyDescent="0.3"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spans="22:38" x14ac:dyDescent="0.3"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spans="22:38" x14ac:dyDescent="0.3"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spans="22:38" x14ac:dyDescent="0.3"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spans="22:38" x14ac:dyDescent="0.3"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spans="22:38" x14ac:dyDescent="0.3"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spans="22:38" x14ac:dyDescent="0.3"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spans="22:38" x14ac:dyDescent="0.3"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spans="22:38" x14ac:dyDescent="0.3"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spans="22:38" x14ac:dyDescent="0.3"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spans="22:38" x14ac:dyDescent="0.3"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spans="22:38" x14ac:dyDescent="0.3"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spans="22:38" x14ac:dyDescent="0.3"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spans="22:38" x14ac:dyDescent="0.3"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spans="22:38" x14ac:dyDescent="0.3"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spans="22:38" x14ac:dyDescent="0.3"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spans="22:38" x14ac:dyDescent="0.3"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spans="22:38" x14ac:dyDescent="0.3"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spans="22:38" x14ac:dyDescent="0.3"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spans="22:38" x14ac:dyDescent="0.3"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spans="22:38" x14ac:dyDescent="0.3"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spans="22:38" x14ac:dyDescent="0.3"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spans="22:38" x14ac:dyDescent="0.3"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spans="22:38" x14ac:dyDescent="0.3"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spans="22:38" x14ac:dyDescent="0.3"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spans="22:38" x14ac:dyDescent="0.3"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spans="22:38" x14ac:dyDescent="0.3"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spans="22:38" x14ac:dyDescent="0.3"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spans="22:38" x14ac:dyDescent="0.3"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spans="22:38" x14ac:dyDescent="0.3"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spans="22:38" x14ac:dyDescent="0.3"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spans="22:38" x14ac:dyDescent="0.3"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spans="22:38" x14ac:dyDescent="0.3"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spans="22:38" x14ac:dyDescent="0.3"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spans="22:38" x14ac:dyDescent="0.3"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spans="22:38" x14ac:dyDescent="0.3"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spans="22:38" x14ac:dyDescent="0.3"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spans="22:38" x14ac:dyDescent="0.3"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spans="22:38" x14ac:dyDescent="0.3"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spans="22:38" x14ac:dyDescent="0.3"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1108-1839-4B4B-A745-1D595A223B38}">
  <dimension ref="A1:M77"/>
  <sheetViews>
    <sheetView topLeftCell="A54" workbookViewId="0">
      <selection activeCell="A77" sqref="A77:XFD77"/>
    </sheetView>
  </sheetViews>
  <sheetFormatPr defaultRowHeight="14.4" x14ac:dyDescent="0.3"/>
  <cols>
    <col min="1" max="1" width="15" customWidth="1"/>
    <col min="3" max="3" width="13.33203125" customWidth="1"/>
    <col min="7" max="7" width="13.33203125" customWidth="1"/>
    <col min="8" max="8" width="14.21875" customWidth="1"/>
  </cols>
  <sheetData>
    <row r="1" spans="1:13" x14ac:dyDescent="0.3">
      <c r="A1" t="s">
        <v>57</v>
      </c>
      <c r="B1" t="s">
        <v>58</v>
      </c>
      <c r="C1" t="s">
        <v>61</v>
      </c>
      <c r="D1" t="s">
        <v>62</v>
      </c>
      <c r="E1" t="s">
        <v>59</v>
      </c>
      <c r="G1" t="s">
        <v>67</v>
      </c>
      <c r="H1" t="s">
        <v>61</v>
      </c>
      <c r="I1">
        <v>9.2149000000000001</v>
      </c>
    </row>
    <row r="2" spans="1:13" x14ac:dyDescent="0.3">
      <c r="A2">
        <v>1</v>
      </c>
      <c r="B2">
        <v>5</v>
      </c>
      <c r="C2">
        <v>9.2014999999999993</v>
      </c>
      <c r="D2" s="23">
        <f>$I$1-C2</f>
        <v>1.3400000000000745E-2</v>
      </c>
      <c r="E2" t="s">
        <v>60</v>
      </c>
      <c r="F2" s="22">
        <v>0.64236111111111116</v>
      </c>
    </row>
    <row r="3" spans="1:13" x14ac:dyDescent="0.3">
      <c r="A3">
        <v>2</v>
      </c>
      <c r="B3">
        <v>1</v>
      </c>
      <c r="C3">
        <v>9.2175999999999991</v>
      </c>
      <c r="D3" s="23">
        <f>$I$1-C3</f>
        <v>-2.6999999999990365E-3</v>
      </c>
      <c r="E3" t="s">
        <v>60</v>
      </c>
      <c r="F3" s="22">
        <v>0.76041666666666663</v>
      </c>
    </row>
    <row r="4" spans="1:13" x14ac:dyDescent="0.3">
      <c r="A4">
        <v>3</v>
      </c>
      <c r="B4">
        <v>2</v>
      </c>
      <c r="C4">
        <v>9.2133000000000003</v>
      </c>
      <c r="D4" s="23">
        <f>$I$1-C4</f>
        <v>1.5999999999998238E-3</v>
      </c>
      <c r="E4" t="s">
        <v>60</v>
      </c>
      <c r="F4" s="22">
        <v>0.875</v>
      </c>
    </row>
    <row r="5" spans="1:13" x14ac:dyDescent="0.3">
      <c r="A5">
        <v>4</v>
      </c>
      <c r="B5">
        <v>3</v>
      </c>
      <c r="C5">
        <v>9.2299000000000007</v>
      </c>
      <c r="D5" s="23">
        <f t="shared" ref="D5:D8" si="0">$I$1-C5</f>
        <v>-1.5000000000000568E-2</v>
      </c>
      <c r="E5" t="s">
        <v>64</v>
      </c>
      <c r="F5" s="22">
        <v>0.37847222222222221</v>
      </c>
    </row>
    <row r="6" spans="1:13" x14ac:dyDescent="0.3">
      <c r="A6">
        <v>5</v>
      </c>
      <c r="B6">
        <v>4</v>
      </c>
      <c r="C6">
        <v>9.1655999999999995</v>
      </c>
      <c r="D6" s="23">
        <f t="shared" si="0"/>
        <v>4.9300000000000566E-2</v>
      </c>
      <c r="E6" t="s">
        <v>65</v>
      </c>
      <c r="F6" s="22">
        <v>0.44236111111111109</v>
      </c>
    </row>
    <row r="7" spans="1:13" x14ac:dyDescent="0.3">
      <c r="A7" t="s">
        <v>68</v>
      </c>
      <c r="B7">
        <v>4</v>
      </c>
      <c r="C7">
        <v>9.2058999999999997</v>
      </c>
      <c r="D7" s="23">
        <f t="shared" si="0"/>
        <v>9.0000000000003411E-3</v>
      </c>
      <c r="E7" t="s">
        <v>64</v>
      </c>
      <c r="F7" s="22">
        <v>0.50972222222222219</v>
      </c>
      <c r="G7" t="s">
        <v>69</v>
      </c>
      <c r="M7" s="23"/>
    </row>
    <row r="8" spans="1:13" x14ac:dyDescent="0.3">
      <c r="A8">
        <v>6</v>
      </c>
      <c r="B8">
        <v>4</v>
      </c>
      <c r="C8">
        <v>9.1879000000000008</v>
      </c>
      <c r="D8" s="23">
        <f t="shared" si="0"/>
        <v>2.6999999999999247E-2</v>
      </c>
      <c r="E8" t="s">
        <v>64</v>
      </c>
      <c r="F8" s="22">
        <v>0.58750000000000002</v>
      </c>
    </row>
    <row r="9" spans="1:13" x14ac:dyDescent="0.3">
      <c r="A9" t="s">
        <v>68</v>
      </c>
      <c r="B9">
        <v>4</v>
      </c>
      <c r="C9" t="s">
        <v>70</v>
      </c>
      <c r="G9" s="18" t="s">
        <v>77</v>
      </c>
    </row>
    <row r="10" spans="1:13" x14ac:dyDescent="0.3">
      <c r="A10" t="s">
        <v>75</v>
      </c>
      <c r="C10" t="s">
        <v>76</v>
      </c>
      <c r="K10">
        <v>19.010000000000002</v>
      </c>
      <c r="L10" t="s">
        <v>78</v>
      </c>
    </row>
    <row r="11" spans="1:13" x14ac:dyDescent="0.3">
      <c r="A11">
        <v>7</v>
      </c>
      <c r="B11">
        <v>5</v>
      </c>
      <c r="C11">
        <v>9.2126999999999999</v>
      </c>
      <c r="D11" s="23">
        <f t="shared" ref="D11:D16" si="1">$I$1-C11</f>
        <v>2.2000000000002018E-3</v>
      </c>
      <c r="E11" t="s">
        <v>64</v>
      </c>
      <c r="F11" s="22">
        <v>0.85138888888888886</v>
      </c>
      <c r="K11" t="s">
        <v>71</v>
      </c>
      <c r="L11">
        <v>9.1835000000000004</v>
      </c>
      <c r="M11" s="23">
        <f>$I$1-L11</f>
        <v>3.139999999999965E-2</v>
      </c>
    </row>
    <row r="12" spans="1:13" x14ac:dyDescent="0.3">
      <c r="A12">
        <v>8</v>
      </c>
      <c r="B12">
        <v>1</v>
      </c>
      <c r="C12">
        <v>9.1865000000000006</v>
      </c>
      <c r="D12" s="23">
        <f t="shared" si="1"/>
        <v>2.8399999999999537E-2</v>
      </c>
      <c r="E12" t="s">
        <v>79</v>
      </c>
      <c r="F12" s="22">
        <v>0.33888888888888891</v>
      </c>
      <c r="K12" t="s">
        <v>72</v>
      </c>
      <c r="L12">
        <v>9.2368000000000006</v>
      </c>
      <c r="M12" s="23">
        <f>$I$1-L12</f>
        <v>-2.1900000000000475E-2</v>
      </c>
    </row>
    <row r="13" spans="1:13" x14ac:dyDescent="0.3">
      <c r="A13" t="s">
        <v>68</v>
      </c>
      <c r="B13">
        <v>1</v>
      </c>
      <c r="C13">
        <v>9.2187999999999999</v>
      </c>
      <c r="D13" s="23">
        <f t="shared" si="1"/>
        <v>-3.8999999999997925E-3</v>
      </c>
      <c r="E13" t="s">
        <v>79</v>
      </c>
      <c r="F13" s="22">
        <v>0.40277777777777779</v>
      </c>
      <c r="G13" t="s">
        <v>84</v>
      </c>
      <c r="K13" t="s">
        <v>73</v>
      </c>
      <c r="L13">
        <v>9.2227999999999994</v>
      </c>
      <c r="M13" s="23">
        <f>$I$1-L13</f>
        <v>-7.899999999999352E-3</v>
      </c>
    </row>
    <row r="14" spans="1:13" x14ac:dyDescent="0.3">
      <c r="A14">
        <v>9</v>
      </c>
      <c r="B14">
        <v>1</v>
      </c>
      <c r="C14">
        <v>9.2164000000000001</v>
      </c>
      <c r="D14" s="23">
        <f t="shared" si="1"/>
        <v>-1.5000000000000568E-3</v>
      </c>
      <c r="E14" t="s">
        <v>79</v>
      </c>
      <c r="F14" s="22">
        <v>0.46805555555555556</v>
      </c>
      <c r="K14" t="s">
        <v>74</v>
      </c>
      <c r="L14">
        <v>9.2215000000000007</v>
      </c>
      <c r="M14" s="23">
        <f>$I$1-L14</f>
        <v>-6.6000000000006054E-3</v>
      </c>
    </row>
    <row r="15" spans="1:13" x14ac:dyDescent="0.3">
      <c r="A15" t="s">
        <v>68</v>
      </c>
      <c r="B15">
        <v>4</v>
      </c>
      <c r="C15">
        <v>9.2188999999999997</v>
      </c>
      <c r="D15" s="23">
        <f t="shared" si="1"/>
        <v>-3.9999999999995595E-3</v>
      </c>
      <c r="E15" t="s">
        <v>79</v>
      </c>
      <c r="F15" s="22">
        <v>0.52083333333333337</v>
      </c>
      <c r="G15" t="s">
        <v>81</v>
      </c>
    </row>
    <row r="16" spans="1:13" x14ac:dyDescent="0.3">
      <c r="A16">
        <v>10</v>
      </c>
      <c r="B16">
        <v>2</v>
      </c>
      <c r="C16">
        <v>9.2396999999999991</v>
      </c>
      <c r="D16" s="23">
        <f t="shared" si="1"/>
        <v>-2.4799999999999045E-2</v>
      </c>
      <c r="E16" t="s">
        <v>79</v>
      </c>
      <c r="F16" s="22">
        <v>0.53263888888888888</v>
      </c>
      <c r="K16">
        <v>20.010000000000002</v>
      </c>
      <c r="L16" t="s">
        <v>80</v>
      </c>
    </row>
    <row r="17" spans="1:13" x14ac:dyDescent="0.3">
      <c r="A17" t="s">
        <v>68</v>
      </c>
      <c r="B17">
        <v>2</v>
      </c>
      <c r="C17">
        <v>9.2111000000000001</v>
      </c>
      <c r="D17" s="23">
        <f t="shared" ref="D17:D29" si="2">$I$1-C17</f>
        <v>3.8000000000000256E-3</v>
      </c>
      <c r="E17" t="s">
        <v>79</v>
      </c>
      <c r="F17" s="22">
        <v>0.59027777777777779</v>
      </c>
      <c r="G17" t="s">
        <v>84</v>
      </c>
      <c r="K17" t="s">
        <v>71</v>
      </c>
      <c r="L17">
        <v>9.2188999999999997</v>
      </c>
      <c r="M17" s="23">
        <f t="shared" ref="M17:M27" si="3">$I$1-L17</f>
        <v>-3.9999999999995595E-3</v>
      </c>
    </row>
    <row r="18" spans="1:13" x14ac:dyDescent="0.3">
      <c r="A18">
        <v>11</v>
      </c>
      <c r="B18">
        <v>3</v>
      </c>
      <c r="C18">
        <v>9.2187000000000001</v>
      </c>
      <c r="D18" s="23">
        <f t="shared" si="2"/>
        <v>-3.8000000000000256E-3</v>
      </c>
      <c r="E18" t="s">
        <v>79</v>
      </c>
      <c r="F18" s="22">
        <v>0.65208333333333335</v>
      </c>
      <c r="L18">
        <v>9.2224000000000004</v>
      </c>
      <c r="M18" s="23">
        <f t="shared" si="3"/>
        <v>-7.5000000000002842E-3</v>
      </c>
    </row>
    <row r="19" spans="1:13" x14ac:dyDescent="0.3">
      <c r="A19">
        <v>12</v>
      </c>
      <c r="B19">
        <v>5</v>
      </c>
      <c r="C19">
        <v>9.2231000000000005</v>
      </c>
      <c r="D19" s="23">
        <f t="shared" si="2"/>
        <v>-8.2000000000004292E-3</v>
      </c>
      <c r="E19" t="s">
        <v>79</v>
      </c>
      <c r="F19" s="22">
        <v>0.70138888888888884</v>
      </c>
      <c r="G19" t="s">
        <v>85</v>
      </c>
      <c r="L19">
        <v>9.2199000000000009</v>
      </c>
      <c r="M19" s="23">
        <f t="shared" si="3"/>
        <v>-5.0000000000007816E-3</v>
      </c>
    </row>
    <row r="20" spans="1:13" x14ac:dyDescent="0.3">
      <c r="A20">
        <v>13</v>
      </c>
      <c r="B20">
        <v>1</v>
      </c>
      <c r="C20">
        <v>9.2204999999999995</v>
      </c>
      <c r="D20" s="23">
        <f t="shared" si="2"/>
        <v>-5.5999999999993832E-3</v>
      </c>
      <c r="E20" t="s">
        <v>79</v>
      </c>
      <c r="F20" s="22">
        <v>0.74930555555555556</v>
      </c>
      <c r="L20">
        <v>9.2179000000000002</v>
      </c>
      <c r="M20" s="23">
        <f t="shared" si="3"/>
        <v>-3.0000000000001137E-3</v>
      </c>
    </row>
    <row r="21" spans="1:13" x14ac:dyDescent="0.3">
      <c r="A21">
        <v>14</v>
      </c>
      <c r="B21">
        <v>2</v>
      </c>
      <c r="C21">
        <v>9.2141000000000002</v>
      </c>
      <c r="D21" s="23">
        <f t="shared" si="2"/>
        <v>7.9999999999991189E-4</v>
      </c>
      <c r="E21" t="s">
        <v>79</v>
      </c>
      <c r="F21" s="22">
        <v>0.79027777777777775</v>
      </c>
      <c r="L21">
        <v>9.2187000000000001</v>
      </c>
      <c r="M21" s="23">
        <f t="shared" si="3"/>
        <v>-3.8000000000000256E-3</v>
      </c>
    </row>
    <row r="22" spans="1:13" x14ac:dyDescent="0.3">
      <c r="A22">
        <v>15</v>
      </c>
      <c r="B22">
        <v>3</v>
      </c>
      <c r="C22">
        <v>9.1812000000000005</v>
      </c>
      <c r="D22" s="23">
        <f t="shared" si="2"/>
        <v>3.3699999999999619E-2</v>
      </c>
      <c r="E22" t="s">
        <v>79</v>
      </c>
      <c r="F22" s="22">
        <v>0.83333333333333337</v>
      </c>
      <c r="L22" t="s">
        <v>82</v>
      </c>
    </row>
    <row r="23" spans="1:13" x14ac:dyDescent="0.3">
      <c r="A23">
        <v>16</v>
      </c>
      <c r="B23">
        <v>5</v>
      </c>
      <c r="C23">
        <v>9.2207000000000008</v>
      </c>
      <c r="D23" s="23">
        <f t="shared" si="2"/>
        <v>-5.8000000000006935E-3</v>
      </c>
      <c r="E23" t="s">
        <v>79</v>
      </c>
      <c r="F23" s="22">
        <v>0.875</v>
      </c>
      <c r="K23" t="s">
        <v>83</v>
      </c>
      <c r="L23">
        <v>9.2225000000000001</v>
      </c>
      <c r="M23" s="23">
        <f t="shared" si="3"/>
        <v>-7.6000000000000512E-3</v>
      </c>
    </row>
    <row r="24" spans="1:13" x14ac:dyDescent="0.3">
      <c r="A24">
        <v>17</v>
      </c>
      <c r="B24">
        <v>1</v>
      </c>
      <c r="C24">
        <v>9.2044999999999995</v>
      </c>
      <c r="D24" s="23">
        <f t="shared" si="2"/>
        <v>1.0400000000000631E-2</v>
      </c>
      <c r="E24" t="s">
        <v>88</v>
      </c>
      <c r="F24" s="22">
        <v>0.35902777777777778</v>
      </c>
      <c r="L24">
        <v>9.2212999999999994</v>
      </c>
      <c r="M24" s="23">
        <f t="shared" si="3"/>
        <v>-6.3999999999992951E-3</v>
      </c>
    </row>
    <row r="25" spans="1:13" x14ac:dyDescent="0.3">
      <c r="A25">
        <v>18</v>
      </c>
      <c r="B25">
        <v>2</v>
      </c>
      <c r="C25">
        <v>9.2030999999999992</v>
      </c>
      <c r="D25" s="23">
        <f t="shared" si="2"/>
        <v>1.1800000000000921E-2</v>
      </c>
      <c r="E25" t="s">
        <v>88</v>
      </c>
      <c r="F25" s="22">
        <v>0.40208333333333335</v>
      </c>
      <c r="L25">
        <v>9.2134999999999998</v>
      </c>
      <c r="M25" s="23">
        <f t="shared" si="3"/>
        <v>1.4000000000002899E-3</v>
      </c>
    </row>
    <row r="26" spans="1:13" x14ac:dyDescent="0.3">
      <c r="A26">
        <v>19</v>
      </c>
      <c r="B26">
        <v>3</v>
      </c>
      <c r="C26">
        <v>9.2131000000000007</v>
      </c>
      <c r="D26" s="23">
        <f t="shared" si="2"/>
        <v>1.7999999999993577E-3</v>
      </c>
      <c r="E26" t="s">
        <v>88</v>
      </c>
      <c r="F26" s="22">
        <v>0.48472222222222222</v>
      </c>
      <c r="L26">
        <v>9.2188999999999997</v>
      </c>
      <c r="M26" s="23">
        <f t="shared" si="3"/>
        <v>-3.9999999999995595E-3</v>
      </c>
    </row>
    <row r="27" spans="1:13" x14ac:dyDescent="0.3">
      <c r="A27">
        <v>20</v>
      </c>
      <c r="B27">
        <v>5</v>
      </c>
      <c r="C27">
        <v>9.2149999999999999</v>
      </c>
      <c r="D27" s="23">
        <f t="shared" si="2"/>
        <v>-9.9999999999766942E-5</v>
      </c>
      <c r="E27" t="s">
        <v>88</v>
      </c>
      <c r="F27" s="22">
        <v>0.6333333333333333</v>
      </c>
      <c r="L27">
        <v>9.2242999999999995</v>
      </c>
      <c r="M27" s="23">
        <f t="shared" si="3"/>
        <v>-9.3999999999994088E-3</v>
      </c>
    </row>
    <row r="28" spans="1:13" x14ac:dyDescent="0.3">
      <c r="A28">
        <v>21</v>
      </c>
      <c r="B28">
        <v>1</v>
      </c>
      <c r="C28">
        <v>9.2215000000000007</v>
      </c>
      <c r="D28" s="23">
        <f t="shared" si="2"/>
        <v>-6.6000000000006054E-3</v>
      </c>
      <c r="E28" t="s">
        <v>88</v>
      </c>
      <c r="F28" s="22">
        <v>0.71527777777777779</v>
      </c>
    </row>
    <row r="29" spans="1:13" x14ac:dyDescent="0.3">
      <c r="A29">
        <v>22</v>
      </c>
      <c r="B29">
        <v>2</v>
      </c>
      <c r="C29">
        <v>9.2304999999999993</v>
      </c>
      <c r="D29" s="23">
        <f t="shared" si="2"/>
        <v>-1.559999999999917E-2</v>
      </c>
      <c r="E29" t="s">
        <v>88</v>
      </c>
      <c r="F29" s="22">
        <v>0.75763888888888886</v>
      </c>
      <c r="K29">
        <v>27.01</v>
      </c>
      <c r="L29" t="s">
        <v>95</v>
      </c>
    </row>
    <row r="30" spans="1:13" x14ac:dyDescent="0.3">
      <c r="A30">
        <v>23</v>
      </c>
      <c r="B30">
        <v>3</v>
      </c>
      <c r="C30">
        <v>9.2050999999999998</v>
      </c>
      <c r="D30" s="23">
        <f t="shared" ref="D30:D76" si="4">$I$1-C30</f>
        <v>9.800000000000253E-3</v>
      </c>
      <c r="E30" t="s">
        <v>88</v>
      </c>
      <c r="F30" s="22">
        <v>0.79583333333333328</v>
      </c>
      <c r="K30" t="s">
        <v>72</v>
      </c>
      <c r="L30">
        <v>9.2134</v>
      </c>
      <c r="M30" s="23">
        <f t="shared" ref="M30:M34" si="5">$I$1-L30</f>
        <v>1.5000000000000568E-3</v>
      </c>
    </row>
    <row r="31" spans="1:13" x14ac:dyDescent="0.3">
      <c r="A31">
        <v>24</v>
      </c>
      <c r="B31">
        <v>5</v>
      </c>
      <c r="C31">
        <v>9.2265999999999995</v>
      </c>
      <c r="D31" s="23">
        <f t="shared" si="4"/>
        <v>-1.1699999999999378E-2</v>
      </c>
      <c r="E31" t="s">
        <v>88</v>
      </c>
      <c r="F31" s="22">
        <v>0.85833333333333328</v>
      </c>
      <c r="L31">
        <v>9.2196999999999996</v>
      </c>
      <c r="M31" s="23">
        <f t="shared" si="5"/>
        <v>-4.7999999999994714E-3</v>
      </c>
    </row>
    <row r="32" spans="1:13" x14ac:dyDescent="0.3">
      <c r="A32">
        <v>25</v>
      </c>
      <c r="B32">
        <v>1</v>
      </c>
      <c r="C32">
        <v>9.2236999999999991</v>
      </c>
      <c r="D32" s="23">
        <f t="shared" si="4"/>
        <v>-8.7999999999990308E-3</v>
      </c>
      <c r="E32" t="s">
        <v>89</v>
      </c>
      <c r="F32" s="22">
        <v>0.35555555555555557</v>
      </c>
      <c r="L32">
        <v>9.2050999999999998</v>
      </c>
      <c r="M32" s="23">
        <f t="shared" si="5"/>
        <v>9.800000000000253E-3</v>
      </c>
    </row>
    <row r="33" spans="1:13" x14ac:dyDescent="0.3">
      <c r="A33">
        <v>26</v>
      </c>
      <c r="B33">
        <v>2</v>
      </c>
      <c r="C33">
        <v>9.2152999999999992</v>
      </c>
      <c r="D33" s="23">
        <f t="shared" si="4"/>
        <v>-3.9999999999906777E-4</v>
      </c>
      <c r="E33" t="s">
        <v>89</v>
      </c>
      <c r="F33" s="22">
        <v>0.51180555555555551</v>
      </c>
      <c r="L33">
        <v>9.2088999999999999</v>
      </c>
      <c r="M33" s="23">
        <f t="shared" si="5"/>
        <v>6.0000000000002274E-3</v>
      </c>
    </row>
    <row r="34" spans="1:13" x14ac:dyDescent="0.3">
      <c r="A34">
        <v>27</v>
      </c>
      <c r="B34">
        <v>3</v>
      </c>
      <c r="C34">
        <v>9.2260000000000009</v>
      </c>
      <c r="D34" s="23">
        <f t="shared" si="4"/>
        <v>-1.1100000000000776E-2</v>
      </c>
      <c r="E34" t="s">
        <v>89</v>
      </c>
      <c r="F34" s="22">
        <v>0.65347222222222223</v>
      </c>
      <c r="L34">
        <v>9.2163000000000004</v>
      </c>
      <c r="M34" s="23">
        <f t="shared" si="5"/>
        <v>-1.4000000000002899E-3</v>
      </c>
    </row>
    <row r="35" spans="1:13" x14ac:dyDescent="0.3">
      <c r="A35">
        <v>28</v>
      </c>
      <c r="B35">
        <v>5</v>
      </c>
      <c r="C35">
        <v>9.2234999999999996</v>
      </c>
      <c r="D35" s="23">
        <f t="shared" si="4"/>
        <v>-8.5999999999994969E-3</v>
      </c>
      <c r="E35" t="s">
        <v>89</v>
      </c>
      <c r="F35" s="22">
        <v>0.75763888888888886</v>
      </c>
    </row>
    <row r="36" spans="1:13" x14ac:dyDescent="0.3">
      <c r="A36">
        <v>29</v>
      </c>
      <c r="B36">
        <v>1</v>
      </c>
      <c r="C36">
        <v>9.2303999999999995</v>
      </c>
      <c r="D36" s="23">
        <f t="shared" si="4"/>
        <v>-1.5499999999999403E-2</v>
      </c>
      <c r="E36" t="s">
        <v>89</v>
      </c>
      <c r="F36" s="22">
        <v>0.80902777777777779</v>
      </c>
    </row>
    <row r="37" spans="1:13" x14ac:dyDescent="0.3">
      <c r="A37">
        <v>30</v>
      </c>
      <c r="B37">
        <v>2</v>
      </c>
      <c r="C37">
        <v>9.1928000000000001</v>
      </c>
      <c r="D37" s="23">
        <f t="shared" si="4"/>
        <v>2.2100000000000009E-2</v>
      </c>
      <c r="E37" t="s">
        <v>89</v>
      </c>
      <c r="F37" s="22">
        <v>0.86805555555555558</v>
      </c>
    </row>
    <row r="38" spans="1:13" x14ac:dyDescent="0.3">
      <c r="A38">
        <v>31</v>
      </c>
      <c r="B38">
        <v>3</v>
      </c>
      <c r="C38">
        <v>9.2201000000000004</v>
      </c>
      <c r="D38" s="23">
        <f t="shared" si="4"/>
        <v>-5.2000000000003155E-3</v>
      </c>
      <c r="E38" t="s">
        <v>89</v>
      </c>
      <c r="F38" s="22">
        <v>0.90694444444444444</v>
      </c>
    </row>
    <row r="39" spans="1:13" x14ac:dyDescent="0.3">
      <c r="A39">
        <v>32</v>
      </c>
      <c r="B39">
        <v>5</v>
      </c>
      <c r="C39">
        <v>9.2217000000000002</v>
      </c>
      <c r="D39" s="23">
        <f t="shared" si="4"/>
        <v>-6.8000000000001393E-3</v>
      </c>
      <c r="E39" t="s">
        <v>90</v>
      </c>
      <c r="F39" s="22">
        <v>0.36041666666666666</v>
      </c>
    </row>
    <row r="40" spans="1:13" x14ac:dyDescent="0.3">
      <c r="A40">
        <v>33</v>
      </c>
      <c r="B40">
        <v>1</v>
      </c>
      <c r="C40">
        <v>9.2264999999999997</v>
      </c>
      <c r="D40" s="23">
        <f t="shared" si="4"/>
        <v>-1.1599999999999611E-2</v>
      </c>
      <c r="E40" t="s">
        <v>90</v>
      </c>
      <c r="F40" s="22">
        <v>0.48194444444444445</v>
      </c>
    </row>
    <row r="41" spans="1:13" x14ac:dyDescent="0.3">
      <c r="A41">
        <v>34</v>
      </c>
      <c r="B41">
        <v>2</v>
      </c>
      <c r="C41">
        <v>9.2164000000000001</v>
      </c>
      <c r="D41" s="23">
        <f t="shared" si="4"/>
        <v>-1.5000000000000568E-3</v>
      </c>
      <c r="E41" t="s">
        <v>90</v>
      </c>
      <c r="F41" s="22">
        <v>0.51666666666666672</v>
      </c>
    </row>
    <row r="42" spans="1:13" x14ac:dyDescent="0.3">
      <c r="A42">
        <v>35</v>
      </c>
      <c r="B42">
        <v>3</v>
      </c>
      <c r="C42">
        <v>9.1983999999999995</v>
      </c>
      <c r="D42" s="23">
        <f t="shared" si="4"/>
        <v>1.6500000000000625E-2</v>
      </c>
      <c r="E42" t="s">
        <v>90</v>
      </c>
      <c r="F42" s="22">
        <v>0.6645833333333333</v>
      </c>
    </row>
    <row r="43" spans="1:13" x14ac:dyDescent="0.3">
      <c r="A43">
        <v>36</v>
      </c>
      <c r="B43">
        <v>5</v>
      </c>
      <c r="C43">
        <v>9.2075999999999993</v>
      </c>
      <c r="D43" s="23">
        <f t="shared" si="4"/>
        <v>7.3000000000007503E-3</v>
      </c>
      <c r="E43" t="s">
        <v>90</v>
      </c>
      <c r="F43" s="22">
        <v>0.77083333333333337</v>
      </c>
    </row>
    <row r="44" spans="1:13" x14ac:dyDescent="0.3">
      <c r="A44">
        <v>37</v>
      </c>
      <c r="B44">
        <v>1</v>
      </c>
      <c r="C44">
        <v>9.2241999999999997</v>
      </c>
      <c r="D44" s="23">
        <f t="shared" si="4"/>
        <v>-9.2999999999996419E-3</v>
      </c>
      <c r="E44" t="s">
        <v>90</v>
      </c>
      <c r="F44" s="22">
        <v>0.80972222222222223</v>
      </c>
    </row>
    <row r="45" spans="1:13" x14ac:dyDescent="0.3">
      <c r="A45">
        <v>38</v>
      </c>
      <c r="B45">
        <v>2</v>
      </c>
      <c r="C45">
        <v>9.2096</v>
      </c>
      <c r="D45" s="23">
        <f t="shared" si="4"/>
        <v>5.3000000000000824E-3</v>
      </c>
      <c r="E45" t="s">
        <v>90</v>
      </c>
      <c r="F45" s="22">
        <v>0.8208333333333333</v>
      </c>
    </row>
    <row r="46" spans="1:13" x14ac:dyDescent="0.3">
      <c r="A46">
        <v>39</v>
      </c>
      <c r="B46">
        <v>3</v>
      </c>
      <c r="C46">
        <v>9.2056000000000004</v>
      </c>
      <c r="D46" s="23">
        <f t="shared" si="4"/>
        <v>9.2999999999996419E-3</v>
      </c>
      <c r="E46" t="s">
        <v>91</v>
      </c>
      <c r="F46" s="22">
        <v>0.40138888888888891</v>
      </c>
    </row>
    <row r="47" spans="1:13" x14ac:dyDescent="0.3">
      <c r="A47">
        <v>40</v>
      </c>
      <c r="B47">
        <v>5</v>
      </c>
      <c r="C47">
        <v>9.2175999999999991</v>
      </c>
      <c r="D47" s="23">
        <f t="shared" si="4"/>
        <v>-2.6999999999990365E-3</v>
      </c>
      <c r="E47" t="s">
        <v>91</v>
      </c>
      <c r="F47" s="22">
        <v>0.4375</v>
      </c>
    </row>
    <row r="48" spans="1:13" x14ac:dyDescent="0.3">
      <c r="A48">
        <v>41</v>
      </c>
      <c r="B48">
        <v>1</v>
      </c>
      <c r="C48">
        <v>9.2273999999999994</v>
      </c>
      <c r="D48" s="23">
        <f t="shared" si="4"/>
        <v>-1.2499999999999289E-2</v>
      </c>
      <c r="E48" t="s">
        <v>91</v>
      </c>
      <c r="F48" s="22">
        <v>0.47499999999999998</v>
      </c>
    </row>
    <row r="49" spans="1:6" x14ac:dyDescent="0.3">
      <c r="A49">
        <v>42</v>
      </c>
      <c r="B49">
        <v>2</v>
      </c>
      <c r="C49">
        <v>9.1991999999999994</v>
      </c>
      <c r="D49" s="23">
        <f t="shared" si="4"/>
        <v>1.5700000000000713E-2</v>
      </c>
      <c r="E49" t="s">
        <v>91</v>
      </c>
      <c r="F49" s="22">
        <v>0.50972222222222219</v>
      </c>
    </row>
    <row r="50" spans="1:6" x14ac:dyDescent="0.3">
      <c r="A50">
        <v>43</v>
      </c>
      <c r="B50">
        <v>3</v>
      </c>
      <c r="C50">
        <v>9.2077000000000009</v>
      </c>
      <c r="D50" s="23">
        <f t="shared" si="4"/>
        <v>7.199999999999207E-3</v>
      </c>
      <c r="E50" t="s">
        <v>91</v>
      </c>
      <c r="F50" s="22">
        <v>0.55625000000000002</v>
      </c>
    </row>
    <row r="51" spans="1:6" x14ac:dyDescent="0.3">
      <c r="A51">
        <v>44</v>
      </c>
      <c r="B51">
        <v>5</v>
      </c>
      <c r="C51">
        <v>9.2193000000000005</v>
      </c>
      <c r="D51" s="23">
        <f t="shared" si="4"/>
        <v>-4.4000000000004036E-3</v>
      </c>
      <c r="E51" t="s">
        <v>91</v>
      </c>
      <c r="F51" s="22">
        <v>0.63541666666666663</v>
      </c>
    </row>
    <row r="52" spans="1:6" x14ac:dyDescent="0.3">
      <c r="A52">
        <v>45</v>
      </c>
      <c r="B52">
        <v>1</v>
      </c>
      <c r="C52">
        <v>9.2089999999999996</v>
      </c>
      <c r="D52" s="23">
        <f t="shared" si="4"/>
        <v>5.9000000000004604E-3</v>
      </c>
      <c r="E52" t="s">
        <v>91</v>
      </c>
      <c r="F52" s="22">
        <v>0.67291666666666672</v>
      </c>
    </row>
    <row r="53" spans="1:6" x14ac:dyDescent="0.3">
      <c r="A53">
        <v>46</v>
      </c>
      <c r="B53">
        <v>2</v>
      </c>
      <c r="C53">
        <v>9.2095000000000002</v>
      </c>
      <c r="D53" s="23">
        <f t="shared" si="4"/>
        <v>5.3999999999998494E-3</v>
      </c>
      <c r="E53" t="s">
        <v>91</v>
      </c>
      <c r="F53" s="22">
        <v>0.7104166666666667</v>
      </c>
    </row>
    <row r="54" spans="1:6" x14ac:dyDescent="0.3">
      <c r="A54">
        <v>47</v>
      </c>
      <c r="B54">
        <v>3</v>
      </c>
      <c r="C54" s="25"/>
      <c r="D54" s="23">
        <f t="shared" si="4"/>
        <v>9.2149000000000001</v>
      </c>
      <c r="E54" t="s">
        <v>91</v>
      </c>
      <c r="F54" s="22">
        <v>0.74513888888888891</v>
      </c>
    </row>
    <row r="55" spans="1:6" x14ac:dyDescent="0.3">
      <c r="A55">
        <v>48</v>
      </c>
      <c r="B55">
        <v>5</v>
      </c>
      <c r="C55">
        <v>9.2250999999999994</v>
      </c>
      <c r="D55" s="23">
        <f t="shared" si="4"/>
        <v>-1.0199999999999321E-2</v>
      </c>
      <c r="E55" t="s">
        <v>91</v>
      </c>
      <c r="F55" s="22">
        <v>0.78194444444444444</v>
      </c>
    </row>
    <row r="56" spans="1:6" x14ac:dyDescent="0.3">
      <c r="A56">
        <v>49</v>
      </c>
      <c r="B56">
        <v>1</v>
      </c>
      <c r="C56">
        <v>9.2175999999999991</v>
      </c>
      <c r="D56" s="23">
        <f t="shared" si="4"/>
        <v>-2.6999999999990365E-3</v>
      </c>
      <c r="E56" t="s">
        <v>91</v>
      </c>
      <c r="F56" s="22">
        <v>0.82152777777777775</v>
      </c>
    </row>
    <row r="57" spans="1:6" x14ac:dyDescent="0.3">
      <c r="A57">
        <v>50</v>
      </c>
      <c r="B57">
        <v>3</v>
      </c>
      <c r="C57">
        <v>9.1775000000000002</v>
      </c>
      <c r="D57" s="23">
        <f t="shared" si="4"/>
        <v>3.7399999999999878E-2</v>
      </c>
      <c r="E57" t="s">
        <v>91</v>
      </c>
      <c r="F57" s="22">
        <v>0.85763888888888884</v>
      </c>
    </row>
    <row r="58" spans="1:6" x14ac:dyDescent="0.3">
      <c r="A58">
        <v>51</v>
      </c>
      <c r="B58">
        <v>5</v>
      </c>
      <c r="C58">
        <v>9.1936999999999998</v>
      </c>
      <c r="D58" s="23">
        <f t="shared" si="4"/>
        <v>2.120000000000033E-2</v>
      </c>
      <c r="E58" t="s">
        <v>92</v>
      </c>
      <c r="F58" s="22">
        <v>0.35</v>
      </c>
    </row>
    <row r="59" spans="1:6" x14ac:dyDescent="0.3">
      <c r="A59">
        <v>52</v>
      </c>
      <c r="B59">
        <v>1</v>
      </c>
      <c r="C59">
        <v>9.2287999999999997</v>
      </c>
      <c r="D59" s="23">
        <f t="shared" si="4"/>
        <v>-1.3899999999999579E-2</v>
      </c>
      <c r="E59" t="s">
        <v>92</v>
      </c>
      <c r="F59" s="22">
        <v>0.38541666666666669</v>
      </c>
    </row>
    <row r="60" spans="1:6" x14ac:dyDescent="0.3">
      <c r="A60">
        <v>53</v>
      </c>
      <c r="B60">
        <v>2</v>
      </c>
      <c r="C60">
        <v>9.1920999999999999</v>
      </c>
      <c r="D60" s="23">
        <f t="shared" si="4"/>
        <v>2.2800000000000153E-2</v>
      </c>
      <c r="E60" t="s">
        <v>92</v>
      </c>
      <c r="F60" s="22">
        <v>0.4236111111111111</v>
      </c>
    </row>
    <row r="61" spans="1:6" x14ac:dyDescent="0.3">
      <c r="A61">
        <v>54</v>
      </c>
      <c r="B61">
        <v>3</v>
      </c>
      <c r="C61">
        <v>9.2041000000000004</v>
      </c>
      <c r="D61" s="23">
        <f t="shared" si="4"/>
        <v>1.0799999999999699E-2</v>
      </c>
      <c r="E61" t="s">
        <v>92</v>
      </c>
      <c r="F61" s="22">
        <v>0.46111111111111114</v>
      </c>
    </row>
    <row r="62" spans="1:6" x14ac:dyDescent="0.3">
      <c r="A62">
        <v>55</v>
      </c>
      <c r="B62">
        <v>5</v>
      </c>
      <c r="C62">
        <v>9.2050999999999998</v>
      </c>
      <c r="D62" s="23">
        <f t="shared" si="4"/>
        <v>9.800000000000253E-3</v>
      </c>
      <c r="E62" t="s">
        <v>92</v>
      </c>
      <c r="F62" s="22">
        <v>0.49305555555555558</v>
      </c>
    </row>
    <row r="63" spans="1:6" x14ac:dyDescent="0.3">
      <c r="A63">
        <v>56</v>
      </c>
      <c r="B63">
        <v>1</v>
      </c>
      <c r="C63">
        <v>9.2271000000000001</v>
      </c>
      <c r="D63" s="23">
        <f t="shared" si="4"/>
        <v>-1.2199999999999989E-2</v>
      </c>
      <c r="E63" t="s">
        <v>92</v>
      </c>
      <c r="F63" s="22">
        <v>0.5541666666666667</v>
      </c>
    </row>
    <row r="64" spans="1:6" x14ac:dyDescent="0.3">
      <c r="A64">
        <v>57</v>
      </c>
      <c r="B64">
        <v>2</v>
      </c>
      <c r="C64">
        <v>9.1940000000000008</v>
      </c>
      <c r="D64" s="23">
        <f t="shared" si="4"/>
        <v>2.0899999999999253E-2</v>
      </c>
      <c r="E64" t="s">
        <v>92</v>
      </c>
      <c r="F64" s="22">
        <v>0.63472222222222219</v>
      </c>
    </row>
    <row r="65" spans="1:7" x14ac:dyDescent="0.3">
      <c r="A65">
        <v>58</v>
      </c>
      <c r="B65">
        <v>3</v>
      </c>
      <c r="C65">
        <v>9.1979000000000006</v>
      </c>
      <c r="D65" s="23">
        <f t="shared" si="4"/>
        <v>1.699999999999946E-2</v>
      </c>
      <c r="E65" t="s">
        <v>92</v>
      </c>
      <c r="F65" s="22">
        <v>0.67638888888888893</v>
      </c>
    </row>
    <row r="66" spans="1:7" x14ac:dyDescent="0.3">
      <c r="A66">
        <v>59</v>
      </c>
      <c r="B66">
        <v>5</v>
      </c>
      <c r="C66">
        <v>9.2134999999999998</v>
      </c>
      <c r="D66">
        <f t="shared" si="4"/>
        <v>1.4000000000002899E-3</v>
      </c>
      <c r="E66" t="s">
        <v>92</v>
      </c>
      <c r="F66" s="22">
        <v>0.71250000000000002</v>
      </c>
    </row>
    <row r="67" spans="1:7" x14ac:dyDescent="0.3">
      <c r="A67">
        <v>60</v>
      </c>
      <c r="B67">
        <v>1</v>
      </c>
      <c r="C67">
        <v>9.2086000000000006</v>
      </c>
      <c r="D67" s="23">
        <f t="shared" si="4"/>
        <v>6.2999999999995282E-3</v>
      </c>
      <c r="E67" t="s">
        <v>93</v>
      </c>
      <c r="F67" s="22">
        <v>0.35555555555555557</v>
      </c>
    </row>
    <row r="68" spans="1:7" x14ac:dyDescent="0.3">
      <c r="A68">
        <v>61</v>
      </c>
      <c r="B68">
        <v>2</v>
      </c>
      <c r="C68">
        <v>9.1569000000000003</v>
      </c>
      <c r="D68" s="23">
        <f t="shared" si="4"/>
        <v>5.7999999999999829E-2</v>
      </c>
      <c r="E68" t="s">
        <v>93</v>
      </c>
      <c r="F68" s="22">
        <v>0.42708333333333331</v>
      </c>
    </row>
    <row r="69" spans="1:7" x14ac:dyDescent="0.3">
      <c r="A69" t="s">
        <v>68</v>
      </c>
      <c r="B69">
        <v>2</v>
      </c>
      <c r="C69">
        <v>9.2101000000000006</v>
      </c>
      <c r="D69" s="23">
        <f t="shared" si="4"/>
        <v>4.7999999999994714E-3</v>
      </c>
      <c r="E69" t="s">
        <v>93</v>
      </c>
      <c r="F69" s="22">
        <v>0.47916666666666669</v>
      </c>
      <c r="G69" t="s">
        <v>94</v>
      </c>
    </row>
    <row r="70" spans="1:7" x14ac:dyDescent="0.3">
      <c r="A70">
        <v>62</v>
      </c>
      <c r="B70">
        <v>3</v>
      </c>
      <c r="C70">
        <v>9.1914999999999996</v>
      </c>
      <c r="D70" s="23">
        <f t="shared" si="4"/>
        <v>2.3400000000000531E-2</v>
      </c>
      <c r="E70" t="s">
        <v>93</v>
      </c>
      <c r="F70" s="22">
        <v>0.48680555555555555</v>
      </c>
    </row>
    <row r="71" spans="1:7" x14ac:dyDescent="0.3">
      <c r="A71">
        <v>63</v>
      </c>
      <c r="B71">
        <v>5</v>
      </c>
      <c r="C71">
        <v>9.2005999999999997</v>
      </c>
      <c r="D71" s="23">
        <f t="shared" si="4"/>
        <v>1.4300000000000423E-2</v>
      </c>
      <c r="E71" t="s">
        <v>93</v>
      </c>
      <c r="F71" s="22">
        <v>0.52430555555555558</v>
      </c>
    </row>
    <row r="72" spans="1:7" x14ac:dyDescent="0.3">
      <c r="A72">
        <v>64</v>
      </c>
      <c r="B72">
        <v>1</v>
      </c>
      <c r="C72">
        <v>9.2266999999999992</v>
      </c>
      <c r="D72" s="23">
        <f t="shared" si="4"/>
        <v>-1.1799999999999145E-2</v>
      </c>
      <c r="E72" t="s">
        <v>93</v>
      </c>
      <c r="F72" s="22">
        <v>0.56527777777777777</v>
      </c>
    </row>
    <row r="73" spans="1:7" x14ac:dyDescent="0.3">
      <c r="A73">
        <v>65</v>
      </c>
      <c r="B73">
        <v>2</v>
      </c>
      <c r="C73">
        <v>9.2249999999999996</v>
      </c>
      <c r="D73" s="23">
        <f t="shared" si="4"/>
        <v>-1.0099999999999554E-2</v>
      </c>
      <c r="E73" t="s">
        <v>93</v>
      </c>
      <c r="F73" s="22">
        <v>0.66666666666666663</v>
      </c>
    </row>
    <row r="74" spans="1:7" x14ac:dyDescent="0.3">
      <c r="A74">
        <v>66</v>
      </c>
      <c r="B74">
        <v>3</v>
      </c>
      <c r="C74">
        <v>9.1849000000000007</v>
      </c>
      <c r="D74" s="23">
        <f t="shared" si="4"/>
        <v>2.9999999999999361E-2</v>
      </c>
      <c r="E74" t="s">
        <v>93</v>
      </c>
      <c r="F74" s="22">
        <v>0.70347222222222228</v>
      </c>
    </row>
    <row r="75" spans="1:7" x14ac:dyDescent="0.3">
      <c r="A75">
        <v>67</v>
      </c>
      <c r="B75">
        <v>5</v>
      </c>
      <c r="C75">
        <v>9.2134</v>
      </c>
      <c r="D75" s="23">
        <f t="shared" si="4"/>
        <v>1.5000000000000568E-3</v>
      </c>
      <c r="E75" t="s">
        <v>93</v>
      </c>
      <c r="F75" s="22">
        <v>0.74861111111111112</v>
      </c>
    </row>
    <row r="76" spans="1:7" x14ac:dyDescent="0.3">
      <c r="A76">
        <v>68</v>
      </c>
      <c r="B76">
        <v>1</v>
      </c>
      <c r="C76">
        <v>9.2367000000000008</v>
      </c>
      <c r="D76" s="23">
        <f t="shared" si="4"/>
        <v>-2.1800000000000708E-2</v>
      </c>
      <c r="E76" t="s">
        <v>93</v>
      </c>
      <c r="F76" s="22">
        <v>0.80902777777777779</v>
      </c>
    </row>
    <row r="77" spans="1:7" x14ac:dyDescent="0.3">
      <c r="A77">
        <v>69</v>
      </c>
      <c r="B77">
        <v>2</v>
      </c>
      <c r="E77" t="s">
        <v>93</v>
      </c>
      <c r="F77" s="22">
        <v>0.84027777777777779</v>
      </c>
    </row>
  </sheetData>
  <phoneticPr fontId="5" type="noConversion"/>
  <conditionalFormatting sqref="D2:D8 M7 M11:M14">
    <cfRule type="cellIs" dxfId="4" priority="7" operator="greaterThan">
      <formula>0.04</formula>
    </cfRule>
  </conditionalFormatting>
  <conditionalFormatting sqref="D11:D65 D67:D76">
    <cfRule type="cellIs" dxfId="3" priority="5" operator="greaterThan">
      <formula>0.04</formula>
    </cfRule>
  </conditionalFormatting>
  <conditionalFormatting sqref="M17:M21">
    <cfRule type="cellIs" dxfId="2" priority="4" operator="greaterThan">
      <formula>0.04</formula>
    </cfRule>
  </conditionalFormatting>
  <conditionalFormatting sqref="M23:M27">
    <cfRule type="cellIs" dxfId="1" priority="3" operator="greaterThan">
      <formula>0.04</formula>
    </cfRule>
  </conditionalFormatting>
  <conditionalFormatting sqref="M30:M34">
    <cfRule type="cellIs" dxfId="0" priority="1" operator="greaterThan">
      <formula>0.04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44B0-C9CD-41AA-9147-8912F553FD53}">
  <dimension ref="A1:I1049"/>
  <sheetViews>
    <sheetView topLeftCell="A225" workbookViewId="0">
      <selection activeCell="N242" sqref="N242"/>
    </sheetView>
  </sheetViews>
  <sheetFormatPr defaultRowHeight="14.4" x14ac:dyDescent="0.3"/>
  <cols>
    <col min="7" max="7" width="16.33203125" customWidth="1"/>
    <col min="8" max="8" width="12.109375" customWidth="1"/>
    <col min="9" max="9" width="15" customWidth="1"/>
  </cols>
  <sheetData>
    <row r="1" spans="1:9" x14ac:dyDescent="0.3">
      <c r="A1" t="s">
        <v>41</v>
      </c>
      <c r="B1" t="s">
        <v>29</v>
      </c>
      <c r="C1" t="s">
        <v>30</v>
      </c>
      <c r="D1" t="s">
        <v>42</v>
      </c>
      <c r="E1" t="s">
        <v>33</v>
      </c>
      <c r="F1" t="s">
        <v>3</v>
      </c>
      <c r="G1" t="s">
        <v>43</v>
      </c>
      <c r="H1" t="s">
        <v>38</v>
      </c>
      <c r="I1" t="s">
        <v>44</v>
      </c>
    </row>
    <row r="2" spans="1:9" x14ac:dyDescent="0.3">
      <c r="A2">
        <v>501</v>
      </c>
      <c r="B2" t="s">
        <v>45</v>
      </c>
      <c r="C2" t="s">
        <v>31</v>
      </c>
      <c r="D2">
        <v>1</v>
      </c>
      <c r="E2" t="s">
        <v>46</v>
      </c>
      <c r="F2">
        <v>1</v>
      </c>
      <c r="G2" t="str">
        <f>CONCATENATE(B2, "-",C2, "-", D2, "-", F2)</f>
        <v>M0111-A-1-1</v>
      </c>
      <c r="H2">
        <v>0</v>
      </c>
      <c r="I2">
        <v>1.5</v>
      </c>
    </row>
    <row r="3" spans="1:9" x14ac:dyDescent="0.3">
      <c r="A3">
        <v>501</v>
      </c>
      <c r="B3" t="s">
        <v>45</v>
      </c>
      <c r="C3" t="s">
        <v>31</v>
      </c>
      <c r="D3">
        <v>1</v>
      </c>
      <c r="E3" t="s">
        <v>46</v>
      </c>
      <c r="F3">
        <v>2</v>
      </c>
      <c r="G3" t="str">
        <f t="shared" ref="G3:G66" si="0">CONCATENATE(B3, "-",C3, "-", D3, "-", F3)</f>
        <v>M0111-A-1-2</v>
      </c>
      <c r="H3">
        <v>1.5</v>
      </c>
      <c r="I3">
        <v>2.9</v>
      </c>
    </row>
    <row r="4" spans="1:9" x14ac:dyDescent="0.3">
      <c r="A4">
        <v>501</v>
      </c>
      <c r="B4" t="s">
        <v>45</v>
      </c>
      <c r="C4" t="s">
        <v>31</v>
      </c>
      <c r="D4">
        <v>2</v>
      </c>
      <c r="E4" t="s">
        <v>46</v>
      </c>
      <c r="F4">
        <v>1</v>
      </c>
      <c r="G4" t="str">
        <f t="shared" si="0"/>
        <v>M0111-A-2-1</v>
      </c>
      <c r="H4">
        <v>2.4</v>
      </c>
      <c r="I4">
        <v>3.91</v>
      </c>
    </row>
    <row r="5" spans="1:9" x14ac:dyDescent="0.3">
      <c r="A5">
        <v>501</v>
      </c>
      <c r="B5" t="s">
        <v>45</v>
      </c>
      <c r="C5" t="s">
        <v>31</v>
      </c>
      <c r="D5">
        <v>2</v>
      </c>
      <c r="E5" t="s">
        <v>46</v>
      </c>
      <c r="F5">
        <v>2</v>
      </c>
      <c r="G5" t="str">
        <f t="shared" si="0"/>
        <v>M0111-A-2-2</v>
      </c>
      <c r="H5">
        <v>3.91</v>
      </c>
      <c r="I5">
        <v>4.99</v>
      </c>
    </row>
    <row r="6" spans="1:9" x14ac:dyDescent="0.3">
      <c r="A6">
        <v>501</v>
      </c>
      <c r="B6" t="s">
        <v>45</v>
      </c>
      <c r="C6" t="s">
        <v>31</v>
      </c>
      <c r="D6">
        <v>3</v>
      </c>
      <c r="E6" t="s">
        <v>46</v>
      </c>
      <c r="F6">
        <v>1</v>
      </c>
      <c r="G6" t="str">
        <f t="shared" si="0"/>
        <v>M0111-A-3-1</v>
      </c>
      <c r="H6">
        <v>4.46</v>
      </c>
      <c r="I6">
        <v>5.97</v>
      </c>
    </row>
    <row r="7" spans="1:9" x14ac:dyDescent="0.3">
      <c r="A7">
        <v>501</v>
      </c>
      <c r="B7" t="s">
        <v>45</v>
      </c>
      <c r="C7" t="s">
        <v>31</v>
      </c>
      <c r="D7">
        <v>3</v>
      </c>
      <c r="E7" t="s">
        <v>46</v>
      </c>
      <c r="F7">
        <v>2</v>
      </c>
      <c r="G7" t="str">
        <f t="shared" si="0"/>
        <v>M0111-A-3-2</v>
      </c>
      <c r="H7">
        <v>5.97</v>
      </c>
      <c r="I7">
        <v>7.1</v>
      </c>
    </row>
    <row r="8" spans="1:9" x14ac:dyDescent="0.3">
      <c r="A8">
        <v>501</v>
      </c>
      <c r="B8" t="s">
        <v>45</v>
      </c>
      <c r="C8" t="s">
        <v>31</v>
      </c>
      <c r="D8">
        <v>4</v>
      </c>
      <c r="E8" t="s">
        <v>46</v>
      </c>
      <c r="F8">
        <v>1</v>
      </c>
      <c r="G8" t="str">
        <f t="shared" si="0"/>
        <v>M0111-A-4-1</v>
      </c>
      <c r="H8">
        <v>6.89</v>
      </c>
      <c r="I8">
        <v>8.4</v>
      </c>
    </row>
    <row r="9" spans="1:9" x14ac:dyDescent="0.3">
      <c r="A9">
        <v>501</v>
      </c>
      <c r="B9" t="s">
        <v>45</v>
      </c>
      <c r="C9" t="s">
        <v>31</v>
      </c>
      <c r="D9">
        <v>4</v>
      </c>
      <c r="E9" t="s">
        <v>46</v>
      </c>
      <c r="F9">
        <v>2</v>
      </c>
      <c r="G9" t="str">
        <f t="shared" si="0"/>
        <v>M0111-A-4-2</v>
      </c>
      <c r="H9">
        <v>8.4</v>
      </c>
      <c r="I9">
        <v>9.6</v>
      </c>
    </row>
    <row r="10" spans="1:9" x14ac:dyDescent="0.3">
      <c r="A10">
        <v>501</v>
      </c>
      <c r="B10" t="s">
        <v>45</v>
      </c>
      <c r="C10" t="s">
        <v>31</v>
      </c>
      <c r="D10">
        <v>5</v>
      </c>
      <c r="E10" t="s">
        <v>46</v>
      </c>
      <c r="F10">
        <v>1</v>
      </c>
      <c r="G10" t="str">
        <f t="shared" si="0"/>
        <v>M0111-A-5-1</v>
      </c>
      <c r="H10">
        <v>9.6</v>
      </c>
      <c r="I10">
        <v>11.1</v>
      </c>
    </row>
    <row r="11" spans="1:9" x14ac:dyDescent="0.3">
      <c r="A11">
        <v>501</v>
      </c>
      <c r="B11" t="s">
        <v>45</v>
      </c>
      <c r="C11" t="s">
        <v>31</v>
      </c>
      <c r="D11">
        <v>5</v>
      </c>
      <c r="E11" t="s">
        <v>46</v>
      </c>
      <c r="F11">
        <v>2</v>
      </c>
      <c r="G11" t="str">
        <f t="shared" si="0"/>
        <v>M0111-A-5-2</v>
      </c>
      <c r="H11">
        <v>11.1</v>
      </c>
      <c r="I11">
        <v>12.05</v>
      </c>
    </row>
    <row r="12" spans="1:9" x14ac:dyDescent="0.3">
      <c r="A12">
        <v>501</v>
      </c>
      <c r="B12" t="s">
        <v>45</v>
      </c>
      <c r="C12" t="s">
        <v>31</v>
      </c>
      <c r="D12">
        <v>6</v>
      </c>
      <c r="E12" t="s">
        <v>46</v>
      </c>
      <c r="F12">
        <v>1</v>
      </c>
      <c r="G12" t="str">
        <f t="shared" si="0"/>
        <v>M0111-A-6-1</v>
      </c>
      <c r="H12">
        <v>11.7</v>
      </c>
      <c r="I12">
        <v>13.2</v>
      </c>
    </row>
    <row r="13" spans="1:9" x14ac:dyDescent="0.3">
      <c r="A13">
        <v>501</v>
      </c>
      <c r="B13" t="s">
        <v>45</v>
      </c>
      <c r="C13" t="s">
        <v>31</v>
      </c>
      <c r="D13">
        <v>6</v>
      </c>
      <c r="E13" t="s">
        <v>46</v>
      </c>
      <c r="F13">
        <v>2</v>
      </c>
      <c r="G13" t="str">
        <f t="shared" si="0"/>
        <v>M0111-A-6-2</v>
      </c>
      <c r="H13">
        <v>13.2</v>
      </c>
      <c r="I13">
        <v>13.94</v>
      </c>
    </row>
    <row r="14" spans="1:9" x14ac:dyDescent="0.3">
      <c r="A14">
        <v>501</v>
      </c>
      <c r="B14" t="s">
        <v>45</v>
      </c>
      <c r="C14" t="s">
        <v>31</v>
      </c>
      <c r="D14">
        <v>7</v>
      </c>
      <c r="E14" t="s">
        <v>46</v>
      </c>
      <c r="F14">
        <v>1</v>
      </c>
      <c r="G14" t="str">
        <f t="shared" si="0"/>
        <v>M0111-A-7-1</v>
      </c>
      <c r="H14">
        <v>13.94</v>
      </c>
      <c r="I14">
        <v>14.17</v>
      </c>
    </row>
    <row r="15" spans="1:9" x14ac:dyDescent="0.3">
      <c r="A15">
        <v>501</v>
      </c>
      <c r="B15" t="s">
        <v>45</v>
      </c>
      <c r="C15" t="s">
        <v>31</v>
      </c>
      <c r="D15">
        <v>8</v>
      </c>
      <c r="E15" t="s">
        <v>46</v>
      </c>
      <c r="F15">
        <v>1</v>
      </c>
      <c r="G15" t="str">
        <f t="shared" si="0"/>
        <v>M0111-A-8-1</v>
      </c>
      <c r="H15">
        <v>14.77</v>
      </c>
      <c r="I15">
        <v>14.77</v>
      </c>
    </row>
    <row r="16" spans="1:9" x14ac:dyDescent="0.3">
      <c r="A16">
        <v>501</v>
      </c>
      <c r="B16" t="s">
        <v>45</v>
      </c>
      <c r="C16" t="s">
        <v>31</v>
      </c>
      <c r="D16">
        <v>9</v>
      </c>
      <c r="E16" t="s">
        <v>47</v>
      </c>
      <c r="F16">
        <v>1</v>
      </c>
      <c r="G16" t="str">
        <f t="shared" si="0"/>
        <v>M0111-A-9-1</v>
      </c>
      <c r="H16">
        <v>14.77</v>
      </c>
      <c r="I16">
        <v>15.05</v>
      </c>
    </row>
    <row r="17" spans="1:9" x14ac:dyDescent="0.3">
      <c r="A17">
        <v>501</v>
      </c>
      <c r="B17" t="s">
        <v>45</v>
      </c>
      <c r="C17" t="s">
        <v>31</v>
      </c>
      <c r="D17">
        <v>10</v>
      </c>
      <c r="E17" t="s">
        <v>34</v>
      </c>
      <c r="F17">
        <v>1</v>
      </c>
      <c r="G17" t="str">
        <f t="shared" si="0"/>
        <v>M0111-A-10-1</v>
      </c>
      <c r="H17">
        <v>15.21</v>
      </c>
      <c r="I17">
        <v>16.54</v>
      </c>
    </row>
    <row r="18" spans="1:9" x14ac:dyDescent="0.3">
      <c r="A18">
        <v>501</v>
      </c>
      <c r="B18" t="s">
        <v>45</v>
      </c>
      <c r="C18" t="s">
        <v>31</v>
      </c>
      <c r="D18">
        <v>11</v>
      </c>
      <c r="E18" t="s">
        <v>34</v>
      </c>
      <c r="F18">
        <v>1</v>
      </c>
      <c r="G18" t="str">
        <f t="shared" si="0"/>
        <v>M0111-A-11-1</v>
      </c>
      <c r="H18">
        <v>16.36</v>
      </c>
      <c r="I18">
        <v>16.84</v>
      </c>
    </row>
    <row r="19" spans="1:9" x14ac:dyDescent="0.3">
      <c r="A19">
        <v>501</v>
      </c>
      <c r="B19" t="s">
        <v>45</v>
      </c>
      <c r="C19" t="s">
        <v>31</v>
      </c>
      <c r="D19">
        <v>12</v>
      </c>
      <c r="E19" t="s">
        <v>34</v>
      </c>
      <c r="F19">
        <v>1</v>
      </c>
      <c r="G19" t="str">
        <f t="shared" si="0"/>
        <v>M0111-A-12-1</v>
      </c>
      <c r="H19">
        <v>32.25</v>
      </c>
      <c r="I19">
        <v>33.020000000000003</v>
      </c>
    </row>
    <row r="20" spans="1:9" x14ac:dyDescent="0.3">
      <c r="A20">
        <v>501</v>
      </c>
      <c r="B20" t="s">
        <v>45</v>
      </c>
      <c r="C20" t="s">
        <v>31</v>
      </c>
      <c r="D20">
        <v>13</v>
      </c>
      <c r="E20" t="s">
        <v>46</v>
      </c>
      <c r="F20">
        <v>1</v>
      </c>
      <c r="G20" t="str">
        <f t="shared" si="0"/>
        <v>M0111-A-13-1</v>
      </c>
      <c r="H20">
        <v>33.799999999999997</v>
      </c>
      <c r="I20">
        <v>34.9</v>
      </c>
    </row>
    <row r="21" spans="1:9" x14ac:dyDescent="0.3">
      <c r="A21">
        <v>501</v>
      </c>
      <c r="B21" t="s">
        <v>45</v>
      </c>
      <c r="C21" t="s">
        <v>31</v>
      </c>
      <c r="D21">
        <v>13</v>
      </c>
      <c r="E21" t="s">
        <v>46</v>
      </c>
      <c r="F21">
        <v>2</v>
      </c>
      <c r="G21" t="str">
        <f t="shared" si="0"/>
        <v>M0111-A-13-2</v>
      </c>
      <c r="H21">
        <v>34.9</v>
      </c>
      <c r="I21">
        <v>35.35</v>
      </c>
    </row>
    <row r="22" spans="1:9" x14ac:dyDescent="0.3">
      <c r="A22">
        <v>501</v>
      </c>
      <c r="B22" t="s">
        <v>45</v>
      </c>
      <c r="C22" t="s">
        <v>31</v>
      </c>
      <c r="D22">
        <v>14</v>
      </c>
      <c r="E22" t="s">
        <v>46</v>
      </c>
      <c r="F22">
        <v>1</v>
      </c>
      <c r="G22" t="str">
        <f t="shared" si="0"/>
        <v>M0111-A-14-1</v>
      </c>
      <c r="H22">
        <v>33.35</v>
      </c>
      <c r="I22">
        <v>34.85</v>
      </c>
    </row>
    <row r="23" spans="1:9" x14ac:dyDescent="0.3">
      <c r="A23">
        <v>501</v>
      </c>
      <c r="B23" t="s">
        <v>45</v>
      </c>
      <c r="C23" t="s">
        <v>31</v>
      </c>
      <c r="D23">
        <v>14</v>
      </c>
      <c r="E23" t="s">
        <v>46</v>
      </c>
      <c r="F23">
        <v>2</v>
      </c>
      <c r="G23" t="str">
        <f t="shared" si="0"/>
        <v>M0111-A-14-2</v>
      </c>
      <c r="H23">
        <v>34.85</v>
      </c>
      <c r="I23">
        <v>36.119999999999997</v>
      </c>
    </row>
    <row r="24" spans="1:9" x14ac:dyDescent="0.3">
      <c r="A24">
        <v>501</v>
      </c>
      <c r="B24" t="s">
        <v>45</v>
      </c>
      <c r="C24" t="s">
        <v>31</v>
      </c>
      <c r="D24">
        <v>15</v>
      </c>
      <c r="E24" t="s">
        <v>46</v>
      </c>
      <c r="F24">
        <v>1</v>
      </c>
      <c r="G24" t="str">
        <f t="shared" si="0"/>
        <v>M0111-A-15-1</v>
      </c>
      <c r="H24">
        <v>38.119999999999997</v>
      </c>
      <c r="I24">
        <v>39.630000000000003</v>
      </c>
    </row>
    <row r="25" spans="1:9" x14ac:dyDescent="0.3">
      <c r="A25">
        <v>501</v>
      </c>
      <c r="B25" t="s">
        <v>45</v>
      </c>
      <c r="C25" t="s">
        <v>31</v>
      </c>
      <c r="D25">
        <v>15</v>
      </c>
      <c r="E25" t="s">
        <v>46</v>
      </c>
      <c r="F25">
        <v>2</v>
      </c>
      <c r="G25" t="str">
        <f t="shared" si="0"/>
        <v>M0111-A-15-2</v>
      </c>
      <c r="H25">
        <v>39.630000000000003</v>
      </c>
      <c r="I25">
        <v>40.450000000000003</v>
      </c>
    </row>
    <row r="26" spans="1:9" x14ac:dyDescent="0.3">
      <c r="A26">
        <v>501</v>
      </c>
      <c r="B26" t="s">
        <v>45</v>
      </c>
      <c r="C26" t="s">
        <v>31</v>
      </c>
      <c r="D26">
        <v>16</v>
      </c>
      <c r="E26" t="s">
        <v>46</v>
      </c>
      <c r="F26">
        <v>1</v>
      </c>
      <c r="G26" t="str">
        <f t="shared" si="0"/>
        <v>M0111-A-16-1</v>
      </c>
      <c r="H26">
        <v>40.450000000000003</v>
      </c>
      <c r="I26">
        <v>41.19</v>
      </c>
    </row>
    <row r="27" spans="1:9" x14ac:dyDescent="0.3">
      <c r="A27">
        <v>501</v>
      </c>
      <c r="B27" t="s">
        <v>45</v>
      </c>
      <c r="C27" t="s">
        <v>31</v>
      </c>
      <c r="D27">
        <v>17</v>
      </c>
      <c r="E27" t="s">
        <v>46</v>
      </c>
      <c r="F27">
        <v>1</v>
      </c>
      <c r="G27" t="str">
        <f t="shared" si="0"/>
        <v>M0111-A-17-1</v>
      </c>
      <c r="H27">
        <v>41.19</v>
      </c>
      <c r="I27">
        <v>42.69</v>
      </c>
    </row>
    <row r="28" spans="1:9" x14ac:dyDescent="0.3">
      <c r="A28">
        <v>501</v>
      </c>
      <c r="B28" t="s">
        <v>45</v>
      </c>
      <c r="C28" t="s">
        <v>31</v>
      </c>
      <c r="D28">
        <v>17</v>
      </c>
      <c r="E28" t="s">
        <v>46</v>
      </c>
      <c r="F28">
        <v>2</v>
      </c>
      <c r="G28" t="str">
        <f t="shared" si="0"/>
        <v>M0111-A-17-2</v>
      </c>
      <c r="H28">
        <v>42.69</v>
      </c>
      <c r="I28">
        <v>43.32</v>
      </c>
    </row>
    <row r="29" spans="1:9" x14ac:dyDescent="0.3">
      <c r="A29">
        <v>501</v>
      </c>
      <c r="B29" t="s">
        <v>45</v>
      </c>
      <c r="C29" t="s">
        <v>31</v>
      </c>
      <c r="D29">
        <v>18</v>
      </c>
      <c r="E29" t="s">
        <v>46</v>
      </c>
      <c r="F29">
        <v>1</v>
      </c>
      <c r="G29" t="str">
        <f t="shared" si="0"/>
        <v>M0111-A-18-1</v>
      </c>
      <c r="H29">
        <v>43.32</v>
      </c>
      <c r="I29">
        <v>43.83</v>
      </c>
    </row>
    <row r="30" spans="1:9" x14ac:dyDescent="0.3">
      <c r="A30">
        <v>501</v>
      </c>
      <c r="B30" t="s">
        <v>45</v>
      </c>
      <c r="C30" t="s">
        <v>31</v>
      </c>
      <c r="D30">
        <v>19</v>
      </c>
      <c r="E30" t="s">
        <v>46</v>
      </c>
      <c r="F30">
        <v>1</v>
      </c>
      <c r="G30" t="str">
        <f t="shared" si="0"/>
        <v>M0111-A-19-1</v>
      </c>
      <c r="H30">
        <v>43.83</v>
      </c>
      <c r="I30">
        <v>45.33</v>
      </c>
    </row>
    <row r="31" spans="1:9" x14ac:dyDescent="0.3">
      <c r="A31">
        <v>501</v>
      </c>
      <c r="B31" t="s">
        <v>45</v>
      </c>
      <c r="C31" t="s">
        <v>31</v>
      </c>
      <c r="D31">
        <v>19</v>
      </c>
      <c r="E31" t="s">
        <v>46</v>
      </c>
      <c r="F31">
        <v>2</v>
      </c>
      <c r="G31" t="str">
        <f t="shared" si="0"/>
        <v>M0111-A-19-2</v>
      </c>
      <c r="H31">
        <v>45.33</v>
      </c>
      <c r="I31">
        <v>46.2</v>
      </c>
    </row>
    <row r="32" spans="1:9" x14ac:dyDescent="0.3">
      <c r="A32">
        <v>501</v>
      </c>
      <c r="B32" t="s">
        <v>45</v>
      </c>
      <c r="C32" t="s">
        <v>31</v>
      </c>
      <c r="D32">
        <v>20</v>
      </c>
      <c r="E32" t="s">
        <v>46</v>
      </c>
      <c r="F32">
        <v>1</v>
      </c>
      <c r="G32" t="str">
        <f t="shared" si="0"/>
        <v>M0111-A-20-1</v>
      </c>
      <c r="H32">
        <v>46.2</v>
      </c>
      <c r="I32">
        <v>47.7</v>
      </c>
    </row>
    <row r="33" spans="1:9" x14ac:dyDescent="0.3">
      <c r="A33">
        <v>501</v>
      </c>
      <c r="B33" t="s">
        <v>45</v>
      </c>
      <c r="C33" t="s">
        <v>31</v>
      </c>
      <c r="D33">
        <v>20</v>
      </c>
      <c r="E33" t="s">
        <v>46</v>
      </c>
      <c r="F33">
        <v>2</v>
      </c>
      <c r="G33" t="str">
        <f t="shared" si="0"/>
        <v>M0111-A-20-2</v>
      </c>
      <c r="H33">
        <v>47.7</v>
      </c>
      <c r="I33">
        <v>48.67</v>
      </c>
    </row>
    <row r="34" spans="1:9" x14ac:dyDescent="0.3">
      <c r="A34">
        <v>501</v>
      </c>
      <c r="B34" t="s">
        <v>45</v>
      </c>
      <c r="C34" t="s">
        <v>31</v>
      </c>
      <c r="D34">
        <v>21</v>
      </c>
      <c r="E34" t="s">
        <v>46</v>
      </c>
      <c r="F34">
        <v>1</v>
      </c>
      <c r="G34" t="str">
        <f t="shared" si="0"/>
        <v>M0111-A-21-1</v>
      </c>
      <c r="H34">
        <v>48.67</v>
      </c>
      <c r="I34">
        <v>48.77</v>
      </c>
    </row>
    <row r="35" spans="1:9" x14ac:dyDescent="0.3">
      <c r="A35">
        <v>501</v>
      </c>
      <c r="B35" t="s">
        <v>45</v>
      </c>
      <c r="C35" t="s">
        <v>31</v>
      </c>
      <c r="D35">
        <v>21</v>
      </c>
      <c r="E35" t="s">
        <v>46</v>
      </c>
      <c r="F35">
        <v>2</v>
      </c>
      <c r="G35" t="str">
        <f t="shared" si="0"/>
        <v>M0111-A-21-2</v>
      </c>
      <c r="H35">
        <v>48.77</v>
      </c>
      <c r="I35">
        <v>50.08</v>
      </c>
    </row>
    <row r="36" spans="1:9" x14ac:dyDescent="0.3">
      <c r="A36">
        <v>501</v>
      </c>
      <c r="B36" t="s">
        <v>45</v>
      </c>
      <c r="C36" t="s">
        <v>31</v>
      </c>
      <c r="D36">
        <v>21</v>
      </c>
      <c r="E36" t="s">
        <v>46</v>
      </c>
      <c r="F36">
        <v>3</v>
      </c>
      <c r="G36" t="str">
        <f t="shared" si="0"/>
        <v>M0111-A-21-3</v>
      </c>
      <c r="H36">
        <v>50.08</v>
      </c>
      <c r="I36">
        <v>50.9</v>
      </c>
    </row>
    <row r="37" spans="1:9" x14ac:dyDescent="0.3">
      <c r="A37">
        <v>501</v>
      </c>
      <c r="B37" t="s">
        <v>45</v>
      </c>
      <c r="C37" t="s">
        <v>31</v>
      </c>
      <c r="D37">
        <v>22</v>
      </c>
      <c r="E37" t="s">
        <v>46</v>
      </c>
      <c r="F37">
        <v>1</v>
      </c>
      <c r="G37" t="str">
        <f t="shared" si="0"/>
        <v>M0111-A-22-1</v>
      </c>
      <c r="H37">
        <v>50.9</v>
      </c>
      <c r="I37">
        <v>51.07</v>
      </c>
    </row>
    <row r="38" spans="1:9" x14ac:dyDescent="0.3">
      <c r="A38">
        <v>501</v>
      </c>
      <c r="B38" t="s">
        <v>45</v>
      </c>
      <c r="C38" t="s">
        <v>31</v>
      </c>
      <c r="D38">
        <v>22</v>
      </c>
      <c r="E38" t="s">
        <v>46</v>
      </c>
      <c r="F38">
        <v>2</v>
      </c>
      <c r="G38" t="str">
        <f t="shared" si="0"/>
        <v>M0111-A-22-2</v>
      </c>
      <c r="H38">
        <v>51.07</v>
      </c>
      <c r="I38">
        <v>52.42</v>
      </c>
    </row>
    <row r="39" spans="1:9" x14ac:dyDescent="0.3">
      <c r="A39">
        <v>501</v>
      </c>
      <c r="B39" t="s">
        <v>45</v>
      </c>
      <c r="C39" t="s">
        <v>31</v>
      </c>
      <c r="D39">
        <v>23</v>
      </c>
      <c r="E39" t="s">
        <v>46</v>
      </c>
      <c r="F39">
        <v>1</v>
      </c>
      <c r="G39" t="str">
        <f t="shared" si="0"/>
        <v>M0111-A-23-1</v>
      </c>
      <c r="H39">
        <v>52.42</v>
      </c>
      <c r="I39">
        <v>53.92</v>
      </c>
    </row>
    <row r="40" spans="1:9" x14ac:dyDescent="0.3">
      <c r="A40">
        <v>501</v>
      </c>
      <c r="B40" t="s">
        <v>45</v>
      </c>
      <c r="C40" t="s">
        <v>31</v>
      </c>
      <c r="D40">
        <v>23</v>
      </c>
      <c r="E40" t="s">
        <v>46</v>
      </c>
      <c r="F40">
        <v>2</v>
      </c>
      <c r="G40" t="str">
        <f t="shared" si="0"/>
        <v>M0111-A-23-2</v>
      </c>
      <c r="H40">
        <v>53.92</v>
      </c>
      <c r="I40">
        <v>54.92</v>
      </c>
    </row>
    <row r="41" spans="1:9" x14ac:dyDescent="0.3">
      <c r="A41">
        <v>501</v>
      </c>
      <c r="B41" t="s">
        <v>45</v>
      </c>
      <c r="C41" t="s">
        <v>31</v>
      </c>
      <c r="D41">
        <v>24</v>
      </c>
      <c r="E41" t="s">
        <v>46</v>
      </c>
      <c r="F41">
        <v>1</v>
      </c>
      <c r="G41" t="str">
        <f t="shared" si="0"/>
        <v>M0111-A-24-1</v>
      </c>
      <c r="H41">
        <v>54.92</v>
      </c>
      <c r="I41">
        <v>55.92</v>
      </c>
    </row>
    <row r="42" spans="1:9" x14ac:dyDescent="0.3">
      <c r="A42">
        <v>501</v>
      </c>
      <c r="B42" t="s">
        <v>45</v>
      </c>
      <c r="C42" t="s">
        <v>31</v>
      </c>
      <c r="D42">
        <v>24</v>
      </c>
      <c r="E42" t="s">
        <v>46</v>
      </c>
      <c r="F42">
        <v>2</v>
      </c>
      <c r="G42" t="str">
        <f t="shared" si="0"/>
        <v>M0111-A-24-2</v>
      </c>
      <c r="H42">
        <v>55.92</v>
      </c>
      <c r="I42">
        <v>56.66</v>
      </c>
    </row>
    <row r="43" spans="1:9" x14ac:dyDescent="0.3">
      <c r="A43">
        <v>501</v>
      </c>
      <c r="B43" t="s">
        <v>45</v>
      </c>
      <c r="C43" t="s">
        <v>31</v>
      </c>
      <c r="D43">
        <v>25</v>
      </c>
      <c r="E43" t="s">
        <v>46</v>
      </c>
      <c r="F43">
        <v>1</v>
      </c>
      <c r="G43" t="str">
        <f t="shared" si="0"/>
        <v>M0111-A-25-1</v>
      </c>
      <c r="H43">
        <v>56.66</v>
      </c>
      <c r="I43">
        <v>58.17</v>
      </c>
    </row>
    <row r="44" spans="1:9" x14ac:dyDescent="0.3">
      <c r="A44">
        <v>501</v>
      </c>
      <c r="B44" t="s">
        <v>45</v>
      </c>
      <c r="C44" t="s">
        <v>31</v>
      </c>
      <c r="D44">
        <v>25</v>
      </c>
      <c r="E44" t="s">
        <v>46</v>
      </c>
      <c r="F44">
        <v>2</v>
      </c>
      <c r="G44" t="str">
        <f t="shared" si="0"/>
        <v>M0111-A-25-2</v>
      </c>
      <c r="H44">
        <v>58.17</v>
      </c>
      <c r="I44">
        <v>58.88</v>
      </c>
    </row>
    <row r="45" spans="1:9" x14ac:dyDescent="0.3">
      <c r="A45">
        <v>501</v>
      </c>
      <c r="B45" t="s">
        <v>45</v>
      </c>
      <c r="C45" t="s">
        <v>31</v>
      </c>
      <c r="D45">
        <v>26</v>
      </c>
      <c r="E45" t="s">
        <v>46</v>
      </c>
      <c r="F45">
        <v>1</v>
      </c>
      <c r="G45" t="str">
        <f t="shared" si="0"/>
        <v>M0111-A-26-1</v>
      </c>
      <c r="H45">
        <v>58.88</v>
      </c>
      <c r="I45">
        <v>60.39</v>
      </c>
    </row>
    <row r="46" spans="1:9" x14ac:dyDescent="0.3">
      <c r="A46">
        <v>501</v>
      </c>
      <c r="B46" t="s">
        <v>45</v>
      </c>
      <c r="C46" t="s">
        <v>31</v>
      </c>
      <c r="D46">
        <v>26</v>
      </c>
      <c r="E46" t="s">
        <v>46</v>
      </c>
      <c r="F46">
        <v>2</v>
      </c>
      <c r="G46" t="str">
        <f t="shared" si="0"/>
        <v>M0111-A-26-2</v>
      </c>
      <c r="H46">
        <v>60.39</v>
      </c>
      <c r="I46">
        <v>61.9</v>
      </c>
    </row>
    <row r="47" spans="1:9" x14ac:dyDescent="0.3">
      <c r="A47">
        <v>501</v>
      </c>
      <c r="B47" t="s">
        <v>45</v>
      </c>
      <c r="C47" t="s">
        <v>31</v>
      </c>
      <c r="D47">
        <v>27</v>
      </c>
      <c r="E47" t="s">
        <v>46</v>
      </c>
      <c r="F47">
        <v>1</v>
      </c>
      <c r="G47" t="str">
        <f t="shared" si="0"/>
        <v>M0111-A-27-1</v>
      </c>
      <c r="H47">
        <v>61.2</v>
      </c>
      <c r="I47">
        <v>62.7</v>
      </c>
    </row>
    <row r="48" spans="1:9" x14ac:dyDescent="0.3">
      <c r="A48">
        <v>501</v>
      </c>
      <c r="B48" t="s">
        <v>45</v>
      </c>
      <c r="C48" t="s">
        <v>31</v>
      </c>
      <c r="D48">
        <v>27</v>
      </c>
      <c r="E48" t="s">
        <v>46</v>
      </c>
      <c r="F48">
        <v>2</v>
      </c>
      <c r="G48" t="str">
        <f t="shared" si="0"/>
        <v>M0111-A-27-2</v>
      </c>
      <c r="H48">
        <v>62.7</v>
      </c>
      <c r="I48">
        <v>64.2</v>
      </c>
    </row>
    <row r="49" spans="1:9" x14ac:dyDescent="0.3">
      <c r="A49">
        <v>501</v>
      </c>
      <c r="B49" t="s">
        <v>45</v>
      </c>
      <c r="C49" t="s">
        <v>31</v>
      </c>
      <c r="D49">
        <v>28</v>
      </c>
      <c r="E49" t="s">
        <v>46</v>
      </c>
      <c r="F49">
        <v>1</v>
      </c>
      <c r="G49" t="str">
        <f t="shared" si="0"/>
        <v>M0111-A-28-1</v>
      </c>
      <c r="H49">
        <v>63.38</v>
      </c>
      <c r="I49">
        <v>63.76</v>
      </c>
    </row>
    <row r="50" spans="1:9" x14ac:dyDescent="0.3">
      <c r="A50">
        <v>501</v>
      </c>
      <c r="B50" t="s">
        <v>45</v>
      </c>
      <c r="C50" t="s">
        <v>31</v>
      </c>
      <c r="D50">
        <v>29</v>
      </c>
      <c r="E50" t="s">
        <v>46</v>
      </c>
      <c r="F50">
        <v>1</v>
      </c>
      <c r="G50" t="str">
        <f t="shared" si="0"/>
        <v>M0111-A-29-1</v>
      </c>
      <c r="H50">
        <v>63.38</v>
      </c>
      <c r="I50">
        <v>63.65</v>
      </c>
    </row>
    <row r="51" spans="1:9" x14ac:dyDescent="0.3">
      <c r="A51">
        <v>501</v>
      </c>
      <c r="B51" t="s">
        <v>45</v>
      </c>
      <c r="C51" t="s">
        <v>36</v>
      </c>
      <c r="D51">
        <v>1</v>
      </c>
      <c r="E51" t="s">
        <v>46</v>
      </c>
      <c r="F51">
        <v>1</v>
      </c>
      <c r="G51" t="str">
        <f t="shared" si="0"/>
        <v>M0111-B-1-1</v>
      </c>
      <c r="H51">
        <v>62</v>
      </c>
      <c r="I51">
        <v>63.5</v>
      </c>
    </row>
    <row r="52" spans="1:9" x14ac:dyDescent="0.3">
      <c r="A52">
        <v>501</v>
      </c>
      <c r="B52" t="s">
        <v>45</v>
      </c>
      <c r="C52" t="s">
        <v>36</v>
      </c>
      <c r="D52">
        <v>1</v>
      </c>
      <c r="E52" t="s">
        <v>46</v>
      </c>
      <c r="F52">
        <v>2</v>
      </c>
      <c r="G52" t="str">
        <f t="shared" si="0"/>
        <v>M0111-B-1-2</v>
      </c>
      <c r="H52">
        <v>63.5</v>
      </c>
      <c r="I52">
        <v>64.239999999999995</v>
      </c>
    </row>
    <row r="53" spans="1:9" x14ac:dyDescent="0.3">
      <c r="A53">
        <v>501</v>
      </c>
      <c r="B53" t="s">
        <v>45</v>
      </c>
      <c r="C53" t="s">
        <v>36</v>
      </c>
      <c r="D53">
        <v>2</v>
      </c>
      <c r="E53" t="s">
        <v>46</v>
      </c>
      <c r="F53">
        <v>1</v>
      </c>
      <c r="G53" t="str">
        <f t="shared" si="0"/>
        <v>M0111-B-2-1</v>
      </c>
      <c r="H53">
        <v>64.14</v>
      </c>
      <c r="I53">
        <v>65.14</v>
      </c>
    </row>
    <row r="54" spans="1:9" x14ac:dyDescent="0.3">
      <c r="A54">
        <v>501</v>
      </c>
      <c r="B54" t="s">
        <v>45</v>
      </c>
      <c r="C54" t="s">
        <v>36</v>
      </c>
      <c r="D54">
        <v>2</v>
      </c>
      <c r="E54" t="s">
        <v>46</v>
      </c>
      <c r="F54">
        <v>2</v>
      </c>
      <c r="G54" t="str">
        <f t="shared" si="0"/>
        <v>M0111-B-2-2</v>
      </c>
      <c r="H54">
        <v>65.14</v>
      </c>
      <c r="I54">
        <v>66.06</v>
      </c>
    </row>
    <row r="55" spans="1:9" x14ac:dyDescent="0.3">
      <c r="A55">
        <v>501</v>
      </c>
      <c r="B55" t="s">
        <v>45</v>
      </c>
      <c r="C55" t="s">
        <v>36</v>
      </c>
      <c r="D55">
        <v>3</v>
      </c>
      <c r="E55" t="s">
        <v>46</v>
      </c>
      <c r="F55">
        <v>1</v>
      </c>
      <c r="G55" t="str">
        <f t="shared" si="0"/>
        <v>M0111-B-3-1</v>
      </c>
      <c r="H55">
        <v>66.06</v>
      </c>
      <c r="I55">
        <v>67.56</v>
      </c>
    </row>
    <row r="56" spans="1:9" x14ac:dyDescent="0.3">
      <c r="A56">
        <v>501</v>
      </c>
      <c r="B56" t="s">
        <v>45</v>
      </c>
      <c r="C56" t="s">
        <v>36</v>
      </c>
      <c r="D56">
        <v>3</v>
      </c>
      <c r="E56" t="s">
        <v>46</v>
      </c>
      <c r="F56">
        <v>2</v>
      </c>
      <c r="G56" t="str">
        <f t="shared" si="0"/>
        <v>M0111-B-3-2</v>
      </c>
      <c r="H56">
        <v>67.56</v>
      </c>
      <c r="I56">
        <v>68.2</v>
      </c>
    </row>
    <row r="57" spans="1:9" x14ac:dyDescent="0.3">
      <c r="A57">
        <v>501</v>
      </c>
      <c r="B57" t="s">
        <v>45</v>
      </c>
      <c r="C57" t="s">
        <v>36</v>
      </c>
      <c r="D57">
        <v>4</v>
      </c>
      <c r="E57" t="s">
        <v>46</v>
      </c>
      <c r="F57">
        <v>1</v>
      </c>
      <c r="G57" t="str">
        <f t="shared" si="0"/>
        <v>M0111-B-4-1</v>
      </c>
      <c r="H57">
        <v>68.2</v>
      </c>
      <c r="I57">
        <v>69.650000000000006</v>
      </c>
    </row>
    <row r="58" spans="1:9" x14ac:dyDescent="0.3">
      <c r="A58">
        <v>501</v>
      </c>
      <c r="B58" t="s">
        <v>45</v>
      </c>
      <c r="C58" t="s">
        <v>36</v>
      </c>
      <c r="D58">
        <v>5</v>
      </c>
      <c r="E58" t="s">
        <v>46</v>
      </c>
      <c r="F58">
        <v>1</v>
      </c>
      <c r="G58" t="str">
        <f t="shared" si="0"/>
        <v>M0111-B-5-1</v>
      </c>
      <c r="H58">
        <v>69.650000000000006</v>
      </c>
      <c r="I58">
        <v>70.540000000000006</v>
      </c>
    </row>
    <row r="59" spans="1:9" x14ac:dyDescent="0.3">
      <c r="A59">
        <v>501</v>
      </c>
      <c r="B59" t="s">
        <v>45</v>
      </c>
      <c r="C59" t="s">
        <v>36</v>
      </c>
      <c r="D59">
        <v>5</v>
      </c>
      <c r="E59" t="s">
        <v>46</v>
      </c>
      <c r="F59">
        <v>2</v>
      </c>
      <c r="G59" t="str">
        <f t="shared" si="0"/>
        <v>M0111-B-5-2</v>
      </c>
      <c r="H59">
        <v>70.540000000000006</v>
      </c>
      <c r="I59">
        <v>71.540000000000006</v>
      </c>
    </row>
    <row r="60" spans="1:9" x14ac:dyDescent="0.3">
      <c r="A60">
        <v>501</v>
      </c>
      <c r="B60" t="s">
        <v>45</v>
      </c>
      <c r="C60" t="s">
        <v>36</v>
      </c>
      <c r="D60">
        <v>6</v>
      </c>
      <c r="E60" t="s">
        <v>46</v>
      </c>
      <c r="F60">
        <v>1</v>
      </c>
      <c r="G60" t="str">
        <f t="shared" si="0"/>
        <v>M0111-B-6-1</v>
      </c>
      <c r="H60">
        <v>71.540000000000006</v>
      </c>
      <c r="I60">
        <v>72.260000000000005</v>
      </c>
    </row>
    <row r="61" spans="1:9" x14ac:dyDescent="0.3">
      <c r="A61">
        <v>501</v>
      </c>
      <c r="B61" t="s">
        <v>45</v>
      </c>
      <c r="C61" t="s">
        <v>36</v>
      </c>
      <c r="D61">
        <v>7</v>
      </c>
      <c r="E61" t="s">
        <v>46</v>
      </c>
      <c r="F61">
        <v>1</v>
      </c>
      <c r="G61" t="str">
        <f t="shared" si="0"/>
        <v>M0111-B-7-1</v>
      </c>
      <c r="H61">
        <v>72.260000000000005</v>
      </c>
      <c r="I61">
        <v>72.760000000000005</v>
      </c>
    </row>
    <row r="62" spans="1:9" x14ac:dyDescent="0.3">
      <c r="A62">
        <v>501</v>
      </c>
      <c r="B62" t="s">
        <v>45</v>
      </c>
      <c r="C62" t="s">
        <v>36</v>
      </c>
      <c r="D62">
        <v>8</v>
      </c>
      <c r="E62" t="s">
        <v>47</v>
      </c>
      <c r="F62">
        <v>1</v>
      </c>
      <c r="G62" t="str">
        <f t="shared" si="0"/>
        <v>M0111-B-8-1</v>
      </c>
      <c r="H62">
        <v>72.760000000000005</v>
      </c>
      <c r="I62">
        <v>72.260000000000005</v>
      </c>
    </row>
    <row r="63" spans="1:9" x14ac:dyDescent="0.3">
      <c r="A63">
        <v>501</v>
      </c>
      <c r="B63" t="s">
        <v>45</v>
      </c>
      <c r="C63" t="s">
        <v>36</v>
      </c>
      <c r="D63">
        <v>9</v>
      </c>
      <c r="E63" t="s">
        <v>34</v>
      </c>
      <c r="F63">
        <v>1</v>
      </c>
      <c r="G63" t="str">
        <f t="shared" si="0"/>
        <v>M0111-B-9-1</v>
      </c>
      <c r="H63">
        <v>72.760000000000005</v>
      </c>
      <c r="I63">
        <v>74.08</v>
      </c>
    </row>
    <row r="64" spans="1:9" x14ac:dyDescent="0.3">
      <c r="A64">
        <v>501</v>
      </c>
      <c r="B64" t="s">
        <v>45</v>
      </c>
      <c r="C64" t="s">
        <v>36</v>
      </c>
      <c r="D64">
        <v>11</v>
      </c>
      <c r="E64" t="s">
        <v>46</v>
      </c>
      <c r="F64">
        <v>1</v>
      </c>
      <c r="G64" t="str">
        <f t="shared" si="0"/>
        <v>M0111-B-11-1</v>
      </c>
      <c r="H64">
        <v>76.400000000000006</v>
      </c>
      <c r="I64">
        <v>76.69</v>
      </c>
    </row>
    <row r="65" spans="1:9" x14ac:dyDescent="0.3">
      <c r="A65">
        <v>501</v>
      </c>
      <c r="B65" t="s">
        <v>45</v>
      </c>
      <c r="C65" t="s">
        <v>36</v>
      </c>
      <c r="D65">
        <v>12</v>
      </c>
      <c r="E65" t="s">
        <v>34</v>
      </c>
      <c r="F65">
        <v>1</v>
      </c>
      <c r="G65" t="str">
        <f t="shared" si="0"/>
        <v>M0111-B-12-1</v>
      </c>
      <c r="H65">
        <v>76.69</v>
      </c>
      <c r="I65">
        <v>77.38</v>
      </c>
    </row>
    <row r="66" spans="1:9" x14ac:dyDescent="0.3">
      <c r="A66">
        <v>501</v>
      </c>
      <c r="B66" t="s">
        <v>45</v>
      </c>
      <c r="C66" t="s">
        <v>36</v>
      </c>
      <c r="D66">
        <v>12</v>
      </c>
      <c r="E66" t="s">
        <v>34</v>
      </c>
      <c r="F66">
        <v>2</v>
      </c>
      <c r="G66" t="str">
        <f t="shared" si="0"/>
        <v>M0111-B-12-2</v>
      </c>
      <c r="H66">
        <v>77.38</v>
      </c>
      <c r="I66">
        <v>77.510000000000005</v>
      </c>
    </row>
    <row r="67" spans="1:9" x14ac:dyDescent="0.3">
      <c r="A67">
        <v>501</v>
      </c>
      <c r="B67" t="s">
        <v>45</v>
      </c>
      <c r="C67" t="s">
        <v>36</v>
      </c>
      <c r="D67">
        <v>13</v>
      </c>
      <c r="E67" t="s">
        <v>34</v>
      </c>
      <c r="F67">
        <v>1</v>
      </c>
      <c r="G67" t="str">
        <f t="shared" ref="G67:G130" si="1">CONCATENATE(B67, "-",C67, "-", D67, "-", F67)</f>
        <v>M0111-B-13-1</v>
      </c>
      <c r="H67">
        <v>79.599999999999994</v>
      </c>
      <c r="I67">
        <v>80.5</v>
      </c>
    </row>
    <row r="68" spans="1:9" x14ac:dyDescent="0.3">
      <c r="A68">
        <v>501</v>
      </c>
      <c r="B68" t="s">
        <v>45</v>
      </c>
      <c r="C68" t="s">
        <v>36</v>
      </c>
      <c r="D68">
        <v>13</v>
      </c>
      <c r="E68" t="s">
        <v>34</v>
      </c>
      <c r="F68">
        <v>2</v>
      </c>
      <c r="G68" t="str">
        <f t="shared" si="1"/>
        <v>M0111-B-13-2</v>
      </c>
      <c r="H68">
        <v>80.5</v>
      </c>
      <c r="I68">
        <v>80.66</v>
      </c>
    </row>
    <row r="69" spans="1:9" x14ac:dyDescent="0.3">
      <c r="A69">
        <v>501</v>
      </c>
      <c r="B69" t="s">
        <v>45</v>
      </c>
      <c r="C69" t="s">
        <v>36</v>
      </c>
      <c r="D69">
        <v>14</v>
      </c>
      <c r="E69" t="s">
        <v>34</v>
      </c>
      <c r="F69">
        <v>1</v>
      </c>
      <c r="G69" t="str">
        <f t="shared" si="1"/>
        <v>M0111-B-14-1</v>
      </c>
      <c r="H69">
        <v>82.6</v>
      </c>
      <c r="I69">
        <v>84.08</v>
      </c>
    </row>
    <row r="70" spans="1:9" x14ac:dyDescent="0.3">
      <c r="A70">
        <v>501</v>
      </c>
      <c r="B70" t="s">
        <v>45</v>
      </c>
      <c r="C70" t="s">
        <v>36</v>
      </c>
      <c r="D70">
        <v>15</v>
      </c>
      <c r="E70" t="s">
        <v>34</v>
      </c>
      <c r="F70">
        <v>1</v>
      </c>
      <c r="G70" t="str">
        <f t="shared" si="1"/>
        <v>M0111-B-15-1</v>
      </c>
      <c r="H70">
        <v>84.6</v>
      </c>
      <c r="I70">
        <v>86.1</v>
      </c>
    </row>
    <row r="71" spans="1:9" x14ac:dyDescent="0.3">
      <c r="A71">
        <v>501</v>
      </c>
      <c r="B71" t="s">
        <v>45</v>
      </c>
      <c r="C71" t="s">
        <v>36</v>
      </c>
      <c r="D71">
        <v>15</v>
      </c>
      <c r="E71" t="s">
        <v>34</v>
      </c>
      <c r="F71">
        <v>2</v>
      </c>
      <c r="G71" t="str">
        <f t="shared" si="1"/>
        <v>M0111-B-15-2</v>
      </c>
      <c r="H71">
        <v>86.1</v>
      </c>
      <c r="I71">
        <v>86.82</v>
      </c>
    </row>
    <row r="72" spans="1:9" x14ac:dyDescent="0.3">
      <c r="A72">
        <v>501</v>
      </c>
      <c r="B72" t="s">
        <v>45</v>
      </c>
      <c r="C72" t="s">
        <v>36</v>
      </c>
      <c r="D72">
        <v>16</v>
      </c>
      <c r="E72" t="s">
        <v>34</v>
      </c>
      <c r="F72">
        <v>1</v>
      </c>
      <c r="G72" t="str">
        <f t="shared" si="1"/>
        <v>M0111-B-16-1</v>
      </c>
      <c r="H72">
        <v>86.6</v>
      </c>
      <c r="I72">
        <v>88</v>
      </c>
    </row>
    <row r="73" spans="1:9" x14ac:dyDescent="0.3">
      <c r="A73">
        <v>501</v>
      </c>
      <c r="B73" t="s">
        <v>45</v>
      </c>
      <c r="C73" t="s">
        <v>36</v>
      </c>
      <c r="D73">
        <v>17</v>
      </c>
      <c r="E73" t="s">
        <v>34</v>
      </c>
      <c r="F73">
        <v>1</v>
      </c>
      <c r="G73" t="str">
        <f t="shared" si="1"/>
        <v>M0111-B-17-1</v>
      </c>
      <c r="H73">
        <v>88.4</v>
      </c>
      <c r="I73">
        <v>89.4</v>
      </c>
    </row>
    <row r="74" spans="1:9" x14ac:dyDescent="0.3">
      <c r="A74">
        <v>501</v>
      </c>
      <c r="B74" t="s">
        <v>45</v>
      </c>
      <c r="C74" t="s">
        <v>36</v>
      </c>
      <c r="D74">
        <v>17</v>
      </c>
      <c r="E74" t="s">
        <v>34</v>
      </c>
      <c r="F74">
        <v>2</v>
      </c>
      <c r="G74" t="str">
        <f t="shared" si="1"/>
        <v>M0111-B-17-2</v>
      </c>
      <c r="H74">
        <v>89.4</v>
      </c>
      <c r="I74">
        <v>90.4</v>
      </c>
    </row>
    <row r="75" spans="1:9" x14ac:dyDescent="0.3">
      <c r="A75">
        <v>501</v>
      </c>
      <c r="B75" t="s">
        <v>45</v>
      </c>
      <c r="C75" t="s">
        <v>36</v>
      </c>
      <c r="D75">
        <v>18</v>
      </c>
      <c r="E75" t="s">
        <v>34</v>
      </c>
      <c r="F75">
        <v>1</v>
      </c>
      <c r="G75" t="str">
        <f t="shared" si="1"/>
        <v>M0111-B-18-1</v>
      </c>
      <c r="H75">
        <v>91.1</v>
      </c>
      <c r="I75">
        <v>92.56</v>
      </c>
    </row>
    <row r="76" spans="1:9" x14ac:dyDescent="0.3">
      <c r="A76">
        <v>501</v>
      </c>
      <c r="B76" t="s">
        <v>45</v>
      </c>
      <c r="C76" t="s">
        <v>36</v>
      </c>
      <c r="D76">
        <v>19</v>
      </c>
      <c r="E76" t="s">
        <v>34</v>
      </c>
      <c r="F76">
        <v>1</v>
      </c>
      <c r="G76" t="str">
        <f t="shared" si="1"/>
        <v>M0111-B-19-1</v>
      </c>
      <c r="H76">
        <v>94.1</v>
      </c>
      <c r="I76">
        <v>94.49</v>
      </c>
    </row>
    <row r="77" spans="1:9" x14ac:dyDescent="0.3">
      <c r="A77">
        <v>501</v>
      </c>
      <c r="B77" t="s">
        <v>45</v>
      </c>
      <c r="C77" t="s">
        <v>36</v>
      </c>
      <c r="D77">
        <v>21</v>
      </c>
      <c r="E77" t="s">
        <v>46</v>
      </c>
      <c r="F77">
        <v>1</v>
      </c>
      <c r="G77" t="str">
        <f t="shared" si="1"/>
        <v>M0111-B-21-1</v>
      </c>
      <c r="H77">
        <v>96.45</v>
      </c>
      <c r="I77">
        <v>97.95</v>
      </c>
    </row>
    <row r="78" spans="1:9" x14ac:dyDescent="0.3">
      <c r="A78">
        <v>501</v>
      </c>
      <c r="B78" t="s">
        <v>45</v>
      </c>
      <c r="C78" t="s">
        <v>36</v>
      </c>
      <c r="D78">
        <v>21</v>
      </c>
      <c r="E78" t="s">
        <v>46</v>
      </c>
      <c r="F78">
        <v>2</v>
      </c>
      <c r="G78" t="str">
        <f t="shared" si="1"/>
        <v>M0111-B-21-2</v>
      </c>
      <c r="H78">
        <v>97.95</v>
      </c>
      <c r="I78">
        <v>98.76</v>
      </c>
    </row>
    <row r="79" spans="1:9" x14ac:dyDescent="0.3">
      <c r="A79">
        <v>501</v>
      </c>
      <c r="B79" t="s">
        <v>45</v>
      </c>
      <c r="C79" t="s">
        <v>36</v>
      </c>
      <c r="D79">
        <v>22</v>
      </c>
      <c r="E79" t="s">
        <v>46</v>
      </c>
      <c r="F79">
        <v>1</v>
      </c>
      <c r="G79" t="str">
        <f t="shared" si="1"/>
        <v>M0111-B-22-1</v>
      </c>
      <c r="H79">
        <v>98.76</v>
      </c>
      <c r="I79">
        <v>99.76</v>
      </c>
    </row>
    <row r="80" spans="1:9" x14ac:dyDescent="0.3">
      <c r="A80">
        <v>501</v>
      </c>
      <c r="B80" t="s">
        <v>45</v>
      </c>
      <c r="C80" t="s">
        <v>36</v>
      </c>
      <c r="D80">
        <v>22</v>
      </c>
      <c r="E80" t="s">
        <v>46</v>
      </c>
      <c r="F80">
        <v>2</v>
      </c>
      <c r="G80" t="str">
        <f t="shared" si="1"/>
        <v>M0111-B-22-2</v>
      </c>
      <c r="H80">
        <v>99.76</v>
      </c>
      <c r="I80">
        <v>100.54</v>
      </c>
    </row>
    <row r="81" spans="1:9" x14ac:dyDescent="0.3">
      <c r="A81">
        <v>501</v>
      </c>
      <c r="B81" t="s">
        <v>45</v>
      </c>
      <c r="C81" t="s">
        <v>36</v>
      </c>
      <c r="D81">
        <v>23</v>
      </c>
      <c r="E81" t="s">
        <v>46</v>
      </c>
      <c r="F81">
        <v>1</v>
      </c>
      <c r="G81" t="str">
        <f t="shared" si="1"/>
        <v>M0111-B-23-1</v>
      </c>
      <c r="H81">
        <v>100.49</v>
      </c>
      <c r="I81">
        <v>101.75</v>
      </c>
    </row>
    <row r="82" spans="1:9" x14ac:dyDescent="0.3">
      <c r="A82">
        <v>501</v>
      </c>
      <c r="B82" t="s">
        <v>45</v>
      </c>
      <c r="C82" t="s">
        <v>36</v>
      </c>
      <c r="D82">
        <v>23</v>
      </c>
      <c r="E82" t="s">
        <v>46</v>
      </c>
      <c r="F82">
        <v>2</v>
      </c>
      <c r="G82" t="str">
        <f t="shared" si="1"/>
        <v>M0111-B-23-2</v>
      </c>
      <c r="H82">
        <v>101.75</v>
      </c>
      <c r="I82">
        <v>101.84</v>
      </c>
    </row>
    <row r="83" spans="1:9" x14ac:dyDescent="0.3">
      <c r="A83">
        <v>501</v>
      </c>
      <c r="B83" t="s">
        <v>45</v>
      </c>
      <c r="C83" t="s">
        <v>36</v>
      </c>
      <c r="D83">
        <v>24</v>
      </c>
      <c r="E83" t="s">
        <v>34</v>
      </c>
      <c r="F83">
        <v>1</v>
      </c>
      <c r="G83" t="str">
        <f t="shared" si="1"/>
        <v>M0111-B-24-1</v>
      </c>
      <c r="H83">
        <v>101.84</v>
      </c>
      <c r="I83">
        <v>102.91</v>
      </c>
    </row>
    <row r="84" spans="1:9" x14ac:dyDescent="0.3">
      <c r="A84">
        <v>501</v>
      </c>
      <c r="B84" t="s">
        <v>45</v>
      </c>
      <c r="C84" t="s">
        <v>36</v>
      </c>
      <c r="D84">
        <v>24</v>
      </c>
      <c r="E84" t="s">
        <v>34</v>
      </c>
      <c r="F84">
        <v>2</v>
      </c>
      <c r="G84" t="str">
        <f t="shared" si="1"/>
        <v>M0111-B-24-2</v>
      </c>
      <c r="H84">
        <v>102.91</v>
      </c>
      <c r="I84">
        <v>103.98</v>
      </c>
    </row>
    <row r="85" spans="1:9" x14ac:dyDescent="0.3">
      <c r="A85">
        <v>501</v>
      </c>
      <c r="B85" t="s">
        <v>45</v>
      </c>
      <c r="C85" t="s">
        <v>36</v>
      </c>
      <c r="D85">
        <v>25</v>
      </c>
      <c r="E85" t="s">
        <v>34</v>
      </c>
      <c r="F85">
        <v>1</v>
      </c>
      <c r="G85" t="str">
        <f t="shared" si="1"/>
        <v>M0111-B-25-1</v>
      </c>
      <c r="H85">
        <v>103.6</v>
      </c>
      <c r="I85">
        <v>103.75</v>
      </c>
    </row>
    <row r="86" spans="1:9" x14ac:dyDescent="0.3">
      <c r="A86">
        <v>501</v>
      </c>
      <c r="B86" t="s">
        <v>45</v>
      </c>
      <c r="C86" t="s">
        <v>36</v>
      </c>
      <c r="D86">
        <v>26</v>
      </c>
      <c r="E86" t="s">
        <v>34</v>
      </c>
      <c r="F86">
        <v>1</v>
      </c>
      <c r="G86" t="str">
        <f t="shared" si="1"/>
        <v>M0111-B-26-1</v>
      </c>
      <c r="H86">
        <v>106.6</v>
      </c>
      <c r="I86">
        <v>108.1</v>
      </c>
    </row>
    <row r="87" spans="1:9" x14ac:dyDescent="0.3">
      <c r="A87">
        <v>501</v>
      </c>
      <c r="B87" t="s">
        <v>45</v>
      </c>
      <c r="C87" t="s">
        <v>36</v>
      </c>
      <c r="D87">
        <v>26</v>
      </c>
      <c r="E87" t="s">
        <v>34</v>
      </c>
      <c r="F87">
        <v>2</v>
      </c>
      <c r="G87" t="str">
        <f t="shared" si="1"/>
        <v>M0111-B-26-2</v>
      </c>
      <c r="H87">
        <v>108.1</v>
      </c>
      <c r="I87">
        <v>109.06</v>
      </c>
    </row>
    <row r="88" spans="1:9" x14ac:dyDescent="0.3">
      <c r="A88">
        <v>501</v>
      </c>
      <c r="B88" t="s">
        <v>45</v>
      </c>
      <c r="C88" t="s">
        <v>36</v>
      </c>
      <c r="D88">
        <v>27</v>
      </c>
      <c r="E88" t="s">
        <v>34</v>
      </c>
      <c r="F88">
        <v>1</v>
      </c>
      <c r="G88" t="str">
        <f t="shared" si="1"/>
        <v>M0111-B-27-1</v>
      </c>
      <c r="H88">
        <v>109.6</v>
      </c>
      <c r="I88">
        <v>111.1</v>
      </c>
    </row>
    <row r="89" spans="1:9" x14ac:dyDescent="0.3">
      <c r="A89">
        <v>501</v>
      </c>
      <c r="B89" t="s">
        <v>45</v>
      </c>
      <c r="C89" t="s">
        <v>36</v>
      </c>
      <c r="D89">
        <v>27</v>
      </c>
      <c r="E89" t="s">
        <v>34</v>
      </c>
      <c r="F89">
        <v>2</v>
      </c>
      <c r="G89" t="str">
        <f t="shared" si="1"/>
        <v>M0111-B-27-2</v>
      </c>
      <c r="H89">
        <v>111.1</v>
      </c>
      <c r="I89">
        <v>112.39</v>
      </c>
    </row>
    <row r="90" spans="1:9" x14ac:dyDescent="0.3">
      <c r="A90">
        <v>501</v>
      </c>
      <c r="B90" t="s">
        <v>45</v>
      </c>
      <c r="C90" t="s">
        <v>36</v>
      </c>
      <c r="D90">
        <v>28</v>
      </c>
      <c r="E90" t="s">
        <v>34</v>
      </c>
      <c r="F90">
        <v>1</v>
      </c>
      <c r="G90" t="str">
        <f t="shared" si="1"/>
        <v>M0111-B-28-1</v>
      </c>
      <c r="H90">
        <v>112.3</v>
      </c>
      <c r="I90">
        <v>113.8</v>
      </c>
    </row>
    <row r="91" spans="1:9" x14ac:dyDescent="0.3">
      <c r="A91">
        <v>501</v>
      </c>
      <c r="B91" t="s">
        <v>45</v>
      </c>
      <c r="C91" t="s">
        <v>36</v>
      </c>
      <c r="D91">
        <v>28</v>
      </c>
      <c r="E91" t="s">
        <v>34</v>
      </c>
      <c r="F91">
        <v>2</v>
      </c>
      <c r="G91" t="str">
        <f t="shared" si="1"/>
        <v>M0111-B-28-2</v>
      </c>
      <c r="H91">
        <v>113.8</v>
      </c>
      <c r="I91">
        <v>115.25</v>
      </c>
    </row>
    <row r="92" spans="1:9" x14ac:dyDescent="0.3">
      <c r="A92">
        <v>501</v>
      </c>
      <c r="B92" t="s">
        <v>45</v>
      </c>
      <c r="C92" t="s">
        <v>36</v>
      </c>
      <c r="D92">
        <v>29</v>
      </c>
      <c r="E92" t="s">
        <v>34</v>
      </c>
      <c r="F92">
        <v>1</v>
      </c>
      <c r="G92" t="str">
        <f t="shared" si="1"/>
        <v>M0111-B-29-1</v>
      </c>
      <c r="H92">
        <v>115.3</v>
      </c>
      <c r="I92">
        <v>116.81</v>
      </c>
    </row>
    <row r="93" spans="1:9" x14ac:dyDescent="0.3">
      <c r="A93">
        <v>501</v>
      </c>
      <c r="B93" t="s">
        <v>45</v>
      </c>
      <c r="C93" t="s">
        <v>36</v>
      </c>
      <c r="D93">
        <v>29</v>
      </c>
      <c r="E93" t="s">
        <v>34</v>
      </c>
      <c r="F93">
        <v>2</v>
      </c>
      <c r="G93" t="str">
        <f t="shared" si="1"/>
        <v>M0111-B-29-2</v>
      </c>
      <c r="H93">
        <v>116.81</v>
      </c>
      <c r="I93">
        <v>117.81</v>
      </c>
    </row>
    <row r="94" spans="1:9" x14ac:dyDescent="0.3">
      <c r="A94">
        <v>501</v>
      </c>
      <c r="B94" t="s">
        <v>45</v>
      </c>
      <c r="C94" t="s">
        <v>36</v>
      </c>
      <c r="D94">
        <v>29</v>
      </c>
      <c r="E94" t="s">
        <v>34</v>
      </c>
      <c r="F94">
        <v>3</v>
      </c>
      <c r="G94" t="str">
        <f t="shared" si="1"/>
        <v>M0111-B-29-3</v>
      </c>
      <c r="H94">
        <v>117.81</v>
      </c>
      <c r="I94">
        <v>118.53</v>
      </c>
    </row>
    <row r="95" spans="1:9" x14ac:dyDescent="0.3">
      <c r="A95">
        <v>501</v>
      </c>
      <c r="B95" t="s">
        <v>45</v>
      </c>
      <c r="C95" t="s">
        <v>36</v>
      </c>
      <c r="D95">
        <v>30</v>
      </c>
      <c r="E95" t="s">
        <v>34</v>
      </c>
      <c r="F95">
        <v>1</v>
      </c>
      <c r="G95" t="str">
        <f t="shared" si="1"/>
        <v>M0111-B-30-1</v>
      </c>
      <c r="H95">
        <v>118.3</v>
      </c>
      <c r="I95">
        <v>119.8</v>
      </c>
    </row>
    <row r="96" spans="1:9" x14ac:dyDescent="0.3">
      <c r="A96">
        <v>501</v>
      </c>
      <c r="B96" t="s">
        <v>45</v>
      </c>
      <c r="C96" t="s">
        <v>36</v>
      </c>
      <c r="D96">
        <v>30</v>
      </c>
      <c r="E96" t="s">
        <v>34</v>
      </c>
      <c r="F96">
        <v>2</v>
      </c>
      <c r="G96" t="str">
        <f t="shared" si="1"/>
        <v>M0111-B-30-2</v>
      </c>
      <c r="H96">
        <v>119.8</v>
      </c>
      <c r="I96">
        <v>120.76</v>
      </c>
    </row>
    <row r="97" spans="1:9" x14ac:dyDescent="0.3">
      <c r="A97">
        <v>501</v>
      </c>
      <c r="B97" t="s">
        <v>45</v>
      </c>
      <c r="C97" t="s">
        <v>36</v>
      </c>
      <c r="D97">
        <v>31</v>
      </c>
      <c r="E97" t="s">
        <v>34</v>
      </c>
      <c r="F97">
        <v>1</v>
      </c>
      <c r="G97" t="str">
        <f t="shared" si="1"/>
        <v>M0111-B-31-1</v>
      </c>
      <c r="H97">
        <v>121.3</v>
      </c>
      <c r="I97">
        <v>122.8</v>
      </c>
    </row>
    <row r="98" spans="1:9" x14ac:dyDescent="0.3">
      <c r="A98">
        <v>501</v>
      </c>
      <c r="B98" t="s">
        <v>45</v>
      </c>
      <c r="C98" t="s">
        <v>36</v>
      </c>
      <c r="D98">
        <v>31</v>
      </c>
      <c r="E98" t="s">
        <v>34</v>
      </c>
      <c r="F98">
        <v>2</v>
      </c>
      <c r="G98" t="str">
        <f t="shared" si="1"/>
        <v>M0111-B-31-2</v>
      </c>
      <c r="H98">
        <v>122.8</v>
      </c>
      <c r="I98">
        <v>123.82</v>
      </c>
    </row>
    <row r="99" spans="1:9" x14ac:dyDescent="0.3">
      <c r="A99">
        <v>501</v>
      </c>
      <c r="B99" t="s">
        <v>45</v>
      </c>
      <c r="C99" t="s">
        <v>36</v>
      </c>
      <c r="D99">
        <v>32</v>
      </c>
      <c r="E99" t="s">
        <v>34</v>
      </c>
      <c r="F99">
        <v>1</v>
      </c>
      <c r="G99" t="str">
        <f t="shared" si="1"/>
        <v>M0111-B-32-1</v>
      </c>
      <c r="H99">
        <v>124.3</v>
      </c>
      <c r="I99">
        <v>124.64</v>
      </c>
    </row>
    <row r="100" spans="1:9" x14ac:dyDescent="0.3">
      <c r="A100">
        <v>501</v>
      </c>
      <c r="B100" t="s">
        <v>45</v>
      </c>
      <c r="C100" t="s">
        <v>36</v>
      </c>
      <c r="D100">
        <v>33</v>
      </c>
      <c r="E100" t="s">
        <v>34</v>
      </c>
      <c r="F100">
        <v>1</v>
      </c>
      <c r="G100" t="str">
        <f t="shared" si="1"/>
        <v>M0111-B-33-1</v>
      </c>
      <c r="H100">
        <v>126.7</v>
      </c>
      <c r="I100">
        <v>127.31</v>
      </c>
    </row>
    <row r="101" spans="1:9" x14ac:dyDescent="0.3">
      <c r="A101">
        <v>501</v>
      </c>
      <c r="B101" t="s">
        <v>45</v>
      </c>
      <c r="C101" t="s">
        <v>36</v>
      </c>
      <c r="D101">
        <v>33</v>
      </c>
      <c r="E101" t="s">
        <v>34</v>
      </c>
      <c r="F101">
        <v>2</v>
      </c>
      <c r="G101" t="str">
        <f t="shared" si="1"/>
        <v>M0111-B-33-2</v>
      </c>
      <c r="H101">
        <v>127.31</v>
      </c>
      <c r="I101">
        <v>127.48</v>
      </c>
    </row>
    <row r="102" spans="1:9" x14ac:dyDescent="0.3">
      <c r="A102">
        <v>501</v>
      </c>
      <c r="B102" t="s">
        <v>45</v>
      </c>
      <c r="C102" t="s">
        <v>36</v>
      </c>
      <c r="D102">
        <v>34</v>
      </c>
      <c r="E102" t="s">
        <v>34</v>
      </c>
      <c r="F102">
        <v>1</v>
      </c>
      <c r="G102" t="str">
        <f t="shared" si="1"/>
        <v>M0111-B-34-1</v>
      </c>
      <c r="H102">
        <v>121.52</v>
      </c>
      <c r="I102">
        <v>122.49</v>
      </c>
    </row>
    <row r="103" spans="1:9" x14ac:dyDescent="0.3">
      <c r="A103">
        <v>501</v>
      </c>
      <c r="B103" t="s">
        <v>45</v>
      </c>
      <c r="C103" t="s">
        <v>36</v>
      </c>
      <c r="D103">
        <v>34</v>
      </c>
      <c r="E103" t="s">
        <v>34</v>
      </c>
      <c r="F103">
        <v>2</v>
      </c>
      <c r="G103" t="str">
        <f t="shared" si="1"/>
        <v>M0111-B-34-2</v>
      </c>
      <c r="H103">
        <v>122.49</v>
      </c>
      <c r="I103">
        <v>123.1</v>
      </c>
    </row>
    <row r="104" spans="1:9" x14ac:dyDescent="0.3">
      <c r="A104">
        <v>501</v>
      </c>
      <c r="B104" t="s">
        <v>45</v>
      </c>
      <c r="C104" t="s">
        <v>36</v>
      </c>
      <c r="D104">
        <v>35</v>
      </c>
      <c r="E104" t="s">
        <v>34</v>
      </c>
      <c r="F104">
        <v>1</v>
      </c>
      <c r="G104" t="str">
        <f t="shared" si="1"/>
        <v>M0111-B-35-1</v>
      </c>
      <c r="H104">
        <v>122.52</v>
      </c>
      <c r="I104">
        <v>124.02</v>
      </c>
    </row>
    <row r="105" spans="1:9" x14ac:dyDescent="0.3">
      <c r="A105">
        <v>501</v>
      </c>
      <c r="B105" t="s">
        <v>45</v>
      </c>
      <c r="C105" t="s">
        <v>36</v>
      </c>
      <c r="D105">
        <v>35</v>
      </c>
      <c r="E105" t="s">
        <v>34</v>
      </c>
      <c r="F105">
        <v>2</v>
      </c>
      <c r="G105" t="str">
        <f t="shared" si="1"/>
        <v>M0111-B-35-2</v>
      </c>
      <c r="H105">
        <v>124.02</v>
      </c>
      <c r="I105">
        <v>125.02</v>
      </c>
    </row>
    <row r="106" spans="1:9" x14ac:dyDescent="0.3">
      <c r="A106">
        <v>501</v>
      </c>
      <c r="B106" t="s">
        <v>45</v>
      </c>
      <c r="C106" t="s">
        <v>36</v>
      </c>
      <c r="D106">
        <v>35</v>
      </c>
      <c r="E106" t="s">
        <v>34</v>
      </c>
      <c r="F106">
        <v>3</v>
      </c>
      <c r="G106" t="str">
        <f t="shared" si="1"/>
        <v>M0111-B-35-3</v>
      </c>
      <c r="H106">
        <v>125.02</v>
      </c>
      <c r="I106">
        <v>125.67</v>
      </c>
    </row>
    <row r="107" spans="1:9" x14ac:dyDescent="0.3">
      <c r="A107">
        <v>501</v>
      </c>
      <c r="B107" t="s">
        <v>45</v>
      </c>
      <c r="C107" t="s">
        <v>36</v>
      </c>
      <c r="D107">
        <v>36</v>
      </c>
      <c r="E107" t="s">
        <v>34</v>
      </c>
      <c r="F107">
        <v>1</v>
      </c>
      <c r="G107" t="str">
        <f t="shared" si="1"/>
        <v>M0111-B-36-1</v>
      </c>
      <c r="H107">
        <v>125.57</v>
      </c>
      <c r="I107">
        <v>126.57</v>
      </c>
    </row>
    <row r="108" spans="1:9" x14ac:dyDescent="0.3">
      <c r="A108">
        <v>501</v>
      </c>
      <c r="B108" t="s">
        <v>45</v>
      </c>
      <c r="C108" t="s">
        <v>36</v>
      </c>
      <c r="D108">
        <v>36</v>
      </c>
      <c r="E108" t="s">
        <v>34</v>
      </c>
      <c r="F108">
        <v>2</v>
      </c>
      <c r="G108" t="str">
        <f t="shared" si="1"/>
        <v>M0111-B-36-2</v>
      </c>
      <c r="H108">
        <v>126.57</v>
      </c>
      <c r="I108">
        <v>127.48</v>
      </c>
    </row>
    <row r="109" spans="1:9" x14ac:dyDescent="0.3">
      <c r="A109">
        <v>501</v>
      </c>
      <c r="B109" t="s">
        <v>45</v>
      </c>
      <c r="C109" t="s">
        <v>36</v>
      </c>
      <c r="D109">
        <v>37</v>
      </c>
      <c r="E109" t="s">
        <v>34</v>
      </c>
      <c r="F109">
        <v>1</v>
      </c>
      <c r="G109" t="str">
        <f t="shared" si="1"/>
        <v>M0111-B-37-1</v>
      </c>
      <c r="H109">
        <v>127.64</v>
      </c>
      <c r="I109">
        <v>128.71</v>
      </c>
    </row>
    <row r="110" spans="1:9" x14ac:dyDescent="0.3">
      <c r="A110">
        <v>501</v>
      </c>
      <c r="B110" t="s">
        <v>45</v>
      </c>
      <c r="C110" t="s">
        <v>36</v>
      </c>
      <c r="D110">
        <v>38</v>
      </c>
      <c r="E110" t="s">
        <v>34</v>
      </c>
      <c r="F110">
        <v>1</v>
      </c>
      <c r="G110" t="str">
        <f t="shared" si="1"/>
        <v>M0111-B-38-1</v>
      </c>
      <c r="H110">
        <v>129.38999999999999</v>
      </c>
      <c r="I110">
        <v>130.88999999999999</v>
      </c>
    </row>
    <row r="111" spans="1:9" x14ac:dyDescent="0.3">
      <c r="A111">
        <v>501</v>
      </c>
      <c r="B111" t="s">
        <v>45</v>
      </c>
      <c r="C111" t="s">
        <v>36</v>
      </c>
      <c r="D111">
        <v>38</v>
      </c>
      <c r="E111" t="s">
        <v>34</v>
      </c>
      <c r="F111">
        <v>2</v>
      </c>
      <c r="G111" t="str">
        <f t="shared" si="1"/>
        <v>M0111-B-38-2</v>
      </c>
      <c r="H111">
        <v>130.88999999999999</v>
      </c>
      <c r="I111">
        <v>131.49</v>
      </c>
    </row>
    <row r="112" spans="1:9" x14ac:dyDescent="0.3">
      <c r="A112">
        <v>501</v>
      </c>
      <c r="B112" t="s">
        <v>45</v>
      </c>
      <c r="C112" t="s">
        <v>36</v>
      </c>
      <c r="D112">
        <v>39</v>
      </c>
      <c r="E112" t="s">
        <v>34</v>
      </c>
      <c r="F112">
        <v>1</v>
      </c>
      <c r="G112" t="str">
        <f t="shared" si="1"/>
        <v>M0111-B-39-1</v>
      </c>
      <c r="H112">
        <v>131.66999999999999</v>
      </c>
      <c r="I112">
        <v>133.16</v>
      </c>
    </row>
    <row r="113" spans="1:9" x14ac:dyDescent="0.3">
      <c r="A113">
        <v>501</v>
      </c>
      <c r="B113" t="s">
        <v>45</v>
      </c>
      <c r="C113" t="s">
        <v>36</v>
      </c>
      <c r="D113">
        <v>39</v>
      </c>
      <c r="E113" t="s">
        <v>34</v>
      </c>
      <c r="F113">
        <v>2</v>
      </c>
      <c r="G113" t="str">
        <f t="shared" si="1"/>
        <v>M0111-B-39-2</v>
      </c>
      <c r="H113">
        <v>133.16</v>
      </c>
      <c r="I113">
        <v>134.46</v>
      </c>
    </row>
    <row r="114" spans="1:9" x14ac:dyDescent="0.3">
      <c r="A114">
        <v>501</v>
      </c>
      <c r="B114" t="s">
        <v>45</v>
      </c>
      <c r="C114" t="s">
        <v>36</v>
      </c>
      <c r="D114">
        <v>40</v>
      </c>
      <c r="E114" t="s">
        <v>34</v>
      </c>
      <c r="F114">
        <v>1</v>
      </c>
      <c r="G114" t="str">
        <f t="shared" si="1"/>
        <v>M0111-B-40-1</v>
      </c>
      <c r="H114">
        <v>134.72</v>
      </c>
      <c r="I114">
        <v>135.87</v>
      </c>
    </row>
    <row r="115" spans="1:9" x14ac:dyDescent="0.3">
      <c r="A115">
        <v>501</v>
      </c>
      <c r="B115" t="s">
        <v>45</v>
      </c>
      <c r="C115" t="s">
        <v>36</v>
      </c>
      <c r="D115">
        <v>41</v>
      </c>
      <c r="E115" t="s">
        <v>34</v>
      </c>
      <c r="F115">
        <v>1</v>
      </c>
      <c r="G115" t="str">
        <f t="shared" si="1"/>
        <v>M0111-B-41-1</v>
      </c>
      <c r="H115">
        <v>137.77000000000001</v>
      </c>
      <c r="I115">
        <v>139.27000000000001</v>
      </c>
    </row>
    <row r="116" spans="1:9" x14ac:dyDescent="0.3">
      <c r="A116">
        <v>501</v>
      </c>
      <c r="B116" t="s">
        <v>45</v>
      </c>
      <c r="C116" t="s">
        <v>36</v>
      </c>
      <c r="D116">
        <v>41</v>
      </c>
      <c r="E116" t="s">
        <v>34</v>
      </c>
      <c r="F116">
        <v>2</v>
      </c>
      <c r="G116" t="str">
        <f t="shared" si="1"/>
        <v>M0111-B-41-2</v>
      </c>
      <c r="H116">
        <v>139.27000000000001</v>
      </c>
      <c r="I116">
        <v>140.22999999999999</v>
      </c>
    </row>
    <row r="117" spans="1:9" x14ac:dyDescent="0.3">
      <c r="A117">
        <v>501</v>
      </c>
      <c r="B117" t="s">
        <v>45</v>
      </c>
      <c r="C117" t="s">
        <v>36</v>
      </c>
      <c r="D117">
        <v>42</v>
      </c>
      <c r="E117" t="s">
        <v>34</v>
      </c>
      <c r="F117">
        <v>1</v>
      </c>
      <c r="G117" t="str">
        <f t="shared" si="1"/>
        <v>M0111-B-42-1</v>
      </c>
      <c r="H117">
        <v>140.82</v>
      </c>
      <c r="I117">
        <v>141.87</v>
      </c>
    </row>
    <row r="118" spans="1:9" x14ac:dyDescent="0.3">
      <c r="A118">
        <v>501</v>
      </c>
      <c r="B118" t="s">
        <v>45</v>
      </c>
      <c r="C118" t="s">
        <v>36</v>
      </c>
      <c r="D118">
        <v>43</v>
      </c>
      <c r="E118" t="s">
        <v>34</v>
      </c>
      <c r="F118">
        <v>1</v>
      </c>
      <c r="G118" t="str">
        <f t="shared" si="1"/>
        <v>M0111-B-43-1</v>
      </c>
      <c r="H118">
        <v>143.87</v>
      </c>
      <c r="I118">
        <v>144.72</v>
      </c>
    </row>
    <row r="119" spans="1:9" x14ac:dyDescent="0.3">
      <c r="A119">
        <v>501</v>
      </c>
      <c r="B119" t="s">
        <v>45</v>
      </c>
      <c r="C119" t="s">
        <v>36</v>
      </c>
      <c r="D119">
        <v>43</v>
      </c>
      <c r="E119" t="s">
        <v>34</v>
      </c>
      <c r="F119">
        <v>2</v>
      </c>
      <c r="G119" t="str">
        <f t="shared" si="1"/>
        <v>M0111-B-43-2</v>
      </c>
      <c r="H119">
        <v>144.72</v>
      </c>
      <c r="I119">
        <v>145.26</v>
      </c>
    </row>
    <row r="120" spans="1:9" x14ac:dyDescent="0.3">
      <c r="A120">
        <v>501</v>
      </c>
      <c r="B120" t="s">
        <v>45</v>
      </c>
      <c r="C120" t="s">
        <v>36</v>
      </c>
      <c r="D120">
        <v>44</v>
      </c>
      <c r="E120" t="s">
        <v>34</v>
      </c>
      <c r="F120">
        <v>1</v>
      </c>
      <c r="G120" t="str">
        <f t="shared" si="1"/>
        <v>M0111-B-44-1</v>
      </c>
      <c r="H120">
        <v>146.11000000000001</v>
      </c>
      <c r="I120">
        <v>147.61000000000001</v>
      </c>
    </row>
    <row r="121" spans="1:9" x14ac:dyDescent="0.3">
      <c r="A121">
        <v>501</v>
      </c>
      <c r="B121" t="s">
        <v>45</v>
      </c>
      <c r="C121" t="s">
        <v>36</v>
      </c>
      <c r="D121">
        <v>44</v>
      </c>
      <c r="E121" t="s">
        <v>34</v>
      </c>
      <c r="F121">
        <v>2</v>
      </c>
      <c r="G121" t="str">
        <f t="shared" si="1"/>
        <v>M0111-B-44-2</v>
      </c>
      <c r="H121">
        <v>147.61000000000001</v>
      </c>
      <c r="I121">
        <v>148.4</v>
      </c>
    </row>
    <row r="122" spans="1:9" x14ac:dyDescent="0.3">
      <c r="A122">
        <v>501</v>
      </c>
      <c r="B122" t="s">
        <v>45</v>
      </c>
      <c r="C122" t="s">
        <v>36</v>
      </c>
      <c r="D122">
        <v>45</v>
      </c>
      <c r="E122" t="s">
        <v>34</v>
      </c>
      <c r="F122">
        <v>1</v>
      </c>
      <c r="G122" t="str">
        <f t="shared" si="1"/>
        <v>M0111-B-45-1</v>
      </c>
      <c r="H122">
        <v>149.16</v>
      </c>
      <c r="I122">
        <v>150.13999999999999</v>
      </c>
    </row>
    <row r="123" spans="1:9" x14ac:dyDescent="0.3">
      <c r="A123">
        <v>501</v>
      </c>
      <c r="B123" t="s">
        <v>45</v>
      </c>
      <c r="C123" t="s">
        <v>36</v>
      </c>
      <c r="D123">
        <v>46</v>
      </c>
      <c r="E123" t="s">
        <v>34</v>
      </c>
      <c r="F123">
        <v>1</v>
      </c>
      <c r="G123" t="str">
        <f t="shared" si="1"/>
        <v>M0111-B-46-1</v>
      </c>
      <c r="H123">
        <v>149.54</v>
      </c>
      <c r="I123">
        <v>151.04</v>
      </c>
    </row>
    <row r="124" spans="1:9" x14ac:dyDescent="0.3">
      <c r="A124">
        <v>501</v>
      </c>
      <c r="B124" t="s">
        <v>45</v>
      </c>
      <c r="C124" t="s">
        <v>36</v>
      </c>
      <c r="D124">
        <v>46</v>
      </c>
      <c r="E124" t="s">
        <v>34</v>
      </c>
      <c r="F124">
        <v>2</v>
      </c>
      <c r="G124" t="str">
        <f t="shared" si="1"/>
        <v>M0111-B-46-2</v>
      </c>
      <c r="H124">
        <v>151.04</v>
      </c>
      <c r="I124">
        <v>152.29</v>
      </c>
    </row>
    <row r="125" spans="1:9" x14ac:dyDescent="0.3">
      <c r="A125">
        <v>501</v>
      </c>
      <c r="B125" t="s">
        <v>45</v>
      </c>
      <c r="C125" t="s">
        <v>36</v>
      </c>
      <c r="D125">
        <v>47</v>
      </c>
      <c r="E125" t="s">
        <v>34</v>
      </c>
      <c r="F125">
        <v>1</v>
      </c>
      <c r="G125" t="str">
        <f t="shared" si="1"/>
        <v>M0111-B-47-1</v>
      </c>
      <c r="H125">
        <v>152.21</v>
      </c>
      <c r="I125">
        <v>153.71</v>
      </c>
    </row>
    <row r="126" spans="1:9" x14ac:dyDescent="0.3">
      <c r="A126">
        <v>501</v>
      </c>
      <c r="B126" t="s">
        <v>45</v>
      </c>
      <c r="C126" t="s">
        <v>36</v>
      </c>
      <c r="D126">
        <v>47</v>
      </c>
      <c r="E126" t="s">
        <v>34</v>
      </c>
      <c r="F126">
        <v>2</v>
      </c>
      <c r="G126" t="str">
        <f t="shared" si="1"/>
        <v>M0111-B-47-2</v>
      </c>
      <c r="H126">
        <v>153.71</v>
      </c>
      <c r="I126">
        <v>154.71</v>
      </c>
    </row>
    <row r="127" spans="1:9" x14ac:dyDescent="0.3">
      <c r="A127">
        <v>501</v>
      </c>
      <c r="B127" t="s">
        <v>45</v>
      </c>
      <c r="C127" t="s">
        <v>36</v>
      </c>
      <c r="D127">
        <v>47</v>
      </c>
      <c r="E127" t="s">
        <v>34</v>
      </c>
      <c r="F127">
        <v>3</v>
      </c>
      <c r="G127" t="str">
        <f t="shared" si="1"/>
        <v>M0111-B-47-3</v>
      </c>
      <c r="H127">
        <v>154.71</v>
      </c>
      <c r="I127">
        <v>155.35</v>
      </c>
    </row>
    <row r="128" spans="1:9" x14ac:dyDescent="0.3">
      <c r="A128">
        <v>501</v>
      </c>
      <c r="B128" t="s">
        <v>45</v>
      </c>
      <c r="C128" t="s">
        <v>36</v>
      </c>
      <c r="D128">
        <v>48</v>
      </c>
      <c r="E128" t="s">
        <v>34</v>
      </c>
      <c r="F128">
        <v>1</v>
      </c>
      <c r="G128" t="str">
        <f t="shared" si="1"/>
        <v>M0111-B-48-1</v>
      </c>
      <c r="H128">
        <v>155.26</v>
      </c>
      <c r="I128">
        <v>155.72999999999999</v>
      </c>
    </row>
    <row r="129" spans="1:9" x14ac:dyDescent="0.3">
      <c r="A129">
        <v>501</v>
      </c>
      <c r="B129" t="s">
        <v>45</v>
      </c>
      <c r="C129" t="s">
        <v>36</v>
      </c>
      <c r="D129">
        <v>49</v>
      </c>
      <c r="E129" t="s">
        <v>34</v>
      </c>
      <c r="F129">
        <v>1</v>
      </c>
      <c r="G129" t="str">
        <f t="shared" si="1"/>
        <v>M0111-B-49-1</v>
      </c>
      <c r="H129">
        <v>158.31</v>
      </c>
      <c r="I129">
        <v>158.5</v>
      </c>
    </row>
    <row r="130" spans="1:9" x14ac:dyDescent="0.3">
      <c r="A130">
        <v>501</v>
      </c>
      <c r="B130" t="s">
        <v>45</v>
      </c>
      <c r="C130" t="s">
        <v>36</v>
      </c>
      <c r="D130">
        <v>50</v>
      </c>
      <c r="E130" t="s">
        <v>34</v>
      </c>
      <c r="F130">
        <v>1</v>
      </c>
      <c r="G130" t="str">
        <f t="shared" si="1"/>
        <v>M0111-B-50-1</v>
      </c>
      <c r="H130">
        <v>158.56</v>
      </c>
      <c r="I130">
        <v>158.75</v>
      </c>
    </row>
    <row r="131" spans="1:9" x14ac:dyDescent="0.3">
      <c r="A131">
        <v>501</v>
      </c>
      <c r="B131" t="s">
        <v>45</v>
      </c>
      <c r="C131" t="s">
        <v>36</v>
      </c>
      <c r="D131">
        <v>51</v>
      </c>
      <c r="E131" t="s">
        <v>34</v>
      </c>
      <c r="F131">
        <v>1</v>
      </c>
      <c r="G131" t="str">
        <f t="shared" ref="G131:G247" si="2">CONCATENATE(B131, "-",C131, "-", D131, "-", F131)</f>
        <v>M0111-B-51-1</v>
      </c>
      <c r="H131">
        <v>161.36000000000001</v>
      </c>
      <c r="I131">
        <v>161.96</v>
      </c>
    </row>
    <row r="132" spans="1:9" x14ac:dyDescent="0.3">
      <c r="A132">
        <v>501</v>
      </c>
      <c r="B132" t="s">
        <v>45</v>
      </c>
      <c r="C132" t="s">
        <v>36</v>
      </c>
      <c r="D132">
        <v>52</v>
      </c>
      <c r="E132" t="s">
        <v>34</v>
      </c>
      <c r="F132">
        <v>1</v>
      </c>
      <c r="G132" t="str">
        <f t="shared" si="2"/>
        <v>M0111-B-52-1</v>
      </c>
      <c r="H132">
        <v>162.06</v>
      </c>
      <c r="I132">
        <v>162.32</v>
      </c>
    </row>
    <row r="133" spans="1:9" x14ac:dyDescent="0.3">
      <c r="A133">
        <v>501</v>
      </c>
      <c r="B133" t="s">
        <v>45</v>
      </c>
      <c r="C133" t="s">
        <v>36</v>
      </c>
      <c r="D133">
        <v>53</v>
      </c>
      <c r="E133" t="s">
        <v>34</v>
      </c>
      <c r="F133">
        <v>1</v>
      </c>
      <c r="G133" t="str">
        <f t="shared" si="2"/>
        <v>M0111-B-53-1</v>
      </c>
      <c r="H133">
        <v>163.84</v>
      </c>
      <c r="I133">
        <v>164.1</v>
      </c>
    </row>
    <row r="134" spans="1:9" x14ac:dyDescent="0.3">
      <c r="A134">
        <v>501</v>
      </c>
      <c r="B134" t="s">
        <v>45</v>
      </c>
      <c r="C134" t="s">
        <v>36</v>
      </c>
      <c r="D134">
        <v>54</v>
      </c>
      <c r="E134" t="s">
        <v>34</v>
      </c>
      <c r="F134">
        <v>1</v>
      </c>
      <c r="G134" t="str">
        <f t="shared" si="2"/>
        <v>M0111-B-54-1</v>
      </c>
      <c r="H134">
        <v>165.46</v>
      </c>
      <c r="I134">
        <v>165.84</v>
      </c>
    </row>
    <row r="135" spans="1:9" x14ac:dyDescent="0.3">
      <c r="A135">
        <v>501</v>
      </c>
      <c r="B135" t="s">
        <v>45</v>
      </c>
      <c r="C135" t="s">
        <v>36</v>
      </c>
      <c r="D135">
        <v>55</v>
      </c>
      <c r="E135" t="s">
        <v>34</v>
      </c>
      <c r="F135">
        <v>1</v>
      </c>
      <c r="G135" t="str">
        <f t="shared" si="2"/>
        <v>M0111-B-55-1</v>
      </c>
      <c r="H135">
        <v>165.81</v>
      </c>
      <c r="I135">
        <v>166.31</v>
      </c>
    </row>
    <row r="136" spans="1:9" x14ac:dyDescent="0.3">
      <c r="A136">
        <v>501</v>
      </c>
      <c r="B136" t="s">
        <v>45</v>
      </c>
      <c r="C136" t="s">
        <v>36</v>
      </c>
      <c r="D136">
        <v>56</v>
      </c>
      <c r="E136" t="s">
        <v>34</v>
      </c>
      <c r="F136">
        <v>1</v>
      </c>
      <c r="G136" t="str">
        <f t="shared" si="2"/>
        <v>M0111-B-56-1</v>
      </c>
      <c r="H136">
        <v>166.21</v>
      </c>
      <c r="I136">
        <v>166.52</v>
      </c>
    </row>
    <row r="137" spans="1:9" x14ac:dyDescent="0.3">
      <c r="A137">
        <v>501</v>
      </c>
      <c r="B137" t="s">
        <v>45</v>
      </c>
      <c r="C137" t="s">
        <v>36</v>
      </c>
      <c r="D137">
        <v>57</v>
      </c>
      <c r="E137" t="s">
        <v>34</v>
      </c>
      <c r="F137">
        <v>1</v>
      </c>
      <c r="G137" t="str">
        <f t="shared" si="2"/>
        <v>M0111-B-57-1</v>
      </c>
      <c r="H137">
        <v>167.46</v>
      </c>
      <c r="I137">
        <v>168.16</v>
      </c>
    </row>
    <row r="138" spans="1:9" x14ac:dyDescent="0.3">
      <c r="A138">
        <v>501</v>
      </c>
      <c r="B138" t="s">
        <v>45</v>
      </c>
      <c r="C138" t="s">
        <v>36</v>
      </c>
      <c r="D138">
        <v>58</v>
      </c>
      <c r="E138" t="s">
        <v>34</v>
      </c>
      <c r="F138">
        <v>1</v>
      </c>
      <c r="G138" t="str">
        <f t="shared" si="2"/>
        <v>M0111-B-58-1</v>
      </c>
      <c r="H138">
        <v>168.51</v>
      </c>
      <c r="I138">
        <v>169.33</v>
      </c>
    </row>
    <row r="139" spans="1:9" x14ac:dyDescent="0.3">
      <c r="A139">
        <v>501</v>
      </c>
      <c r="B139" t="s">
        <v>45</v>
      </c>
      <c r="C139" t="s">
        <v>36</v>
      </c>
      <c r="D139">
        <v>59</v>
      </c>
      <c r="E139" t="s">
        <v>34</v>
      </c>
      <c r="F139">
        <v>1</v>
      </c>
      <c r="G139" t="str">
        <f t="shared" si="2"/>
        <v>M0111-B-59-1</v>
      </c>
      <c r="H139">
        <v>169.51</v>
      </c>
      <c r="I139">
        <v>170.22</v>
      </c>
    </row>
    <row r="140" spans="1:9" x14ac:dyDescent="0.3">
      <c r="A140">
        <v>501</v>
      </c>
      <c r="B140" t="s">
        <v>45</v>
      </c>
      <c r="C140" t="s">
        <v>36</v>
      </c>
      <c r="D140">
        <v>59</v>
      </c>
      <c r="E140" t="s">
        <v>34</v>
      </c>
      <c r="F140">
        <v>2</v>
      </c>
      <c r="G140" t="str">
        <f t="shared" si="2"/>
        <v>M0111-B-59-2</v>
      </c>
      <c r="H140">
        <v>170.22</v>
      </c>
      <c r="I140">
        <v>170.76</v>
      </c>
    </row>
    <row r="141" spans="1:9" x14ac:dyDescent="0.3">
      <c r="A141">
        <v>501</v>
      </c>
      <c r="B141" t="s">
        <v>45</v>
      </c>
      <c r="C141" t="s">
        <v>36</v>
      </c>
      <c r="D141">
        <v>59</v>
      </c>
      <c r="E141" t="s">
        <v>34</v>
      </c>
      <c r="F141">
        <v>3</v>
      </c>
      <c r="G141" t="str">
        <f t="shared" si="2"/>
        <v>M0111-B-59-3</v>
      </c>
      <c r="H141">
        <v>170.76</v>
      </c>
      <c r="I141">
        <v>170.9</v>
      </c>
    </row>
    <row r="142" spans="1:9" x14ac:dyDescent="0.3">
      <c r="A142">
        <v>501</v>
      </c>
      <c r="B142" t="s">
        <v>45</v>
      </c>
      <c r="C142" t="s">
        <v>36</v>
      </c>
      <c r="D142">
        <v>60</v>
      </c>
      <c r="E142" t="s">
        <v>34</v>
      </c>
      <c r="F142">
        <v>1</v>
      </c>
      <c r="G142" t="str">
        <f t="shared" si="2"/>
        <v>M0111-B-60-1</v>
      </c>
      <c r="H142">
        <v>172.56</v>
      </c>
      <c r="I142">
        <v>173.28</v>
      </c>
    </row>
    <row r="143" spans="1:9" x14ac:dyDescent="0.3">
      <c r="A143">
        <v>501</v>
      </c>
      <c r="B143" t="s">
        <v>45</v>
      </c>
      <c r="C143" t="s">
        <v>36</v>
      </c>
      <c r="D143">
        <v>60</v>
      </c>
      <c r="E143" t="s">
        <v>34</v>
      </c>
      <c r="F143">
        <v>2</v>
      </c>
      <c r="G143" t="str">
        <f t="shared" si="2"/>
        <v>M0111-B-60-2</v>
      </c>
      <c r="H143">
        <v>173.28</v>
      </c>
      <c r="I143">
        <v>174.76</v>
      </c>
    </row>
    <row r="144" spans="1:9" x14ac:dyDescent="0.3">
      <c r="A144">
        <v>501</v>
      </c>
      <c r="B144" t="s">
        <v>45</v>
      </c>
      <c r="C144" t="s">
        <v>36</v>
      </c>
      <c r="D144">
        <v>60</v>
      </c>
      <c r="E144" t="s">
        <v>34</v>
      </c>
      <c r="F144">
        <v>3</v>
      </c>
      <c r="G144" t="str">
        <f t="shared" si="2"/>
        <v>M0111-B-60-3</v>
      </c>
      <c r="H144">
        <v>174.76</v>
      </c>
      <c r="I144">
        <v>175.58</v>
      </c>
    </row>
    <row r="145" spans="1:9" x14ac:dyDescent="0.3">
      <c r="A145">
        <v>501</v>
      </c>
      <c r="B145" t="s">
        <v>45</v>
      </c>
      <c r="C145" t="s">
        <v>36</v>
      </c>
      <c r="D145">
        <v>60</v>
      </c>
      <c r="E145" t="s">
        <v>34</v>
      </c>
      <c r="F145">
        <v>4</v>
      </c>
      <c r="G145" t="str">
        <f t="shared" si="2"/>
        <v>M0111-B-60-4</v>
      </c>
      <c r="H145">
        <v>175.58</v>
      </c>
      <c r="I145">
        <v>175.78</v>
      </c>
    </row>
    <row r="146" spans="1:9" x14ac:dyDescent="0.3">
      <c r="A146">
        <v>501</v>
      </c>
      <c r="B146" t="s">
        <v>45</v>
      </c>
      <c r="C146" t="s">
        <v>36</v>
      </c>
      <c r="D146">
        <v>61</v>
      </c>
      <c r="E146" t="s">
        <v>34</v>
      </c>
      <c r="F146">
        <v>1</v>
      </c>
      <c r="G146" t="str">
        <f t="shared" si="2"/>
        <v>M0111-B-61-1</v>
      </c>
      <c r="H146">
        <v>175.61</v>
      </c>
      <c r="I146">
        <v>177.11</v>
      </c>
    </row>
    <row r="147" spans="1:9" x14ac:dyDescent="0.3">
      <c r="A147">
        <v>501</v>
      </c>
      <c r="B147" t="s">
        <v>45</v>
      </c>
      <c r="C147" t="s">
        <v>36</v>
      </c>
      <c r="D147">
        <v>61</v>
      </c>
      <c r="E147" t="s">
        <v>34</v>
      </c>
      <c r="F147">
        <v>2</v>
      </c>
      <c r="G147" t="str">
        <f t="shared" si="2"/>
        <v>M0111-B-61-2</v>
      </c>
      <c r="H147">
        <v>177.11</v>
      </c>
      <c r="I147">
        <v>178.11</v>
      </c>
    </row>
    <row r="148" spans="1:9" x14ac:dyDescent="0.3">
      <c r="A148">
        <v>501</v>
      </c>
      <c r="B148" t="s">
        <v>45</v>
      </c>
      <c r="C148" t="s">
        <v>36</v>
      </c>
      <c r="D148">
        <v>61</v>
      </c>
      <c r="E148" t="s">
        <v>34</v>
      </c>
      <c r="F148">
        <v>3</v>
      </c>
      <c r="G148" t="str">
        <f t="shared" si="2"/>
        <v>M0111-B-61-3</v>
      </c>
      <c r="H148">
        <v>178.11</v>
      </c>
      <c r="I148">
        <v>178.68</v>
      </c>
    </row>
    <row r="149" spans="1:9" x14ac:dyDescent="0.3">
      <c r="A149">
        <v>501</v>
      </c>
      <c r="B149" t="s">
        <v>45</v>
      </c>
      <c r="C149" t="s">
        <v>36</v>
      </c>
      <c r="D149">
        <v>61</v>
      </c>
      <c r="E149" t="s">
        <v>34</v>
      </c>
      <c r="F149">
        <v>4</v>
      </c>
      <c r="G149" t="str">
        <f t="shared" si="2"/>
        <v>M0111-B-61-4</v>
      </c>
      <c r="H149">
        <v>178.68</v>
      </c>
      <c r="I149">
        <v>178.85</v>
      </c>
    </row>
    <row r="150" spans="1:9" x14ac:dyDescent="0.3">
      <c r="A150">
        <v>501</v>
      </c>
      <c r="B150" t="s">
        <v>45</v>
      </c>
      <c r="C150" t="s">
        <v>36</v>
      </c>
      <c r="D150">
        <v>62</v>
      </c>
      <c r="E150" t="s">
        <v>34</v>
      </c>
      <c r="F150">
        <v>1</v>
      </c>
      <c r="G150" t="str">
        <f t="shared" si="2"/>
        <v>M0111-B-62-1</v>
      </c>
      <c r="H150">
        <v>178.66</v>
      </c>
      <c r="I150">
        <v>180.16</v>
      </c>
    </row>
    <row r="151" spans="1:9" x14ac:dyDescent="0.3">
      <c r="A151">
        <v>501</v>
      </c>
      <c r="B151" t="s">
        <v>45</v>
      </c>
      <c r="C151" t="s">
        <v>36</v>
      </c>
      <c r="D151">
        <v>63</v>
      </c>
      <c r="E151" t="s">
        <v>34</v>
      </c>
      <c r="F151">
        <v>1</v>
      </c>
      <c r="G151" t="str">
        <f t="shared" si="2"/>
        <v>M0111-B-63-1</v>
      </c>
      <c r="H151">
        <v>181.71</v>
      </c>
      <c r="I151">
        <v>183.21</v>
      </c>
    </row>
    <row r="152" spans="1:9" x14ac:dyDescent="0.3">
      <c r="A152">
        <v>501</v>
      </c>
      <c r="B152" t="s">
        <v>45</v>
      </c>
      <c r="C152" t="s">
        <v>36</v>
      </c>
      <c r="D152">
        <v>63</v>
      </c>
      <c r="E152" t="s">
        <v>34</v>
      </c>
      <c r="F152">
        <v>2</v>
      </c>
      <c r="G152" t="str">
        <f t="shared" si="2"/>
        <v>M0111-B-63-2</v>
      </c>
      <c r="H152">
        <v>183.21</v>
      </c>
      <c r="I152">
        <v>184.21</v>
      </c>
    </row>
    <row r="153" spans="1:9" x14ac:dyDescent="0.3">
      <c r="A153">
        <v>501</v>
      </c>
      <c r="B153" t="s">
        <v>45</v>
      </c>
      <c r="C153" t="s">
        <v>36</v>
      </c>
      <c r="D153">
        <v>63</v>
      </c>
      <c r="E153" t="s">
        <v>34</v>
      </c>
      <c r="F153">
        <v>3</v>
      </c>
      <c r="G153" t="str">
        <f t="shared" si="2"/>
        <v>M0111-B-63-3</v>
      </c>
      <c r="H153">
        <v>184.21</v>
      </c>
      <c r="I153">
        <v>184.79</v>
      </c>
    </row>
    <row r="154" spans="1:9" x14ac:dyDescent="0.3">
      <c r="A154">
        <v>501</v>
      </c>
      <c r="B154" t="s">
        <v>45</v>
      </c>
      <c r="C154" t="s">
        <v>36</v>
      </c>
      <c r="D154">
        <v>63</v>
      </c>
      <c r="E154" t="s">
        <v>34</v>
      </c>
      <c r="F154">
        <v>4</v>
      </c>
      <c r="G154" t="str">
        <f t="shared" si="2"/>
        <v>M0111-B-63-4</v>
      </c>
      <c r="H154">
        <v>184.79</v>
      </c>
      <c r="I154">
        <v>184.92</v>
      </c>
    </row>
    <row r="155" spans="1:9" x14ac:dyDescent="0.3">
      <c r="A155">
        <v>501</v>
      </c>
      <c r="B155" t="s">
        <v>45</v>
      </c>
      <c r="C155" t="s">
        <v>36</v>
      </c>
      <c r="D155">
        <v>64</v>
      </c>
      <c r="E155" t="s">
        <v>34</v>
      </c>
      <c r="F155">
        <v>1</v>
      </c>
      <c r="G155" t="str">
        <f t="shared" si="2"/>
        <v>M0111-B-64-1</v>
      </c>
      <c r="H155">
        <v>184.76</v>
      </c>
      <c r="I155">
        <v>185.33</v>
      </c>
    </row>
    <row r="156" spans="1:9" x14ac:dyDescent="0.3">
      <c r="A156">
        <v>501</v>
      </c>
      <c r="B156" t="s">
        <v>45</v>
      </c>
      <c r="C156" t="s">
        <v>36</v>
      </c>
      <c r="D156">
        <v>64</v>
      </c>
      <c r="E156" t="s">
        <v>34</v>
      </c>
      <c r="F156">
        <v>2</v>
      </c>
      <c r="G156" t="str">
        <f t="shared" si="2"/>
        <v>M0111-B-64-2</v>
      </c>
      <c r="H156">
        <v>185.33</v>
      </c>
      <c r="I156">
        <v>185.66</v>
      </c>
    </row>
    <row r="157" spans="1:9" x14ac:dyDescent="0.3">
      <c r="A157">
        <v>501</v>
      </c>
      <c r="B157" t="s">
        <v>45</v>
      </c>
      <c r="C157" t="s">
        <v>36</v>
      </c>
      <c r="D157">
        <v>65</v>
      </c>
      <c r="E157" t="s">
        <v>34</v>
      </c>
      <c r="F157">
        <v>1</v>
      </c>
      <c r="G157" t="str">
        <f t="shared" si="2"/>
        <v>M0111-B-65-1</v>
      </c>
      <c r="H157">
        <v>187.81</v>
      </c>
      <c r="I157">
        <v>189.3</v>
      </c>
    </row>
    <row r="158" spans="1:9" x14ac:dyDescent="0.3">
      <c r="A158">
        <v>501</v>
      </c>
      <c r="B158" t="s">
        <v>45</v>
      </c>
      <c r="C158" t="s">
        <v>36</v>
      </c>
      <c r="D158">
        <v>65</v>
      </c>
      <c r="E158" t="s">
        <v>34</v>
      </c>
      <c r="F158">
        <v>2</v>
      </c>
      <c r="G158" t="str">
        <f t="shared" si="2"/>
        <v>M0111-B-65-2</v>
      </c>
      <c r="H158">
        <v>189.3</v>
      </c>
      <c r="I158">
        <v>190.22</v>
      </c>
    </row>
    <row r="159" spans="1:9" x14ac:dyDescent="0.3">
      <c r="A159">
        <v>501</v>
      </c>
      <c r="B159" t="s">
        <v>45</v>
      </c>
      <c r="C159" t="s">
        <v>36</v>
      </c>
      <c r="D159">
        <v>65</v>
      </c>
      <c r="E159" t="s">
        <v>34</v>
      </c>
      <c r="F159">
        <v>3</v>
      </c>
      <c r="G159" t="str">
        <f t="shared" si="2"/>
        <v>M0111-B-65-3</v>
      </c>
      <c r="H159">
        <v>190.22</v>
      </c>
      <c r="I159">
        <v>190.87</v>
      </c>
    </row>
    <row r="160" spans="1:9" x14ac:dyDescent="0.3">
      <c r="A160">
        <v>501</v>
      </c>
      <c r="B160" t="s">
        <v>45</v>
      </c>
      <c r="C160" t="s">
        <v>36</v>
      </c>
      <c r="D160">
        <v>65</v>
      </c>
      <c r="E160" t="s">
        <v>34</v>
      </c>
      <c r="F160">
        <v>4</v>
      </c>
      <c r="G160" t="str">
        <f t="shared" si="2"/>
        <v>M0111-B-65-4</v>
      </c>
      <c r="H160">
        <v>190.87</v>
      </c>
      <c r="I160">
        <v>190.98</v>
      </c>
    </row>
    <row r="161" spans="1:9" x14ac:dyDescent="0.3">
      <c r="A161">
        <v>501</v>
      </c>
      <c r="B161" t="s">
        <v>45</v>
      </c>
      <c r="C161" t="s">
        <v>36</v>
      </c>
      <c r="D161">
        <v>66</v>
      </c>
      <c r="E161" t="s">
        <v>34</v>
      </c>
      <c r="F161">
        <v>1</v>
      </c>
      <c r="G161" t="str">
        <f t="shared" si="2"/>
        <v>M0111-B-66-1</v>
      </c>
      <c r="H161">
        <v>190.86</v>
      </c>
      <c r="I161">
        <v>192.35</v>
      </c>
    </row>
    <row r="162" spans="1:9" x14ac:dyDescent="0.3">
      <c r="A162">
        <v>501</v>
      </c>
      <c r="B162" t="s">
        <v>45</v>
      </c>
      <c r="C162" t="s">
        <v>36</v>
      </c>
      <c r="D162">
        <v>66</v>
      </c>
      <c r="E162" t="s">
        <v>34</v>
      </c>
      <c r="F162">
        <v>2</v>
      </c>
      <c r="G162" t="str">
        <f t="shared" si="2"/>
        <v>M0111-B-66-2</v>
      </c>
      <c r="H162">
        <v>192.35</v>
      </c>
      <c r="I162">
        <v>193.25</v>
      </c>
    </row>
    <row r="163" spans="1:9" x14ac:dyDescent="0.3">
      <c r="A163">
        <v>501</v>
      </c>
      <c r="B163" t="s">
        <v>45</v>
      </c>
      <c r="C163" t="s">
        <v>36</v>
      </c>
      <c r="D163">
        <v>66</v>
      </c>
      <c r="E163" t="s">
        <v>34</v>
      </c>
      <c r="F163">
        <v>3</v>
      </c>
      <c r="G163" t="str">
        <f t="shared" si="2"/>
        <v>M0111-B-66-3</v>
      </c>
      <c r="H163">
        <v>193.25</v>
      </c>
      <c r="I163">
        <v>193.93</v>
      </c>
    </row>
    <row r="164" spans="1:9" x14ac:dyDescent="0.3">
      <c r="A164">
        <v>501</v>
      </c>
      <c r="B164" t="s">
        <v>45</v>
      </c>
      <c r="C164" t="s">
        <v>36</v>
      </c>
      <c r="D164">
        <v>66</v>
      </c>
      <c r="E164" t="s">
        <v>34</v>
      </c>
      <c r="F164">
        <v>4</v>
      </c>
      <c r="G164" t="str">
        <f t="shared" si="2"/>
        <v>M0111-B-66-4</v>
      </c>
      <c r="H164">
        <v>193.93</v>
      </c>
      <c r="I164">
        <v>194.05</v>
      </c>
    </row>
    <row r="165" spans="1:9" x14ac:dyDescent="0.3">
      <c r="A165">
        <v>501</v>
      </c>
      <c r="B165" t="s">
        <v>45</v>
      </c>
      <c r="C165" t="s">
        <v>36</v>
      </c>
      <c r="D165">
        <v>67</v>
      </c>
      <c r="E165" t="s">
        <v>34</v>
      </c>
      <c r="F165">
        <v>1</v>
      </c>
      <c r="G165" t="str">
        <f t="shared" si="2"/>
        <v>M0111-B-67-1</v>
      </c>
      <c r="H165">
        <v>193.91</v>
      </c>
      <c r="I165">
        <v>195.4</v>
      </c>
    </row>
    <row r="166" spans="1:9" x14ac:dyDescent="0.3">
      <c r="A166">
        <v>501</v>
      </c>
      <c r="B166" t="s">
        <v>45</v>
      </c>
      <c r="C166" t="s">
        <v>36</v>
      </c>
      <c r="D166">
        <v>67</v>
      </c>
      <c r="E166" t="s">
        <v>34</v>
      </c>
      <c r="F166">
        <v>2</v>
      </c>
      <c r="G166" t="str">
        <f t="shared" si="2"/>
        <v>M0111-B-67-2</v>
      </c>
      <c r="H166">
        <v>195.4</v>
      </c>
      <c r="I166">
        <v>196.23</v>
      </c>
    </row>
    <row r="167" spans="1:9" x14ac:dyDescent="0.3">
      <c r="A167">
        <v>501</v>
      </c>
      <c r="B167" t="s">
        <v>45</v>
      </c>
      <c r="C167" t="s">
        <v>36</v>
      </c>
      <c r="D167">
        <v>67</v>
      </c>
      <c r="E167" t="s">
        <v>34</v>
      </c>
      <c r="F167">
        <v>3</v>
      </c>
      <c r="G167" t="str">
        <f t="shared" si="2"/>
        <v>M0111-B-67-3</v>
      </c>
      <c r="H167">
        <v>196.23</v>
      </c>
      <c r="I167">
        <v>196.33</v>
      </c>
    </row>
    <row r="168" spans="1:9" x14ac:dyDescent="0.3">
      <c r="A168">
        <v>501</v>
      </c>
      <c r="B168" t="s">
        <v>45</v>
      </c>
      <c r="C168" t="s">
        <v>36</v>
      </c>
      <c r="D168">
        <v>68</v>
      </c>
      <c r="E168" t="s">
        <v>34</v>
      </c>
      <c r="F168">
        <v>1</v>
      </c>
      <c r="G168" t="str">
        <f t="shared" si="2"/>
        <v>M0111-B-68-1</v>
      </c>
      <c r="H168">
        <v>196.96</v>
      </c>
      <c r="I168">
        <v>198.46</v>
      </c>
    </row>
    <row r="169" spans="1:9" x14ac:dyDescent="0.3">
      <c r="A169">
        <v>501</v>
      </c>
      <c r="B169" t="s">
        <v>45</v>
      </c>
      <c r="C169" t="s">
        <v>36</v>
      </c>
      <c r="D169">
        <v>68</v>
      </c>
      <c r="E169" t="s">
        <v>34</v>
      </c>
      <c r="F169">
        <v>2</v>
      </c>
      <c r="G169" t="str">
        <f t="shared" si="2"/>
        <v>M0111-B-68-2</v>
      </c>
      <c r="H169">
        <v>198.46</v>
      </c>
      <c r="I169">
        <v>199.67</v>
      </c>
    </row>
    <row r="170" spans="1:9" x14ac:dyDescent="0.3">
      <c r="A170">
        <v>501</v>
      </c>
      <c r="B170" t="s">
        <v>45</v>
      </c>
      <c r="C170" t="s">
        <v>36</v>
      </c>
      <c r="D170">
        <v>69</v>
      </c>
      <c r="E170" t="s">
        <v>34</v>
      </c>
      <c r="F170">
        <v>1</v>
      </c>
      <c r="G170" t="str">
        <f t="shared" si="2"/>
        <v>M0111-B-69-1</v>
      </c>
      <c r="H170">
        <v>200.01</v>
      </c>
      <c r="I170">
        <v>201.51</v>
      </c>
    </row>
    <row r="171" spans="1:9" x14ac:dyDescent="0.3">
      <c r="A171">
        <v>501</v>
      </c>
      <c r="B171" t="s">
        <v>45</v>
      </c>
      <c r="C171" t="s">
        <v>36</v>
      </c>
      <c r="D171">
        <v>69</v>
      </c>
      <c r="E171" t="s">
        <v>34</v>
      </c>
      <c r="F171">
        <v>2</v>
      </c>
      <c r="G171" t="str">
        <f t="shared" si="2"/>
        <v>M0111-B-69-2</v>
      </c>
      <c r="H171">
        <v>201.51</v>
      </c>
      <c r="I171">
        <v>202.99</v>
      </c>
    </row>
    <row r="172" spans="1:9" x14ac:dyDescent="0.3">
      <c r="A172">
        <v>501</v>
      </c>
      <c r="B172" t="s">
        <v>45</v>
      </c>
      <c r="C172" t="s">
        <v>36</v>
      </c>
      <c r="D172">
        <v>70</v>
      </c>
      <c r="E172" t="s">
        <v>34</v>
      </c>
      <c r="F172">
        <v>1</v>
      </c>
      <c r="G172" t="str">
        <f t="shared" si="2"/>
        <v>M0111-B-70-1</v>
      </c>
      <c r="H172">
        <v>203.06</v>
      </c>
      <c r="I172">
        <v>204.32</v>
      </c>
    </row>
    <row r="173" spans="1:9" x14ac:dyDescent="0.3">
      <c r="A173">
        <v>501</v>
      </c>
      <c r="B173" t="s">
        <v>45</v>
      </c>
      <c r="C173" t="s">
        <v>36</v>
      </c>
      <c r="D173">
        <v>70</v>
      </c>
      <c r="E173" t="s">
        <v>34</v>
      </c>
      <c r="F173">
        <v>2</v>
      </c>
      <c r="G173" t="str">
        <f t="shared" si="2"/>
        <v>M0111-B-70-2</v>
      </c>
      <c r="H173">
        <v>204.32</v>
      </c>
      <c r="I173">
        <v>204.5</v>
      </c>
    </row>
    <row r="174" spans="1:9" x14ac:dyDescent="0.3">
      <c r="A174">
        <v>501</v>
      </c>
      <c r="B174" t="s">
        <v>45</v>
      </c>
      <c r="C174" t="s">
        <v>36</v>
      </c>
      <c r="D174">
        <v>71</v>
      </c>
      <c r="E174" t="s">
        <v>34</v>
      </c>
      <c r="F174">
        <v>1</v>
      </c>
      <c r="G174" t="str">
        <f t="shared" si="2"/>
        <v>M0111-B-71-1</v>
      </c>
      <c r="H174">
        <v>206.11</v>
      </c>
      <c r="I174">
        <v>207.29</v>
      </c>
    </row>
    <row r="175" spans="1:9" x14ac:dyDescent="0.3">
      <c r="A175">
        <v>501</v>
      </c>
      <c r="B175" t="s">
        <v>45</v>
      </c>
      <c r="C175" t="s">
        <v>36</v>
      </c>
      <c r="D175">
        <v>72</v>
      </c>
      <c r="E175" t="s">
        <v>34</v>
      </c>
      <c r="F175">
        <v>1</v>
      </c>
      <c r="G175" t="str">
        <f t="shared" si="2"/>
        <v>M0111-B-72-1</v>
      </c>
      <c r="H175">
        <v>207.33</v>
      </c>
      <c r="I175">
        <v>208.46</v>
      </c>
    </row>
    <row r="176" spans="1:9" x14ac:dyDescent="0.3">
      <c r="A176">
        <v>501</v>
      </c>
      <c r="B176" t="s">
        <v>45</v>
      </c>
      <c r="C176" t="s">
        <v>36</v>
      </c>
      <c r="D176">
        <v>73</v>
      </c>
      <c r="E176" t="s">
        <v>34</v>
      </c>
      <c r="F176">
        <v>1</v>
      </c>
      <c r="G176" t="str">
        <f t="shared" si="2"/>
        <v>M0111-B-73-1</v>
      </c>
      <c r="H176">
        <v>209.83</v>
      </c>
      <c r="I176">
        <v>211.33</v>
      </c>
    </row>
    <row r="177" spans="1:9" x14ac:dyDescent="0.3">
      <c r="A177">
        <v>501</v>
      </c>
      <c r="B177" t="s">
        <v>45</v>
      </c>
      <c r="C177" t="s">
        <v>36</v>
      </c>
      <c r="D177">
        <v>73</v>
      </c>
      <c r="E177" t="s">
        <v>34</v>
      </c>
      <c r="F177">
        <v>2</v>
      </c>
      <c r="G177" t="str">
        <f t="shared" si="2"/>
        <v>M0111-B-73-2</v>
      </c>
      <c r="H177">
        <v>211.33</v>
      </c>
      <c r="I177">
        <v>212.38</v>
      </c>
    </row>
    <row r="178" spans="1:9" x14ac:dyDescent="0.3">
      <c r="A178">
        <v>501</v>
      </c>
      <c r="B178" t="s">
        <v>45</v>
      </c>
      <c r="C178" t="s">
        <v>36</v>
      </c>
      <c r="D178">
        <v>74</v>
      </c>
      <c r="E178" t="s">
        <v>34</v>
      </c>
      <c r="F178">
        <v>1</v>
      </c>
      <c r="G178" t="str">
        <f t="shared" si="2"/>
        <v>M0111-B-74-1</v>
      </c>
      <c r="H178">
        <v>212.88</v>
      </c>
      <c r="I178">
        <v>213.67</v>
      </c>
    </row>
    <row r="179" spans="1:9" x14ac:dyDescent="0.3">
      <c r="A179">
        <v>501</v>
      </c>
      <c r="B179" t="s">
        <v>45</v>
      </c>
      <c r="C179" t="s">
        <v>36</v>
      </c>
      <c r="D179">
        <v>75</v>
      </c>
      <c r="E179" t="s">
        <v>34</v>
      </c>
      <c r="F179">
        <v>1</v>
      </c>
      <c r="G179" t="str">
        <f t="shared" si="2"/>
        <v>M0111-B-75-1</v>
      </c>
      <c r="H179">
        <v>215.33</v>
      </c>
      <c r="I179">
        <v>216.1</v>
      </c>
    </row>
    <row r="180" spans="1:9" x14ac:dyDescent="0.3">
      <c r="A180">
        <v>501</v>
      </c>
      <c r="B180" t="s">
        <v>45</v>
      </c>
      <c r="C180" t="s">
        <v>36</v>
      </c>
      <c r="D180">
        <v>78</v>
      </c>
      <c r="E180" t="s">
        <v>34</v>
      </c>
      <c r="F180">
        <v>1</v>
      </c>
      <c r="G180" t="str">
        <f t="shared" si="2"/>
        <v>M0111-B-78-1</v>
      </c>
      <c r="H180">
        <v>219.93</v>
      </c>
      <c r="I180">
        <v>220.62</v>
      </c>
    </row>
    <row r="181" spans="1:9" x14ac:dyDescent="0.3">
      <c r="A181">
        <v>501</v>
      </c>
      <c r="B181" t="s">
        <v>45</v>
      </c>
      <c r="C181" t="s">
        <v>36</v>
      </c>
      <c r="D181">
        <v>81</v>
      </c>
      <c r="E181" t="s">
        <v>34</v>
      </c>
      <c r="F181">
        <v>1</v>
      </c>
      <c r="G181" t="str">
        <f t="shared" si="2"/>
        <v>M0111-B-81-1</v>
      </c>
      <c r="H181">
        <v>224.09</v>
      </c>
      <c r="I181">
        <v>224.42</v>
      </c>
    </row>
    <row r="182" spans="1:9" x14ac:dyDescent="0.3">
      <c r="A182">
        <v>501</v>
      </c>
      <c r="B182" t="s">
        <v>45</v>
      </c>
      <c r="C182" t="s">
        <v>36</v>
      </c>
      <c r="D182">
        <v>82</v>
      </c>
      <c r="E182" t="s">
        <v>34</v>
      </c>
      <c r="F182">
        <v>1</v>
      </c>
      <c r="G182" t="str">
        <f t="shared" si="2"/>
        <v>M0111-B-82-1</v>
      </c>
      <c r="H182">
        <v>224.58</v>
      </c>
      <c r="I182">
        <v>225.42</v>
      </c>
    </row>
    <row r="183" spans="1:9" x14ac:dyDescent="0.3">
      <c r="A183">
        <v>501</v>
      </c>
      <c r="B183" t="s">
        <v>45</v>
      </c>
      <c r="C183" t="s">
        <v>36</v>
      </c>
      <c r="D183">
        <v>83</v>
      </c>
      <c r="E183" t="s">
        <v>34</v>
      </c>
      <c r="F183">
        <v>1</v>
      </c>
      <c r="G183" t="str">
        <f t="shared" si="2"/>
        <v>M0111-B-83-1</v>
      </c>
      <c r="H183">
        <v>224.58</v>
      </c>
      <c r="I183">
        <v>225.04</v>
      </c>
    </row>
    <row r="184" spans="1:9" x14ac:dyDescent="0.3">
      <c r="A184">
        <v>501</v>
      </c>
      <c r="B184" t="s">
        <v>45</v>
      </c>
      <c r="C184" t="s">
        <v>36</v>
      </c>
      <c r="D184">
        <v>84</v>
      </c>
      <c r="E184" t="s">
        <v>34</v>
      </c>
      <c r="F184">
        <v>1</v>
      </c>
      <c r="G184" t="str">
        <f t="shared" si="2"/>
        <v>M0111-B-84-1</v>
      </c>
      <c r="H184">
        <v>227.63</v>
      </c>
      <c r="I184">
        <v>228.63</v>
      </c>
    </row>
    <row r="185" spans="1:9" x14ac:dyDescent="0.3">
      <c r="A185">
        <v>501</v>
      </c>
      <c r="B185" t="s">
        <v>45</v>
      </c>
      <c r="C185" t="s">
        <v>36</v>
      </c>
      <c r="D185">
        <v>84</v>
      </c>
      <c r="E185" t="s">
        <v>34</v>
      </c>
      <c r="F185">
        <v>2</v>
      </c>
      <c r="G185" t="str">
        <f t="shared" si="2"/>
        <v>M0111-B-84-2</v>
      </c>
      <c r="H185">
        <v>228.63</v>
      </c>
      <c r="I185">
        <v>229.24</v>
      </c>
    </row>
    <row r="186" spans="1:9" x14ac:dyDescent="0.3">
      <c r="A186">
        <v>501</v>
      </c>
      <c r="B186" t="s">
        <v>45</v>
      </c>
      <c r="C186" t="s">
        <v>36</v>
      </c>
      <c r="D186">
        <v>85</v>
      </c>
      <c r="E186" t="s">
        <v>34</v>
      </c>
      <c r="F186">
        <v>1</v>
      </c>
      <c r="G186" t="str">
        <f t="shared" si="2"/>
        <v>M0111-B-85-1</v>
      </c>
      <c r="H186">
        <v>230.68</v>
      </c>
      <c r="I186">
        <v>231.08</v>
      </c>
    </row>
    <row r="187" spans="1:9" x14ac:dyDescent="0.3">
      <c r="A187">
        <v>501</v>
      </c>
      <c r="B187" t="s">
        <v>45</v>
      </c>
      <c r="C187" t="s">
        <v>36</v>
      </c>
      <c r="D187">
        <v>86</v>
      </c>
      <c r="E187" t="s">
        <v>34</v>
      </c>
      <c r="F187">
        <v>1</v>
      </c>
      <c r="G187" t="str">
        <f t="shared" si="2"/>
        <v>M0111-B-86-1</v>
      </c>
      <c r="H187">
        <v>230.68</v>
      </c>
      <c r="I187">
        <v>232.18</v>
      </c>
    </row>
    <row r="188" spans="1:9" x14ac:dyDescent="0.3">
      <c r="A188">
        <v>501</v>
      </c>
      <c r="B188" t="s">
        <v>45</v>
      </c>
      <c r="C188" t="s">
        <v>36</v>
      </c>
      <c r="D188">
        <v>86</v>
      </c>
      <c r="E188" t="s">
        <v>34</v>
      </c>
      <c r="F188">
        <v>2</v>
      </c>
      <c r="G188" t="str">
        <f t="shared" si="2"/>
        <v>M0111-B-86-2</v>
      </c>
      <c r="H188">
        <v>232.18</v>
      </c>
      <c r="I188">
        <v>233.49</v>
      </c>
    </row>
    <row r="189" spans="1:9" x14ac:dyDescent="0.3">
      <c r="A189">
        <v>501</v>
      </c>
      <c r="B189" t="s">
        <v>45</v>
      </c>
      <c r="C189" t="s">
        <v>36</v>
      </c>
      <c r="D189">
        <v>87</v>
      </c>
      <c r="E189" t="s">
        <v>34</v>
      </c>
      <c r="F189">
        <v>1</v>
      </c>
      <c r="G189" t="str">
        <f t="shared" si="2"/>
        <v>M0111-B-87-1</v>
      </c>
      <c r="H189">
        <v>233.73</v>
      </c>
      <c r="I189">
        <v>234.67</v>
      </c>
    </row>
    <row r="190" spans="1:9" x14ac:dyDescent="0.3">
      <c r="A190">
        <v>501</v>
      </c>
      <c r="B190" t="s">
        <v>45</v>
      </c>
      <c r="C190" t="s">
        <v>36</v>
      </c>
      <c r="D190">
        <v>88</v>
      </c>
      <c r="E190" t="s">
        <v>34</v>
      </c>
      <c r="F190">
        <v>1</v>
      </c>
      <c r="G190" t="str">
        <f t="shared" si="2"/>
        <v>M0111-B-88-1</v>
      </c>
      <c r="H190">
        <v>234.53</v>
      </c>
      <c r="I190">
        <v>235.75</v>
      </c>
    </row>
    <row r="191" spans="1:9" x14ac:dyDescent="0.3">
      <c r="A191">
        <v>501</v>
      </c>
      <c r="B191" t="s">
        <v>45</v>
      </c>
      <c r="C191" t="s">
        <v>36</v>
      </c>
      <c r="D191">
        <v>88</v>
      </c>
      <c r="E191" t="s">
        <v>34</v>
      </c>
      <c r="F191">
        <v>2</v>
      </c>
      <c r="G191" t="str">
        <f t="shared" si="2"/>
        <v>M0111-B-88-2</v>
      </c>
      <c r="H191">
        <v>235.75</v>
      </c>
      <c r="I191">
        <v>236.52</v>
      </c>
    </row>
    <row r="192" spans="1:9" x14ac:dyDescent="0.3">
      <c r="A192">
        <v>501</v>
      </c>
      <c r="B192" t="s">
        <v>45</v>
      </c>
      <c r="C192" t="s">
        <v>36</v>
      </c>
      <c r="D192">
        <v>89</v>
      </c>
      <c r="E192" t="s">
        <v>34</v>
      </c>
      <c r="F192">
        <v>1</v>
      </c>
      <c r="G192" t="str">
        <f t="shared" si="2"/>
        <v>M0111-B-89-1</v>
      </c>
      <c r="H192">
        <v>237.58</v>
      </c>
      <c r="I192">
        <v>239.08</v>
      </c>
    </row>
    <row r="193" spans="1:9" x14ac:dyDescent="0.3">
      <c r="A193">
        <v>501</v>
      </c>
      <c r="B193" t="s">
        <v>45</v>
      </c>
      <c r="C193" t="s">
        <v>36</v>
      </c>
      <c r="D193">
        <v>89</v>
      </c>
      <c r="E193" t="s">
        <v>34</v>
      </c>
      <c r="F193">
        <v>2</v>
      </c>
      <c r="G193" t="str">
        <f t="shared" si="2"/>
        <v>M0111-B-89-2</v>
      </c>
      <c r="H193">
        <v>239.08</v>
      </c>
      <c r="I193">
        <v>240.02</v>
      </c>
    </row>
    <row r="194" spans="1:9" x14ac:dyDescent="0.3">
      <c r="A194">
        <v>501</v>
      </c>
      <c r="B194" t="s">
        <v>45</v>
      </c>
      <c r="C194" t="s">
        <v>36</v>
      </c>
      <c r="D194">
        <v>92</v>
      </c>
      <c r="E194" t="s">
        <v>34</v>
      </c>
      <c r="F194">
        <v>1</v>
      </c>
      <c r="G194" t="str">
        <f t="shared" si="2"/>
        <v>M0111-B-92-1</v>
      </c>
      <c r="H194">
        <v>244.93</v>
      </c>
      <c r="I194">
        <v>245.35</v>
      </c>
    </row>
    <row r="195" spans="1:9" x14ac:dyDescent="0.3">
      <c r="A195">
        <v>501</v>
      </c>
      <c r="B195" t="s">
        <v>45</v>
      </c>
      <c r="C195" t="s">
        <v>36</v>
      </c>
      <c r="D195">
        <v>93</v>
      </c>
      <c r="E195" t="s">
        <v>34</v>
      </c>
      <c r="F195">
        <v>1</v>
      </c>
      <c r="G195" t="str">
        <f t="shared" si="2"/>
        <v>M0111-B-93-1</v>
      </c>
      <c r="H195">
        <v>245.28</v>
      </c>
      <c r="I195">
        <v>245.83</v>
      </c>
    </row>
    <row r="196" spans="1:9" x14ac:dyDescent="0.3">
      <c r="A196">
        <v>501</v>
      </c>
      <c r="B196" t="s">
        <v>45</v>
      </c>
      <c r="C196" t="s">
        <v>36</v>
      </c>
      <c r="D196">
        <v>93</v>
      </c>
      <c r="E196" t="s">
        <v>34</v>
      </c>
      <c r="F196">
        <v>2</v>
      </c>
      <c r="G196" t="str">
        <f t="shared" si="2"/>
        <v>M0111-B-93-2</v>
      </c>
      <c r="H196">
        <v>245.83</v>
      </c>
      <c r="I196">
        <v>245.92</v>
      </c>
    </row>
    <row r="197" spans="1:9" x14ac:dyDescent="0.3">
      <c r="A197">
        <v>501</v>
      </c>
      <c r="B197" t="s">
        <v>45</v>
      </c>
      <c r="C197" t="s">
        <v>36</v>
      </c>
      <c r="D197">
        <v>94</v>
      </c>
      <c r="E197" t="s">
        <v>34</v>
      </c>
      <c r="F197">
        <v>1</v>
      </c>
      <c r="G197" t="str">
        <f t="shared" si="2"/>
        <v>M0111-B-94-1</v>
      </c>
      <c r="H197">
        <v>246.73</v>
      </c>
      <c r="I197">
        <v>248.24</v>
      </c>
    </row>
    <row r="198" spans="1:9" x14ac:dyDescent="0.3">
      <c r="A198">
        <v>501</v>
      </c>
      <c r="B198" t="s">
        <v>45</v>
      </c>
      <c r="C198" t="s">
        <v>36</v>
      </c>
      <c r="D198">
        <v>94</v>
      </c>
      <c r="E198" t="s">
        <v>34</v>
      </c>
      <c r="F198">
        <v>2</v>
      </c>
      <c r="G198" t="str">
        <f t="shared" si="2"/>
        <v>M0111-B-94-2</v>
      </c>
      <c r="H198">
        <v>248.24</v>
      </c>
      <c r="I198">
        <v>249.44</v>
      </c>
    </row>
    <row r="199" spans="1:9" x14ac:dyDescent="0.3">
      <c r="A199">
        <v>501</v>
      </c>
      <c r="B199" t="s">
        <v>45</v>
      </c>
      <c r="C199" t="s">
        <v>36</v>
      </c>
      <c r="D199">
        <v>94</v>
      </c>
      <c r="E199" t="s">
        <v>34</v>
      </c>
      <c r="F199">
        <v>3</v>
      </c>
      <c r="G199" t="str">
        <f t="shared" si="2"/>
        <v>M0111-B-94-3</v>
      </c>
      <c r="H199">
        <v>249.44</v>
      </c>
      <c r="I199">
        <v>249.89</v>
      </c>
    </row>
    <row r="200" spans="1:9" x14ac:dyDescent="0.3">
      <c r="A200">
        <v>501</v>
      </c>
      <c r="B200" t="s">
        <v>45</v>
      </c>
      <c r="C200" t="s">
        <v>36</v>
      </c>
      <c r="D200">
        <v>95</v>
      </c>
      <c r="E200" t="s">
        <v>34</v>
      </c>
      <c r="F200">
        <v>1</v>
      </c>
      <c r="G200" t="str">
        <f t="shared" si="2"/>
        <v>M0111-B-95-1</v>
      </c>
      <c r="H200">
        <v>249.78</v>
      </c>
      <c r="I200">
        <v>250.78</v>
      </c>
    </row>
    <row r="201" spans="1:9" x14ac:dyDescent="0.3">
      <c r="A201">
        <v>501</v>
      </c>
      <c r="B201" t="s">
        <v>45</v>
      </c>
      <c r="C201" t="s">
        <v>36</v>
      </c>
      <c r="D201">
        <v>95</v>
      </c>
      <c r="E201" t="s">
        <v>34</v>
      </c>
      <c r="F201">
        <v>2</v>
      </c>
      <c r="G201" t="str">
        <f t="shared" si="2"/>
        <v>M0111-B-95-2</v>
      </c>
      <c r="H201">
        <v>250.78</v>
      </c>
      <c r="I201">
        <v>251.32</v>
      </c>
    </row>
    <row r="202" spans="1:9" x14ac:dyDescent="0.3">
      <c r="A202">
        <v>501</v>
      </c>
      <c r="B202" t="s">
        <v>45</v>
      </c>
      <c r="C202" t="s">
        <v>36</v>
      </c>
      <c r="D202">
        <v>96</v>
      </c>
      <c r="E202" t="s">
        <v>34</v>
      </c>
      <c r="F202">
        <v>1</v>
      </c>
      <c r="G202" t="str">
        <f t="shared" si="2"/>
        <v>M0111-B-96-1</v>
      </c>
      <c r="H202">
        <v>251.53</v>
      </c>
      <c r="I202">
        <v>252.38</v>
      </c>
    </row>
    <row r="203" spans="1:9" x14ac:dyDescent="0.3">
      <c r="A203">
        <v>501</v>
      </c>
      <c r="B203" t="s">
        <v>45</v>
      </c>
      <c r="C203" t="s">
        <v>36</v>
      </c>
      <c r="D203">
        <v>97</v>
      </c>
      <c r="E203" t="s">
        <v>34</v>
      </c>
      <c r="F203">
        <v>1</v>
      </c>
      <c r="G203" t="str">
        <f t="shared" si="2"/>
        <v>M0111-B-97-1</v>
      </c>
      <c r="H203">
        <v>252.83</v>
      </c>
      <c r="I203">
        <v>254.16</v>
      </c>
    </row>
    <row r="204" spans="1:9" x14ac:dyDescent="0.3">
      <c r="A204">
        <v>501</v>
      </c>
      <c r="B204" t="s">
        <v>45</v>
      </c>
      <c r="C204" t="s">
        <v>36</v>
      </c>
      <c r="D204">
        <v>98</v>
      </c>
      <c r="E204" t="s">
        <v>34</v>
      </c>
      <c r="F204">
        <v>1</v>
      </c>
      <c r="G204" t="str">
        <f t="shared" si="2"/>
        <v>M0111-B-98-1</v>
      </c>
      <c r="H204">
        <v>255.53</v>
      </c>
      <c r="I204">
        <v>256.27</v>
      </c>
    </row>
    <row r="205" spans="1:9" x14ac:dyDescent="0.3">
      <c r="A205">
        <v>501</v>
      </c>
      <c r="B205" t="s">
        <v>45</v>
      </c>
      <c r="C205" t="s">
        <v>36</v>
      </c>
      <c r="D205">
        <v>99</v>
      </c>
      <c r="E205" t="s">
        <v>34</v>
      </c>
      <c r="F205">
        <v>1</v>
      </c>
      <c r="G205" t="str">
        <f t="shared" si="2"/>
        <v>M0111-B-99-1</v>
      </c>
      <c r="H205">
        <v>256.27999999999997</v>
      </c>
      <c r="I205">
        <v>257.2</v>
      </c>
    </row>
    <row r="206" spans="1:9" x14ac:dyDescent="0.3">
      <c r="A206">
        <v>501</v>
      </c>
      <c r="B206" t="s">
        <v>45</v>
      </c>
      <c r="C206" t="s">
        <v>36</v>
      </c>
      <c r="D206">
        <v>100</v>
      </c>
      <c r="E206" t="s">
        <v>34</v>
      </c>
      <c r="F206">
        <v>1</v>
      </c>
      <c r="G206" t="str">
        <f t="shared" si="2"/>
        <v>M0111-B-100-1</v>
      </c>
      <c r="H206">
        <v>258.93</v>
      </c>
      <c r="I206">
        <v>260.43</v>
      </c>
    </row>
    <row r="207" spans="1:9" x14ac:dyDescent="0.3">
      <c r="A207">
        <v>501</v>
      </c>
      <c r="B207" t="s">
        <v>45</v>
      </c>
      <c r="C207" t="s">
        <v>36</v>
      </c>
      <c r="D207">
        <v>100</v>
      </c>
      <c r="E207" t="s">
        <v>34</v>
      </c>
      <c r="F207">
        <v>2</v>
      </c>
      <c r="G207" t="str">
        <f t="shared" si="2"/>
        <v>M0111-B-100-2</v>
      </c>
      <c r="H207">
        <v>260.43</v>
      </c>
      <c r="I207">
        <v>261.02</v>
      </c>
    </row>
    <row r="208" spans="1:9" x14ac:dyDescent="0.3">
      <c r="A208">
        <v>501</v>
      </c>
      <c r="B208" t="s">
        <v>45</v>
      </c>
      <c r="C208" t="s">
        <v>36</v>
      </c>
      <c r="D208">
        <v>101</v>
      </c>
      <c r="E208" t="s">
        <v>34</v>
      </c>
      <c r="F208">
        <v>1</v>
      </c>
      <c r="G208" t="str">
        <f t="shared" si="2"/>
        <v>M0111-B-101-1</v>
      </c>
      <c r="H208">
        <v>261.98</v>
      </c>
      <c r="I208">
        <v>263.45999999999998</v>
      </c>
    </row>
    <row r="209" spans="1:9" x14ac:dyDescent="0.3">
      <c r="A209">
        <v>501</v>
      </c>
      <c r="B209" t="s">
        <v>45</v>
      </c>
      <c r="C209" t="s">
        <v>36</v>
      </c>
      <c r="D209">
        <v>101</v>
      </c>
      <c r="E209" t="s">
        <v>34</v>
      </c>
      <c r="F209">
        <v>2</v>
      </c>
      <c r="G209" t="str">
        <f t="shared" si="2"/>
        <v>M0111-B-101-2</v>
      </c>
      <c r="H209">
        <v>263.45999999999998</v>
      </c>
      <c r="I209">
        <v>264.3</v>
      </c>
    </row>
    <row r="210" spans="1:9" x14ac:dyDescent="0.3">
      <c r="A210">
        <v>501</v>
      </c>
      <c r="B210" t="s">
        <v>45</v>
      </c>
      <c r="C210" t="s">
        <v>36</v>
      </c>
      <c r="D210">
        <v>102</v>
      </c>
      <c r="E210" t="s">
        <v>34</v>
      </c>
      <c r="F210">
        <v>1</v>
      </c>
      <c r="G210" t="str">
        <f t="shared" si="2"/>
        <v>M0111-B-102-1</v>
      </c>
      <c r="H210">
        <v>265.02999999999997</v>
      </c>
      <c r="I210">
        <v>265.93</v>
      </c>
    </row>
    <row r="211" spans="1:9" x14ac:dyDescent="0.3">
      <c r="A211">
        <v>501</v>
      </c>
      <c r="B211" t="s">
        <v>45</v>
      </c>
      <c r="C211" t="s">
        <v>36</v>
      </c>
      <c r="D211">
        <v>103</v>
      </c>
      <c r="E211" t="s">
        <v>34</v>
      </c>
      <c r="F211">
        <v>1</v>
      </c>
      <c r="G211" t="str">
        <f t="shared" si="2"/>
        <v>M0111-B-103-1</v>
      </c>
      <c r="H211">
        <v>268.08</v>
      </c>
      <c r="I211">
        <v>268.83999999999997</v>
      </c>
    </row>
    <row r="212" spans="1:9" x14ac:dyDescent="0.3">
      <c r="A212">
        <v>501</v>
      </c>
      <c r="B212" t="s">
        <v>45</v>
      </c>
      <c r="C212" t="s">
        <v>36</v>
      </c>
      <c r="D212">
        <v>103</v>
      </c>
      <c r="E212" t="s">
        <v>34</v>
      </c>
      <c r="F212">
        <v>2</v>
      </c>
      <c r="G212" t="str">
        <f t="shared" si="2"/>
        <v>M0111-B-103-2</v>
      </c>
      <c r="H212">
        <v>268.83999999999997</v>
      </c>
      <c r="I212">
        <v>270.33999999999997</v>
      </c>
    </row>
    <row r="213" spans="1:9" x14ac:dyDescent="0.3">
      <c r="A213">
        <v>501</v>
      </c>
      <c r="B213" t="s">
        <v>45</v>
      </c>
      <c r="C213" t="s">
        <v>36</v>
      </c>
      <c r="D213">
        <v>103</v>
      </c>
      <c r="E213" t="s">
        <v>34</v>
      </c>
      <c r="F213">
        <v>3</v>
      </c>
      <c r="G213" t="str">
        <f t="shared" si="2"/>
        <v>M0111-B-103-3</v>
      </c>
      <c r="H213">
        <v>270.33999999999997</v>
      </c>
      <c r="I213">
        <v>271.13</v>
      </c>
    </row>
    <row r="214" spans="1:9" x14ac:dyDescent="0.3">
      <c r="A214">
        <v>501</v>
      </c>
      <c r="B214" t="s">
        <v>45</v>
      </c>
      <c r="C214" t="s">
        <v>36</v>
      </c>
      <c r="D214">
        <v>103</v>
      </c>
      <c r="E214" t="s">
        <v>34</v>
      </c>
      <c r="F214">
        <v>4</v>
      </c>
      <c r="G214" t="str">
        <f t="shared" si="2"/>
        <v>M0111-B-103-4</v>
      </c>
      <c r="H214">
        <v>271.13</v>
      </c>
      <c r="I214">
        <v>271.2</v>
      </c>
    </row>
    <row r="215" spans="1:9" x14ac:dyDescent="0.3">
      <c r="A215">
        <v>501</v>
      </c>
      <c r="B215" t="s">
        <v>45</v>
      </c>
      <c r="C215" t="s">
        <v>36</v>
      </c>
      <c r="D215">
        <v>104</v>
      </c>
      <c r="E215" t="s">
        <v>34</v>
      </c>
      <c r="F215">
        <v>1</v>
      </c>
      <c r="G215" t="str">
        <f t="shared" si="2"/>
        <v>M0111-B-104-1</v>
      </c>
      <c r="H215">
        <v>271.13</v>
      </c>
      <c r="I215">
        <v>271.42</v>
      </c>
    </row>
    <row r="216" spans="1:9" x14ac:dyDescent="0.3">
      <c r="A216">
        <v>501</v>
      </c>
      <c r="B216" t="s">
        <v>45</v>
      </c>
      <c r="C216" t="s">
        <v>36</v>
      </c>
      <c r="D216">
        <v>104</v>
      </c>
      <c r="E216" t="s">
        <v>34</v>
      </c>
      <c r="F216">
        <v>2</v>
      </c>
      <c r="G216" t="str">
        <f t="shared" si="2"/>
        <v>M0111-B-104-2</v>
      </c>
      <c r="H216">
        <v>271.42</v>
      </c>
      <c r="I216">
        <v>272.92</v>
      </c>
    </row>
    <row r="217" spans="1:9" x14ac:dyDescent="0.3">
      <c r="A217">
        <v>501</v>
      </c>
      <c r="B217" t="s">
        <v>45</v>
      </c>
      <c r="C217" t="s">
        <v>36</v>
      </c>
      <c r="D217">
        <v>104</v>
      </c>
      <c r="E217" t="s">
        <v>34</v>
      </c>
      <c r="F217">
        <v>3</v>
      </c>
      <c r="G217" t="str">
        <f t="shared" si="2"/>
        <v>M0111-B-104-3</v>
      </c>
      <c r="H217">
        <v>272.92</v>
      </c>
      <c r="I217">
        <v>273.89999999999998</v>
      </c>
    </row>
    <row r="218" spans="1:9" x14ac:dyDescent="0.3">
      <c r="A218">
        <v>501</v>
      </c>
      <c r="B218" t="s">
        <v>45</v>
      </c>
      <c r="C218" t="s">
        <v>36</v>
      </c>
      <c r="D218">
        <v>105</v>
      </c>
      <c r="E218" t="s">
        <v>34</v>
      </c>
      <c r="F218">
        <v>1</v>
      </c>
      <c r="G218" t="str">
        <f t="shared" si="2"/>
        <v>M0111-B-105-1</v>
      </c>
      <c r="H218">
        <v>274.18</v>
      </c>
      <c r="I218">
        <v>274.66000000000003</v>
      </c>
    </row>
    <row r="219" spans="1:9" x14ac:dyDescent="0.3">
      <c r="A219">
        <v>501</v>
      </c>
      <c r="B219" t="s">
        <v>45</v>
      </c>
      <c r="C219" t="s">
        <v>36</v>
      </c>
      <c r="D219">
        <v>106</v>
      </c>
      <c r="E219" t="s">
        <v>34</v>
      </c>
      <c r="F219">
        <v>1</v>
      </c>
      <c r="G219" t="str">
        <f t="shared" si="2"/>
        <v>M0111-B-106-1</v>
      </c>
      <c r="H219">
        <v>275.18</v>
      </c>
      <c r="I219">
        <v>276.68</v>
      </c>
    </row>
    <row r="220" spans="1:9" x14ac:dyDescent="0.3">
      <c r="A220">
        <v>501</v>
      </c>
      <c r="B220" t="s">
        <v>45</v>
      </c>
      <c r="C220" t="s">
        <v>36</v>
      </c>
      <c r="D220">
        <v>106</v>
      </c>
      <c r="E220" t="s">
        <v>34</v>
      </c>
      <c r="F220">
        <v>2</v>
      </c>
      <c r="G220" t="str">
        <f t="shared" si="2"/>
        <v>M0111-B-106-2</v>
      </c>
      <c r="H220">
        <v>276.68</v>
      </c>
      <c r="I220">
        <v>277.47000000000003</v>
      </c>
    </row>
    <row r="221" spans="1:9" x14ac:dyDescent="0.3">
      <c r="A221">
        <v>501</v>
      </c>
      <c r="B221" t="s">
        <v>45</v>
      </c>
      <c r="C221" t="s">
        <v>36</v>
      </c>
      <c r="D221">
        <v>107</v>
      </c>
      <c r="E221" t="s">
        <v>34</v>
      </c>
      <c r="F221">
        <v>1</v>
      </c>
      <c r="G221" t="str">
        <f t="shared" si="2"/>
        <v>M0111-B-107-1</v>
      </c>
      <c r="H221">
        <v>277.23</v>
      </c>
      <c r="I221">
        <v>278.19</v>
      </c>
    </row>
    <row r="222" spans="1:9" x14ac:dyDescent="0.3">
      <c r="A222">
        <v>501</v>
      </c>
      <c r="B222" t="s">
        <v>45</v>
      </c>
      <c r="C222" t="s">
        <v>36</v>
      </c>
      <c r="D222">
        <v>108</v>
      </c>
      <c r="E222" t="s">
        <v>34</v>
      </c>
      <c r="F222">
        <v>1</v>
      </c>
      <c r="G222" t="str">
        <f t="shared" si="2"/>
        <v>M0111-B-108-1</v>
      </c>
      <c r="H222">
        <v>278.13</v>
      </c>
      <c r="I222">
        <v>278.51</v>
      </c>
    </row>
    <row r="223" spans="1:9" x14ac:dyDescent="0.3">
      <c r="A223">
        <v>501</v>
      </c>
      <c r="B223" t="s">
        <v>45</v>
      </c>
      <c r="C223" t="s">
        <v>36</v>
      </c>
      <c r="D223">
        <v>109</v>
      </c>
      <c r="E223" t="s">
        <v>34</v>
      </c>
      <c r="F223">
        <v>1</v>
      </c>
      <c r="G223" t="str">
        <f t="shared" si="2"/>
        <v>M0111-B-109-1</v>
      </c>
      <c r="H223">
        <v>278.38</v>
      </c>
      <c r="I223">
        <v>278.98</v>
      </c>
    </row>
    <row r="224" spans="1:9" x14ac:dyDescent="0.3">
      <c r="A224">
        <v>501</v>
      </c>
      <c r="B224" t="s">
        <v>45</v>
      </c>
      <c r="C224" t="s">
        <v>36</v>
      </c>
      <c r="D224">
        <v>110</v>
      </c>
      <c r="E224" t="s">
        <v>34</v>
      </c>
      <c r="F224">
        <v>1</v>
      </c>
      <c r="G224" t="str">
        <f t="shared" si="2"/>
        <v>M0111-B-110-1</v>
      </c>
      <c r="H224">
        <v>280.27999999999997</v>
      </c>
      <c r="I224">
        <v>280.5</v>
      </c>
    </row>
    <row r="225" spans="1:9" x14ac:dyDescent="0.3">
      <c r="A225">
        <v>501</v>
      </c>
      <c r="B225" t="s">
        <v>45</v>
      </c>
      <c r="C225" t="s">
        <v>36</v>
      </c>
      <c r="D225">
        <v>113</v>
      </c>
      <c r="E225" t="s">
        <v>34</v>
      </c>
      <c r="F225">
        <v>1</v>
      </c>
      <c r="G225" t="str">
        <f t="shared" si="2"/>
        <v>M0111-B-113-1</v>
      </c>
      <c r="H225">
        <v>281.52999999999997</v>
      </c>
      <c r="I225">
        <v>282.69</v>
      </c>
    </row>
    <row r="226" spans="1:9" x14ac:dyDescent="0.3">
      <c r="A226">
        <v>501</v>
      </c>
      <c r="B226" t="s">
        <v>45</v>
      </c>
      <c r="C226" t="s">
        <v>36</v>
      </c>
      <c r="D226">
        <v>114</v>
      </c>
      <c r="E226" t="s">
        <v>34</v>
      </c>
      <c r="F226">
        <v>1</v>
      </c>
      <c r="G226" t="str">
        <f t="shared" si="2"/>
        <v>M0111-B-114-1</v>
      </c>
      <c r="H226">
        <v>281.52999999999997</v>
      </c>
      <c r="I226">
        <v>282.54000000000002</v>
      </c>
    </row>
    <row r="227" spans="1:9" x14ac:dyDescent="0.3">
      <c r="A227">
        <v>501</v>
      </c>
      <c r="B227" t="s">
        <v>45</v>
      </c>
      <c r="C227" t="s">
        <v>36</v>
      </c>
      <c r="D227">
        <v>114</v>
      </c>
      <c r="E227" t="s">
        <v>34</v>
      </c>
      <c r="F227">
        <v>1</v>
      </c>
      <c r="G227" t="str">
        <f t="shared" si="2"/>
        <v>M0111-B-114-1</v>
      </c>
      <c r="H227">
        <v>282.54000000000002</v>
      </c>
      <c r="I227">
        <v>283.3</v>
      </c>
    </row>
    <row r="228" spans="1:9" x14ac:dyDescent="0.3">
      <c r="A228">
        <v>501</v>
      </c>
      <c r="B228" t="s">
        <v>45</v>
      </c>
      <c r="C228" t="s">
        <v>36</v>
      </c>
      <c r="D228">
        <v>115</v>
      </c>
      <c r="E228" t="s">
        <v>34</v>
      </c>
      <c r="F228">
        <v>2</v>
      </c>
      <c r="G228" t="str">
        <f t="shared" si="2"/>
        <v>M0111-B-115-2</v>
      </c>
      <c r="H228">
        <v>284.93</v>
      </c>
      <c r="I228">
        <v>286.38</v>
      </c>
    </row>
    <row r="229" spans="1:9" x14ac:dyDescent="0.3">
      <c r="A229">
        <v>501</v>
      </c>
      <c r="B229" t="s">
        <v>45</v>
      </c>
      <c r="C229" t="s">
        <v>36</v>
      </c>
      <c r="D229">
        <v>115</v>
      </c>
      <c r="E229" t="s">
        <v>34</v>
      </c>
      <c r="F229">
        <v>1</v>
      </c>
      <c r="G229" t="str">
        <f t="shared" si="2"/>
        <v>M0111-B-115-1</v>
      </c>
      <c r="H229">
        <v>284.93</v>
      </c>
      <c r="I229">
        <v>286.38</v>
      </c>
    </row>
    <row r="230" spans="1:9" x14ac:dyDescent="0.3">
      <c r="A230">
        <v>501</v>
      </c>
      <c r="B230" t="s">
        <v>45</v>
      </c>
      <c r="C230" t="s">
        <v>36</v>
      </c>
      <c r="D230">
        <v>116</v>
      </c>
      <c r="E230" t="s">
        <v>34</v>
      </c>
      <c r="F230">
        <v>2</v>
      </c>
      <c r="G230" t="str">
        <f t="shared" si="2"/>
        <v>M0111-B-116-2</v>
      </c>
      <c r="H230">
        <v>286.48</v>
      </c>
      <c r="I230">
        <v>287.99</v>
      </c>
    </row>
    <row r="231" spans="1:9" x14ac:dyDescent="0.3">
      <c r="A231">
        <v>501</v>
      </c>
      <c r="B231" t="s">
        <v>45</v>
      </c>
      <c r="C231" t="s">
        <v>36</v>
      </c>
      <c r="D231">
        <v>116</v>
      </c>
      <c r="E231" t="s">
        <v>34</v>
      </c>
      <c r="F231">
        <v>1</v>
      </c>
      <c r="G231" t="str">
        <f t="shared" si="2"/>
        <v>M0111-B-116-1</v>
      </c>
      <c r="H231">
        <v>287.99</v>
      </c>
      <c r="I231">
        <v>288.62</v>
      </c>
    </row>
    <row r="232" spans="1:9" x14ac:dyDescent="0.3">
      <c r="A232">
        <v>501</v>
      </c>
      <c r="B232" t="s">
        <v>45</v>
      </c>
      <c r="C232" t="s">
        <v>36</v>
      </c>
      <c r="D232">
        <v>116</v>
      </c>
      <c r="E232" t="s">
        <v>34</v>
      </c>
      <c r="F232">
        <v>2</v>
      </c>
      <c r="G232" t="str">
        <f t="shared" si="2"/>
        <v>M0111-B-116-2</v>
      </c>
      <c r="H232">
        <v>288.62</v>
      </c>
      <c r="I232">
        <v>288.77999999999997</v>
      </c>
    </row>
    <row r="233" spans="1:9" x14ac:dyDescent="0.3">
      <c r="A233">
        <v>501</v>
      </c>
      <c r="B233" t="s">
        <v>45</v>
      </c>
      <c r="C233" t="s">
        <v>36</v>
      </c>
      <c r="D233">
        <v>117</v>
      </c>
      <c r="E233" t="s">
        <v>34</v>
      </c>
      <c r="F233">
        <v>1</v>
      </c>
      <c r="G233" t="str">
        <f t="shared" si="2"/>
        <v>M0111-B-117-1</v>
      </c>
      <c r="H233">
        <v>289.33</v>
      </c>
      <c r="I233">
        <v>290.29000000000002</v>
      </c>
    </row>
    <row r="234" spans="1:9" x14ac:dyDescent="0.3">
      <c r="A234">
        <v>501</v>
      </c>
      <c r="B234" t="s">
        <v>45</v>
      </c>
      <c r="C234" t="s">
        <v>36</v>
      </c>
      <c r="D234">
        <v>119</v>
      </c>
      <c r="E234" t="s">
        <v>34</v>
      </c>
      <c r="F234">
        <v>1</v>
      </c>
      <c r="G234" t="str">
        <f t="shared" si="2"/>
        <v>M0111-B-119-1</v>
      </c>
      <c r="H234">
        <v>292.83</v>
      </c>
      <c r="I234">
        <v>293.49</v>
      </c>
    </row>
    <row r="235" spans="1:9" x14ac:dyDescent="0.3">
      <c r="A235">
        <v>501</v>
      </c>
      <c r="B235" t="s">
        <v>45</v>
      </c>
      <c r="C235" t="s">
        <v>36</v>
      </c>
      <c r="D235">
        <v>120</v>
      </c>
      <c r="E235" t="s">
        <v>34</v>
      </c>
      <c r="F235">
        <v>1</v>
      </c>
      <c r="G235" t="str">
        <f t="shared" si="2"/>
        <v>M0111-B-120-1</v>
      </c>
      <c r="H235">
        <v>295.63</v>
      </c>
      <c r="I235">
        <v>296.70999999999998</v>
      </c>
    </row>
    <row r="236" spans="1:9" x14ac:dyDescent="0.3">
      <c r="A236">
        <v>501</v>
      </c>
      <c r="B236" t="s">
        <v>45</v>
      </c>
      <c r="C236" t="s">
        <v>36</v>
      </c>
      <c r="D236">
        <v>121</v>
      </c>
      <c r="E236" t="s">
        <v>34</v>
      </c>
      <c r="F236">
        <v>1</v>
      </c>
      <c r="G236" t="str">
        <f t="shared" si="2"/>
        <v>M0111-B-121-1</v>
      </c>
      <c r="H236">
        <v>298.68</v>
      </c>
      <c r="I236">
        <v>299.68</v>
      </c>
    </row>
    <row r="237" spans="1:9" x14ac:dyDescent="0.3">
      <c r="A237">
        <v>501</v>
      </c>
      <c r="B237" t="s">
        <v>45</v>
      </c>
      <c r="C237" t="s">
        <v>36</v>
      </c>
      <c r="D237">
        <v>121</v>
      </c>
      <c r="E237" t="s">
        <v>34</v>
      </c>
      <c r="F237">
        <v>1</v>
      </c>
      <c r="G237" t="str">
        <f t="shared" si="2"/>
        <v>M0111-B-121-1</v>
      </c>
      <c r="H237">
        <v>299.68</v>
      </c>
      <c r="I237">
        <v>300.33999999999997</v>
      </c>
    </row>
    <row r="238" spans="1:9" x14ac:dyDescent="0.3">
      <c r="A238">
        <v>501</v>
      </c>
      <c r="B238" t="s">
        <v>45</v>
      </c>
      <c r="C238" t="s">
        <v>36</v>
      </c>
      <c r="D238">
        <v>122</v>
      </c>
      <c r="E238" t="s">
        <v>34</v>
      </c>
      <c r="F238">
        <v>2</v>
      </c>
      <c r="G238" t="str">
        <f t="shared" si="2"/>
        <v>M0111-B-122-2</v>
      </c>
      <c r="H238">
        <v>300.23</v>
      </c>
      <c r="I238">
        <v>301.14</v>
      </c>
    </row>
    <row r="239" spans="1:9" x14ac:dyDescent="0.3">
      <c r="A239">
        <v>501</v>
      </c>
      <c r="B239" t="s">
        <v>45</v>
      </c>
      <c r="C239" t="s">
        <v>36</v>
      </c>
      <c r="D239">
        <v>122</v>
      </c>
      <c r="E239" t="s">
        <v>34</v>
      </c>
      <c r="F239">
        <v>1</v>
      </c>
      <c r="G239" t="str">
        <f t="shared" si="2"/>
        <v>M0111-B-122-1</v>
      </c>
      <c r="H239">
        <v>301.14</v>
      </c>
      <c r="I239">
        <v>301.64999999999998</v>
      </c>
    </row>
    <row r="240" spans="1:9" x14ac:dyDescent="0.3">
      <c r="A240">
        <v>501</v>
      </c>
      <c r="B240" t="s">
        <v>45</v>
      </c>
      <c r="C240" t="s">
        <v>36</v>
      </c>
      <c r="D240">
        <v>125</v>
      </c>
      <c r="E240" t="s">
        <v>34</v>
      </c>
      <c r="F240">
        <v>1</v>
      </c>
      <c r="G240" t="str">
        <f t="shared" si="2"/>
        <v>M0111-B-125-1</v>
      </c>
      <c r="H240">
        <v>306.33</v>
      </c>
      <c r="I240">
        <v>306.8</v>
      </c>
    </row>
    <row r="241" spans="1:9" x14ac:dyDescent="0.3">
      <c r="A241">
        <v>501</v>
      </c>
      <c r="B241" t="s">
        <v>45</v>
      </c>
      <c r="C241" t="s">
        <v>36</v>
      </c>
      <c r="D241">
        <v>126</v>
      </c>
      <c r="E241" t="s">
        <v>34</v>
      </c>
      <c r="F241">
        <v>1</v>
      </c>
      <c r="G241" t="str">
        <f t="shared" si="2"/>
        <v>M0111-B-126-1</v>
      </c>
      <c r="H241">
        <v>307.08</v>
      </c>
      <c r="I241">
        <v>307.5</v>
      </c>
    </row>
    <row r="242" spans="1:9" x14ac:dyDescent="0.3">
      <c r="A242">
        <v>501</v>
      </c>
      <c r="B242" t="s">
        <v>45</v>
      </c>
      <c r="C242" t="s">
        <v>36</v>
      </c>
      <c r="D242">
        <v>127</v>
      </c>
      <c r="E242" t="s">
        <v>34</v>
      </c>
      <c r="F242">
        <v>1</v>
      </c>
      <c r="G242" t="str">
        <f t="shared" si="2"/>
        <v>M0111-B-127-1</v>
      </c>
      <c r="H242">
        <v>310.13</v>
      </c>
      <c r="I242">
        <v>311.13</v>
      </c>
    </row>
    <row r="243" spans="1:9" x14ac:dyDescent="0.3">
      <c r="A243">
        <v>501</v>
      </c>
      <c r="B243" t="s">
        <v>45</v>
      </c>
      <c r="C243" t="s">
        <v>36</v>
      </c>
      <c r="D243">
        <v>127</v>
      </c>
      <c r="E243" t="s">
        <v>34</v>
      </c>
      <c r="F243">
        <v>1</v>
      </c>
      <c r="G243" t="str">
        <f t="shared" si="2"/>
        <v>M0111-B-127-1</v>
      </c>
      <c r="H243">
        <v>311.13</v>
      </c>
      <c r="I243">
        <v>311.97000000000003</v>
      </c>
    </row>
    <row r="244" spans="1:9" x14ac:dyDescent="0.3">
      <c r="A244">
        <v>501</v>
      </c>
      <c r="B244" t="s">
        <v>45</v>
      </c>
      <c r="C244" t="s">
        <v>36</v>
      </c>
      <c r="D244">
        <v>128</v>
      </c>
      <c r="E244" t="s">
        <v>34</v>
      </c>
      <c r="F244">
        <v>2</v>
      </c>
      <c r="G244" t="str">
        <f t="shared" si="2"/>
        <v>M0111-B-128-2</v>
      </c>
      <c r="H244">
        <v>312.77999999999997</v>
      </c>
      <c r="I244">
        <v>314.29000000000002</v>
      </c>
    </row>
    <row r="245" spans="1:9" x14ac:dyDescent="0.3">
      <c r="A245">
        <v>501</v>
      </c>
      <c r="B245" t="s">
        <v>45</v>
      </c>
      <c r="C245" t="s">
        <v>36</v>
      </c>
      <c r="D245">
        <v>128</v>
      </c>
      <c r="E245" t="s">
        <v>34</v>
      </c>
      <c r="F245">
        <v>1</v>
      </c>
      <c r="G245" t="str">
        <f t="shared" si="2"/>
        <v>M0111-B-128-1</v>
      </c>
      <c r="H245">
        <v>314.29000000000002</v>
      </c>
      <c r="I245">
        <v>315.3</v>
      </c>
    </row>
    <row r="246" spans="1:9" x14ac:dyDescent="0.3">
      <c r="A246">
        <v>501</v>
      </c>
      <c r="B246" t="s">
        <v>45</v>
      </c>
      <c r="C246" t="s">
        <v>36</v>
      </c>
      <c r="D246">
        <v>128</v>
      </c>
      <c r="E246" t="s">
        <v>34</v>
      </c>
      <c r="F246">
        <v>2</v>
      </c>
      <c r="G246" t="str">
        <f t="shared" si="2"/>
        <v>M0111-B-128-2</v>
      </c>
      <c r="H246">
        <v>315.3</v>
      </c>
      <c r="I246">
        <v>315.95999999999998</v>
      </c>
    </row>
    <row r="247" spans="1:9" x14ac:dyDescent="0.3">
      <c r="A247">
        <v>501</v>
      </c>
      <c r="B247" t="s">
        <v>45</v>
      </c>
      <c r="C247" t="s">
        <v>36</v>
      </c>
      <c r="D247">
        <v>129</v>
      </c>
      <c r="E247" t="s">
        <v>34</v>
      </c>
      <c r="F247">
        <v>1</v>
      </c>
      <c r="G247" t="str">
        <f t="shared" si="2"/>
        <v>M0111-B-129-1</v>
      </c>
      <c r="H247">
        <v>315.83</v>
      </c>
      <c r="I247">
        <v>317.33</v>
      </c>
    </row>
    <row r="248" spans="1:9" x14ac:dyDescent="0.3">
      <c r="A248">
        <v>501</v>
      </c>
      <c r="B248" t="s">
        <v>45</v>
      </c>
      <c r="C248" t="s">
        <v>36</v>
      </c>
      <c r="D248">
        <v>129</v>
      </c>
      <c r="E248" t="s">
        <v>34</v>
      </c>
      <c r="F248">
        <v>2</v>
      </c>
      <c r="G248" t="str">
        <f t="shared" ref="G248:G311" si="3">CONCATENATE(B248, "-",C248, "-", D248, "-", F248)</f>
        <v>M0111-B-129-2</v>
      </c>
      <c r="H248">
        <v>317.33</v>
      </c>
      <c r="I248">
        <v>318.64</v>
      </c>
    </row>
    <row r="249" spans="1:9" x14ac:dyDescent="0.3">
      <c r="A249">
        <v>501</v>
      </c>
      <c r="B249" t="s">
        <v>45</v>
      </c>
      <c r="C249" t="s">
        <v>36</v>
      </c>
      <c r="D249">
        <v>130</v>
      </c>
      <c r="E249" t="s">
        <v>34</v>
      </c>
      <c r="F249">
        <v>1</v>
      </c>
      <c r="G249" t="str">
        <f t="shared" si="3"/>
        <v>M0111-B-130-1</v>
      </c>
      <c r="H249">
        <v>318.88</v>
      </c>
      <c r="I249">
        <v>320.38</v>
      </c>
    </row>
    <row r="250" spans="1:9" x14ac:dyDescent="0.3">
      <c r="A250">
        <v>501</v>
      </c>
      <c r="B250" t="s">
        <v>45</v>
      </c>
      <c r="C250" t="s">
        <v>36</v>
      </c>
      <c r="D250">
        <v>130</v>
      </c>
      <c r="E250" t="s">
        <v>34</v>
      </c>
      <c r="F250">
        <v>2</v>
      </c>
      <c r="G250" t="str">
        <f t="shared" si="3"/>
        <v>M0111-B-130-2</v>
      </c>
      <c r="H250">
        <v>320.38</v>
      </c>
      <c r="I250">
        <v>321.45999999999998</v>
      </c>
    </row>
    <row r="251" spans="1:9" x14ac:dyDescent="0.3">
      <c r="A251">
        <v>501</v>
      </c>
      <c r="B251" t="s">
        <v>45</v>
      </c>
      <c r="C251" t="s">
        <v>36</v>
      </c>
      <c r="D251">
        <v>131</v>
      </c>
      <c r="E251" t="s">
        <v>34</v>
      </c>
      <c r="F251">
        <v>1</v>
      </c>
      <c r="G251" t="str">
        <f t="shared" si="3"/>
        <v>M0111-B-131-1</v>
      </c>
      <c r="H251">
        <v>321.93</v>
      </c>
      <c r="I251">
        <v>322.47000000000003</v>
      </c>
    </row>
    <row r="252" spans="1:9" x14ac:dyDescent="0.3">
      <c r="A252">
        <v>501</v>
      </c>
      <c r="B252" t="s">
        <v>45</v>
      </c>
      <c r="C252" t="s">
        <v>36</v>
      </c>
      <c r="D252">
        <v>132</v>
      </c>
      <c r="E252" t="s">
        <v>34</v>
      </c>
      <c r="F252">
        <v>1</v>
      </c>
      <c r="G252" t="str">
        <f t="shared" si="3"/>
        <v>M0111-B-132-1</v>
      </c>
      <c r="H252">
        <v>323.83</v>
      </c>
      <c r="I252">
        <v>324.06</v>
      </c>
    </row>
    <row r="253" spans="1:9" x14ac:dyDescent="0.3">
      <c r="A253">
        <v>501</v>
      </c>
      <c r="B253" t="s">
        <v>45</v>
      </c>
      <c r="C253" t="s">
        <v>36</v>
      </c>
      <c r="D253">
        <v>133</v>
      </c>
      <c r="E253" t="s">
        <v>34</v>
      </c>
      <c r="F253">
        <v>1</v>
      </c>
      <c r="G253" t="str">
        <f t="shared" si="3"/>
        <v>M0111-B-133-1</v>
      </c>
      <c r="H253">
        <v>326.13</v>
      </c>
      <c r="I253">
        <v>327.63</v>
      </c>
    </row>
    <row r="254" spans="1:9" x14ac:dyDescent="0.3">
      <c r="A254">
        <v>501</v>
      </c>
      <c r="B254" t="s">
        <v>45</v>
      </c>
      <c r="C254" t="s">
        <v>36</v>
      </c>
      <c r="D254">
        <v>133</v>
      </c>
      <c r="E254" t="s">
        <v>34</v>
      </c>
      <c r="F254">
        <v>2</v>
      </c>
      <c r="G254" t="str">
        <f t="shared" si="3"/>
        <v>M0111-B-133-2</v>
      </c>
      <c r="H254">
        <v>327.63</v>
      </c>
      <c r="I254">
        <v>328.33</v>
      </c>
    </row>
    <row r="255" spans="1:9" x14ac:dyDescent="0.3">
      <c r="A255">
        <v>501</v>
      </c>
      <c r="B255" t="s">
        <v>45</v>
      </c>
      <c r="C255" t="s">
        <v>36</v>
      </c>
      <c r="D255">
        <v>134</v>
      </c>
      <c r="E255" t="s">
        <v>34</v>
      </c>
      <c r="F255">
        <v>1</v>
      </c>
      <c r="G255" t="str">
        <f t="shared" si="3"/>
        <v>M0111-B-134-1</v>
      </c>
      <c r="H255">
        <v>328.98</v>
      </c>
      <c r="I255">
        <v>329.69</v>
      </c>
    </row>
    <row r="256" spans="1:9" x14ac:dyDescent="0.3">
      <c r="A256">
        <v>501</v>
      </c>
      <c r="B256" t="s">
        <v>45</v>
      </c>
      <c r="C256" t="s">
        <v>36</v>
      </c>
      <c r="D256">
        <v>135</v>
      </c>
      <c r="E256" t="s">
        <v>34</v>
      </c>
      <c r="F256">
        <v>1</v>
      </c>
      <c r="G256" t="str">
        <f t="shared" si="3"/>
        <v>M0111-B-135-1</v>
      </c>
      <c r="H256">
        <v>330.83</v>
      </c>
      <c r="I256">
        <v>331.55</v>
      </c>
    </row>
    <row r="257" spans="1:9" x14ac:dyDescent="0.3">
      <c r="A257">
        <v>501</v>
      </c>
      <c r="B257" t="s">
        <v>45</v>
      </c>
      <c r="C257" t="s">
        <v>36</v>
      </c>
      <c r="D257">
        <v>137</v>
      </c>
      <c r="E257" t="s">
        <v>34</v>
      </c>
      <c r="F257">
        <v>1</v>
      </c>
      <c r="G257" t="str">
        <f t="shared" si="3"/>
        <v>M0111-B-137-1</v>
      </c>
      <c r="H257">
        <v>332.58</v>
      </c>
      <c r="I257">
        <v>333.22</v>
      </c>
    </row>
    <row r="258" spans="1:9" x14ac:dyDescent="0.3">
      <c r="A258">
        <v>501</v>
      </c>
      <c r="B258" t="s">
        <v>45</v>
      </c>
      <c r="C258" t="s">
        <v>36</v>
      </c>
      <c r="D258">
        <v>138</v>
      </c>
      <c r="E258" t="s">
        <v>34</v>
      </c>
      <c r="F258">
        <v>1</v>
      </c>
      <c r="G258" t="str">
        <f t="shared" si="3"/>
        <v>M0111-B-138-1</v>
      </c>
      <c r="H258">
        <v>334.98</v>
      </c>
      <c r="I258">
        <v>336.37</v>
      </c>
    </row>
    <row r="259" spans="1:9" x14ac:dyDescent="0.3">
      <c r="A259">
        <v>501</v>
      </c>
      <c r="B259" t="s">
        <v>45</v>
      </c>
      <c r="C259" t="s">
        <v>36</v>
      </c>
      <c r="D259">
        <v>139</v>
      </c>
      <c r="E259" t="s">
        <v>34</v>
      </c>
      <c r="F259">
        <v>1</v>
      </c>
      <c r="G259" t="str">
        <f t="shared" si="3"/>
        <v>M0111-B-139-1</v>
      </c>
      <c r="H259">
        <v>336.33</v>
      </c>
      <c r="I259">
        <v>337.24</v>
      </c>
    </row>
    <row r="260" spans="1:9" x14ac:dyDescent="0.3">
      <c r="A260">
        <v>501</v>
      </c>
      <c r="B260" t="s">
        <v>45</v>
      </c>
      <c r="C260" t="s">
        <v>36</v>
      </c>
      <c r="D260">
        <v>140</v>
      </c>
      <c r="E260" t="s">
        <v>34</v>
      </c>
      <c r="F260">
        <v>1</v>
      </c>
      <c r="G260" t="str">
        <f t="shared" si="3"/>
        <v>M0111-B-140-1</v>
      </c>
      <c r="H260">
        <v>338.03</v>
      </c>
      <c r="I260">
        <v>338.65</v>
      </c>
    </row>
    <row r="261" spans="1:9" x14ac:dyDescent="0.3">
      <c r="A261">
        <v>501</v>
      </c>
      <c r="B261" t="s">
        <v>45</v>
      </c>
      <c r="C261" t="s">
        <v>36</v>
      </c>
      <c r="D261">
        <v>141</v>
      </c>
      <c r="E261" t="s">
        <v>34</v>
      </c>
      <c r="F261">
        <v>1</v>
      </c>
      <c r="G261" t="str">
        <f t="shared" si="3"/>
        <v>M0111-B-141-1</v>
      </c>
      <c r="H261">
        <v>339.68</v>
      </c>
      <c r="I261">
        <v>339.81</v>
      </c>
    </row>
    <row r="262" spans="1:9" x14ac:dyDescent="0.3">
      <c r="A262">
        <v>501</v>
      </c>
      <c r="B262" t="s">
        <v>45</v>
      </c>
      <c r="C262" t="s">
        <v>36</v>
      </c>
      <c r="D262">
        <v>144</v>
      </c>
      <c r="E262" t="s">
        <v>34</v>
      </c>
      <c r="F262">
        <v>1</v>
      </c>
      <c r="G262" t="str">
        <f t="shared" si="3"/>
        <v>M0111-B-144-1</v>
      </c>
      <c r="H262">
        <v>344.43</v>
      </c>
      <c r="I262">
        <v>344.89</v>
      </c>
    </row>
    <row r="263" spans="1:9" x14ac:dyDescent="0.3">
      <c r="A263">
        <v>501</v>
      </c>
      <c r="B263" t="s">
        <v>45</v>
      </c>
      <c r="C263" t="s">
        <v>36</v>
      </c>
      <c r="D263">
        <v>146</v>
      </c>
      <c r="E263" t="s">
        <v>34</v>
      </c>
      <c r="F263">
        <v>1</v>
      </c>
      <c r="G263" t="str">
        <f t="shared" si="3"/>
        <v>M0111-B-146-1</v>
      </c>
      <c r="H263">
        <v>345.78</v>
      </c>
      <c r="I263">
        <v>345.82</v>
      </c>
    </row>
    <row r="264" spans="1:9" x14ac:dyDescent="0.3">
      <c r="A264">
        <v>501</v>
      </c>
      <c r="B264" t="s">
        <v>45</v>
      </c>
      <c r="C264" t="s">
        <v>36</v>
      </c>
      <c r="D264">
        <v>147</v>
      </c>
      <c r="E264" t="s">
        <v>34</v>
      </c>
      <c r="F264">
        <v>1</v>
      </c>
      <c r="G264" t="str">
        <f t="shared" si="3"/>
        <v>M0111-B-147-1</v>
      </c>
      <c r="H264">
        <v>346.13</v>
      </c>
      <c r="I264">
        <v>346.57</v>
      </c>
    </row>
    <row r="265" spans="1:9" x14ac:dyDescent="0.3">
      <c r="A265">
        <v>501</v>
      </c>
      <c r="B265" t="s">
        <v>45</v>
      </c>
      <c r="C265" t="s">
        <v>36</v>
      </c>
      <c r="D265">
        <v>149</v>
      </c>
      <c r="E265" t="s">
        <v>34</v>
      </c>
      <c r="F265">
        <v>1</v>
      </c>
      <c r="G265" t="str">
        <f t="shared" si="3"/>
        <v>M0111-B-149-1</v>
      </c>
      <c r="H265">
        <v>348.03</v>
      </c>
      <c r="I265">
        <v>349.15</v>
      </c>
    </row>
    <row r="266" spans="1:9" x14ac:dyDescent="0.3">
      <c r="A266">
        <v>501</v>
      </c>
      <c r="B266" t="s">
        <v>45</v>
      </c>
      <c r="C266" t="s">
        <v>36</v>
      </c>
      <c r="D266">
        <v>150</v>
      </c>
      <c r="E266" t="s">
        <v>34</v>
      </c>
      <c r="F266">
        <v>1</v>
      </c>
      <c r="G266" t="str">
        <f t="shared" si="3"/>
        <v>M0111-B-150-1</v>
      </c>
      <c r="H266">
        <v>349.03</v>
      </c>
      <c r="I266">
        <v>349.13</v>
      </c>
    </row>
    <row r="267" spans="1:9" x14ac:dyDescent="0.3">
      <c r="A267">
        <v>501</v>
      </c>
      <c r="B267" t="s">
        <v>45</v>
      </c>
      <c r="C267" t="s">
        <v>36</v>
      </c>
      <c r="D267">
        <v>151</v>
      </c>
      <c r="E267" t="s">
        <v>34</v>
      </c>
      <c r="F267">
        <v>1</v>
      </c>
      <c r="G267" t="str">
        <f t="shared" si="3"/>
        <v>M0111-B-151-1</v>
      </c>
      <c r="H267">
        <v>350.03</v>
      </c>
      <c r="I267">
        <v>350.67</v>
      </c>
    </row>
    <row r="268" spans="1:9" x14ac:dyDescent="0.3">
      <c r="A268">
        <v>501</v>
      </c>
      <c r="B268" t="s">
        <v>45</v>
      </c>
      <c r="C268" t="s">
        <v>36</v>
      </c>
      <c r="D268">
        <v>152</v>
      </c>
      <c r="E268" t="s">
        <v>34</v>
      </c>
      <c r="F268">
        <v>1</v>
      </c>
      <c r="G268" t="str">
        <f t="shared" si="3"/>
        <v>M0111-B-152-1</v>
      </c>
      <c r="H268">
        <v>351.28</v>
      </c>
      <c r="I268">
        <v>351.62</v>
      </c>
    </row>
    <row r="269" spans="1:9" x14ac:dyDescent="0.3">
      <c r="A269">
        <v>501</v>
      </c>
      <c r="B269" t="s">
        <v>45</v>
      </c>
      <c r="C269" t="s">
        <v>36</v>
      </c>
      <c r="D269">
        <v>154</v>
      </c>
      <c r="E269" t="s">
        <v>34</v>
      </c>
      <c r="F269">
        <v>1</v>
      </c>
      <c r="G269" t="str">
        <f t="shared" si="3"/>
        <v>M0111-B-154-1</v>
      </c>
      <c r="H269">
        <v>353.58</v>
      </c>
      <c r="I269">
        <v>353.81</v>
      </c>
    </row>
    <row r="270" spans="1:9" x14ac:dyDescent="0.3">
      <c r="A270">
        <v>501</v>
      </c>
      <c r="B270" t="s">
        <v>45</v>
      </c>
      <c r="C270" t="s">
        <v>36</v>
      </c>
      <c r="D270">
        <v>155</v>
      </c>
      <c r="E270" t="s">
        <v>34</v>
      </c>
      <c r="F270">
        <v>1</v>
      </c>
      <c r="G270" t="str">
        <f t="shared" si="3"/>
        <v>M0111-B-155-1</v>
      </c>
      <c r="H270">
        <v>355.55</v>
      </c>
      <c r="I270">
        <v>356.52</v>
      </c>
    </row>
    <row r="271" spans="1:9" x14ac:dyDescent="0.3">
      <c r="A271">
        <v>501</v>
      </c>
      <c r="B271" t="s">
        <v>45</v>
      </c>
      <c r="C271" t="s">
        <v>36</v>
      </c>
      <c r="D271">
        <v>156</v>
      </c>
      <c r="E271" t="s">
        <v>34</v>
      </c>
      <c r="F271">
        <v>1</v>
      </c>
      <c r="G271" t="str">
        <f t="shared" si="3"/>
        <v>M0111-B-156-1</v>
      </c>
      <c r="H271">
        <v>358.6</v>
      </c>
      <c r="I271">
        <v>358.75</v>
      </c>
    </row>
    <row r="272" spans="1:9" x14ac:dyDescent="0.3">
      <c r="A272">
        <v>501</v>
      </c>
      <c r="B272" t="s">
        <v>45</v>
      </c>
      <c r="C272" t="s">
        <v>36</v>
      </c>
      <c r="D272">
        <v>157</v>
      </c>
      <c r="E272" t="s">
        <v>34</v>
      </c>
      <c r="F272">
        <v>1</v>
      </c>
      <c r="G272" t="str">
        <f t="shared" si="3"/>
        <v>M0111-B-157-1</v>
      </c>
      <c r="H272">
        <v>360.83</v>
      </c>
      <c r="I272">
        <v>361.57</v>
      </c>
    </row>
    <row r="273" spans="1:9" x14ac:dyDescent="0.3">
      <c r="A273">
        <v>501</v>
      </c>
      <c r="B273" t="s">
        <v>45</v>
      </c>
      <c r="C273" t="s">
        <v>36</v>
      </c>
      <c r="D273">
        <v>158</v>
      </c>
      <c r="E273" t="s">
        <v>34</v>
      </c>
      <c r="F273">
        <v>1</v>
      </c>
      <c r="G273" t="str">
        <f t="shared" si="3"/>
        <v>M0111-B-158-1</v>
      </c>
      <c r="H273">
        <v>361.73</v>
      </c>
      <c r="I273">
        <v>362.35</v>
      </c>
    </row>
    <row r="274" spans="1:9" x14ac:dyDescent="0.3">
      <c r="A274">
        <v>501</v>
      </c>
      <c r="B274" t="s">
        <v>45</v>
      </c>
      <c r="C274" t="s">
        <v>36</v>
      </c>
      <c r="D274">
        <v>158</v>
      </c>
      <c r="E274" t="s">
        <v>34</v>
      </c>
      <c r="F274">
        <v>2</v>
      </c>
      <c r="G274" t="str">
        <f t="shared" si="3"/>
        <v>M0111-B-158-2</v>
      </c>
      <c r="H274">
        <v>362.35</v>
      </c>
      <c r="I274">
        <v>362.72</v>
      </c>
    </row>
    <row r="275" spans="1:9" x14ac:dyDescent="0.3">
      <c r="A275">
        <v>501</v>
      </c>
      <c r="B275" t="s">
        <v>45</v>
      </c>
      <c r="C275" t="s">
        <v>36</v>
      </c>
      <c r="D275">
        <v>159</v>
      </c>
      <c r="E275" t="s">
        <v>34</v>
      </c>
      <c r="F275">
        <v>1</v>
      </c>
      <c r="G275" t="str">
        <f t="shared" si="3"/>
        <v>M0111-B-159-1</v>
      </c>
      <c r="H275">
        <v>364.78</v>
      </c>
      <c r="I275">
        <v>365.38</v>
      </c>
    </row>
    <row r="276" spans="1:9" x14ac:dyDescent="0.3">
      <c r="A276">
        <v>501</v>
      </c>
      <c r="B276" t="s">
        <v>45</v>
      </c>
      <c r="C276" t="s">
        <v>36</v>
      </c>
      <c r="D276">
        <v>160</v>
      </c>
      <c r="E276" t="s">
        <v>34</v>
      </c>
      <c r="F276">
        <v>1</v>
      </c>
      <c r="G276" t="str">
        <f t="shared" si="3"/>
        <v>M0111-B-160-1</v>
      </c>
      <c r="H276">
        <v>366.08</v>
      </c>
      <c r="I276">
        <v>366.5</v>
      </c>
    </row>
    <row r="277" spans="1:9" x14ac:dyDescent="0.3">
      <c r="A277">
        <v>501</v>
      </c>
      <c r="B277" t="s">
        <v>45</v>
      </c>
      <c r="C277" t="s">
        <v>36</v>
      </c>
      <c r="D277">
        <v>161</v>
      </c>
      <c r="E277" t="s">
        <v>34</v>
      </c>
      <c r="F277">
        <v>1</v>
      </c>
      <c r="G277" t="str">
        <f t="shared" si="3"/>
        <v>M0111-B-161-1</v>
      </c>
      <c r="H277">
        <v>368.83</v>
      </c>
      <c r="I277">
        <v>369.83</v>
      </c>
    </row>
    <row r="278" spans="1:9" x14ac:dyDescent="0.3">
      <c r="A278">
        <v>501</v>
      </c>
      <c r="B278" t="s">
        <v>45</v>
      </c>
      <c r="C278" t="s">
        <v>36</v>
      </c>
      <c r="D278">
        <v>165</v>
      </c>
      <c r="E278" t="s">
        <v>34</v>
      </c>
      <c r="F278">
        <v>1</v>
      </c>
      <c r="G278" t="str">
        <f t="shared" si="3"/>
        <v>M0111-B-165-1</v>
      </c>
      <c r="H278">
        <v>377.98</v>
      </c>
      <c r="I278">
        <v>379.48</v>
      </c>
    </row>
    <row r="279" spans="1:9" x14ac:dyDescent="0.3">
      <c r="A279">
        <v>501</v>
      </c>
      <c r="B279" t="s">
        <v>45</v>
      </c>
      <c r="C279" t="s">
        <v>36</v>
      </c>
      <c r="D279">
        <v>165</v>
      </c>
      <c r="E279" t="s">
        <v>34</v>
      </c>
      <c r="F279">
        <v>2</v>
      </c>
      <c r="G279" t="str">
        <f t="shared" si="3"/>
        <v>M0111-B-165-2</v>
      </c>
      <c r="H279">
        <v>379.48</v>
      </c>
      <c r="I279">
        <v>379.91</v>
      </c>
    </row>
    <row r="280" spans="1:9" x14ac:dyDescent="0.3">
      <c r="A280">
        <v>501</v>
      </c>
      <c r="B280" t="s">
        <v>45</v>
      </c>
      <c r="C280" t="s">
        <v>36</v>
      </c>
      <c r="D280">
        <v>166</v>
      </c>
      <c r="E280" t="s">
        <v>34</v>
      </c>
      <c r="F280">
        <v>1</v>
      </c>
      <c r="G280" t="str">
        <f t="shared" si="3"/>
        <v>M0111-B-166-1</v>
      </c>
      <c r="H280">
        <v>381.03</v>
      </c>
      <c r="I280">
        <v>381.93</v>
      </c>
    </row>
    <row r="281" spans="1:9" x14ac:dyDescent="0.3">
      <c r="A281">
        <v>501</v>
      </c>
      <c r="B281" t="s">
        <v>45</v>
      </c>
      <c r="C281" t="s">
        <v>36</v>
      </c>
      <c r="D281">
        <v>168</v>
      </c>
      <c r="E281" t="s">
        <v>34</v>
      </c>
      <c r="F281">
        <v>1</v>
      </c>
      <c r="G281" t="str">
        <f t="shared" si="3"/>
        <v>M0111-B-168-1</v>
      </c>
      <c r="H281">
        <v>383.08</v>
      </c>
      <c r="I281">
        <v>383.25</v>
      </c>
    </row>
    <row r="282" spans="1:9" x14ac:dyDescent="0.3">
      <c r="A282">
        <v>501</v>
      </c>
      <c r="B282" t="s">
        <v>45</v>
      </c>
      <c r="C282" t="s">
        <v>36</v>
      </c>
      <c r="D282">
        <v>169</v>
      </c>
      <c r="E282" t="s">
        <v>34</v>
      </c>
      <c r="F282">
        <v>1</v>
      </c>
      <c r="G282" t="str">
        <f t="shared" si="3"/>
        <v>M0111-B-169-1</v>
      </c>
      <c r="H282">
        <v>384.08</v>
      </c>
      <c r="I282">
        <v>384.26</v>
      </c>
    </row>
    <row r="283" spans="1:9" x14ac:dyDescent="0.3">
      <c r="A283">
        <v>501</v>
      </c>
      <c r="B283" t="s">
        <v>45</v>
      </c>
      <c r="C283" t="s">
        <v>36</v>
      </c>
      <c r="D283">
        <v>171</v>
      </c>
      <c r="E283" t="s">
        <v>34</v>
      </c>
      <c r="F283">
        <v>1</v>
      </c>
      <c r="G283" t="str">
        <f t="shared" si="3"/>
        <v>M0111-B-171-1</v>
      </c>
      <c r="H283">
        <v>389.18</v>
      </c>
      <c r="I283">
        <v>389.3</v>
      </c>
    </row>
    <row r="284" spans="1:9" x14ac:dyDescent="0.3">
      <c r="A284">
        <v>501</v>
      </c>
      <c r="B284" t="s">
        <v>45</v>
      </c>
      <c r="C284" t="s">
        <v>37</v>
      </c>
      <c r="D284">
        <v>1</v>
      </c>
      <c r="E284" t="s">
        <v>46</v>
      </c>
      <c r="F284">
        <v>1</v>
      </c>
      <c r="G284" t="str">
        <f t="shared" si="3"/>
        <v>M0111-C-1-1</v>
      </c>
      <c r="H284">
        <v>45.56</v>
      </c>
      <c r="I284">
        <v>47.06</v>
      </c>
    </row>
    <row r="285" spans="1:9" x14ac:dyDescent="0.3">
      <c r="A285">
        <v>501</v>
      </c>
      <c r="B285" t="s">
        <v>45</v>
      </c>
      <c r="C285" t="s">
        <v>37</v>
      </c>
      <c r="D285">
        <v>1</v>
      </c>
      <c r="E285" t="s">
        <v>46</v>
      </c>
      <c r="F285">
        <v>2</v>
      </c>
      <c r="G285" t="str">
        <f t="shared" si="3"/>
        <v>M0111-C-1-2</v>
      </c>
      <c r="H285">
        <v>47.06</v>
      </c>
      <c r="I285">
        <v>47.67</v>
      </c>
    </row>
    <row r="286" spans="1:9" x14ac:dyDescent="0.3">
      <c r="A286">
        <v>501</v>
      </c>
      <c r="B286" t="s">
        <v>45</v>
      </c>
      <c r="C286" t="s">
        <v>37</v>
      </c>
      <c r="D286">
        <v>2</v>
      </c>
      <c r="E286" t="s">
        <v>46</v>
      </c>
      <c r="F286">
        <v>1</v>
      </c>
      <c r="G286" t="str">
        <f t="shared" si="3"/>
        <v>M0111-C-2-1</v>
      </c>
      <c r="H286">
        <v>47.67</v>
      </c>
      <c r="I286">
        <v>48.24</v>
      </c>
    </row>
    <row r="287" spans="1:9" x14ac:dyDescent="0.3">
      <c r="A287">
        <v>501</v>
      </c>
      <c r="B287" t="s">
        <v>45</v>
      </c>
      <c r="C287" t="s">
        <v>37</v>
      </c>
      <c r="D287">
        <v>2</v>
      </c>
      <c r="E287" t="s">
        <v>46</v>
      </c>
      <c r="F287">
        <v>2</v>
      </c>
      <c r="G287" t="str">
        <f t="shared" si="3"/>
        <v>M0111-C-2-2</v>
      </c>
      <c r="H287">
        <v>48.24</v>
      </c>
      <c r="I287">
        <v>48.56</v>
      </c>
    </row>
    <row r="288" spans="1:9" x14ac:dyDescent="0.3">
      <c r="A288">
        <v>501</v>
      </c>
      <c r="B288" t="s">
        <v>45</v>
      </c>
      <c r="C288" t="s">
        <v>37</v>
      </c>
      <c r="D288">
        <v>3</v>
      </c>
      <c r="E288" t="s">
        <v>46</v>
      </c>
      <c r="F288">
        <v>1</v>
      </c>
      <c r="G288" t="str">
        <f t="shared" si="3"/>
        <v>M0111-C-3-1</v>
      </c>
      <c r="H288">
        <v>48.56</v>
      </c>
      <c r="I288">
        <v>49.77</v>
      </c>
    </row>
    <row r="289" spans="1:9" x14ac:dyDescent="0.3">
      <c r="A289">
        <v>501</v>
      </c>
      <c r="B289" t="s">
        <v>45</v>
      </c>
      <c r="C289" t="s">
        <v>37</v>
      </c>
      <c r="D289">
        <v>3</v>
      </c>
      <c r="E289" t="s">
        <v>46</v>
      </c>
      <c r="F289">
        <v>2</v>
      </c>
      <c r="G289" t="str">
        <f t="shared" si="3"/>
        <v>M0111-C-3-2</v>
      </c>
      <c r="H289">
        <v>49.77</v>
      </c>
      <c r="I289">
        <v>50</v>
      </c>
    </row>
    <row r="290" spans="1:9" x14ac:dyDescent="0.3">
      <c r="A290">
        <v>501</v>
      </c>
      <c r="B290" t="s">
        <v>45</v>
      </c>
      <c r="C290" t="s">
        <v>37</v>
      </c>
      <c r="D290">
        <v>4</v>
      </c>
      <c r="E290" t="s">
        <v>46</v>
      </c>
      <c r="F290">
        <v>1</v>
      </c>
      <c r="G290" t="str">
        <f t="shared" si="3"/>
        <v>M0111-C-4-1</v>
      </c>
      <c r="H290">
        <v>50</v>
      </c>
      <c r="I290">
        <v>51.1</v>
      </c>
    </row>
    <row r="291" spans="1:9" x14ac:dyDescent="0.3">
      <c r="A291">
        <v>501</v>
      </c>
      <c r="B291" t="s">
        <v>45</v>
      </c>
      <c r="C291" t="s">
        <v>37</v>
      </c>
      <c r="D291">
        <v>5</v>
      </c>
      <c r="E291" t="s">
        <v>46</v>
      </c>
      <c r="F291">
        <v>1</v>
      </c>
      <c r="G291" t="str">
        <f t="shared" si="3"/>
        <v>M0111-C-5-1</v>
      </c>
      <c r="H291">
        <v>110</v>
      </c>
      <c r="I291">
        <v>110.77</v>
      </c>
    </row>
    <row r="292" spans="1:9" x14ac:dyDescent="0.3">
      <c r="A292">
        <v>501</v>
      </c>
      <c r="B292" t="s">
        <v>45</v>
      </c>
      <c r="C292" t="s">
        <v>37</v>
      </c>
      <c r="D292">
        <v>6</v>
      </c>
      <c r="E292" t="s">
        <v>46</v>
      </c>
      <c r="F292">
        <v>1</v>
      </c>
      <c r="G292" t="str">
        <f t="shared" si="3"/>
        <v>M0111-C-6-1</v>
      </c>
      <c r="H292">
        <v>111.36</v>
      </c>
      <c r="I292">
        <v>112.09</v>
      </c>
    </row>
    <row r="293" spans="1:9" x14ac:dyDescent="0.3">
      <c r="A293">
        <v>501</v>
      </c>
      <c r="B293" t="s">
        <v>45</v>
      </c>
      <c r="C293" t="s">
        <v>37</v>
      </c>
      <c r="D293">
        <v>6</v>
      </c>
      <c r="E293" t="s">
        <v>46</v>
      </c>
      <c r="F293">
        <v>2</v>
      </c>
      <c r="G293" t="str">
        <f t="shared" si="3"/>
        <v>M0111-C-6-2</v>
      </c>
      <c r="H293">
        <v>112.09</v>
      </c>
      <c r="I293">
        <v>112.66</v>
      </c>
    </row>
    <row r="294" spans="1:9" x14ac:dyDescent="0.3">
      <c r="A294">
        <v>501</v>
      </c>
      <c r="B294" t="s">
        <v>45</v>
      </c>
      <c r="C294" t="s">
        <v>37</v>
      </c>
      <c r="D294">
        <v>7</v>
      </c>
      <c r="E294" t="s">
        <v>34</v>
      </c>
      <c r="F294">
        <v>1</v>
      </c>
      <c r="G294" t="str">
        <f t="shared" si="3"/>
        <v>M0111-C-7-1</v>
      </c>
      <c r="H294">
        <v>120.36</v>
      </c>
      <c r="I294">
        <v>121.87</v>
      </c>
    </row>
    <row r="295" spans="1:9" x14ac:dyDescent="0.3">
      <c r="A295">
        <v>501</v>
      </c>
      <c r="B295" t="s">
        <v>45</v>
      </c>
      <c r="C295" t="s">
        <v>37</v>
      </c>
      <c r="D295">
        <v>7</v>
      </c>
      <c r="E295" t="s">
        <v>34</v>
      </c>
      <c r="F295">
        <v>2</v>
      </c>
      <c r="G295" t="str">
        <f t="shared" si="3"/>
        <v>M0111-C-7-2</v>
      </c>
      <c r="H295">
        <v>121.87</v>
      </c>
      <c r="I295">
        <v>123.29</v>
      </c>
    </row>
    <row r="296" spans="1:9" x14ac:dyDescent="0.3">
      <c r="A296">
        <v>501</v>
      </c>
      <c r="B296" t="s">
        <v>45</v>
      </c>
      <c r="C296" t="s">
        <v>37</v>
      </c>
      <c r="D296">
        <v>8</v>
      </c>
      <c r="E296" t="s">
        <v>34</v>
      </c>
      <c r="F296">
        <v>1</v>
      </c>
      <c r="G296" t="str">
        <f t="shared" si="3"/>
        <v>M0111-C-8-1</v>
      </c>
      <c r="H296">
        <v>125</v>
      </c>
      <c r="I296">
        <v>126.01</v>
      </c>
    </row>
    <row r="297" spans="1:9" x14ac:dyDescent="0.3">
      <c r="A297">
        <v>501</v>
      </c>
      <c r="B297" t="s">
        <v>45</v>
      </c>
      <c r="C297" t="s">
        <v>37</v>
      </c>
      <c r="D297">
        <v>8</v>
      </c>
      <c r="E297" t="s">
        <v>34</v>
      </c>
      <c r="F297">
        <v>2</v>
      </c>
      <c r="G297" t="str">
        <f t="shared" si="3"/>
        <v>M0111-C-8-2</v>
      </c>
      <c r="H297">
        <v>126.01</v>
      </c>
      <c r="I297">
        <v>126.45</v>
      </c>
    </row>
    <row r="298" spans="1:9" x14ac:dyDescent="0.3">
      <c r="A298">
        <v>501</v>
      </c>
      <c r="B298" t="s">
        <v>45</v>
      </c>
      <c r="C298" t="s">
        <v>37</v>
      </c>
      <c r="D298">
        <v>9</v>
      </c>
      <c r="E298" t="s">
        <v>34</v>
      </c>
      <c r="F298">
        <v>1</v>
      </c>
      <c r="G298" t="str">
        <f t="shared" si="3"/>
        <v>M0111-C-9-1</v>
      </c>
      <c r="H298">
        <v>126.36</v>
      </c>
      <c r="I298">
        <v>127.87</v>
      </c>
    </row>
    <row r="299" spans="1:9" x14ac:dyDescent="0.3">
      <c r="A299">
        <v>501</v>
      </c>
      <c r="B299" t="s">
        <v>45</v>
      </c>
      <c r="C299" t="s">
        <v>37</v>
      </c>
      <c r="D299">
        <v>9</v>
      </c>
      <c r="E299" t="s">
        <v>34</v>
      </c>
      <c r="F299">
        <v>2</v>
      </c>
      <c r="G299" t="str">
        <f t="shared" si="3"/>
        <v>M0111-C-9-2</v>
      </c>
      <c r="H299">
        <v>127.87</v>
      </c>
      <c r="I299">
        <v>129.19</v>
      </c>
    </row>
    <row r="300" spans="1:9" x14ac:dyDescent="0.3">
      <c r="A300">
        <v>501</v>
      </c>
      <c r="B300" t="s">
        <v>45</v>
      </c>
      <c r="C300" t="s">
        <v>37</v>
      </c>
      <c r="D300">
        <v>10</v>
      </c>
      <c r="E300" t="s">
        <v>34</v>
      </c>
      <c r="F300">
        <v>1</v>
      </c>
      <c r="G300" t="str">
        <f t="shared" si="3"/>
        <v>M0111-C-10-1</v>
      </c>
      <c r="H300">
        <v>150</v>
      </c>
      <c r="I300">
        <v>151.5</v>
      </c>
    </row>
    <row r="301" spans="1:9" x14ac:dyDescent="0.3">
      <c r="A301">
        <v>501</v>
      </c>
      <c r="B301" t="s">
        <v>45</v>
      </c>
      <c r="C301" t="s">
        <v>37</v>
      </c>
      <c r="D301">
        <v>10</v>
      </c>
      <c r="E301" t="s">
        <v>34</v>
      </c>
      <c r="F301">
        <v>2</v>
      </c>
      <c r="G301" t="str">
        <f t="shared" si="3"/>
        <v>M0111-C-10-2</v>
      </c>
      <c r="H301">
        <v>151.5</v>
      </c>
      <c r="I301">
        <v>152.5</v>
      </c>
    </row>
    <row r="302" spans="1:9" x14ac:dyDescent="0.3">
      <c r="A302">
        <v>501</v>
      </c>
      <c r="B302" t="s">
        <v>45</v>
      </c>
      <c r="C302" t="s">
        <v>37</v>
      </c>
      <c r="D302">
        <v>10</v>
      </c>
      <c r="E302" t="s">
        <v>34</v>
      </c>
      <c r="F302">
        <v>3</v>
      </c>
      <c r="G302" t="str">
        <f t="shared" si="3"/>
        <v>M0111-C-10-3</v>
      </c>
      <c r="H302">
        <v>152.5</v>
      </c>
      <c r="I302">
        <v>153.12</v>
      </c>
    </row>
    <row r="303" spans="1:9" x14ac:dyDescent="0.3">
      <c r="A303">
        <v>501</v>
      </c>
      <c r="B303" t="s">
        <v>45</v>
      </c>
      <c r="C303" t="s">
        <v>37</v>
      </c>
      <c r="D303">
        <v>11</v>
      </c>
      <c r="E303" t="s">
        <v>34</v>
      </c>
      <c r="F303">
        <v>1</v>
      </c>
      <c r="G303" t="str">
        <f t="shared" si="3"/>
        <v>M0111-C-11-1</v>
      </c>
      <c r="H303">
        <v>153</v>
      </c>
      <c r="I303">
        <v>154.5</v>
      </c>
    </row>
    <row r="304" spans="1:9" x14ac:dyDescent="0.3">
      <c r="A304">
        <v>501</v>
      </c>
      <c r="B304" t="s">
        <v>45</v>
      </c>
      <c r="C304" t="s">
        <v>37</v>
      </c>
      <c r="D304">
        <v>11</v>
      </c>
      <c r="E304" t="s">
        <v>34</v>
      </c>
      <c r="F304">
        <v>2</v>
      </c>
      <c r="G304" t="str">
        <f t="shared" si="3"/>
        <v>M0111-C-11-2</v>
      </c>
      <c r="H304">
        <v>154.5</v>
      </c>
      <c r="I304">
        <v>155.49</v>
      </c>
    </row>
    <row r="305" spans="1:9" x14ac:dyDescent="0.3">
      <c r="A305">
        <v>501</v>
      </c>
      <c r="B305" t="s">
        <v>45</v>
      </c>
      <c r="C305" t="s">
        <v>37</v>
      </c>
      <c r="D305">
        <v>11</v>
      </c>
      <c r="E305" t="s">
        <v>34</v>
      </c>
      <c r="F305">
        <v>3</v>
      </c>
      <c r="G305" t="str">
        <f t="shared" si="3"/>
        <v>M0111-C-11-3</v>
      </c>
      <c r="H305">
        <v>155.49</v>
      </c>
      <c r="I305">
        <v>156.12</v>
      </c>
    </row>
    <row r="306" spans="1:9" x14ac:dyDescent="0.3">
      <c r="A306">
        <v>501</v>
      </c>
      <c r="B306" t="s">
        <v>45</v>
      </c>
      <c r="C306" t="s">
        <v>37</v>
      </c>
      <c r="D306">
        <v>12</v>
      </c>
      <c r="E306" t="s">
        <v>34</v>
      </c>
      <c r="F306">
        <v>1</v>
      </c>
      <c r="G306" t="str">
        <f t="shared" si="3"/>
        <v>M0111-C-12-1</v>
      </c>
      <c r="H306">
        <v>156</v>
      </c>
      <c r="I306">
        <v>157.47999999999999</v>
      </c>
    </row>
    <row r="307" spans="1:9" x14ac:dyDescent="0.3">
      <c r="A307">
        <v>501</v>
      </c>
      <c r="B307" t="s">
        <v>45</v>
      </c>
      <c r="C307" t="s">
        <v>37</v>
      </c>
      <c r="D307">
        <v>12</v>
      </c>
      <c r="E307" t="s">
        <v>34</v>
      </c>
      <c r="F307">
        <v>2</v>
      </c>
      <c r="G307" t="str">
        <f t="shared" si="3"/>
        <v>M0111-C-12-2</v>
      </c>
      <c r="H307">
        <v>157.47999999999999</v>
      </c>
      <c r="I307">
        <v>158.11000000000001</v>
      </c>
    </row>
    <row r="308" spans="1:9" x14ac:dyDescent="0.3">
      <c r="A308">
        <v>501</v>
      </c>
      <c r="B308" t="s">
        <v>45</v>
      </c>
      <c r="C308" t="s">
        <v>37</v>
      </c>
      <c r="D308">
        <v>13</v>
      </c>
      <c r="E308" t="s">
        <v>34</v>
      </c>
      <c r="F308">
        <v>1</v>
      </c>
      <c r="G308" t="str">
        <f t="shared" si="3"/>
        <v>M0111-C-13-1</v>
      </c>
      <c r="H308">
        <v>159</v>
      </c>
      <c r="I308">
        <v>159.83000000000001</v>
      </c>
    </row>
    <row r="309" spans="1:9" x14ac:dyDescent="0.3">
      <c r="A309">
        <v>501</v>
      </c>
      <c r="B309" t="s">
        <v>45</v>
      </c>
      <c r="C309" t="s">
        <v>37</v>
      </c>
      <c r="D309">
        <v>14</v>
      </c>
      <c r="E309" t="s">
        <v>34</v>
      </c>
      <c r="F309">
        <v>1</v>
      </c>
      <c r="G309" t="str">
        <f t="shared" si="3"/>
        <v>M0111-C-14-1</v>
      </c>
      <c r="H309">
        <v>161.16</v>
      </c>
      <c r="I309">
        <v>162.13999999999999</v>
      </c>
    </row>
    <row r="310" spans="1:9" x14ac:dyDescent="0.3">
      <c r="A310">
        <v>501</v>
      </c>
      <c r="B310" t="s">
        <v>45</v>
      </c>
      <c r="C310" t="s">
        <v>37</v>
      </c>
      <c r="D310">
        <v>15</v>
      </c>
      <c r="E310" t="s">
        <v>34</v>
      </c>
      <c r="F310">
        <v>1</v>
      </c>
      <c r="G310" t="str">
        <f t="shared" si="3"/>
        <v>M0111-C-15-1</v>
      </c>
      <c r="H310">
        <v>162.36000000000001</v>
      </c>
      <c r="I310">
        <v>163.25</v>
      </c>
    </row>
    <row r="311" spans="1:9" x14ac:dyDescent="0.3">
      <c r="A311">
        <v>501</v>
      </c>
      <c r="B311" t="s">
        <v>45</v>
      </c>
      <c r="C311" t="s">
        <v>37</v>
      </c>
      <c r="D311">
        <v>17</v>
      </c>
      <c r="E311" t="s">
        <v>34</v>
      </c>
      <c r="F311">
        <v>1</v>
      </c>
      <c r="G311" t="str">
        <f t="shared" si="3"/>
        <v>M0111-C-17-1</v>
      </c>
      <c r="H311">
        <v>166.36</v>
      </c>
      <c r="I311">
        <v>166.53</v>
      </c>
    </row>
    <row r="312" spans="1:9" x14ac:dyDescent="0.3">
      <c r="A312">
        <v>501</v>
      </c>
      <c r="B312" t="s">
        <v>45</v>
      </c>
      <c r="C312" t="s">
        <v>37</v>
      </c>
      <c r="D312">
        <v>18</v>
      </c>
      <c r="E312" t="s">
        <v>34</v>
      </c>
      <c r="F312">
        <v>1</v>
      </c>
      <c r="G312" t="str">
        <f t="shared" ref="G312:G375" si="4">CONCATENATE(B312, "-",C312, "-", D312, "-", F312)</f>
        <v>M0111-C-18-1</v>
      </c>
      <c r="H312">
        <v>168.36</v>
      </c>
      <c r="I312">
        <v>169.86</v>
      </c>
    </row>
    <row r="313" spans="1:9" x14ac:dyDescent="0.3">
      <c r="A313">
        <v>501</v>
      </c>
      <c r="B313" t="s">
        <v>45</v>
      </c>
      <c r="C313" t="s">
        <v>37</v>
      </c>
      <c r="D313">
        <v>18</v>
      </c>
      <c r="E313" t="s">
        <v>34</v>
      </c>
      <c r="F313">
        <v>2</v>
      </c>
      <c r="G313" t="str">
        <f t="shared" si="4"/>
        <v>M0111-C-18-2</v>
      </c>
      <c r="H313">
        <v>169.86</v>
      </c>
      <c r="I313">
        <v>171.22</v>
      </c>
    </row>
    <row r="314" spans="1:9" x14ac:dyDescent="0.3">
      <c r="A314">
        <v>501</v>
      </c>
      <c r="B314" t="s">
        <v>45</v>
      </c>
      <c r="C314" t="s">
        <v>37</v>
      </c>
      <c r="D314">
        <v>19</v>
      </c>
      <c r="E314" t="s">
        <v>48</v>
      </c>
      <c r="F314">
        <v>1</v>
      </c>
      <c r="G314" t="str">
        <f t="shared" si="4"/>
        <v>M0111-C-19-1</v>
      </c>
      <c r="H314">
        <v>150.36000000000001</v>
      </c>
      <c r="I314">
        <v>165.36</v>
      </c>
    </row>
    <row r="315" spans="1:9" x14ac:dyDescent="0.3">
      <c r="A315">
        <v>501</v>
      </c>
      <c r="B315" t="s">
        <v>45</v>
      </c>
      <c r="C315" t="s">
        <v>37</v>
      </c>
      <c r="D315">
        <v>20</v>
      </c>
      <c r="E315" t="s">
        <v>34</v>
      </c>
      <c r="F315">
        <v>1</v>
      </c>
      <c r="G315" t="str">
        <f t="shared" si="4"/>
        <v>M0111-C-20-1</v>
      </c>
      <c r="H315">
        <v>171.36</v>
      </c>
      <c r="I315">
        <v>172.86</v>
      </c>
    </row>
    <row r="316" spans="1:9" x14ac:dyDescent="0.3">
      <c r="A316">
        <v>501</v>
      </c>
      <c r="B316" t="s">
        <v>45</v>
      </c>
      <c r="C316" t="s">
        <v>37</v>
      </c>
      <c r="D316">
        <v>20</v>
      </c>
      <c r="E316" t="s">
        <v>34</v>
      </c>
      <c r="F316">
        <v>2</v>
      </c>
      <c r="G316" t="str">
        <f t="shared" si="4"/>
        <v>M0111-C-20-2</v>
      </c>
      <c r="H316">
        <v>172.86</v>
      </c>
      <c r="I316">
        <v>174.36</v>
      </c>
    </row>
    <row r="317" spans="1:9" x14ac:dyDescent="0.3">
      <c r="A317">
        <v>501</v>
      </c>
      <c r="B317" t="s">
        <v>45</v>
      </c>
      <c r="C317" t="s">
        <v>37</v>
      </c>
      <c r="D317">
        <v>20</v>
      </c>
      <c r="E317" t="s">
        <v>34</v>
      </c>
      <c r="F317">
        <v>3</v>
      </c>
      <c r="G317" t="str">
        <f t="shared" si="4"/>
        <v>M0111-C-20-3</v>
      </c>
      <c r="H317">
        <v>174.36</v>
      </c>
      <c r="I317">
        <v>174.68</v>
      </c>
    </row>
    <row r="318" spans="1:9" x14ac:dyDescent="0.3">
      <c r="A318">
        <v>501</v>
      </c>
      <c r="B318" t="s">
        <v>45</v>
      </c>
      <c r="C318" t="s">
        <v>37</v>
      </c>
      <c r="D318">
        <v>21</v>
      </c>
      <c r="E318" t="s">
        <v>34</v>
      </c>
      <c r="F318">
        <v>1</v>
      </c>
      <c r="G318" t="str">
        <f t="shared" si="4"/>
        <v>M0111-C-21-1</v>
      </c>
      <c r="H318">
        <v>177.36</v>
      </c>
      <c r="I318">
        <v>178.88</v>
      </c>
    </row>
    <row r="319" spans="1:9" x14ac:dyDescent="0.3">
      <c r="A319">
        <v>501</v>
      </c>
      <c r="B319" t="s">
        <v>45</v>
      </c>
      <c r="C319" t="s">
        <v>37</v>
      </c>
      <c r="D319">
        <v>21</v>
      </c>
      <c r="E319" t="s">
        <v>34</v>
      </c>
      <c r="F319">
        <v>2</v>
      </c>
      <c r="G319" t="str">
        <f t="shared" si="4"/>
        <v>M0111-C-21-2</v>
      </c>
      <c r="H319">
        <v>178.88</v>
      </c>
      <c r="I319">
        <v>180.39</v>
      </c>
    </row>
    <row r="320" spans="1:9" x14ac:dyDescent="0.3">
      <c r="A320">
        <v>501</v>
      </c>
      <c r="B320" t="s">
        <v>45</v>
      </c>
      <c r="C320" t="s">
        <v>37</v>
      </c>
      <c r="D320">
        <v>21</v>
      </c>
      <c r="E320" t="s">
        <v>34</v>
      </c>
      <c r="F320">
        <v>3</v>
      </c>
      <c r="G320" t="str">
        <f t="shared" si="4"/>
        <v>M0111-C-21-3</v>
      </c>
      <c r="H320">
        <v>180.39</v>
      </c>
      <c r="I320">
        <v>180.72</v>
      </c>
    </row>
    <row r="321" spans="1:9" x14ac:dyDescent="0.3">
      <c r="A321">
        <v>501</v>
      </c>
      <c r="B321" t="s">
        <v>45</v>
      </c>
      <c r="C321" t="s">
        <v>37</v>
      </c>
      <c r="D321">
        <v>22</v>
      </c>
      <c r="E321" t="s">
        <v>34</v>
      </c>
      <c r="F321">
        <v>1</v>
      </c>
      <c r="G321" t="str">
        <f t="shared" si="4"/>
        <v>M0111-C-22-1</v>
      </c>
      <c r="H321">
        <v>185</v>
      </c>
      <c r="I321">
        <v>185.79</v>
      </c>
    </row>
    <row r="322" spans="1:9" x14ac:dyDescent="0.3">
      <c r="A322">
        <v>501</v>
      </c>
      <c r="B322" t="s">
        <v>45</v>
      </c>
      <c r="C322" t="s">
        <v>37</v>
      </c>
      <c r="D322">
        <v>23</v>
      </c>
      <c r="E322" t="s">
        <v>34</v>
      </c>
      <c r="F322">
        <v>1</v>
      </c>
      <c r="G322" t="str">
        <f t="shared" si="4"/>
        <v>M0111-C-23-1</v>
      </c>
      <c r="H322">
        <v>186.36</v>
      </c>
      <c r="I322">
        <v>187.87</v>
      </c>
    </row>
    <row r="323" spans="1:9" x14ac:dyDescent="0.3">
      <c r="A323">
        <v>501</v>
      </c>
      <c r="B323" t="s">
        <v>45</v>
      </c>
      <c r="C323" t="s">
        <v>37</v>
      </c>
      <c r="D323">
        <v>23</v>
      </c>
      <c r="E323" t="s">
        <v>34</v>
      </c>
      <c r="F323">
        <v>2</v>
      </c>
      <c r="G323" t="str">
        <f t="shared" si="4"/>
        <v>M0111-C-23-2</v>
      </c>
      <c r="H323">
        <v>187.87</v>
      </c>
      <c r="I323">
        <v>189.37</v>
      </c>
    </row>
    <row r="324" spans="1:9" x14ac:dyDescent="0.3">
      <c r="A324">
        <v>501</v>
      </c>
      <c r="B324" t="s">
        <v>45</v>
      </c>
      <c r="C324" t="s">
        <v>37</v>
      </c>
      <c r="D324">
        <v>23</v>
      </c>
      <c r="E324" t="s">
        <v>34</v>
      </c>
      <c r="F324">
        <v>3</v>
      </c>
      <c r="G324" t="str">
        <f t="shared" si="4"/>
        <v>M0111-C-23-3</v>
      </c>
      <c r="H324">
        <v>189.37</v>
      </c>
      <c r="I324">
        <v>189.71</v>
      </c>
    </row>
    <row r="325" spans="1:9" x14ac:dyDescent="0.3">
      <c r="A325">
        <v>501</v>
      </c>
      <c r="B325" t="s">
        <v>45</v>
      </c>
      <c r="C325" t="s">
        <v>37</v>
      </c>
      <c r="D325">
        <v>24</v>
      </c>
      <c r="E325" t="s">
        <v>34</v>
      </c>
      <c r="F325">
        <v>1</v>
      </c>
      <c r="G325" t="str">
        <f t="shared" si="4"/>
        <v>M0111-C-24-1</v>
      </c>
      <c r="H325">
        <v>189.36</v>
      </c>
      <c r="I325">
        <v>190.86</v>
      </c>
    </row>
    <row r="326" spans="1:9" x14ac:dyDescent="0.3">
      <c r="A326">
        <v>501</v>
      </c>
      <c r="B326" t="s">
        <v>45</v>
      </c>
      <c r="C326" t="s">
        <v>37</v>
      </c>
      <c r="D326">
        <v>24</v>
      </c>
      <c r="E326" t="s">
        <v>34</v>
      </c>
      <c r="F326">
        <v>2</v>
      </c>
      <c r="G326" t="str">
        <f t="shared" si="4"/>
        <v>M0111-C-24-2</v>
      </c>
      <c r="H326">
        <v>190.86</v>
      </c>
      <c r="I326">
        <v>192.36</v>
      </c>
    </row>
    <row r="327" spans="1:9" x14ac:dyDescent="0.3">
      <c r="A327">
        <v>501</v>
      </c>
      <c r="B327" t="s">
        <v>45</v>
      </c>
      <c r="C327" t="s">
        <v>37</v>
      </c>
      <c r="D327">
        <v>24</v>
      </c>
      <c r="E327" t="s">
        <v>34</v>
      </c>
      <c r="F327">
        <v>3</v>
      </c>
      <c r="G327" t="str">
        <f t="shared" si="4"/>
        <v>M0111-C-24-3</v>
      </c>
      <c r="H327">
        <v>192.36</v>
      </c>
      <c r="I327">
        <v>192.51</v>
      </c>
    </row>
    <row r="328" spans="1:9" x14ac:dyDescent="0.3">
      <c r="A328">
        <v>501</v>
      </c>
      <c r="B328" t="s">
        <v>45</v>
      </c>
      <c r="C328" t="s">
        <v>37</v>
      </c>
      <c r="D328">
        <v>25</v>
      </c>
      <c r="E328" t="s">
        <v>34</v>
      </c>
      <c r="F328">
        <v>1</v>
      </c>
      <c r="G328" t="str">
        <f t="shared" si="4"/>
        <v>M0111-C-25-1</v>
      </c>
      <c r="H328">
        <v>192.36</v>
      </c>
      <c r="I328">
        <v>193.86</v>
      </c>
    </row>
    <row r="329" spans="1:9" x14ac:dyDescent="0.3">
      <c r="A329">
        <v>501</v>
      </c>
      <c r="B329" t="s">
        <v>45</v>
      </c>
      <c r="C329" t="s">
        <v>37</v>
      </c>
      <c r="D329">
        <v>25</v>
      </c>
      <c r="E329" t="s">
        <v>34</v>
      </c>
      <c r="F329">
        <v>2</v>
      </c>
      <c r="G329" t="str">
        <f t="shared" si="4"/>
        <v>M0111-C-25-2</v>
      </c>
      <c r="H329">
        <v>193.86</v>
      </c>
      <c r="I329">
        <v>195.17</v>
      </c>
    </row>
    <row r="330" spans="1:9" x14ac:dyDescent="0.3">
      <c r="A330">
        <v>501</v>
      </c>
      <c r="B330" t="s">
        <v>45</v>
      </c>
      <c r="C330" t="s">
        <v>37</v>
      </c>
      <c r="D330">
        <v>26</v>
      </c>
      <c r="E330" t="s">
        <v>34</v>
      </c>
      <c r="F330">
        <v>1</v>
      </c>
      <c r="G330" t="str">
        <f t="shared" si="4"/>
        <v>M0111-C-26-1</v>
      </c>
      <c r="H330">
        <v>195.36</v>
      </c>
      <c r="I330">
        <v>196.87</v>
      </c>
    </row>
    <row r="331" spans="1:9" x14ac:dyDescent="0.3">
      <c r="A331">
        <v>501</v>
      </c>
      <c r="B331" t="s">
        <v>45</v>
      </c>
      <c r="C331" t="s">
        <v>37</v>
      </c>
      <c r="D331">
        <v>26</v>
      </c>
      <c r="E331" t="s">
        <v>34</v>
      </c>
      <c r="F331">
        <v>2</v>
      </c>
      <c r="G331" t="str">
        <f t="shared" si="4"/>
        <v>M0111-C-26-2</v>
      </c>
      <c r="H331">
        <v>196.87</v>
      </c>
      <c r="I331">
        <v>197.67</v>
      </c>
    </row>
    <row r="332" spans="1:9" x14ac:dyDescent="0.3">
      <c r="A332">
        <v>501</v>
      </c>
      <c r="B332" t="s">
        <v>45</v>
      </c>
      <c r="C332" t="s">
        <v>37</v>
      </c>
      <c r="D332">
        <v>27</v>
      </c>
      <c r="E332" t="s">
        <v>34</v>
      </c>
      <c r="F332">
        <v>1</v>
      </c>
      <c r="G332" t="str">
        <f t="shared" si="4"/>
        <v>M0111-C-27-1</v>
      </c>
      <c r="H332">
        <v>198.36</v>
      </c>
      <c r="I332">
        <v>199.86</v>
      </c>
    </row>
    <row r="333" spans="1:9" x14ac:dyDescent="0.3">
      <c r="A333">
        <v>501</v>
      </c>
      <c r="B333" t="s">
        <v>45</v>
      </c>
      <c r="C333" t="s">
        <v>37</v>
      </c>
      <c r="D333">
        <v>27</v>
      </c>
      <c r="E333" t="s">
        <v>34</v>
      </c>
      <c r="F333">
        <v>2</v>
      </c>
      <c r="G333" t="str">
        <f t="shared" si="4"/>
        <v>M0111-C-27-2</v>
      </c>
      <c r="H333">
        <v>199.86</v>
      </c>
      <c r="I333">
        <v>200.97</v>
      </c>
    </row>
    <row r="334" spans="1:9" x14ac:dyDescent="0.3">
      <c r="A334">
        <v>501</v>
      </c>
      <c r="B334" t="s">
        <v>45</v>
      </c>
      <c r="C334" t="s">
        <v>37</v>
      </c>
      <c r="D334">
        <v>28</v>
      </c>
      <c r="E334" t="s">
        <v>34</v>
      </c>
      <c r="F334">
        <v>1</v>
      </c>
      <c r="G334" t="str">
        <f t="shared" si="4"/>
        <v>M0111-C-28-1</v>
      </c>
      <c r="H334">
        <v>201.36</v>
      </c>
      <c r="I334">
        <v>202.86</v>
      </c>
    </row>
    <row r="335" spans="1:9" x14ac:dyDescent="0.3">
      <c r="A335">
        <v>501</v>
      </c>
      <c r="B335" t="s">
        <v>45</v>
      </c>
      <c r="C335" t="s">
        <v>37</v>
      </c>
      <c r="D335">
        <v>28</v>
      </c>
      <c r="E335" t="s">
        <v>34</v>
      </c>
      <c r="F335">
        <v>2</v>
      </c>
      <c r="G335" t="str">
        <f t="shared" si="4"/>
        <v>M0111-C-28-2</v>
      </c>
      <c r="H335">
        <v>202.86</v>
      </c>
      <c r="I335">
        <v>204.33</v>
      </c>
    </row>
    <row r="336" spans="1:9" x14ac:dyDescent="0.3">
      <c r="A336">
        <v>501</v>
      </c>
      <c r="B336" t="s">
        <v>45</v>
      </c>
      <c r="C336" t="s">
        <v>37</v>
      </c>
      <c r="D336">
        <v>28</v>
      </c>
      <c r="E336" t="s">
        <v>34</v>
      </c>
      <c r="F336">
        <v>3</v>
      </c>
      <c r="G336" t="str">
        <f t="shared" si="4"/>
        <v>M0111-C-28-3</v>
      </c>
      <c r="H336">
        <v>204.33</v>
      </c>
      <c r="I336">
        <v>204.51</v>
      </c>
    </row>
    <row r="337" spans="1:9" x14ac:dyDescent="0.3">
      <c r="A337">
        <v>501</v>
      </c>
      <c r="B337" t="s">
        <v>45</v>
      </c>
      <c r="C337" t="s">
        <v>37</v>
      </c>
      <c r="D337">
        <v>29</v>
      </c>
      <c r="E337" t="s">
        <v>34</v>
      </c>
      <c r="F337">
        <v>1</v>
      </c>
      <c r="G337" t="str">
        <f t="shared" si="4"/>
        <v>M0111-C-29-1</v>
      </c>
      <c r="H337">
        <v>204.36</v>
      </c>
      <c r="I337">
        <v>204.69</v>
      </c>
    </row>
    <row r="338" spans="1:9" x14ac:dyDescent="0.3">
      <c r="A338">
        <v>501</v>
      </c>
      <c r="B338" t="s">
        <v>45</v>
      </c>
      <c r="C338" t="s">
        <v>37</v>
      </c>
      <c r="D338">
        <v>30</v>
      </c>
      <c r="E338" t="s">
        <v>34</v>
      </c>
      <c r="F338">
        <v>1</v>
      </c>
      <c r="G338" t="str">
        <f t="shared" si="4"/>
        <v>M0111-C-30-1</v>
      </c>
      <c r="H338">
        <v>207.36</v>
      </c>
      <c r="I338">
        <v>208.87</v>
      </c>
    </row>
    <row r="339" spans="1:9" x14ac:dyDescent="0.3">
      <c r="A339">
        <v>501</v>
      </c>
      <c r="B339" t="s">
        <v>45</v>
      </c>
      <c r="C339" t="s">
        <v>37</v>
      </c>
      <c r="D339">
        <v>30</v>
      </c>
      <c r="E339" t="s">
        <v>34</v>
      </c>
      <c r="F339">
        <v>2</v>
      </c>
      <c r="G339" t="str">
        <f t="shared" si="4"/>
        <v>M0111-C-30-2</v>
      </c>
      <c r="H339">
        <v>208.87</v>
      </c>
      <c r="I339">
        <v>209.97</v>
      </c>
    </row>
    <row r="340" spans="1:9" x14ac:dyDescent="0.3">
      <c r="A340">
        <v>501</v>
      </c>
      <c r="B340" t="s">
        <v>45</v>
      </c>
      <c r="C340" t="s">
        <v>37</v>
      </c>
      <c r="D340">
        <v>30</v>
      </c>
      <c r="E340" t="s">
        <v>34</v>
      </c>
      <c r="F340">
        <v>3</v>
      </c>
      <c r="G340" t="str">
        <f t="shared" si="4"/>
        <v>M0111-C-30-3</v>
      </c>
      <c r="H340">
        <v>209.97</v>
      </c>
      <c r="I340">
        <v>210.25</v>
      </c>
    </row>
    <row r="341" spans="1:9" x14ac:dyDescent="0.3">
      <c r="A341">
        <v>501</v>
      </c>
      <c r="B341" t="s">
        <v>45</v>
      </c>
      <c r="C341" t="s">
        <v>37</v>
      </c>
      <c r="D341">
        <v>31</v>
      </c>
      <c r="E341" t="s">
        <v>34</v>
      </c>
      <c r="F341">
        <v>1</v>
      </c>
      <c r="G341" t="str">
        <f t="shared" si="4"/>
        <v>M0111-C-31-1</v>
      </c>
      <c r="H341">
        <v>210.36</v>
      </c>
      <c r="I341">
        <v>211.67</v>
      </c>
    </row>
    <row r="342" spans="1:9" x14ac:dyDescent="0.3">
      <c r="A342">
        <v>501</v>
      </c>
      <c r="B342" t="s">
        <v>45</v>
      </c>
      <c r="C342" t="s">
        <v>37</v>
      </c>
      <c r="D342">
        <v>32</v>
      </c>
      <c r="E342" t="s">
        <v>34</v>
      </c>
      <c r="F342">
        <v>1</v>
      </c>
      <c r="G342" t="str">
        <f t="shared" si="4"/>
        <v>M0111-C-32-1</v>
      </c>
      <c r="H342">
        <v>213.36</v>
      </c>
      <c r="I342">
        <v>213.83</v>
      </c>
    </row>
    <row r="343" spans="1:9" x14ac:dyDescent="0.3">
      <c r="A343">
        <v>501</v>
      </c>
      <c r="B343" t="s">
        <v>45</v>
      </c>
      <c r="C343" t="s">
        <v>37</v>
      </c>
      <c r="D343">
        <v>33</v>
      </c>
      <c r="E343" t="s">
        <v>34</v>
      </c>
      <c r="F343">
        <v>1</v>
      </c>
      <c r="G343" t="str">
        <f t="shared" si="4"/>
        <v>M0111-C-33-1</v>
      </c>
      <c r="H343">
        <v>216.36</v>
      </c>
      <c r="I343">
        <v>217.79</v>
      </c>
    </row>
    <row r="344" spans="1:9" x14ac:dyDescent="0.3">
      <c r="A344">
        <v>501</v>
      </c>
      <c r="B344" t="s">
        <v>45</v>
      </c>
      <c r="C344" t="s">
        <v>37</v>
      </c>
      <c r="D344">
        <v>33</v>
      </c>
      <c r="E344" t="s">
        <v>34</v>
      </c>
      <c r="F344">
        <v>2</v>
      </c>
      <c r="G344" t="str">
        <f t="shared" si="4"/>
        <v>M0111-C-33-2</v>
      </c>
      <c r="H344">
        <v>217.79</v>
      </c>
      <c r="I344">
        <v>218.68</v>
      </c>
    </row>
    <row r="345" spans="1:9" x14ac:dyDescent="0.3">
      <c r="A345">
        <v>501</v>
      </c>
      <c r="B345" t="s">
        <v>45</v>
      </c>
      <c r="C345" t="s">
        <v>37</v>
      </c>
      <c r="D345">
        <v>34</v>
      </c>
      <c r="E345" t="s">
        <v>34</v>
      </c>
      <c r="F345">
        <v>1</v>
      </c>
      <c r="G345" t="str">
        <f t="shared" si="4"/>
        <v>M0111-C-34-1</v>
      </c>
      <c r="H345">
        <v>219.36</v>
      </c>
      <c r="I345">
        <v>220.86</v>
      </c>
    </row>
    <row r="346" spans="1:9" x14ac:dyDescent="0.3">
      <c r="A346">
        <v>501</v>
      </c>
      <c r="B346" t="s">
        <v>45</v>
      </c>
      <c r="C346" t="s">
        <v>37</v>
      </c>
      <c r="D346">
        <v>34</v>
      </c>
      <c r="E346" t="s">
        <v>34</v>
      </c>
      <c r="F346">
        <v>2</v>
      </c>
      <c r="G346" t="str">
        <f t="shared" si="4"/>
        <v>M0111-C-34-2</v>
      </c>
      <c r="H346">
        <v>220.86</v>
      </c>
      <c r="I346">
        <v>221.74</v>
      </c>
    </row>
    <row r="347" spans="1:9" x14ac:dyDescent="0.3">
      <c r="A347">
        <v>501</v>
      </c>
      <c r="B347" t="s">
        <v>45</v>
      </c>
      <c r="C347" t="s">
        <v>37</v>
      </c>
      <c r="D347">
        <v>35</v>
      </c>
      <c r="E347" t="s">
        <v>34</v>
      </c>
      <c r="F347">
        <v>1</v>
      </c>
      <c r="G347" t="str">
        <f t="shared" si="4"/>
        <v>M0111-C-35-1</v>
      </c>
      <c r="H347">
        <v>222.36</v>
      </c>
      <c r="I347">
        <v>222.99</v>
      </c>
    </row>
    <row r="348" spans="1:9" x14ac:dyDescent="0.3">
      <c r="A348">
        <v>501</v>
      </c>
      <c r="B348" t="s">
        <v>45</v>
      </c>
      <c r="C348" t="s">
        <v>37</v>
      </c>
      <c r="D348">
        <v>36</v>
      </c>
      <c r="E348" t="s">
        <v>34</v>
      </c>
      <c r="F348">
        <v>1</v>
      </c>
      <c r="G348" t="str">
        <f t="shared" si="4"/>
        <v>M0111-C-36-1</v>
      </c>
      <c r="H348">
        <v>223.16</v>
      </c>
      <c r="I348">
        <v>223.66</v>
      </c>
    </row>
    <row r="349" spans="1:9" x14ac:dyDescent="0.3">
      <c r="A349">
        <v>501</v>
      </c>
      <c r="B349" t="s">
        <v>45</v>
      </c>
      <c r="C349" t="s">
        <v>37</v>
      </c>
      <c r="D349">
        <v>37</v>
      </c>
      <c r="E349" t="s">
        <v>34</v>
      </c>
      <c r="F349">
        <v>1</v>
      </c>
      <c r="G349" t="str">
        <f t="shared" si="4"/>
        <v>M0111-C-37-1</v>
      </c>
      <c r="H349">
        <v>225.36</v>
      </c>
      <c r="I349">
        <v>225.39</v>
      </c>
    </row>
    <row r="350" spans="1:9" x14ac:dyDescent="0.3">
      <c r="A350">
        <v>501</v>
      </c>
      <c r="B350" t="s">
        <v>45</v>
      </c>
      <c r="C350" t="s">
        <v>37</v>
      </c>
      <c r="D350">
        <v>38</v>
      </c>
      <c r="E350" t="s">
        <v>34</v>
      </c>
      <c r="F350">
        <v>1</v>
      </c>
      <c r="G350" t="str">
        <f t="shared" si="4"/>
        <v>M0111-C-38-1</v>
      </c>
      <c r="H350">
        <v>228.36</v>
      </c>
      <c r="I350">
        <v>228.38</v>
      </c>
    </row>
    <row r="351" spans="1:9" x14ac:dyDescent="0.3">
      <c r="A351">
        <v>501</v>
      </c>
      <c r="B351" t="s">
        <v>45</v>
      </c>
      <c r="C351" t="s">
        <v>37</v>
      </c>
      <c r="D351">
        <v>39</v>
      </c>
      <c r="E351" t="s">
        <v>34</v>
      </c>
      <c r="F351">
        <v>1</v>
      </c>
      <c r="G351" t="str">
        <f t="shared" si="4"/>
        <v>M0111-C-39-1</v>
      </c>
      <c r="H351">
        <v>229.36</v>
      </c>
      <c r="I351">
        <v>230.3</v>
      </c>
    </row>
    <row r="352" spans="1:9" x14ac:dyDescent="0.3">
      <c r="A352">
        <v>501</v>
      </c>
      <c r="B352" t="s">
        <v>49</v>
      </c>
      <c r="C352" t="s">
        <v>31</v>
      </c>
      <c r="D352">
        <v>1</v>
      </c>
      <c r="E352" t="s">
        <v>46</v>
      </c>
      <c r="F352">
        <v>1</v>
      </c>
      <c r="G352" t="str">
        <f t="shared" si="4"/>
        <v>M0112-A-1-1</v>
      </c>
      <c r="H352">
        <v>0</v>
      </c>
      <c r="I352">
        <v>0.71</v>
      </c>
    </row>
    <row r="353" spans="1:9" x14ac:dyDescent="0.3">
      <c r="A353">
        <v>501</v>
      </c>
      <c r="B353" t="s">
        <v>49</v>
      </c>
      <c r="C353" t="s">
        <v>31</v>
      </c>
      <c r="D353">
        <v>1</v>
      </c>
      <c r="E353" t="s">
        <v>46</v>
      </c>
      <c r="F353">
        <v>2</v>
      </c>
      <c r="G353" t="str">
        <f t="shared" si="4"/>
        <v>M0112-A-1-2</v>
      </c>
      <c r="H353">
        <v>0.71</v>
      </c>
      <c r="I353">
        <v>2.21</v>
      </c>
    </row>
    <row r="354" spans="1:9" x14ac:dyDescent="0.3">
      <c r="A354">
        <v>501</v>
      </c>
      <c r="B354" t="s">
        <v>49</v>
      </c>
      <c r="C354" t="s">
        <v>31</v>
      </c>
      <c r="D354">
        <v>2</v>
      </c>
      <c r="E354" t="s">
        <v>46</v>
      </c>
      <c r="F354">
        <v>1</v>
      </c>
      <c r="G354" t="str">
        <f t="shared" si="4"/>
        <v>M0112-A-2-1</v>
      </c>
      <c r="H354">
        <v>2.21</v>
      </c>
      <c r="I354">
        <v>3.71</v>
      </c>
    </row>
    <row r="355" spans="1:9" x14ac:dyDescent="0.3">
      <c r="A355">
        <v>501</v>
      </c>
      <c r="B355" t="s">
        <v>49</v>
      </c>
      <c r="C355" t="s">
        <v>31</v>
      </c>
      <c r="D355">
        <v>2</v>
      </c>
      <c r="E355" t="s">
        <v>46</v>
      </c>
      <c r="F355">
        <v>2</v>
      </c>
      <c r="G355" t="str">
        <f t="shared" si="4"/>
        <v>M0112-A-2-2</v>
      </c>
      <c r="H355">
        <v>3.71</v>
      </c>
      <c r="I355">
        <v>5.01</v>
      </c>
    </row>
    <row r="356" spans="1:9" x14ac:dyDescent="0.3">
      <c r="A356">
        <v>501</v>
      </c>
      <c r="B356" t="s">
        <v>49</v>
      </c>
      <c r="C356" t="s">
        <v>31</v>
      </c>
      <c r="D356">
        <v>3</v>
      </c>
      <c r="E356" t="s">
        <v>46</v>
      </c>
      <c r="F356">
        <v>1</v>
      </c>
      <c r="G356" t="str">
        <f t="shared" si="4"/>
        <v>M0112-A-3-1</v>
      </c>
      <c r="H356">
        <v>5.01</v>
      </c>
      <c r="I356">
        <v>6.52</v>
      </c>
    </row>
    <row r="357" spans="1:9" x14ac:dyDescent="0.3">
      <c r="A357">
        <v>501</v>
      </c>
      <c r="B357" t="s">
        <v>49</v>
      </c>
      <c r="C357" t="s">
        <v>31</v>
      </c>
      <c r="D357">
        <v>3</v>
      </c>
      <c r="E357" t="s">
        <v>46</v>
      </c>
      <c r="F357">
        <v>2</v>
      </c>
      <c r="G357" t="str">
        <f t="shared" si="4"/>
        <v>M0112-A-3-2</v>
      </c>
      <c r="H357">
        <v>6.52</v>
      </c>
      <c r="I357">
        <v>7.17</v>
      </c>
    </row>
    <row r="358" spans="1:9" x14ac:dyDescent="0.3">
      <c r="A358">
        <v>501</v>
      </c>
      <c r="B358" t="s">
        <v>49</v>
      </c>
      <c r="C358" t="s">
        <v>31</v>
      </c>
      <c r="D358">
        <v>4</v>
      </c>
      <c r="E358" t="s">
        <v>46</v>
      </c>
      <c r="F358">
        <v>1</v>
      </c>
      <c r="G358" t="str">
        <f t="shared" si="4"/>
        <v>M0112-A-4-1</v>
      </c>
      <c r="H358">
        <v>7.17</v>
      </c>
      <c r="I358">
        <v>8.67</v>
      </c>
    </row>
    <row r="359" spans="1:9" x14ac:dyDescent="0.3">
      <c r="A359">
        <v>501</v>
      </c>
      <c r="B359" t="s">
        <v>49</v>
      </c>
      <c r="C359" t="s">
        <v>31</v>
      </c>
      <c r="D359">
        <v>4</v>
      </c>
      <c r="E359" t="s">
        <v>46</v>
      </c>
      <c r="F359">
        <v>2</v>
      </c>
      <c r="G359" t="str">
        <f t="shared" si="4"/>
        <v>M0112-A-4-2</v>
      </c>
      <c r="H359">
        <v>8.67</v>
      </c>
      <c r="I359">
        <v>9.25</v>
      </c>
    </row>
    <row r="360" spans="1:9" x14ac:dyDescent="0.3">
      <c r="A360">
        <v>501</v>
      </c>
      <c r="B360" t="s">
        <v>49</v>
      </c>
      <c r="C360" t="s">
        <v>31</v>
      </c>
      <c r="D360">
        <v>5</v>
      </c>
      <c r="E360" t="s">
        <v>46</v>
      </c>
      <c r="F360">
        <v>1</v>
      </c>
      <c r="G360" t="str">
        <f t="shared" si="4"/>
        <v>M0112-A-5-1</v>
      </c>
      <c r="H360">
        <v>9.25</v>
      </c>
      <c r="I360">
        <v>10.5</v>
      </c>
    </row>
    <row r="361" spans="1:9" x14ac:dyDescent="0.3">
      <c r="A361">
        <v>501</v>
      </c>
      <c r="B361" t="s">
        <v>49</v>
      </c>
      <c r="C361" t="s">
        <v>31</v>
      </c>
      <c r="D361">
        <v>5</v>
      </c>
      <c r="E361" t="s">
        <v>46</v>
      </c>
      <c r="F361">
        <v>2</v>
      </c>
      <c r="G361" t="str">
        <f t="shared" si="4"/>
        <v>M0112-A-5-2</v>
      </c>
      <c r="H361">
        <v>10.5</v>
      </c>
      <c r="I361">
        <v>11.45</v>
      </c>
    </row>
    <row r="362" spans="1:9" x14ac:dyDescent="0.3">
      <c r="A362">
        <v>501</v>
      </c>
      <c r="B362" t="s">
        <v>49</v>
      </c>
      <c r="C362" t="s">
        <v>31</v>
      </c>
      <c r="D362">
        <v>6</v>
      </c>
      <c r="E362" t="s">
        <v>46</v>
      </c>
      <c r="F362">
        <v>1</v>
      </c>
      <c r="G362" t="str">
        <f t="shared" si="4"/>
        <v>M0112-A-6-1</v>
      </c>
      <c r="H362">
        <v>11.45</v>
      </c>
      <c r="I362">
        <v>12.21</v>
      </c>
    </row>
    <row r="363" spans="1:9" x14ac:dyDescent="0.3">
      <c r="A363">
        <v>501</v>
      </c>
      <c r="B363" t="s">
        <v>49</v>
      </c>
      <c r="C363" t="s">
        <v>31</v>
      </c>
      <c r="D363">
        <v>7</v>
      </c>
      <c r="E363" t="s">
        <v>46</v>
      </c>
      <c r="F363">
        <v>1</v>
      </c>
      <c r="G363" t="str">
        <f t="shared" si="4"/>
        <v>M0112-A-7-1</v>
      </c>
      <c r="H363">
        <v>12.21</v>
      </c>
      <c r="I363">
        <v>13.71</v>
      </c>
    </row>
    <row r="364" spans="1:9" x14ac:dyDescent="0.3">
      <c r="A364">
        <v>501</v>
      </c>
      <c r="B364" t="s">
        <v>49</v>
      </c>
      <c r="C364" t="s">
        <v>31</v>
      </c>
      <c r="D364">
        <v>7</v>
      </c>
      <c r="E364" t="s">
        <v>46</v>
      </c>
      <c r="F364">
        <v>2</v>
      </c>
      <c r="G364" t="str">
        <f t="shared" si="4"/>
        <v>M0112-A-7-2</v>
      </c>
      <c r="H364">
        <v>13.71</v>
      </c>
      <c r="I364">
        <v>14.58</v>
      </c>
    </row>
    <row r="365" spans="1:9" x14ac:dyDescent="0.3">
      <c r="A365">
        <v>501</v>
      </c>
      <c r="B365" t="s">
        <v>49</v>
      </c>
      <c r="C365" t="s">
        <v>31</v>
      </c>
      <c r="D365">
        <v>8</v>
      </c>
      <c r="E365" t="s">
        <v>46</v>
      </c>
      <c r="F365">
        <v>1</v>
      </c>
      <c r="G365" t="str">
        <f t="shared" si="4"/>
        <v>M0112-A-8-1</v>
      </c>
      <c r="H365">
        <v>14.58</v>
      </c>
      <c r="I365">
        <v>16.07</v>
      </c>
    </row>
    <row r="366" spans="1:9" x14ac:dyDescent="0.3">
      <c r="A366">
        <v>501</v>
      </c>
      <c r="B366" t="s">
        <v>49</v>
      </c>
      <c r="C366" t="s">
        <v>31</v>
      </c>
      <c r="D366">
        <v>8</v>
      </c>
      <c r="E366" t="s">
        <v>46</v>
      </c>
      <c r="F366">
        <v>2</v>
      </c>
      <c r="G366" t="str">
        <f t="shared" si="4"/>
        <v>M0112-A-8-2</v>
      </c>
      <c r="H366">
        <v>16.07</v>
      </c>
      <c r="I366">
        <v>17.23</v>
      </c>
    </row>
    <row r="367" spans="1:9" x14ac:dyDescent="0.3">
      <c r="A367">
        <v>501</v>
      </c>
      <c r="B367" t="s">
        <v>49</v>
      </c>
      <c r="C367" t="s">
        <v>31</v>
      </c>
      <c r="D367">
        <v>9</v>
      </c>
      <c r="E367" t="s">
        <v>46</v>
      </c>
      <c r="F367">
        <v>1</v>
      </c>
      <c r="G367" t="str">
        <f t="shared" si="4"/>
        <v>M0112-A-9-1</v>
      </c>
      <c r="H367">
        <v>17.23</v>
      </c>
      <c r="I367">
        <v>18.73</v>
      </c>
    </row>
    <row r="368" spans="1:9" x14ac:dyDescent="0.3">
      <c r="A368">
        <v>501</v>
      </c>
      <c r="B368" t="s">
        <v>49</v>
      </c>
      <c r="C368" t="s">
        <v>31</v>
      </c>
      <c r="D368">
        <v>9</v>
      </c>
      <c r="E368" t="s">
        <v>46</v>
      </c>
      <c r="F368">
        <v>2</v>
      </c>
      <c r="G368" t="str">
        <f t="shared" si="4"/>
        <v>M0112-A-9-2</v>
      </c>
      <c r="H368">
        <v>18.73</v>
      </c>
      <c r="I368">
        <v>19.87</v>
      </c>
    </row>
    <row r="369" spans="1:9" x14ac:dyDescent="0.3">
      <c r="A369">
        <v>501</v>
      </c>
      <c r="B369" t="s">
        <v>49</v>
      </c>
      <c r="C369" t="s">
        <v>31</v>
      </c>
      <c r="D369">
        <v>10</v>
      </c>
      <c r="E369" t="s">
        <v>46</v>
      </c>
      <c r="F369">
        <v>1</v>
      </c>
      <c r="G369" t="str">
        <f t="shared" si="4"/>
        <v>M0112-A-10-1</v>
      </c>
      <c r="H369">
        <v>19.87</v>
      </c>
      <c r="I369">
        <v>21.28</v>
      </c>
    </row>
    <row r="370" spans="1:9" x14ac:dyDescent="0.3">
      <c r="A370">
        <v>501</v>
      </c>
      <c r="B370" t="s">
        <v>49</v>
      </c>
      <c r="C370" t="s">
        <v>31</v>
      </c>
      <c r="D370">
        <v>11</v>
      </c>
      <c r="E370" t="s">
        <v>46</v>
      </c>
      <c r="F370">
        <v>1</v>
      </c>
      <c r="G370" t="str">
        <f t="shared" si="4"/>
        <v>M0112-A-11-1</v>
      </c>
      <c r="H370">
        <v>21.28</v>
      </c>
      <c r="I370">
        <v>22.79</v>
      </c>
    </row>
    <row r="371" spans="1:9" x14ac:dyDescent="0.3">
      <c r="A371">
        <v>501</v>
      </c>
      <c r="B371" t="s">
        <v>49</v>
      </c>
      <c r="C371" t="s">
        <v>31</v>
      </c>
      <c r="D371">
        <v>11</v>
      </c>
      <c r="E371" t="s">
        <v>46</v>
      </c>
      <c r="F371">
        <v>2</v>
      </c>
      <c r="G371" t="str">
        <f t="shared" si="4"/>
        <v>M0112-A-11-2</v>
      </c>
      <c r="H371">
        <v>22.79</v>
      </c>
      <c r="I371">
        <v>23.91</v>
      </c>
    </row>
    <row r="372" spans="1:9" x14ac:dyDescent="0.3">
      <c r="A372">
        <v>501</v>
      </c>
      <c r="B372" t="s">
        <v>49</v>
      </c>
      <c r="C372" t="s">
        <v>31</v>
      </c>
      <c r="D372">
        <v>12</v>
      </c>
      <c r="E372" t="s">
        <v>46</v>
      </c>
      <c r="F372">
        <v>1</v>
      </c>
      <c r="G372" t="str">
        <f t="shared" si="4"/>
        <v>M0112-A-12-1</v>
      </c>
      <c r="H372">
        <v>23.91</v>
      </c>
      <c r="I372">
        <v>23.92</v>
      </c>
    </row>
    <row r="373" spans="1:9" x14ac:dyDescent="0.3">
      <c r="A373">
        <v>501</v>
      </c>
      <c r="B373" t="s">
        <v>49</v>
      </c>
      <c r="C373" t="s">
        <v>31</v>
      </c>
      <c r="D373">
        <v>13</v>
      </c>
      <c r="E373" t="s">
        <v>46</v>
      </c>
      <c r="F373">
        <v>1</v>
      </c>
      <c r="G373" t="str">
        <f t="shared" si="4"/>
        <v>M0112-A-13-1</v>
      </c>
      <c r="H373">
        <v>23.92</v>
      </c>
      <c r="I373">
        <v>24.33</v>
      </c>
    </row>
    <row r="374" spans="1:9" x14ac:dyDescent="0.3">
      <c r="A374">
        <v>501</v>
      </c>
      <c r="B374" t="s">
        <v>49</v>
      </c>
      <c r="C374" t="s">
        <v>31</v>
      </c>
      <c r="D374">
        <v>14</v>
      </c>
      <c r="E374" t="s">
        <v>46</v>
      </c>
      <c r="F374">
        <v>1</v>
      </c>
      <c r="G374" t="str">
        <f t="shared" si="4"/>
        <v>M0112-A-14-1</v>
      </c>
      <c r="H374">
        <v>24.33</v>
      </c>
      <c r="I374">
        <v>25.79</v>
      </c>
    </row>
    <row r="375" spans="1:9" x14ac:dyDescent="0.3">
      <c r="A375">
        <v>501</v>
      </c>
      <c r="B375" t="s">
        <v>49</v>
      </c>
      <c r="C375" t="s">
        <v>31</v>
      </c>
      <c r="D375">
        <v>15</v>
      </c>
      <c r="E375" t="s">
        <v>46</v>
      </c>
      <c r="F375">
        <v>1</v>
      </c>
      <c r="G375" t="str">
        <f t="shared" si="4"/>
        <v>M0112-A-15-1</v>
      </c>
      <c r="H375">
        <v>25.79</v>
      </c>
      <c r="I375">
        <v>27.3</v>
      </c>
    </row>
    <row r="376" spans="1:9" x14ac:dyDescent="0.3">
      <c r="A376">
        <v>501</v>
      </c>
      <c r="B376" t="s">
        <v>49</v>
      </c>
      <c r="C376" t="s">
        <v>31</v>
      </c>
      <c r="D376">
        <v>15</v>
      </c>
      <c r="E376" t="s">
        <v>46</v>
      </c>
      <c r="F376">
        <v>2</v>
      </c>
      <c r="G376" t="str">
        <f t="shared" ref="G376:G439" si="5">CONCATENATE(B376, "-",C376, "-", D376, "-", F376)</f>
        <v>M0112-A-15-2</v>
      </c>
      <c r="H376">
        <v>27.3</v>
      </c>
      <c r="I376">
        <v>27.67</v>
      </c>
    </row>
    <row r="377" spans="1:9" x14ac:dyDescent="0.3">
      <c r="A377">
        <v>501</v>
      </c>
      <c r="B377" t="s">
        <v>49</v>
      </c>
      <c r="C377" t="s">
        <v>31</v>
      </c>
      <c r="D377">
        <v>16</v>
      </c>
      <c r="E377" t="s">
        <v>46</v>
      </c>
      <c r="F377">
        <v>1</v>
      </c>
      <c r="G377" t="str">
        <f t="shared" si="5"/>
        <v>M0112-A-16-1</v>
      </c>
      <c r="H377">
        <v>27.67</v>
      </c>
      <c r="I377">
        <v>29.16</v>
      </c>
    </row>
    <row r="378" spans="1:9" x14ac:dyDescent="0.3">
      <c r="A378">
        <v>501</v>
      </c>
      <c r="B378" t="s">
        <v>49</v>
      </c>
      <c r="C378" t="s">
        <v>31</v>
      </c>
      <c r="D378">
        <v>16</v>
      </c>
      <c r="E378" t="s">
        <v>46</v>
      </c>
      <c r="F378">
        <v>2</v>
      </c>
      <c r="G378" t="str">
        <f t="shared" si="5"/>
        <v>M0112-A-16-2</v>
      </c>
      <c r="H378">
        <v>29.16</v>
      </c>
      <c r="I378">
        <v>29.48</v>
      </c>
    </row>
    <row r="379" spans="1:9" x14ac:dyDescent="0.3">
      <c r="A379">
        <v>501</v>
      </c>
      <c r="B379" t="s">
        <v>49</v>
      </c>
      <c r="C379" t="s">
        <v>31</v>
      </c>
      <c r="D379">
        <v>17</v>
      </c>
      <c r="E379" t="s">
        <v>46</v>
      </c>
      <c r="F379">
        <v>1</v>
      </c>
      <c r="G379" t="str">
        <f t="shared" si="5"/>
        <v>M0112-A-17-1</v>
      </c>
      <c r="H379">
        <v>29.48</v>
      </c>
      <c r="I379">
        <v>30.1</v>
      </c>
    </row>
    <row r="380" spans="1:9" x14ac:dyDescent="0.3">
      <c r="A380">
        <v>501</v>
      </c>
      <c r="B380" t="s">
        <v>49</v>
      </c>
      <c r="C380" t="s">
        <v>31</v>
      </c>
      <c r="D380">
        <v>19</v>
      </c>
      <c r="E380" t="s">
        <v>46</v>
      </c>
      <c r="F380">
        <v>1</v>
      </c>
      <c r="G380" t="str">
        <f t="shared" si="5"/>
        <v>M0112-A-19-1</v>
      </c>
      <c r="H380">
        <v>32.21</v>
      </c>
      <c r="I380">
        <v>32.799999999999997</v>
      </c>
    </row>
    <row r="381" spans="1:9" x14ac:dyDescent="0.3">
      <c r="A381">
        <v>501</v>
      </c>
      <c r="B381" t="s">
        <v>49</v>
      </c>
      <c r="C381" t="s">
        <v>31</v>
      </c>
      <c r="D381">
        <v>19</v>
      </c>
      <c r="E381" t="s">
        <v>46</v>
      </c>
      <c r="F381">
        <v>2</v>
      </c>
      <c r="G381" t="str">
        <f t="shared" si="5"/>
        <v>M0112-A-19-2</v>
      </c>
      <c r="H381">
        <v>32.799999999999997</v>
      </c>
      <c r="I381">
        <v>33.130000000000003</v>
      </c>
    </row>
    <row r="382" spans="1:9" x14ac:dyDescent="0.3">
      <c r="A382">
        <v>501</v>
      </c>
      <c r="B382" t="s">
        <v>49</v>
      </c>
      <c r="C382" t="s">
        <v>31</v>
      </c>
      <c r="D382">
        <v>20</v>
      </c>
      <c r="E382" t="s">
        <v>46</v>
      </c>
      <c r="F382">
        <v>1</v>
      </c>
      <c r="G382" t="str">
        <f t="shared" si="5"/>
        <v>M0112-A-20-1</v>
      </c>
      <c r="H382">
        <v>33.130000000000003</v>
      </c>
      <c r="I382">
        <v>34.61</v>
      </c>
    </row>
    <row r="383" spans="1:9" x14ac:dyDescent="0.3">
      <c r="A383">
        <v>501</v>
      </c>
      <c r="B383" t="s">
        <v>49</v>
      </c>
      <c r="C383" t="s">
        <v>31</v>
      </c>
      <c r="D383">
        <v>20</v>
      </c>
      <c r="E383" t="s">
        <v>46</v>
      </c>
      <c r="F383">
        <v>2</v>
      </c>
      <c r="G383" t="str">
        <f t="shared" si="5"/>
        <v>M0112-A-20-2</v>
      </c>
      <c r="H383">
        <v>34.61</v>
      </c>
      <c r="I383">
        <v>34.81</v>
      </c>
    </row>
    <row r="384" spans="1:9" x14ac:dyDescent="0.3">
      <c r="A384">
        <v>501</v>
      </c>
      <c r="B384" t="s">
        <v>49</v>
      </c>
      <c r="C384" t="s">
        <v>31</v>
      </c>
      <c r="D384">
        <v>21</v>
      </c>
      <c r="E384" t="s">
        <v>46</v>
      </c>
      <c r="F384">
        <v>1</v>
      </c>
      <c r="G384" t="str">
        <f t="shared" si="5"/>
        <v>M0112-A-21-1</v>
      </c>
      <c r="H384">
        <v>34.81</v>
      </c>
      <c r="I384">
        <v>36.31</v>
      </c>
    </row>
    <row r="385" spans="1:9" x14ac:dyDescent="0.3">
      <c r="A385">
        <v>501</v>
      </c>
      <c r="B385" t="s">
        <v>49</v>
      </c>
      <c r="C385" t="s">
        <v>31</v>
      </c>
      <c r="D385">
        <v>21</v>
      </c>
      <c r="E385" t="s">
        <v>46</v>
      </c>
      <c r="F385">
        <v>2</v>
      </c>
      <c r="G385" t="str">
        <f t="shared" si="5"/>
        <v>M0112-A-21-2</v>
      </c>
      <c r="H385">
        <v>36.31</v>
      </c>
      <c r="I385">
        <v>36.79</v>
      </c>
    </row>
    <row r="386" spans="1:9" x14ac:dyDescent="0.3">
      <c r="A386">
        <v>501</v>
      </c>
      <c r="B386" t="s">
        <v>49</v>
      </c>
      <c r="C386" t="s">
        <v>31</v>
      </c>
      <c r="D386">
        <v>22</v>
      </c>
      <c r="E386" t="s">
        <v>46</v>
      </c>
      <c r="F386">
        <v>1</v>
      </c>
      <c r="G386" t="str">
        <f t="shared" si="5"/>
        <v>M0112-A-22-1</v>
      </c>
      <c r="H386">
        <v>36.79</v>
      </c>
      <c r="I386">
        <v>38.229999999999997</v>
      </c>
    </row>
    <row r="387" spans="1:9" x14ac:dyDescent="0.3">
      <c r="A387">
        <v>501</v>
      </c>
      <c r="B387" t="s">
        <v>49</v>
      </c>
      <c r="C387" t="s">
        <v>31</v>
      </c>
      <c r="D387">
        <v>22</v>
      </c>
      <c r="E387" t="s">
        <v>46</v>
      </c>
      <c r="F387">
        <v>2</v>
      </c>
      <c r="G387" t="str">
        <f t="shared" si="5"/>
        <v>M0112-A-22-2</v>
      </c>
      <c r="H387">
        <v>38.229999999999997</v>
      </c>
      <c r="I387">
        <v>38.590000000000003</v>
      </c>
    </row>
    <row r="388" spans="1:9" x14ac:dyDescent="0.3">
      <c r="A388">
        <v>501</v>
      </c>
      <c r="B388" t="s">
        <v>49</v>
      </c>
      <c r="C388" t="s">
        <v>31</v>
      </c>
      <c r="D388">
        <v>23</v>
      </c>
      <c r="E388" t="s">
        <v>46</v>
      </c>
      <c r="F388">
        <v>1</v>
      </c>
      <c r="G388" t="str">
        <f t="shared" si="5"/>
        <v>M0112-A-23-1</v>
      </c>
      <c r="H388">
        <v>38.590000000000003</v>
      </c>
      <c r="I388">
        <v>40.07</v>
      </c>
    </row>
    <row r="389" spans="1:9" x14ac:dyDescent="0.3">
      <c r="A389">
        <v>501</v>
      </c>
      <c r="B389" t="s">
        <v>49</v>
      </c>
      <c r="C389" t="s">
        <v>31</v>
      </c>
      <c r="D389">
        <v>23</v>
      </c>
      <c r="E389" t="s">
        <v>46</v>
      </c>
      <c r="F389">
        <v>2</v>
      </c>
      <c r="G389" t="str">
        <f t="shared" si="5"/>
        <v>M0112-A-23-2</v>
      </c>
      <c r="H389">
        <v>40.07</v>
      </c>
      <c r="I389">
        <v>41.48</v>
      </c>
    </row>
    <row r="390" spans="1:9" x14ac:dyDescent="0.3">
      <c r="A390">
        <v>501</v>
      </c>
      <c r="B390" t="s">
        <v>49</v>
      </c>
      <c r="C390" t="s">
        <v>31</v>
      </c>
      <c r="D390">
        <v>24</v>
      </c>
      <c r="E390" t="s">
        <v>46</v>
      </c>
      <c r="F390">
        <v>1</v>
      </c>
      <c r="G390" t="str">
        <f t="shared" si="5"/>
        <v>M0112-A-24-1</v>
      </c>
      <c r="H390">
        <v>41.38</v>
      </c>
      <c r="I390">
        <v>42.87</v>
      </c>
    </row>
    <row r="391" spans="1:9" x14ac:dyDescent="0.3">
      <c r="A391">
        <v>501</v>
      </c>
      <c r="B391" t="s">
        <v>49</v>
      </c>
      <c r="C391" t="s">
        <v>31</v>
      </c>
      <c r="D391">
        <v>24</v>
      </c>
      <c r="E391" t="s">
        <v>46</v>
      </c>
      <c r="F391">
        <v>2</v>
      </c>
      <c r="G391" t="str">
        <f t="shared" si="5"/>
        <v>M0112-A-24-2</v>
      </c>
      <c r="H391">
        <v>42.87</v>
      </c>
      <c r="I391">
        <v>44.31</v>
      </c>
    </row>
    <row r="392" spans="1:9" x14ac:dyDescent="0.3">
      <c r="A392">
        <v>501</v>
      </c>
      <c r="B392" t="s">
        <v>49</v>
      </c>
      <c r="C392" t="s">
        <v>31</v>
      </c>
      <c r="D392">
        <v>25</v>
      </c>
      <c r="E392" t="s">
        <v>46</v>
      </c>
      <c r="F392">
        <v>1</v>
      </c>
      <c r="G392" t="str">
        <f t="shared" si="5"/>
        <v>M0112-A-25-1</v>
      </c>
      <c r="H392">
        <v>44.14</v>
      </c>
      <c r="I392">
        <v>45.36</v>
      </c>
    </row>
    <row r="393" spans="1:9" x14ac:dyDescent="0.3">
      <c r="A393">
        <v>501</v>
      </c>
      <c r="B393" t="s">
        <v>49</v>
      </c>
      <c r="C393" t="s">
        <v>31</v>
      </c>
      <c r="D393">
        <v>27</v>
      </c>
      <c r="E393" t="s">
        <v>46</v>
      </c>
      <c r="F393">
        <v>1</v>
      </c>
      <c r="G393" t="str">
        <f t="shared" si="5"/>
        <v>M0112-A-27-1</v>
      </c>
      <c r="H393">
        <v>45.36</v>
      </c>
      <c r="I393">
        <v>46.43</v>
      </c>
    </row>
    <row r="394" spans="1:9" x14ac:dyDescent="0.3">
      <c r="A394">
        <v>501</v>
      </c>
      <c r="B394" t="s">
        <v>49</v>
      </c>
      <c r="C394" t="s">
        <v>31</v>
      </c>
      <c r="D394">
        <v>28</v>
      </c>
      <c r="E394" t="s">
        <v>46</v>
      </c>
      <c r="F394">
        <v>1</v>
      </c>
      <c r="G394" t="str">
        <f t="shared" si="5"/>
        <v>M0112-A-28-1</v>
      </c>
      <c r="H394">
        <v>46.43</v>
      </c>
      <c r="I394">
        <v>47.43</v>
      </c>
    </row>
    <row r="395" spans="1:9" x14ac:dyDescent="0.3">
      <c r="A395">
        <v>501</v>
      </c>
      <c r="B395" t="s">
        <v>49</v>
      </c>
      <c r="C395" t="s">
        <v>31</v>
      </c>
      <c r="D395">
        <v>29</v>
      </c>
      <c r="E395" t="s">
        <v>46</v>
      </c>
      <c r="F395">
        <v>1</v>
      </c>
      <c r="G395" t="str">
        <f t="shared" si="5"/>
        <v>M0112-A-29-1</v>
      </c>
      <c r="H395">
        <v>47.43</v>
      </c>
      <c r="I395">
        <v>47.96</v>
      </c>
    </row>
    <row r="396" spans="1:9" x14ac:dyDescent="0.3">
      <c r="A396">
        <v>501</v>
      </c>
      <c r="B396" t="s">
        <v>49</v>
      </c>
      <c r="C396" t="s">
        <v>31</v>
      </c>
      <c r="D396">
        <v>30</v>
      </c>
      <c r="E396" t="s">
        <v>46</v>
      </c>
      <c r="F396">
        <v>1</v>
      </c>
      <c r="G396" t="str">
        <f t="shared" si="5"/>
        <v>M0112-A-30-1</v>
      </c>
      <c r="H396">
        <v>47.96</v>
      </c>
      <c r="I396">
        <v>48.18</v>
      </c>
    </row>
    <row r="397" spans="1:9" x14ac:dyDescent="0.3">
      <c r="A397">
        <v>501</v>
      </c>
      <c r="B397" t="s">
        <v>49</v>
      </c>
      <c r="C397" t="s">
        <v>31</v>
      </c>
      <c r="D397">
        <v>31</v>
      </c>
      <c r="E397" t="s">
        <v>46</v>
      </c>
      <c r="F397">
        <v>1</v>
      </c>
      <c r="G397" t="str">
        <f t="shared" si="5"/>
        <v>M0112-A-31-1</v>
      </c>
      <c r="H397">
        <v>49.96</v>
      </c>
      <c r="I397">
        <v>51.45</v>
      </c>
    </row>
    <row r="398" spans="1:9" x14ac:dyDescent="0.3">
      <c r="A398">
        <v>501</v>
      </c>
      <c r="B398" t="s">
        <v>49</v>
      </c>
      <c r="C398" t="s">
        <v>31</v>
      </c>
      <c r="D398">
        <v>32</v>
      </c>
      <c r="E398" t="s">
        <v>46</v>
      </c>
      <c r="F398">
        <v>1</v>
      </c>
      <c r="G398" t="str">
        <f t="shared" si="5"/>
        <v>M0112-A-32-1</v>
      </c>
      <c r="H398">
        <v>51.45</v>
      </c>
      <c r="I398">
        <v>52.95</v>
      </c>
    </row>
    <row r="399" spans="1:9" x14ac:dyDescent="0.3">
      <c r="A399">
        <v>501</v>
      </c>
      <c r="B399" t="s">
        <v>49</v>
      </c>
      <c r="C399" t="s">
        <v>31</v>
      </c>
      <c r="D399">
        <v>32</v>
      </c>
      <c r="E399" t="s">
        <v>46</v>
      </c>
      <c r="F399">
        <v>2</v>
      </c>
      <c r="G399" t="str">
        <f t="shared" si="5"/>
        <v>M0112-A-32-2</v>
      </c>
      <c r="H399">
        <v>52.95</v>
      </c>
      <c r="I399">
        <v>53.61</v>
      </c>
    </row>
    <row r="400" spans="1:9" x14ac:dyDescent="0.3">
      <c r="A400">
        <v>501</v>
      </c>
      <c r="B400" t="s">
        <v>49</v>
      </c>
      <c r="C400" t="s">
        <v>31</v>
      </c>
      <c r="D400">
        <v>33</v>
      </c>
      <c r="E400" t="s">
        <v>46</v>
      </c>
      <c r="F400">
        <v>1</v>
      </c>
      <c r="G400" t="str">
        <f t="shared" si="5"/>
        <v>M0112-A-33-1</v>
      </c>
      <c r="H400">
        <v>53.61</v>
      </c>
      <c r="I400">
        <v>54.51</v>
      </c>
    </row>
    <row r="401" spans="1:9" x14ac:dyDescent="0.3">
      <c r="A401">
        <v>501</v>
      </c>
      <c r="B401" t="s">
        <v>49</v>
      </c>
      <c r="C401" t="s">
        <v>31</v>
      </c>
      <c r="D401">
        <v>33</v>
      </c>
      <c r="E401" t="s">
        <v>46</v>
      </c>
      <c r="F401">
        <v>2</v>
      </c>
      <c r="G401" t="str">
        <f t="shared" si="5"/>
        <v>M0112-A-33-2</v>
      </c>
      <c r="H401">
        <v>54.51</v>
      </c>
      <c r="I401">
        <v>55.15</v>
      </c>
    </row>
    <row r="402" spans="1:9" x14ac:dyDescent="0.3">
      <c r="A402">
        <v>501</v>
      </c>
      <c r="B402" t="s">
        <v>49</v>
      </c>
      <c r="C402" t="s">
        <v>31</v>
      </c>
      <c r="D402">
        <v>34</v>
      </c>
      <c r="E402" t="s">
        <v>46</v>
      </c>
      <c r="F402">
        <v>1</v>
      </c>
      <c r="G402" t="str">
        <f t="shared" si="5"/>
        <v>M0112-A-34-1</v>
      </c>
      <c r="H402">
        <v>55.15</v>
      </c>
      <c r="I402">
        <v>56.15</v>
      </c>
    </row>
    <row r="403" spans="1:9" x14ac:dyDescent="0.3">
      <c r="A403">
        <v>501</v>
      </c>
      <c r="B403" t="s">
        <v>49</v>
      </c>
      <c r="C403" t="s">
        <v>31</v>
      </c>
      <c r="D403">
        <v>34</v>
      </c>
      <c r="E403" t="s">
        <v>46</v>
      </c>
      <c r="F403">
        <v>2</v>
      </c>
      <c r="G403" t="str">
        <f t="shared" si="5"/>
        <v>M0112-A-34-2</v>
      </c>
      <c r="H403">
        <v>56.15</v>
      </c>
      <c r="I403">
        <v>56.31</v>
      </c>
    </row>
    <row r="404" spans="1:9" x14ac:dyDescent="0.3">
      <c r="A404">
        <v>501</v>
      </c>
      <c r="B404" t="s">
        <v>49</v>
      </c>
      <c r="C404" t="s">
        <v>31</v>
      </c>
      <c r="D404">
        <v>35</v>
      </c>
      <c r="E404" t="s">
        <v>34</v>
      </c>
      <c r="F404">
        <v>1</v>
      </c>
      <c r="G404" t="str">
        <f t="shared" si="5"/>
        <v>M0112-A-35-1</v>
      </c>
      <c r="H404">
        <v>56.3</v>
      </c>
      <c r="I404">
        <v>56.68</v>
      </c>
    </row>
    <row r="405" spans="1:9" x14ac:dyDescent="0.3">
      <c r="A405">
        <v>501</v>
      </c>
      <c r="B405" t="s">
        <v>49</v>
      </c>
      <c r="C405" t="s">
        <v>31</v>
      </c>
      <c r="D405">
        <v>36</v>
      </c>
      <c r="E405" t="s">
        <v>34</v>
      </c>
      <c r="F405">
        <v>1</v>
      </c>
      <c r="G405" t="str">
        <f t="shared" si="5"/>
        <v>M0112-A-36-1</v>
      </c>
      <c r="H405">
        <v>56.3</v>
      </c>
      <c r="I405">
        <v>57.8</v>
      </c>
    </row>
    <row r="406" spans="1:9" x14ac:dyDescent="0.3">
      <c r="A406">
        <v>501</v>
      </c>
      <c r="B406" t="s">
        <v>49</v>
      </c>
      <c r="C406" t="s">
        <v>31</v>
      </c>
      <c r="D406">
        <v>36</v>
      </c>
      <c r="E406" t="s">
        <v>34</v>
      </c>
      <c r="F406">
        <v>2</v>
      </c>
      <c r="G406" t="str">
        <f t="shared" si="5"/>
        <v>M0112-A-36-2</v>
      </c>
      <c r="H406">
        <v>57.8</v>
      </c>
      <c r="I406">
        <v>59.3</v>
      </c>
    </row>
    <row r="407" spans="1:9" x14ac:dyDescent="0.3">
      <c r="A407">
        <v>501</v>
      </c>
      <c r="B407" t="s">
        <v>49</v>
      </c>
      <c r="C407" t="s">
        <v>31</v>
      </c>
      <c r="D407">
        <v>37</v>
      </c>
      <c r="E407" t="s">
        <v>34</v>
      </c>
      <c r="F407">
        <v>1</v>
      </c>
      <c r="G407" t="str">
        <f t="shared" si="5"/>
        <v>M0112-A-37-1</v>
      </c>
      <c r="H407">
        <v>59.21</v>
      </c>
      <c r="I407">
        <v>59.52</v>
      </c>
    </row>
    <row r="408" spans="1:9" x14ac:dyDescent="0.3">
      <c r="A408">
        <v>501</v>
      </c>
      <c r="B408" t="s">
        <v>49</v>
      </c>
      <c r="C408" t="s">
        <v>31</v>
      </c>
      <c r="D408">
        <v>38</v>
      </c>
      <c r="E408" t="s">
        <v>34</v>
      </c>
      <c r="F408">
        <v>1</v>
      </c>
      <c r="G408" t="str">
        <f t="shared" si="5"/>
        <v>M0112-A-38-1</v>
      </c>
      <c r="H408">
        <v>59.61</v>
      </c>
      <c r="I408">
        <v>60.11</v>
      </c>
    </row>
    <row r="409" spans="1:9" x14ac:dyDescent="0.3">
      <c r="A409">
        <v>501</v>
      </c>
      <c r="B409" t="s">
        <v>49</v>
      </c>
      <c r="C409" t="s">
        <v>31</v>
      </c>
      <c r="D409">
        <v>39</v>
      </c>
      <c r="E409" t="s">
        <v>34</v>
      </c>
      <c r="F409">
        <v>1</v>
      </c>
      <c r="G409" t="str">
        <f t="shared" si="5"/>
        <v>M0112-A-39-1</v>
      </c>
      <c r="H409">
        <v>60.51</v>
      </c>
      <c r="I409">
        <v>61.27</v>
      </c>
    </row>
    <row r="410" spans="1:9" x14ac:dyDescent="0.3">
      <c r="A410">
        <v>501</v>
      </c>
      <c r="B410" t="s">
        <v>49</v>
      </c>
      <c r="C410" t="s">
        <v>31</v>
      </c>
      <c r="D410">
        <v>40</v>
      </c>
      <c r="E410" t="s">
        <v>34</v>
      </c>
      <c r="F410">
        <v>1</v>
      </c>
      <c r="G410" t="str">
        <f t="shared" si="5"/>
        <v>M0112-A-40-1</v>
      </c>
      <c r="H410">
        <v>62.21</v>
      </c>
      <c r="I410">
        <v>63.21</v>
      </c>
    </row>
    <row r="411" spans="1:9" x14ac:dyDescent="0.3">
      <c r="A411">
        <v>501</v>
      </c>
      <c r="B411" t="s">
        <v>49</v>
      </c>
      <c r="C411" t="s">
        <v>31</v>
      </c>
      <c r="D411">
        <v>40</v>
      </c>
      <c r="E411" t="s">
        <v>34</v>
      </c>
      <c r="F411">
        <v>2</v>
      </c>
      <c r="G411" t="str">
        <f t="shared" si="5"/>
        <v>M0112-A-40-2</v>
      </c>
      <c r="H411">
        <v>63.21</v>
      </c>
      <c r="I411">
        <v>63.56</v>
      </c>
    </row>
    <row r="412" spans="1:9" x14ac:dyDescent="0.3">
      <c r="A412">
        <v>501</v>
      </c>
      <c r="B412" t="s">
        <v>49</v>
      </c>
      <c r="C412" t="s">
        <v>31</v>
      </c>
      <c r="D412">
        <v>41</v>
      </c>
      <c r="E412" t="s">
        <v>46</v>
      </c>
      <c r="F412">
        <v>1</v>
      </c>
      <c r="G412" t="str">
        <f t="shared" si="5"/>
        <v>M0112-A-41-1</v>
      </c>
      <c r="H412">
        <v>65.209999999999994</v>
      </c>
      <c r="I412">
        <v>66.7</v>
      </c>
    </row>
    <row r="413" spans="1:9" x14ac:dyDescent="0.3">
      <c r="A413">
        <v>501</v>
      </c>
      <c r="B413" t="s">
        <v>49</v>
      </c>
      <c r="C413" t="s">
        <v>31</v>
      </c>
      <c r="D413">
        <v>41</v>
      </c>
      <c r="E413" t="s">
        <v>46</v>
      </c>
      <c r="F413">
        <v>2</v>
      </c>
      <c r="G413" t="str">
        <f t="shared" si="5"/>
        <v>M0112-A-41-2</v>
      </c>
      <c r="H413">
        <v>66.7</v>
      </c>
      <c r="I413">
        <v>68.09</v>
      </c>
    </row>
    <row r="414" spans="1:9" x14ac:dyDescent="0.3">
      <c r="A414">
        <v>501</v>
      </c>
      <c r="B414" t="s">
        <v>49</v>
      </c>
      <c r="C414" t="s">
        <v>31</v>
      </c>
      <c r="D414">
        <v>42</v>
      </c>
      <c r="E414" t="s">
        <v>46</v>
      </c>
      <c r="F414">
        <v>1</v>
      </c>
      <c r="G414" t="str">
        <f t="shared" si="5"/>
        <v>M0112-A-42-1</v>
      </c>
      <c r="H414">
        <v>67.59</v>
      </c>
      <c r="I414">
        <v>68.34</v>
      </c>
    </row>
    <row r="415" spans="1:9" x14ac:dyDescent="0.3">
      <c r="A415">
        <v>501</v>
      </c>
      <c r="B415" t="s">
        <v>49</v>
      </c>
      <c r="C415" t="s">
        <v>31</v>
      </c>
      <c r="D415">
        <v>43</v>
      </c>
      <c r="E415" t="s">
        <v>46</v>
      </c>
      <c r="F415">
        <v>1</v>
      </c>
      <c r="G415" t="str">
        <f t="shared" si="5"/>
        <v>M0112-A-43-1</v>
      </c>
      <c r="H415">
        <v>68.34</v>
      </c>
      <c r="I415">
        <v>69.14</v>
      </c>
    </row>
    <row r="416" spans="1:9" x14ac:dyDescent="0.3">
      <c r="A416">
        <v>501</v>
      </c>
      <c r="B416" t="s">
        <v>49</v>
      </c>
      <c r="C416" t="s">
        <v>31</v>
      </c>
      <c r="D416">
        <v>43</v>
      </c>
      <c r="E416" t="s">
        <v>46</v>
      </c>
      <c r="F416">
        <v>2</v>
      </c>
      <c r="G416" t="str">
        <f t="shared" si="5"/>
        <v>M0112-A-43-2</v>
      </c>
      <c r="H416">
        <v>69.14</v>
      </c>
      <c r="I416">
        <v>69.42</v>
      </c>
    </row>
    <row r="417" spans="1:9" x14ac:dyDescent="0.3">
      <c r="A417">
        <v>501</v>
      </c>
      <c r="B417" t="s">
        <v>49</v>
      </c>
      <c r="C417" t="s">
        <v>31</v>
      </c>
      <c r="D417">
        <v>44</v>
      </c>
      <c r="E417" t="s">
        <v>46</v>
      </c>
      <c r="F417">
        <v>1</v>
      </c>
      <c r="G417" t="str">
        <f t="shared" si="5"/>
        <v>M0112-A-44-1</v>
      </c>
      <c r="H417">
        <v>69.42</v>
      </c>
      <c r="I417">
        <v>70.290000000000006</v>
      </c>
    </row>
    <row r="418" spans="1:9" x14ac:dyDescent="0.3">
      <c r="A418">
        <v>501</v>
      </c>
      <c r="B418" t="s">
        <v>49</v>
      </c>
      <c r="C418" t="s">
        <v>31</v>
      </c>
      <c r="D418">
        <v>45</v>
      </c>
      <c r="E418" t="s">
        <v>46</v>
      </c>
      <c r="F418">
        <v>1</v>
      </c>
      <c r="G418" t="str">
        <f t="shared" si="5"/>
        <v>M0112-A-45-1</v>
      </c>
      <c r="H418">
        <v>70.08</v>
      </c>
      <c r="I418">
        <v>71.11</v>
      </c>
    </row>
    <row r="419" spans="1:9" x14ac:dyDescent="0.3">
      <c r="A419">
        <v>501</v>
      </c>
      <c r="B419" t="s">
        <v>49</v>
      </c>
      <c r="C419" t="s">
        <v>31</v>
      </c>
      <c r="D419">
        <v>46</v>
      </c>
      <c r="E419" t="s">
        <v>46</v>
      </c>
      <c r="F419">
        <v>1</v>
      </c>
      <c r="G419" t="str">
        <f t="shared" si="5"/>
        <v>M0112-A-46-1</v>
      </c>
      <c r="H419">
        <v>71.11</v>
      </c>
      <c r="I419">
        <v>71.959999999999994</v>
      </c>
    </row>
    <row r="420" spans="1:9" x14ac:dyDescent="0.3">
      <c r="A420">
        <v>501</v>
      </c>
      <c r="B420" t="s">
        <v>49</v>
      </c>
      <c r="C420" t="s">
        <v>31</v>
      </c>
      <c r="D420">
        <v>46</v>
      </c>
      <c r="E420" t="s">
        <v>46</v>
      </c>
      <c r="F420">
        <v>2</v>
      </c>
      <c r="G420" t="str">
        <f t="shared" si="5"/>
        <v>M0112-A-46-2</v>
      </c>
      <c r="H420">
        <v>71.959999999999994</v>
      </c>
      <c r="I420">
        <v>72.180000000000007</v>
      </c>
    </row>
    <row r="421" spans="1:9" x14ac:dyDescent="0.3">
      <c r="A421">
        <v>501</v>
      </c>
      <c r="B421" t="s">
        <v>49</v>
      </c>
      <c r="C421" t="s">
        <v>31</v>
      </c>
      <c r="D421">
        <v>47</v>
      </c>
      <c r="E421" t="s">
        <v>46</v>
      </c>
      <c r="F421">
        <v>1</v>
      </c>
      <c r="G421" t="str">
        <f t="shared" si="5"/>
        <v>M0112-A-47-1</v>
      </c>
      <c r="H421">
        <v>72.180000000000007</v>
      </c>
      <c r="I421">
        <v>72.86</v>
      </c>
    </row>
    <row r="422" spans="1:9" x14ac:dyDescent="0.3">
      <c r="A422">
        <v>501</v>
      </c>
      <c r="B422" t="s">
        <v>49</v>
      </c>
      <c r="C422" t="s">
        <v>31</v>
      </c>
      <c r="D422">
        <v>48</v>
      </c>
      <c r="E422" t="s">
        <v>46</v>
      </c>
      <c r="F422">
        <v>1</v>
      </c>
      <c r="G422" t="str">
        <f t="shared" si="5"/>
        <v>M0112-A-48-1</v>
      </c>
      <c r="H422">
        <v>72.86</v>
      </c>
      <c r="I422">
        <v>73.010000000000005</v>
      </c>
    </row>
    <row r="423" spans="1:9" x14ac:dyDescent="0.3">
      <c r="A423">
        <v>501</v>
      </c>
      <c r="B423" t="s">
        <v>49</v>
      </c>
      <c r="C423" t="s">
        <v>31</v>
      </c>
      <c r="D423">
        <v>48</v>
      </c>
      <c r="E423" t="s">
        <v>46</v>
      </c>
      <c r="F423">
        <v>2</v>
      </c>
      <c r="G423" t="str">
        <f t="shared" si="5"/>
        <v>M0112-A-48-2</v>
      </c>
      <c r="H423">
        <v>73.010000000000005</v>
      </c>
      <c r="I423">
        <v>74.19</v>
      </c>
    </row>
    <row r="424" spans="1:9" x14ac:dyDescent="0.3">
      <c r="A424">
        <v>501</v>
      </c>
      <c r="B424" t="s">
        <v>49</v>
      </c>
      <c r="C424" t="s">
        <v>31</v>
      </c>
      <c r="D424">
        <v>49</v>
      </c>
      <c r="E424" t="s">
        <v>46</v>
      </c>
      <c r="F424">
        <v>1</v>
      </c>
      <c r="G424" t="str">
        <f t="shared" si="5"/>
        <v>M0112-A-49-1</v>
      </c>
      <c r="H424">
        <v>74.19</v>
      </c>
      <c r="I424">
        <v>75.39</v>
      </c>
    </row>
    <row r="425" spans="1:9" x14ac:dyDescent="0.3">
      <c r="A425">
        <v>501</v>
      </c>
      <c r="B425" t="s">
        <v>49</v>
      </c>
      <c r="C425" t="s">
        <v>31</v>
      </c>
      <c r="D425">
        <v>50</v>
      </c>
      <c r="E425" t="s">
        <v>34</v>
      </c>
      <c r="F425">
        <v>1</v>
      </c>
      <c r="G425" t="str">
        <f t="shared" si="5"/>
        <v>M0112-A-50-1</v>
      </c>
      <c r="H425">
        <v>75.39</v>
      </c>
      <c r="I425">
        <v>76.69</v>
      </c>
    </row>
    <row r="426" spans="1:9" x14ac:dyDescent="0.3">
      <c r="A426">
        <v>501</v>
      </c>
      <c r="B426" t="s">
        <v>49</v>
      </c>
      <c r="C426" t="s">
        <v>31</v>
      </c>
      <c r="D426">
        <v>50</v>
      </c>
      <c r="E426" t="s">
        <v>34</v>
      </c>
      <c r="F426">
        <v>2</v>
      </c>
      <c r="G426" t="str">
        <f t="shared" si="5"/>
        <v>M0112-A-50-2</v>
      </c>
      <c r="H426">
        <v>76.69</v>
      </c>
      <c r="I426">
        <v>77.42</v>
      </c>
    </row>
    <row r="427" spans="1:9" x14ac:dyDescent="0.3">
      <c r="A427">
        <v>501</v>
      </c>
      <c r="B427" t="s">
        <v>49</v>
      </c>
      <c r="C427" t="s">
        <v>31</v>
      </c>
      <c r="D427">
        <v>51</v>
      </c>
      <c r="E427" t="s">
        <v>34</v>
      </c>
      <c r="F427">
        <v>1</v>
      </c>
      <c r="G427" t="str">
        <f t="shared" si="5"/>
        <v>M0112-A-51-1</v>
      </c>
      <c r="H427">
        <v>77.239999999999995</v>
      </c>
      <c r="I427">
        <v>78.739999999999995</v>
      </c>
    </row>
    <row r="428" spans="1:9" x14ac:dyDescent="0.3">
      <c r="A428">
        <v>501</v>
      </c>
      <c r="B428" t="s">
        <v>49</v>
      </c>
      <c r="C428" t="s">
        <v>31</v>
      </c>
      <c r="D428">
        <v>51</v>
      </c>
      <c r="E428" t="s">
        <v>34</v>
      </c>
      <c r="F428">
        <v>2</v>
      </c>
      <c r="G428" t="str">
        <f t="shared" si="5"/>
        <v>M0112-A-51-2</v>
      </c>
      <c r="H428">
        <v>78.739999999999995</v>
      </c>
      <c r="I428">
        <v>79.989999999999995</v>
      </c>
    </row>
    <row r="429" spans="1:9" x14ac:dyDescent="0.3">
      <c r="A429">
        <v>501</v>
      </c>
      <c r="B429" t="s">
        <v>49</v>
      </c>
      <c r="C429" t="s">
        <v>31</v>
      </c>
      <c r="D429">
        <v>51</v>
      </c>
      <c r="E429" t="s">
        <v>34</v>
      </c>
      <c r="F429">
        <v>3</v>
      </c>
      <c r="G429" t="str">
        <f t="shared" si="5"/>
        <v>M0112-A-51-3</v>
      </c>
      <c r="H429">
        <v>79.989999999999995</v>
      </c>
      <c r="I429">
        <v>80.34</v>
      </c>
    </row>
    <row r="430" spans="1:9" x14ac:dyDescent="0.3">
      <c r="A430">
        <v>501</v>
      </c>
      <c r="B430" t="s">
        <v>49</v>
      </c>
      <c r="C430" t="s">
        <v>31</v>
      </c>
      <c r="D430">
        <v>52</v>
      </c>
      <c r="E430" t="s">
        <v>34</v>
      </c>
      <c r="F430">
        <v>1</v>
      </c>
      <c r="G430" t="str">
        <f t="shared" si="5"/>
        <v>M0112-A-52-1</v>
      </c>
      <c r="H430">
        <v>80.209999999999994</v>
      </c>
      <c r="I430">
        <v>81.709999999999994</v>
      </c>
    </row>
    <row r="431" spans="1:9" x14ac:dyDescent="0.3">
      <c r="A431">
        <v>501</v>
      </c>
      <c r="B431" t="s">
        <v>49</v>
      </c>
      <c r="C431" t="s">
        <v>31</v>
      </c>
      <c r="D431">
        <v>52</v>
      </c>
      <c r="E431" t="s">
        <v>34</v>
      </c>
      <c r="F431">
        <v>2</v>
      </c>
      <c r="G431" t="str">
        <f t="shared" si="5"/>
        <v>M0112-A-52-2</v>
      </c>
      <c r="H431">
        <v>81.709999999999994</v>
      </c>
      <c r="I431">
        <v>82.56</v>
      </c>
    </row>
    <row r="432" spans="1:9" x14ac:dyDescent="0.3">
      <c r="A432">
        <v>501</v>
      </c>
      <c r="B432" t="s">
        <v>49</v>
      </c>
      <c r="C432" t="s">
        <v>31</v>
      </c>
      <c r="D432">
        <v>53</v>
      </c>
      <c r="E432" t="s">
        <v>34</v>
      </c>
      <c r="F432">
        <v>1</v>
      </c>
      <c r="G432" t="str">
        <f t="shared" si="5"/>
        <v>M0112-A-53-1</v>
      </c>
      <c r="H432">
        <v>83.21</v>
      </c>
      <c r="I432">
        <v>83.93</v>
      </c>
    </row>
    <row r="433" spans="1:9" x14ac:dyDescent="0.3">
      <c r="A433">
        <v>501</v>
      </c>
      <c r="B433" t="s">
        <v>49</v>
      </c>
      <c r="C433" t="s">
        <v>31</v>
      </c>
      <c r="D433">
        <v>54</v>
      </c>
      <c r="E433" t="s">
        <v>34</v>
      </c>
      <c r="F433">
        <v>1</v>
      </c>
      <c r="G433" t="str">
        <f t="shared" si="5"/>
        <v>M0112-A-54-1</v>
      </c>
      <c r="H433">
        <v>86.21</v>
      </c>
      <c r="I433">
        <v>86.98</v>
      </c>
    </row>
    <row r="434" spans="1:9" x14ac:dyDescent="0.3">
      <c r="A434">
        <v>501</v>
      </c>
      <c r="B434" t="s">
        <v>49</v>
      </c>
      <c r="C434" t="s">
        <v>31</v>
      </c>
      <c r="D434">
        <v>55</v>
      </c>
      <c r="E434" t="s">
        <v>34</v>
      </c>
      <c r="F434">
        <v>1</v>
      </c>
      <c r="G434" t="str">
        <f t="shared" si="5"/>
        <v>M0112-A-55-1</v>
      </c>
      <c r="H434">
        <v>87.71</v>
      </c>
      <c r="I434">
        <v>88.89</v>
      </c>
    </row>
    <row r="435" spans="1:9" x14ac:dyDescent="0.3">
      <c r="A435">
        <v>501</v>
      </c>
      <c r="B435" t="s">
        <v>49</v>
      </c>
      <c r="C435" t="s">
        <v>31</v>
      </c>
      <c r="D435">
        <v>55</v>
      </c>
      <c r="E435" t="s">
        <v>34</v>
      </c>
      <c r="F435">
        <v>2</v>
      </c>
      <c r="G435" t="str">
        <f t="shared" si="5"/>
        <v>M0112-A-55-2</v>
      </c>
      <c r="H435">
        <v>88.89</v>
      </c>
      <c r="I435">
        <v>89.24</v>
      </c>
    </row>
    <row r="436" spans="1:9" x14ac:dyDescent="0.3">
      <c r="A436">
        <v>501</v>
      </c>
      <c r="B436" t="s">
        <v>49</v>
      </c>
      <c r="C436" t="s">
        <v>31</v>
      </c>
      <c r="D436">
        <v>56</v>
      </c>
      <c r="E436" t="s">
        <v>34</v>
      </c>
      <c r="F436">
        <v>1</v>
      </c>
      <c r="G436" t="str">
        <f t="shared" si="5"/>
        <v>M0112-A-56-1</v>
      </c>
      <c r="H436">
        <v>89.21</v>
      </c>
      <c r="I436">
        <v>90.69</v>
      </c>
    </row>
    <row r="437" spans="1:9" x14ac:dyDescent="0.3">
      <c r="A437">
        <v>501</v>
      </c>
      <c r="B437" t="s">
        <v>49</v>
      </c>
      <c r="C437" t="s">
        <v>31</v>
      </c>
      <c r="D437">
        <v>57</v>
      </c>
      <c r="E437" t="s">
        <v>34</v>
      </c>
      <c r="F437">
        <v>1</v>
      </c>
      <c r="G437" t="str">
        <f t="shared" si="5"/>
        <v>M0112-A-57-1</v>
      </c>
      <c r="H437">
        <v>90.71</v>
      </c>
      <c r="I437">
        <v>91.94</v>
      </c>
    </row>
    <row r="438" spans="1:9" x14ac:dyDescent="0.3">
      <c r="A438">
        <v>501</v>
      </c>
      <c r="B438" t="s">
        <v>49</v>
      </c>
      <c r="C438" t="s">
        <v>31</v>
      </c>
      <c r="D438">
        <v>57</v>
      </c>
      <c r="E438" t="s">
        <v>34</v>
      </c>
      <c r="F438">
        <v>2</v>
      </c>
      <c r="G438" t="str">
        <f t="shared" si="5"/>
        <v>M0112-A-57-2</v>
      </c>
      <c r="H438">
        <v>91.94</v>
      </c>
      <c r="I438">
        <v>92.37</v>
      </c>
    </row>
    <row r="439" spans="1:9" x14ac:dyDescent="0.3">
      <c r="A439">
        <v>501</v>
      </c>
      <c r="B439" t="s">
        <v>49</v>
      </c>
      <c r="C439" t="s">
        <v>31</v>
      </c>
      <c r="D439">
        <v>58</v>
      </c>
      <c r="E439" t="s">
        <v>34</v>
      </c>
      <c r="F439">
        <v>1</v>
      </c>
      <c r="G439" t="str">
        <f t="shared" si="5"/>
        <v>M0112-A-58-1</v>
      </c>
      <c r="H439">
        <v>92.21</v>
      </c>
      <c r="I439">
        <v>93.27</v>
      </c>
    </row>
    <row r="440" spans="1:9" x14ac:dyDescent="0.3">
      <c r="A440">
        <v>501</v>
      </c>
      <c r="B440" t="s">
        <v>49</v>
      </c>
      <c r="C440" t="s">
        <v>31</v>
      </c>
      <c r="D440">
        <v>58</v>
      </c>
      <c r="E440" t="s">
        <v>34</v>
      </c>
      <c r="F440">
        <v>2</v>
      </c>
      <c r="G440" t="str">
        <f t="shared" ref="G440:G503" si="6">CONCATENATE(B440, "-",C440, "-", D440, "-", F440)</f>
        <v>M0112-A-58-2</v>
      </c>
      <c r="H440">
        <v>93.27</v>
      </c>
      <c r="I440">
        <v>93.86</v>
      </c>
    </row>
    <row r="441" spans="1:9" x14ac:dyDescent="0.3">
      <c r="A441">
        <v>501</v>
      </c>
      <c r="B441" t="s">
        <v>49</v>
      </c>
      <c r="C441" t="s">
        <v>31</v>
      </c>
      <c r="D441">
        <v>59</v>
      </c>
      <c r="E441" t="s">
        <v>34</v>
      </c>
      <c r="F441">
        <v>1</v>
      </c>
      <c r="G441" t="str">
        <f t="shared" si="6"/>
        <v>M0112-A-59-1</v>
      </c>
      <c r="H441">
        <v>93.71</v>
      </c>
      <c r="I441">
        <v>95.13</v>
      </c>
    </row>
    <row r="442" spans="1:9" x14ac:dyDescent="0.3">
      <c r="A442">
        <v>501</v>
      </c>
      <c r="B442" t="s">
        <v>49</v>
      </c>
      <c r="C442" t="s">
        <v>31</v>
      </c>
      <c r="D442">
        <v>60</v>
      </c>
      <c r="E442" t="s">
        <v>34</v>
      </c>
      <c r="F442">
        <v>1</v>
      </c>
      <c r="G442" t="str">
        <f t="shared" si="6"/>
        <v>M0112-A-60-1</v>
      </c>
      <c r="H442">
        <v>95.21</v>
      </c>
      <c r="I442">
        <v>95.88</v>
      </c>
    </row>
    <row r="443" spans="1:9" x14ac:dyDescent="0.3">
      <c r="A443">
        <v>501</v>
      </c>
      <c r="B443" t="s">
        <v>49</v>
      </c>
      <c r="C443" t="s">
        <v>31</v>
      </c>
      <c r="D443">
        <v>62</v>
      </c>
      <c r="E443" t="s">
        <v>46</v>
      </c>
      <c r="F443">
        <v>1</v>
      </c>
      <c r="G443" t="str">
        <f t="shared" si="6"/>
        <v>M0112-A-62-1</v>
      </c>
      <c r="H443">
        <v>97.41</v>
      </c>
      <c r="I443">
        <v>98.61</v>
      </c>
    </row>
    <row r="444" spans="1:9" x14ac:dyDescent="0.3">
      <c r="A444">
        <v>501</v>
      </c>
      <c r="B444" t="s">
        <v>49</v>
      </c>
      <c r="C444" t="s">
        <v>31</v>
      </c>
      <c r="D444">
        <v>62</v>
      </c>
      <c r="E444" t="s">
        <v>46</v>
      </c>
      <c r="F444">
        <v>2</v>
      </c>
      <c r="G444" t="str">
        <f t="shared" si="6"/>
        <v>M0112-A-62-2</v>
      </c>
      <c r="H444">
        <v>98.61</v>
      </c>
      <c r="I444">
        <v>99.26</v>
      </c>
    </row>
    <row r="445" spans="1:9" x14ac:dyDescent="0.3">
      <c r="A445">
        <v>501</v>
      </c>
      <c r="B445" t="s">
        <v>49</v>
      </c>
      <c r="C445" t="s">
        <v>31</v>
      </c>
      <c r="D445">
        <v>63</v>
      </c>
      <c r="E445" t="s">
        <v>34</v>
      </c>
      <c r="F445">
        <v>1</v>
      </c>
      <c r="G445" t="str">
        <f t="shared" si="6"/>
        <v>M0112-A-63-1</v>
      </c>
      <c r="H445">
        <v>98.86</v>
      </c>
      <c r="I445">
        <v>98.98</v>
      </c>
    </row>
    <row r="446" spans="1:9" x14ac:dyDescent="0.3">
      <c r="A446">
        <v>501</v>
      </c>
      <c r="B446" t="s">
        <v>49</v>
      </c>
      <c r="C446" t="s">
        <v>31</v>
      </c>
      <c r="D446">
        <v>64</v>
      </c>
      <c r="E446" t="s">
        <v>34</v>
      </c>
      <c r="F446">
        <v>1</v>
      </c>
      <c r="G446" t="str">
        <f t="shared" si="6"/>
        <v>M0112-A-64-1</v>
      </c>
      <c r="H446">
        <v>99.46</v>
      </c>
      <c r="I446">
        <v>99.73</v>
      </c>
    </row>
    <row r="447" spans="1:9" x14ac:dyDescent="0.3">
      <c r="A447">
        <v>501</v>
      </c>
      <c r="B447" t="s">
        <v>49</v>
      </c>
      <c r="C447" t="s">
        <v>31</v>
      </c>
      <c r="D447">
        <v>66</v>
      </c>
      <c r="E447" t="s">
        <v>46</v>
      </c>
      <c r="F447">
        <v>1</v>
      </c>
      <c r="G447" t="str">
        <f t="shared" si="6"/>
        <v>M0112-A-66-1</v>
      </c>
      <c r="H447">
        <v>102.21</v>
      </c>
      <c r="I447">
        <v>102.33</v>
      </c>
    </row>
    <row r="448" spans="1:9" x14ac:dyDescent="0.3">
      <c r="A448">
        <v>501</v>
      </c>
      <c r="B448" t="s">
        <v>49</v>
      </c>
      <c r="C448" t="s">
        <v>31</v>
      </c>
      <c r="D448">
        <v>67</v>
      </c>
      <c r="E448" t="s">
        <v>46</v>
      </c>
      <c r="F448">
        <v>1</v>
      </c>
      <c r="G448" t="str">
        <f t="shared" si="6"/>
        <v>M0112-A-67-1</v>
      </c>
      <c r="H448">
        <v>102.33</v>
      </c>
      <c r="I448">
        <v>103.24</v>
      </c>
    </row>
    <row r="449" spans="1:9" x14ac:dyDescent="0.3">
      <c r="A449">
        <v>501</v>
      </c>
      <c r="B449" t="s">
        <v>49</v>
      </c>
      <c r="C449" t="s">
        <v>31</v>
      </c>
      <c r="D449">
        <v>68</v>
      </c>
      <c r="E449" t="s">
        <v>46</v>
      </c>
      <c r="F449">
        <v>1</v>
      </c>
      <c r="G449" t="str">
        <f t="shared" si="6"/>
        <v>M0112-A-68-1</v>
      </c>
      <c r="H449">
        <v>103.24</v>
      </c>
      <c r="I449">
        <v>103.38</v>
      </c>
    </row>
    <row r="450" spans="1:9" x14ac:dyDescent="0.3">
      <c r="A450">
        <v>501</v>
      </c>
      <c r="B450" t="s">
        <v>49</v>
      </c>
      <c r="C450" t="s">
        <v>31</v>
      </c>
      <c r="D450">
        <v>69</v>
      </c>
      <c r="E450" t="s">
        <v>34</v>
      </c>
      <c r="F450">
        <v>1</v>
      </c>
      <c r="G450" t="str">
        <f t="shared" si="6"/>
        <v>M0112-A-69-1</v>
      </c>
      <c r="H450">
        <v>103.38</v>
      </c>
      <c r="I450">
        <v>103.65</v>
      </c>
    </row>
    <row r="451" spans="1:9" x14ac:dyDescent="0.3">
      <c r="A451">
        <v>501</v>
      </c>
      <c r="B451" t="s">
        <v>49</v>
      </c>
      <c r="C451" t="s">
        <v>31</v>
      </c>
      <c r="D451">
        <v>70</v>
      </c>
      <c r="E451" t="s">
        <v>34</v>
      </c>
      <c r="F451">
        <v>1</v>
      </c>
      <c r="G451" t="str">
        <f t="shared" si="6"/>
        <v>M0112-A-70-1</v>
      </c>
      <c r="H451">
        <v>104.28</v>
      </c>
      <c r="I451">
        <v>104.91</v>
      </c>
    </row>
    <row r="452" spans="1:9" x14ac:dyDescent="0.3">
      <c r="A452">
        <v>501</v>
      </c>
      <c r="B452" t="s">
        <v>49</v>
      </c>
      <c r="C452" t="s">
        <v>31</v>
      </c>
      <c r="D452">
        <v>71</v>
      </c>
      <c r="E452" t="s">
        <v>34</v>
      </c>
      <c r="F452">
        <v>1</v>
      </c>
      <c r="G452" t="str">
        <f t="shared" si="6"/>
        <v>M0112-A-71-1</v>
      </c>
      <c r="H452">
        <v>107.21</v>
      </c>
      <c r="I452">
        <v>107.47</v>
      </c>
    </row>
    <row r="453" spans="1:9" x14ac:dyDescent="0.3">
      <c r="A453">
        <v>501</v>
      </c>
      <c r="B453" t="s">
        <v>49</v>
      </c>
      <c r="C453" t="s">
        <v>31</v>
      </c>
      <c r="D453">
        <v>72</v>
      </c>
      <c r="E453" t="s">
        <v>46</v>
      </c>
      <c r="F453">
        <v>1</v>
      </c>
      <c r="G453" t="str">
        <f t="shared" si="6"/>
        <v>M0112-A-72-1</v>
      </c>
      <c r="H453">
        <v>110.21</v>
      </c>
      <c r="I453">
        <v>110.54</v>
      </c>
    </row>
    <row r="454" spans="1:9" x14ac:dyDescent="0.3">
      <c r="A454">
        <v>501</v>
      </c>
      <c r="B454" t="s">
        <v>49</v>
      </c>
      <c r="C454" t="s">
        <v>31</v>
      </c>
      <c r="D454">
        <v>75</v>
      </c>
      <c r="E454" t="s">
        <v>46</v>
      </c>
      <c r="F454">
        <v>1</v>
      </c>
      <c r="G454" t="str">
        <f t="shared" si="6"/>
        <v>M0112-A-75-1</v>
      </c>
      <c r="H454">
        <v>113.21</v>
      </c>
      <c r="I454">
        <v>113.35</v>
      </c>
    </row>
    <row r="455" spans="1:9" x14ac:dyDescent="0.3">
      <c r="A455">
        <v>501</v>
      </c>
      <c r="B455" t="s">
        <v>49</v>
      </c>
      <c r="C455" t="s">
        <v>31</v>
      </c>
      <c r="D455">
        <v>77</v>
      </c>
      <c r="E455" t="s">
        <v>46</v>
      </c>
      <c r="F455">
        <v>1</v>
      </c>
      <c r="G455" t="str">
        <f t="shared" si="6"/>
        <v>M0112-A-77-1</v>
      </c>
      <c r="H455">
        <v>115.21</v>
      </c>
      <c r="I455">
        <v>115.23</v>
      </c>
    </row>
    <row r="456" spans="1:9" x14ac:dyDescent="0.3">
      <c r="A456">
        <v>501</v>
      </c>
      <c r="B456" t="s">
        <v>49</v>
      </c>
      <c r="C456" t="s">
        <v>31</v>
      </c>
      <c r="D456">
        <v>78</v>
      </c>
      <c r="E456" t="s">
        <v>46</v>
      </c>
      <c r="F456">
        <v>1</v>
      </c>
      <c r="G456" t="str">
        <f t="shared" si="6"/>
        <v>M0112-A-78-1</v>
      </c>
      <c r="H456">
        <v>115.21</v>
      </c>
      <c r="I456">
        <v>116.7</v>
      </c>
    </row>
    <row r="457" spans="1:9" x14ac:dyDescent="0.3">
      <c r="A457">
        <v>501</v>
      </c>
      <c r="B457" t="s">
        <v>49</v>
      </c>
      <c r="C457" t="s">
        <v>31</v>
      </c>
      <c r="D457">
        <v>78</v>
      </c>
      <c r="E457" t="s">
        <v>46</v>
      </c>
      <c r="F457">
        <v>2</v>
      </c>
      <c r="G457" t="str">
        <f t="shared" si="6"/>
        <v>M0112-A-78-2</v>
      </c>
      <c r="H457">
        <v>116.7</v>
      </c>
      <c r="I457">
        <v>117.2</v>
      </c>
    </row>
    <row r="458" spans="1:9" x14ac:dyDescent="0.3">
      <c r="A458">
        <v>501</v>
      </c>
      <c r="B458" t="s">
        <v>49</v>
      </c>
      <c r="C458" t="s">
        <v>31</v>
      </c>
      <c r="D458">
        <v>80</v>
      </c>
      <c r="E458" t="s">
        <v>46</v>
      </c>
      <c r="F458">
        <v>1</v>
      </c>
      <c r="G458" t="str">
        <f t="shared" si="6"/>
        <v>M0112-A-80-1</v>
      </c>
      <c r="H458">
        <v>117.2</v>
      </c>
      <c r="I458">
        <v>117.22</v>
      </c>
    </row>
    <row r="459" spans="1:9" x14ac:dyDescent="0.3">
      <c r="A459">
        <v>501</v>
      </c>
      <c r="B459" t="s">
        <v>49</v>
      </c>
      <c r="C459" t="s">
        <v>31</v>
      </c>
      <c r="D459">
        <v>81</v>
      </c>
      <c r="E459" t="s">
        <v>34</v>
      </c>
      <c r="F459">
        <v>1</v>
      </c>
      <c r="G459" t="str">
        <f t="shared" si="6"/>
        <v>M0112-A-81-1</v>
      </c>
      <c r="H459">
        <v>117.2</v>
      </c>
      <c r="I459">
        <v>117.36</v>
      </c>
    </row>
    <row r="460" spans="1:9" x14ac:dyDescent="0.3">
      <c r="A460">
        <v>501</v>
      </c>
      <c r="B460" t="s">
        <v>49</v>
      </c>
      <c r="C460" t="s">
        <v>31</v>
      </c>
      <c r="D460">
        <v>82</v>
      </c>
      <c r="E460" t="s">
        <v>46</v>
      </c>
      <c r="F460">
        <v>1</v>
      </c>
      <c r="G460" t="str">
        <f t="shared" si="6"/>
        <v>M0112-A-82-1</v>
      </c>
      <c r="H460">
        <v>119.21</v>
      </c>
      <c r="I460">
        <v>120.24</v>
      </c>
    </row>
    <row r="461" spans="1:9" x14ac:dyDescent="0.3">
      <c r="A461">
        <v>501</v>
      </c>
      <c r="B461" t="s">
        <v>49</v>
      </c>
      <c r="C461" t="s">
        <v>31</v>
      </c>
      <c r="D461">
        <v>83</v>
      </c>
      <c r="E461" t="s">
        <v>46</v>
      </c>
      <c r="F461">
        <v>1</v>
      </c>
      <c r="G461" t="str">
        <f t="shared" si="6"/>
        <v>M0112-A-83-1</v>
      </c>
      <c r="H461">
        <v>120.24</v>
      </c>
      <c r="I461">
        <v>120.36</v>
      </c>
    </row>
    <row r="462" spans="1:9" x14ac:dyDescent="0.3">
      <c r="A462">
        <v>501</v>
      </c>
      <c r="B462" t="s">
        <v>49</v>
      </c>
      <c r="C462" t="s">
        <v>31</v>
      </c>
      <c r="D462">
        <v>84</v>
      </c>
      <c r="E462" t="s">
        <v>46</v>
      </c>
      <c r="F462">
        <v>1</v>
      </c>
      <c r="G462" t="str">
        <f t="shared" si="6"/>
        <v>M0112-A-84-1</v>
      </c>
      <c r="H462">
        <v>120.36</v>
      </c>
      <c r="I462">
        <v>121.57</v>
      </c>
    </row>
    <row r="463" spans="1:9" x14ac:dyDescent="0.3">
      <c r="A463">
        <v>501</v>
      </c>
      <c r="B463" t="s">
        <v>49</v>
      </c>
      <c r="C463" t="s">
        <v>31</v>
      </c>
      <c r="D463">
        <v>85</v>
      </c>
      <c r="E463" t="s">
        <v>46</v>
      </c>
      <c r="F463">
        <v>1</v>
      </c>
      <c r="G463" t="str">
        <f t="shared" si="6"/>
        <v>M0112-A-85-1</v>
      </c>
      <c r="H463">
        <v>121.57</v>
      </c>
      <c r="I463">
        <v>122.12</v>
      </c>
    </row>
    <row r="464" spans="1:9" x14ac:dyDescent="0.3">
      <c r="A464">
        <v>501</v>
      </c>
      <c r="B464" t="s">
        <v>49</v>
      </c>
      <c r="C464" t="s">
        <v>31</v>
      </c>
      <c r="D464">
        <v>86</v>
      </c>
      <c r="E464" t="s">
        <v>46</v>
      </c>
      <c r="F464">
        <v>1</v>
      </c>
      <c r="G464" t="str">
        <f t="shared" si="6"/>
        <v>M0112-A-86-1</v>
      </c>
      <c r="H464">
        <v>122.12</v>
      </c>
      <c r="I464">
        <v>123.62</v>
      </c>
    </row>
    <row r="465" spans="1:9" x14ac:dyDescent="0.3">
      <c r="A465">
        <v>501</v>
      </c>
      <c r="B465" t="s">
        <v>49</v>
      </c>
      <c r="C465" t="s">
        <v>31</v>
      </c>
      <c r="D465">
        <v>86</v>
      </c>
      <c r="E465" t="s">
        <v>46</v>
      </c>
      <c r="F465">
        <v>2</v>
      </c>
      <c r="G465" t="str">
        <f t="shared" si="6"/>
        <v>M0112-A-86-2</v>
      </c>
      <c r="H465">
        <v>123.62</v>
      </c>
      <c r="I465">
        <v>124.15</v>
      </c>
    </row>
    <row r="466" spans="1:9" x14ac:dyDescent="0.3">
      <c r="A466">
        <v>501</v>
      </c>
      <c r="B466" t="s">
        <v>49</v>
      </c>
      <c r="C466" t="s">
        <v>31</v>
      </c>
      <c r="D466">
        <v>87</v>
      </c>
      <c r="E466" t="s">
        <v>46</v>
      </c>
      <c r="F466">
        <v>1</v>
      </c>
      <c r="G466" t="str">
        <f t="shared" si="6"/>
        <v>M0112-A-87-1</v>
      </c>
      <c r="H466">
        <v>124.15</v>
      </c>
      <c r="I466">
        <v>124.34</v>
      </c>
    </row>
    <row r="467" spans="1:9" x14ac:dyDescent="0.3">
      <c r="A467">
        <v>501</v>
      </c>
      <c r="B467" t="s">
        <v>49</v>
      </c>
      <c r="C467" t="s">
        <v>31</v>
      </c>
      <c r="D467">
        <v>88</v>
      </c>
      <c r="E467" t="s">
        <v>46</v>
      </c>
      <c r="F467">
        <v>1</v>
      </c>
      <c r="G467" t="str">
        <f t="shared" si="6"/>
        <v>M0112-A-88-1</v>
      </c>
      <c r="H467">
        <v>124.34</v>
      </c>
      <c r="I467">
        <v>124.47</v>
      </c>
    </row>
    <row r="468" spans="1:9" x14ac:dyDescent="0.3">
      <c r="A468">
        <v>501</v>
      </c>
      <c r="B468" t="s">
        <v>49</v>
      </c>
      <c r="C468" t="s">
        <v>31</v>
      </c>
      <c r="D468">
        <v>89</v>
      </c>
      <c r="E468" t="s">
        <v>46</v>
      </c>
      <c r="F468">
        <v>1</v>
      </c>
      <c r="G468" t="str">
        <f t="shared" si="6"/>
        <v>M0112-A-89-1</v>
      </c>
      <c r="H468">
        <v>124.47</v>
      </c>
      <c r="I468">
        <v>125.13</v>
      </c>
    </row>
    <row r="469" spans="1:9" x14ac:dyDescent="0.3">
      <c r="A469">
        <v>501</v>
      </c>
      <c r="B469" t="s">
        <v>49</v>
      </c>
      <c r="C469" t="s">
        <v>31</v>
      </c>
      <c r="D469">
        <v>89</v>
      </c>
      <c r="E469" t="s">
        <v>46</v>
      </c>
      <c r="F469">
        <v>2</v>
      </c>
      <c r="G469" t="str">
        <f t="shared" si="6"/>
        <v>M0112-A-89-2</v>
      </c>
      <c r="H469">
        <v>125.13</v>
      </c>
      <c r="I469">
        <v>125.89</v>
      </c>
    </row>
    <row r="470" spans="1:9" x14ac:dyDescent="0.3">
      <c r="A470">
        <v>501</v>
      </c>
      <c r="B470" t="s">
        <v>49</v>
      </c>
      <c r="C470" t="s">
        <v>31</v>
      </c>
      <c r="D470">
        <v>90</v>
      </c>
      <c r="E470" t="s">
        <v>46</v>
      </c>
      <c r="F470">
        <v>1</v>
      </c>
      <c r="G470" t="str">
        <f t="shared" si="6"/>
        <v>M0112-A-90-1</v>
      </c>
      <c r="H470">
        <v>125.89</v>
      </c>
      <c r="I470">
        <v>126.41</v>
      </c>
    </row>
    <row r="471" spans="1:9" x14ac:dyDescent="0.3">
      <c r="A471">
        <v>501</v>
      </c>
      <c r="B471" t="s">
        <v>49</v>
      </c>
      <c r="C471" t="s">
        <v>31</v>
      </c>
      <c r="D471">
        <v>91</v>
      </c>
      <c r="E471" t="s">
        <v>46</v>
      </c>
      <c r="F471">
        <v>1</v>
      </c>
      <c r="G471" t="str">
        <f t="shared" si="6"/>
        <v>M0112-A-91-1</v>
      </c>
      <c r="H471">
        <v>126.41</v>
      </c>
      <c r="I471">
        <v>126.88</v>
      </c>
    </row>
    <row r="472" spans="1:9" x14ac:dyDescent="0.3">
      <c r="A472">
        <v>501</v>
      </c>
      <c r="B472" t="s">
        <v>49</v>
      </c>
      <c r="C472" t="s">
        <v>31</v>
      </c>
      <c r="D472">
        <v>91</v>
      </c>
      <c r="E472" t="s">
        <v>46</v>
      </c>
      <c r="F472">
        <v>2</v>
      </c>
      <c r="G472" t="str">
        <f t="shared" si="6"/>
        <v>M0112-A-91-2</v>
      </c>
      <c r="H472">
        <v>126.88</v>
      </c>
      <c r="I472">
        <v>127.89</v>
      </c>
    </row>
    <row r="473" spans="1:9" x14ac:dyDescent="0.3">
      <c r="A473">
        <v>501</v>
      </c>
      <c r="B473" t="s">
        <v>49</v>
      </c>
      <c r="C473" t="s">
        <v>31</v>
      </c>
      <c r="D473">
        <v>91</v>
      </c>
      <c r="E473" t="s">
        <v>46</v>
      </c>
      <c r="F473">
        <v>3</v>
      </c>
      <c r="G473" t="str">
        <f t="shared" si="6"/>
        <v>M0112-A-91-3</v>
      </c>
      <c r="H473">
        <v>127.89</v>
      </c>
      <c r="I473">
        <v>128.43</v>
      </c>
    </row>
    <row r="474" spans="1:9" x14ac:dyDescent="0.3">
      <c r="A474">
        <v>501</v>
      </c>
      <c r="B474" t="s">
        <v>49</v>
      </c>
      <c r="C474" t="s">
        <v>31</v>
      </c>
      <c r="D474">
        <v>92</v>
      </c>
      <c r="E474" t="s">
        <v>46</v>
      </c>
      <c r="F474">
        <v>1</v>
      </c>
      <c r="G474" t="str">
        <f t="shared" si="6"/>
        <v>M0112-A-92-1</v>
      </c>
      <c r="H474">
        <v>128.43</v>
      </c>
      <c r="I474">
        <v>129.93</v>
      </c>
    </row>
    <row r="475" spans="1:9" x14ac:dyDescent="0.3">
      <c r="A475">
        <v>501</v>
      </c>
      <c r="B475" t="s">
        <v>49</v>
      </c>
      <c r="C475" t="s">
        <v>31</v>
      </c>
      <c r="D475">
        <v>92</v>
      </c>
      <c r="E475" t="s">
        <v>46</v>
      </c>
      <c r="F475">
        <v>2</v>
      </c>
      <c r="G475" t="str">
        <f t="shared" si="6"/>
        <v>M0112-A-92-2</v>
      </c>
      <c r="H475">
        <v>129.93</v>
      </c>
      <c r="I475">
        <v>130.72999999999999</v>
      </c>
    </row>
    <row r="476" spans="1:9" x14ac:dyDescent="0.3">
      <c r="A476">
        <v>501</v>
      </c>
      <c r="B476" t="s">
        <v>49</v>
      </c>
      <c r="C476" t="s">
        <v>31</v>
      </c>
      <c r="D476">
        <v>93</v>
      </c>
      <c r="E476" t="s">
        <v>46</v>
      </c>
      <c r="F476">
        <v>1</v>
      </c>
      <c r="G476" t="str">
        <f t="shared" si="6"/>
        <v>M0112-A-93-1</v>
      </c>
      <c r="H476">
        <v>130.72999999999999</v>
      </c>
      <c r="I476">
        <v>132.22999999999999</v>
      </c>
    </row>
    <row r="477" spans="1:9" x14ac:dyDescent="0.3">
      <c r="A477">
        <v>501</v>
      </c>
      <c r="B477" t="s">
        <v>49</v>
      </c>
      <c r="C477" t="s">
        <v>31</v>
      </c>
      <c r="D477">
        <v>93</v>
      </c>
      <c r="E477" t="s">
        <v>46</v>
      </c>
      <c r="F477">
        <v>2</v>
      </c>
      <c r="G477" t="str">
        <f t="shared" si="6"/>
        <v>M0112-A-93-2</v>
      </c>
      <c r="H477">
        <v>132.22999999999999</v>
      </c>
      <c r="I477">
        <v>133.59</v>
      </c>
    </row>
    <row r="478" spans="1:9" x14ac:dyDescent="0.3">
      <c r="A478">
        <v>501</v>
      </c>
      <c r="B478" t="s">
        <v>49</v>
      </c>
      <c r="C478" t="s">
        <v>31</v>
      </c>
      <c r="D478">
        <v>94</v>
      </c>
      <c r="E478" t="s">
        <v>46</v>
      </c>
      <c r="F478">
        <v>1</v>
      </c>
      <c r="G478" t="str">
        <f t="shared" si="6"/>
        <v>M0112-A-94-1</v>
      </c>
      <c r="H478">
        <v>133.59</v>
      </c>
      <c r="I478">
        <v>135.09</v>
      </c>
    </row>
    <row r="479" spans="1:9" x14ac:dyDescent="0.3">
      <c r="A479">
        <v>501</v>
      </c>
      <c r="B479" t="s">
        <v>49</v>
      </c>
      <c r="C479" t="s">
        <v>31</v>
      </c>
      <c r="D479">
        <v>94</v>
      </c>
      <c r="E479" t="s">
        <v>46</v>
      </c>
      <c r="F479">
        <v>2</v>
      </c>
      <c r="G479" t="str">
        <f t="shared" si="6"/>
        <v>M0112-A-94-2</v>
      </c>
      <c r="H479">
        <v>135.09</v>
      </c>
      <c r="I479">
        <v>136.34</v>
      </c>
    </row>
    <row r="480" spans="1:9" x14ac:dyDescent="0.3">
      <c r="A480">
        <v>501</v>
      </c>
      <c r="B480" t="s">
        <v>49</v>
      </c>
      <c r="C480" t="s">
        <v>31</v>
      </c>
      <c r="D480">
        <v>95</v>
      </c>
      <c r="E480" t="s">
        <v>46</v>
      </c>
      <c r="F480">
        <v>1</v>
      </c>
      <c r="G480" t="str">
        <f t="shared" si="6"/>
        <v>M0112-A-95-1</v>
      </c>
      <c r="H480">
        <v>136.24</v>
      </c>
      <c r="I480">
        <v>136.79</v>
      </c>
    </row>
    <row r="481" spans="1:9" x14ac:dyDescent="0.3">
      <c r="A481">
        <v>501</v>
      </c>
      <c r="B481" t="s">
        <v>49</v>
      </c>
      <c r="C481" t="s">
        <v>31</v>
      </c>
      <c r="D481">
        <v>95</v>
      </c>
      <c r="E481" t="s">
        <v>46</v>
      </c>
      <c r="F481">
        <v>2</v>
      </c>
      <c r="G481" t="str">
        <f t="shared" si="6"/>
        <v>M0112-A-95-2</v>
      </c>
      <c r="H481">
        <v>136.79</v>
      </c>
      <c r="I481">
        <v>138.22</v>
      </c>
    </row>
    <row r="482" spans="1:9" x14ac:dyDescent="0.3">
      <c r="A482">
        <v>501</v>
      </c>
      <c r="B482" t="s">
        <v>49</v>
      </c>
      <c r="C482" t="s">
        <v>31</v>
      </c>
      <c r="D482">
        <v>96</v>
      </c>
      <c r="E482" t="s">
        <v>46</v>
      </c>
      <c r="F482">
        <v>1</v>
      </c>
      <c r="G482" t="str">
        <f t="shared" si="6"/>
        <v>M0112-A-96-1</v>
      </c>
      <c r="H482">
        <v>138.22</v>
      </c>
      <c r="I482">
        <v>139.04</v>
      </c>
    </row>
    <row r="483" spans="1:9" x14ac:dyDescent="0.3">
      <c r="A483">
        <v>501</v>
      </c>
      <c r="B483" t="s">
        <v>49</v>
      </c>
      <c r="C483" t="s">
        <v>31</v>
      </c>
      <c r="D483">
        <v>96</v>
      </c>
      <c r="E483" t="s">
        <v>46</v>
      </c>
      <c r="F483">
        <v>2</v>
      </c>
      <c r="G483" t="str">
        <f t="shared" si="6"/>
        <v>M0112-A-96-2</v>
      </c>
      <c r="H483">
        <v>139.04</v>
      </c>
      <c r="I483">
        <v>139.16</v>
      </c>
    </row>
    <row r="484" spans="1:9" x14ac:dyDescent="0.3">
      <c r="A484">
        <v>501</v>
      </c>
      <c r="B484" t="s">
        <v>49</v>
      </c>
      <c r="C484" t="s">
        <v>31</v>
      </c>
      <c r="D484">
        <v>98</v>
      </c>
      <c r="E484" t="s">
        <v>46</v>
      </c>
      <c r="F484">
        <v>1</v>
      </c>
      <c r="G484" t="str">
        <f t="shared" si="6"/>
        <v>M0112-A-98-1</v>
      </c>
      <c r="H484">
        <v>140.21</v>
      </c>
      <c r="I484">
        <v>140.33000000000001</v>
      </c>
    </row>
    <row r="485" spans="1:9" x14ac:dyDescent="0.3">
      <c r="A485">
        <v>501</v>
      </c>
      <c r="B485" t="s">
        <v>49</v>
      </c>
      <c r="C485" t="s">
        <v>31</v>
      </c>
      <c r="D485">
        <v>99</v>
      </c>
      <c r="E485" t="s">
        <v>34</v>
      </c>
      <c r="F485">
        <v>1</v>
      </c>
      <c r="G485" t="str">
        <f t="shared" si="6"/>
        <v>M0112-A-99-1</v>
      </c>
      <c r="H485">
        <v>141.21</v>
      </c>
      <c r="I485">
        <v>142.41999999999999</v>
      </c>
    </row>
    <row r="486" spans="1:9" x14ac:dyDescent="0.3">
      <c r="A486">
        <v>501</v>
      </c>
      <c r="B486" t="s">
        <v>49</v>
      </c>
      <c r="C486" t="s">
        <v>31</v>
      </c>
      <c r="D486">
        <v>99</v>
      </c>
      <c r="E486" t="s">
        <v>34</v>
      </c>
      <c r="F486">
        <v>2</v>
      </c>
      <c r="G486" t="str">
        <f t="shared" si="6"/>
        <v>M0112-A-99-2</v>
      </c>
      <c r="H486">
        <v>142.41999999999999</v>
      </c>
      <c r="I486">
        <v>142.88</v>
      </c>
    </row>
    <row r="487" spans="1:9" x14ac:dyDescent="0.3">
      <c r="A487">
        <v>501</v>
      </c>
      <c r="B487" t="s">
        <v>49</v>
      </c>
      <c r="C487" t="s">
        <v>31</v>
      </c>
      <c r="D487">
        <v>100</v>
      </c>
      <c r="E487" t="s">
        <v>34</v>
      </c>
      <c r="F487">
        <v>1</v>
      </c>
      <c r="G487" t="str">
        <f t="shared" si="6"/>
        <v>M0112-A-100-1</v>
      </c>
      <c r="H487">
        <v>142.21</v>
      </c>
      <c r="I487">
        <v>143.18</v>
      </c>
    </row>
    <row r="488" spans="1:9" x14ac:dyDescent="0.3">
      <c r="A488">
        <v>501</v>
      </c>
      <c r="B488" t="s">
        <v>49</v>
      </c>
      <c r="C488" t="s">
        <v>31</v>
      </c>
      <c r="D488">
        <v>101</v>
      </c>
      <c r="E488" t="s">
        <v>34</v>
      </c>
      <c r="F488">
        <v>1</v>
      </c>
      <c r="G488" t="str">
        <f t="shared" si="6"/>
        <v>M0112-A-101-1</v>
      </c>
      <c r="H488">
        <v>143.21</v>
      </c>
      <c r="I488">
        <v>144.4</v>
      </c>
    </row>
    <row r="489" spans="1:9" x14ac:dyDescent="0.3">
      <c r="A489">
        <v>501</v>
      </c>
      <c r="B489" t="s">
        <v>49</v>
      </c>
      <c r="C489" t="s">
        <v>31</v>
      </c>
      <c r="D489">
        <v>101</v>
      </c>
      <c r="E489" t="s">
        <v>34</v>
      </c>
      <c r="F489">
        <v>2</v>
      </c>
      <c r="G489" t="str">
        <f t="shared" si="6"/>
        <v>M0112-A-101-2</v>
      </c>
      <c r="H489">
        <v>144.4</v>
      </c>
      <c r="I489">
        <v>144.97</v>
      </c>
    </row>
    <row r="490" spans="1:9" x14ac:dyDescent="0.3">
      <c r="A490">
        <v>501</v>
      </c>
      <c r="B490" t="s">
        <v>49</v>
      </c>
      <c r="C490" t="s">
        <v>31</v>
      </c>
      <c r="D490">
        <v>102</v>
      </c>
      <c r="E490" t="s">
        <v>34</v>
      </c>
      <c r="F490">
        <v>1</v>
      </c>
      <c r="G490" t="str">
        <f t="shared" si="6"/>
        <v>M0112-A-102-1</v>
      </c>
      <c r="H490">
        <v>146.21</v>
      </c>
      <c r="I490">
        <v>147.26</v>
      </c>
    </row>
    <row r="491" spans="1:9" x14ac:dyDescent="0.3">
      <c r="A491">
        <v>501</v>
      </c>
      <c r="B491" t="s">
        <v>49</v>
      </c>
      <c r="C491" t="s">
        <v>31</v>
      </c>
      <c r="D491">
        <v>103</v>
      </c>
      <c r="E491" t="s">
        <v>34</v>
      </c>
      <c r="F491">
        <v>1</v>
      </c>
      <c r="G491" t="str">
        <f t="shared" si="6"/>
        <v>M0112-A-103-1</v>
      </c>
      <c r="H491">
        <v>148.21</v>
      </c>
      <c r="I491">
        <v>149.09</v>
      </c>
    </row>
    <row r="492" spans="1:9" x14ac:dyDescent="0.3">
      <c r="A492">
        <v>501</v>
      </c>
      <c r="B492" t="s">
        <v>49</v>
      </c>
      <c r="C492" t="s">
        <v>31</v>
      </c>
      <c r="D492">
        <v>104</v>
      </c>
      <c r="E492" t="s">
        <v>34</v>
      </c>
      <c r="F492">
        <v>1</v>
      </c>
      <c r="G492" t="str">
        <f t="shared" si="6"/>
        <v>M0112-A-104-1</v>
      </c>
      <c r="H492">
        <v>150.21</v>
      </c>
      <c r="I492">
        <v>150.62</v>
      </c>
    </row>
    <row r="493" spans="1:9" x14ac:dyDescent="0.3">
      <c r="A493">
        <v>501</v>
      </c>
      <c r="B493" t="s">
        <v>49</v>
      </c>
      <c r="C493" t="s">
        <v>31</v>
      </c>
      <c r="D493">
        <v>106</v>
      </c>
      <c r="E493" t="s">
        <v>46</v>
      </c>
      <c r="F493">
        <v>1</v>
      </c>
      <c r="G493" t="str">
        <f t="shared" si="6"/>
        <v>M0112-A-106-1</v>
      </c>
      <c r="H493">
        <v>153.36000000000001</v>
      </c>
      <c r="I493">
        <v>153.5</v>
      </c>
    </row>
    <row r="494" spans="1:9" x14ac:dyDescent="0.3">
      <c r="A494">
        <v>501</v>
      </c>
      <c r="B494" t="s">
        <v>49</v>
      </c>
      <c r="C494" t="s">
        <v>31</v>
      </c>
      <c r="D494">
        <v>107</v>
      </c>
      <c r="E494" t="s">
        <v>46</v>
      </c>
      <c r="F494">
        <v>1</v>
      </c>
      <c r="G494" t="str">
        <f t="shared" si="6"/>
        <v>M0112-A-107-1</v>
      </c>
      <c r="H494">
        <v>153.5</v>
      </c>
      <c r="I494">
        <v>153.69999999999999</v>
      </c>
    </row>
    <row r="495" spans="1:9" x14ac:dyDescent="0.3">
      <c r="A495">
        <v>501</v>
      </c>
      <c r="B495" t="s">
        <v>49</v>
      </c>
      <c r="C495" t="s">
        <v>31</v>
      </c>
      <c r="D495">
        <v>108</v>
      </c>
      <c r="E495" t="s">
        <v>34</v>
      </c>
      <c r="F495">
        <v>1</v>
      </c>
      <c r="G495" t="str">
        <f t="shared" si="6"/>
        <v>M0112-A-108-1</v>
      </c>
      <c r="H495">
        <v>153.69999999999999</v>
      </c>
      <c r="I495">
        <v>153.80000000000001</v>
      </c>
    </row>
    <row r="496" spans="1:9" x14ac:dyDescent="0.3">
      <c r="A496">
        <v>501</v>
      </c>
      <c r="B496" t="s">
        <v>49</v>
      </c>
      <c r="C496" t="s">
        <v>31</v>
      </c>
      <c r="D496">
        <v>109</v>
      </c>
      <c r="E496" t="s">
        <v>46</v>
      </c>
      <c r="F496">
        <v>1</v>
      </c>
      <c r="G496" t="str">
        <f t="shared" si="6"/>
        <v>M0112-A-109-1</v>
      </c>
      <c r="H496">
        <v>155.21</v>
      </c>
      <c r="I496">
        <v>155.37</v>
      </c>
    </row>
    <row r="497" spans="1:9" x14ac:dyDescent="0.3">
      <c r="A497">
        <v>501</v>
      </c>
      <c r="B497" t="s">
        <v>49</v>
      </c>
      <c r="C497" t="s">
        <v>31</v>
      </c>
      <c r="D497">
        <v>110</v>
      </c>
      <c r="E497" t="s">
        <v>46</v>
      </c>
      <c r="F497">
        <v>1</v>
      </c>
      <c r="G497" t="str">
        <f t="shared" si="6"/>
        <v>M0112-A-110-1</v>
      </c>
      <c r="H497">
        <v>155.37</v>
      </c>
      <c r="I497">
        <v>155.49</v>
      </c>
    </row>
    <row r="498" spans="1:9" x14ac:dyDescent="0.3">
      <c r="A498">
        <v>501</v>
      </c>
      <c r="B498" t="s">
        <v>49</v>
      </c>
      <c r="C498" t="s">
        <v>31</v>
      </c>
      <c r="D498">
        <v>111</v>
      </c>
      <c r="E498" t="s">
        <v>46</v>
      </c>
      <c r="F498">
        <v>1</v>
      </c>
      <c r="G498" t="str">
        <f t="shared" si="6"/>
        <v>M0112-A-111-1</v>
      </c>
      <c r="H498">
        <v>155.49</v>
      </c>
      <c r="I498">
        <v>156.36000000000001</v>
      </c>
    </row>
    <row r="499" spans="1:9" x14ac:dyDescent="0.3">
      <c r="A499">
        <v>501</v>
      </c>
      <c r="B499" t="s">
        <v>49</v>
      </c>
      <c r="C499" t="s">
        <v>31</v>
      </c>
      <c r="D499">
        <v>111</v>
      </c>
      <c r="E499" t="s">
        <v>46</v>
      </c>
      <c r="F499">
        <v>2</v>
      </c>
      <c r="G499" t="str">
        <f t="shared" si="6"/>
        <v>M0112-A-111-2</v>
      </c>
      <c r="H499">
        <v>156.36000000000001</v>
      </c>
      <c r="I499">
        <v>157.54</v>
      </c>
    </row>
    <row r="500" spans="1:9" x14ac:dyDescent="0.3">
      <c r="A500">
        <v>501</v>
      </c>
      <c r="B500" t="s">
        <v>49</v>
      </c>
      <c r="C500" t="s">
        <v>31</v>
      </c>
      <c r="D500">
        <v>112</v>
      </c>
      <c r="E500" t="s">
        <v>46</v>
      </c>
      <c r="F500">
        <v>1</v>
      </c>
      <c r="G500" t="str">
        <f t="shared" si="6"/>
        <v>M0112-A-112-1</v>
      </c>
      <c r="H500">
        <v>157.54</v>
      </c>
      <c r="I500">
        <v>158.79</v>
      </c>
    </row>
    <row r="501" spans="1:9" x14ac:dyDescent="0.3">
      <c r="A501">
        <v>501</v>
      </c>
      <c r="B501" t="s">
        <v>49</v>
      </c>
      <c r="C501" t="s">
        <v>31</v>
      </c>
      <c r="D501">
        <v>113</v>
      </c>
      <c r="E501" t="s">
        <v>46</v>
      </c>
      <c r="F501">
        <v>1</v>
      </c>
      <c r="G501" t="str">
        <f t="shared" si="6"/>
        <v>M0112-A-113-1</v>
      </c>
      <c r="H501">
        <v>158.79</v>
      </c>
      <c r="I501">
        <v>159.79</v>
      </c>
    </row>
    <row r="502" spans="1:9" x14ac:dyDescent="0.3">
      <c r="A502">
        <v>501</v>
      </c>
      <c r="B502" t="s">
        <v>49</v>
      </c>
      <c r="C502" t="s">
        <v>31</v>
      </c>
      <c r="D502">
        <v>113</v>
      </c>
      <c r="E502" t="s">
        <v>46</v>
      </c>
      <c r="F502">
        <v>2</v>
      </c>
      <c r="G502" t="str">
        <f t="shared" si="6"/>
        <v>M0112-A-113-2</v>
      </c>
      <c r="H502">
        <v>159.79</v>
      </c>
      <c r="I502">
        <v>160.6</v>
      </c>
    </row>
    <row r="503" spans="1:9" x14ac:dyDescent="0.3">
      <c r="A503">
        <v>501</v>
      </c>
      <c r="B503" t="s">
        <v>49</v>
      </c>
      <c r="C503" t="s">
        <v>31</v>
      </c>
      <c r="D503">
        <v>114</v>
      </c>
      <c r="E503" t="s">
        <v>46</v>
      </c>
      <c r="F503">
        <v>1</v>
      </c>
      <c r="G503" t="str">
        <f t="shared" si="6"/>
        <v>M0112-A-114-1</v>
      </c>
      <c r="H503">
        <v>160.6</v>
      </c>
      <c r="I503">
        <v>160.78</v>
      </c>
    </row>
    <row r="504" spans="1:9" x14ac:dyDescent="0.3">
      <c r="A504">
        <v>501</v>
      </c>
      <c r="B504" t="s">
        <v>49</v>
      </c>
      <c r="C504" t="s">
        <v>31</v>
      </c>
      <c r="D504">
        <v>115</v>
      </c>
      <c r="E504" t="s">
        <v>46</v>
      </c>
      <c r="F504">
        <v>1</v>
      </c>
      <c r="G504" t="str">
        <f t="shared" ref="G504:G567" si="7">CONCATENATE(B504, "-",C504, "-", D504, "-", F504)</f>
        <v>M0112-A-115-1</v>
      </c>
      <c r="H504">
        <v>160.78</v>
      </c>
      <c r="I504">
        <v>161.97999999999999</v>
      </c>
    </row>
    <row r="505" spans="1:9" x14ac:dyDescent="0.3">
      <c r="A505">
        <v>501</v>
      </c>
      <c r="B505" t="s">
        <v>49</v>
      </c>
      <c r="C505" t="s">
        <v>31</v>
      </c>
      <c r="D505">
        <v>115</v>
      </c>
      <c r="E505" t="s">
        <v>46</v>
      </c>
      <c r="F505">
        <v>2</v>
      </c>
      <c r="G505" t="str">
        <f t="shared" si="7"/>
        <v>M0112-A-115-2</v>
      </c>
      <c r="H505">
        <v>161.97999999999999</v>
      </c>
      <c r="I505">
        <v>162.62</v>
      </c>
    </row>
    <row r="506" spans="1:9" x14ac:dyDescent="0.3">
      <c r="A506">
        <v>501</v>
      </c>
      <c r="B506" t="s">
        <v>49</v>
      </c>
      <c r="C506" t="s">
        <v>31</v>
      </c>
      <c r="D506">
        <v>116</v>
      </c>
      <c r="E506" t="s">
        <v>46</v>
      </c>
      <c r="F506">
        <v>1</v>
      </c>
      <c r="G506" t="str">
        <f t="shared" si="7"/>
        <v>M0112-A-116-1</v>
      </c>
      <c r="H506">
        <v>162.62</v>
      </c>
      <c r="I506">
        <v>164.14</v>
      </c>
    </row>
    <row r="507" spans="1:9" x14ac:dyDescent="0.3">
      <c r="A507">
        <v>501</v>
      </c>
      <c r="B507" t="s">
        <v>49</v>
      </c>
      <c r="C507" t="s">
        <v>31</v>
      </c>
      <c r="D507">
        <v>116</v>
      </c>
      <c r="E507" t="s">
        <v>46</v>
      </c>
      <c r="F507">
        <v>2</v>
      </c>
      <c r="G507" t="str">
        <f t="shared" si="7"/>
        <v>M0112-A-116-2</v>
      </c>
      <c r="H507">
        <v>164.14</v>
      </c>
      <c r="I507">
        <v>164.78</v>
      </c>
    </row>
    <row r="508" spans="1:9" x14ac:dyDescent="0.3">
      <c r="A508">
        <v>501</v>
      </c>
      <c r="B508" t="s">
        <v>49</v>
      </c>
      <c r="C508" t="s">
        <v>31</v>
      </c>
      <c r="D508">
        <v>117</v>
      </c>
      <c r="E508" t="s">
        <v>46</v>
      </c>
      <c r="F508">
        <v>1</v>
      </c>
      <c r="G508" t="str">
        <f t="shared" si="7"/>
        <v>M0112-A-117-1</v>
      </c>
      <c r="H508">
        <v>164.78</v>
      </c>
      <c r="I508">
        <v>166.28</v>
      </c>
    </row>
    <row r="509" spans="1:9" x14ac:dyDescent="0.3">
      <c r="A509">
        <v>501</v>
      </c>
      <c r="B509" t="s">
        <v>49</v>
      </c>
      <c r="C509" t="s">
        <v>31</v>
      </c>
      <c r="D509">
        <v>117</v>
      </c>
      <c r="E509" t="s">
        <v>46</v>
      </c>
      <c r="F509">
        <v>2</v>
      </c>
      <c r="G509" t="str">
        <f t="shared" si="7"/>
        <v>M0112-A-117-2</v>
      </c>
      <c r="H509">
        <v>166.28</v>
      </c>
      <c r="I509">
        <v>167.54</v>
      </c>
    </row>
    <row r="510" spans="1:9" x14ac:dyDescent="0.3">
      <c r="A510">
        <v>501</v>
      </c>
      <c r="B510" t="s">
        <v>49</v>
      </c>
      <c r="C510" t="s">
        <v>31</v>
      </c>
      <c r="D510">
        <v>118</v>
      </c>
      <c r="E510" t="s">
        <v>46</v>
      </c>
      <c r="F510">
        <v>1</v>
      </c>
      <c r="G510" t="str">
        <f t="shared" si="7"/>
        <v>M0112-A-118-1</v>
      </c>
      <c r="H510">
        <v>167.54</v>
      </c>
      <c r="I510">
        <v>169.04</v>
      </c>
    </row>
    <row r="511" spans="1:9" x14ac:dyDescent="0.3">
      <c r="A511">
        <v>501</v>
      </c>
      <c r="B511" t="s">
        <v>49</v>
      </c>
      <c r="C511" t="s">
        <v>31</v>
      </c>
      <c r="D511">
        <v>118</v>
      </c>
      <c r="E511" t="s">
        <v>46</v>
      </c>
      <c r="F511">
        <v>2</v>
      </c>
      <c r="G511" t="str">
        <f t="shared" si="7"/>
        <v>M0112-A-118-2</v>
      </c>
      <c r="H511">
        <v>169.04</v>
      </c>
      <c r="I511">
        <v>170.4</v>
      </c>
    </row>
    <row r="512" spans="1:9" x14ac:dyDescent="0.3">
      <c r="A512">
        <v>501</v>
      </c>
      <c r="B512" t="s">
        <v>49</v>
      </c>
      <c r="C512" t="s">
        <v>31</v>
      </c>
      <c r="D512">
        <v>119</v>
      </c>
      <c r="E512" t="s">
        <v>46</v>
      </c>
      <c r="F512">
        <v>1</v>
      </c>
      <c r="G512" t="str">
        <f t="shared" si="7"/>
        <v>M0112-A-119-1</v>
      </c>
      <c r="H512">
        <v>170.4</v>
      </c>
      <c r="I512">
        <v>171.9</v>
      </c>
    </row>
    <row r="513" spans="1:9" x14ac:dyDescent="0.3">
      <c r="A513">
        <v>501</v>
      </c>
      <c r="B513" t="s">
        <v>49</v>
      </c>
      <c r="C513" t="s">
        <v>31</v>
      </c>
      <c r="D513">
        <v>119</v>
      </c>
      <c r="E513" t="s">
        <v>46</v>
      </c>
      <c r="F513">
        <v>2</v>
      </c>
      <c r="G513" t="str">
        <f t="shared" si="7"/>
        <v>M0112-A-119-2</v>
      </c>
      <c r="H513">
        <v>171.9</v>
      </c>
      <c r="I513">
        <v>173.02</v>
      </c>
    </row>
    <row r="514" spans="1:9" x14ac:dyDescent="0.3">
      <c r="A514">
        <v>501</v>
      </c>
      <c r="B514" t="s">
        <v>49</v>
      </c>
      <c r="C514" t="s">
        <v>31</v>
      </c>
      <c r="D514">
        <v>120</v>
      </c>
      <c r="E514" t="s">
        <v>46</v>
      </c>
      <c r="F514">
        <v>1</v>
      </c>
      <c r="G514" t="str">
        <f t="shared" si="7"/>
        <v>M0112-A-120-1</v>
      </c>
      <c r="H514">
        <v>173.02</v>
      </c>
      <c r="I514">
        <v>174.46</v>
      </c>
    </row>
    <row r="515" spans="1:9" x14ac:dyDescent="0.3">
      <c r="A515">
        <v>501</v>
      </c>
      <c r="B515" t="s">
        <v>49</v>
      </c>
      <c r="C515" t="s">
        <v>31</v>
      </c>
      <c r="D515">
        <v>120</v>
      </c>
      <c r="E515" t="s">
        <v>46</v>
      </c>
      <c r="F515">
        <v>2</v>
      </c>
      <c r="G515" t="str">
        <f t="shared" si="7"/>
        <v>M0112-A-120-2</v>
      </c>
      <c r="H515">
        <v>174.46</v>
      </c>
      <c r="I515">
        <v>175.65</v>
      </c>
    </row>
    <row r="516" spans="1:9" x14ac:dyDescent="0.3">
      <c r="A516">
        <v>501</v>
      </c>
      <c r="B516" t="s">
        <v>49</v>
      </c>
      <c r="C516" t="s">
        <v>31</v>
      </c>
      <c r="D516">
        <v>121</v>
      </c>
      <c r="E516" t="s">
        <v>46</v>
      </c>
      <c r="F516">
        <v>1</v>
      </c>
      <c r="G516" t="str">
        <f t="shared" si="7"/>
        <v>M0112-A-121-1</v>
      </c>
      <c r="H516">
        <v>175.65</v>
      </c>
      <c r="I516">
        <v>177.09</v>
      </c>
    </row>
    <row r="517" spans="1:9" x14ac:dyDescent="0.3">
      <c r="A517">
        <v>501</v>
      </c>
      <c r="B517" t="s">
        <v>49</v>
      </c>
      <c r="C517" t="s">
        <v>31</v>
      </c>
      <c r="D517">
        <v>121</v>
      </c>
      <c r="E517" t="s">
        <v>46</v>
      </c>
      <c r="F517">
        <v>2</v>
      </c>
      <c r="G517" t="str">
        <f t="shared" si="7"/>
        <v>M0112-A-121-2</v>
      </c>
      <c r="H517">
        <v>177.09</v>
      </c>
      <c r="I517">
        <v>177.89</v>
      </c>
    </row>
    <row r="518" spans="1:9" x14ac:dyDescent="0.3">
      <c r="A518">
        <v>501</v>
      </c>
      <c r="B518" t="s">
        <v>49</v>
      </c>
      <c r="C518" t="s">
        <v>31</v>
      </c>
      <c r="D518">
        <v>122</v>
      </c>
      <c r="E518" t="s">
        <v>46</v>
      </c>
      <c r="F518">
        <v>1</v>
      </c>
      <c r="G518" t="str">
        <f t="shared" si="7"/>
        <v>M0112-A-122-1</v>
      </c>
      <c r="H518">
        <v>177.89</v>
      </c>
      <c r="I518">
        <v>179.39</v>
      </c>
    </row>
    <row r="519" spans="1:9" x14ac:dyDescent="0.3">
      <c r="A519">
        <v>501</v>
      </c>
      <c r="B519" t="s">
        <v>49</v>
      </c>
      <c r="C519" t="s">
        <v>31</v>
      </c>
      <c r="D519">
        <v>122</v>
      </c>
      <c r="E519" t="s">
        <v>46</v>
      </c>
      <c r="F519">
        <v>2</v>
      </c>
      <c r="G519" t="str">
        <f t="shared" si="7"/>
        <v>M0112-A-122-2</v>
      </c>
      <c r="H519">
        <v>179.39</v>
      </c>
      <c r="I519">
        <v>180.25</v>
      </c>
    </row>
    <row r="520" spans="1:9" x14ac:dyDescent="0.3">
      <c r="A520">
        <v>501</v>
      </c>
      <c r="B520" t="s">
        <v>49</v>
      </c>
      <c r="C520" t="s">
        <v>31</v>
      </c>
      <c r="D520">
        <v>123</v>
      </c>
      <c r="E520" t="s">
        <v>46</v>
      </c>
      <c r="F520">
        <v>1</v>
      </c>
      <c r="G520" t="str">
        <f t="shared" si="7"/>
        <v>M0112-A-123-1</v>
      </c>
      <c r="H520">
        <v>180.25</v>
      </c>
      <c r="I520">
        <v>181.74</v>
      </c>
    </row>
    <row r="521" spans="1:9" x14ac:dyDescent="0.3">
      <c r="A521">
        <v>501</v>
      </c>
      <c r="B521" t="s">
        <v>49</v>
      </c>
      <c r="C521" t="s">
        <v>31</v>
      </c>
      <c r="D521">
        <v>123</v>
      </c>
      <c r="E521" t="s">
        <v>46</v>
      </c>
      <c r="F521">
        <v>2</v>
      </c>
      <c r="G521" t="str">
        <f t="shared" si="7"/>
        <v>M0112-A-123-2</v>
      </c>
      <c r="H521">
        <v>181.74</v>
      </c>
      <c r="I521">
        <v>182.93</v>
      </c>
    </row>
    <row r="522" spans="1:9" x14ac:dyDescent="0.3">
      <c r="A522">
        <v>501</v>
      </c>
      <c r="B522" t="s">
        <v>49</v>
      </c>
      <c r="C522" t="s">
        <v>31</v>
      </c>
      <c r="D522">
        <v>124</v>
      </c>
      <c r="E522" t="s">
        <v>46</v>
      </c>
      <c r="F522">
        <v>1</v>
      </c>
      <c r="G522" t="str">
        <f t="shared" si="7"/>
        <v>M0112-A-124-1</v>
      </c>
      <c r="H522">
        <v>182.93</v>
      </c>
      <c r="I522">
        <v>184.43</v>
      </c>
    </row>
    <row r="523" spans="1:9" x14ac:dyDescent="0.3">
      <c r="A523">
        <v>501</v>
      </c>
      <c r="B523" t="s">
        <v>49</v>
      </c>
      <c r="C523" t="s">
        <v>31</v>
      </c>
      <c r="D523">
        <v>124</v>
      </c>
      <c r="E523" t="s">
        <v>46</v>
      </c>
      <c r="F523">
        <v>2</v>
      </c>
      <c r="G523" t="str">
        <f t="shared" si="7"/>
        <v>M0112-A-124-2</v>
      </c>
      <c r="H523">
        <v>184.43</v>
      </c>
      <c r="I523">
        <v>185.42</v>
      </c>
    </row>
    <row r="524" spans="1:9" x14ac:dyDescent="0.3">
      <c r="A524">
        <v>501</v>
      </c>
      <c r="B524" t="s">
        <v>49</v>
      </c>
      <c r="C524" t="s">
        <v>31</v>
      </c>
      <c r="D524">
        <v>125</v>
      </c>
      <c r="E524" t="s">
        <v>46</v>
      </c>
      <c r="F524">
        <v>1</v>
      </c>
      <c r="G524" t="str">
        <f t="shared" si="7"/>
        <v>M0112-A-125-1</v>
      </c>
      <c r="H524">
        <v>185.42</v>
      </c>
      <c r="I524">
        <v>186.92</v>
      </c>
    </row>
    <row r="525" spans="1:9" x14ac:dyDescent="0.3">
      <c r="A525">
        <v>501</v>
      </c>
      <c r="B525" t="s">
        <v>49</v>
      </c>
      <c r="C525" t="s">
        <v>31</v>
      </c>
      <c r="D525">
        <v>125</v>
      </c>
      <c r="E525" t="s">
        <v>46</v>
      </c>
      <c r="F525">
        <v>2</v>
      </c>
      <c r="G525" t="str">
        <f t="shared" si="7"/>
        <v>M0112-A-125-2</v>
      </c>
      <c r="H525">
        <v>186.92</v>
      </c>
      <c r="I525">
        <v>188.09</v>
      </c>
    </row>
    <row r="526" spans="1:9" x14ac:dyDescent="0.3">
      <c r="A526">
        <v>501</v>
      </c>
      <c r="B526" t="s">
        <v>49</v>
      </c>
      <c r="C526" t="s">
        <v>31</v>
      </c>
      <c r="D526">
        <v>126</v>
      </c>
      <c r="E526" t="s">
        <v>46</v>
      </c>
      <c r="F526">
        <v>1</v>
      </c>
      <c r="G526" t="str">
        <f t="shared" si="7"/>
        <v>M0112-A-126-1</v>
      </c>
      <c r="H526">
        <v>197.88</v>
      </c>
      <c r="I526">
        <v>188.63</v>
      </c>
    </row>
    <row r="527" spans="1:9" x14ac:dyDescent="0.3">
      <c r="A527">
        <v>501</v>
      </c>
      <c r="B527" t="s">
        <v>49</v>
      </c>
      <c r="C527" t="s">
        <v>31</v>
      </c>
      <c r="D527">
        <v>127</v>
      </c>
      <c r="E527" t="s">
        <v>46</v>
      </c>
      <c r="F527">
        <v>1</v>
      </c>
      <c r="G527" t="str">
        <f t="shared" si="7"/>
        <v>M0112-A-127-1</v>
      </c>
      <c r="H527">
        <v>188.63</v>
      </c>
      <c r="I527">
        <v>190.13</v>
      </c>
    </row>
    <row r="528" spans="1:9" x14ac:dyDescent="0.3">
      <c r="A528">
        <v>501</v>
      </c>
      <c r="B528" t="s">
        <v>49</v>
      </c>
      <c r="C528" t="s">
        <v>31</v>
      </c>
      <c r="D528">
        <v>127</v>
      </c>
      <c r="E528" t="s">
        <v>46</v>
      </c>
      <c r="F528">
        <v>2</v>
      </c>
      <c r="G528" t="str">
        <f t="shared" si="7"/>
        <v>M0112-A-127-2</v>
      </c>
      <c r="H528">
        <v>190.13</v>
      </c>
      <c r="I528">
        <v>191.38</v>
      </c>
    </row>
    <row r="529" spans="1:9" x14ac:dyDescent="0.3">
      <c r="A529">
        <v>501</v>
      </c>
      <c r="B529" t="s">
        <v>49</v>
      </c>
      <c r="C529" t="s">
        <v>31</v>
      </c>
      <c r="D529">
        <v>128</v>
      </c>
      <c r="E529" t="s">
        <v>46</v>
      </c>
      <c r="F529">
        <v>1</v>
      </c>
      <c r="G529" t="str">
        <f t="shared" si="7"/>
        <v>M0112-A-128-1</v>
      </c>
      <c r="H529">
        <v>191.38</v>
      </c>
      <c r="I529">
        <v>192.7</v>
      </c>
    </row>
    <row r="530" spans="1:9" x14ac:dyDescent="0.3">
      <c r="A530">
        <v>501</v>
      </c>
      <c r="B530" t="s">
        <v>49</v>
      </c>
      <c r="C530" t="s">
        <v>31</v>
      </c>
      <c r="D530">
        <v>128</v>
      </c>
      <c r="E530" t="s">
        <v>46</v>
      </c>
      <c r="F530">
        <v>2</v>
      </c>
      <c r="G530" t="str">
        <f t="shared" si="7"/>
        <v>M0112-A-128-2</v>
      </c>
      <c r="H530">
        <v>192.7</v>
      </c>
      <c r="I530">
        <v>192.88</v>
      </c>
    </row>
    <row r="531" spans="1:9" x14ac:dyDescent="0.3">
      <c r="A531">
        <v>501</v>
      </c>
      <c r="B531" t="s">
        <v>49</v>
      </c>
      <c r="C531" t="s">
        <v>31</v>
      </c>
      <c r="D531">
        <v>129</v>
      </c>
      <c r="E531" t="s">
        <v>46</v>
      </c>
      <c r="F531">
        <v>1</v>
      </c>
      <c r="G531" t="str">
        <f t="shared" si="7"/>
        <v>M0112-A-129-1</v>
      </c>
      <c r="H531">
        <v>192.88</v>
      </c>
      <c r="I531">
        <v>193.73</v>
      </c>
    </row>
    <row r="532" spans="1:9" x14ac:dyDescent="0.3">
      <c r="A532">
        <v>501</v>
      </c>
      <c r="B532" t="s">
        <v>49</v>
      </c>
      <c r="C532" t="s">
        <v>31</v>
      </c>
      <c r="D532">
        <v>130</v>
      </c>
      <c r="E532" t="s">
        <v>46</v>
      </c>
      <c r="F532">
        <v>1</v>
      </c>
      <c r="G532" t="str">
        <f t="shared" si="7"/>
        <v>M0112-A-130-1</v>
      </c>
      <c r="H532">
        <v>193.73</v>
      </c>
      <c r="I532">
        <v>194.25</v>
      </c>
    </row>
    <row r="533" spans="1:9" x14ac:dyDescent="0.3">
      <c r="A533">
        <v>501</v>
      </c>
      <c r="B533" t="s">
        <v>49</v>
      </c>
      <c r="C533" t="s">
        <v>31</v>
      </c>
      <c r="D533">
        <v>131</v>
      </c>
      <c r="E533" t="s">
        <v>34</v>
      </c>
      <c r="F533">
        <v>1</v>
      </c>
      <c r="G533" t="str">
        <f t="shared" si="7"/>
        <v>M0112-A-131-1</v>
      </c>
      <c r="H533">
        <v>194.25</v>
      </c>
      <c r="I533">
        <v>195.14</v>
      </c>
    </row>
    <row r="534" spans="1:9" x14ac:dyDescent="0.3">
      <c r="A534">
        <v>501</v>
      </c>
      <c r="B534" t="s">
        <v>49</v>
      </c>
      <c r="C534" t="s">
        <v>31</v>
      </c>
      <c r="D534">
        <v>132</v>
      </c>
      <c r="E534" t="s">
        <v>34</v>
      </c>
      <c r="F534">
        <v>1</v>
      </c>
      <c r="G534" t="str">
        <f t="shared" si="7"/>
        <v>M0112-A-132-1</v>
      </c>
      <c r="H534">
        <v>195.21</v>
      </c>
      <c r="I534">
        <v>196.71</v>
      </c>
    </row>
    <row r="535" spans="1:9" x14ac:dyDescent="0.3">
      <c r="A535">
        <v>501</v>
      </c>
      <c r="B535" t="s">
        <v>49</v>
      </c>
      <c r="C535" t="s">
        <v>31</v>
      </c>
      <c r="D535">
        <v>132</v>
      </c>
      <c r="E535" t="s">
        <v>34</v>
      </c>
      <c r="F535">
        <v>2</v>
      </c>
      <c r="G535" t="str">
        <f t="shared" si="7"/>
        <v>M0112-A-132-2</v>
      </c>
      <c r="H535">
        <v>196.71</v>
      </c>
      <c r="I535">
        <v>197.21</v>
      </c>
    </row>
    <row r="536" spans="1:9" x14ac:dyDescent="0.3">
      <c r="A536">
        <v>501</v>
      </c>
      <c r="B536" t="s">
        <v>49</v>
      </c>
      <c r="C536" t="s">
        <v>31</v>
      </c>
      <c r="D536">
        <v>133</v>
      </c>
      <c r="E536" t="s">
        <v>34</v>
      </c>
      <c r="F536">
        <v>1</v>
      </c>
      <c r="G536" t="str">
        <f t="shared" si="7"/>
        <v>M0112-A-133-1</v>
      </c>
      <c r="H536">
        <v>197.21</v>
      </c>
      <c r="I536">
        <v>197.81</v>
      </c>
    </row>
    <row r="537" spans="1:9" x14ac:dyDescent="0.3">
      <c r="A537">
        <v>501</v>
      </c>
      <c r="B537" t="s">
        <v>49</v>
      </c>
      <c r="C537" t="s">
        <v>31</v>
      </c>
      <c r="D537">
        <v>133</v>
      </c>
      <c r="E537" t="s">
        <v>34</v>
      </c>
      <c r="F537">
        <v>2</v>
      </c>
      <c r="G537" t="str">
        <f t="shared" si="7"/>
        <v>M0112-A-133-2</v>
      </c>
      <c r="H537">
        <v>197.81</v>
      </c>
      <c r="I537">
        <v>198.36</v>
      </c>
    </row>
    <row r="538" spans="1:9" x14ac:dyDescent="0.3">
      <c r="A538">
        <v>501</v>
      </c>
      <c r="B538" t="s">
        <v>49</v>
      </c>
      <c r="C538" t="s">
        <v>31</v>
      </c>
      <c r="D538">
        <v>134</v>
      </c>
      <c r="E538" t="s">
        <v>34</v>
      </c>
      <c r="F538">
        <v>1</v>
      </c>
      <c r="G538" t="str">
        <f t="shared" si="7"/>
        <v>M0112-A-134-1</v>
      </c>
      <c r="H538">
        <v>200.21</v>
      </c>
      <c r="I538">
        <v>200.55</v>
      </c>
    </row>
    <row r="539" spans="1:9" x14ac:dyDescent="0.3">
      <c r="A539">
        <v>501</v>
      </c>
      <c r="B539" t="s">
        <v>49</v>
      </c>
      <c r="C539" t="s">
        <v>31</v>
      </c>
      <c r="D539">
        <v>136</v>
      </c>
      <c r="E539" t="s">
        <v>46</v>
      </c>
      <c r="F539">
        <v>1</v>
      </c>
      <c r="G539" t="str">
        <f t="shared" si="7"/>
        <v>M0112-A-136-1</v>
      </c>
      <c r="H539">
        <v>203.21</v>
      </c>
      <c r="I539">
        <v>204.78</v>
      </c>
    </row>
    <row r="540" spans="1:9" x14ac:dyDescent="0.3">
      <c r="A540">
        <v>501</v>
      </c>
      <c r="B540" t="s">
        <v>49</v>
      </c>
      <c r="C540" t="s">
        <v>31</v>
      </c>
      <c r="D540">
        <v>136</v>
      </c>
      <c r="E540" t="s">
        <v>46</v>
      </c>
      <c r="F540">
        <v>2</v>
      </c>
      <c r="G540" t="str">
        <f t="shared" si="7"/>
        <v>M0112-A-136-2</v>
      </c>
      <c r="H540">
        <v>204.78</v>
      </c>
      <c r="I540">
        <v>205.28</v>
      </c>
    </row>
    <row r="541" spans="1:9" x14ac:dyDescent="0.3">
      <c r="A541">
        <v>501</v>
      </c>
      <c r="B541" t="s">
        <v>49</v>
      </c>
      <c r="C541" t="s">
        <v>31</v>
      </c>
      <c r="D541">
        <v>137</v>
      </c>
      <c r="E541" t="s">
        <v>46</v>
      </c>
      <c r="F541">
        <v>1</v>
      </c>
      <c r="G541" t="str">
        <f t="shared" si="7"/>
        <v>M0112-A-137-1</v>
      </c>
      <c r="H541">
        <v>205.28</v>
      </c>
      <c r="I541">
        <v>206.2</v>
      </c>
    </row>
    <row r="542" spans="1:9" x14ac:dyDescent="0.3">
      <c r="A542">
        <v>501</v>
      </c>
      <c r="B542" t="s">
        <v>49</v>
      </c>
      <c r="C542" t="s">
        <v>31</v>
      </c>
      <c r="D542">
        <v>137</v>
      </c>
      <c r="E542" t="s">
        <v>46</v>
      </c>
      <c r="F542">
        <v>2</v>
      </c>
      <c r="G542" t="str">
        <f t="shared" si="7"/>
        <v>M0112-A-137-2</v>
      </c>
      <c r="H542">
        <v>206.2</v>
      </c>
      <c r="I542">
        <v>207.71</v>
      </c>
    </row>
    <row r="543" spans="1:9" x14ac:dyDescent="0.3">
      <c r="A543">
        <v>501</v>
      </c>
      <c r="B543" t="s">
        <v>49</v>
      </c>
      <c r="C543" t="s">
        <v>31</v>
      </c>
      <c r="D543">
        <v>138</v>
      </c>
      <c r="E543" t="s">
        <v>46</v>
      </c>
      <c r="F543">
        <v>1</v>
      </c>
      <c r="G543" t="str">
        <f t="shared" si="7"/>
        <v>M0112-A-138-1</v>
      </c>
      <c r="H543">
        <v>207.71</v>
      </c>
      <c r="I543">
        <v>208.14</v>
      </c>
    </row>
    <row r="544" spans="1:9" x14ac:dyDescent="0.3">
      <c r="A544">
        <v>501</v>
      </c>
      <c r="B544" t="s">
        <v>49</v>
      </c>
      <c r="C544" t="s">
        <v>31</v>
      </c>
      <c r="D544">
        <v>139</v>
      </c>
      <c r="E544" t="s">
        <v>46</v>
      </c>
      <c r="F544">
        <v>1</v>
      </c>
      <c r="G544" t="str">
        <f t="shared" si="7"/>
        <v>M0112-A-139-1</v>
      </c>
      <c r="H544">
        <v>208.14</v>
      </c>
      <c r="I544">
        <v>209.64</v>
      </c>
    </row>
    <row r="545" spans="1:9" x14ac:dyDescent="0.3">
      <c r="A545">
        <v>501</v>
      </c>
      <c r="B545" t="s">
        <v>49</v>
      </c>
      <c r="C545" t="s">
        <v>31</v>
      </c>
      <c r="D545">
        <v>139</v>
      </c>
      <c r="E545" t="s">
        <v>46</v>
      </c>
      <c r="F545">
        <v>2</v>
      </c>
      <c r="G545" t="str">
        <f t="shared" si="7"/>
        <v>M0112-A-139-2</v>
      </c>
      <c r="H545">
        <v>209.64</v>
      </c>
      <c r="I545">
        <v>210.33</v>
      </c>
    </row>
    <row r="546" spans="1:9" x14ac:dyDescent="0.3">
      <c r="A546">
        <v>501</v>
      </c>
      <c r="B546" t="s">
        <v>49</v>
      </c>
      <c r="C546" t="s">
        <v>31</v>
      </c>
      <c r="D546">
        <v>140</v>
      </c>
      <c r="E546" t="s">
        <v>46</v>
      </c>
      <c r="F546">
        <v>1</v>
      </c>
      <c r="G546" t="str">
        <f t="shared" si="7"/>
        <v>M0112-A-140-1</v>
      </c>
      <c r="H546">
        <v>210.33</v>
      </c>
      <c r="I546">
        <v>211.83</v>
      </c>
    </row>
    <row r="547" spans="1:9" x14ac:dyDescent="0.3">
      <c r="A547">
        <v>501</v>
      </c>
      <c r="B547" t="s">
        <v>49</v>
      </c>
      <c r="C547" t="s">
        <v>31</v>
      </c>
      <c r="D547">
        <v>140</v>
      </c>
      <c r="E547" t="s">
        <v>46</v>
      </c>
      <c r="F547">
        <v>2</v>
      </c>
      <c r="G547" t="str">
        <f t="shared" si="7"/>
        <v>M0112-A-140-2</v>
      </c>
      <c r="H547">
        <v>211.83</v>
      </c>
      <c r="I547">
        <v>212.68</v>
      </c>
    </row>
    <row r="548" spans="1:9" x14ac:dyDescent="0.3">
      <c r="A548">
        <v>501</v>
      </c>
      <c r="B548" t="s">
        <v>49</v>
      </c>
      <c r="C548" t="s">
        <v>31</v>
      </c>
      <c r="D548">
        <v>141</v>
      </c>
      <c r="E548" t="s">
        <v>46</v>
      </c>
      <c r="F548">
        <v>1</v>
      </c>
      <c r="G548" t="str">
        <f t="shared" si="7"/>
        <v>M0112-A-141-1</v>
      </c>
      <c r="H548">
        <v>212.68</v>
      </c>
      <c r="I548">
        <v>214.18</v>
      </c>
    </row>
    <row r="549" spans="1:9" x14ac:dyDescent="0.3">
      <c r="A549">
        <v>501</v>
      </c>
      <c r="B549" t="s">
        <v>49</v>
      </c>
      <c r="C549" t="s">
        <v>31</v>
      </c>
      <c r="D549">
        <v>141</v>
      </c>
      <c r="E549" t="s">
        <v>46</v>
      </c>
      <c r="F549">
        <v>2</v>
      </c>
      <c r="G549" t="str">
        <f t="shared" si="7"/>
        <v>M0112-A-141-2</v>
      </c>
      <c r="H549">
        <v>214.18</v>
      </c>
      <c r="I549">
        <v>215.34</v>
      </c>
    </row>
    <row r="550" spans="1:9" x14ac:dyDescent="0.3">
      <c r="A550">
        <v>501</v>
      </c>
      <c r="B550" t="s">
        <v>49</v>
      </c>
      <c r="C550" t="s">
        <v>31</v>
      </c>
      <c r="D550">
        <v>142</v>
      </c>
      <c r="E550" t="s">
        <v>46</v>
      </c>
      <c r="F550">
        <v>1</v>
      </c>
      <c r="G550" t="str">
        <f t="shared" si="7"/>
        <v>M0112-A-142-1</v>
      </c>
      <c r="H550">
        <v>215.34</v>
      </c>
      <c r="I550">
        <v>216.11</v>
      </c>
    </row>
    <row r="551" spans="1:9" x14ac:dyDescent="0.3">
      <c r="A551">
        <v>501</v>
      </c>
      <c r="B551" t="s">
        <v>49</v>
      </c>
      <c r="C551" t="s">
        <v>31</v>
      </c>
      <c r="D551">
        <v>143</v>
      </c>
      <c r="E551" t="s">
        <v>34</v>
      </c>
      <c r="F551">
        <v>1</v>
      </c>
      <c r="G551" t="str">
        <f t="shared" si="7"/>
        <v>M0112-A-143-1</v>
      </c>
      <c r="H551">
        <v>216.11</v>
      </c>
      <c r="I551">
        <v>216.66</v>
      </c>
    </row>
    <row r="552" spans="1:9" x14ac:dyDescent="0.3">
      <c r="A552">
        <v>501</v>
      </c>
      <c r="B552" t="s">
        <v>49</v>
      </c>
      <c r="C552" t="s">
        <v>31</v>
      </c>
      <c r="D552">
        <v>144</v>
      </c>
      <c r="E552" t="s">
        <v>34</v>
      </c>
      <c r="F552">
        <v>1</v>
      </c>
      <c r="G552" t="str">
        <f t="shared" si="7"/>
        <v>M0112-A-144-1</v>
      </c>
      <c r="H552">
        <v>216.36</v>
      </c>
      <c r="I552">
        <v>217.36</v>
      </c>
    </row>
    <row r="553" spans="1:9" x14ac:dyDescent="0.3">
      <c r="A553">
        <v>501</v>
      </c>
      <c r="B553" t="s">
        <v>49</v>
      </c>
      <c r="C553" t="s">
        <v>31</v>
      </c>
      <c r="D553">
        <v>144</v>
      </c>
      <c r="E553" t="s">
        <v>34</v>
      </c>
      <c r="F553">
        <v>2</v>
      </c>
      <c r="G553" t="str">
        <f t="shared" si="7"/>
        <v>M0112-A-144-2</v>
      </c>
      <c r="H553">
        <v>217.36</v>
      </c>
      <c r="I553">
        <v>218.18</v>
      </c>
    </row>
    <row r="554" spans="1:9" x14ac:dyDescent="0.3">
      <c r="A554">
        <v>501</v>
      </c>
      <c r="B554" t="s">
        <v>49</v>
      </c>
      <c r="C554" t="s">
        <v>31</v>
      </c>
      <c r="D554">
        <v>145</v>
      </c>
      <c r="E554" t="s">
        <v>34</v>
      </c>
      <c r="F554">
        <v>1</v>
      </c>
      <c r="G554" t="str">
        <f t="shared" si="7"/>
        <v>M0112-A-145-1</v>
      </c>
      <c r="H554">
        <v>218.21</v>
      </c>
      <c r="I554">
        <v>218.96</v>
      </c>
    </row>
    <row r="555" spans="1:9" x14ac:dyDescent="0.3">
      <c r="A555">
        <v>501</v>
      </c>
      <c r="B555" t="s">
        <v>49</v>
      </c>
      <c r="C555" t="s">
        <v>31</v>
      </c>
      <c r="D555">
        <v>145</v>
      </c>
      <c r="E555" t="s">
        <v>34</v>
      </c>
      <c r="F555">
        <v>2</v>
      </c>
      <c r="G555" t="str">
        <f t="shared" si="7"/>
        <v>M0112-A-145-2</v>
      </c>
      <c r="H555">
        <v>218.96</v>
      </c>
      <c r="I555">
        <v>219.49</v>
      </c>
    </row>
    <row r="556" spans="1:9" x14ac:dyDescent="0.3">
      <c r="A556">
        <v>501</v>
      </c>
      <c r="B556" t="s">
        <v>49</v>
      </c>
      <c r="C556" t="s">
        <v>31</v>
      </c>
      <c r="D556">
        <v>145</v>
      </c>
      <c r="E556" t="s">
        <v>34</v>
      </c>
      <c r="F556">
        <v>3</v>
      </c>
      <c r="G556" t="str">
        <f t="shared" si="7"/>
        <v>M0112-A-145-3</v>
      </c>
      <c r="H556">
        <v>219.49</v>
      </c>
      <c r="I556">
        <v>219.58</v>
      </c>
    </row>
    <row r="557" spans="1:9" x14ac:dyDescent="0.3">
      <c r="A557">
        <v>501</v>
      </c>
      <c r="B557" t="s">
        <v>49</v>
      </c>
      <c r="C557" t="s">
        <v>31</v>
      </c>
      <c r="D557">
        <v>146</v>
      </c>
      <c r="E557" t="s">
        <v>34</v>
      </c>
      <c r="F557">
        <v>1</v>
      </c>
      <c r="G557" t="str">
        <f t="shared" si="7"/>
        <v>M0112-A-146-1</v>
      </c>
      <c r="H557">
        <v>219.61</v>
      </c>
      <c r="I557">
        <v>219.62</v>
      </c>
    </row>
    <row r="558" spans="1:9" x14ac:dyDescent="0.3">
      <c r="A558">
        <v>501</v>
      </c>
      <c r="B558" t="s">
        <v>49</v>
      </c>
      <c r="C558" t="s">
        <v>31</v>
      </c>
      <c r="D558">
        <v>147</v>
      </c>
      <c r="E558" t="s">
        <v>34</v>
      </c>
      <c r="F558">
        <v>1</v>
      </c>
      <c r="G558" t="str">
        <f t="shared" si="7"/>
        <v>M0112-A-147-1</v>
      </c>
      <c r="H558">
        <v>219.81</v>
      </c>
      <c r="I558">
        <v>220.06</v>
      </c>
    </row>
    <row r="559" spans="1:9" x14ac:dyDescent="0.3">
      <c r="A559">
        <v>501</v>
      </c>
      <c r="B559" t="s">
        <v>49</v>
      </c>
      <c r="C559" t="s">
        <v>31</v>
      </c>
      <c r="D559">
        <v>148</v>
      </c>
      <c r="E559" t="s">
        <v>34</v>
      </c>
      <c r="F559">
        <v>1</v>
      </c>
      <c r="G559" t="str">
        <f t="shared" si="7"/>
        <v>M0112-A-148-1</v>
      </c>
      <c r="H559">
        <v>221.21</v>
      </c>
      <c r="I559">
        <v>221.42</v>
      </c>
    </row>
    <row r="560" spans="1:9" x14ac:dyDescent="0.3">
      <c r="A560">
        <v>501</v>
      </c>
      <c r="B560" t="s">
        <v>49</v>
      </c>
      <c r="C560" t="s">
        <v>31</v>
      </c>
      <c r="D560">
        <v>149</v>
      </c>
      <c r="E560" t="s">
        <v>34</v>
      </c>
      <c r="F560">
        <v>1</v>
      </c>
      <c r="G560" t="str">
        <f t="shared" si="7"/>
        <v>M0112-A-149-1</v>
      </c>
      <c r="H560">
        <v>223.21</v>
      </c>
      <c r="I560">
        <v>223.23</v>
      </c>
    </row>
    <row r="561" spans="1:9" x14ac:dyDescent="0.3">
      <c r="A561">
        <v>501</v>
      </c>
      <c r="B561" t="s">
        <v>49</v>
      </c>
      <c r="C561" t="s">
        <v>31</v>
      </c>
      <c r="D561">
        <v>150</v>
      </c>
      <c r="E561" t="s">
        <v>46</v>
      </c>
      <c r="F561">
        <v>1</v>
      </c>
      <c r="G561" t="str">
        <f t="shared" si="7"/>
        <v>M0112-A-150-1</v>
      </c>
      <c r="H561">
        <v>224.21</v>
      </c>
      <c r="I561">
        <v>224.66</v>
      </c>
    </row>
    <row r="562" spans="1:9" x14ac:dyDescent="0.3">
      <c r="A562">
        <v>501</v>
      </c>
      <c r="B562" t="s">
        <v>49</v>
      </c>
      <c r="C562" t="s">
        <v>31</v>
      </c>
      <c r="D562">
        <v>151</v>
      </c>
      <c r="E562" t="s">
        <v>34</v>
      </c>
      <c r="F562">
        <v>1</v>
      </c>
      <c r="G562" t="str">
        <f t="shared" si="7"/>
        <v>M0112-A-151-1</v>
      </c>
      <c r="H562">
        <v>224.66</v>
      </c>
      <c r="I562">
        <v>225.92</v>
      </c>
    </row>
    <row r="563" spans="1:9" x14ac:dyDescent="0.3">
      <c r="A563">
        <v>501</v>
      </c>
      <c r="B563" t="s">
        <v>49</v>
      </c>
      <c r="C563" t="s">
        <v>31</v>
      </c>
      <c r="D563">
        <v>152</v>
      </c>
      <c r="E563" t="s">
        <v>34</v>
      </c>
      <c r="F563">
        <v>1</v>
      </c>
      <c r="G563" t="str">
        <f t="shared" si="7"/>
        <v>M0112-A-152-1</v>
      </c>
      <c r="H563">
        <v>225.66</v>
      </c>
      <c r="I563">
        <v>225.94</v>
      </c>
    </row>
    <row r="564" spans="1:9" x14ac:dyDescent="0.3">
      <c r="A564">
        <v>501</v>
      </c>
      <c r="B564" t="s">
        <v>49</v>
      </c>
      <c r="C564" t="s">
        <v>31</v>
      </c>
      <c r="D564">
        <v>153</v>
      </c>
      <c r="E564" t="s">
        <v>34</v>
      </c>
      <c r="F564">
        <v>1</v>
      </c>
      <c r="G564" t="str">
        <f t="shared" si="7"/>
        <v>M0112-A-153-1</v>
      </c>
      <c r="H564">
        <v>227.21</v>
      </c>
      <c r="I564">
        <v>227.87</v>
      </c>
    </row>
    <row r="565" spans="1:9" x14ac:dyDescent="0.3">
      <c r="A565">
        <v>501</v>
      </c>
      <c r="B565" t="s">
        <v>49</v>
      </c>
      <c r="C565" t="s">
        <v>31</v>
      </c>
      <c r="D565">
        <v>154</v>
      </c>
      <c r="E565" t="s">
        <v>46</v>
      </c>
      <c r="F565">
        <v>1</v>
      </c>
      <c r="G565" t="str">
        <f t="shared" si="7"/>
        <v>M0112-A-154-1</v>
      </c>
      <c r="H565">
        <v>228.21</v>
      </c>
      <c r="I565">
        <v>228.84</v>
      </c>
    </row>
    <row r="566" spans="1:9" x14ac:dyDescent="0.3">
      <c r="A566">
        <v>501</v>
      </c>
      <c r="B566" t="s">
        <v>49</v>
      </c>
      <c r="C566" t="s">
        <v>31</v>
      </c>
      <c r="D566">
        <v>155</v>
      </c>
      <c r="E566" t="s">
        <v>46</v>
      </c>
      <c r="F566">
        <v>1</v>
      </c>
      <c r="G566" t="str">
        <f t="shared" si="7"/>
        <v>M0112-A-155-1</v>
      </c>
      <c r="H566">
        <v>228.84</v>
      </c>
      <c r="I566">
        <v>229.09</v>
      </c>
    </row>
    <row r="567" spans="1:9" x14ac:dyDescent="0.3">
      <c r="A567">
        <v>501</v>
      </c>
      <c r="B567" t="s">
        <v>49</v>
      </c>
      <c r="C567" t="s">
        <v>31</v>
      </c>
      <c r="D567">
        <v>155</v>
      </c>
      <c r="E567" t="s">
        <v>46</v>
      </c>
      <c r="F567">
        <v>2</v>
      </c>
      <c r="G567" t="str">
        <f t="shared" si="7"/>
        <v>M0112-A-155-2</v>
      </c>
      <c r="H567">
        <v>229.09</v>
      </c>
      <c r="I567">
        <v>230.45</v>
      </c>
    </row>
    <row r="568" spans="1:9" x14ac:dyDescent="0.3">
      <c r="A568">
        <v>501</v>
      </c>
      <c r="B568" t="s">
        <v>49</v>
      </c>
      <c r="C568" t="s">
        <v>31</v>
      </c>
      <c r="D568">
        <v>156</v>
      </c>
      <c r="E568" t="s">
        <v>46</v>
      </c>
      <c r="F568">
        <v>1</v>
      </c>
      <c r="G568" t="str">
        <f t="shared" ref="G568:G631" si="8">CONCATENATE(B568, "-",C568, "-", D568, "-", F568)</f>
        <v>M0112-A-156-1</v>
      </c>
      <c r="H568">
        <v>230.45</v>
      </c>
      <c r="I568">
        <v>231.18</v>
      </c>
    </row>
    <row r="569" spans="1:9" x14ac:dyDescent="0.3">
      <c r="A569">
        <v>501</v>
      </c>
      <c r="B569" t="s">
        <v>49</v>
      </c>
      <c r="C569" t="s">
        <v>31</v>
      </c>
      <c r="D569">
        <v>157</v>
      </c>
      <c r="E569" t="s">
        <v>46</v>
      </c>
      <c r="F569">
        <v>1</v>
      </c>
      <c r="G569" t="str">
        <f t="shared" si="8"/>
        <v>M0112-A-157-1</v>
      </c>
      <c r="H569">
        <v>231.18</v>
      </c>
      <c r="I569">
        <v>231.83</v>
      </c>
    </row>
    <row r="570" spans="1:9" x14ac:dyDescent="0.3">
      <c r="A570">
        <v>501</v>
      </c>
      <c r="B570" t="s">
        <v>49</v>
      </c>
      <c r="C570" t="s">
        <v>31</v>
      </c>
      <c r="D570">
        <v>157</v>
      </c>
      <c r="E570" t="s">
        <v>46</v>
      </c>
      <c r="F570">
        <v>2</v>
      </c>
      <c r="G570" t="str">
        <f t="shared" si="8"/>
        <v>M0112-A-157-2</v>
      </c>
      <c r="H570">
        <v>231.83</v>
      </c>
      <c r="I570">
        <v>232.37</v>
      </c>
    </row>
    <row r="571" spans="1:9" x14ac:dyDescent="0.3">
      <c r="A571">
        <v>501</v>
      </c>
      <c r="B571" t="s">
        <v>49</v>
      </c>
      <c r="C571" t="s">
        <v>31</v>
      </c>
      <c r="D571">
        <v>158</v>
      </c>
      <c r="E571" t="s">
        <v>46</v>
      </c>
      <c r="F571">
        <v>1</v>
      </c>
      <c r="G571" t="str">
        <f t="shared" si="8"/>
        <v>M0112-A-158-1</v>
      </c>
      <c r="H571">
        <v>232.37</v>
      </c>
      <c r="I571">
        <v>233.07</v>
      </c>
    </row>
    <row r="572" spans="1:9" x14ac:dyDescent="0.3">
      <c r="A572">
        <v>501</v>
      </c>
      <c r="B572" t="s">
        <v>49</v>
      </c>
      <c r="C572" t="s">
        <v>31</v>
      </c>
      <c r="D572">
        <v>159</v>
      </c>
      <c r="E572" t="s">
        <v>34</v>
      </c>
      <c r="F572">
        <v>1</v>
      </c>
      <c r="G572" t="str">
        <f t="shared" si="8"/>
        <v>M0112-A-159-1</v>
      </c>
      <c r="H572">
        <v>233.07</v>
      </c>
      <c r="I572">
        <v>234.21</v>
      </c>
    </row>
    <row r="573" spans="1:9" x14ac:dyDescent="0.3">
      <c r="A573">
        <v>501</v>
      </c>
      <c r="B573" t="s">
        <v>49</v>
      </c>
      <c r="C573" t="s">
        <v>31</v>
      </c>
      <c r="D573">
        <v>159</v>
      </c>
      <c r="E573" t="s">
        <v>34</v>
      </c>
      <c r="F573">
        <v>2</v>
      </c>
      <c r="G573" t="str">
        <f t="shared" si="8"/>
        <v>M0112-A-159-2</v>
      </c>
      <c r="H573">
        <v>234.21</v>
      </c>
      <c r="I573">
        <v>234.83</v>
      </c>
    </row>
    <row r="574" spans="1:9" x14ac:dyDescent="0.3">
      <c r="A574">
        <v>501</v>
      </c>
      <c r="B574" t="s">
        <v>49</v>
      </c>
      <c r="C574" t="s">
        <v>31</v>
      </c>
      <c r="D574">
        <v>160</v>
      </c>
      <c r="E574" t="s">
        <v>34</v>
      </c>
      <c r="F574">
        <v>1</v>
      </c>
      <c r="G574" t="str">
        <f t="shared" si="8"/>
        <v>M0112-A-160-1</v>
      </c>
      <c r="H574">
        <v>235.21</v>
      </c>
      <c r="I574">
        <v>236.31</v>
      </c>
    </row>
    <row r="575" spans="1:9" x14ac:dyDescent="0.3">
      <c r="A575">
        <v>501</v>
      </c>
      <c r="B575" t="s">
        <v>49</v>
      </c>
      <c r="C575" t="s">
        <v>31</v>
      </c>
      <c r="D575">
        <v>160</v>
      </c>
      <c r="E575" t="s">
        <v>34</v>
      </c>
      <c r="F575">
        <v>2</v>
      </c>
      <c r="G575" t="str">
        <f t="shared" si="8"/>
        <v>M0112-A-160-2</v>
      </c>
      <c r="H575">
        <v>236.31</v>
      </c>
      <c r="I575">
        <v>237.03</v>
      </c>
    </row>
    <row r="576" spans="1:9" x14ac:dyDescent="0.3">
      <c r="A576">
        <v>501</v>
      </c>
      <c r="B576" t="s">
        <v>49</v>
      </c>
      <c r="C576" t="s">
        <v>31</v>
      </c>
      <c r="D576">
        <v>161</v>
      </c>
      <c r="E576" t="s">
        <v>34</v>
      </c>
      <c r="F576">
        <v>1</v>
      </c>
      <c r="G576" t="str">
        <f t="shared" si="8"/>
        <v>M0112-A-161-1</v>
      </c>
      <c r="H576">
        <v>238.21</v>
      </c>
      <c r="I576">
        <v>238.86</v>
      </c>
    </row>
    <row r="577" spans="1:9" x14ac:dyDescent="0.3">
      <c r="A577">
        <v>501</v>
      </c>
      <c r="B577" t="s">
        <v>49</v>
      </c>
      <c r="C577" t="s">
        <v>31</v>
      </c>
      <c r="D577">
        <v>161</v>
      </c>
      <c r="E577" t="s">
        <v>34</v>
      </c>
      <c r="F577">
        <v>2</v>
      </c>
      <c r="G577" t="str">
        <f t="shared" si="8"/>
        <v>M0112-A-161-2</v>
      </c>
      <c r="H577">
        <v>238.86</v>
      </c>
      <c r="I577">
        <v>239.36</v>
      </c>
    </row>
    <row r="578" spans="1:9" x14ac:dyDescent="0.3">
      <c r="A578">
        <v>501</v>
      </c>
      <c r="B578" t="s">
        <v>49</v>
      </c>
      <c r="C578" t="s">
        <v>31</v>
      </c>
      <c r="D578">
        <v>162</v>
      </c>
      <c r="E578" t="s">
        <v>34</v>
      </c>
      <c r="F578">
        <v>1</v>
      </c>
      <c r="G578" t="str">
        <f t="shared" si="8"/>
        <v>M0112-A-162-1</v>
      </c>
      <c r="H578">
        <v>240.21</v>
      </c>
      <c r="I578">
        <v>240.83</v>
      </c>
    </row>
    <row r="579" spans="1:9" x14ac:dyDescent="0.3">
      <c r="A579">
        <v>501</v>
      </c>
      <c r="B579" t="s">
        <v>49</v>
      </c>
      <c r="C579" t="s">
        <v>31</v>
      </c>
      <c r="D579">
        <v>163</v>
      </c>
      <c r="E579" t="s">
        <v>34</v>
      </c>
      <c r="F579">
        <v>1</v>
      </c>
      <c r="G579" t="str">
        <f t="shared" si="8"/>
        <v>M0112-A-163-1</v>
      </c>
      <c r="H579">
        <v>242.21</v>
      </c>
      <c r="I579">
        <v>242.64</v>
      </c>
    </row>
    <row r="580" spans="1:9" x14ac:dyDescent="0.3">
      <c r="A580">
        <v>501</v>
      </c>
      <c r="B580" t="s">
        <v>49</v>
      </c>
      <c r="C580" t="s">
        <v>31</v>
      </c>
      <c r="D580">
        <v>163</v>
      </c>
      <c r="E580" t="s">
        <v>34</v>
      </c>
      <c r="F580">
        <v>2</v>
      </c>
      <c r="G580" t="str">
        <f t="shared" si="8"/>
        <v>M0112-A-163-2</v>
      </c>
      <c r="H580">
        <v>242.64</v>
      </c>
      <c r="I580">
        <v>242.73</v>
      </c>
    </row>
    <row r="581" spans="1:9" x14ac:dyDescent="0.3">
      <c r="A581">
        <v>501</v>
      </c>
      <c r="B581" t="s">
        <v>49</v>
      </c>
      <c r="C581" t="s">
        <v>31</v>
      </c>
      <c r="D581">
        <v>164</v>
      </c>
      <c r="E581" t="s">
        <v>34</v>
      </c>
      <c r="F581">
        <v>1</v>
      </c>
      <c r="G581" t="str">
        <f t="shared" si="8"/>
        <v>M0112-A-164-1</v>
      </c>
      <c r="H581">
        <v>243.71</v>
      </c>
      <c r="I581">
        <v>244.51</v>
      </c>
    </row>
    <row r="582" spans="1:9" x14ac:dyDescent="0.3">
      <c r="A582">
        <v>501</v>
      </c>
      <c r="B582" t="s">
        <v>49</v>
      </c>
      <c r="C582" t="s">
        <v>31</v>
      </c>
      <c r="D582">
        <v>164</v>
      </c>
      <c r="E582" t="s">
        <v>34</v>
      </c>
      <c r="F582">
        <v>2</v>
      </c>
      <c r="G582" t="str">
        <f t="shared" si="8"/>
        <v>M0112-A-164-2</v>
      </c>
      <c r="H582">
        <v>244.51</v>
      </c>
      <c r="I582">
        <v>245.09</v>
      </c>
    </row>
    <row r="583" spans="1:9" x14ac:dyDescent="0.3">
      <c r="A583">
        <v>501</v>
      </c>
      <c r="B583" t="s">
        <v>49</v>
      </c>
      <c r="C583" t="s">
        <v>31</v>
      </c>
      <c r="D583">
        <v>165</v>
      </c>
      <c r="E583" t="s">
        <v>34</v>
      </c>
      <c r="F583">
        <v>1</v>
      </c>
      <c r="G583" t="str">
        <f t="shared" si="8"/>
        <v>M0112-A-165-1</v>
      </c>
      <c r="H583">
        <v>245.21</v>
      </c>
      <c r="I583">
        <v>246.71</v>
      </c>
    </row>
    <row r="584" spans="1:9" x14ac:dyDescent="0.3">
      <c r="A584">
        <v>501</v>
      </c>
      <c r="B584" t="s">
        <v>49</v>
      </c>
      <c r="C584" t="s">
        <v>31</v>
      </c>
      <c r="D584">
        <v>165</v>
      </c>
      <c r="E584" t="s">
        <v>34</v>
      </c>
      <c r="F584">
        <v>2</v>
      </c>
      <c r="G584" t="str">
        <f t="shared" si="8"/>
        <v>M0112-A-165-2</v>
      </c>
      <c r="H584">
        <v>246.71</v>
      </c>
      <c r="I584">
        <v>247.73</v>
      </c>
    </row>
    <row r="585" spans="1:9" x14ac:dyDescent="0.3">
      <c r="A585">
        <v>501</v>
      </c>
      <c r="B585" t="s">
        <v>49</v>
      </c>
      <c r="C585" t="s">
        <v>31</v>
      </c>
      <c r="D585">
        <v>166</v>
      </c>
      <c r="E585" t="s">
        <v>34</v>
      </c>
      <c r="F585">
        <v>1</v>
      </c>
      <c r="G585" t="str">
        <f t="shared" si="8"/>
        <v>M0112-A-166-1</v>
      </c>
      <c r="H585">
        <v>247.56</v>
      </c>
      <c r="I585">
        <v>248.11</v>
      </c>
    </row>
    <row r="586" spans="1:9" x14ac:dyDescent="0.3">
      <c r="A586">
        <v>501</v>
      </c>
      <c r="B586" t="s">
        <v>49</v>
      </c>
      <c r="C586" t="s">
        <v>31</v>
      </c>
      <c r="D586">
        <v>167</v>
      </c>
      <c r="E586" t="s">
        <v>46</v>
      </c>
      <c r="F586">
        <v>1</v>
      </c>
      <c r="G586" t="str">
        <f t="shared" si="8"/>
        <v>M0112-A-167-1</v>
      </c>
      <c r="H586">
        <v>248.81</v>
      </c>
      <c r="I586">
        <v>250.31</v>
      </c>
    </row>
    <row r="587" spans="1:9" x14ac:dyDescent="0.3">
      <c r="A587">
        <v>501</v>
      </c>
      <c r="B587" t="s">
        <v>49</v>
      </c>
      <c r="C587" t="s">
        <v>31</v>
      </c>
      <c r="D587">
        <v>167</v>
      </c>
      <c r="E587" t="s">
        <v>46</v>
      </c>
      <c r="F587">
        <v>2</v>
      </c>
      <c r="G587" t="str">
        <f t="shared" si="8"/>
        <v>M0112-A-167-2</v>
      </c>
      <c r="H587">
        <v>250.31</v>
      </c>
      <c r="I587">
        <v>251.64</v>
      </c>
    </row>
    <row r="588" spans="1:9" x14ac:dyDescent="0.3">
      <c r="A588">
        <v>501</v>
      </c>
      <c r="B588" t="s">
        <v>49</v>
      </c>
      <c r="C588" t="s">
        <v>31</v>
      </c>
      <c r="D588">
        <v>168</v>
      </c>
      <c r="E588" t="s">
        <v>46</v>
      </c>
      <c r="F588">
        <v>1</v>
      </c>
      <c r="G588" t="str">
        <f t="shared" si="8"/>
        <v>M0112-A-168-1</v>
      </c>
      <c r="H588">
        <v>251.64</v>
      </c>
      <c r="I588">
        <v>253.14</v>
      </c>
    </row>
    <row r="589" spans="1:9" x14ac:dyDescent="0.3">
      <c r="A589">
        <v>501</v>
      </c>
      <c r="B589" t="s">
        <v>49</v>
      </c>
      <c r="C589" t="s">
        <v>31</v>
      </c>
      <c r="D589">
        <v>168</v>
      </c>
      <c r="E589" t="s">
        <v>46</v>
      </c>
      <c r="F589">
        <v>2</v>
      </c>
      <c r="G589" t="str">
        <f t="shared" si="8"/>
        <v>M0112-A-168-2</v>
      </c>
      <c r="H589">
        <v>253.14</v>
      </c>
      <c r="I589">
        <v>254.06</v>
      </c>
    </row>
    <row r="590" spans="1:9" x14ac:dyDescent="0.3">
      <c r="A590">
        <v>501</v>
      </c>
      <c r="B590" t="s">
        <v>49</v>
      </c>
      <c r="C590" t="s">
        <v>31</v>
      </c>
      <c r="D590">
        <v>169</v>
      </c>
      <c r="E590" t="s">
        <v>46</v>
      </c>
      <c r="F590">
        <v>1</v>
      </c>
      <c r="G590" t="str">
        <f t="shared" si="8"/>
        <v>M0112-A-169-1</v>
      </c>
      <c r="H590">
        <v>254.06</v>
      </c>
      <c r="I590">
        <v>255.56</v>
      </c>
    </row>
    <row r="591" spans="1:9" x14ac:dyDescent="0.3">
      <c r="A591">
        <v>501</v>
      </c>
      <c r="B591" t="s">
        <v>49</v>
      </c>
      <c r="C591" t="s">
        <v>31</v>
      </c>
      <c r="D591">
        <v>169</v>
      </c>
      <c r="E591" t="s">
        <v>46</v>
      </c>
      <c r="F591">
        <v>2</v>
      </c>
      <c r="G591" t="str">
        <f t="shared" si="8"/>
        <v>M0112-A-169-2</v>
      </c>
      <c r="H591">
        <v>255.56</v>
      </c>
      <c r="I591">
        <v>257.02</v>
      </c>
    </row>
    <row r="592" spans="1:9" x14ac:dyDescent="0.3">
      <c r="A592">
        <v>501</v>
      </c>
      <c r="B592" t="s">
        <v>49</v>
      </c>
      <c r="C592" t="s">
        <v>31</v>
      </c>
      <c r="D592">
        <v>170</v>
      </c>
      <c r="E592" t="s">
        <v>46</v>
      </c>
      <c r="F592">
        <v>1</v>
      </c>
      <c r="G592" t="str">
        <f t="shared" si="8"/>
        <v>M0112-A-170-1</v>
      </c>
      <c r="H592">
        <v>257.02</v>
      </c>
      <c r="I592">
        <v>258.52</v>
      </c>
    </row>
    <row r="593" spans="1:9" x14ac:dyDescent="0.3">
      <c r="A593">
        <v>501</v>
      </c>
      <c r="B593" t="s">
        <v>49</v>
      </c>
      <c r="C593" t="s">
        <v>31</v>
      </c>
      <c r="D593">
        <v>170</v>
      </c>
      <c r="E593" t="s">
        <v>46</v>
      </c>
      <c r="F593">
        <v>2</v>
      </c>
      <c r="G593" t="str">
        <f t="shared" si="8"/>
        <v>M0112-A-170-2</v>
      </c>
      <c r="H593">
        <v>258.52</v>
      </c>
      <c r="I593">
        <v>259.52</v>
      </c>
    </row>
    <row r="594" spans="1:9" x14ac:dyDescent="0.3">
      <c r="A594">
        <v>501</v>
      </c>
      <c r="B594" t="s">
        <v>49</v>
      </c>
      <c r="C594" t="s">
        <v>31</v>
      </c>
      <c r="D594">
        <v>171</v>
      </c>
      <c r="E594" t="s">
        <v>46</v>
      </c>
      <c r="F594">
        <v>1</v>
      </c>
      <c r="G594" t="str">
        <f t="shared" si="8"/>
        <v>M0112-A-171-1</v>
      </c>
      <c r="H594">
        <v>259.52</v>
      </c>
      <c r="I594">
        <v>261.01</v>
      </c>
    </row>
    <row r="595" spans="1:9" x14ac:dyDescent="0.3">
      <c r="A595">
        <v>501</v>
      </c>
      <c r="B595" t="s">
        <v>49</v>
      </c>
      <c r="C595" t="s">
        <v>31</v>
      </c>
      <c r="D595">
        <v>171</v>
      </c>
      <c r="E595" t="s">
        <v>46</v>
      </c>
      <c r="F595">
        <v>2</v>
      </c>
      <c r="G595" t="str">
        <f t="shared" si="8"/>
        <v>M0112-A-171-2</v>
      </c>
      <c r="H595">
        <v>261.01</v>
      </c>
      <c r="I595">
        <v>261.82</v>
      </c>
    </row>
    <row r="596" spans="1:9" x14ac:dyDescent="0.3">
      <c r="A596">
        <v>501</v>
      </c>
      <c r="B596" t="s">
        <v>49</v>
      </c>
      <c r="C596" t="s">
        <v>31</v>
      </c>
      <c r="D596">
        <v>172</v>
      </c>
      <c r="E596" t="s">
        <v>46</v>
      </c>
      <c r="F596">
        <v>1</v>
      </c>
      <c r="G596" t="str">
        <f t="shared" si="8"/>
        <v>M0112-A-172-1</v>
      </c>
      <c r="H596">
        <v>261.82</v>
      </c>
      <c r="I596">
        <v>263.31</v>
      </c>
    </row>
    <row r="597" spans="1:9" x14ac:dyDescent="0.3">
      <c r="A597">
        <v>501</v>
      </c>
      <c r="B597" t="s">
        <v>49</v>
      </c>
      <c r="C597" t="s">
        <v>31</v>
      </c>
      <c r="D597">
        <v>172</v>
      </c>
      <c r="E597" t="s">
        <v>46</v>
      </c>
      <c r="F597">
        <v>2</v>
      </c>
      <c r="G597" t="str">
        <f t="shared" si="8"/>
        <v>M0112-A-172-2</v>
      </c>
      <c r="H597">
        <v>263.31</v>
      </c>
      <c r="I597">
        <v>263.86</v>
      </c>
    </row>
    <row r="598" spans="1:9" x14ac:dyDescent="0.3">
      <c r="A598">
        <v>501</v>
      </c>
      <c r="B598" t="s">
        <v>49</v>
      </c>
      <c r="C598" t="s">
        <v>31</v>
      </c>
      <c r="D598">
        <v>173</v>
      </c>
      <c r="E598" t="s">
        <v>46</v>
      </c>
      <c r="F598">
        <v>1</v>
      </c>
      <c r="G598" t="str">
        <f t="shared" si="8"/>
        <v>M0112-A-173-1</v>
      </c>
      <c r="H598">
        <v>263.86</v>
      </c>
      <c r="I598">
        <v>264.7</v>
      </c>
    </row>
    <row r="599" spans="1:9" x14ac:dyDescent="0.3">
      <c r="A599">
        <v>501</v>
      </c>
      <c r="B599" t="s">
        <v>49</v>
      </c>
      <c r="C599" t="s">
        <v>31</v>
      </c>
      <c r="D599">
        <v>174</v>
      </c>
      <c r="E599" t="s">
        <v>46</v>
      </c>
      <c r="F599">
        <v>1</v>
      </c>
      <c r="G599" t="str">
        <f t="shared" si="8"/>
        <v>M0112-A-174-1</v>
      </c>
      <c r="H599">
        <v>264.7</v>
      </c>
      <c r="I599">
        <v>265.25</v>
      </c>
    </row>
    <row r="600" spans="1:9" x14ac:dyDescent="0.3">
      <c r="A600">
        <v>501</v>
      </c>
      <c r="B600" t="s">
        <v>49</v>
      </c>
      <c r="C600" t="s">
        <v>31</v>
      </c>
      <c r="D600">
        <v>174</v>
      </c>
      <c r="E600" t="s">
        <v>46</v>
      </c>
      <c r="F600">
        <v>2</v>
      </c>
      <c r="G600" t="str">
        <f t="shared" si="8"/>
        <v>M0112-A-174-2</v>
      </c>
      <c r="H600">
        <v>265.25</v>
      </c>
      <c r="I600">
        <v>266.43</v>
      </c>
    </row>
    <row r="601" spans="1:9" x14ac:dyDescent="0.3">
      <c r="A601">
        <v>501</v>
      </c>
      <c r="B601" t="s">
        <v>49</v>
      </c>
      <c r="C601" t="s">
        <v>31</v>
      </c>
      <c r="D601">
        <v>175</v>
      </c>
      <c r="E601" t="s">
        <v>46</v>
      </c>
      <c r="F601">
        <v>1</v>
      </c>
      <c r="G601" t="str">
        <f t="shared" si="8"/>
        <v>M0112-A-175-1</v>
      </c>
      <c r="H601">
        <v>266.43</v>
      </c>
      <c r="I601">
        <v>267.92</v>
      </c>
    </row>
    <row r="602" spans="1:9" x14ac:dyDescent="0.3">
      <c r="A602">
        <v>501</v>
      </c>
      <c r="B602" t="s">
        <v>49</v>
      </c>
      <c r="C602" t="s">
        <v>31</v>
      </c>
      <c r="D602">
        <v>175</v>
      </c>
      <c r="E602" t="s">
        <v>46</v>
      </c>
      <c r="F602">
        <v>2</v>
      </c>
      <c r="G602" t="str">
        <f t="shared" si="8"/>
        <v>M0112-A-175-2</v>
      </c>
      <c r="H602">
        <v>267.92</v>
      </c>
      <c r="I602">
        <v>269.33999999999997</v>
      </c>
    </row>
    <row r="603" spans="1:9" x14ac:dyDescent="0.3">
      <c r="A603">
        <v>501</v>
      </c>
      <c r="B603" t="s">
        <v>49</v>
      </c>
      <c r="C603" t="s">
        <v>31</v>
      </c>
      <c r="D603">
        <v>176</v>
      </c>
      <c r="E603" t="s">
        <v>46</v>
      </c>
      <c r="F603">
        <v>1</v>
      </c>
      <c r="G603" t="str">
        <f t="shared" si="8"/>
        <v>M0112-A-176-1</v>
      </c>
      <c r="H603">
        <v>269.33999999999997</v>
      </c>
      <c r="I603">
        <v>269.58999999999997</v>
      </c>
    </row>
    <row r="604" spans="1:9" x14ac:dyDescent="0.3">
      <c r="A604">
        <v>501</v>
      </c>
      <c r="B604" t="s">
        <v>49</v>
      </c>
      <c r="C604" t="s">
        <v>31</v>
      </c>
      <c r="D604">
        <v>176</v>
      </c>
      <c r="E604" t="s">
        <v>46</v>
      </c>
      <c r="F604">
        <v>2</v>
      </c>
      <c r="G604" t="str">
        <f t="shared" si="8"/>
        <v>M0112-A-176-2</v>
      </c>
      <c r="H604">
        <v>269.58999999999997</v>
      </c>
      <c r="I604">
        <v>270.54000000000002</v>
      </c>
    </row>
    <row r="605" spans="1:9" x14ac:dyDescent="0.3">
      <c r="A605">
        <v>501</v>
      </c>
      <c r="B605" t="s">
        <v>49</v>
      </c>
      <c r="C605" t="s">
        <v>31</v>
      </c>
      <c r="D605">
        <v>177</v>
      </c>
      <c r="E605" t="s">
        <v>46</v>
      </c>
      <c r="F605">
        <v>1</v>
      </c>
      <c r="G605" t="str">
        <f t="shared" si="8"/>
        <v>M0112-A-177-1</v>
      </c>
      <c r="H605">
        <v>270.54000000000002</v>
      </c>
      <c r="I605">
        <v>270.68</v>
      </c>
    </row>
    <row r="606" spans="1:9" x14ac:dyDescent="0.3">
      <c r="A606">
        <v>501</v>
      </c>
      <c r="B606" t="s">
        <v>49</v>
      </c>
      <c r="C606" t="s">
        <v>31</v>
      </c>
      <c r="D606">
        <v>177</v>
      </c>
      <c r="E606" t="s">
        <v>46</v>
      </c>
      <c r="F606">
        <v>2</v>
      </c>
      <c r="G606" t="str">
        <f t="shared" si="8"/>
        <v>M0112-A-177-2</v>
      </c>
      <c r="H606">
        <v>270.68</v>
      </c>
      <c r="I606">
        <v>272.18</v>
      </c>
    </row>
    <row r="607" spans="1:9" x14ac:dyDescent="0.3">
      <c r="A607">
        <v>501</v>
      </c>
      <c r="B607" t="s">
        <v>49</v>
      </c>
      <c r="C607" t="s">
        <v>31</v>
      </c>
      <c r="D607">
        <v>177</v>
      </c>
      <c r="E607" t="s">
        <v>46</v>
      </c>
      <c r="F607">
        <v>3</v>
      </c>
      <c r="G607" t="str">
        <f t="shared" si="8"/>
        <v>M0112-A-177-3</v>
      </c>
      <c r="H607">
        <v>272.18</v>
      </c>
      <c r="I607">
        <v>273.35000000000002</v>
      </c>
    </row>
    <row r="608" spans="1:9" x14ac:dyDescent="0.3">
      <c r="A608">
        <v>501</v>
      </c>
      <c r="B608" t="s">
        <v>49</v>
      </c>
      <c r="C608" t="s">
        <v>31</v>
      </c>
      <c r="D608">
        <v>178</v>
      </c>
      <c r="E608" t="s">
        <v>46</v>
      </c>
      <c r="F608">
        <v>1</v>
      </c>
      <c r="G608" t="str">
        <f t="shared" si="8"/>
        <v>M0112-A-178-1</v>
      </c>
      <c r="H608">
        <v>273.35000000000002</v>
      </c>
      <c r="I608">
        <v>274.83999999999997</v>
      </c>
    </row>
    <row r="609" spans="1:9" x14ac:dyDescent="0.3">
      <c r="A609">
        <v>501</v>
      </c>
      <c r="B609" t="s">
        <v>49</v>
      </c>
      <c r="C609" t="s">
        <v>31</v>
      </c>
      <c r="D609">
        <v>178</v>
      </c>
      <c r="E609" t="s">
        <v>46</v>
      </c>
      <c r="F609">
        <v>2</v>
      </c>
      <c r="G609" t="str">
        <f t="shared" si="8"/>
        <v>M0112-A-178-2</v>
      </c>
      <c r="H609">
        <v>274.83999999999997</v>
      </c>
      <c r="I609">
        <v>275.93</v>
      </c>
    </row>
    <row r="610" spans="1:9" x14ac:dyDescent="0.3">
      <c r="A610">
        <v>501</v>
      </c>
      <c r="B610" t="s">
        <v>49</v>
      </c>
      <c r="C610" t="s">
        <v>31</v>
      </c>
      <c r="D610">
        <v>179</v>
      </c>
      <c r="E610" t="s">
        <v>46</v>
      </c>
      <c r="F610">
        <v>1</v>
      </c>
      <c r="G610" t="str">
        <f t="shared" si="8"/>
        <v>M0112-A-179-1</v>
      </c>
      <c r="H610">
        <v>275.93</v>
      </c>
      <c r="I610">
        <v>276.93</v>
      </c>
    </row>
    <row r="611" spans="1:9" x14ac:dyDescent="0.3">
      <c r="A611">
        <v>501</v>
      </c>
      <c r="B611" t="s">
        <v>49</v>
      </c>
      <c r="C611" t="s">
        <v>31</v>
      </c>
      <c r="D611">
        <v>179</v>
      </c>
      <c r="E611" t="s">
        <v>46</v>
      </c>
      <c r="F611">
        <v>2</v>
      </c>
      <c r="G611" t="str">
        <f t="shared" si="8"/>
        <v>M0112-A-179-2</v>
      </c>
      <c r="H611">
        <v>276.93</v>
      </c>
      <c r="I611">
        <v>277.74</v>
      </c>
    </row>
    <row r="612" spans="1:9" x14ac:dyDescent="0.3">
      <c r="A612">
        <v>501</v>
      </c>
      <c r="B612" t="s">
        <v>49</v>
      </c>
      <c r="C612" t="s">
        <v>31</v>
      </c>
      <c r="D612">
        <v>180</v>
      </c>
      <c r="E612" t="s">
        <v>46</v>
      </c>
      <c r="F612">
        <v>1</v>
      </c>
      <c r="G612" t="str">
        <f t="shared" si="8"/>
        <v>M0112-A-180-1</v>
      </c>
      <c r="H612">
        <v>277.74</v>
      </c>
      <c r="I612">
        <v>278.24</v>
      </c>
    </row>
    <row r="613" spans="1:9" x14ac:dyDescent="0.3">
      <c r="A613">
        <v>501</v>
      </c>
      <c r="B613" t="s">
        <v>49</v>
      </c>
      <c r="C613" t="s">
        <v>31</v>
      </c>
      <c r="D613">
        <v>181</v>
      </c>
      <c r="E613" t="s">
        <v>34</v>
      </c>
      <c r="F613">
        <v>1</v>
      </c>
      <c r="G613" t="str">
        <f t="shared" si="8"/>
        <v>M0112-A-181-1</v>
      </c>
      <c r="H613">
        <v>278.24</v>
      </c>
      <c r="I613">
        <v>278.45</v>
      </c>
    </row>
    <row r="614" spans="1:9" x14ac:dyDescent="0.3">
      <c r="A614">
        <v>501</v>
      </c>
      <c r="B614" t="s">
        <v>49</v>
      </c>
      <c r="C614" t="s">
        <v>31</v>
      </c>
      <c r="D614">
        <v>182</v>
      </c>
      <c r="E614" t="s">
        <v>34</v>
      </c>
      <c r="F614">
        <v>1</v>
      </c>
      <c r="G614" t="str">
        <f t="shared" si="8"/>
        <v>M0112-A-182-1</v>
      </c>
      <c r="H614">
        <v>279.74</v>
      </c>
      <c r="I614">
        <v>279.87</v>
      </c>
    </row>
    <row r="615" spans="1:9" x14ac:dyDescent="0.3">
      <c r="A615">
        <v>501</v>
      </c>
      <c r="B615" t="s">
        <v>49</v>
      </c>
      <c r="C615" t="s">
        <v>31</v>
      </c>
      <c r="D615">
        <v>183</v>
      </c>
      <c r="E615" t="s">
        <v>34</v>
      </c>
      <c r="F615">
        <v>1</v>
      </c>
      <c r="G615" t="str">
        <f t="shared" si="8"/>
        <v>M0112-A-183-1</v>
      </c>
      <c r="H615">
        <v>281.20999999999998</v>
      </c>
      <c r="I615">
        <v>281.29000000000002</v>
      </c>
    </row>
    <row r="616" spans="1:9" x14ac:dyDescent="0.3">
      <c r="A616">
        <v>501</v>
      </c>
      <c r="B616" t="s">
        <v>49</v>
      </c>
      <c r="C616" t="s">
        <v>31</v>
      </c>
      <c r="D616">
        <v>185</v>
      </c>
      <c r="E616" t="s">
        <v>34</v>
      </c>
      <c r="F616">
        <v>1</v>
      </c>
      <c r="G616" t="str">
        <f t="shared" si="8"/>
        <v>M0112-A-185-1</v>
      </c>
      <c r="H616">
        <v>284.20999999999998</v>
      </c>
      <c r="I616">
        <v>285.36</v>
      </c>
    </row>
    <row r="617" spans="1:9" x14ac:dyDescent="0.3">
      <c r="A617">
        <v>501</v>
      </c>
      <c r="B617" t="s">
        <v>49</v>
      </c>
      <c r="C617" t="s">
        <v>31</v>
      </c>
      <c r="D617">
        <v>185</v>
      </c>
      <c r="E617" t="s">
        <v>34</v>
      </c>
      <c r="F617">
        <v>2</v>
      </c>
      <c r="G617" t="str">
        <f t="shared" si="8"/>
        <v>M0112-A-185-2</v>
      </c>
      <c r="H617">
        <v>285.36</v>
      </c>
      <c r="I617">
        <v>285.95999999999998</v>
      </c>
    </row>
    <row r="618" spans="1:9" x14ac:dyDescent="0.3">
      <c r="A618">
        <v>501</v>
      </c>
      <c r="B618" t="s">
        <v>49</v>
      </c>
      <c r="C618" t="s">
        <v>31</v>
      </c>
      <c r="D618">
        <v>186</v>
      </c>
      <c r="E618" t="s">
        <v>34</v>
      </c>
      <c r="F618">
        <v>1</v>
      </c>
      <c r="G618" t="str">
        <f t="shared" si="8"/>
        <v>M0112-A-186-1</v>
      </c>
      <c r="H618">
        <v>286.20999999999998</v>
      </c>
      <c r="I618">
        <v>286.81</v>
      </c>
    </row>
    <row r="619" spans="1:9" x14ac:dyDescent="0.3">
      <c r="A619">
        <v>501</v>
      </c>
      <c r="B619" t="s">
        <v>49</v>
      </c>
      <c r="C619" t="s">
        <v>31</v>
      </c>
      <c r="D619">
        <v>187</v>
      </c>
      <c r="E619" t="s">
        <v>34</v>
      </c>
      <c r="F619">
        <v>1</v>
      </c>
      <c r="G619" t="str">
        <f t="shared" si="8"/>
        <v>M0112-A-187-1</v>
      </c>
      <c r="H619">
        <v>288.20999999999998</v>
      </c>
      <c r="I619">
        <v>288.35000000000002</v>
      </c>
    </row>
    <row r="620" spans="1:9" x14ac:dyDescent="0.3">
      <c r="A620">
        <v>501</v>
      </c>
      <c r="B620" t="s">
        <v>49</v>
      </c>
      <c r="C620" t="s">
        <v>31</v>
      </c>
      <c r="D620">
        <v>189</v>
      </c>
      <c r="E620" t="s">
        <v>34</v>
      </c>
      <c r="F620">
        <v>1</v>
      </c>
      <c r="G620" t="str">
        <f t="shared" si="8"/>
        <v>M0112-A-189-1</v>
      </c>
      <c r="H620">
        <v>290.20999999999998</v>
      </c>
      <c r="I620">
        <v>290.88</v>
      </c>
    </row>
    <row r="621" spans="1:9" x14ac:dyDescent="0.3">
      <c r="A621">
        <v>501</v>
      </c>
      <c r="B621" t="s">
        <v>49</v>
      </c>
      <c r="C621" t="s">
        <v>31</v>
      </c>
      <c r="D621">
        <v>190</v>
      </c>
      <c r="E621" t="s">
        <v>34</v>
      </c>
      <c r="F621">
        <v>1</v>
      </c>
      <c r="G621" t="str">
        <f t="shared" si="8"/>
        <v>M0112-A-190-1</v>
      </c>
      <c r="H621">
        <v>291.20999999999998</v>
      </c>
      <c r="I621">
        <v>291.36</v>
      </c>
    </row>
    <row r="622" spans="1:9" x14ac:dyDescent="0.3">
      <c r="A622">
        <v>501</v>
      </c>
      <c r="B622" t="s">
        <v>49</v>
      </c>
      <c r="C622" t="s">
        <v>31</v>
      </c>
      <c r="D622">
        <v>191</v>
      </c>
      <c r="E622" t="s">
        <v>34</v>
      </c>
      <c r="F622">
        <v>1</v>
      </c>
      <c r="G622" t="str">
        <f t="shared" si="8"/>
        <v>M0112-A-191-1</v>
      </c>
      <c r="H622">
        <v>292.20999999999998</v>
      </c>
      <c r="I622">
        <v>292.35000000000002</v>
      </c>
    </row>
    <row r="623" spans="1:9" x14ac:dyDescent="0.3">
      <c r="A623">
        <v>501</v>
      </c>
      <c r="B623" t="s">
        <v>49</v>
      </c>
      <c r="C623" t="s">
        <v>31</v>
      </c>
      <c r="D623">
        <v>194</v>
      </c>
      <c r="E623" t="s">
        <v>34</v>
      </c>
      <c r="F623">
        <v>1</v>
      </c>
      <c r="G623" t="str">
        <f t="shared" si="8"/>
        <v>M0112-A-194-1</v>
      </c>
      <c r="H623">
        <v>294.41000000000003</v>
      </c>
      <c r="I623">
        <v>294.43</v>
      </c>
    </row>
    <row r="624" spans="1:9" x14ac:dyDescent="0.3">
      <c r="A624">
        <v>501</v>
      </c>
      <c r="B624" t="s">
        <v>49</v>
      </c>
      <c r="C624" t="s">
        <v>31</v>
      </c>
      <c r="D624">
        <v>195</v>
      </c>
      <c r="E624" t="s">
        <v>34</v>
      </c>
      <c r="F624">
        <v>1</v>
      </c>
      <c r="G624" t="str">
        <f t="shared" si="8"/>
        <v>M0112-A-195-1</v>
      </c>
      <c r="H624">
        <v>295.41000000000003</v>
      </c>
      <c r="I624">
        <v>295.7</v>
      </c>
    </row>
    <row r="625" spans="1:9" x14ac:dyDescent="0.3">
      <c r="A625">
        <v>501</v>
      </c>
      <c r="B625" t="s">
        <v>49</v>
      </c>
      <c r="C625" t="s">
        <v>31</v>
      </c>
      <c r="D625">
        <v>196</v>
      </c>
      <c r="E625" t="s">
        <v>34</v>
      </c>
      <c r="F625">
        <v>1</v>
      </c>
      <c r="G625" t="str">
        <f t="shared" si="8"/>
        <v>M0112-A-196-1</v>
      </c>
      <c r="H625">
        <v>295.66000000000003</v>
      </c>
      <c r="I625">
        <v>296.5</v>
      </c>
    </row>
    <row r="626" spans="1:9" x14ac:dyDescent="0.3">
      <c r="A626">
        <v>501</v>
      </c>
      <c r="B626" t="s">
        <v>49</v>
      </c>
      <c r="C626" t="s">
        <v>31</v>
      </c>
      <c r="D626">
        <v>197</v>
      </c>
      <c r="E626" t="s">
        <v>34</v>
      </c>
      <c r="F626">
        <v>1</v>
      </c>
      <c r="G626" t="str">
        <f t="shared" si="8"/>
        <v>M0112-A-197-1</v>
      </c>
      <c r="H626">
        <v>297.20999999999998</v>
      </c>
      <c r="I626">
        <v>298.16000000000003</v>
      </c>
    </row>
    <row r="627" spans="1:9" x14ac:dyDescent="0.3">
      <c r="A627">
        <v>501</v>
      </c>
      <c r="B627" t="s">
        <v>49</v>
      </c>
      <c r="C627" t="s">
        <v>31</v>
      </c>
      <c r="D627">
        <v>198</v>
      </c>
      <c r="E627" t="s">
        <v>34</v>
      </c>
      <c r="F627">
        <v>1</v>
      </c>
      <c r="G627" t="str">
        <f t="shared" si="8"/>
        <v>M0112-A-198-1</v>
      </c>
      <c r="H627">
        <v>298.20999999999998</v>
      </c>
      <c r="I627">
        <v>299.20999999999998</v>
      </c>
    </row>
    <row r="628" spans="1:9" x14ac:dyDescent="0.3">
      <c r="A628">
        <v>501</v>
      </c>
      <c r="B628" t="s">
        <v>49</v>
      </c>
      <c r="C628" t="s">
        <v>31</v>
      </c>
      <c r="D628">
        <v>199</v>
      </c>
      <c r="E628" t="s">
        <v>34</v>
      </c>
      <c r="F628">
        <v>1</v>
      </c>
      <c r="G628" t="str">
        <f t="shared" si="8"/>
        <v>M0112-A-199-1</v>
      </c>
      <c r="H628">
        <v>299.20999999999998</v>
      </c>
      <c r="I628">
        <v>299.51</v>
      </c>
    </row>
    <row r="629" spans="1:9" x14ac:dyDescent="0.3">
      <c r="A629">
        <v>501</v>
      </c>
      <c r="B629" t="s">
        <v>49</v>
      </c>
      <c r="C629" t="s">
        <v>31</v>
      </c>
      <c r="D629">
        <v>200</v>
      </c>
      <c r="E629" t="s">
        <v>34</v>
      </c>
      <c r="F629">
        <v>1</v>
      </c>
      <c r="G629" t="str">
        <f t="shared" si="8"/>
        <v>M0112-A-200-1</v>
      </c>
      <c r="H629">
        <v>300.20999999999998</v>
      </c>
      <c r="I629">
        <v>300.68</v>
      </c>
    </row>
    <row r="630" spans="1:9" x14ac:dyDescent="0.3">
      <c r="A630">
        <v>501</v>
      </c>
      <c r="B630" t="s">
        <v>49</v>
      </c>
      <c r="C630" t="s">
        <v>31</v>
      </c>
      <c r="D630">
        <v>201</v>
      </c>
      <c r="E630" t="s">
        <v>34</v>
      </c>
      <c r="F630">
        <v>1</v>
      </c>
      <c r="G630" t="str">
        <f t="shared" si="8"/>
        <v>M0112-A-201-1</v>
      </c>
      <c r="H630">
        <v>301.20999999999998</v>
      </c>
      <c r="I630">
        <v>301.27999999999997</v>
      </c>
    </row>
    <row r="631" spans="1:9" x14ac:dyDescent="0.3">
      <c r="A631">
        <v>501</v>
      </c>
      <c r="B631" t="s">
        <v>49</v>
      </c>
      <c r="C631" t="s">
        <v>31</v>
      </c>
      <c r="D631">
        <v>202</v>
      </c>
      <c r="E631" t="s">
        <v>34</v>
      </c>
      <c r="F631">
        <v>1</v>
      </c>
      <c r="G631" t="str">
        <f t="shared" si="8"/>
        <v>M0112-A-202-1</v>
      </c>
      <c r="H631">
        <v>302.20999999999998</v>
      </c>
      <c r="I631">
        <v>302.25</v>
      </c>
    </row>
    <row r="632" spans="1:9" x14ac:dyDescent="0.3">
      <c r="A632">
        <v>501</v>
      </c>
      <c r="B632" t="s">
        <v>49</v>
      </c>
      <c r="C632" t="s">
        <v>31</v>
      </c>
      <c r="D632">
        <v>204</v>
      </c>
      <c r="E632" t="s">
        <v>34</v>
      </c>
      <c r="F632">
        <v>1</v>
      </c>
      <c r="G632" t="str">
        <f t="shared" ref="G632:G695" si="9">CONCATENATE(B632, "-",C632, "-", D632, "-", F632)</f>
        <v>M0112-A-204-1</v>
      </c>
      <c r="H632">
        <v>304.20999999999998</v>
      </c>
      <c r="I632">
        <v>305.75</v>
      </c>
    </row>
    <row r="633" spans="1:9" x14ac:dyDescent="0.3">
      <c r="A633">
        <v>501</v>
      </c>
      <c r="B633" t="s">
        <v>49</v>
      </c>
      <c r="C633" t="s">
        <v>31</v>
      </c>
      <c r="D633">
        <v>205</v>
      </c>
      <c r="E633" t="s">
        <v>34</v>
      </c>
      <c r="F633">
        <v>1</v>
      </c>
      <c r="G633" t="str">
        <f t="shared" si="9"/>
        <v>M0112-A-205-1</v>
      </c>
      <c r="H633">
        <v>305.20999999999998</v>
      </c>
      <c r="I633">
        <v>306.14999999999998</v>
      </c>
    </row>
    <row r="634" spans="1:9" x14ac:dyDescent="0.3">
      <c r="A634">
        <v>501</v>
      </c>
      <c r="B634" t="s">
        <v>49</v>
      </c>
      <c r="C634" t="s">
        <v>31</v>
      </c>
      <c r="D634">
        <v>206</v>
      </c>
      <c r="E634" t="s">
        <v>34</v>
      </c>
      <c r="F634">
        <v>1</v>
      </c>
      <c r="G634" t="str">
        <f t="shared" si="9"/>
        <v>M0112-A-206-1</v>
      </c>
      <c r="H634">
        <v>306.20999999999998</v>
      </c>
      <c r="I634">
        <v>306.72000000000003</v>
      </c>
    </row>
    <row r="635" spans="1:9" x14ac:dyDescent="0.3">
      <c r="A635">
        <v>501</v>
      </c>
      <c r="B635" t="s">
        <v>49</v>
      </c>
      <c r="C635" t="s">
        <v>31</v>
      </c>
      <c r="D635">
        <v>207</v>
      </c>
      <c r="E635" t="s">
        <v>34</v>
      </c>
      <c r="F635">
        <v>1</v>
      </c>
      <c r="G635" t="str">
        <f t="shared" si="9"/>
        <v>M0112-A-207-1</v>
      </c>
      <c r="H635">
        <v>307.20999999999998</v>
      </c>
      <c r="I635">
        <v>307.22000000000003</v>
      </c>
    </row>
    <row r="636" spans="1:9" x14ac:dyDescent="0.3">
      <c r="A636">
        <v>501</v>
      </c>
      <c r="B636" t="s">
        <v>49</v>
      </c>
      <c r="C636" t="s">
        <v>31</v>
      </c>
      <c r="D636">
        <v>209</v>
      </c>
      <c r="E636" t="s">
        <v>34</v>
      </c>
      <c r="F636">
        <v>1</v>
      </c>
      <c r="G636" t="str">
        <f t="shared" si="9"/>
        <v>M0112-A-209-1</v>
      </c>
      <c r="H636">
        <v>309.20999999999998</v>
      </c>
      <c r="I636">
        <v>309.41000000000003</v>
      </c>
    </row>
    <row r="637" spans="1:9" x14ac:dyDescent="0.3">
      <c r="A637">
        <v>501</v>
      </c>
      <c r="B637" t="s">
        <v>49</v>
      </c>
      <c r="C637" t="s">
        <v>31</v>
      </c>
      <c r="D637">
        <v>210</v>
      </c>
      <c r="E637" t="s">
        <v>34</v>
      </c>
      <c r="F637">
        <v>1</v>
      </c>
      <c r="G637" t="str">
        <f t="shared" si="9"/>
        <v>M0112-A-210-1</v>
      </c>
      <c r="H637">
        <v>310.20999999999998</v>
      </c>
      <c r="I637">
        <v>310.49</v>
      </c>
    </row>
    <row r="638" spans="1:9" x14ac:dyDescent="0.3">
      <c r="A638">
        <v>501</v>
      </c>
      <c r="B638" t="s">
        <v>49</v>
      </c>
      <c r="C638" t="s">
        <v>31</v>
      </c>
      <c r="D638">
        <v>211</v>
      </c>
      <c r="E638" t="s">
        <v>34</v>
      </c>
      <c r="F638">
        <v>1</v>
      </c>
      <c r="G638" t="str">
        <f t="shared" si="9"/>
        <v>M0112-A-211-1</v>
      </c>
      <c r="H638">
        <v>311.20999999999998</v>
      </c>
      <c r="I638">
        <v>311.29000000000002</v>
      </c>
    </row>
    <row r="639" spans="1:9" x14ac:dyDescent="0.3">
      <c r="A639">
        <v>501</v>
      </c>
      <c r="B639" t="s">
        <v>49</v>
      </c>
      <c r="C639" t="s">
        <v>31</v>
      </c>
      <c r="D639">
        <v>212</v>
      </c>
      <c r="E639" t="s">
        <v>34</v>
      </c>
      <c r="F639">
        <v>1</v>
      </c>
      <c r="G639" t="str">
        <f t="shared" si="9"/>
        <v>M0112-A-212-1</v>
      </c>
      <c r="H639">
        <v>312.20999999999998</v>
      </c>
      <c r="I639">
        <v>313.01</v>
      </c>
    </row>
    <row r="640" spans="1:9" x14ac:dyDescent="0.3">
      <c r="A640">
        <v>501</v>
      </c>
      <c r="B640" t="s">
        <v>49</v>
      </c>
      <c r="C640" t="s">
        <v>31</v>
      </c>
      <c r="D640">
        <v>212</v>
      </c>
      <c r="E640" t="s">
        <v>34</v>
      </c>
      <c r="F640">
        <v>2</v>
      </c>
      <c r="G640" t="str">
        <f t="shared" si="9"/>
        <v>M0112-A-212-2</v>
      </c>
      <c r="H640">
        <v>313.01</v>
      </c>
      <c r="I640">
        <v>313.52999999999997</v>
      </c>
    </row>
    <row r="641" spans="1:9" x14ac:dyDescent="0.3">
      <c r="A641">
        <v>501</v>
      </c>
      <c r="B641" t="s">
        <v>49</v>
      </c>
      <c r="C641" t="s">
        <v>31</v>
      </c>
      <c r="D641">
        <v>213</v>
      </c>
      <c r="E641" t="s">
        <v>34</v>
      </c>
      <c r="F641">
        <v>1</v>
      </c>
      <c r="G641" t="str">
        <f t="shared" si="9"/>
        <v>M0112-A-213-1</v>
      </c>
      <c r="H641">
        <v>313.20999999999998</v>
      </c>
      <c r="I641">
        <v>313.22000000000003</v>
      </c>
    </row>
    <row r="642" spans="1:9" x14ac:dyDescent="0.3">
      <c r="A642">
        <v>501</v>
      </c>
      <c r="B642" t="s">
        <v>49</v>
      </c>
      <c r="C642" t="s">
        <v>31</v>
      </c>
      <c r="D642">
        <v>214</v>
      </c>
      <c r="E642" t="s">
        <v>34</v>
      </c>
      <c r="F642">
        <v>1</v>
      </c>
      <c r="G642" t="str">
        <f t="shared" si="9"/>
        <v>M0112-A-214-1</v>
      </c>
      <c r="H642">
        <v>314.20999999999998</v>
      </c>
      <c r="I642">
        <v>315.70999999999998</v>
      </c>
    </row>
    <row r="643" spans="1:9" x14ac:dyDescent="0.3">
      <c r="A643">
        <v>501</v>
      </c>
      <c r="B643" t="s">
        <v>49</v>
      </c>
      <c r="C643" t="s">
        <v>31</v>
      </c>
      <c r="D643">
        <v>214</v>
      </c>
      <c r="E643" t="s">
        <v>34</v>
      </c>
      <c r="F643">
        <v>2</v>
      </c>
      <c r="G643" t="str">
        <f t="shared" si="9"/>
        <v>M0112-A-214-2</v>
      </c>
      <c r="H643">
        <v>315.70999999999998</v>
      </c>
      <c r="I643">
        <v>316.39</v>
      </c>
    </row>
    <row r="644" spans="1:9" x14ac:dyDescent="0.3">
      <c r="A644">
        <v>501</v>
      </c>
      <c r="B644" t="s">
        <v>49</v>
      </c>
      <c r="C644" t="s">
        <v>31</v>
      </c>
      <c r="D644">
        <v>215</v>
      </c>
      <c r="E644" t="s">
        <v>34</v>
      </c>
      <c r="F644">
        <v>1</v>
      </c>
      <c r="G644" t="str">
        <f t="shared" si="9"/>
        <v>M0112-A-215-1</v>
      </c>
      <c r="H644">
        <v>315.20999999999998</v>
      </c>
      <c r="I644">
        <v>316.47000000000003</v>
      </c>
    </row>
    <row r="645" spans="1:9" x14ac:dyDescent="0.3">
      <c r="A645">
        <v>501</v>
      </c>
      <c r="B645" t="s">
        <v>49</v>
      </c>
      <c r="C645" t="s">
        <v>31</v>
      </c>
      <c r="D645">
        <v>215</v>
      </c>
      <c r="E645" t="s">
        <v>34</v>
      </c>
      <c r="F645">
        <v>2</v>
      </c>
      <c r="G645" t="str">
        <f t="shared" si="9"/>
        <v>M0112-A-215-2</v>
      </c>
      <c r="H645">
        <v>316.47000000000003</v>
      </c>
      <c r="I645">
        <v>317.02</v>
      </c>
    </row>
    <row r="646" spans="1:9" x14ac:dyDescent="0.3">
      <c r="A646">
        <v>501</v>
      </c>
      <c r="B646" t="s">
        <v>49</v>
      </c>
      <c r="C646" t="s">
        <v>31</v>
      </c>
      <c r="D646">
        <v>216</v>
      </c>
      <c r="E646" t="s">
        <v>34</v>
      </c>
      <c r="F646">
        <v>1</v>
      </c>
      <c r="G646" t="str">
        <f t="shared" si="9"/>
        <v>M0112-A-216-1</v>
      </c>
      <c r="H646">
        <v>317.20999999999998</v>
      </c>
      <c r="I646">
        <v>318.70999999999998</v>
      </c>
    </row>
    <row r="647" spans="1:9" x14ac:dyDescent="0.3">
      <c r="A647">
        <v>501</v>
      </c>
      <c r="B647" t="s">
        <v>49</v>
      </c>
      <c r="C647" t="s">
        <v>31</v>
      </c>
      <c r="D647">
        <v>216</v>
      </c>
      <c r="E647" t="s">
        <v>34</v>
      </c>
      <c r="F647">
        <v>2</v>
      </c>
      <c r="G647" t="str">
        <f t="shared" si="9"/>
        <v>M0112-A-216-2</v>
      </c>
      <c r="H647">
        <v>318.70999999999998</v>
      </c>
      <c r="I647">
        <v>319.66000000000003</v>
      </c>
    </row>
    <row r="648" spans="1:9" x14ac:dyDescent="0.3">
      <c r="A648">
        <v>501</v>
      </c>
      <c r="B648" t="s">
        <v>49</v>
      </c>
      <c r="C648" t="s">
        <v>31</v>
      </c>
      <c r="D648">
        <v>217</v>
      </c>
      <c r="E648" t="s">
        <v>34</v>
      </c>
      <c r="F648">
        <v>1</v>
      </c>
      <c r="G648" t="str">
        <f t="shared" si="9"/>
        <v>M0112-A-217-1</v>
      </c>
      <c r="H648">
        <v>320.20999999999998</v>
      </c>
      <c r="I648">
        <v>321.70999999999998</v>
      </c>
    </row>
    <row r="649" spans="1:9" x14ac:dyDescent="0.3">
      <c r="A649">
        <v>501</v>
      </c>
      <c r="B649" t="s">
        <v>49</v>
      </c>
      <c r="C649" t="s">
        <v>31</v>
      </c>
      <c r="D649">
        <v>217</v>
      </c>
      <c r="E649" t="s">
        <v>34</v>
      </c>
      <c r="F649">
        <v>2</v>
      </c>
      <c r="G649" t="str">
        <f t="shared" si="9"/>
        <v>M0112-A-217-2</v>
      </c>
      <c r="H649">
        <v>321.70999999999998</v>
      </c>
      <c r="I649">
        <v>323.18</v>
      </c>
    </row>
    <row r="650" spans="1:9" x14ac:dyDescent="0.3">
      <c r="A650">
        <v>501</v>
      </c>
      <c r="B650" t="s">
        <v>49</v>
      </c>
      <c r="C650" t="s">
        <v>31</v>
      </c>
      <c r="D650">
        <v>218</v>
      </c>
      <c r="E650" t="s">
        <v>34</v>
      </c>
      <c r="F650">
        <v>1</v>
      </c>
      <c r="G650" t="str">
        <f t="shared" si="9"/>
        <v>M0112-A-218-1</v>
      </c>
      <c r="H650">
        <v>322.20999999999998</v>
      </c>
      <c r="I650">
        <v>323.52999999999997</v>
      </c>
    </row>
    <row r="651" spans="1:9" x14ac:dyDescent="0.3">
      <c r="A651">
        <v>501</v>
      </c>
      <c r="B651" t="s">
        <v>49</v>
      </c>
      <c r="C651" t="s">
        <v>31</v>
      </c>
      <c r="D651">
        <v>218</v>
      </c>
      <c r="E651" t="s">
        <v>34</v>
      </c>
      <c r="F651">
        <v>2</v>
      </c>
      <c r="G651" t="str">
        <f t="shared" si="9"/>
        <v>M0112-A-218-2</v>
      </c>
      <c r="H651">
        <v>322.20999999999998</v>
      </c>
      <c r="I651">
        <v>323.52999999999997</v>
      </c>
    </row>
    <row r="652" spans="1:9" x14ac:dyDescent="0.3">
      <c r="A652">
        <v>501</v>
      </c>
      <c r="B652" t="s">
        <v>49</v>
      </c>
      <c r="C652" t="s">
        <v>31</v>
      </c>
      <c r="D652">
        <v>219</v>
      </c>
      <c r="E652" t="s">
        <v>34</v>
      </c>
      <c r="F652">
        <v>1</v>
      </c>
      <c r="G652" t="str">
        <f t="shared" si="9"/>
        <v>M0112-A-219-1</v>
      </c>
      <c r="H652">
        <v>324.01</v>
      </c>
      <c r="I652">
        <v>324.95999999999998</v>
      </c>
    </row>
    <row r="653" spans="1:9" x14ac:dyDescent="0.3">
      <c r="A653">
        <v>501</v>
      </c>
      <c r="B653" t="s">
        <v>49</v>
      </c>
      <c r="C653" t="s">
        <v>31</v>
      </c>
      <c r="D653">
        <v>219</v>
      </c>
      <c r="E653" t="s">
        <v>34</v>
      </c>
      <c r="F653">
        <v>2</v>
      </c>
      <c r="G653" t="str">
        <f t="shared" si="9"/>
        <v>M0112-A-219-2</v>
      </c>
      <c r="H653">
        <v>324.95999999999998</v>
      </c>
      <c r="I653">
        <v>325.81</v>
      </c>
    </row>
    <row r="654" spans="1:9" x14ac:dyDescent="0.3">
      <c r="A654">
        <v>501</v>
      </c>
      <c r="B654" t="s">
        <v>49</v>
      </c>
      <c r="C654" t="s">
        <v>31</v>
      </c>
      <c r="D654">
        <v>221</v>
      </c>
      <c r="E654" t="s">
        <v>34</v>
      </c>
      <c r="F654">
        <v>1</v>
      </c>
      <c r="G654" t="str">
        <f t="shared" si="9"/>
        <v>M0112-A-221-1</v>
      </c>
      <c r="H654">
        <v>328.21</v>
      </c>
      <c r="I654">
        <v>328.49</v>
      </c>
    </row>
    <row r="655" spans="1:9" x14ac:dyDescent="0.3">
      <c r="A655">
        <v>501</v>
      </c>
      <c r="B655" t="s">
        <v>49</v>
      </c>
      <c r="C655" t="s">
        <v>36</v>
      </c>
      <c r="D655">
        <v>2</v>
      </c>
      <c r="E655" t="s">
        <v>46</v>
      </c>
      <c r="F655">
        <v>1</v>
      </c>
      <c r="G655" t="str">
        <f t="shared" si="9"/>
        <v>M0112-B-2-1</v>
      </c>
      <c r="H655">
        <v>28.22</v>
      </c>
      <c r="I655">
        <v>29.73</v>
      </c>
    </row>
    <row r="656" spans="1:9" x14ac:dyDescent="0.3">
      <c r="A656">
        <v>501</v>
      </c>
      <c r="B656" t="s">
        <v>49</v>
      </c>
      <c r="C656" t="s">
        <v>36</v>
      </c>
      <c r="D656">
        <v>2</v>
      </c>
      <c r="E656" t="s">
        <v>46</v>
      </c>
      <c r="F656">
        <v>2</v>
      </c>
      <c r="G656" t="str">
        <f t="shared" si="9"/>
        <v>M0112-B-2-2</v>
      </c>
      <c r="H656">
        <v>29.73</v>
      </c>
      <c r="I656">
        <v>30.39</v>
      </c>
    </row>
    <row r="657" spans="1:9" x14ac:dyDescent="0.3">
      <c r="A657">
        <v>501</v>
      </c>
      <c r="B657" t="s">
        <v>49</v>
      </c>
      <c r="C657" t="s">
        <v>36</v>
      </c>
      <c r="D657">
        <v>3</v>
      </c>
      <c r="E657" t="s">
        <v>46</v>
      </c>
      <c r="F657">
        <v>1</v>
      </c>
      <c r="G657" t="str">
        <f t="shared" si="9"/>
        <v>M0112-B-3-1</v>
      </c>
      <c r="H657">
        <v>30.39</v>
      </c>
      <c r="I657">
        <v>31.9</v>
      </c>
    </row>
    <row r="658" spans="1:9" x14ac:dyDescent="0.3">
      <c r="A658">
        <v>501</v>
      </c>
      <c r="B658" t="s">
        <v>49</v>
      </c>
      <c r="C658" t="s">
        <v>36</v>
      </c>
      <c r="D658">
        <v>3</v>
      </c>
      <c r="E658" t="s">
        <v>46</v>
      </c>
      <c r="F658">
        <v>2</v>
      </c>
      <c r="G658" t="str">
        <f t="shared" si="9"/>
        <v>M0112-B-3-2</v>
      </c>
      <c r="H658">
        <v>31.9</v>
      </c>
      <c r="I658">
        <v>32.72</v>
      </c>
    </row>
    <row r="659" spans="1:9" x14ac:dyDescent="0.3">
      <c r="A659">
        <v>501</v>
      </c>
      <c r="B659" t="s">
        <v>49</v>
      </c>
      <c r="C659" t="s">
        <v>36</v>
      </c>
      <c r="D659">
        <v>5</v>
      </c>
      <c r="E659" t="s">
        <v>46</v>
      </c>
      <c r="F659">
        <v>1</v>
      </c>
      <c r="G659" t="str">
        <f t="shared" si="9"/>
        <v>M0112-B-5-1</v>
      </c>
      <c r="H659">
        <v>54</v>
      </c>
      <c r="I659">
        <v>55.19</v>
      </c>
    </row>
    <row r="660" spans="1:9" x14ac:dyDescent="0.3">
      <c r="A660">
        <v>501</v>
      </c>
      <c r="B660" t="s">
        <v>49</v>
      </c>
      <c r="C660" t="s">
        <v>36</v>
      </c>
      <c r="D660">
        <v>5</v>
      </c>
      <c r="E660" t="s">
        <v>46</v>
      </c>
      <c r="F660">
        <v>2</v>
      </c>
      <c r="G660" t="str">
        <f t="shared" si="9"/>
        <v>M0112-B-5-2</v>
      </c>
      <c r="H660">
        <v>55.19</v>
      </c>
      <c r="I660">
        <v>55.52</v>
      </c>
    </row>
    <row r="661" spans="1:9" x14ac:dyDescent="0.3">
      <c r="A661">
        <v>501</v>
      </c>
      <c r="B661" t="s">
        <v>49</v>
      </c>
      <c r="C661" t="s">
        <v>36</v>
      </c>
      <c r="D661">
        <v>6</v>
      </c>
      <c r="E661" t="s">
        <v>34</v>
      </c>
      <c r="F661">
        <v>1</v>
      </c>
      <c r="G661" t="str">
        <f t="shared" si="9"/>
        <v>M0112-B-6-1</v>
      </c>
      <c r="H661">
        <v>55.52</v>
      </c>
      <c r="I661">
        <v>56.32</v>
      </c>
    </row>
    <row r="662" spans="1:9" x14ac:dyDescent="0.3">
      <c r="A662">
        <v>501</v>
      </c>
      <c r="B662" t="s">
        <v>49</v>
      </c>
      <c r="C662" t="s">
        <v>36</v>
      </c>
      <c r="D662">
        <v>7</v>
      </c>
      <c r="E662" t="s">
        <v>34</v>
      </c>
      <c r="F662">
        <v>1</v>
      </c>
      <c r="G662" t="str">
        <f t="shared" si="9"/>
        <v>M0112-B-7-1</v>
      </c>
      <c r="H662">
        <v>56.82</v>
      </c>
      <c r="I662">
        <v>57.4</v>
      </c>
    </row>
    <row r="663" spans="1:9" x14ac:dyDescent="0.3">
      <c r="A663">
        <v>501</v>
      </c>
      <c r="B663" t="s">
        <v>49</v>
      </c>
      <c r="C663" t="s">
        <v>36</v>
      </c>
      <c r="D663">
        <v>8</v>
      </c>
      <c r="E663" t="s">
        <v>34</v>
      </c>
      <c r="F663">
        <v>1</v>
      </c>
      <c r="G663" t="str">
        <f t="shared" si="9"/>
        <v>M0112-B-8-1</v>
      </c>
      <c r="H663">
        <v>58.32</v>
      </c>
      <c r="I663">
        <v>58.72</v>
      </c>
    </row>
    <row r="664" spans="1:9" x14ac:dyDescent="0.3">
      <c r="A664">
        <v>501</v>
      </c>
      <c r="B664" t="s">
        <v>49</v>
      </c>
      <c r="C664" t="s">
        <v>36</v>
      </c>
      <c r="D664">
        <v>9</v>
      </c>
      <c r="E664" t="s">
        <v>34</v>
      </c>
      <c r="F664">
        <v>1</v>
      </c>
      <c r="G664" t="str">
        <f t="shared" si="9"/>
        <v>M0112-B-9-1</v>
      </c>
      <c r="H664">
        <v>59.82</v>
      </c>
      <c r="I664">
        <v>60.89</v>
      </c>
    </row>
    <row r="665" spans="1:9" x14ac:dyDescent="0.3">
      <c r="A665">
        <v>501</v>
      </c>
      <c r="B665" t="s">
        <v>49</v>
      </c>
      <c r="C665" t="s">
        <v>36</v>
      </c>
      <c r="D665">
        <v>9</v>
      </c>
      <c r="E665" t="s">
        <v>34</v>
      </c>
      <c r="F665">
        <v>2</v>
      </c>
      <c r="G665" t="str">
        <f t="shared" si="9"/>
        <v>M0112-B-9-2</v>
      </c>
      <c r="H665">
        <v>60.89</v>
      </c>
      <c r="I665">
        <v>61.37</v>
      </c>
    </row>
    <row r="666" spans="1:9" x14ac:dyDescent="0.3">
      <c r="A666">
        <v>501</v>
      </c>
      <c r="B666" t="s">
        <v>49</v>
      </c>
      <c r="C666" t="s">
        <v>36</v>
      </c>
      <c r="D666">
        <v>10</v>
      </c>
      <c r="E666" t="s">
        <v>34</v>
      </c>
      <c r="F666">
        <v>1</v>
      </c>
      <c r="G666" t="str">
        <f t="shared" si="9"/>
        <v>M0112-B-10-1</v>
      </c>
      <c r="H666">
        <v>61.32</v>
      </c>
      <c r="I666">
        <v>62.82</v>
      </c>
    </row>
    <row r="667" spans="1:9" x14ac:dyDescent="0.3">
      <c r="A667">
        <v>501</v>
      </c>
      <c r="B667" t="s">
        <v>49</v>
      </c>
      <c r="C667" t="s">
        <v>36</v>
      </c>
      <c r="D667">
        <v>12</v>
      </c>
      <c r="E667" t="s">
        <v>34</v>
      </c>
      <c r="F667">
        <v>1</v>
      </c>
      <c r="G667" t="str">
        <f t="shared" si="9"/>
        <v>M0112-B-12-1</v>
      </c>
      <c r="H667">
        <v>82</v>
      </c>
      <c r="I667">
        <v>83.48</v>
      </c>
    </row>
    <row r="668" spans="1:9" x14ac:dyDescent="0.3">
      <c r="A668">
        <v>501</v>
      </c>
      <c r="B668" t="s">
        <v>49</v>
      </c>
      <c r="C668" t="s">
        <v>36</v>
      </c>
      <c r="D668">
        <v>13</v>
      </c>
      <c r="E668" t="s">
        <v>34</v>
      </c>
      <c r="F668">
        <v>1</v>
      </c>
      <c r="G668" t="str">
        <f t="shared" si="9"/>
        <v>M0112-B-13-1</v>
      </c>
      <c r="H668">
        <v>83.5</v>
      </c>
      <c r="I668">
        <v>85</v>
      </c>
    </row>
    <row r="669" spans="1:9" x14ac:dyDescent="0.3">
      <c r="A669">
        <v>501</v>
      </c>
      <c r="B669" t="s">
        <v>49</v>
      </c>
      <c r="C669" t="s">
        <v>36</v>
      </c>
      <c r="D669">
        <v>13</v>
      </c>
      <c r="E669" t="s">
        <v>34</v>
      </c>
      <c r="F669">
        <v>2</v>
      </c>
      <c r="G669" t="str">
        <f t="shared" si="9"/>
        <v>M0112-B-13-2</v>
      </c>
      <c r="H669">
        <v>85</v>
      </c>
      <c r="I669">
        <v>86.02</v>
      </c>
    </row>
    <row r="670" spans="1:9" x14ac:dyDescent="0.3">
      <c r="A670">
        <v>501</v>
      </c>
      <c r="B670" t="s">
        <v>49</v>
      </c>
      <c r="C670" t="s">
        <v>36</v>
      </c>
      <c r="D670">
        <v>14</v>
      </c>
      <c r="E670" t="s">
        <v>34</v>
      </c>
      <c r="F670">
        <v>1</v>
      </c>
      <c r="G670" t="str">
        <f t="shared" si="9"/>
        <v>M0112-B-14-1</v>
      </c>
      <c r="H670">
        <v>86.5</v>
      </c>
      <c r="I670">
        <v>87.75</v>
      </c>
    </row>
    <row r="671" spans="1:9" x14ac:dyDescent="0.3">
      <c r="A671">
        <v>501</v>
      </c>
      <c r="B671" t="s">
        <v>49</v>
      </c>
      <c r="C671" t="s">
        <v>36</v>
      </c>
      <c r="D671">
        <v>15</v>
      </c>
      <c r="E671" t="s">
        <v>34</v>
      </c>
      <c r="F671">
        <v>1</v>
      </c>
      <c r="G671" t="str">
        <f t="shared" si="9"/>
        <v>M0112-B-15-1</v>
      </c>
      <c r="H671">
        <v>89.5</v>
      </c>
      <c r="I671">
        <v>91</v>
      </c>
    </row>
    <row r="672" spans="1:9" x14ac:dyDescent="0.3">
      <c r="A672">
        <v>501</v>
      </c>
      <c r="B672" t="s">
        <v>49</v>
      </c>
      <c r="C672" t="s">
        <v>36</v>
      </c>
      <c r="D672">
        <v>15</v>
      </c>
      <c r="E672" t="s">
        <v>34</v>
      </c>
      <c r="F672">
        <v>2</v>
      </c>
      <c r="G672" t="str">
        <f t="shared" si="9"/>
        <v>M0112-B-15-2</v>
      </c>
      <c r="H672">
        <v>91</v>
      </c>
      <c r="I672">
        <v>92.27</v>
      </c>
    </row>
    <row r="673" spans="1:9" x14ac:dyDescent="0.3">
      <c r="A673">
        <v>501</v>
      </c>
      <c r="B673" t="s">
        <v>49</v>
      </c>
      <c r="C673" t="s">
        <v>36</v>
      </c>
      <c r="D673">
        <v>16</v>
      </c>
      <c r="E673" t="s">
        <v>34</v>
      </c>
      <c r="F673">
        <v>1</v>
      </c>
      <c r="G673" t="str">
        <f t="shared" si="9"/>
        <v>M0112-B-16-1</v>
      </c>
      <c r="H673">
        <v>92.5</v>
      </c>
      <c r="I673">
        <v>94</v>
      </c>
    </row>
    <row r="674" spans="1:9" x14ac:dyDescent="0.3">
      <c r="A674">
        <v>501</v>
      </c>
      <c r="B674" t="s">
        <v>49</v>
      </c>
      <c r="C674" t="s">
        <v>36</v>
      </c>
      <c r="D674">
        <v>16</v>
      </c>
      <c r="E674" t="s">
        <v>34</v>
      </c>
      <c r="F674">
        <v>2</v>
      </c>
      <c r="G674" t="str">
        <f t="shared" si="9"/>
        <v>M0112-B-16-2</v>
      </c>
      <c r="H674">
        <v>94</v>
      </c>
      <c r="I674">
        <v>94.91</v>
      </c>
    </row>
    <row r="675" spans="1:9" x14ac:dyDescent="0.3">
      <c r="A675">
        <v>501</v>
      </c>
      <c r="B675" t="s">
        <v>49</v>
      </c>
      <c r="C675" t="s">
        <v>36</v>
      </c>
      <c r="D675">
        <v>17</v>
      </c>
      <c r="E675" t="s">
        <v>34</v>
      </c>
      <c r="F675">
        <v>1</v>
      </c>
      <c r="G675" t="str">
        <f t="shared" si="9"/>
        <v>M0112-B-17-1</v>
      </c>
      <c r="H675">
        <v>95.5</v>
      </c>
      <c r="I675">
        <v>96.91</v>
      </c>
    </row>
    <row r="676" spans="1:9" x14ac:dyDescent="0.3">
      <c r="A676">
        <v>501</v>
      </c>
      <c r="B676" t="s">
        <v>49</v>
      </c>
      <c r="C676" t="s">
        <v>36</v>
      </c>
      <c r="D676">
        <v>18</v>
      </c>
      <c r="E676" t="s">
        <v>34</v>
      </c>
      <c r="F676">
        <v>1</v>
      </c>
      <c r="G676" t="str">
        <f t="shared" si="9"/>
        <v>M0112-B-18-1</v>
      </c>
      <c r="H676">
        <v>98.5</v>
      </c>
      <c r="I676">
        <v>98.82</v>
      </c>
    </row>
    <row r="677" spans="1:9" x14ac:dyDescent="0.3">
      <c r="A677">
        <v>501</v>
      </c>
      <c r="B677" t="s">
        <v>49</v>
      </c>
      <c r="C677" t="s">
        <v>36</v>
      </c>
      <c r="D677">
        <v>19</v>
      </c>
      <c r="E677" t="s">
        <v>34</v>
      </c>
      <c r="F677">
        <v>1</v>
      </c>
      <c r="G677" t="str">
        <f t="shared" si="9"/>
        <v>M0112-B-19-1</v>
      </c>
      <c r="H677">
        <v>101.5</v>
      </c>
      <c r="I677">
        <v>102.11</v>
      </c>
    </row>
    <row r="678" spans="1:9" x14ac:dyDescent="0.3">
      <c r="A678">
        <v>501</v>
      </c>
      <c r="B678" t="s">
        <v>49</v>
      </c>
      <c r="C678" t="s">
        <v>36</v>
      </c>
      <c r="D678">
        <v>19</v>
      </c>
      <c r="E678" t="s">
        <v>34</v>
      </c>
      <c r="F678">
        <v>2</v>
      </c>
      <c r="G678" t="str">
        <f t="shared" si="9"/>
        <v>M0112-B-19-2</v>
      </c>
      <c r="H678">
        <v>102.11</v>
      </c>
      <c r="I678">
        <v>102.55</v>
      </c>
    </row>
    <row r="679" spans="1:9" x14ac:dyDescent="0.3">
      <c r="A679">
        <v>501</v>
      </c>
      <c r="B679" t="s">
        <v>49</v>
      </c>
      <c r="C679" t="s">
        <v>36</v>
      </c>
      <c r="D679">
        <v>20</v>
      </c>
      <c r="E679" t="s">
        <v>34</v>
      </c>
      <c r="F679">
        <v>1</v>
      </c>
      <c r="G679" t="str">
        <f t="shared" si="9"/>
        <v>M0112-B-20-1</v>
      </c>
      <c r="H679">
        <v>103.42</v>
      </c>
      <c r="I679">
        <v>103.6</v>
      </c>
    </row>
    <row r="680" spans="1:9" x14ac:dyDescent="0.3">
      <c r="A680">
        <v>501</v>
      </c>
      <c r="B680" t="s">
        <v>49</v>
      </c>
      <c r="C680" t="s">
        <v>36</v>
      </c>
      <c r="D680">
        <v>21</v>
      </c>
      <c r="E680" t="s">
        <v>34</v>
      </c>
      <c r="F680">
        <v>1</v>
      </c>
      <c r="G680" t="str">
        <f t="shared" si="9"/>
        <v>M0112-B-21-1</v>
      </c>
      <c r="H680">
        <v>104.82</v>
      </c>
      <c r="I680">
        <v>105.06</v>
      </c>
    </row>
    <row r="681" spans="1:9" x14ac:dyDescent="0.3">
      <c r="A681">
        <v>501</v>
      </c>
      <c r="B681" t="s">
        <v>49</v>
      </c>
      <c r="C681" t="s">
        <v>36</v>
      </c>
      <c r="D681">
        <v>22</v>
      </c>
      <c r="E681" t="s">
        <v>34</v>
      </c>
      <c r="F681">
        <v>1</v>
      </c>
      <c r="G681" t="str">
        <f t="shared" si="9"/>
        <v>M0112-B-22-1</v>
      </c>
      <c r="H681">
        <v>107.82</v>
      </c>
      <c r="I681">
        <v>107.93</v>
      </c>
    </row>
    <row r="682" spans="1:9" x14ac:dyDescent="0.3">
      <c r="A682">
        <v>501</v>
      </c>
      <c r="B682" t="s">
        <v>49</v>
      </c>
      <c r="C682" t="s">
        <v>36</v>
      </c>
      <c r="D682">
        <v>24</v>
      </c>
      <c r="E682" t="s">
        <v>34</v>
      </c>
      <c r="F682">
        <v>1</v>
      </c>
      <c r="G682" t="str">
        <f t="shared" si="9"/>
        <v>M0112-B-24-1</v>
      </c>
      <c r="H682">
        <v>110.22</v>
      </c>
      <c r="I682">
        <v>110.77</v>
      </c>
    </row>
    <row r="683" spans="1:9" x14ac:dyDescent="0.3">
      <c r="A683">
        <v>501</v>
      </c>
      <c r="B683" t="s">
        <v>49</v>
      </c>
      <c r="C683" t="s">
        <v>36</v>
      </c>
      <c r="D683">
        <v>25</v>
      </c>
      <c r="E683" t="s">
        <v>48</v>
      </c>
      <c r="F683">
        <v>1</v>
      </c>
      <c r="G683" t="str">
        <f t="shared" si="9"/>
        <v>M0112-B-25-1</v>
      </c>
      <c r="H683">
        <v>80.819999999999993</v>
      </c>
      <c r="I683">
        <v>110.82</v>
      </c>
    </row>
    <row r="684" spans="1:9" x14ac:dyDescent="0.3">
      <c r="A684">
        <v>501</v>
      </c>
      <c r="B684" t="s">
        <v>49</v>
      </c>
      <c r="C684" t="s">
        <v>36</v>
      </c>
      <c r="D684">
        <v>27</v>
      </c>
      <c r="E684" t="s">
        <v>34</v>
      </c>
      <c r="F684">
        <v>1</v>
      </c>
      <c r="G684" t="str">
        <f t="shared" si="9"/>
        <v>M0112-B-27-1</v>
      </c>
      <c r="H684">
        <v>138</v>
      </c>
      <c r="I684">
        <v>139.5</v>
      </c>
    </row>
    <row r="685" spans="1:9" x14ac:dyDescent="0.3">
      <c r="A685">
        <v>501</v>
      </c>
      <c r="B685" t="s">
        <v>49</v>
      </c>
      <c r="C685" t="s">
        <v>36</v>
      </c>
      <c r="D685">
        <v>27</v>
      </c>
      <c r="E685" t="s">
        <v>34</v>
      </c>
      <c r="F685">
        <v>2</v>
      </c>
      <c r="G685" t="str">
        <f t="shared" si="9"/>
        <v>M0112-B-27-2</v>
      </c>
      <c r="H685">
        <v>139.5</v>
      </c>
      <c r="I685">
        <v>140.66</v>
      </c>
    </row>
    <row r="686" spans="1:9" x14ac:dyDescent="0.3">
      <c r="A686">
        <v>501</v>
      </c>
      <c r="B686" t="s">
        <v>49</v>
      </c>
      <c r="C686" t="s">
        <v>36</v>
      </c>
      <c r="D686">
        <v>28</v>
      </c>
      <c r="E686" t="s">
        <v>34</v>
      </c>
      <c r="F686">
        <v>1</v>
      </c>
      <c r="G686" t="str">
        <f t="shared" si="9"/>
        <v>M0112-B-28-1</v>
      </c>
      <c r="H686">
        <v>141</v>
      </c>
      <c r="I686">
        <v>142.5</v>
      </c>
    </row>
    <row r="687" spans="1:9" x14ac:dyDescent="0.3">
      <c r="A687">
        <v>501</v>
      </c>
      <c r="B687" t="s">
        <v>49</v>
      </c>
      <c r="C687" t="s">
        <v>36</v>
      </c>
      <c r="D687">
        <v>28</v>
      </c>
      <c r="E687" t="s">
        <v>34</v>
      </c>
      <c r="F687">
        <v>2</v>
      </c>
      <c r="G687" t="str">
        <f t="shared" si="9"/>
        <v>M0112-B-28-2</v>
      </c>
      <c r="H687">
        <v>142.5</v>
      </c>
      <c r="I687">
        <v>143.5</v>
      </c>
    </row>
    <row r="688" spans="1:9" x14ac:dyDescent="0.3">
      <c r="A688">
        <v>501</v>
      </c>
      <c r="B688" t="s">
        <v>49</v>
      </c>
      <c r="C688" t="s">
        <v>36</v>
      </c>
      <c r="D688">
        <v>28</v>
      </c>
      <c r="E688" t="s">
        <v>34</v>
      </c>
      <c r="F688">
        <v>3</v>
      </c>
      <c r="G688" t="str">
        <f t="shared" si="9"/>
        <v>M0112-B-28-3</v>
      </c>
      <c r="H688">
        <v>143.5</v>
      </c>
      <c r="I688">
        <v>144.13999999999999</v>
      </c>
    </row>
    <row r="689" spans="1:9" x14ac:dyDescent="0.3">
      <c r="A689">
        <v>501</v>
      </c>
      <c r="B689" t="s">
        <v>49</v>
      </c>
      <c r="C689" t="s">
        <v>36</v>
      </c>
      <c r="D689">
        <v>29</v>
      </c>
      <c r="E689" t="s">
        <v>34</v>
      </c>
      <c r="F689">
        <v>1</v>
      </c>
      <c r="G689" t="str">
        <f t="shared" si="9"/>
        <v>M0112-B-29-1</v>
      </c>
      <c r="H689">
        <v>144</v>
      </c>
      <c r="I689">
        <v>145.5</v>
      </c>
    </row>
    <row r="690" spans="1:9" x14ac:dyDescent="0.3">
      <c r="A690">
        <v>501</v>
      </c>
      <c r="B690" t="s">
        <v>49</v>
      </c>
      <c r="C690" t="s">
        <v>36</v>
      </c>
      <c r="D690">
        <v>29</v>
      </c>
      <c r="E690" t="s">
        <v>34</v>
      </c>
      <c r="F690">
        <v>2</v>
      </c>
      <c r="G690" t="str">
        <f t="shared" si="9"/>
        <v>M0112-B-29-2</v>
      </c>
      <c r="H690">
        <v>145.5</v>
      </c>
      <c r="I690">
        <v>146.5</v>
      </c>
    </row>
    <row r="691" spans="1:9" x14ac:dyDescent="0.3">
      <c r="A691">
        <v>501</v>
      </c>
      <c r="B691" t="s">
        <v>49</v>
      </c>
      <c r="C691" t="s">
        <v>36</v>
      </c>
      <c r="D691">
        <v>29</v>
      </c>
      <c r="E691" t="s">
        <v>34</v>
      </c>
      <c r="F691">
        <v>3</v>
      </c>
      <c r="G691" t="str">
        <f t="shared" si="9"/>
        <v>M0112-B-29-3</v>
      </c>
      <c r="H691">
        <v>146.5</v>
      </c>
      <c r="I691">
        <v>147.09</v>
      </c>
    </row>
    <row r="692" spans="1:9" x14ac:dyDescent="0.3">
      <c r="A692">
        <v>501</v>
      </c>
      <c r="B692" t="s">
        <v>49</v>
      </c>
      <c r="C692" t="s">
        <v>36</v>
      </c>
      <c r="D692">
        <v>30</v>
      </c>
      <c r="E692" t="s">
        <v>34</v>
      </c>
      <c r="F692">
        <v>1</v>
      </c>
      <c r="G692" t="str">
        <f t="shared" si="9"/>
        <v>M0112-B-30-1</v>
      </c>
      <c r="H692">
        <v>147</v>
      </c>
      <c r="I692">
        <v>148.5</v>
      </c>
    </row>
    <row r="693" spans="1:9" x14ac:dyDescent="0.3">
      <c r="A693">
        <v>501</v>
      </c>
      <c r="B693" t="s">
        <v>49</v>
      </c>
      <c r="C693" t="s">
        <v>36</v>
      </c>
      <c r="D693">
        <v>30</v>
      </c>
      <c r="E693" t="s">
        <v>34</v>
      </c>
      <c r="F693">
        <v>2</v>
      </c>
      <c r="G693" t="str">
        <f t="shared" si="9"/>
        <v>M0112-B-30-2</v>
      </c>
      <c r="H693">
        <v>148.5</v>
      </c>
      <c r="I693">
        <v>149.54</v>
      </c>
    </row>
    <row r="694" spans="1:9" x14ac:dyDescent="0.3">
      <c r="A694">
        <v>501</v>
      </c>
      <c r="B694" t="s">
        <v>49</v>
      </c>
      <c r="C694" t="s">
        <v>36</v>
      </c>
      <c r="D694">
        <v>31</v>
      </c>
      <c r="E694" t="s">
        <v>34</v>
      </c>
      <c r="F694">
        <v>1</v>
      </c>
      <c r="G694" t="str">
        <f t="shared" si="9"/>
        <v>M0112-B-31-1</v>
      </c>
      <c r="H694">
        <v>149.37</v>
      </c>
      <c r="I694">
        <v>150.37</v>
      </c>
    </row>
    <row r="695" spans="1:9" x14ac:dyDescent="0.3">
      <c r="A695">
        <v>501</v>
      </c>
      <c r="B695" t="s">
        <v>49</v>
      </c>
      <c r="C695" t="s">
        <v>36</v>
      </c>
      <c r="D695">
        <v>31</v>
      </c>
      <c r="E695" t="s">
        <v>34</v>
      </c>
      <c r="F695">
        <v>2</v>
      </c>
      <c r="G695" t="str">
        <f t="shared" si="9"/>
        <v>M0112-B-31-2</v>
      </c>
      <c r="H695">
        <v>150.37</v>
      </c>
      <c r="I695">
        <v>150.91999999999999</v>
      </c>
    </row>
    <row r="696" spans="1:9" x14ac:dyDescent="0.3">
      <c r="A696">
        <v>501</v>
      </c>
      <c r="B696" t="s">
        <v>49</v>
      </c>
      <c r="C696" t="s">
        <v>36</v>
      </c>
      <c r="D696">
        <v>35</v>
      </c>
      <c r="E696" t="s">
        <v>34</v>
      </c>
      <c r="F696">
        <v>1</v>
      </c>
      <c r="G696" t="str">
        <f t="shared" ref="G696:G759" si="10">CONCATENATE(B696, "-",C696, "-", D696, "-", F696)</f>
        <v>M0112-B-35-1</v>
      </c>
      <c r="H696">
        <v>200</v>
      </c>
      <c r="I696">
        <v>200.27</v>
      </c>
    </row>
    <row r="697" spans="1:9" x14ac:dyDescent="0.3">
      <c r="A697">
        <v>501</v>
      </c>
      <c r="B697" t="s">
        <v>49</v>
      </c>
      <c r="C697" t="s">
        <v>36</v>
      </c>
      <c r="D697">
        <v>36</v>
      </c>
      <c r="E697" t="s">
        <v>34</v>
      </c>
      <c r="F697">
        <v>1</v>
      </c>
      <c r="G697" t="str">
        <f t="shared" si="10"/>
        <v>M0112-B-36-1</v>
      </c>
      <c r="H697">
        <v>201.82</v>
      </c>
      <c r="I697">
        <v>201.97</v>
      </c>
    </row>
    <row r="698" spans="1:9" x14ac:dyDescent="0.3">
      <c r="A698">
        <v>501</v>
      </c>
      <c r="B698" t="s">
        <v>49</v>
      </c>
      <c r="C698" t="s">
        <v>36</v>
      </c>
      <c r="D698">
        <v>37</v>
      </c>
      <c r="E698" t="s">
        <v>34</v>
      </c>
      <c r="F698">
        <v>1</v>
      </c>
      <c r="G698" t="str">
        <f t="shared" si="10"/>
        <v>M0112-B-37-1</v>
      </c>
      <c r="H698">
        <v>203.32</v>
      </c>
      <c r="I698">
        <v>203.77</v>
      </c>
    </row>
    <row r="699" spans="1:9" x14ac:dyDescent="0.3">
      <c r="A699">
        <v>501</v>
      </c>
      <c r="B699" t="s">
        <v>49</v>
      </c>
      <c r="C699" t="s">
        <v>36</v>
      </c>
      <c r="D699">
        <v>39</v>
      </c>
      <c r="E699" t="s">
        <v>34</v>
      </c>
      <c r="F699">
        <v>1</v>
      </c>
      <c r="G699" t="str">
        <f t="shared" si="10"/>
        <v>M0112-B-39-1</v>
      </c>
      <c r="H699">
        <v>230.32</v>
      </c>
      <c r="I699">
        <v>231.39</v>
      </c>
    </row>
    <row r="700" spans="1:9" x14ac:dyDescent="0.3">
      <c r="A700">
        <v>501</v>
      </c>
      <c r="B700" t="s">
        <v>49</v>
      </c>
      <c r="C700" t="s">
        <v>36</v>
      </c>
      <c r="D700">
        <v>40</v>
      </c>
      <c r="E700" t="s">
        <v>34</v>
      </c>
      <c r="F700">
        <v>1</v>
      </c>
      <c r="G700" t="str">
        <f t="shared" si="10"/>
        <v>M0112-B-40-1</v>
      </c>
      <c r="H700">
        <v>231.82</v>
      </c>
      <c r="I700">
        <v>232.72</v>
      </c>
    </row>
    <row r="701" spans="1:9" x14ac:dyDescent="0.3">
      <c r="A701">
        <v>501</v>
      </c>
      <c r="B701" t="s">
        <v>49</v>
      </c>
      <c r="C701" t="s">
        <v>36</v>
      </c>
      <c r="D701">
        <v>40</v>
      </c>
      <c r="E701" t="s">
        <v>34</v>
      </c>
      <c r="F701">
        <v>2</v>
      </c>
      <c r="G701" t="str">
        <f t="shared" si="10"/>
        <v>M0112-B-40-2</v>
      </c>
      <c r="H701">
        <v>232.72</v>
      </c>
      <c r="I701">
        <v>232.79</v>
      </c>
    </row>
    <row r="702" spans="1:9" x14ac:dyDescent="0.3">
      <c r="A702">
        <v>501</v>
      </c>
      <c r="B702" t="s">
        <v>49</v>
      </c>
      <c r="C702" t="s">
        <v>36</v>
      </c>
      <c r="D702">
        <v>41</v>
      </c>
      <c r="E702" t="s">
        <v>34</v>
      </c>
      <c r="F702">
        <v>1</v>
      </c>
      <c r="G702" t="str">
        <f t="shared" si="10"/>
        <v>M0112-B-41-1</v>
      </c>
      <c r="H702">
        <v>234.82</v>
      </c>
      <c r="I702">
        <v>235.7</v>
      </c>
    </row>
    <row r="703" spans="1:9" x14ac:dyDescent="0.3">
      <c r="A703">
        <v>501</v>
      </c>
      <c r="B703" t="s">
        <v>49</v>
      </c>
      <c r="C703" t="s">
        <v>36</v>
      </c>
      <c r="D703">
        <v>41</v>
      </c>
      <c r="E703" t="s">
        <v>34</v>
      </c>
      <c r="F703">
        <v>2</v>
      </c>
      <c r="G703" t="str">
        <f t="shared" si="10"/>
        <v>M0112-B-41-2</v>
      </c>
      <c r="H703">
        <v>235.7</v>
      </c>
      <c r="I703">
        <v>236.25</v>
      </c>
    </row>
    <row r="704" spans="1:9" x14ac:dyDescent="0.3">
      <c r="A704">
        <v>501</v>
      </c>
      <c r="B704" t="s">
        <v>49</v>
      </c>
      <c r="C704" t="s">
        <v>36</v>
      </c>
      <c r="D704">
        <v>42</v>
      </c>
      <c r="E704" t="s">
        <v>34</v>
      </c>
      <c r="F704">
        <v>1</v>
      </c>
      <c r="G704" t="str">
        <f t="shared" si="10"/>
        <v>M0112-B-42-1</v>
      </c>
      <c r="H704">
        <v>236.32</v>
      </c>
      <c r="I704">
        <v>236.93</v>
      </c>
    </row>
    <row r="705" spans="1:9" x14ac:dyDescent="0.3">
      <c r="A705">
        <v>501</v>
      </c>
      <c r="B705" t="s">
        <v>49</v>
      </c>
      <c r="C705" t="s">
        <v>36</v>
      </c>
      <c r="D705">
        <v>42</v>
      </c>
      <c r="E705" t="s">
        <v>34</v>
      </c>
      <c r="F705">
        <v>2</v>
      </c>
      <c r="G705" t="str">
        <f t="shared" si="10"/>
        <v>M0112-B-42-2</v>
      </c>
      <c r="H705">
        <v>236.93</v>
      </c>
      <c r="I705">
        <v>237.05</v>
      </c>
    </row>
    <row r="706" spans="1:9" x14ac:dyDescent="0.3">
      <c r="A706">
        <v>501</v>
      </c>
      <c r="B706" t="s">
        <v>49</v>
      </c>
      <c r="C706" t="s">
        <v>36</v>
      </c>
      <c r="D706">
        <v>43</v>
      </c>
      <c r="E706" t="s">
        <v>34</v>
      </c>
      <c r="F706">
        <v>1</v>
      </c>
      <c r="G706" t="str">
        <f t="shared" si="10"/>
        <v>M0112-B-43-1</v>
      </c>
      <c r="H706">
        <v>237.82</v>
      </c>
      <c r="I706">
        <v>238.9</v>
      </c>
    </row>
    <row r="707" spans="1:9" x14ac:dyDescent="0.3">
      <c r="A707">
        <v>501</v>
      </c>
      <c r="B707" t="s">
        <v>49</v>
      </c>
      <c r="C707" t="s">
        <v>36</v>
      </c>
      <c r="D707">
        <v>44</v>
      </c>
      <c r="E707" t="s">
        <v>34</v>
      </c>
      <c r="F707">
        <v>1</v>
      </c>
      <c r="G707" t="str">
        <f t="shared" si="10"/>
        <v>M0112-B-44-1</v>
      </c>
      <c r="H707">
        <v>239.32</v>
      </c>
      <c r="I707">
        <v>240.44</v>
      </c>
    </row>
    <row r="708" spans="1:9" x14ac:dyDescent="0.3">
      <c r="A708">
        <v>501</v>
      </c>
      <c r="B708" t="s">
        <v>49</v>
      </c>
      <c r="C708" t="s">
        <v>36</v>
      </c>
      <c r="D708">
        <v>45</v>
      </c>
      <c r="E708" t="s">
        <v>34</v>
      </c>
      <c r="F708">
        <v>1</v>
      </c>
      <c r="G708" t="str">
        <f t="shared" si="10"/>
        <v>M0112-B-45-1</v>
      </c>
      <c r="H708">
        <v>240.82</v>
      </c>
      <c r="I708">
        <v>242.06</v>
      </c>
    </row>
    <row r="709" spans="1:9" x14ac:dyDescent="0.3">
      <c r="A709">
        <v>501</v>
      </c>
      <c r="B709" t="s">
        <v>49</v>
      </c>
      <c r="C709" t="s">
        <v>36</v>
      </c>
      <c r="D709">
        <v>46</v>
      </c>
      <c r="E709" t="s">
        <v>34</v>
      </c>
      <c r="F709">
        <v>1</v>
      </c>
      <c r="G709" t="str">
        <f t="shared" si="10"/>
        <v>M0112-B-46-1</v>
      </c>
      <c r="H709">
        <v>242.32</v>
      </c>
      <c r="I709">
        <v>243.75</v>
      </c>
    </row>
    <row r="710" spans="1:9" x14ac:dyDescent="0.3">
      <c r="A710">
        <v>501</v>
      </c>
      <c r="B710" t="s">
        <v>49</v>
      </c>
      <c r="C710" t="s">
        <v>36</v>
      </c>
      <c r="D710">
        <v>47</v>
      </c>
      <c r="E710" t="s">
        <v>34</v>
      </c>
      <c r="F710">
        <v>1</v>
      </c>
      <c r="G710" t="str">
        <f t="shared" si="10"/>
        <v>M0112-B-47-1</v>
      </c>
      <c r="H710">
        <v>243.82</v>
      </c>
      <c r="I710">
        <v>243.93</v>
      </c>
    </row>
    <row r="711" spans="1:9" x14ac:dyDescent="0.3">
      <c r="A711">
        <v>501</v>
      </c>
      <c r="B711" t="s">
        <v>49</v>
      </c>
      <c r="C711" t="s">
        <v>36</v>
      </c>
      <c r="D711">
        <v>48</v>
      </c>
      <c r="E711" t="s">
        <v>34</v>
      </c>
      <c r="F711">
        <v>1</v>
      </c>
      <c r="G711" t="str">
        <f t="shared" si="10"/>
        <v>M0112-B-48-1</v>
      </c>
      <c r="H711">
        <v>245.32</v>
      </c>
      <c r="I711">
        <v>245.45</v>
      </c>
    </row>
    <row r="712" spans="1:9" x14ac:dyDescent="0.3">
      <c r="A712">
        <v>501</v>
      </c>
      <c r="B712" t="s">
        <v>49</v>
      </c>
      <c r="C712" t="s">
        <v>36</v>
      </c>
      <c r="D712">
        <v>49</v>
      </c>
      <c r="E712" t="s">
        <v>34</v>
      </c>
      <c r="F712">
        <v>1</v>
      </c>
      <c r="G712" t="str">
        <f t="shared" si="10"/>
        <v>M0112-B-49-1</v>
      </c>
      <c r="H712">
        <v>246.82</v>
      </c>
      <c r="I712">
        <v>248.32</v>
      </c>
    </row>
    <row r="713" spans="1:9" x14ac:dyDescent="0.3">
      <c r="A713">
        <v>501</v>
      </c>
      <c r="B713" t="s">
        <v>49</v>
      </c>
      <c r="C713" t="s">
        <v>36</v>
      </c>
      <c r="D713">
        <v>49</v>
      </c>
      <c r="E713" t="s">
        <v>34</v>
      </c>
      <c r="F713">
        <v>2</v>
      </c>
      <c r="G713" t="str">
        <f t="shared" si="10"/>
        <v>M0112-B-49-2</v>
      </c>
      <c r="H713">
        <v>248.32</v>
      </c>
      <c r="I713">
        <v>248.77</v>
      </c>
    </row>
    <row r="714" spans="1:9" x14ac:dyDescent="0.3">
      <c r="A714">
        <v>501</v>
      </c>
      <c r="B714" t="s">
        <v>49</v>
      </c>
      <c r="C714" t="s">
        <v>36</v>
      </c>
      <c r="D714">
        <v>49</v>
      </c>
      <c r="E714" t="s">
        <v>34</v>
      </c>
      <c r="F714">
        <v>3</v>
      </c>
      <c r="G714" t="str">
        <f t="shared" si="10"/>
        <v>M0112-B-49-3</v>
      </c>
      <c r="H714">
        <v>248.77</v>
      </c>
      <c r="I714">
        <v>248.85</v>
      </c>
    </row>
    <row r="715" spans="1:9" x14ac:dyDescent="0.3">
      <c r="A715">
        <v>501</v>
      </c>
      <c r="B715" t="s">
        <v>49</v>
      </c>
      <c r="C715" t="s">
        <v>36</v>
      </c>
      <c r="D715">
        <v>50</v>
      </c>
      <c r="E715" t="s">
        <v>34</v>
      </c>
      <c r="F715">
        <v>1</v>
      </c>
      <c r="G715" t="str">
        <f t="shared" si="10"/>
        <v>M0112-B-50-1</v>
      </c>
      <c r="H715">
        <v>249.82</v>
      </c>
      <c r="I715">
        <v>250.24</v>
      </c>
    </row>
    <row r="716" spans="1:9" x14ac:dyDescent="0.3">
      <c r="A716">
        <v>501</v>
      </c>
      <c r="B716" t="s">
        <v>49</v>
      </c>
      <c r="C716" t="s">
        <v>36</v>
      </c>
      <c r="D716">
        <v>51</v>
      </c>
      <c r="E716" t="s">
        <v>34</v>
      </c>
      <c r="F716">
        <v>1</v>
      </c>
      <c r="G716" t="str">
        <f t="shared" si="10"/>
        <v>M0112-B-51-1</v>
      </c>
      <c r="H716">
        <v>250.82</v>
      </c>
      <c r="I716">
        <v>251.11</v>
      </c>
    </row>
    <row r="717" spans="1:9" x14ac:dyDescent="0.3">
      <c r="A717">
        <v>501</v>
      </c>
      <c r="B717" t="s">
        <v>49</v>
      </c>
      <c r="C717" t="s">
        <v>36</v>
      </c>
      <c r="D717">
        <v>52</v>
      </c>
      <c r="E717" t="s">
        <v>34</v>
      </c>
      <c r="F717">
        <v>1</v>
      </c>
      <c r="G717" t="str">
        <f t="shared" si="10"/>
        <v>M0112-B-52-1</v>
      </c>
      <c r="H717">
        <v>252.82</v>
      </c>
      <c r="I717">
        <v>252.98</v>
      </c>
    </row>
    <row r="718" spans="1:9" x14ac:dyDescent="0.3">
      <c r="A718">
        <v>501</v>
      </c>
      <c r="B718" t="s">
        <v>49</v>
      </c>
      <c r="C718" t="s">
        <v>36</v>
      </c>
      <c r="D718">
        <v>53</v>
      </c>
      <c r="E718" t="s">
        <v>34</v>
      </c>
      <c r="F718">
        <v>1</v>
      </c>
      <c r="G718" t="str">
        <f t="shared" si="10"/>
        <v>M0112-B-53-1</v>
      </c>
      <c r="H718">
        <v>254.42</v>
      </c>
      <c r="I718">
        <v>254.54</v>
      </c>
    </row>
    <row r="719" spans="1:9" x14ac:dyDescent="0.3">
      <c r="A719">
        <v>501</v>
      </c>
      <c r="B719" t="s">
        <v>49</v>
      </c>
      <c r="C719" t="s">
        <v>36</v>
      </c>
      <c r="D719">
        <v>54</v>
      </c>
      <c r="E719" t="s">
        <v>48</v>
      </c>
      <c r="F719">
        <v>1</v>
      </c>
      <c r="G719" t="str">
        <f t="shared" si="10"/>
        <v>M0112-B-54-1</v>
      </c>
      <c r="H719">
        <v>235.82</v>
      </c>
      <c r="I719">
        <v>255.82</v>
      </c>
    </row>
    <row r="720" spans="1:9" x14ac:dyDescent="0.3">
      <c r="A720">
        <v>501</v>
      </c>
      <c r="B720" t="s">
        <v>49</v>
      </c>
      <c r="C720" t="s">
        <v>36</v>
      </c>
      <c r="D720">
        <v>56</v>
      </c>
      <c r="E720" t="s">
        <v>34</v>
      </c>
      <c r="F720">
        <v>1</v>
      </c>
      <c r="G720" t="str">
        <f t="shared" si="10"/>
        <v>M0112-B-56-1</v>
      </c>
      <c r="H720">
        <v>321.82</v>
      </c>
      <c r="I720">
        <v>322.83</v>
      </c>
    </row>
    <row r="721" spans="1:9" x14ac:dyDescent="0.3">
      <c r="A721">
        <v>501</v>
      </c>
      <c r="B721" t="s">
        <v>49</v>
      </c>
      <c r="C721" t="s">
        <v>36</v>
      </c>
      <c r="D721">
        <v>56</v>
      </c>
      <c r="E721" t="s">
        <v>34</v>
      </c>
      <c r="F721">
        <v>2</v>
      </c>
      <c r="G721" t="str">
        <f t="shared" si="10"/>
        <v>M0112-B-56-2</v>
      </c>
      <c r="H721">
        <v>322.83</v>
      </c>
      <c r="I721">
        <v>323.5</v>
      </c>
    </row>
    <row r="722" spans="1:9" x14ac:dyDescent="0.3">
      <c r="A722">
        <v>501</v>
      </c>
      <c r="B722" t="s">
        <v>49</v>
      </c>
      <c r="C722" t="s">
        <v>36</v>
      </c>
      <c r="D722">
        <v>56</v>
      </c>
      <c r="E722" t="s">
        <v>34</v>
      </c>
      <c r="F722">
        <v>3</v>
      </c>
      <c r="G722" t="str">
        <f t="shared" si="10"/>
        <v>M0112-B-56-3</v>
      </c>
      <c r="H722">
        <v>323.5</v>
      </c>
      <c r="I722">
        <v>323.70999999999998</v>
      </c>
    </row>
    <row r="723" spans="1:9" x14ac:dyDescent="0.3">
      <c r="A723">
        <v>501</v>
      </c>
      <c r="B723" t="s">
        <v>49</v>
      </c>
      <c r="C723" t="s">
        <v>36</v>
      </c>
      <c r="D723">
        <v>57</v>
      </c>
      <c r="E723" t="s">
        <v>34</v>
      </c>
      <c r="F723">
        <v>1</v>
      </c>
      <c r="G723" t="str">
        <f t="shared" si="10"/>
        <v>M0112-B-57-1</v>
      </c>
      <c r="H723">
        <v>323.62</v>
      </c>
      <c r="I723">
        <v>324.13</v>
      </c>
    </row>
    <row r="724" spans="1:9" x14ac:dyDescent="0.3">
      <c r="A724">
        <v>501</v>
      </c>
      <c r="B724" t="s">
        <v>49</v>
      </c>
      <c r="C724" t="s">
        <v>36</v>
      </c>
      <c r="D724">
        <v>57</v>
      </c>
      <c r="E724" t="s">
        <v>34</v>
      </c>
      <c r="F724">
        <v>2</v>
      </c>
      <c r="G724" t="str">
        <f t="shared" si="10"/>
        <v>M0112-B-57-2</v>
      </c>
      <c r="H724">
        <v>324.13</v>
      </c>
      <c r="I724">
        <v>324.55</v>
      </c>
    </row>
    <row r="725" spans="1:9" x14ac:dyDescent="0.3">
      <c r="A725">
        <v>501</v>
      </c>
      <c r="B725" t="s">
        <v>49</v>
      </c>
      <c r="C725" t="s">
        <v>36</v>
      </c>
      <c r="D725">
        <v>58</v>
      </c>
      <c r="E725" t="s">
        <v>34</v>
      </c>
      <c r="F725">
        <v>1</v>
      </c>
      <c r="G725" t="str">
        <f t="shared" si="10"/>
        <v>M0112-B-58-1</v>
      </c>
      <c r="H725">
        <v>324.82</v>
      </c>
      <c r="I725">
        <v>325.70999999999998</v>
      </c>
    </row>
    <row r="726" spans="1:9" x14ac:dyDescent="0.3">
      <c r="A726">
        <v>501</v>
      </c>
      <c r="B726" t="s">
        <v>49</v>
      </c>
      <c r="C726" t="s">
        <v>36</v>
      </c>
      <c r="D726">
        <v>59</v>
      </c>
      <c r="E726" t="s">
        <v>34</v>
      </c>
      <c r="F726">
        <v>1</v>
      </c>
      <c r="G726" t="str">
        <f t="shared" si="10"/>
        <v>M0112-B-59-1</v>
      </c>
      <c r="H726">
        <v>327.82</v>
      </c>
      <c r="I726">
        <v>327.91</v>
      </c>
    </row>
    <row r="727" spans="1:9" x14ac:dyDescent="0.3">
      <c r="A727">
        <v>501</v>
      </c>
      <c r="B727" t="s">
        <v>49</v>
      </c>
      <c r="C727" t="s">
        <v>36</v>
      </c>
      <c r="D727">
        <v>60</v>
      </c>
      <c r="E727" t="s">
        <v>34</v>
      </c>
      <c r="F727">
        <v>1</v>
      </c>
      <c r="G727" t="str">
        <f t="shared" si="10"/>
        <v>M0112-B-60-1</v>
      </c>
      <c r="H727">
        <v>329.32</v>
      </c>
      <c r="I727">
        <v>329.33</v>
      </c>
    </row>
    <row r="728" spans="1:9" x14ac:dyDescent="0.3">
      <c r="A728">
        <v>501</v>
      </c>
      <c r="B728" t="s">
        <v>49</v>
      </c>
      <c r="C728" t="s">
        <v>36</v>
      </c>
      <c r="D728">
        <v>61</v>
      </c>
      <c r="E728" t="s">
        <v>34</v>
      </c>
      <c r="F728">
        <v>1</v>
      </c>
      <c r="G728" t="str">
        <f t="shared" si="10"/>
        <v>M0112-B-61-1</v>
      </c>
      <c r="H728">
        <v>330.82</v>
      </c>
      <c r="I728">
        <v>331.44</v>
      </c>
    </row>
    <row r="729" spans="1:9" x14ac:dyDescent="0.3">
      <c r="A729">
        <v>501</v>
      </c>
      <c r="B729" t="s">
        <v>49</v>
      </c>
      <c r="C729" t="s">
        <v>36</v>
      </c>
      <c r="D729">
        <v>63</v>
      </c>
      <c r="E729" t="s">
        <v>34</v>
      </c>
      <c r="F729">
        <v>1</v>
      </c>
      <c r="G729" t="str">
        <f t="shared" si="10"/>
        <v>M0112-B-63-1</v>
      </c>
      <c r="H729">
        <v>333.82</v>
      </c>
      <c r="I729">
        <v>334.66</v>
      </c>
    </row>
    <row r="730" spans="1:9" x14ac:dyDescent="0.3">
      <c r="A730">
        <v>501</v>
      </c>
      <c r="B730" t="s">
        <v>49</v>
      </c>
      <c r="C730" t="s">
        <v>36</v>
      </c>
      <c r="D730">
        <v>64</v>
      </c>
      <c r="E730" t="s">
        <v>34</v>
      </c>
      <c r="F730">
        <v>1</v>
      </c>
      <c r="G730" t="str">
        <f t="shared" si="10"/>
        <v>M0112-B-64-1</v>
      </c>
      <c r="H730">
        <v>335.32</v>
      </c>
      <c r="I730">
        <v>336.25</v>
      </c>
    </row>
    <row r="731" spans="1:9" x14ac:dyDescent="0.3">
      <c r="A731">
        <v>501</v>
      </c>
      <c r="B731" t="s">
        <v>49</v>
      </c>
      <c r="C731" t="s">
        <v>36</v>
      </c>
      <c r="D731">
        <v>65</v>
      </c>
      <c r="E731" t="s">
        <v>34</v>
      </c>
      <c r="F731">
        <v>1</v>
      </c>
      <c r="G731" t="str">
        <f t="shared" si="10"/>
        <v>M0112-B-65-1</v>
      </c>
      <c r="H731">
        <v>336.82</v>
      </c>
      <c r="I731">
        <v>337.82</v>
      </c>
    </row>
    <row r="732" spans="1:9" x14ac:dyDescent="0.3">
      <c r="A732">
        <v>501</v>
      </c>
      <c r="B732" t="s">
        <v>50</v>
      </c>
      <c r="C732" t="s">
        <v>31</v>
      </c>
      <c r="D732">
        <v>1</v>
      </c>
      <c r="E732" t="s">
        <v>46</v>
      </c>
      <c r="F732">
        <v>1</v>
      </c>
      <c r="G732" t="str">
        <f t="shared" si="10"/>
        <v>M0113-A-1-1</v>
      </c>
      <c r="H732">
        <v>0</v>
      </c>
      <c r="I732">
        <v>1.5</v>
      </c>
    </row>
    <row r="733" spans="1:9" x14ac:dyDescent="0.3">
      <c r="A733">
        <v>501</v>
      </c>
      <c r="B733" t="s">
        <v>50</v>
      </c>
      <c r="C733" t="s">
        <v>31</v>
      </c>
      <c r="D733">
        <v>1</v>
      </c>
      <c r="E733" t="s">
        <v>46</v>
      </c>
      <c r="F733">
        <v>2</v>
      </c>
      <c r="G733" t="str">
        <f t="shared" si="10"/>
        <v>M0113-A-1-2</v>
      </c>
      <c r="H733">
        <v>1.5</v>
      </c>
      <c r="I733">
        <v>2.9</v>
      </c>
    </row>
    <row r="734" spans="1:9" x14ac:dyDescent="0.3">
      <c r="A734">
        <v>501</v>
      </c>
      <c r="B734" t="s">
        <v>50</v>
      </c>
      <c r="C734" t="s">
        <v>31</v>
      </c>
      <c r="D734">
        <v>2</v>
      </c>
      <c r="E734" t="s">
        <v>46</v>
      </c>
      <c r="F734">
        <v>1</v>
      </c>
      <c r="G734" t="str">
        <f t="shared" si="10"/>
        <v>M0113-A-2-1</v>
      </c>
      <c r="H734">
        <v>2.9</v>
      </c>
      <c r="I734">
        <v>4.4000000000000004</v>
      </c>
    </row>
    <row r="735" spans="1:9" x14ac:dyDescent="0.3">
      <c r="A735">
        <v>501</v>
      </c>
      <c r="B735" t="s">
        <v>50</v>
      </c>
      <c r="C735" t="s">
        <v>31</v>
      </c>
      <c r="D735">
        <v>2</v>
      </c>
      <c r="E735" t="s">
        <v>46</v>
      </c>
      <c r="F735">
        <v>2</v>
      </c>
      <c r="G735" t="str">
        <f t="shared" si="10"/>
        <v>M0113-A-2-2</v>
      </c>
      <c r="H735">
        <v>4.4000000000000004</v>
      </c>
      <c r="I735">
        <v>5.3</v>
      </c>
    </row>
    <row r="736" spans="1:9" x14ac:dyDescent="0.3">
      <c r="A736">
        <v>501</v>
      </c>
      <c r="B736" t="s">
        <v>50</v>
      </c>
      <c r="C736" t="s">
        <v>31</v>
      </c>
      <c r="D736">
        <v>3</v>
      </c>
      <c r="E736" t="s">
        <v>46</v>
      </c>
      <c r="F736">
        <v>1</v>
      </c>
      <c r="G736" t="str">
        <f t="shared" si="10"/>
        <v>M0113-A-3-1</v>
      </c>
      <c r="H736">
        <v>5.3</v>
      </c>
      <c r="I736">
        <v>6.8</v>
      </c>
    </row>
    <row r="737" spans="1:9" x14ac:dyDescent="0.3">
      <c r="A737">
        <v>501</v>
      </c>
      <c r="B737" t="s">
        <v>50</v>
      </c>
      <c r="C737" t="s">
        <v>31</v>
      </c>
      <c r="D737">
        <v>3</v>
      </c>
      <c r="E737" t="s">
        <v>46</v>
      </c>
      <c r="F737">
        <v>2</v>
      </c>
      <c r="G737" t="str">
        <f t="shared" si="10"/>
        <v>M0113-A-3-2</v>
      </c>
      <c r="H737">
        <v>6.8</v>
      </c>
      <c r="I737">
        <v>8</v>
      </c>
    </row>
    <row r="738" spans="1:9" x14ac:dyDescent="0.3">
      <c r="A738">
        <v>501</v>
      </c>
      <c r="B738" t="s">
        <v>50</v>
      </c>
      <c r="C738" t="s">
        <v>31</v>
      </c>
      <c r="D738">
        <v>4</v>
      </c>
      <c r="E738" t="s">
        <v>46</v>
      </c>
      <c r="F738">
        <v>1</v>
      </c>
      <c r="G738" t="str">
        <f t="shared" si="10"/>
        <v>M0113-A-4-1</v>
      </c>
      <c r="H738">
        <v>8</v>
      </c>
      <c r="I738">
        <v>9.5</v>
      </c>
    </row>
    <row r="739" spans="1:9" x14ac:dyDescent="0.3">
      <c r="A739">
        <v>501</v>
      </c>
      <c r="B739" t="s">
        <v>50</v>
      </c>
      <c r="C739" t="s">
        <v>31</v>
      </c>
      <c r="D739">
        <v>4</v>
      </c>
      <c r="E739" t="s">
        <v>46</v>
      </c>
      <c r="F739">
        <v>2</v>
      </c>
      <c r="G739" t="str">
        <f t="shared" si="10"/>
        <v>M0113-A-4-2</v>
      </c>
      <c r="H739">
        <v>9.5</v>
      </c>
      <c r="I739">
        <v>10.5</v>
      </c>
    </row>
    <row r="740" spans="1:9" x14ac:dyDescent="0.3">
      <c r="A740">
        <v>501</v>
      </c>
      <c r="B740" t="s">
        <v>50</v>
      </c>
      <c r="C740" t="s">
        <v>31</v>
      </c>
      <c r="D740">
        <v>5</v>
      </c>
      <c r="E740" t="s">
        <v>46</v>
      </c>
      <c r="F740">
        <v>1</v>
      </c>
      <c r="G740" t="str">
        <f t="shared" si="10"/>
        <v>M0113-A-5-1</v>
      </c>
      <c r="H740">
        <v>10.5</v>
      </c>
      <c r="I740">
        <v>11</v>
      </c>
    </row>
    <row r="741" spans="1:9" x14ac:dyDescent="0.3">
      <c r="A741">
        <v>501</v>
      </c>
      <c r="B741" t="s">
        <v>50</v>
      </c>
      <c r="C741" t="s">
        <v>31</v>
      </c>
      <c r="D741">
        <v>6</v>
      </c>
      <c r="E741" t="s">
        <v>46</v>
      </c>
      <c r="F741">
        <v>1</v>
      </c>
      <c r="G741" t="str">
        <f t="shared" si="10"/>
        <v>M0113-A-6-1</v>
      </c>
      <c r="H741">
        <v>11</v>
      </c>
      <c r="I741">
        <v>12.51</v>
      </c>
    </row>
    <row r="742" spans="1:9" x14ac:dyDescent="0.3">
      <c r="A742">
        <v>501</v>
      </c>
      <c r="B742" t="s">
        <v>50</v>
      </c>
      <c r="C742" t="s">
        <v>31</v>
      </c>
      <c r="D742">
        <v>6</v>
      </c>
      <c r="E742" t="s">
        <v>46</v>
      </c>
      <c r="F742">
        <v>2</v>
      </c>
      <c r="G742" t="str">
        <f t="shared" si="10"/>
        <v>M0113-A-6-2</v>
      </c>
      <c r="H742">
        <v>12.51</v>
      </c>
      <c r="I742">
        <v>13.77</v>
      </c>
    </row>
    <row r="743" spans="1:9" x14ac:dyDescent="0.3">
      <c r="A743">
        <v>501</v>
      </c>
      <c r="B743" t="s">
        <v>50</v>
      </c>
      <c r="C743" t="s">
        <v>31</v>
      </c>
      <c r="D743">
        <v>7</v>
      </c>
      <c r="E743" t="s">
        <v>46</v>
      </c>
      <c r="F743">
        <v>1</v>
      </c>
      <c r="G743" t="str">
        <f t="shared" si="10"/>
        <v>M0113-A-7-1</v>
      </c>
      <c r="H743">
        <v>13.77</v>
      </c>
      <c r="I743">
        <v>15.27</v>
      </c>
    </row>
    <row r="744" spans="1:9" x14ac:dyDescent="0.3">
      <c r="A744">
        <v>501</v>
      </c>
      <c r="B744" t="s">
        <v>50</v>
      </c>
      <c r="C744" t="s">
        <v>31</v>
      </c>
      <c r="D744">
        <v>7</v>
      </c>
      <c r="E744" t="s">
        <v>46</v>
      </c>
      <c r="F744">
        <v>2</v>
      </c>
      <c r="G744" t="str">
        <f t="shared" si="10"/>
        <v>M0113-A-7-2</v>
      </c>
      <c r="H744">
        <v>15.27</v>
      </c>
      <c r="I744">
        <v>15.88</v>
      </c>
    </row>
    <row r="745" spans="1:9" x14ac:dyDescent="0.3">
      <c r="A745">
        <v>501</v>
      </c>
      <c r="B745" t="s">
        <v>50</v>
      </c>
      <c r="C745" t="s">
        <v>31</v>
      </c>
      <c r="D745">
        <v>8</v>
      </c>
      <c r="E745" t="s">
        <v>46</v>
      </c>
      <c r="F745">
        <v>1</v>
      </c>
      <c r="G745" t="str">
        <f t="shared" si="10"/>
        <v>M0113-A-8-1</v>
      </c>
      <c r="H745">
        <v>15.88</v>
      </c>
      <c r="I745">
        <v>17.23</v>
      </c>
    </row>
    <row r="746" spans="1:9" x14ac:dyDescent="0.3">
      <c r="A746">
        <v>501</v>
      </c>
      <c r="B746" t="s">
        <v>50</v>
      </c>
      <c r="C746" t="s">
        <v>31</v>
      </c>
      <c r="D746">
        <v>9</v>
      </c>
      <c r="E746" t="s">
        <v>46</v>
      </c>
      <c r="F746">
        <v>1</v>
      </c>
      <c r="G746" t="str">
        <f t="shared" si="10"/>
        <v>M0113-A-9-1</v>
      </c>
      <c r="H746">
        <v>17.23</v>
      </c>
      <c r="I746">
        <v>18.73</v>
      </c>
    </row>
    <row r="747" spans="1:9" x14ac:dyDescent="0.3">
      <c r="A747">
        <v>501</v>
      </c>
      <c r="B747" t="s">
        <v>50</v>
      </c>
      <c r="C747" t="s">
        <v>31</v>
      </c>
      <c r="D747">
        <v>9</v>
      </c>
      <c r="E747" t="s">
        <v>46</v>
      </c>
      <c r="F747">
        <v>2</v>
      </c>
      <c r="G747" t="str">
        <f t="shared" si="10"/>
        <v>M0113-A-9-2</v>
      </c>
      <c r="H747">
        <v>18.73</v>
      </c>
      <c r="I747">
        <v>19.190000000000001</v>
      </c>
    </row>
    <row r="748" spans="1:9" x14ac:dyDescent="0.3">
      <c r="A748">
        <v>501</v>
      </c>
      <c r="B748" t="s">
        <v>50</v>
      </c>
      <c r="C748" t="s">
        <v>31</v>
      </c>
      <c r="D748">
        <v>10</v>
      </c>
      <c r="E748" t="s">
        <v>46</v>
      </c>
      <c r="F748">
        <v>1</v>
      </c>
      <c r="G748" t="str">
        <f t="shared" si="10"/>
        <v>M0113-A-10-1</v>
      </c>
      <c r="H748">
        <v>19.190000000000001</v>
      </c>
      <c r="I748">
        <v>20.69</v>
      </c>
    </row>
    <row r="749" spans="1:9" x14ac:dyDescent="0.3">
      <c r="A749">
        <v>501</v>
      </c>
      <c r="B749" t="s">
        <v>50</v>
      </c>
      <c r="C749" t="s">
        <v>31</v>
      </c>
      <c r="D749">
        <v>10</v>
      </c>
      <c r="E749" t="s">
        <v>46</v>
      </c>
      <c r="F749">
        <v>2</v>
      </c>
      <c r="G749" t="str">
        <f t="shared" si="10"/>
        <v>M0113-A-10-2</v>
      </c>
      <c r="H749">
        <v>20.69</v>
      </c>
      <c r="I749">
        <v>21.38</v>
      </c>
    </row>
    <row r="750" spans="1:9" x14ac:dyDescent="0.3">
      <c r="A750">
        <v>501</v>
      </c>
      <c r="B750" t="s">
        <v>50</v>
      </c>
      <c r="C750" t="s">
        <v>31</v>
      </c>
      <c r="D750">
        <v>11</v>
      </c>
      <c r="E750" t="s">
        <v>46</v>
      </c>
      <c r="F750">
        <v>1</v>
      </c>
      <c r="G750" t="str">
        <f t="shared" si="10"/>
        <v>M0113-A-11-1</v>
      </c>
      <c r="H750">
        <v>21.38</v>
      </c>
      <c r="I750">
        <v>21.98</v>
      </c>
    </row>
    <row r="751" spans="1:9" x14ac:dyDescent="0.3">
      <c r="A751">
        <v>501</v>
      </c>
      <c r="B751" t="s">
        <v>50</v>
      </c>
      <c r="C751" t="s">
        <v>31</v>
      </c>
      <c r="D751">
        <v>11</v>
      </c>
      <c r="E751" t="s">
        <v>46</v>
      </c>
      <c r="F751">
        <v>2</v>
      </c>
      <c r="G751" t="str">
        <f t="shared" si="10"/>
        <v>M0113-A-11-2</v>
      </c>
      <c r="H751">
        <v>21.98</v>
      </c>
      <c r="I751">
        <v>22.51</v>
      </c>
    </row>
    <row r="752" spans="1:9" x14ac:dyDescent="0.3">
      <c r="A752">
        <v>501</v>
      </c>
      <c r="B752" t="s">
        <v>50</v>
      </c>
      <c r="C752" t="s">
        <v>31</v>
      </c>
      <c r="D752">
        <v>12</v>
      </c>
      <c r="E752" t="s">
        <v>46</v>
      </c>
      <c r="F752">
        <v>1</v>
      </c>
      <c r="G752" t="str">
        <f t="shared" si="10"/>
        <v>M0113-A-12-1</v>
      </c>
      <c r="H752">
        <v>22.51</v>
      </c>
      <c r="I752">
        <v>24.02</v>
      </c>
    </row>
    <row r="753" spans="1:9" x14ac:dyDescent="0.3">
      <c r="A753">
        <v>501</v>
      </c>
      <c r="B753" t="s">
        <v>50</v>
      </c>
      <c r="C753" t="s">
        <v>31</v>
      </c>
      <c r="D753">
        <v>13</v>
      </c>
      <c r="E753" t="s">
        <v>46</v>
      </c>
      <c r="F753">
        <v>1</v>
      </c>
      <c r="G753" t="str">
        <f t="shared" si="10"/>
        <v>M0113-A-13-1</v>
      </c>
      <c r="H753">
        <v>24.02</v>
      </c>
      <c r="I753">
        <v>25.39</v>
      </c>
    </row>
    <row r="754" spans="1:9" x14ac:dyDescent="0.3">
      <c r="A754">
        <v>501</v>
      </c>
      <c r="B754" t="s">
        <v>50</v>
      </c>
      <c r="C754" t="s">
        <v>31</v>
      </c>
      <c r="D754">
        <v>14</v>
      </c>
      <c r="E754" t="s">
        <v>46</v>
      </c>
      <c r="F754">
        <v>1</v>
      </c>
      <c r="G754" t="str">
        <f t="shared" si="10"/>
        <v>M0113-A-14-1</v>
      </c>
      <c r="H754">
        <v>25.39</v>
      </c>
      <c r="I754">
        <v>26.73</v>
      </c>
    </row>
    <row r="755" spans="1:9" x14ac:dyDescent="0.3">
      <c r="A755">
        <v>501</v>
      </c>
      <c r="B755" t="s">
        <v>50</v>
      </c>
      <c r="C755" t="s">
        <v>31</v>
      </c>
      <c r="D755">
        <v>15</v>
      </c>
      <c r="E755" t="s">
        <v>46</v>
      </c>
      <c r="F755">
        <v>1</v>
      </c>
      <c r="G755" t="str">
        <f t="shared" si="10"/>
        <v>M0113-A-15-1</v>
      </c>
      <c r="H755">
        <v>26.73</v>
      </c>
      <c r="I755">
        <v>28.22</v>
      </c>
    </row>
    <row r="756" spans="1:9" x14ac:dyDescent="0.3">
      <c r="A756">
        <v>501</v>
      </c>
      <c r="B756" t="s">
        <v>50</v>
      </c>
      <c r="C756" t="s">
        <v>31</v>
      </c>
      <c r="D756">
        <v>15</v>
      </c>
      <c r="E756" t="s">
        <v>46</v>
      </c>
      <c r="F756">
        <v>2</v>
      </c>
      <c r="G756" t="str">
        <f t="shared" si="10"/>
        <v>M0113-A-15-2</v>
      </c>
      <c r="H756">
        <v>28.22</v>
      </c>
      <c r="I756">
        <v>28.74</v>
      </c>
    </row>
    <row r="757" spans="1:9" x14ac:dyDescent="0.3">
      <c r="A757">
        <v>501</v>
      </c>
      <c r="B757" t="s">
        <v>50</v>
      </c>
      <c r="C757" t="s">
        <v>31</v>
      </c>
      <c r="D757">
        <v>16</v>
      </c>
      <c r="E757" t="s">
        <v>46</v>
      </c>
      <c r="F757">
        <v>1</v>
      </c>
      <c r="G757" t="str">
        <f t="shared" si="10"/>
        <v>M0113-A-16-1</v>
      </c>
      <c r="H757">
        <v>28.74</v>
      </c>
      <c r="I757">
        <v>29.34</v>
      </c>
    </row>
    <row r="758" spans="1:9" x14ac:dyDescent="0.3">
      <c r="A758">
        <v>501</v>
      </c>
      <c r="B758" t="s">
        <v>50</v>
      </c>
      <c r="C758" t="s">
        <v>31</v>
      </c>
      <c r="D758">
        <v>16</v>
      </c>
      <c r="E758" t="s">
        <v>46</v>
      </c>
      <c r="F758">
        <v>2</v>
      </c>
      <c r="G758" t="str">
        <f t="shared" si="10"/>
        <v>M0113-A-16-2</v>
      </c>
      <c r="H758">
        <v>29.34</v>
      </c>
      <c r="I758">
        <v>30.36</v>
      </c>
    </row>
    <row r="759" spans="1:9" x14ac:dyDescent="0.3">
      <c r="A759">
        <v>501</v>
      </c>
      <c r="B759" t="s">
        <v>50</v>
      </c>
      <c r="C759" t="s">
        <v>31</v>
      </c>
      <c r="D759">
        <v>16</v>
      </c>
      <c r="E759" t="s">
        <v>46</v>
      </c>
      <c r="F759">
        <v>3</v>
      </c>
      <c r="G759" t="str">
        <f t="shared" si="10"/>
        <v>M0113-A-16-3</v>
      </c>
      <c r="H759">
        <v>30.36</v>
      </c>
      <c r="I759">
        <v>31.15</v>
      </c>
    </row>
    <row r="760" spans="1:9" x14ac:dyDescent="0.3">
      <c r="A760">
        <v>501</v>
      </c>
      <c r="B760" t="s">
        <v>50</v>
      </c>
      <c r="C760" t="s">
        <v>31</v>
      </c>
      <c r="D760">
        <v>17</v>
      </c>
      <c r="E760" t="s">
        <v>46</v>
      </c>
      <c r="F760">
        <v>1</v>
      </c>
      <c r="G760" t="str">
        <f t="shared" ref="G760:G823" si="11">CONCATENATE(B760, "-",C760, "-", D760, "-", F760)</f>
        <v>M0113-A-17-1</v>
      </c>
      <c r="H760">
        <v>31.15</v>
      </c>
      <c r="I760">
        <v>32.15</v>
      </c>
    </row>
    <row r="761" spans="1:9" x14ac:dyDescent="0.3">
      <c r="A761">
        <v>501</v>
      </c>
      <c r="B761" t="s">
        <v>50</v>
      </c>
      <c r="C761" t="s">
        <v>31</v>
      </c>
      <c r="D761">
        <v>17</v>
      </c>
      <c r="E761" t="s">
        <v>46</v>
      </c>
      <c r="F761">
        <v>2</v>
      </c>
      <c r="G761" t="str">
        <f t="shared" si="11"/>
        <v>M0113-A-17-2</v>
      </c>
      <c r="H761">
        <v>32.15</v>
      </c>
      <c r="I761">
        <v>33.03</v>
      </c>
    </row>
    <row r="762" spans="1:9" x14ac:dyDescent="0.3">
      <c r="A762">
        <v>501</v>
      </c>
      <c r="B762" t="s">
        <v>50</v>
      </c>
      <c r="C762" t="s">
        <v>31</v>
      </c>
      <c r="D762">
        <v>18</v>
      </c>
      <c r="E762" t="s">
        <v>46</v>
      </c>
      <c r="F762">
        <v>1</v>
      </c>
      <c r="G762" t="str">
        <f t="shared" si="11"/>
        <v>M0113-A-18-1</v>
      </c>
      <c r="H762">
        <v>33.03</v>
      </c>
      <c r="I762">
        <v>34.53</v>
      </c>
    </row>
    <row r="763" spans="1:9" x14ac:dyDescent="0.3">
      <c r="A763">
        <v>501</v>
      </c>
      <c r="B763" t="s">
        <v>50</v>
      </c>
      <c r="C763" t="s">
        <v>31</v>
      </c>
      <c r="D763">
        <v>18</v>
      </c>
      <c r="E763" t="s">
        <v>46</v>
      </c>
      <c r="F763">
        <v>2</v>
      </c>
      <c r="G763" t="str">
        <f t="shared" si="11"/>
        <v>M0113-A-18-2</v>
      </c>
      <c r="H763">
        <v>34.53</v>
      </c>
      <c r="I763">
        <v>35.36</v>
      </c>
    </row>
    <row r="764" spans="1:9" x14ac:dyDescent="0.3">
      <c r="A764">
        <v>501</v>
      </c>
      <c r="B764" t="s">
        <v>50</v>
      </c>
      <c r="C764" t="s">
        <v>31</v>
      </c>
      <c r="D764">
        <v>19</v>
      </c>
      <c r="E764" t="s">
        <v>46</v>
      </c>
      <c r="F764">
        <v>1</v>
      </c>
      <c r="G764" t="str">
        <f t="shared" si="11"/>
        <v>M0113-A-19-1</v>
      </c>
      <c r="H764">
        <v>35.36</v>
      </c>
      <c r="I764">
        <v>36.630000000000003</v>
      </c>
    </row>
    <row r="765" spans="1:9" x14ac:dyDescent="0.3">
      <c r="A765">
        <v>501</v>
      </c>
      <c r="B765" t="s">
        <v>50</v>
      </c>
      <c r="C765" t="s">
        <v>31</v>
      </c>
      <c r="D765">
        <v>20</v>
      </c>
      <c r="E765" t="s">
        <v>46</v>
      </c>
      <c r="F765">
        <v>1</v>
      </c>
      <c r="G765" t="str">
        <f t="shared" si="11"/>
        <v>M0113-A-20-1</v>
      </c>
      <c r="H765">
        <v>36.630000000000003</v>
      </c>
      <c r="I765">
        <v>37.630000000000003</v>
      </c>
    </row>
    <row r="766" spans="1:9" x14ac:dyDescent="0.3">
      <c r="A766">
        <v>501</v>
      </c>
      <c r="B766" t="s">
        <v>50</v>
      </c>
      <c r="C766" t="s">
        <v>31</v>
      </c>
      <c r="D766">
        <v>20</v>
      </c>
      <c r="E766" t="s">
        <v>46</v>
      </c>
      <c r="F766">
        <v>2</v>
      </c>
      <c r="G766" t="str">
        <f t="shared" si="11"/>
        <v>M0113-A-20-2</v>
      </c>
      <c r="H766">
        <v>37.630000000000003</v>
      </c>
      <c r="I766">
        <v>38.369999999999997</v>
      </c>
    </row>
    <row r="767" spans="1:9" x14ac:dyDescent="0.3">
      <c r="A767">
        <v>501</v>
      </c>
      <c r="B767" t="s">
        <v>50</v>
      </c>
      <c r="C767" t="s">
        <v>31</v>
      </c>
      <c r="D767">
        <v>21</v>
      </c>
      <c r="E767" t="s">
        <v>46</v>
      </c>
      <c r="F767">
        <v>1</v>
      </c>
      <c r="G767" t="str">
        <f t="shared" si="11"/>
        <v>M0113-A-21-1</v>
      </c>
      <c r="H767">
        <v>38.369999999999997</v>
      </c>
      <c r="I767">
        <v>39.47</v>
      </c>
    </row>
    <row r="768" spans="1:9" x14ac:dyDescent="0.3">
      <c r="A768">
        <v>501</v>
      </c>
      <c r="B768" t="s">
        <v>50</v>
      </c>
      <c r="C768" t="s">
        <v>31</v>
      </c>
      <c r="D768">
        <v>21</v>
      </c>
      <c r="E768" t="s">
        <v>46</v>
      </c>
      <c r="F768">
        <v>2</v>
      </c>
      <c r="G768" t="str">
        <f t="shared" si="11"/>
        <v>M0113-A-21-2</v>
      </c>
      <c r="H768">
        <v>39.47</v>
      </c>
      <c r="I768">
        <v>40.299999999999997</v>
      </c>
    </row>
    <row r="769" spans="1:9" x14ac:dyDescent="0.3">
      <c r="A769">
        <v>501</v>
      </c>
      <c r="B769" t="s">
        <v>50</v>
      </c>
      <c r="C769" t="s">
        <v>31</v>
      </c>
      <c r="D769">
        <v>22</v>
      </c>
      <c r="E769" t="s">
        <v>46</v>
      </c>
      <c r="F769">
        <v>1</v>
      </c>
      <c r="G769" t="str">
        <f t="shared" si="11"/>
        <v>M0113-A-22-1</v>
      </c>
      <c r="H769">
        <v>40.299999999999997</v>
      </c>
      <c r="I769">
        <v>40.43</v>
      </c>
    </row>
    <row r="770" spans="1:9" x14ac:dyDescent="0.3">
      <c r="A770">
        <v>501</v>
      </c>
      <c r="B770" t="s">
        <v>50</v>
      </c>
      <c r="C770" t="s">
        <v>31</v>
      </c>
      <c r="D770">
        <v>23</v>
      </c>
      <c r="E770" t="s">
        <v>46</v>
      </c>
      <c r="F770">
        <v>1</v>
      </c>
      <c r="G770" t="str">
        <f t="shared" si="11"/>
        <v>M0113-A-23-1</v>
      </c>
      <c r="H770">
        <v>40.43</v>
      </c>
      <c r="I770">
        <v>40.619999999999997</v>
      </c>
    </row>
    <row r="771" spans="1:9" x14ac:dyDescent="0.3">
      <c r="A771">
        <v>501</v>
      </c>
      <c r="B771" t="s">
        <v>50</v>
      </c>
      <c r="C771" t="s">
        <v>31</v>
      </c>
      <c r="D771">
        <v>23</v>
      </c>
      <c r="E771" t="s">
        <v>46</v>
      </c>
      <c r="F771">
        <v>2</v>
      </c>
      <c r="G771" t="str">
        <f t="shared" si="11"/>
        <v>M0113-A-23-2</v>
      </c>
      <c r="H771">
        <v>40.619999999999997</v>
      </c>
      <c r="I771">
        <v>41.48</v>
      </c>
    </row>
    <row r="772" spans="1:9" x14ac:dyDescent="0.3">
      <c r="A772">
        <v>501</v>
      </c>
      <c r="B772" t="s">
        <v>50</v>
      </c>
      <c r="C772" t="s">
        <v>31</v>
      </c>
      <c r="D772">
        <v>23</v>
      </c>
      <c r="E772" t="s">
        <v>46</v>
      </c>
      <c r="F772">
        <v>3</v>
      </c>
      <c r="G772" t="str">
        <f t="shared" si="11"/>
        <v>M0113-A-23-3</v>
      </c>
      <c r="H772">
        <v>41.48</v>
      </c>
      <c r="I772">
        <v>42.44</v>
      </c>
    </row>
    <row r="773" spans="1:9" x14ac:dyDescent="0.3">
      <c r="A773">
        <v>501</v>
      </c>
      <c r="B773" t="s">
        <v>50</v>
      </c>
      <c r="C773" t="s">
        <v>31</v>
      </c>
      <c r="D773">
        <v>24</v>
      </c>
      <c r="E773" t="s">
        <v>46</v>
      </c>
      <c r="F773">
        <v>1</v>
      </c>
      <c r="G773" t="str">
        <f t="shared" si="11"/>
        <v>M0113-A-24-1</v>
      </c>
      <c r="H773">
        <v>42.44</v>
      </c>
      <c r="I773">
        <v>42.57</v>
      </c>
    </row>
    <row r="774" spans="1:9" x14ac:dyDescent="0.3">
      <c r="A774">
        <v>501</v>
      </c>
      <c r="B774" t="s">
        <v>50</v>
      </c>
      <c r="C774" t="s">
        <v>31</v>
      </c>
      <c r="D774">
        <v>25</v>
      </c>
      <c r="E774" t="s">
        <v>46</v>
      </c>
      <c r="F774">
        <v>1</v>
      </c>
      <c r="G774" t="str">
        <f t="shared" si="11"/>
        <v>M0113-A-25-1</v>
      </c>
      <c r="H774">
        <v>42.57</v>
      </c>
      <c r="I774">
        <v>43.57</v>
      </c>
    </row>
    <row r="775" spans="1:9" x14ac:dyDescent="0.3">
      <c r="A775">
        <v>501</v>
      </c>
      <c r="B775" t="s">
        <v>50</v>
      </c>
      <c r="C775" t="s">
        <v>31</v>
      </c>
      <c r="D775">
        <v>25</v>
      </c>
      <c r="E775" t="s">
        <v>46</v>
      </c>
      <c r="F775">
        <v>2</v>
      </c>
      <c r="G775" t="str">
        <f t="shared" si="11"/>
        <v>M0113-A-25-2</v>
      </c>
      <c r="H775">
        <v>43.57</v>
      </c>
      <c r="I775">
        <v>44.54</v>
      </c>
    </row>
    <row r="776" spans="1:9" x14ac:dyDescent="0.3">
      <c r="A776">
        <v>501</v>
      </c>
      <c r="B776" t="s">
        <v>50</v>
      </c>
      <c r="C776" t="s">
        <v>31</v>
      </c>
      <c r="D776">
        <v>26</v>
      </c>
      <c r="E776" t="s">
        <v>46</v>
      </c>
      <c r="F776">
        <v>1</v>
      </c>
      <c r="G776" t="str">
        <f t="shared" si="11"/>
        <v>M0113-A-26-1</v>
      </c>
      <c r="H776">
        <v>44.54</v>
      </c>
      <c r="I776">
        <v>45.54</v>
      </c>
    </row>
    <row r="777" spans="1:9" x14ac:dyDescent="0.3">
      <c r="A777">
        <v>501</v>
      </c>
      <c r="B777" t="s">
        <v>50</v>
      </c>
      <c r="C777" t="s">
        <v>31</v>
      </c>
      <c r="D777">
        <v>26</v>
      </c>
      <c r="E777" t="s">
        <v>46</v>
      </c>
      <c r="F777">
        <v>2</v>
      </c>
      <c r="G777" t="str">
        <f t="shared" si="11"/>
        <v>M0113-A-26-2</v>
      </c>
      <c r="H777">
        <v>45.54</v>
      </c>
      <c r="I777">
        <v>46.48</v>
      </c>
    </row>
    <row r="778" spans="1:9" x14ac:dyDescent="0.3">
      <c r="A778">
        <v>501</v>
      </c>
      <c r="B778" t="s">
        <v>50</v>
      </c>
      <c r="C778" t="s">
        <v>31</v>
      </c>
      <c r="D778">
        <v>27</v>
      </c>
      <c r="E778" t="s">
        <v>46</v>
      </c>
      <c r="F778">
        <v>1</v>
      </c>
      <c r="G778" t="str">
        <f t="shared" si="11"/>
        <v>M0113-A-27-1</v>
      </c>
      <c r="H778">
        <v>46.48</v>
      </c>
      <c r="I778">
        <v>47.48</v>
      </c>
    </row>
    <row r="779" spans="1:9" x14ac:dyDescent="0.3">
      <c r="A779">
        <v>501</v>
      </c>
      <c r="B779" t="s">
        <v>50</v>
      </c>
      <c r="C779" t="s">
        <v>31</v>
      </c>
      <c r="D779">
        <v>27</v>
      </c>
      <c r="E779" t="s">
        <v>46</v>
      </c>
      <c r="F779">
        <v>2</v>
      </c>
      <c r="G779" t="str">
        <f t="shared" si="11"/>
        <v>M0113-A-27-2</v>
      </c>
      <c r="H779">
        <v>47.48</v>
      </c>
      <c r="I779">
        <v>48.47</v>
      </c>
    </row>
    <row r="780" spans="1:9" x14ac:dyDescent="0.3">
      <c r="A780">
        <v>501</v>
      </c>
      <c r="B780" t="s">
        <v>50</v>
      </c>
      <c r="C780" t="s">
        <v>31</v>
      </c>
      <c r="D780">
        <v>28</v>
      </c>
      <c r="E780" t="s">
        <v>46</v>
      </c>
      <c r="F780">
        <v>1</v>
      </c>
      <c r="G780" t="str">
        <f t="shared" si="11"/>
        <v>M0113-A-28-1</v>
      </c>
      <c r="H780">
        <v>48.47</v>
      </c>
      <c r="I780">
        <v>49.47</v>
      </c>
    </row>
    <row r="781" spans="1:9" x14ac:dyDescent="0.3">
      <c r="A781">
        <v>501</v>
      </c>
      <c r="B781" t="s">
        <v>50</v>
      </c>
      <c r="C781" t="s">
        <v>31</v>
      </c>
      <c r="D781">
        <v>28</v>
      </c>
      <c r="E781" t="s">
        <v>46</v>
      </c>
      <c r="F781">
        <v>2</v>
      </c>
      <c r="G781" t="str">
        <f t="shared" si="11"/>
        <v>M0113-A-28-2</v>
      </c>
      <c r="H781">
        <v>49.47</v>
      </c>
      <c r="I781">
        <v>50.41</v>
      </c>
    </row>
    <row r="782" spans="1:9" x14ac:dyDescent="0.3">
      <c r="A782">
        <v>501</v>
      </c>
      <c r="B782" t="s">
        <v>50</v>
      </c>
      <c r="C782" t="s">
        <v>31</v>
      </c>
      <c r="D782">
        <v>29</v>
      </c>
      <c r="E782" t="s">
        <v>46</v>
      </c>
      <c r="F782">
        <v>1</v>
      </c>
      <c r="G782" t="str">
        <f t="shared" si="11"/>
        <v>M0113-A-29-1</v>
      </c>
      <c r="H782">
        <v>50.41</v>
      </c>
      <c r="I782">
        <v>51.91</v>
      </c>
    </row>
    <row r="783" spans="1:9" x14ac:dyDescent="0.3">
      <c r="A783">
        <v>501</v>
      </c>
      <c r="B783" t="s">
        <v>50</v>
      </c>
      <c r="C783" t="s">
        <v>31</v>
      </c>
      <c r="D783">
        <v>30</v>
      </c>
      <c r="E783" t="s">
        <v>46</v>
      </c>
      <c r="F783">
        <v>1</v>
      </c>
      <c r="G783" t="str">
        <f t="shared" si="11"/>
        <v>M0113-A-30-1</v>
      </c>
      <c r="H783">
        <v>51.91</v>
      </c>
      <c r="I783">
        <v>52.89</v>
      </c>
    </row>
    <row r="784" spans="1:9" x14ac:dyDescent="0.3">
      <c r="A784">
        <v>501</v>
      </c>
      <c r="B784" t="s">
        <v>50</v>
      </c>
      <c r="C784" t="s">
        <v>31</v>
      </c>
      <c r="D784">
        <v>30</v>
      </c>
      <c r="E784" t="s">
        <v>46</v>
      </c>
      <c r="F784">
        <v>2</v>
      </c>
      <c r="G784" t="str">
        <f t="shared" si="11"/>
        <v>M0113-A-30-2</v>
      </c>
      <c r="H784">
        <v>52.89</v>
      </c>
      <c r="I784">
        <v>53.73</v>
      </c>
    </row>
    <row r="785" spans="1:9" x14ac:dyDescent="0.3">
      <c r="A785">
        <v>501</v>
      </c>
      <c r="B785" t="s">
        <v>50</v>
      </c>
      <c r="C785" t="s">
        <v>31</v>
      </c>
      <c r="D785">
        <v>30</v>
      </c>
      <c r="E785" t="s">
        <v>46</v>
      </c>
      <c r="F785">
        <v>3</v>
      </c>
      <c r="G785" t="str">
        <f t="shared" si="11"/>
        <v>M0113-A-30-3</v>
      </c>
      <c r="H785">
        <v>53.73</v>
      </c>
      <c r="I785">
        <v>53.89</v>
      </c>
    </row>
    <row r="786" spans="1:9" x14ac:dyDescent="0.3">
      <c r="A786">
        <v>501</v>
      </c>
      <c r="B786" t="s">
        <v>50</v>
      </c>
      <c r="C786" t="s">
        <v>31</v>
      </c>
      <c r="D786">
        <v>31</v>
      </c>
      <c r="E786" t="s">
        <v>46</v>
      </c>
      <c r="F786">
        <v>1</v>
      </c>
      <c r="G786" t="str">
        <f t="shared" si="11"/>
        <v>M0113-A-31-1</v>
      </c>
      <c r="H786">
        <v>53.89</v>
      </c>
      <c r="I786">
        <v>55.02</v>
      </c>
    </row>
    <row r="787" spans="1:9" x14ac:dyDescent="0.3">
      <c r="A787">
        <v>501</v>
      </c>
      <c r="B787" t="s">
        <v>50</v>
      </c>
      <c r="C787" t="s">
        <v>31</v>
      </c>
      <c r="D787">
        <v>32</v>
      </c>
      <c r="E787" t="s">
        <v>46</v>
      </c>
      <c r="F787">
        <v>1</v>
      </c>
      <c r="G787" t="str">
        <f t="shared" si="11"/>
        <v>M0113-A-32-1</v>
      </c>
      <c r="H787">
        <v>55.02</v>
      </c>
      <c r="I787">
        <v>56.52</v>
      </c>
    </row>
    <row r="788" spans="1:9" x14ac:dyDescent="0.3">
      <c r="A788">
        <v>501</v>
      </c>
      <c r="B788" t="s">
        <v>50</v>
      </c>
      <c r="C788" t="s">
        <v>31</v>
      </c>
      <c r="D788">
        <v>32</v>
      </c>
      <c r="E788" t="s">
        <v>46</v>
      </c>
      <c r="F788">
        <v>2</v>
      </c>
      <c r="G788" t="str">
        <f t="shared" si="11"/>
        <v>M0113-A-32-2</v>
      </c>
      <c r="H788">
        <v>56.52</v>
      </c>
      <c r="I788">
        <v>57.52</v>
      </c>
    </row>
    <row r="789" spans="1:9" x14ac:dyDescent="0.3">
      <c r="A789">
        <v>501</v>
      </c>
      <c r="B789" t="s">
        <v>50</v>
      </c>
      <c r="C789" t="s">
        <v>31</v>
      </c>
      <c r="D789">
        <v>33</v>
      </c>
      <c r="E789" t="s">
        <v>46</v>
      </c>
      <c r="F789">
        <v>1</v>
      </c>
      <c r="G789" t="str">
        <f t="shared" si="11"/>
        <v>M0113-A-33-1</v>
      </c>
      <c r="H789">
        <v>57.52</v>
      </c>
      <c r="I789">
        <v>58.52</v>
      </c>
    </row>
    <row r="790" spans="1:9" x14ac:dyDescent="0.3">
      <c r="A790">
        <v>501</v>
      </c>
      <c r="B790" t="s">
        <v>50</v>
      </c>
      <c r="C790" t="s">
        <v>31</v>
      </c>
      <c r="D790">
        <v>33</v>
      </c>
      <c r="E790" t="s">
        <v>46</v>
      </c>
      <c r="F790">
        <v>2</v>
      </c>
      <c r="G790" t="str">
        <f t="shared" si="11"/>
        <v>M0113-A-33-2</v>
      </c>
      <c r="H790">
        <v>58.52</v>
      </c>
      <c r="I790">
        <v>59.94</v>
      </c>
    </row>
    <row r="791" spans="1:9" x14ac:dyDescent="0.3">
      <c r="A791">
        <v>501</v>
      </c>
      <c r="B791" t="s">
        <v>50</v>
      </c>
      <c r="C791" t="s">
        <v>31</v>
      </c>
      <c r="D791">
        <v>34</v>
      </c>
      <c r="E791" t="s">
        <v>46</v>
      </c>
      <c r="F791">
        <v>1</v>
      </c>
      <c r="G791" t="str">
        <f t="shared" si="11"/>
        <v>M0113-A-34-1</v>
      </c>
      <c r="H791">
        <v>59.94</v>
      </c>
      <c r="I791">
        <v>60.94</v>
      </c>
    </row>
    <row r="792" spans="1:9" x14ac:dyDescent="0.3">
      <c r="A792">
        <v>501</v>
      </c>
      <c r="B792" t="s">
        <v>50</v>
      </c>
      <c r="C792" t="s">
        <v>31</v>
      </c>
      <c r="D792">
        <v>34</v>
      </c>
      <c r="E792" t="s">
        <v>46</v>
      </c>
      <c r="F792">
        <v>2</v>
      </c>
      <c r="G792" t="str">
        <f t="shared" si="11"/>
        <v>M0113-A-34-2</v>
      </c>
      <c r="H792">
        <v>60.94</v>
      </c>
      <c r="I792">
        <v>61.74</v>
      </c>
    </row>
    <row r="793" spans="1:9" x14ac:dyDescent="0.3">
      <c r="A793">
        <v>501</v>
      </c>
      <c r="B793" t="s">
        <v>50</v>
      </c>
      <c r="C793" t="s">
        <v>31</v>
      </c>
      <c r="D793">
        <v>35</v>
      </c>
      <c r="E793" t="s">
        <v>46</v>
      </c>
      <c r="F793">
        <v>1</v>
      </c>
      <c r="G793" t="str">
        <f t="shared" si="11"/>
        <v>M0113-A-35-1</v>
      </c>
      <c r="H793">
        <v>61.74</v>
      </c>
      <c r="I793">
        <v>62.75</v>
      </c>
    </row>
    <row r="794" spans="1:9" x14ac:dyDescent="0.3">
      <c r="A794">
        <v>501</v>
      </c>
      <c r="B794" t="s">
        <v>50</v>
      </c>
      <c r="C794" t="s">
        <v>31</v>
      </c>
      <c r="D794">
        <v>35</v>
      </c>
      <c r="E794" t="s">
        <v>46</v>
      </c>
      <c r="F794">
        <v>2</v>
      </c>
      <c r="G794" t="str">
        <f t="shared" si="11"/>
        <v>M0113-A-35-2</v>
      </c>
      <c r="H794">
        <v>62.75</v>
      </c>
      <c r="I794">
        <v>63.68</v>
      </c>
    </row>
    <row r="795" spans="1:9" x14ac:dyDescent="0.3">
      <c r="A795">
        <v>501</v>
      </c>
      <c r="B795" t="s">
        <v>50</v>
      </c>
      <c r="C795" t="s">
        <v>31</v>
      </c>
      <c r="D795">
        <v>36</v>
      </c>
      <c r="E795" t="s">
        <v>46</v>
      </c>
      <c r="F795">
        <v>1</v>
      </c>
      <c r="G795" t="str">
        <f t="shared" si="11"/>
        <v>M0113-A-36-1</v>
      </c>
      <c r="H795">
        <v>63.68</v>
      </c>
      <c r="I795">
        <v>64.680000000000007</v>
      </c>
    </row>
    <row r="796" spans="1:9" x14ac:dyDescent="0.3">
      <c r="A796">
        <v>501</v>
      </c>
      <c r="B796" t="s">
        <v>50</v>
      </c>
      <c r="C796" t="s">
        <v>31</v>
      </c>
      <c r="D796">
        <v>36</v>
      </c>
      <c r="E796" t="s">
        <v>46</v>
      </c>
      <c r="F796">
        <v>2</v>
      </c>
      <c r="G796" t="str">
        <f t="shared" si="11"/>
        <v>M0113-A-36-2</v>
      </c>
      <c r="H796">
        <v>64.680000000000007</v>
      </c>
      <c r="I796">
        <v>65.540000000000006</v>
      </c>
    </row>
    <row r="797" spans="1:9" x14ac:dyDescent="0.3">
      <c r="A797">
        <v>501</v>
      </c>
      <c r="B797" t="s">
        <v>50</v>
      </c>
      <c r="C797" t="s">
        <v>31</v>
      </c>
      <c r="D797">
        <v>37</v>
      </c>
      <c r="E797" t="s">
        <v>46</v>
      </c>
      <c r="F797">
        <v>1</v>
      </c>
      <c r="G797" t="str">
        <f t="shared" si="11"/>
        <v>M0113-A-37-1</v>
      </c>
      <c r="H797">
        <v>65.44</v>
      </c>
      <c r="I797">
        <v>66.44</v>
      </c>
    </row>
    <row r="798" spans="1:9" x14ac:dyDescent="0.3">
      <c r="A798">
        <v>501</v>
      </c>
      <c r="B798" t="s">
        <v>50</v>
      </c>
      <c r="C798" t="s">
        <v>31</v>
      </c>
      <c r="D798">
        <v>37</v>
      </c>
      <c r="E798" t="s">
        <v>46</v>
      </c>
      <c r="F798">
        <v>2</v>
      </c>
      <c r="G798" t="str">
        <f t="shared" si="11"/>
        <v>M0113-A-37-2</v>
      </c>
      <c r="H798">
        <v>66.44</v>
      </c>
      <c r="I798">
        <v>67.209999999999994</v>
      </c>
    </row>
    <row r="799" spans="1:9" x14ac:dyDescent="0.3">
      <c r="A799">
        <v>501</v>
      </c>
      <c r="B799" t="s">
        <v>50</v>
      </c>
      <c r="C799" t="s">
        <v>31</v>
      </c>
      <c r="D799">
        <v>38</v>
      </c>
      <c r="E799" t="s">
        <v>46</v>
      </c>
      <c r="F799">
        <v>1</v>
      </c>
      <c r="G799" t="str">
        <f t="shared" si="11"/>
        <v>M0113-A-38-1</v>
      </c>
      <c r="H799">
        <v>67.010000000000005</v>
      </c>
      <c r="I799">
        <v>67.2</v>
      </c>
    </row>
    <row r="800" spans="1:9" x14ac:dyDescent="0.3">
      <c r="A800">
        <v>501</v>
      </c>
      <c r="B800" t="s">
        <v>50</v>
      </c>
      <c r="C800" t="s">
        <v>31</v>
      </c>
      <c r="D800">
        <v>38</v>
      </c>
      <c r="E800" t="s">
        <v>46</v>
      </c>
      <c r="F800">
        <v>2</v>
      </c>
      <c r="G800" t="str">
        <f t="shared" si="11"/>
        <v>M0113-A-38-2</v>
      </c>
      <c r="H800">
        <v>67.2</v>
      </c>
      <c r="I800">
        <v>67.66</v>
      </c>
    </row>
    <row r="801" spans="1:9" x14ac:dyDescent="0.3">
      <c r="A801">
        <v>501</v>
      </c>
      <c r="B801" t="s">
        <v>50</v>
      </c>
      <c r="C801" t="s">
        <v>31</v>
      </c>
      <c r="D801">
        <v>38</v>
      </c>
      <c r="E801" t="s">
        <v>46</v>
      </c>
      <c r="F801">
        <v>3</v>
      </c>
      <c r="G801" t="str">
        <f t="shared" si="11"/>
        <v>M0113-A-38-3</v>
      </c>
      <c r="H801">
        <v>67.66</v>
      </c>
      <c r="I801">
        <v>68.180000000000007</v>
      </c>
    </row>
    <row r="802" spans="1:9" x14ac:dyDescent="0.3">
      <c r="A802">
        <v>501</v>
      </c>
      <c r="B802" t="s">
        <v>50</v>
      </c>
      <c r="C802" t="s">
        <v>31</v>
      </c>
      <c r="D802">
        <v>38</v>
      </c>
      <c r="E802" t="s">
        <v>46</v>
      </c>
      <c r="F802">
        <v>4</v>
      </c>
      <c r="G802" t="str">
        <f t="shared" si="11"/>
        <v>M0113-A-38-4</v>
      </c>
      <c r="H802">
        <v>68.180000000000007</v>
      </c>
      <c r="I802">
        <v>68.27</v>
      </c>
    </row>
    <row r="803" spans="1:9" x14ac:dyDescent="0.3">
      <c r="A803">
        <v>501</v>
      </c>
      <c r="B803" t="s">
        <v>50</v>
      </c>
      <c r="C803" t="s">
        <v>31</v>
      </c>
      <c r="D803">
        <v>39</v>
      </c>
      <c r="E803" t="s">
        <v>34</v>
      </c>
      <c r="F803">
        <v>1</v>
      </c>
      <c r="G803" t="str">
        <f t="shared" si="11"/>
        <v>M0113-A-39-1</v>
      </c>
      <c r="H803">
        <v>68.27</v>
      </c>
      <c r="I803">
        <v>68.8</v>
      </c>
    </row>
    <row r="804" spans="1:9" x14ac:dyDescent="0.3">
      <c r="A804">
        <v>501</v>
      </c>
      <c r="B804" t="s">
        <v>50</v>
      </c>
      <c r="C804" t="s">
        <v>31</v>
      </c>
      <c r="D804">
        <v>41</v>
      </c>
      <c r="E804" t="s">
        <v>46</v>
      </c>
      <c r="F804">
        <v>1</v>
      </c>
      <c r="G804" t="str">
        <f t="shared" si="11"/>
        <v>M0113-A-41-1</v>
      </c>
      <c r="H804">
        <v>68.27</v>
      </c>
      <c r="I804">
        <v>69.63</v>
      </c>
    </row>
    <row r="805" spans="1:9" x14ac:dyDescent="0.3">
      <c r="A805">
        <v>501</v>
      </c>
      <c r="B805" t="s">
        <v>50</v>
      </c>
      <c r="C805" t="s">
        <v>31</v>
      </c>
      <c r="D805">
        <v>42</v>
      </c>
      <c r="E805" t="s">
        <v>46</v>
      </c>
      <c r="F805">
        <v>1</v>
      </c>
      <c r="G805" t="str">
        <f t="shared" si="11"/>
        <v>M0113-A-42-1</v>
      </c>
      <c r="H805">
        <v>79.400000000000006</v>
      </c>
      <c r="I805">
        <v>79.760000000000005</v>
      </c>
    </row>
    <row r="806" spans="1:9" x14ac:dyDescent="0.3">
      <c r="A806">
        <v>501</v>
      </c>
      <c r="B806" t="s">
        <v>50</v>
      </c>
      <c r="C806" t="s">
        <v>31</v>
      </c>
      <c r="D806">
        <v>43</v>
      </c>
      <c r="E806" t="s">
        <v>46</v>
      </c>
      <c r="F806">
        <v>1</v>
      </c>
      <c r="G806" t="str">
        <f t="shared" si="11"/>
        <v>M0113-A-43-1</v>
      </c>
      <c r="H806">
        <v>79.760000000000005</v>
      </c>
      <c r="I806">
        <v>80.97</v>
      </c>
    </row>
    <row r="807" spans="1:9" x14ac:dyDescent="0.3">
      <c r="A807">
        <v>501</v>
      </c>
      <c r="B807" t="s">
        <v>50</v>
      </c>
      <c r="C807" t="s">
        <v>31</v>
      </c>
      <c r="D807">
        <v>43</v>
      </c>
      <c r="E807" t="s">
        <v>46</v>
      </c>
      <c r="F807">
        <v>2</v>
      </c>
      <c r="G807" t="str">
        <f t="shared" si="11"/>
        <v>M0113-A-43-2</v>
      </c>
      <c r="H807">
        <v>80.97</v>
      </c>
      <c r="I807">
        <v>81.08</v>
      </c>
    </row>
    <row r="808" spans="1:9" x14ac:dyDescent="0.3">
      <c r="A808">
        <v>501</v>
      </c>
      <c r="B808" t="s">
        <v>50</v>
      </c>
      <c r="C808" t="s">
        <v>31</v>
      </c>
      <c r="D808">
        <v>44</v>
      </c>
      <c r="E808" t="s">
        <v>46</v>
      </c>
      <c r="F808">
        <v>1</v>
      </c>
      <c r="G808" t="str">
        <f t="shared" si="11"/>
        <v>M0113-A-44-1</v>
      </c>
      <c r="H808">
        <v>81.08</v>
      </c>
      <c r="I808">
        <v>81.19</v>
      </c>
    </row>
    <row r="809" spans="1:9" x14ac:dyDescent="0.3">
      <c r="A809">
        <v>501</v>
      </c>
      <c r="B809" t="s">
        <v>50</v>
      </c>
      <c r="C809" t="s">
        <v>31</v>
      </c>
      <c r="D809">
        <v>44</v>
      </c>
      <c r="E809" t="s">
        <v>46</v>
      </c>
      <c r="F809">
        <v>2</v>
      </c>
      <c r="G809" t="str">
        <f t="shared" si="11"/>
        <v>M0113-A-44-2</v>
      </c>
      <c r="H809">
        <v>81.19</v>
      </c>
      <c r="I809">
        <v>82.02</v>
      </c>
    </row>
    <row r="810" spans="1:9" x14ac:dyDescent="0.3">
      <c r="A810">
        <v>501</v>
      </c>
      <c r="B810" t="s">
        <v>50</v>
      </c>
      <c r="C810" t="s">
        <v>31</v>
      </c>
      <c r="D810">
        <v>44</v>
      </c>
      <c r="E810" t="s">
        <v>46</v>
      </c>
      <c r="F810">
        <v>3</v>
      </c>
      <c r="G810" t="str">
        <f t="shared" si="11"/>
        <v>M0113-A-44-3</v>
      </c>
      <c r="H810">
        <v>82.02</v>
      </c>
      <c r="I810">
        <v>82.56</v>
      </c>
    </row>
    <row r="811" spans="1:9" x14ac:dyDescent="0.3">
      <c r="A811">
        <v>501</v>
      </c>
      <c r="B811" t="s">
        <v>50</v>
      </c>
      <c r="C811" t="s">
        <v>31</v>
      </c>
      <c r="D811">
        <v>45</v>
      </c>
      <c r="E811" t="s">
        <v>34</v>
      </c>
      <c r="F811">
        <v>1</v>
      </c>
      <c r="G811" t="str">
        <f t="shared" si="11"/>
        <v>M0113-A-45-1</v>
      </c>
      <c r="H811">
        <v>82.56</v>
      </c>
      <c r="I811">
        <v>83.92</v>
      </c>
    </row>
    <row r="812" spans="1:9" x14ac:dyDescent="0.3">
      <c r="A812">
        <v>501</v>
      </c>
      <c r="B812" t="s">
        <v>50</v>
      </c>
      <c r="C812" t="s">
        <v>31</v>
      </c>
      <c r="D812">
        <v>46</v>
      </c>
      <c r="E812" t="s">
        <v>46</v>
      </c>
      <c r="F812">
        <v>1</v>
      </c>
      <c r="G812" t="str">
        <f t="shared" si="11"/>
        <v>M0113-A-46-1</v>
      </c>
      <c r="H812">
        <v>83.49</v>
      </c>
      <c r="I812">
        <v>83.9</v>
      </c>
    </row>
    <row r="813" spans="1:9" x14ac:dyDescent="0.3">
      <c r="A813">
        <v>501</v>
      </c>
      <c r="B813" t="s">
        <v>50</v>
      </c>
      <c r="C813" t="s">
        <v>31</v>
      </c>
      <c r="D813">
        <v>46</v>
      </c>
      <c r="E813" t="s">
        <v>46</v>
      </c>
      <c r="F813">
        <v>2</v>
      </c>
      <c r="G813" t="str">
        <f t="shared" si="11"/>
        <v>M0113-A-46-2</v>
      </c>
      <c r="H813">
        <v>83.9</v>
      </c>
      <c r="I813">
        <v>85.33</v>
      </c>
    </row>
    <row r="814" spans="1:9" x14ac:dyDescent="0.3">
      <c r="A814">
        <v>501</v>
      </c>
      <c r="B814" t="s">
        <v>50</v>
      </c>
      <c r="C814" t="s">
        <v>31</v>
      </c>
      <c r="D814">
        <v>47</v>
      </c>
      <c r="E814" t="s">
        <v>46</v>
      </c>
      <c r="F814">
        <v>1</v>
      </c>
      <c r="G814" t="str">
        <f t="shared" si="11"/>
        <v>M0113-A-47-1</v>
      </c>
      <c r="H814">
        <v>85.33</v>
      </c>
      <c r="I814">
        <v>85.82</v>
      </c>
    </row>
    <row r="815" spans="1:9" x14ac:dyDescent="0.3">
      <c r="A815">
        <v>501</v>
      </c>
      <c r="B815" t="s">
        <v>50</v>
      </c>
      <c r="C815" t="s">
        <v>31</v>
      </c>
      <c r="D815">
        <v>47</v>
      </c>
      <c r="E815" t="s">
        <v>46</v>
      </c>
      <c r="F815">
        <v>2</v>
      </c>
      <c r="G815" t="str">
        <f t="shared" si="11"/>
        <v>M0113-A-47-2</v>
      </c>
      <c r="H815">
        <v>85.82</v>
      </c>
      <c r="I815">
        <v>86.34</v>
      </c>
    </row>
    <row r="816" spans="1:9" x14ac:dyDescent="0.3">
      <c r="A816">
        <v>501</v>
      </c>
      <c r="B816" t="s">
        <v>50</v>
      </c>
      <c r="C816" t="s">
        <v>31</v>
      </c>
      <c r="D816">
        <v>48</v>
      </c>
      <c r="E816" t="s">
        <v>46</v>
      </c>
      <c r="F816">
        <v>1</v>
      </c>
      <c r="G816" t="str">
        <f t="shared" si="11"/>
        <v>M0113-A-48-1</v>
      </c>
      <c r="H816">
        <v>86.34</v>
      </c>
      <c r="I816">
        <v>87.27</v>
      </c>
    </row>
    <row r="817" spans="1:9" x14ac:dyDescent="0.3">
      <c r="A817">
        <v>501</v>
      </c>
      <c r="B817" t="s">
        <v>50</v>
      </c>
      <c r="C817" t="s">
        <v>31</v>
      </c>
      <c r="D817">
        <v>49</v>
      </c>
      <c r="E817" t="s">
        <v>34</v>
      </c>
      <c r="F817">
        <v>1</v>
      </c>
      <c r="G817" t="str">
        <f t="shared" si="11"/>
        <v>M0113-A-49-1</v>
      </c>
      <c r="H817">
        <v>87.27</v>
      </c>
      <c r="I817">
        <v>88.21</v>
      </c>
    </row>
    <row r="818" spans="1:9" x14ac:dyDescent="0.3">
      <c r="A818">
        <v>501</v>
      </c>
      <c r="B818" t="s">
        <v>50</v>
      </c>
      <c r="C818" t="s">
        <v>31</v>
      </c>
      <c r="D818">
        <v>49</v>
      </c>
      <c r="E818" t="s">
        <v>34</v>
      </c>
      <c r="F818">
        <v>2</v>
      </c>
      <c r="G818" t="str">
        <f t="shared" si="11"/>
        <v>M0113-A-49-2</v>
      </c>
      <c r="H818">
        <v>88.21</v>
      </c>
      <c r="I818">
        <v>88.7</v>
      </c>
    </row>
    <row r="819" spans="1:9" x14ac:dyDescent="0.3">
      <c r="A819">
        <v>501</v>
      </c>
      <c r="B819" t="s">
        <v>50</v>
      </c>
      <c r="C819" t="s">
        <v>31</v>
      </c>
      <c r="D819">
        <v>50</v>
      </c>
      <c r="E819" t="s">
        <v>34</v>
      </c>
      <c r="F819">
        <v>1</v>
      </c>
      <c r="G819" t="str">
        <f t="shared" si="11"/>
        <v>M0113-A-50-1</v>
      </c>
      <c r="H819">
        <v>89.49</v>
      </c>
      <c r="I819">
        <v>90.4</v>
      </c>
    </row>
    <row r="820" spans="1:9" x14ac:dyDescent="0.3">
      <c r="A820">
        <v>501</v>
      </c>
      <c r="B820" t="s">
        <v>50</v>
      </c>
      <c r="C820" t="s">
        <v>31</v>
      </c>
      <c r="D820">
        <v>51</v>
      </c>
      <c r="E820" t="s">
        <v>34</v>
      </c>
      <c r="F820">
        <v>1</v>
      </c>
      <c r="G820" t="str">
        <f t="shared" si="11"/>
        <v>M0113-A-51-1</v>
      </c>
      <c r="H820">
        <v>90.99</v>
      </c>
      <c r="I820">
        <v>92.15</v>
      </c>
    </row>
    <row r="821" spans="1:9" x14ac:dyDescent="0.3">
      <c r="A821">
        <v>501</v>
      </c>
      <c r="B821" t="s">
        <v>50</v>
      </c>
      <c r="C821" t="s">
        <v>31</v>
      </c>
      <c r="D821">
        <v>53</v>
      </c>
      <c r="E821" t="s">
        <v>34</v>
      </c>
      <c r="F821">
        <v>1</v>
      </c>
      <c r="G821" t="str">
        <f t="shared" si="11"/>
        <v>M0113-A-53-1</v>
      </c>
      <c r="H821">
        <v>93.99</v>
      </c>
      <c r="I821">
        <v>95.49</v>
      </c>
    </row>
    <row r="822" spans="1:9" x14ac:dyDescent="0.3">
      <c r="A822">
        <v>501</v>
      </c>
      <c r="B822" t="s">
        <v>50</v>
      </c>
      <c r="C822" t="s">
        <v>31</v>
      </c>
      <c r="D822">
        <v>53</v>
      </c>
      <c r="E822" t="s">
        <v>34</v>
      </c>
      <c r="F822">
        <v>2</v>
      </c>
      <c r="G822" t="str">
        <f t="shared" si="11"/>
        <v>M0113-A-53-2</v>
      </c>
      <c r="H822">
        <v>95.49</v>
      </c>
      <c r="I822">
        <v>96.69</v>
      </c>
    </row>
    <row r="823" spans="1:9" x14ac:dyDescent="0.3">
      <c r="A823">
        <v>501</v>
      </c>
      <c r="B823" t="s">
        <v>50</v>
      </c>
      <c r="C823" t="s">
        <v>31</v>
      </c>
      <c r="D823">
        <v>54</v>
      </c>
      <c r="E823" t="s">
        <v>34</v>
      </c>
      <c r="F823">
        <v>1</v>
      </c>
      <c r="G823" t="str">
        <f t="shared" si="11"/>
        <v>M0113-A-54-1</v>
      </c>
      <c r="H823">
        <v>95.49</v>
      </c>
      <c r="I823">
        <v>96.72</v>
      </c>
    </row>
    <row r="824" spans="1:9" x14ac:dyDescent="0.3">
      <c r="A824">
        <v>501</v>
      </c>
      <c r="B824" t="s">
        <v>50</v>
      </c>
      <c r="C824" t="s">
        <v>31</v>
      </c>
      <c r="D824">
        <v>55</v>
      </c>
      <c r="E824" t="s">
        <v>46</v>
      </c>
      <c r="F824">
        <v>1</v>
      </c>
      <c r="G824" t="str">
        <f t="shared" ref="G824:G887" si="12">CONCATENATE(B824, "-",C824, "-", D824, "-", F824)</f>
        <v>M0113-A-55-1</v>
      </c>
      <c r="H824">
        <v>96.99</v>
      </c>
      <c r="I824">
        <v>97.99</v>
      </c>
    </row>
    <row r="825" spans="1:9" x14ac:dyDescent="0.3">
      <c r="A825">
        <v>501</v>
      </c>
      <c r="B825" t="s">
        <v>50</v>
      </c>
      <c r="C825" t="s">
        <v>31</v>
      </c>
      <c r="D825">
        <v>55</v>
      </c>
      <c r="E825" t="s">
        <v>46</v>
      </c>
      <c r="F825">
        <v>2</v>
      </c>
      <c r="G825" t="str">
        <f t="shared" si="12"/>
        <v>M0113-A-55-2</v>
      </c>
      <c r="H825">
        <v>97.99</v>
      </c>
      <c r="I825">
        <v>98.99</v>
      </c>
    </row>
    <row r="826" spans="1:9" x14ac:dyDescent="0.3">
      <c r="A826">
        <v>501</v>
      </c>
      <c r="B826" t="s">
        <v>50</v>
      </c>
      <c r="C826" t="s">
        <v>31</v>
      </c>
      <c r="D826">
        <v>56</v>
      </c>
      <c r="E826" t="s">
        <v>46</v>
      </c>
      <c r="F826">
        <v>1</v>
      </c>
      <c r="G826" t="str">
        <f t="shared" si="12"/>
        <v>M0113-A-56-1</v>
      </c>
      <c r="H826">
        <v>98.99</v>
      </c>
      <c r="I826">
        <v>100.49</v>
      </c>
    </row>
    <row r="827" spans="1:9" x14ac:dyDescent="0.3">
      <c r="A827">
        <v>501</v>
      </c>
      <c r="B827" t="s">
        <v>50</v>
      </c>
      <c r="C827" t="s">
        <v>31</v>
      </c>
      <c r="D827">
        <v>56</v>
      </c>
      <c r="E827" t="s">
        <v>46</v>
      </c>
      <c r="F827">
        <v>2</v>
      </c>
      <c r="G827" t="str">
        <f t="shared" si="12"/>
        <v>M0113-A-56-2</v>
      </c>
      <c r="H827">
        <v>100.49</v>
      </c>
      <c r="I827">
        <v>101.4</v>
      </c>
    </row>
    <row r="828" spans="1:9" x14ac:dyDescent="0.3">
      <c r="A828">
        <v>501</v>
      </c>
      <c r="B828" t="s">
        <v>50</v>
      </c>
      <c r="C828" t="s">
        <v>31</v>
      </c>
      <c r="D828">
        <v>57</v>
      </c>
      <c r="E828" t="s">
        <v>46</v>
      </c>
      <c r="F828">
        <v>1</v>
      </c>
      <c r="G828" t="str">
        <f t="shared" si="12"/>
        <v>M0113-A-57-1</v>
      </c>
      <c r="H828">
        <v>101.4</v>
      </c>
      <c r="I828">
        <v>102.35</v>
      </c>
    </row>
    <row r="829" spans="1:9" x14ac:dyDescent="0.3">
      <c r="A829">
        <v>501</v>
      </c>
      <c r="B829" t="s">
        <v>50</v>
      </c>
      <c r="C829" t="s">
        <v>31</v>
      </c>
      <c r="D829">
        <v>57</v>
      </c>
      <c r="E829" t="s">
        <v>46</v>
      </c>
      <c r="F829">
        <v>2</v>
      </c>
      <c r="G829" t="str">
        <f t="shared" si="12"/>
        <v>M0113-A-57-2</v>
      </c>
      <c r="H829">
        <v>102.35</v>
      </c>
      <c r="I829">
        <v>103.38</v>
      </c>
    </row>
    <row r="830" spans="1:9" x14ac:dyDescent="0.3">
      <c r="A830">
        <v>501</v>
      </c>
      <c r="B830" t="s">
        <v>50</v>
      </c>
      <c r="C830" t="s">
        <v>31</v>
      </c>
      <c r="D830">
        <v>58</v>
      </c>
      <c r="E830" t="s">
        <v>46</v>
      </c>
      <c r="F830">
        <v>1</v>
      </c>
      <c r="G830" t="str">
        <f t="shared" si="12"/>
        <v>M0113-A-58-1</v>
      </c>
      <c r="H830">
        <v>103.38</v>
      </c>
      <c r="I830">
        <v>104.38</v>
      </c>
    </row>
    <row r="831" spans="1:9" x14ac:dyDescent="0.3">
      <c r="A831">
        <v>501</v>
      </c>
      <c r="B831" t="s">
        <v>50</v>
      </c>
      <c r="C831" t="s">
        <v>31</v>
      </c>
      <c r="D831">
        <v>58</v>
      </c>
      <c r="E831" t="s">
        <v>46</v>
      </c>
      <c r="F831">
        <v>2</v>
      </c>
      <c r="G831" t="str">
        <f t="shared" si="12"/>
        <v>M0113-A-58-2</v>
      </c>
      <c r="H831">
        <v>104.38</v>
      </c>
      <c r="I831">
        <v>105.03</v>
      </c>
    </row>
    <row r="832" spans="1:9" x14ac:dyDescent="0.3">
      <c r="A832">
        <v>501</v>
      </c>
      <c r="B832" t="s">
        <v>50</v>
      </c>
      <c r="C832" t="s">
        <v>31</v>
      </c>
      <c r="D832">
        <v>59</v>
      </c>
      <c r="E832" t="s">
        <v>46</v>
      </c>
      <c r="F832">
        <v>1</v>
      </c>
      <c r="G832" t="str">
        <f t="shared" si="12"/>
        <v>M0113-A-59-1</v>
      </c>
      <c r="H832">
        <v>104.22</v>
      </c>
      <c r="I832">
        <v>104.9</v>
      </c>
    </row>
    <row r="833" spans="1:9" x14ac:dyDescent="0.3">
      <c r="A833">
        <v>501</v>
      </c>
      <c r="B833" t="s">
        <v>50</v>
      </c>
      <c r="C833" t="s">
        <v>31</v>
      </c>
      <c r="D833">
        <v>59</v>
      </c>
      <c r="E833" t="s">
        <v>46</v>
      </c>
      <c r="F833">
        <v>2</v>
      </c>
      <c r="G833" t="str">
        <f t="shared" si="12"/>
        <v>M0113-A-59-2</v>
      </c>
      <c r="H833">
        <v>104.9</v>
      </c>
      <c r="I833">
        <v>105.03</v>
      </c>
    </row>
    <row r="834" spans="1:9" x14ac:dyDescent="0.3">
      <c r="A834">
        <v>501</v>
      </c>
      <c r="B834" t="s">
        <v>50</v>
      </c>
      <c r="C834" t="s">
        <v>31</v>
      </c>
      <c r="D834">
        <v>60</v>
      </c>
      <c r="E834" t="s">
        <v>46</v>
      </c>
      <c r="F834">
        <v>1</v>
      </c>
      <c r="G834" t="str">
        <f t="shared" si="12"/>
        <v>M0113-A-60-1</v>
      </c>
      <c r="H834">
        <v>105.03</v>
      </c>
      <c r="I834">
        <v>105.75</v>
      </c>
    </row>
    <row r="835" spans="1:9" x14ac:dyDescent="0.3">
      <c r="A835">
        <v>501</v>
      </c>
      <c r="B835" t="s">
        <v>50</v>
      </c>
      <c r="C835" t="s">
        <v>31</v>
      </c>
      <c r="D835">
        <v>60</v>
      </c>
      <c r="E835" t="s">
        <v>46</v>
      </c>
      <c r="F835">
        <v>2</v>
      </c>
      <c r="G835" t="str">
        <f t="shared" si="12"/>
        <v>M0113-A-60-2</v>
      </c>
      <c r="H835">
        <v>105.75</v>
      </c>
      <c r="I835">
        <v>105.9</v>
      </c>
    </row>
    <row r="836" spans="1:9" x14ac:dyDescent="0.3">
      <c r="A836">
        <v>501</v>
      </c>
      <c r="B836" t="s">
        <v>50</v>
      </c>
      <c r="C836" t="s">
        <v>31</v>
      </c>
      <c r="D836">
        <v>61</v>
      </c>
      <c r="E836" t="s">
        <v>34</v>
      </c>
      <c r="F836">
        <v>1</v>
      </c>
      <c r="G836" t="str">
        <f t="shared" si="12"/>
        <v>M0113-A-61-1</v>
      </c>
      <c r="H836">
        <v>105.9</v>
      </c>
      <c r="I836">
        <v>106.49</v>
      </c>
    </row>
    <row r="837" spans="1:9" x14ac:dyDescent="0.3">
      <c r="A837">
        <v>501</v>
      </c>
      <c r="B837" t="s">
        <v>50</v>
      </c>
      <c r="C837" t="s">
        <v>31</v>
      </c>
      <c r="D837">
        <v>62</v>
      </c>
      <c r="E837" t="s">
        <v>34</v>
      </c>
      <c r="F837">
        <v>1</v>
      </c>
      <c r="G837" t="str">
        <f t="shared" si="12"/>
        <v>M0113-A-62-1</v>
      </c>
      <c r="H837">
        <v>107.49</v>
      </c>
      <c r="I837">
        <v>107.96</v>
      </c>
    </row>
    <row r="838" spans="1:9" x14ac:dyDescent="0.3">
      <c r="A838">
        <v>501</v>
      </c>
      <c r="B838" t="s">
        <v>50</v>
      </c>
      <c r="C838" t="s">
        <v>31</v>
      </c>
      <c r="D838">
        <v>63</v>
      </c>
      <c r="E838" t="s">
        <v>46</v>
      </c>
      <c r="F838">
        <v>1</v>
      </c>
      <c r="G838" t="str">
        <f t="shared" si="12"/>
        <v>M0113-A-63-1</v>
      </c>
      <c r="H838">
        <v>108.99</v>
      </c>
      <c r="I838">
        <v>109.8</v>
      </c>
    </row>
    <row r="839" spans="1:9" x14ac:dyDescent="0.3">
      <c r="A839">
        <v>501</v>
      </c>
      <c r="B839" t="s">
        <v>50</v>
      </c>
      <c r="C839" t="s">
        <v>31</v>
      </c>
      <c r="D839">
        <v>63</v>
      </c>
      <c r="E839" t="s">
        <v>46</v>
      </c>
      <c r="F839">
        <v>2</v>
      </c>
      <c r="G839" t="str">
        <f t="shared" si="12"/>
        <v>M0113-A-63-2</v>
      </c>
      <c r="H839">
        <v>109.8</v>
      </c>
      <c r="I839">
        <v>109.93</v>
      </c>
    </row>
    <row r="840" spans="1:9" x14ac:dyDescent="0.3">
      <c r="A840">
        <v>501</v>
      </c>
      <c r="B840" t="s">
        <v>50</v>
      </c>
      <c r="C840" t="s">
        <v>31</v>
      </c>
      <c r="D840">
        <v>65</v>
      </c>
      <c r="E840" t="s">
        <v>34</v>
      </c>
      <c r="F840">
        <v>1</v>
      </c>
      <c r="G840" t="str">
        <f t="shared" si="12"/>
        <v>M0113-A-65-1</v>
      </c>
      <c r="H840">
        <v>109.93</v>
      </c>
      <c r="I840">
        <v>110.92</v>
      </c>
    </row>
    <row r="841" spans="1:9" x14ac:dyDescent="0.3">
      <c r="A841">
        <v>501</v>
      </c>
      <c r="B841" t="s">
        <v>50</v>
      </c>
      <c r="C841" t="s">
        <v>31</v>
      </c>
      <c r="D841">
        <v>65</v>
      </c>
      <c r="E841" t="s">
        <v>34</v>
      </c>
      <c r="F841">
        <v>2</v>
      </c>
      <c r="G841" t="str">
        <f t="shared" si="12"/>
        <v>M0113-A-65-2</v>
      </c>
      <c r="H841">
        <v>110.92</v>
      </c>
      <c r="I841">
        <v>111.31</v>
      </c>
    </row>
    <row r="842" spans="1:9" x14ac:dyDescent="0.3">
      <c r="A842">
        <v>501</v>
      </c>
      <c r="B842" t="s">
        <v>50</v>
      </c>
      <c r="C842" t="s">
        <v>31</v>
      </c>
      <c r="D842">
        <v>66</v>
      </c>
      <c r="E842" t="s">
        <v>34</v>
      </c>
      <c r="F842">
        <v>1</v>
      </c>
      <c r="G842" t="str">
        <f t="shared" si="12"/>
        <v>M0113-A-66-1</v>
      </c>
      <c r="H842">
        <v>111.99</v>
      </c>
      <c r="I842">
        <v>112.23</v>
      </c>
    </row>
    <row r="843" spans="1:9" x14ac:dyDescent="0.3">
      <c r="A843">
        <v>501</v>
      </c>
      <c r="B843" t="s">
        <v>50</v>
      </c>
      <c r="C843" t="s">
        <v>31</v>
      </c>
      <c r="D843">
        <v>67</v>
      </c>
      <c r="E843" t="s">
        <v>34</v>
      </c>
      <c r="F843">
        <v>1</v>
      </c>
      <c r="G843" t="str">
        <f t="shared" si="12"/>
        <v>M0113-A-67-1</v>
      </c>
      <c r="H843">
        <v>113.49</v>
      </c>
      <c r="I843">
        <v>114.99</v>
      </c>
    </row>
    <row r="844" spans="1:9" x14ac:dyDescent="0.3">
      <c r="A844">
        <v>501</v>
      </c>
      <c r="B844" t="s">
        <v>50</v>
      </c>
      <c r="C844" t="s">
        <v>31</v>
      </c>
      <c r="D844">
        <v>64</v>
      </c>
      <c r="E844" t="s">
        <v>46</v>
      </c>
      <c r="F844">
        <v>1</v>
      </c>
      <c r="G844" t="str">
        <f t="shared" si="12"/>
        <v>M0113-A-64-1</v>
      </c>
      <c r="H844">
        <v>109.93</v>
      </c>
      <c r="I844">
        <v>110.14</v>
      </c>
    </row>
    <row r="845" spans="1:9" x14ac:dyDescent="0.3">
      <c r="A845">
        <v>501</v>
      </c>
      <c r="B845" t="s">
        <v>50</v>
      </c>
      <c r="C845" t="s">
        <v>31</v>
      </c>
      <c r="D845">
        <v>68</v>
      </c>
      <c r="E845" t="s">
        <v>34</v>
      </c>
      <c r="F845">
        <v>1</v>
      </c>
      <c r="G845" t="str">
        <f t="shared" si="12"/>
        <v>M0113-A-68-1</v>
      </c>
      <c r="H845">
        <v>114.99</v>
      </c>
      <c r="I845">
        <v>115.44</v>
      </c>
    </row>
    <row r="846" spans="1:9" x14ac:dyDescent="0.3">
      <c r="A846">
        <v>501</v>
      </c>
      <c r="B846" t="s">
        <v>50</v>
      </c>
      <c r="C846" t="s">
        <v>31</v>
      </c>
      <c r="D846">
        <v>69</v>
      </c>
      <c r="E846" t="s">
        <v>34</v>
      </c>
      <c r="F846">
        <v>1</v>
      </c>
      <c r="G846" t="str">
        <f t="shared" si="12"/>
        <v>M0113-A-69-1</v>
      </c>
      <c r="H846">
        <v>116.49</v>
      </c>
      <c r="I846">
        <v>116.92</v>
      </c>
    </row>
    <row r="847" spans="1:9" x14ac:dyDescent="0.3">
      <c r="A847">
        <v>501</v>
      </c>
      <c r="B847" t="s">
        <v>50</v>
      </c>
      <c r="C847" t="s">
        <v>31</v>
      </c>
      <c r="D847">
        <v>70</v>
      </c>
      <c r="E847" t="s">
        <v>34</v>
      </c>
      <c r="F847">
        <v>1</v>
      </c>
      <c r="G847" t="str">
        <f t="shared" si="12"/>
        <v>M0113-A-70-1</v>
      </c>
      <c r="H847">
        <v>117.99</v>
      </c>
      <c r="I847">
        <v>118.97</v>
      </c>
    </row>
    <row r="848" spans="1:9" x14ac:dyDescent="0.3">
      <c r="A848">
        <v>501</v>
      </c>
      <c r="B848" t="s">
        <v>50</v>
      </c>
      <c r="C848" t="s">
        <v>31</v>
      </c>
      <c r="D848">
        <v>71</v>
      </c>
      <c r="E848" t="s">
        <v>34</v>
      </c>
      <c r="F848">
        <v>1</v>
      </c>
      <c r="G848" t="str">
        <f t="shared" si="12"/>
        <v>M0113-A-71-1</v>
      </c>
      <c r="H848">
        <v>119.49</v>
      </c>
      <c r="I848">
        <v>119.85</v>
      </c>
    </row>
    <row r="849" spans="1:9" x14ac:dyDescent="0.3">
      <c r="A849">
        <v>501</v>
      </c>
      <c r="B849" t="s">
        <v>50</v>
      </c>
      <c r="C849" t="s">
        <v>31</v>
      </c>
      <c r="D849">
        <v>72</v>
      </c>
      <c r="E849" t="s">
        <v>34</v>
      </c>
      <c r="F849">
        <v>1</v>
      </c>
      <c r="G849" t="str">
        <f t="shared" si="12"/>
        <v>M0113-A-72-1</v>
      </c>
      <c r="H849">
        <v>120.99</v>
      </c>
      <c r="I849">
        <v>122.11</v>
      </c>
    </row>
    <row r="850" spans="1:9" x14ac:dyDescent="0.3">
      <c r="A850">
        <v>501</v>
      </c>
      <c r="B850" t="s">
        <v>50</v>
      </c>
      <c r="C850" t="s">
        <v>31</v>
      </c>
      <c r="D850">
        <v>73</v>
      </c>
      <c r="E850" t="s">
        <v>34</v>
      </c>
      <c r="F850">
        <v>1</v>
      </c>
      <c r="G850" t="str">
        <f t="shared" si="12"/>
        <v>M0113-A-73-1</v>
      </c>
      <c r="H850">
        <v>122.49</v>
      </c>
      <c r="I850">
        <v>122.99</v>
      </c>
    </row>
    <row r="851" spans="1:9" x14ac:dyDescent="0.3">
      <c r="A851">
        <v>501</v>
      </c>
      <c r="B851" t="s">
        <v>50</v>
      </c>
      <c r="C851" t="s">
        <v>31</v>
      </c>
      <c r="D851">
        <v>74</v>
      </c>
      <c r="E851" t="s">
        <v>34</v>
      </c>
      <c r="F851">
        <v>1</v>
      </c>
      <c r="G851" t="str">
        <f t="shared" si="12"/>
        <v>M0113-A-74-1</v>
      </c>
      <c r="H851">
        <v>123.99</v>
      </c>
      <c r="I851">
        <v>124.53</v>
      </c>
    </row>
    <row r="852" spans="1:9" x14ac:dyDescent="0.3">
      <c r="A852">
        <v>501</v>
      </c>
      <c r="B852" t="s">
        <v>50</v>
      </c>
      <c r="C852" t="s">
        <v>31</v>
      </c>
      <c r="D852">
        <v>75</v>
      </c>
      <c r="E852" t="s">
        <v>34</v>
      </c>
      <c r="F852">
        <v>1</v>
      </c>
      <c r="G852" t="str">
        <f t="shared" si="12"/>
        <v>M0113-A-75-1</v>
      </c>
      <c r="H852">
        <v>125.49</v>
      </c>
      <c r="I852">
        <v>126.11</v>
      </c>
    </row>
    <row r="853" spans="1:9" x14ac:dyDescent="0.3">
      <c r="A853">
        <v>501</v>
      </c>
      <c r="B853" t="s">
        <v>50</v>
      </c>
      <c r="C853" t="s">
        <v>31</v>
      </c>
      <c r="D853">
        <v>75</v>
      </c>
      <c r="E853" t="s">
        <v>34</v>
      </c>
      <c r="F853">
        <v>2</v>
      </c>
      <c r="G853" t="str">
        <f t="shared" si="12"/>
        <v>M0113-A-75-2</v>
      </c>
      <c r="H853">
        <v>126.11</v>
      </c>
      <c r="I853">
        <v>126.51</v>
      </c>
    </row>
    <row r="854" spans="1:9" x14ac:dyDescent="0.3">
      <c r="A854">
        <v>501</v>
      </c>
      <c r="B854" t="s">
        <v>50</v>
      </c>
      <c r="C854" t="s">
        <v>31</v>
      </c>
      <c r="D854">
        <v>76</v>
      </c>
      <c r="E854" t="s">
        <v>34</v>
      </c>
      <c r="F854">
        <v>1</v>
      </c>
      <c r="G854" t="str">
        <f t="shared" si="12"/>
        <v>M0113-A-76-1</v>
      </c>
      <c r="H854">
        <v>126.99</v>
      </c>
      <c r="I854">
        <v>127.08</v>
      </c>
    </row>
    <row r="855" spans="1:9" x14ac:dyDescent="0.3">
      <c r="A855">
        <v>501</v>
      </c>
      <c r="B855" t="s">
        <v>50</v>
      </c>
      <c r="C855" t="s">
        <v>31</v>
      </c>
      <c r="D855">
        <v>77</v>
      </c>
      <c r="E855" t="s">
        <v>34</v>
      </c>
      <c r="F855">
        <v>1</v>
      </c>
      <c r="G855" t="str">
        <f t="shared" si="12"/>
        <v>M0113-A-77-1</v>
      </c>
      <c r="H855">
        <v>128.49</v>
      </c>
      <c r="I855">
        <v>128.69</v>
      </c>
    </row>
    <row r="856" spans="1:9" x14ac:dyDescent="0.3">
      <c r="A856">
        <v>501</v>
      </c>
      <c r="B856" t="s">
        <v>50</v>
      </c>
      <c r="C856" t="s">
        <v>31</v>
      </c>
      <c r="D856">
        <v>78</v>
      </c>
      <c r="E856" t="s">
        <v>46</v>
      </c>
      <c r="F856">
        <v>1</v>
      </c>
      <c r="G856" t="str">
        <f t="shared" si="12"/>
        <v>M0113-A-78-1</v>
      </c>
      <c r="H856">
        <v>129.99</v>
      </c>
      <c r="I856">
        <v>131.49</v>
      </c>
    </row>
    <row r="857" spans="1:9" x14ac:dyDescent="0.3">
      <c r="A857">
        <v>501</v>
      </c>
      <c r="B857" t="s">
        <v>50</v>
      </c>
      <c r="C857" t="s">
        <v>31</v>
      </c>
      <c r="D857">
        <v>78</v>
      </c>
      <c r="E857" t="s">
        <v>46</v>
      </c>
      <c r="F857">
        <v>2</v>
      </c>
      <c r="G857" t="str">
        <f t="shared" si="12"/>
        <v>M0113-A-78-2</v>
      </c>
      <c r="H857">
        <v>131.49</v>
      </c>
      <c r="I857">
        <v>132.29</v>
      </c>
    </row>
    <row r="858" spans="1:9" x14ac:dyDescent="0.3">
      <c r="A858">
        <v>501</v>
      </c>
      <c r="B858" t="s">
        <v>50</v>
      </c>
      <c r="C858" t="s">
        <v>31</v>
      </c>
      <c r="D858">
        <v>80</v>
      </c>
      <c r="E858" t="s">
        <v>34</v>
      </c>
      <c r="F858">
        <v>1</v>
      </c>
      <c r="G858" t="str">
        <f t="shared" si="12"/>
        <v>M0113-A-80-1</v>
      </c>
      <c r="H858">
        <v>132.29</v>
      </c>
      <c r="I858">
        <v>132.91</v>
      </c>
    </row>
    <row r="859" spans="1:9" x14ac:dyDescent="0.3">
      <c r="A859">
        <v>501</v>
      </c>
      <c r="B859" t="s">
        <v>50</v>
      </c>
      <c r="C859" t="s">
        <v>31</v>
      </c>
      <c r="D859">
        <v>81</v>
      </c>
      <c r="E859" t="s">
        <v>34</v>
      </c>
      <c r="F859">
        <v>1</v>
      </c>
      <c r="G859" t="str">
        <f t="shared" si="12"/>
        <v>M0113-A-81-1</v>
      </c>
      <c r="H859">
        <v>134.49</v>
      </c>
      <c r="I859">
        <v>135.05000000000001</v>
      </c>
    </row>
    <row r="860" spans="1:9" x14ac:dyDescent="0.3">
      <c r="A860">
        <v>501</v>
      </c>
      <c r="B860" t="s">
        <v>50</v>
      </c>
      <c r="C860" t="s">
        <v>31</v>
      </c>
      <c r="D860">
        <v>81</v>
      </c>
      <c r="E860" t="s">
        <v>34</v>
      </c>
      <c r="F860">
        <v>2</v>
      </c>
      <c r="G860" t="str">
        <f t="shared" si="12"/>
        <v>M0113-A-81-2</v>
      </c>
      <c r="H860">
        <v>135.05000000000001</v>
      </c>
      <c r="I860">
        <v>135.44</v>
      </c>
    </row>
    <row r="861" spans="1:9" x14ac:dyDescent="0.3">
      <c r="A861">
        <v>501</v>
      </c>
      <c r="B861" t="s">
        <v>50</v>
      </c>
      <c r="C861" t="s">
        <v>31</v>
      </c>
      <c r="D861">
        <v>82</v>
      </c>
      <c r="E861" t="s">
        <v>34</v>
      </c>
      <c r="F861">
        <v>1</v>
      </c>
      <c r="G861" t="str">
        <f t="shared" si="12"/>
        <v>M0113-A-82-1</v>
      </c>
      <c r="H861">
        <v>135.99</v>
      </c>
      <c r="I861">
        <v>137.06</v>
      </c>
    </row>
    <row r="862" spans="1:9" x14ac:dyDescent="0.3">
      <c r="A862">
        <v>501</v>
      </c>
      <c r="B862" t="s">
        <v>50</v>
      </c>
      <c r="C862" t="s">
        <v>31</v>
      </c>
      <c r="D862">
        <v>83</v>
      </c>
      <c r="E862" t="s">
        <v>34</v>
      </c>
      <c r="F862">
        <v>1</v>
      </c>
      <c r="G862" t="str">
        <f t="shared" si="12"/>
        <v>M0113-A-83-1</v>
      </c>
      <c r="H862">
        <v>137.49</v>
      </c>
      <c r="I862">
        <v>138.91999999999999</v>
      </c>
    </row>
    <row r="863" spans="1:9" x14ac:dyDescent="0.3">
      <c r="A863">
        <v>501</v>
      </c>
      <c r="B863" t="s">
        <v>50</v>
      </c>
      <c r="C863" t="s">
        <v>31</v>
      </c>
      <c r="D863">
        <v>83</v>
      </c>
      <c r="E863" t="s">
        <v>34</v>
      </c>
      <c r="F863">
        <v>2</v>
      </c>
      <c r="G863" t="str">
        <f t="shared" si="12"/>
        <v>M0113-A-83-2</v>
      </c>
      <c r="H863">
        <v>138.91999999999999</v>
      </c>
      <c r="I863">
        <v>139.02000000000001</v>
      </c>
    </row>
    <row r="864" spans="1:9" x14ac:dyDescent="0.3">
      <c r="A864">
        <v>501</v>
      </c>
      <c r="B864" t="s">
        <v>50</v>
      </c>
      <c r="C864" t="s">
        <v>31</v>
      </c>
      <c r="D864">
        <v>84</v>
      </c>
      <c r="E864" t="s">
        <v>34</v>
      </c>
      <c r="F864">
        <v>1</v>
      </c>
      <c r="G864" t="str">
        <f t="shared" si="12"/>
        <v>M0113-A-84-1</v>
      </c>
      <c r="H864">
        <v>138.99</v>
      </c>
      <c r="I864">
        <v>139.69</v>
      </c>
    </row>
    <row r="865" spans="1:9" x14ac:dyDescent="0.3">
      <c r="A865">
        <v>501</v>
      </c>
      <c r="B865" t="s">
        <v>50</v>
      </c>
      <c r="C865" t="s">
        <v>31</v>
      </c>
      <c r="D865">
        <v>84</v>
      </c>
      <c r="E865" t="s">
        <v>34</v>
      </c>
      <c r="F865">
        <v>2</v>
      </c>
      <c r="G865" t="str">
        <f t="shared" si="12"/>
        <v>M0113-A-84-2</v>
      </c>
      <c r="H865">
        <v>139.69</v>
      </c>
      <c r="I865">
        <v>140.30000000000001</v>
      </c>
    </row>
    <row r="866" spans="1:9" x14ac:dyDescent="0.3">
      <c r="A866">
        <v>501</v>
      </c>
      <c r="B866" t="s">
        <v>50</v>
      </c>
      <c r="C866" t="s">
        <v>31</v>
      </c>
      <c r="D866">
        <v>85</v>
      </c>
      <c r="E866" t="s">
        <v>34</v>
      </c>
      <c r="F866">
        <v>1</v>
      </c>
      <c r="G866" t="str">
        <f t="shared" si="12"/>
        <v>M0113-A-85-1</v>
      </c>
      <c r="H866">
        <v>140.49</v>
      </c>
      <c r="I866">
        <v>141.99</v>
      </c>
    </row>
    <row r="867" spans="1:9" x14ac:dyDescent="0.3">
      <c r="A867">
        <v>501</v>
      </c>
      <c r="B867" t="s">
        <v>50</v>
      </c>
      <c r="C867" t="s">
        <v>31</v>
      </c>
      <c r="D867">
        <v>85</v>
      </c>
      <c r="E867" t="s">
        <v>34</v>
      </c>
      <c r="F867">
        <v>2</v>
      </c>
      <c r="G867" t="str">
        <f t="shared" si="12"/>
        <v>M0113-A-85-2</v>
      </c>
      <c r="H867">
        <v>141.99</v>
      </c>
      <c r="I867">
        <v>143.24</v>
      </c>
    </row>
    <row r="868" spans="1:9" x14ac:dyDescent="0.3">
      <c r="A868">
        <v>501</v>
      </c>
      <c r="B868" t="s">
        <v>50</v>
      </c>
      <c r="C868" t="s">
        <v>31</v>
      </c>
      <c r="D868">
        <v>86</v>
      </c>
      <c r="E868" t="s">
        <v>34</v>
      </c>
      <c r="F868">
        <v>1</v>
      </c>
      <c r="G868" t="str">
        <f t="shared" si="12"/>
        <v>M0113-A-86-1</v>
      </c>
      <c r="H868">
        <v>143.49</v>
      </c>
      <c r="I868">
        <v>144.49</v>
      </c>
    </row>
    <row r="869" spans="1:9" x14ac:dyDescent="0.3">
      <c r="A869">
        <v>501</v>
      </c>
      <c r="B869" t="s">
        <v>50</v>
      </c>
      <c r="C869" t="s">
        <v>31</v>
      </c>
      <c r="D869">
        <v>86</v>
      </c>
      <c r="E869" t="s">
        <v>34</v>
      </c>
      <c r="F869">
        <v>2</v>
      </c>
      <c r="G869" t="str">
        <f t="shared" si="12"/>
        <v>M0113-A-86-2</v>
      </c>
      <c r="H869">
        <v>144.49</v>
      </c>
      <c r="I869">
        <v>145.16</v>
      </c>
    </row>
    <row r="870" spans="1:9" x14ac:dyDescent="0.3">
      <c r="A870">
        <v>501</v>
      </c>
      <c r="B870" t="s">
        <v>50</v>
      </c>
      <c r="C870" t="s">
        <v>31</v>
      </c>
      <c r="D870">
        <v>87</v>
      </c>
      <c r="E870" t="s">
        <v>34</v>
      </c>
      <c r="F870">
        <v>1</v>
      </c>
      <c r="G870" t="str">
        <f t="shared" si="12"/>
        <v>M0113-A-87-1</v>
      </c>
      <c r="H870">
        <v>146.49</v>
      </c>
      <c r="I870">
        <v>147.49</v>
      </c>
    </row>
    <row r="871" spans="1:9" x14ac:dyDescent="0.3">
      <c r="A871">
        <v>501</v>
      </c>
      <c r="B871" t="s">
        <v>50</v>
      </c>
      <c r="C871" t="s">
        <v>31</v>
      </c>
      <c r="D871">
        <v>87</v>
      </c>
      <c r="E871" t="s">
        <v>34</v>
      </c>
      <c r="F871">
        <v>2</v>
      </c>
      <c r="G871" t="str">
        <f t="shared" si="12"/>
        <v>M0113-A-87-2</v>
      </c>
      <c r="H871">
        <v>147.49</v>
      </c>
      <c r="I871">
        <v>148</v>
      </c>
    </row>
    <row r="872" spans="1:9" x14ac:dyDescent="0.3">
      <c r="A872">
        <v>501</v>
      </c>
      <c r="B872" t="s">
        <v>50</v>
      </c>
      <c r="C872" t="s">
        <v>31</v>
      </c>
      <c r="D872">
        <v>88</v>
      </c>
      <c r="E872" t="s">
        <v>34</v>
      </c>
      <c r="F872">
        <v>1</v>
      </c>
      <c r="G872" t="str">
        <f t="shared" si="12"/>
        <v>M0113-A-88-1</v>
      </c>
      <c r="H872">
        <v>148.49</v>
      </c>
      <c r="I872">
        <v>149.99</v>
      </c>
    </row>
    <row r="873" spans="1:9" x14ac:dyDescent="0.3">
      <c r="A873">
        <v>501</v>
      </c>
      <c r="B873" t="s">
        <v>50</v>
      </c>
      <c r="C873" t="s">
        <v>31</v>
      </c>
      <c r="D873">
        <v>88</v>
      </c>
      <c r="E873" t="s">
        <v>34</v>
      </c>
      <c r="F873">
        <v>2</v>
      </c>
      <c r="G873" t="str">
        <f t="shared" si="12"/>
        <v>M0113-A-88-2</v>
      </c>
      <c r="H873">
        <v>149.99</v>
      </c>
      <c r="I873">
        <v>150.54</v>
      </c>
    </row>
    <row r="874" spans="1:9" x14ac:dyDescent="0.3">
      <c r="A874">
        <v>501</v>
      </c>
      <c r="B874" t="s">
        <v>50</v>
      </c>
      <c r="C874" t="s">
        <v>31</v>
      </c>
      <c r="D874">
        <v>89</v>
      </c>
      <c r="E874" t="s">
        <v>34</v>
      </c>
      <c r="F874">
        <v>1</v>
      </c>
      <c r="G874" t="str">
        <f t="shared" si="12"/>
        <v>M0113-A-89-1</v>
      </c>
      <c r="H874">
        <v>151.49</v>
      </c>
      <c r="I874">
        <v>152.34</v>
      </c>
    </row>
    <row r="875" spans="1:9" x14ac:dyDescent="0.3">
      <c r="A875">
        <v>501</v>
      </c>
      <c r="B875" t="s">
        <v>50</v>
      </c>
      <c r="C875" t="s">
        <v>31</v>
      </c>
      <c r="D875">
        <v>79</v>
      </c>
      <c r="E875" t="s">
        <v>46</v>
      </c>
      <c r="F875">
        <v>1</v>
      </c>
      <c r="G875" t="str">
        <f t="shared" si="12"/>
        <v>M0113-A-79-1</v>
      </c>
      <c r="H875">
        <v>131.59</v>
      </c>
      <c r="I875">
        <v>131.75</v>
      </c>
    </row>
    <row r="876" spans="1:9" x14ac:dyDescent="0.3">
      <c r="A876">
        <v>501</v>
      </c>
      <c r="B876" t="s">
        <v>50</v>
      </c>
      <c r="C876" t="s">
        <v>31</v>
      </c>
      <c r="D876">
        <v>90</v>
      </c>
      <c r="E876" t="s">
        <v>34</v>
      </c>
      <c r="F876">
        <v>1</v>
      </c>
      <c r="G876" t="str">
        <f t="shared" si="12"/>
        <v>M0113-A-90-1</v>
      </c>
      <c r="H876">
        <v>152.59</v>
      </c>
      <c r="I876">
        <v>153.63999999999999</v>
      </c>
    </row>
    <row r="877" spans="1:9" x14ac:dyDescent="0.3">
      <c r="A877">
        <v>501</v>
      </c>
      <c r="B877" t="s">
        <v>50</v>
      </c>
      <c r="C877" t="s">
        <v>31</v>
      </c>
      <c r="D877">
        <v>90</v>
      </c>
      <c r="E877" t="s">
        <v>34</v>
      </c>
      <c r="F877">
        <v>2</v>
      </c>
      <c r="G877" t="str">
        <f t="shared" si="12"/>
        <v>M0113-A-90-2</v>
      </c>
      <c r="H877">
        <v>153.63999999999999</v>
      </c>
      <c r="I877">
        <v>154.13999999999999</v>
      </c>
    </row>
    <row r="878" spans="1:9" x14ac:dyDescent="0.3">
      <c r="A878">
        <v>501</v>
      </c>
      <c r="B878" t="s">
        <v>50</v>
      </c>
      <c r="C878" t="s">
        <v>31</v>
      </c>
      <c r="D878">
        <v>91</v>
      </c>
      <c r="E878" t="s">
        <v>34</v>
      </c>
      <c r="F878">
        <v>1</v>
      </c>
      <c r="G878" t="str">
        <f t="shared" si="12"/>
        <v>M0113-A-91-1</v>
      </c>
      <c r="H878">
        <v>155.49</v>
      </c>
      <c r="I878">
        <v>155.88999999999999</v>
      </c>
    </row>
    <row r="879" spans="1:9" x14ac:dyDescent="0.3">
      <c r="A879">
        <v>501</v>
      </c>
      <c r="B879" t="s">
        <v>50</v>
      </c>
      <c r="C879" t="s">
        <v>31</v>
      </c>
      <c r="D879">
        <v>92</v>
      </c>
      <c r="E879" t="s">
        <v>34</v>
      </c>
      <c r="F879">
        <v>1</v>
      </c>
      <c r="G879" t="str">
        <f t="shared" si="12"/>
        <v>M0113-A-92-1</v>
      </c>
      <c r="H879">
        <v>158.49</v>
      </c>
      <c r="I879">
        <v>159.07</v>
      </c>
    </row>
    <row r="880" spans="1:9" x14ac:dyDescent="0.3">
      <c r="A880">
        <v>501</v>
      </c>
      <c r="B880" t="s">
        <v>50</v>
      </c>
      <c r="C880" t="s">
        <v>31</v>
      </c>
      <c r="D880">
        <v>93</v>
      </c>
      <c r="E880" t="s">
        <v>34</v>
      </c>
      <c r="F880">
        <v>1</v>
      </c>
      <c r="G880" t="str">
        <f t="shared" si="12"/>
        <v>M0113-A-93-1</v>
      </c>
      <c r="H880">
        <v>161.49</v>
      </c>
      <c r="I880">
        <v>162.01</v>
      </c>
    </row>
    <row r="881" spans="1:9" x14ac:dyDescent="0.3">
      <c r="A881">
        <v>501</v>
      </c>
      <c r="B881" t="s">
        <v>50</v>
      </c>
      <c r="C881" t="s">
        <v>31</v>
      </c>
      <c r="D881">
        <v>94</v>
      </c>
      <c r="E881" t="s">
        <v>34</v>
      </c>
      <c r="F881">
        <v>1</v>
      </c>
      <c r="G881" t="str">
        <f t="shared" si="12"/>
        <v>M0113-A-94-1</v>
      </c>
      <c r="H881">
        <v>162.99</v>
      </c>
      <c r="I881">
        <v>163.31</v>
      </c>
    </row>
    <row r="882" spans="1:9" x14ac:dyDescent="0.3">
      <c r="A882">
        <v>501</v>
      </c>
      <c r="B882" t="s">
        <v>50</v>
      </c>
      <c r="C882" t="s">
        <v>31</v>
      </c>
      <c r="D882">
        <v>95</v>
      </c>
      <c r="E882" t="s">
        <v>34</v>
      </c>
      <c r="F882">
        <v>1</v>
      </c>
      <c r="G882" t="str">
        <f t="shared" si="12"/>
        <v>M0113-A-95-1</v>
      </c>
      <c r="H882">
        <v>164.49</v>
      </c>
      <c r="I882">
        <v>164.88</v>
      </c>
    </row>
    <row r="883" spans="1:9" x14ac:dyDescent="0.3">
      <c r="A883">
        <v>501</v>
      </c>
      <c r="B883" t="s">
        <v>50</v>
      </c>
      <c r="C883" t="s">
        <v>31</v>
      </c>
      <c r="D883">
        <v>95</v>
      </c>
      <c r="E883" t="s">
        <v>34</v>
      </c>
      <c r="F883">
        <v>2</v>
      </c>
      <c r="G883" t="str">
        <f t="shared" si="12"/>
        <v>M0113-A-95-2</v>
      </c>
      <c r="H883">
        <v>164.88</v>
      </c>
      <c r="I883">
        <v>165.23</v>
      </c>
    </row>
    <row r="884" spans="1:9" x14ac:dyDescent="0.3">
      <c r="A884">
        <v>501</v>
      </c>
      <c r="B884" t="s">
        <v>50</v>
      </c>
      <c r="C884" t="s">
        <v>31</v>
      </c>
      <c r="D884">
        <v>96</v>
      </c>
      <c r="E884" t="s">
        <v>34</v>
      </c>
      <c r="F884">
        <v>1</v>
      </c>
      <c r="G884" t="str">
        <f t="shared" si="12"/>
        <v>M0113-A-96-1</v>
      </c>
      <c r="H884">
        <v>165.99</v>
      </c>
      <c r="I884">
        <v>166.36</v>
      </c>
    </row>
    <row r="885" spans="1:9" x14ac:dyDescent="0.3">
      <c r="A885">
        <v>501</v>
      </c>
      <c r="B885" t="s">
        <v>50</v>
      </c>
      <c r="C885" t="s">
        <v>31</v>
      </c>
      <c r="D885">
        <v>96</v>
      </c>
      <c r="E885" t="s">
        <v>34</v>
      </c>
      <c r="F885">
        <v>2</v>
      </c>
      <c r="G885" t="str">
        <f t="shared" si="12"/>
        <v>M0113-A-96-2</v>
      </c>
      <c r="H885">
        <v>166.36</v>
      </c>
      <c r="I885">
        <v>166.48</v>
      </c>
    </row>
    <row r="886" spans="1:9" x14ac:dyDescent="0.3">
      <c r="A886">
        <v>501</v>
      </c>
      <c r="B886" t="s">
        <v>50</v>
      </c>
      <c r="C886" t="s">
        <v>31</v>
      </c>
      <c r="D886">
        <v>97</v>
      </c>
      <c r="E886" t="s">
        <v>34</v>
      </c>
      <c r="F886">
        <v>1</v>
      </c>
      <c r="G886" t="str">
        <f t="shared" si="12"/>
        <v>M0113-A-97-1</v>
      </c>
      <c r="H886">
        <v>167.49</v>
      </c>
      <c r="I886">
        <v>168.94</v>
      </c>
    </row>
    <row r="887" spans="1:9" x14ac:dyDescent="0.3">
      <c r="A887">
        <v>501</v>
      </c>
      <c r="B887" t="s">
        <v>50</v>
      </c>
      <c r="C887" t="s">
        <v>31</v>
      </c>
      <c r="D887">
        <v>98</v>
      </c>
      <c r="E887" t="s">
        <v>34</v>
      </c>
      <c r="F887">
        <v>1</v>
      </c>
      <c r="G887" t="str">
        <f t="shared" si="12"/>
        <v>M0113-A-98-1</v>
      </c>
      <c r="H887">
        <v>168.99</v>
      </c>
      <c r="I887">
        <v>169.45</v>
      </c>
    </row>
    <row r="888" spans="1:9" x14ac:dyDescent="0.3">
      <c r="A888">
        <v>501</v>
      </c>
      <c r="B888" t="s">
        <v>50</v>
      </c>
      <c r="C888" t="s">
        <v>31</v>
      </c>
      <c r="D888">
        <v>99</v>
      </c>
      <c r="E888" t="s">
        <v>34</v>
      </c>
      <c r="F888">
        <v>1</v>
      </c>
      <c r="G888" t="str">
        <f t="shared" ref="G888:G951" si="13">CONCATENATE(B888, "-",C888, "-", D888, "-", F888)</f>
        <v>M0113-A-99-1</v>
      </c>
      <c r="H888">
        <v>170.49</v>
      </c>
      <c r="I888">
        <v>171.49</v>
      </c>
    </row>
    <row r="889" spans="1:9" x14ac:dyDescent="0.3">
      <c r="A889">
        <v>501</v>
      </c>
      <c r="B889" t="s">
        <v>50</v>
      </c>
      <c r="C889" t="s">
        <v>31</v>
      </c>
      <c r="D889">
        <v>99</v>
      </c>
      <c r="E889" t="s">
        <v>34</v>
      </c>
      <c r="F889">
        <v>2</v>
      </c>
      <c r="G889" t="str">
        <f t="shared" si="13"/>
        <v>M0113-A-99-2</v>
      </c>
      <c r="H889">
        <v>171.49</v>
      </c>
      <c r="I889">
        <v>171.91</v>
      </c>
    </row>
    <row r="890" spans="1:9" x14ac:dyDescent="0.3">
      <c r="A890">
        <v>501</v>
      </c>
      <c r="B890" t="s">
        <v>50</v>
      </c>
      <c r="C890" t="s">
        <v>31</v>
      </c>
      <c r="D890">
        <v>100</v>
      </c>
      <c r="E890" t="s">
        <v>34</v>
      </c>
      <c r="F890">
        <v>1</v>
      </c>
      <c r="G890" t="str">
        <f t="shared" si="13"/>
        <v>M0113-A-100-1</v>
      </c>
      <c r="H890">
        <v>171.99</v>
      </c>
      <c r="I890">
        <v>172.46</v>
      </c>
    </row>
    <row r="891" spans="1:9" x14ac:dyDescent="0.3">
      <c r="A891">
        <v>501</v>
      </c>
      <c r="B891" t="s">
        <v>50</v>
      </c>
      <c r="C891" t="s">
        <v>31</v>
      </c>
      <c r="D891">
        <v>101</v>
      </c>
      <c r="E891" t="s">
        <v>34</v>
      </c>
      <c r="F891">
        <v>1</v>
      </c>
      <c r="G891" t="str">
        <f t="shared" si="13"/>
        <v>M0113-A-101-1</v>
      </c>
      <c r="H891">
        <v>173.49</v>
      </c>
      <c r="I891">
        <v>173.96</v>
      </c>
    </row>
    <row r="892" spans="1:9" x14ac:dyDescent="0.3">
      <c r="A892">
        <v>501</v>
      </c>
      <c r="B892" t="s">
        <v>50</v>
      </c>
      <c r="C892" t="s">
        <v>31</v>
      </c>
      <c r="D892">
        <v>102</v>
      </c>
      <c r="E892" t="s">
        <v>34</v>
      </c>
      <c r="F892">
        <v>1</v>
      </c>
      <c r="G892" t="str">
        <f t="shared" si="13"/>
        <v>M0113-A-102-1</v>
      </c>
      <c r="H892">
        <v>174.99</v>
      </c>
      <c r="I892">
        <v>175.89</v>
      </c>
    </row>
    <row r="893" spans="1:9" x14ac:dyDescent="0.3">
      <c r="A893">
        <v>501</v>
      </c>
      <c r="B893" t="s">
        <v>50</v>
      </c>
      <c r="C893" t="s">
        <v>31</v>
      </c>
      <c r="D893">
        <v>102</v>
      </c>
      <c r="E893" t="s">
        <v>34</v>
      </c>
      <c r="F893">
        <v>2</v>
      </c>
      <c r="G893" t="str">
        <f t="shared" si="13"/>
        <v>M0113-A-102-2</v>
      </c>
      <c r="H893">
        <v>175.89</v>
      </c>
      <c r="I893">
        <v>176.34</v>
      </c>
    </row>
    <row r="894" spans="1:9" x14ac:dyDescent="0.3">
      <c r="A894">
        <v>501</v>
      </c>
      <c r="B894" t="s">
        <v>50</v>
      </c>
      <c r="C894" t="s">
        <v>31</v>
      </c>
      <c r="D894">
        <v>103</v>
      </c>
      <c r="E894" t="s">
        <v>34</v>
      </c>
      <c r="F894">
        <v>1</v>
      </c>
      <c r="G894" t="str">
        <f t="shared" si="13"/>
        <v>M0113-A-103-1</v>
      </c>
      <c r="H894">
        <v>176.49</v>
      </c>
      <c r="I894">
        <v>176.89</v>
      </c>
    </row>
    <row r="895" spans="1:9" x14ac:dyDescent="0.3">
      <c r="A895">
        <v>501</v>
      </c>
      <c r="B895" t="s">
        <v>50</v>
      </c>
      <c r="C895" t="s">
        <v>31</v>
      </c>
      <c r="D895">
        <v>104</v>
      </c>
      <c r="E895" t="s">
        <v>34</v>
      </c>
      <c r="F895">
        <v>1</v>
      </c>
      <c r="G895" t="str">
        <f t="shared" si="13"/>
        <v>M0113-A-104-1</v>
      </c>
      <c r="H895">
        <v>177.99</v>
      </c>
      <c r="I895">
        <v>179.45</v>
      </c>
    </row>
    <row r="896" spans="1:9" x14ac:dyDescent="0.3">
      <c r="A896">
        <v>501</v>
      </c>
      <c r="B896" t="s">
        <v>50</v>
      </c>
      <c r="C896" t="s">
        <v>31</v>
      </c>
      <c r="D896">
        <v>105</v>
      </c>
      <c r="E896" t="s">
        <v>34</v>
      </c>
      <c r="F896">
        <v>1</v>
      </c>
      <c r="G896" t="str">
        <f t="shared" si="13"/>
        <v>M0113-A-105-1</v>
      </c>
      <c r="H896">
        <v>179.49</v>
      </c>
      <c r="I896">
        <v>180.49</v>
      </c>
    </row>
    <row r="897" spans="1:9" x14ac:dyDescent="0.3">
      <c r="A897">
        <v>501</v>
      </c>
      <c r="B897" t="s">
        <v>50</v>
      </c>
      <c r="C897" t="s">
        <v>31</v>
      </c>
      <c r="D897">
        <v>105</v>
      </c>
      <c r="E897" t="s">
        <v>34</v>
      </c>
      <c r="F897">
        <v>2</v>
      </c>
      <c r="G897" t="str">
        <f t="shared" si="13"/>
        <v>M0113-A-105-2</v>
      </c>
      <c r="H897">
        <v>180.49</v>
      </c>
      <c r="I897">
        <v>181.19</v>
      </c>
    </row>
    <row r="898" spans="1:9" x14ac:dyDescent="0.3">
      <c r="A898">
        <v>501</v>
      </c>
      <c r="B898" t="s">
        <v>50</v>
      </c>
      <c r="C898" t="s">
        <v>31</v>
      </c>
      <c r="D898">
        <v>105</v>
      </c>
      <c r="E898" t="s">
        <v>34</v>
      </c>
      <c r="F898">
        <v>3</v>
      </c>
      <c r="G898" t="str">
        <f t="shared" si="13"/>
        <v>M0113-A-105-3</v>
      </c>
      <c r="H898">
        <v>181.19</v>
      </c>
      <c r="I898">
        <v>181.28</v>
      </c>
    </row>
    <row r="899" spans="1:9" x14ac:dyDescent="0.3">
      <c r="A899">
        <v>501</v>
      </c>
      <c r="B899" t="s">
        <v>50</v>
      </c>
      <c r="C899" t="s">
        <v>31</v>
      </c>
      <c r="D899">
        <v>106</v>
      </c>
      <c r="E899" t="s">
        <v>34</v>
      </c>
      <c r="F899">
        <v>1</v>
      </c>
      <c r="G899" t="str">
        <f t="shared" si="13"/>
        <v>M0113-A-106-1</v>
      </c>
      <c r="H899">
        <v>182.49</v>
      </c>
      <c r="I899">
        <v>182.72</v>
      </c>
    </row>
    <row r="900" spans="1:9" x14ac:dyDescent="0.3">
      <c r="A900">
        <v>501</v>
      </c>
      <c r="B900" t="s">
        <v>50</v>
      </c>
      <c r="C900" t="s">
        <v>31</v>
      </c>
      <c r="D900">
        <v>107</v>
      </c>
      <c r="E900" t="s">
        <v>34</v>
      </c>
      <c r="F900">
        <v>1</v>
      </c>
      <c r="G900" t="str">
        <f t="shared" si="13"/>
        <v>M0113-A-107-1</v>
      </c>
      <c r="H900">
        <v>185.49</v>
      </c>
      <c r="I900">
        <v>186.49</v>
      </c>
    </row>
    <row r="901" spans="1:9" x14ac:dyDescent="0.3">
      <c r="A901">
        <v>501</v>
      </c>
      <c r="B901" t="s">
        <v>50</v>
      </c>
      <c r="C901" t="s">
        <v>31</v>
      </c>
      <c r="D901">
        <v>107</v>
      </c>
      <c r="E901" t="s">
        <v>34</v>
      </c>
      <c r="F901">
        <v>2</v>
      </c>
      <c r="G901" t="str">
        <f t="shared" si="13"/>
        <v>M0113-A-107-2</v>
      </c>
      <c r="H901">
        <v>186.49</v>
      </c>
      <c r="I901">
        <v>187.07</v>
      </c>
    </row>
    <row r="902" spans="1:9" x14ac:dyDescent="0.3">
      <c r="A902">
        <v>501</v>
      </c>
      <c r="B902" t="s">
        <v>50</v>
      </c>
      <c r="C902" t="s">
        <v>31</v>
      </c>
      <c r="D902">
        <v>108</v>
      </c>
      <c r="E902" t="s">
        <v>34</v>
      </c>
      <c r="F902">
        <v>1</v>
      </c>
      <c r="G902" t="str">
        <f t="shared" si="13"/>
        <v>M0113-A-108-1</v>
      </c>
      <c r="H902">
        <v>186.99</v>
      </c>
      <c r="I902">
        <v>188.03</v>
      </c>
    </row>
    <row r="903" spans="1:9" x14ac:dyDescent="0.3">
      <c r="A903">
        <v>501</v>
      </c>
      <c r="B903" t="s">
        <v>50</v>
      </c>
      <c r="C903" t="s">
        <v>31</v>
      </c>
      <c r="D903">
        <v>109</v>
      </c>
      <c r="E903" t="s">
        <v>34</v>
      </c>
      <c r="F903">
        <v>1</v>
      </c>
      <c r="G903" t="str">
        <f t="shared" si="13"/>
        <v>M0113-A-109-1</v>
      </c>
      <c r="H903">
        <v>188.49</v>
      </c>
      <c r="I903">
        <v>188.75</v>
      </c>
    </row>
    <row r="904" spans="1:9" x14ac:dyDescent="0.3">
      <c r="A904">
        <v>501</v>
      </c>
      <c r="B904" t="s">
        <v>50</v>
      </c>
      <c r="C904" t="s">
        <v>31</v>
      </c>
      <c r="D904">
        <v>110</v>
      </c>
      <c r="E904" t="s">
        <v>34</v>
      </c>
      <c r="F904">
        <v>1</v>
      </c>
      <c r="G904" t="str">
        <f t="shared" si="13"/>
        <v>M0113-A-110-1</v>
      </c>
      <c r="H904">
        <v>189.99</v>
      </c>
      <c r="I904">
        <v>190.98</v>
      </c>
    </row>
    <row r="905" spans="1:9" x14ac:dyDescent="0.3">
      <c r="A905">
        <v>501</v>
      </c>
      <c r="B905" t="s">
        <v>50</v>
      </c>
      <c r="C905" t="s">
        <v>31</v>
      </c>
      <c r="D905">
        <v>110</v>
      </c>
      <c r="E905" t="s">
        <v>34</v>
      </c>
      <c r="F905">
        <v>2</v>
      </c>
      <c r="G905" t="str">
        <f t="shared" si="13"/>
        <v>M0113-A-110-2</v>
      </c>
      <c r="H905">
        <v>190.98</v>
      </c>
      <c r="I905">
        <v>191.48</v>
      </c>
    </row>
    <row r="906" spans="1:9" x14ac:dyDescent="0.3">
      <c r="A906">
        <v>501</v>
      </c>
      <c r="B906" t="s">
        <v>50</v>
      </c>
      <c r="C906" t="s">
        <v>31</v>
      </c>
      <c r="D906">
        <v>111</v>
      </c>
      <c r="E906" t="s">
        <v>34</v>
      </c>
      <c r="F906">
        <v>1</v>
      </c>
      <c r="G906" t="str">
        <f t="shared" si="13"/>
        <v>M0113-A-111-1</v>
      </c>
      <c r="H906">
        <v>191.49</v>
      </c>
      <c r="I906">
        <v>191.74</v>
      </c>
    </row>
    <row r="907" spans="1:9" x14ac:dyDescent="0.3">
      <c r="A907">
        <v>501</v>
      </c>
      <c r="B907" t="s">
        <v>50</v>
      </c>
      <c r="C907" t="s">
        <v>31</v>
      </c>
      <c r="D907">
        <v>112</v>
      </c>
      <c r="E907" t="s">
        <v>34</v>
      </c>
      <c r="F907">
        <v>1</v>
      </c>
      <c r="G907" t="str">
        <f t="shared" si="13"/>
        <v>M0113-A-112-1</v>
      </c>
      <c r="H907">
        <v>192.99</v>
      </c>
      <c r="I907">
        <v>193.26</v>
      </c>
    </row>
    <row r="908" spans="1:9" x14ac:dyDescent="0.3">
      <c r="A908">
        <v>501</v>
      </c>
      <c r="B908" t="s">
        <v>50</v>
      </c>
      <c r="C908" t="s">
        <v>31</v>
      </c>
      <c r="D908">
        <v>114</v>
      </c>
      <c r="E908" t="s">
        <v>34</v>
      </c>
      <c r="F908">
        <v>1</v>
      </c>
      <c r="G908" t="str">
        <f t="shared" si="13"/>
        <v>M0113-A-114-1</v>
      </c>
      <c r="H908">
        <v>195.99</v>
      </c>
      <c r="I908">
        <v>196.42</v>
      </c>
    </row>
    <row r="909" spans="1:9" x14ac:dyDescent="0.3">
      <c r="A909">
        <v>501</v>
      </c>
      <c r="B909" t="s">
        <v>50</v>
      </c>
      <c r="C909" t="s">
        <v>31</v>
      </c>
      <c r="D909">
        <v>115</v>
      </c>
      <c r="E909" t="s">
        <v>34</v>
      </c>
      <c r="F909">
        <v>1</v>
      </c>
      <c r="G909" t="str">
        <f t="shared" si="13"/>
        <v>M0113-A-115-1</v>
      </c>
      <c r="H909">
        <v>197.49</v>
      </c>
      <c r="I909">
        <v>197.9</v>
      </c>
    </row>
    <row r="910" spans="1:9" x14ac:dyDescent="0.3">
      <c r="A910">
        <v>501</v>
      </c>
      <c r="B910" t="s">
        <v>50</v>
      </c>
      <c r="C910" t="s">
        <v>31</v>
      </c>
      <c r="D910">
        <v>116</v>
      </c>
      <c r="E910" t="s">
        <v>34</v>
      </c>
      <c r="F910">
        <v>1</v>
      </c>
      <c r="G910" t="str">
        <f t="shared" si="13"/>
        <v>M0113-A-116-1</v>
      </c>
      <c r="H910">
        <v>198.99</v>
      </c>
      <c r="I910">
        <v>200</v>
      </c>
    </row>
    <row r="911" spans="1:9" x14ac:dyDescent="0.3">
      <c r="A911">
        <v>501</v>
      </c>
      <c r="B911" t="s">
        <v>50</v>
      </c>
      <c r="C911" t="s">
        <v>31</v>
      </c>
      <c r="D911">
        <v>117</v>
      </c>
      <c r="E911" t="s">
        <v>34</v>
      </c>
      <c r="F911">
        <v>1</v>
      </c>
      <c r="G911" t="str">
        <f t="shared" si="13"/>
        <v>M0113-A-117-1</v>
      </c>
      <c r="H911">
        <v>200.49</v>
      </c>
      <c r="I911">
        <v>200.94</v>
      </c>
    </row>
    <row r="912" spans="1:9" x14ac:dyDescent="0.3">
      <c r="A912">
        <v>501</v>
      </c>
      <c r="B912" t="s">
        <v>50</v>
      </c>
      <c r="C912" t="s">
        <v>31</v>
      </c>
      <c r="D912">
        <v>117</v>
      </c>
      <c r="E912" t="s">
        <v>34</v>
      </c>
      <c r="F912">
        <v>2</v>
      </c>
      <c r="G912" t="str">
        <f t="shared" si="13"/>
        <v>M0113-A-117-2</v>
      </c>
      <c r="H912">
        <v>200.94</v>
      </c>
      <c r="I912">
        <v>201.33</v>
      </c>
    </row>
    <row r="913" spans="1:9" x14ac:dyDescent="0.3">
      <c r="A913">
        <v>501</v>
      </c>
      <c r="B913" t="s">
        <v>50</v>
      </c>
      <c r="C913" t="s">
        <v>31</v>
      </c>
      <c r="D913">
        <v>118</v>
      </c>
      <c r="E913" t="s">
        <v>34</v>
      </c>
      <c r="F913">
        <v>1</v>
      </c>
      <c r="G913" t="str">
        <f t="shared" si="13"/>
        <v>M0113-A-118-1</v>
      </c>
      <c r="H913">
        <v>201.99</v>
      </c>
      <c r="I913">
        <v>202.49</v>
      </c>
    </row>
    <row r="914" spans="1:9" x14ac:dyDescent="0.3">
      <c r="A914">
        <v>501</v>
      </c>
      <c r="B914" t="s">
        <v>50</v>
      </c>
      <c r="C914" t="s">
        <v>31</v>
      </c>
      <c r="D914">
        <v>118</v>
      </c>
      <c r="E914" t="s">
        <v>34</v>
      </c>
      <c r="F914">
        <v>2</v>
      </c>
      <c r="G914" t="str">
        <f t="shared" si="13"/>
        <v>M0113-A-118-2</v>
      </c>
      <c r="H914">
        <v>202.49</v>
      </c>
      <c r="I914">
        <v>202.79</v>
      </c>
    </row>
    <row r="915" spans="1:9" x14ac:dyDescent="0.3">
      <c r="A915">
        <v>501</v>
      </c>
      <c r="B915" t="s">
        <v>50</v>
      </c>
      <c r="C915" t="s">
        <v>31</v>
      </c>
      <c r="D915">
        <v>119</v>
      </c>
      <c r="E915" t="s">
        <v>34</v>
      </c>
      <c r="F915">
        <v>1</v>
      </c>
      <c r="G915" t="str">
        <f t="shared" si="13"/>
        <v>M0113-A-119-1</v>
      </c>
      <c r="H915">
        <v>203.49</v>
      </c>
      <c r="I915">
        <v>204.23</v>
      </c>
    </row>
    <row r="916" spans="1:9" x14ac:dyDescent="0.3">
      <c r="A916">
        <v>501</v>
      </c>
      <c r="B916" t="s">
        <v>50</v>
      </c>
      <c r="C916" t="s">
        <v>31</v>
      </c>
      <c r="D916">
        <v>120</v>
      </c>
      <c r="E916" t="s">
        <v>34</v>
      </c>
      <c r="F916">
        <v>1</v>
      </c>
      <c r="G916" t="str">
        <f t="shared" si="13"/>
        <v>M0113-A-120-1</v>
      </c>
      <c r="H916">
        <v>204.99</v>
      </c>
      <c r="I916">
        <v>205.59</v>
      </c>
    </row>
    <row r="917" spans="1:9" x14ac:dyDescent="0.3">
      <c r="A917">
        <v>501</v>
      </c>
      <c r="B917" t="s">
        <v>50</v>
      </c>
      <c r="C917" t="s">
        <v>31</v>
      </c>
      <c r="D917">
        <v>121</v>
      </c>
      <c r="E917" t="s">
        <v>34</v>
      </c>
      <c r="F917">
        <v>1</v>
      </c>
      <c r="G917" t="str">
        <f t="shared" si="13"/>
        <v>M0113-A-121-1</v>
      </c>
      <c r="H917">
        <v>206.49</v>
      </c>
      <c r="I917">
        <v>207.98</v>
      </c>
    </row>
    <row r="918" spans="1:9" x14ac:dyDescent="0.3">
      <c r="A918">
        <v>501</v>
      </c>
      <c r="B918" t="s">
        <v>50</v>
      </c>
      <c r="C918" t="s">
        <v>31</v>
      </c>
      <c r="D918">
        <v>122</v>
      </c>
      <c r="E918" t="s">
        <v>34</v>
      </c>
      <c r="F918">
        <v>1</v>
      </c>
      <c r="G918" t="str">
        <f t="shared" si="13"/>
        <v>M0113-A-122-1</v>
      </c>
      <c r="H918">
        <v>207.99</v>
      </c>
      <c r="I918">
        <v>208.31</v>
      </c>
    </row>
    <row r="919" spans="1:9" x14ac:dyDescent="0.3">
      <c r="A919">
        <v>501</v>
      </c>
      <c r="B919" t="s">
        <v>50</v>
      </c>
      <c r="C919" t="s">
        <v>31</v>
      </c>
      <c r="D919">
        <v>123</v>
      </c>
      <c r="E919" t="s">
        <v>34</v>
      </c>
      <c r="F919">
        <v>1</v>
      </c>
      <c r="G919" t="str">
        <f t="shared" si="13"/>
        <v>M0113-A-123-1</v>
      </c>
      <c r="H919">
        <v>209.49</v>
      </c>
      <c r="I919">
        <v>209.74</v>
      </c>
    </row>
    <row r="920" spans="1:9" x14ac:dyDescent="0.3">
      <c r="A920">
        <v>501</v>
      </c>
      <c r="B920" t="s">
        <v>50</v>
      </c>
      <c r="C920" t="s">
        <v>31</v>
      </c>
      <c r="D920">
        <v>124</v>
      </c>
      <c r="E920" t="s">
        <v>34</v>
      </c>
      <c r="F920">
        <v>1</v>
      </c>
      <c r="G920" t="str">
        <f t="shared" si="13"/>
        <v>M0113-A-124-1</v>
      </c>
      <c r="H920">
        <v>210.99</v>
      </c>
      <c r="I920">
        <v>211.99</v>
      </c>
    </row>
    <row r="921" spans="1:9" x14ac:dyDescent="0.3">
      <c r="A921">
        <v>501</v>
      </c>
      <c r="B921" t="s">
        <v>50</v>
      </c>
      <c r="C921" t="s">
        <v>31</v>
      </c>
      <c r="D921">
        <v>124</v>
      </c>
      <c r="E921" t="s">
        <v>34</v>
      </c>
      <c r="F921">
        <v>2</v>
      </c>
      <c r="G921" t="str">
        <f t="shared" si="13"/>
        <v>M0113-A-124-2</v>
      </c>
      <c r="H921">
        <v>211.99</v>
      </c>
      <c r="I921">
        <v>212.52</v>
      </c>
    </row>
    <row r="922" spans="1:9" x14ac:dyDescent="0.3">
      <c r="A922">
        <v>501</v>
      </c>
      <c r="B922" t="s">
        <v>50</v>
      </c>
      <c r="C922" t="s">
        <v>31</v>
      </c>
      <c r="D922">
        <v>125</v>
      </c>
      <c r="E922" t="s">
        <v>34</v>
      </c>
      <c r="F922">
        <v>1</v>
      </c>
      <c r="G922" t="str">
        <f t="shared" si="13"/>
        <v>M0113-A-125-1</v>
      </c>
      <c r="H922">
        <v>212.49</v>
      </c>
      <c r="I922">
        <v>212.71</v>
      </c>
    </row>
    <row r="923" spans="1:9" x14ac:dyDescent="0.3">
      <c r="A923">
        <v>501</v>
      </c>
      <c r="B923" t="s">
        <v>50</v>
      </c>
      <c r="C923" t="s">
        <v>31</v>
      </c>
      <c r="D923">
        <v>126</v>
      </c>
      <c r="E923" t="s">
        <v>34</v>
      </c>
      <c r="F923">
        <v>1</v>
      </c>
      <c r="G923" t="str">
        <f t="shared" si="13"/>
        <v>M0113-A-126-1</v>
      </c>
      <c r="H923">
        <v>215.49</v>
      </c>
      <c r="I923">
        <v>216.34</v>
      </c>
    </row>
    <row r="924" spans="1:9" x14ac:dyDescent="0.3">
      <c r="A924">
        <v>501</v>
      </c>
      <c r="B924" t="s">
        <v>50</v>
      </c>
      <c r="C924" t="s">
        <v>31</v>
      </c>
      <c r="D924">
        <v>127</v>
      </c>
      <c r="E924" t="s">
        <v>34</v>
      </c>
      <c r="F924">
        <v>1</v>
      </c>
      <c r="G924" t="str">
        <f t="shared" si="13"/>
        <v>M0113-A-127-1</v>
      </c>
      <c r="H924">
        <v>216.99</v>
      </c>
      <c r="I924">
        <v>217.25</v>
      </c>
    </row>
    <row r="925" spans="1:9" x14ac:dyDescent="0.3">
      <c r="A925">
        <v>501</v>
      </c>
      <c r="B925" t="s">
        <v>50</v>
      </c>
      <c r="C925" t="s">
        <v>31</v>
      </c>
      <c r="D925">
        <v>128</v>
      </c>
      <c r="E925" t="s">
        <v>34</v>
      </c>
      <c r="F925">
        <v>1</v>
      </c>
      <c r="G925" t="str">
        <f t="shared" si="13"/>
        <v>M0113-A-128-1</v>
      </c>
      <c r="H925">
        <v>217.47</v>
      </c>
      <c r="I925">
        <v>217.77</v>
      </c>
    </row>
    <row r="926" spans="1:9" x14ac:dyDescent="0.3">
      <c r="A926">
        <v>501</v>
      </c>
      <c r="B926" t="s">
        <v>50</v>
      </c>
      <c r="C926" t="s">
        <v>31</v>
      </c>
      <c r="D926">
        <v>128</v>
      </c>
      <c r="E926" t="s">
        <v>34</v>
      </c>
      <c r="F926">
        <v>2</v>
      </c>
      <c r="G926" t="str">
        <f t="shared" si="13"/>
        <v>M0113-A-128-2</v>
      </c>
      <c r="H926">
        <v>217.77</v>
      </c>
      <c r="I926">
        <v>218.17</v>
      </c>
    </row>
    <row r="927" spans="1:9" x14ac:dyDescent="0.3">
      <c r="A927">
        <v>501</v>
      </c>
      <c r="B927" t="s">
        <v>50</v>
      </c>
      <c r="C927" t="s">
        <v>31</v>
      </c>
      <c r="D927">
        <v>129</v>
      </c>
      <c r="E927" t="s">
        <v>34</v>
      </c>
      <c r="F927">
        <v>1</v>
      </c>
      <c r="G927" t="str">
        <f t="shared" si="13"/>
        <v>M0113-A-129-1</v>
      </c>
      <c r="H927">
        <v>218.34</v>
      </c>
      <c r="I927">
        <v>218.88</v>
      </c>
    </row>
    <row r="928" spans="1:9" x14ac:dyDescent="0.3">
      <c r="A928">
        <v>501</v>
      </c>
      <c r="B928" t="s">
        <v>50</v>
      </c>
      <c r="C928" t="s">
        <v>31</v>
      </c>
      <c r="D928">
        <v>130</v>
      </c>
      <c r="E928" t="s">
        <v>34</v>
      </c>
      <c r="F928">
        <v>1</v>
      </c>
      <c r="G928" t="str">
        <f t="shared" si="13"/>
        <v>M0113-A-130-1</v>
      </c>
      <c r="H928">
        <v>218.74</v>
      </c>
      <c r="I928">
        <v>219</v>
      </c>
    </row>
    <row r="929" spans="1:9" x14ac:dyDescent="0.3">
      <c r="A929">
        <v>501</v>
      </c>
      <c r="B929" t="s">
        <v>50</v>
      </c>
      <c r="C929" t="s">
        <v>31</v>
      </c>
      <c r="D929">
        <v>131</v>
      </c>
      <c r="E929" t="s">
        <v>34</v>
      </c>
      <c r="F929">
        <v>1</v>
      </c>
      <c r="G929" t="str">
        <f t="shared" si="13"/>
        <v>M0113-A-131-1</v>
      </c>
      <c r="H929">
        <v>218.94</v>
      </c>
      <c r="I929">
        <v>219.24</v>
      </c>
    </row>
    <row r="930" spans="1:9" x14ac:dyDescent="0.3">
      <c r="A930">
        <v>501</v>
      </c>
      <c r="B930" t="s">
        <v>50</v>
      </c>
      <c r="C930" t="s">
        <v>31</v>
      </c>
      <c r="D930">
        <v>132</v>
      </c>
      <c r="E930" t="s">
        <v>34</v>
      </c>
      <c r="F930">
        <v>1</v>
      </c>
      <c r="G930" t="str">
        <f t="shared" si="13"/>
        <v>M0113-A-132-1</v>
      </c>
      <c r="H930">
        <v>219.44</v>
      </c>
      <c r="I930">
        <v>220.95</v>
      </c>
    </row>
    <row r="931" spans="1:9" x14ac:dyDescent="0.3">
      <c r="A931">
        <v>501</v>
      </c>
      <c r="B931" t="s">
        <v>50</v>
      </c>
      <c r="C931" t="s">
        <v>31</v>
      </c>
      <c r="D931">
        <v>132</v>
      </c>
      <c r="E931" t="s">
        <v>34</v>
      </c>
      <c r="F931">
        <v>2</v>
      </c>
      <c r="G931" t="str">
        <f t="shared" si="13"/>
        <v>M0113-A-132-2</v>
      </c>
      <c r="H931">
        <v>220.95</v>
      </c>
      <c r="I931">
        <v>221.55</v>
      </c>
    </row>
    <row r="932" spans="1:9" x14ac:dyDescent="0.3">
      <c r="A932">
        <v>501</v>
      </c>
      <c r="B932" t="s">
        <v>50</v>
      </c>
      <c r="C932" t="s">
        <v>31</v>
      </c>
      <c r="D932">
        <v>133</v>
      </c>
      <c r="E932" t="s">
        <v>34</v>
      </c>
      <c r="F932">
        <v>1</v>
      </c>
      <c r="G932" t="str">
        <f t="shared" si="13"/>
        <v>M0113-A-133-1</v>
      </c>
      <c r="H932">
        <v>221.49</v>
      </c>
      <c r="I932">
        <v>222.74</v>
      </c>
    </row>
    <row r="933" spans="1:9" x14ac:dyDescent="0.3">
      <c r="A933">
        <v>501</v>
      </c>
      <c r="B933" t="s">
        <v>50</v>
      </c>
      <c r="C933" t="s">
        <v>31</v>
      </c>
      <c r="D933">
        <v>134</v>
      </c>
      <c r="E933" t="s">
        <v>34</v>
      </c>
      <c r="F933">
        <v>1</v>
      </c>
      <c r="G933" t="str">
        <f t="shared" si="13"/>
        <v>M0113-A-134-1</v>
      </c>
      <c r="H933">
        <v>222.94</v>
      </c>
      <c r="I933">
        <v>223.41</v>
      </c>
    </row>
    <row r="934" spans="1:9" x14ac:dyDescent="0.3">
      <c r="A934">
        <v>501</v>
      </c>
      <c r="B934" t="s">
        <v>50</v>
      </c>
      <c r="C934" t="s">
        <v>31</v>
      </c>
      <c r="D934">
        <v>135</v>
      </c>
      <c r="E934" t="s">
        <v>34</v>
      </c>
      <c r="F934">
        <v>1</v>
      </c>
      <c r="G934" t="str">
        <f t="shared" si="13"/>
        <v>M0113-A-135-1</v>
      </c>
      <c r="H934">
        <v>224.49</v>
      </c>
      <c r="I934">
        <v>225.99</v>
      </c>
    </row>
    <row r="935" spans="1:9" x14ac:dyDescent="0.3">
      <c r="A935">
        <v>501</v>
      </c>
      <c r="B935" t="s">
        <v>50</v>
      </c>
      <c r="C935" t="s">
        <v>31</v>
      </c>
      <c r="D935">
        <v>135</v>
      </c>
      <c r="E935" t="s">
        <v>34</v>
      </c>
      <c r="F935">
        <v>2</v>
      </c>
      <c r="G935" t="str">
        <f t="shared" si="13"/>
        <v>M0113-A-135-2</v>
      </c>
      <c r="H935">
        <v>225.99</v>
      </c>
      <c r="I935">
        <v>227.11</v>
      </c>
    </row>
    <row r="936" spans="1:9" x14ac:dyDescent="0.3">
      <c r="A936">
        <v>501</v>
      </c>
      <c r="B936" t="s">
        <v>50</v>
      </c>
      <c r="C936" t="s">
        <v>31</v>
      </c>
      <c r="D936">
        <v>136</v>
      </c>
      <c r="E936" t="s">
        <v>34</v>
      </c>
      <c r="F936">
        <v>1</v>
      </c>
      <c r="G936" t="str">
        <f t="shared" si="13"/>
        <v>M0113-A-136-1</v>
      </c>
      <c r="H936">
        <v>227.49</v>
      </c>
      <c r="I936">
        <v>228.59</v>
      </c>
    </row>
    <row r="937" spans="1:9" x14ac:dyDescent="0.3">
      <c r="A937">
        <v>501</v>
      </c>
      <c r="B937" t="s">
        <v>50</v>
      </c>
      <c r="C937" t="s">
        <v>31</v>
      </c>
      <c r="D937">
        <v>136</v>
      </c>
      <c r="E937" t="s">
        <v>34</v>
      </c>
      <c r="F937">
        <v>2</v>
      </c>
      <c r="G937" t="str">
        <f t="shared" si="13"/>
        <v>M0113-A-136-2</v>
      </c>
      <c r="H937">
        <v>228.59</v>
      </c>
      <c r="I937">
        <v>229.23</v>
      </c>
    </row>
    <row r="938" spans="1:9" x14ac:dyDescent="0.3">
      <c r="A938">
        <v>501</v>
      </c>
      <c r="B938" t="s">
        <v>50</v>
      </c>
      <c r="C938" t="s">
        <v>31</v>
      </c>
      <c r="D938">
        <v>136</v>
      </c>
      <c r="E938" t="s">
        <v>34</v>
      </c>
      <c r="F938">
        <v>3</v>
      </c>
      <c r="G938" t="str">
        <f t="shared" si="13"/>
        <v>M0113-A-136-3</v>
      </c>
      <c r="H938">
        <v>229.23</v>
      </c>
      <c r="I938">
        <v>229.35</v>
      </c>
    </row>
    <row r="939" spans="1:9" x14ac:dyDescent="0.3">
      <c r="A939">
        <v>501</v>
      </c>
      <c r="B939" t="s">
        <v>50</v>
      </c>
      <c r="C939" t="s">
        <v>31</v>
      </c>
      <c r="D939">
        <v>137</v>
      </c>
      <c r="E939" t="s">
        <v>34</v>
      </c>
      <c r="F939">
        <v>1</v>
      </c>
      <c r="G939" t="str">
        <f t="shared" si="13"/>
        <v>M0113-A-137-1</v>
      </c>
      <c r="H939">
        <v>230.49</v>
      </c>
      <c r="I939">
        <v>230.58</v>
      </c>
    </row>
    <row r="940" spans="1:9" x14ac:dyDescent="0.3">
      <c r="A940">
        <v>501</v>
      </c>
      <c r="B940" t="s">
        <v>50</v>
      </c>
      <c r="C940" t="s">
        <v>31</v>
      </c>
      <c r="D940">
        <v>138</v>
      </c>
      <c r="E940" t="s">
        <v>46</v>
      </c>
      <c r="F940">
        <v>1</v>
      </c>
      <c r="G940" t="str">
        <f t="shared" si="13"/>
        <v>M0113-A-138-1</v>
      </c>
      <c r="H940">
        <v>231.59</v>
      </c>
      <c r="I940">
        <v>232.03</v>
      </c>
    </row>
    <row r="941" spans="1:9" x14ac:dyDescent="0.3">
      <c r="A941">
        <v>501</v>
      </c>
      <c r="B941" t="s">
        <v>50</v>
      </c>
      <c r="C941" t="s">
        <v>31</v>
      </c>
      <c r="D941">
        <v>138</v>
      </c>
      <c r="E941" t="s">
        <v>46</v>
      </c>
      <c r="F941">
        <v>2</v>
      </c>
      <c r="G941" t="str">
        <f t="shared" si="13"/>
        <v>M0113-A-138-2</v>
      </c>
      <c r="H941">
        <v>232.03</v>
      </c>
      <c r="I941">
        <v>232.17</v>
      </c>
    </row>
    <row r="942" spans="1:9" x14ac:dyDescent="0.3">
      <c r="A942">
        <v>501</v>
      </c>
      <c r="B942" t="s">
        <v>50</v>
      </c>
      <c r="C942" t="s">
        <v>31</v>
      </c>
      <c r="D942">
        <v>139</v>
      </c>
      <c r="E942" t="s">
        <v>46</v>
      </c>
      <c r="F942">
        <v>1</v>
      </c>
      <c r="G942" t="str">
        <f t="shared" si="13"/>
        <v>M0113-A-139-1</v>
      </c>
      <c r="H942">
        <v>232.17</v>
      </c>
      <c r="I942">
        <v>232.86</v>
      </c>
    </row>
    <row r="943" spans="1:9" x14ac:dyDescent="0.3">
      <c r="A943">
        <v>501</v>
      </c>
      <c r="B943" t="s">
        <v>50</v>
      </c>
      <c r="C943" t="s">
        <v>31</v>
      </c>
      <c r="D943">
        <v>140</v>
      </c>
      <c r="E943" t="s">
        <v>34</v>
      </c>
      <c r="F943">
        <v>1</v>
      </c>
      <c r="G943" t="str">
        <f t="shared" si="13"/>
        <v>M0113-A-140-1</v>
      </c>
      <c r="H943">
        <v>232.86</v>
      </c>
      <c r="I943">
        <v>233.88</v>
      </c>
    </row>
    <row r="944" spans="1:9" x14ac:dyDescent="0.3">
      <c r="A944">
        <v>501</v>
      </c>
      <c r="B944" t="s">
        <v>50</v>
      </c>
      <c r="C944" t="s">
        <v>31</v>
      </c>
      <c r="D944">
        <v>141</v>
      </c>
      <c r="E944" t="s">
        <v>34</v>
      </c>
      <c r="F944">
        <v>1</v>
      </c>
      <c r="G944" t="str">
        <f t="shared" si="13"/>
        <v>M0113-A-141-1</v>
      </c>
      <c r="H944">
        <v>233.49</v>
      </c>
      <c r="I944">
        <v>233.84</v>
      </c>
    </row>
    <row r="945" spans="1:9" x14ac:dyDescent="0.3">
      <c r="A945">
        <v>501</v>
      </c>
      <c r="B945" t="s">
        <v>50</v>
      </c>
      <c r="C945" t="s">
        <v>31</v>
      </c>
      <c r="D945">
        <v>142</v>
      </c>
      <c r="E945" t="s">
        <v>34</v>
      </c>
      <c r="F945">
        <v>1</v>
      </c>
      <c r="G945" t="str">
        <f t="shared" si="13"/>
        <v>M0113-A-142-1</v>
      </c>
      <c r="H945">
        <v>234.99</v>
      </c>
      <c r="I945">
        <v>236.49</v>
      </c>
    </row>
    <row r="946" spans="1:9" x14ac:dyDescent="0.3">
      <c r="A946">
        <v>501</v>
      </c>
      <c r="B946" t="s">
        <v>50</v>
      </c>
      <c r="C946" t="s">
        <v>31</v>
      </c>
      <c r="D946">
        <v>142</v>
      </c>
      <c r="E946" t="s">
        <v>34</v>
      </c>
      <c r="F946">
        <v>2</v>
      </c>
      <c r="G946" t="str">
        <f t="shared" si="13"/>
        <v>M0113-A-142-2</v>
      </c>
      <c r="H946">
        <v>236.49</v>
      </c>
      <c r="I946">
        <v>237.87</v>
      </c>
    </row>
    <row r="947" spans="1:9" x14ac:dyDescent="0.3">
      <c r="A947">
        <v>501</v>
      </c>
      <c r="B947" t="s">
        <v>50</v>
      </c>
      <c r="C947" t="s">
        <v>31</v>
      </c>
      <c r="D947">
        <v>143</v>
      </c>
      <c r="E947" t="s">
        <v>34</v>
      </c>
      <c r="F947">
        <v>1</v>
      </c>
      <c r="G947" t="str">
        <f t="shared" si="13"/>
        <v>M0113-A-143-1</v>
      </c>
      <c r="H947">
        <v>236.49</v>
      </c>
      <c r="I947">
        <v>236.61</v>
      </c>
    </row>
    <row r="948" spans="1:9" x14ac:dyDescent="0.3">
      <c r="A948">
        <v>501</v>
      </c>
      <c r="B948" t="s">
        <v>50</v>
      </c>
      <c r="C948" t="s">
        <v>31</v>
      </c>
      <c r="D948">
        <v>144</v>
      </c>
      <c r="E948" t="s">
        <v>34</v>
      </c>
      <c r="F948">
        <v>1</v>
      </c>
      <c r="G948" t="str">
        <f t="shared" si="13"/>
        <v>M0113-A-144-1</v>
      </c>
      <c r="H948">
        <v>236.49</v>
      </c>
      <c r="I948">
        <v>237.4</v>
      </c>
    </row>
    <row r="949" spans="1:9" x14ac:dyDescent="0.3">
      <c r="A949">
        <v>501</v>
      </c>
      <c r="B949" t="s">
        <v>50</v>
      </c>
      <c r="C949" t="s">
        <v>31</v>
      </c>
      <c r="D949">
        <v>144</v>
      </c>
      <c r="E949" t="s">
        <v>34</v>
      </c>
      <c r="F949">
        <v>2</v>
      </c>
      <c r="G949" t="str">
        <f t="shared" si="13"/>
        <v>M0113-A-144-2</v>
      </c>
      <c r="H949">
        <v>237.4</v>
      </c>
      <c r="I949">
        <v>237.98</v>
      </c>
    </row>
    <row r="950" spans="1:9" x14ac:dyDescent="0.3">
      <c r="A950">
        <v>501</v>
      </c>
      <c r="B950" t="s">
        <v>50</v>
      </c>
      <c r="C950" t="s">
        <v>31</v>
      </c>
      <c r="D950">
        <v>145</v>
      </c>
      <c r="E950" t="s">
        <v>34</v>
      </c>
      <c r="F950">
        <v>1</v>
      </c>
      <c r="G950" t="str">
        <f t="shared" si="13"/>
        <v>M0113-A-145-1</v>
      </c>
      <c r="H950">
        <v>237.99</v>
      </c>
      <c r="I950">
        <v>239.5</v>
      </c>
    </row>
    <row r="951" spans="1:9" x14ac:dyDescent="0.3">
      <c r="A951">
        <v>501</v>
      </c>
      <c r="B951" t="s">
        <v>50</v>
      </c>
      <c r="C951" t="s">
        <v>31</v>
      </c>
      <c r="D951">
        <v>145</v>
      </c>
      <c r="E951" t="s">
        <v>34</v>
      </c>
      <c r="F951">
        <v>2</v>
      </c>
      <c r="G951" t="str">
        <f t="shared" si="13"/>
        <v>M0113-A-145-2</v>
      </c>
      <c r="H951">
        <v>239.5</v>
      </c>
      <c r="I951">
        <v>239.63</v>
      </c>
    </row>
    <row r="952" spans="1:9" x14ac:dyDescent="0.3">
      <c r="A952">
        <v>501</v>
      </c>
      <c r="B952" t="s">
        <v>50</v>
      </c>
      <c r="C952" t="s">
        <v>31</v>
      </c>
      <c r="D952">
        <v>146</v>
      </c>
      <c r="E952" t="s">
        <v>34</v>
      </c>
      <c r="F952">
        <v>1</v>
      </c>
      <c r="G952" t="str">
        <f t="shared" ref="G952:G1015" si="14">CONCATENATE(B952, "-",C952, "-", D952, "-", F952)</f>
        <v>M0113-A-146-1</v>
      </c>
      <c r="H952">
        <v>239.49</v>
      </c>
      <c r="I952">
        <v>240.37</v>
      </c>
    </row>
    <row r="953" spans="1:9" x14ac:dyDescent="0.3">
      <c r="A953">
        <v>501</v>
      </c>
      <c r="B953" t="s">
        <v>50</v>
      </c>
      <c r="C953" t="s">
        <v>31</v>
      </c>
      <c r="D953">
        <v>148</v>
      </c>
      <c r="E953" t="s">
        <v>34</v>
      </c>
      <c r="F953">
        <v>1</v>
      </c>
      <c r="G953" t="str">
        <f t="shared" si="14"/>
        <v>M0113-A-148-1</v>
      </c>
      <c r="H953">
        <v>242.49</v>
      </c>
      <c r="I953">
        <v>243.49</v>
      </c>
    </row>
    <row r="954" spans="1:9" x14ac:dyDescent="0.3">
      <c r="A954">
        <v>501</v>
      </c>
      <c r="B954" t="s">
        <v>50</v>
      </c>
      <c r="C954" t="s">
        <v>31</v>
      </c>
      <c r="D954">
        <v>148</v>
      </c>
      <c r="E954" t="s">
        <v>34</v>
      </c>
      <c r="F954">
        <v>2</v>
      </c>
      <c r="G954" t="str">
        <f t="shared" si="14"/>
        <v>M0113-A-148-2</v>
      </c>
      <c r="H954">
        <v>243.49</v>
      </c>
      <c r="I954">
        <v>244.32</v>
      </c>
    </row>
    <row r="955" spans="1:9" x14ac:dyDescent="0.3">
      <c r="A955">
        <v>501</v>
      </c>
      <c r="B955" t="s">
        <v>50</v>
      </c>
      <c r="C955" t="s">
        <v>31</v>
      </c>
      <c r="D955">
        <v>148</v>
      </c>
      <c r="E955" t="s">
        <v>34</v>
      </c>
      <c r="F955">
        <v>3</v>
      </c>
      <c r="G955" t="str">
        <f t="shared" si="14"/>
        <v>M0113-A-148-3</v>
      </c>
      <c r="H955">
        <v>244.32</v>
      </c>
      <c r="I955">
        <v>244.46</v>
      </c>
    </row>
    <row r="956" spans="1:9" x14ac:dyDescent="0.3">
      <c r="A956">
        <v>501</v>
      </c>
      <c r="B956" t="s">
        <v>50</v>
      </c>
      <c r="C956" t="s">
        <v>31</v>
      </c>
      <c r="D956">
        <v>149</v>
      </c>
      <c r="E956" t="s">
        <v>34</v>
      </c>
      <c r="F956">
        <v>1</v>
      </c>
      <c r="G956" t="str">
        <f t="shared" si="14"/>
        <v>M0113-A-149-1</v>
      </c>
      <c r="H956">
        <v>243.99</v>
      </c>
      <c r="I956">
        <v>245.49</v>
      </c>
    </row>
    <row r="957" spans="1:9" x14ac:dyDescent="0.3">
      <c r="A957">
        <v>501</v>
      </c>
      <c r="B957" t="s">
        <v>50</v>
      </c>
      <c r="C957" t="s">
        <v>31</v>
      </c>
      <c r="D957">
        <v>150</v>
      </c>
      <c r="E957" t="s">
        <v>34</v>
      </c>
      <c r="F957">
        <v>1</v>
      </c>
      <c r="G957" t="str">
        <f t="shared" si="14"/>
        <v>M0113-A-150-1</v>
      </c>
      <c r="H957">
        <v>245.49</v>
      </c>
      <c r="I957">
        <v>246.29</v>
      </c>
    </row>
    <row r="958" spans="1:9" x14ac:dyDescent="0.3">
      <c r="A958">
        <v>501</v>
      </c>
      <c r="B958" t="s">
        <v>50</v>
      </c>
      <c r="C958" t="s">
        <v>31</v>
      </c>
      <c r="D958">
        <v>151</v>
      </c>
      <c r="E958" t="s">
        <v>34</v>
      </c>
      <c r="F958">
        <v>1</v>
      </c>
      <c r="G958" t="str">
        <f t="shared" si="14"/>
        <v>M0113-A-151-1</v>
      </c>
      <c r="H958">
        <v>246.99</v>
      </c>
      <c r="I958">
        <v>247.99</v>
      </c>
    </row>
    <row r="959" spans="1:9" x14ac:dyDescent="0.3">
      <c r="A959">
        <v>501</v>
      </c>
      <c r="B959" t="s">
        <v>50</v>
      </c>
      <c r="C959" t="s">
        <v>31</v>
      </c>
      <c r="D959">
        <v>151</v>
      </c>
      <c r="E959" t="s">
        <v>34</v>
      </c>
      <c r="F959">
        <v>2</v>
      </c>
      <c r="G959" t="str">
        <f t="shared" si="14"/>
        <v>M0113-A-151-2</v>
      </c>
      <c r="H959">
        <v>247.99</v>
      </c>
      <c r="I959">
        <v>248.51</v>
      </c>
    </row>
    <row r="960" spans="1:9" x14ac:dyDescent="0.3">
      <c r="A960">
        <v>501</v>
      </c>
      <c r="B960" t="s">
        <v>50</v>
      </c>
      <c r="C960" t="s">
        <v>31</v>
      </c>
      <c r="D960">
        <v>152</v>
      </c>
      <c r="E960" t="s">
        <v>34</v>
      </c>
      <c r="F960">
        <v>1</v>
      </c>
      <c r="G960" t="str">
        <f t="shared" si="14"/>
        <v>M0113-A-152-1</v>
      </c>
      <c r="H960">
        <v>248.49</v>
      </c>
      <c r="I960">
        <v>249.87</v>
      </c>
    </row>
    <row r="961" spans="1:9" x14ac:dyDescent="0.3">
      <c r="A961">
        <v>501</v>
      </c>
      <c r="B961" t="s">
        <v>50</v>
      </c>
      <c r="C961" t="s">
        <v>31</v>
      </c>
      <c r="D961">
        <v>153</v>
      </c>
      <c r="E961" t="s">
        <v>34</v>
      </c>
      <c r="F961">
        <v>1</v>
      </c>
      <c r="G961" t="str">
        <f t="shared" si="14"/>
        <v>M0113-A-153-1</v>
      </c>
      <c r="H961">
        <v>249.99</v>
      </c>
      <c r="I961">
        <v>250.18</v>
      </c>
    </row>
    <row r="962" spans="1:9" x14ac:dyDescent="0.3">
      <c r="A962">
        <v>501</v>
      </c>
      <c r="B962" t="s">
        <v>50</v>
      </c>
      <c r="C962" t="s">
        <v>31</v>
      </c>
      <c r="D962">
        <v>154</v>
      </c>
      <c r="E962" t="s">
        <v>34</v>
      </c>
      <c r="F962">
        <v>1</v>
      </c>
      <c r="G962" t="str">
        <f t="shared" si="14"/>
        <v>M0113-A-154-1</v>
      </c>
      <c r="H962">
        <v>250.84</v>
      </c>
      <c r="I962">
        <v>251.06</v>
      </c>
    </row>
    <row r="963" spans="1:9" x14ac:dyDescent="0.3">
      <c r="A963">
        <v>501</v>
      </c>
      <c r="B963" t="s">
        <v>50</v>
      </c>
      <c r="C963" t="s">
        <v>31</v>
      </c>
      <c r="D963">
        <v>156</v>
      </c>
      <c r="E963" t="s">
        <v>46</v>
      </c>
      <c r="F963">
        <v>1</v>
      </c>
      <c r="G963" t="str">
        <f t="shared" si="14"/>
        <v>M0113-A-156-1</v>
      </c>
      <c r="H963">
        <v>252.99</v>
      </c>
      <c r="I963">
        <v>254.15</v>
      </c>
    </row>
    <row r="964" spans="1:9" x14ac:dyDescent="0.3">
      <c r="A964">
        <v>501</v>
      </c>
      <c r="B964" t="s">
        <v>50</v>
      </c>
      <c r="C964" t="s">
        <v>31</v>
      </c>
      <c r="D964">
        <v>157</v>
      </c>
      <c r="E964" t="s">
        <v>46</v>
      </c>
      <c r="F964">
        <v>1</v>
      </c>
      <c r="G964" t="str">
        <f t="shared" si="14"/>
        <v>M0113-A-157-1</v>
      </c>
      <c r="H964">
        <v>254.15</v>
      </c>
      <c r="I964">
        <v>255.65</v>
      </c>
    </row>
    <row r="965" spans="1:9" x14ac:dyDescent="0.3">
      <c r="A965">
        <v>501</v>
      </c>
      <c r="B965" t="s">
        <v>50</v>
      </c>
      <c r="C965" t="s">
        <v>31</v>
      </c>
      <c r="D965">
        <v>157</v>
      </c>
      <c r="E965" t="s">
        <v>46</v>
      </c>
      <c r="F965">
        <v>2</v>
      </c>
      <c r="G965" t="str">
        <f t="shared" si="14"/>
        <v>M0113-A-157-2</v>
      </c>
      <c r="H965">
        <v>255.65</v>
      </c>
      <c r="I965">
        <v>256.56</v>
      </c>
    </row>
    <row r="966" spans="1:9" x14ac:dyDescent="0.3">
      <c r="A966">
        <v>501</v>
      </c>
      <c r="B966" t="s">
        <v>50</v>
      </c>
      <c r="C966" t="s">
        <v>31</v>
      </c>
      <c r="D966">
        <v>158</v>
      </c>
      <c r="E966" t="s">
        <v>48</v>
      </c>
      <c r="F966">
        <v>1</v>
      </c>
      <c r="G966" t="str">
        <f t="shared" si="14"/>
        <v>M0113-A-158-1</v>
      </c>
      <c r="H966">
        <v>234.56</v>
      </c>
      <c r="I966">
        <v>256.56</v>
      </c>
    </row>
    <row r="967" spans="1:9" x14ac:dyDescent="0.3">
      <c r="A967">
        <v>501</v>
      </c>
      <c r="B967" t="s">
        <v>50</v>
      </c>
      <c r="C967" t="s">
        <v>31</v>
      </c>
      <c r="D967">
        <v>159</v>
      </c>
      <c r="E967" t="s">
        <v>46</v>
      </c>
      <c r="F967">
        <v>1</v>
      </c>
      <c r="G967" t="str">
        <f t="shared" si="14"/>
        <v>M0113-A-159-1</v>
      </c>
      <c r="H967">
        <v>256.56</v>
      </c>
      <c r="I967">
        <v>257.52</v>
      </c>
    </row>
    <row r="968" spans="1:9" x14ac:dyDescent="0.3">
      <c r="A968">
        <v>501</v>
      </c>
      <c r="B968" t="s">
        <v>50</v>
      </c>
      <c r="C968" t="s">
        <v>31</v>
      </c>
      <c r="D968">
        <v>159</v>
      </c>
      <c r="E968" t="s">
        <v>46</v>
      </c>
      <c r="F968">
        <v>2</v>
      </c>
      <c r="G968" t="str">
        <f t="shared" si="14"/>
        <v>M0113-A-159-2</v>
      </c>
      <c r="H968">
        <v>257.52</v>
      </c>
      <c r="I968">
        <v>258.29000000000002</v>
      </c>
    </row>
    <row r="969" spans="1:9" x14ac:dyDescent="0.3">
      <c r="A969">
        <v>501</v>
      </c>
      <c r="B969" t="s">
        <v>50</v>
      </c>
      <c r="C969" t="s">
        <v>31</v>
      </c>
      <c r="D969">
        <v>160</v>
      </c>
      <c r="E969" t="s">
        <v>46</v>
      </c>
      <c r="F969">
        <v>1</v>
      </c>
      <c r="G969" t="str">
        <f t="shared" si="14"/>
        <v>M0113-A-160-1</v>
      </c>
      <c r="H969">
        <v>258.29000000000002</v>
      </c>
      <c r="I969">
        <v>259.29000000000002</v>
      </c>
    </row>
    <row r="970" spans="1:9" x14ac:dyDescent="0.3">
      <c r="A970">
        <v>501</v>
      </c>
      <c r="B970" t="s">
        <v>50</v>
      </c>
      <c r="C970" t="s">
        <v>31</v>
      </c>
      <c r="D970">
        <v>160</v>
      </c>
      <c r="E970" t="s">
        <v>46</v>
      </c>
      <c r="F970">
        <v>2</v>
      </c>
      <c r="G970" t="str">
        <f t="shared" si="14"/>
        <v>M0113-A-160-2</v>
      </c>
      <c r="H970">
        <v>259.29000000000002</v>
      </c>
      <c r="I970">
        <v>259.98</v>
      </c>
    </row>
    <row r="971" spans="1:9" x14ac:dyDescent="0.3">
      <c r="A971">
        <v>501</v>
      </c>
      <c r="B971" t="s">
        <v>50</v>
      </c>
      <c r="C971" t="s">
        <v>31</v>
      </c>
      <c r="D971">
        <v>161</v>
      </c>
      <c r="E971" t="s">
        <v>46</v>
      </c>
      <c r="F971">
        <v>1</v>
      </c>
      <c r="G971" t="str">
        <f t="shared" si="14"/>
        <v>M0113-A-161-1</v>
      </c>
      <c r="H971">
        <v>259.98</v>
      </c>
      <c r="I971">
        <v>260.13</v>
      </c>
    </row>
    <row r="972" spans="1:9" x14ac:dyDescent="0.3">
      <c r="A972">
        <v>501</v>
      </c>
      <c r="B972" t="s">
        <v>50</v>
      </c>
      <c r="C972" t="s">
        <v>31</v>
      </c>
      <c r="D972">
        <v>163</v>
      </c>
      <c r="E972" t="s">
        <v>46</v>
      </c>
      <c r="F972">
        <v>1</v>
      </c>
      <c r="G972" t="str">
        <f t="shared" si="14"/>
        <v>M0113-A-163-1</v>
      </c>
      <c r="H972">
        <v>261.63</v>
      </c>
      <c r="I972">
        <v>262.49</v>
      </c>
    </row>
    <row r="973" spans="1:9" x14ac:dyDescent="0.3">
      <c r="A973">
        <v>501</v>
      </c>
      <c r="B973" t="s">
        <v>50</v>
      </c>
      <c r="C973" t="s">
        <v>31</v>
      </c>
      <c r="D973">
        <v>164</v>
      </c>
      <c r="E973" t="s">
        <v>46</v>
      </c>
      <c r="F973">
        <v>1</v>
      </c>
      <c r="G973" t="str">
        <f t="shared" si="14"/>
        <v>M0113-A-164-1</v>
      </c>
      <c r="H973">
        <v>262.49</v>
      </c>
      <c r="I973">
        <v>262.92</v>
      </c>
    </row>
    <row r="974" spans="1:9" x14ac:dyDescent="0.3">
      <c r="A974">
        <v>501</v>
      </c>
      <c r="B974" t="s">
        <v>50</v>
      </c>
      <c r="C974" t="s">
        <v>31</v>
      </c>
      <c r="D974">
        <v>165</v>
      </c>
      <c r="E974" t="s">
        <v>46</v>
      </c>
      <c r="F974">
        <v>1</v>
      </c>
      <c r="G974" t="str">
        <f t="shared" si="14"/>
        <v>M0113-A-165-1</v>
      </c>
      <c r="H974">
        <v>262.92</v>
      </c>
      <c r="I974">
        <v>264.36</v>
      </c>
    </row>
    <row r="975" spans="1:9" x14ac:dyDescent="0.3">
      <c r="A975">
        <v>501</v>
      </c>
      <c r="B975" t="s">
        <v>50</v>
      </c>
      <c r="C975" t="s">
        <v>31</v>
      </c>
      <c r="D975">
        <v>165</v>
      </c>
      <c r="E975" t="s">
        <v>46</v>
      </c>
      <c r="F975">
        <v>2</v>
      </c>
      <c r="G975" t="str">
        <f t="shared" si="14"/>
        <v>M0113-A-165-2</v>
      </c>
      <c r="H975">
        <v>264.36</v>
      </c>
      <c r="I975">
        <v>265.06</v>
      </c>
    </row>
    <row r="976" spans="1:9" x14ac:dyDescent="0.3">
      <c r="A976">
        <v>501</v>
      </c>
      <c r="B976" t="s">
        <v>50</v>
      </c>
      <c r="C976" t="s">
        <v>31</v>
      </c>
      <c r="D976">
        <v>166</v>
      </c>
      <c r="E976" t="s">
        <v>46</v>
      </c>
      <c r="F976">
        <v>1</v>
      </c>
      <c r="G976" t="str">
        <f t="shared" si="14"/>
        <v>M0113-A-166-1</v>
      </c>
      <c r="H976">
        <v>265.06</v>
      </c>
      <c r="I976">
        <v>266.06</v>
      </c>
    </row>
    <row r="977" spans="1:9" x14ac:dyDescent="0.3">
      <c r="A977">
        <v>501</v>
      </c>
      <c r="B977" t="s">
        <v>50</v>
      </c>
      <c r="C977" t="s">
        <v>31</v>
      </c>
      <c r="D977">
        <v>166</v>
      </c>
      <c r="E977" t="s">
        <v>46</v>
      </c>
      <c r="F977">
        <v>2</v>
      </c>
      <c r="G977" t="str">
        <f t="shared" si="14"/>
        <v>M0113-A-166-2</v>
      </c>
      <c r="H977">
        <v>266.06</v>
      </c>
      <c r="I977">
        <v>266.77999999999997</v>
      </c>
    </row>
    <row r="978" spans="1:9" x14ac:dyDescent="0.3">
      <c r="A978">
        <v>501</v>
      </c>
      <c r="B978" t="s">
        <v>50</v>
      </c>
      <c r="C978" t="s">
        <v>31</v>
      </c>
      <c r="D978">
        <v>167</v>
      </c>
      <c r="E978" t="s">
        <v>46</v>
      </c>
      <c r="F978">
        <v>1</v>
      </c>
      <c r="G978" t="str">
        <f t="shared" si="14"/>
        <v>M0113-A-167-1</v>
      </c>
      <c r="H978">
        <v>266.77999999999997</v>
      </c>
      <c r="I978">
        <v>268.27999999999997</v>
      </c>
    </row>
    <row r="979" spans="1:9" x14ac:dyDescent="0.3">
      <c r="A979">
        <v>501</v>
      </c>
      <c r="B979" t="s">
        <v>50</v>
      </c>
      <c r="C979" t="s">
        <v>31</v>
      </c>
      <c r="D979">
        <v>167</v>
      </c>
      <c r="E979" t="s">
        <v>46</v>
      </c>
      <c r="F979">
        <v>2</v>
      </c>
      <c r="G979" t="str">
        <f t="shared" si="14"/>
        <v>M0113-A-167-2</v>
      </c>
      <c r="H979">
        <v>268.27999999999997</v>
      </c>
      <c r="I979">
        <v>269.02999999999997</v>
      </c>
    </row>
    <row r="980" spans="1:9" x14ac:dyDescent="0.3">
      <c r="A980">
        <v>501</v>
      </c>
      <c r="B980" t="s">
        <v>50</v>
      </c>
      <c r="C980" t="s">
        <v>31</v>
      </c>
      <c r="D980">
        <v>168</v>
      </c>
      <c r="E980" t="s">
        <v>46</v>
      </c>
      <c r="F980">
        <v>1</v>
      </c>
      <c r="G980" t="str">
        <f t="shared" si="14"/>
        <v>M0113-A-168-1</v>
      </c>
      <c r="H980">
        <v>269.02999999999997</v>
      </c>
      <c r="I980">
        <v>270.52999999999997</v>
      </c>
    </row>
    <row r="981" spans="1:9" x14ac:dyDescent="0.3">
      <c r="A981">
        <v>501</v>
      </c>
      <c r="B981" t="s">
        <v>50</v>
      </c>
      <c r="C981" t="s">
        <v>31</v>
      </c>
      <c r="D981">
        <v>168</v>
      </c>
      <c r="E981" t="s">
        <v>46</v>
      </c>
      <c r="F981">
        <v>2</v>
      </c>
      <c r="G981" t="str">
        <f t="shared" si="14"/>
        <v>M0113-A-168-2</v>
      </c>
      <c r="H981">
        <v>270.52999999999997</v>
      </c>
      <c r="I981">
        <v>270.95</v>
      </c>
    </row>
    <row r="982" spans="1:9" x14ac:dyDescent="0.3">
      <c r="A982">
        <v>501</v>
      </c>
      <c r="B982" t="s">
        <v>50</v>
      </c>
      <c r="C982" t="s">
        <v>31</v>
      </c>
      <c r="D982">
        <v>169</v>
      </c>
      <c r="E982" t="s">
        <v>46</v>
      </c>
      <c r="F982">
        <v>1</v>
      </c>
      <c r="G982" t="str">
        <f t="shared" si="14"/>
        <v>M0113-A-169-1</v>
      </c>
      <c r="H982">
        <v>270.95</v>
      </c>
      <c r="I982">
        <v>272.2</v>
      </c>
    </row>
    <row r="983" spans="1:9" x14ac:dyDescent="0.3">
      <c r="A983">
        <v>501</v>
      </c>
      <c r="B983" t="s">
        <v>50</v>
      </c>
      <c r="C983" t="s">
        <v>31</v>
      </c>
      <c r="D983">
        <v>169</v>
      </c>
      <c r="E983" t="s">
        <v>46</v>
      </c>
      <c r="F983">
        <v>2</v>
      </c>
      <c r="G983" t="str">
        <f t="shared" si="14"/>
        <v>M0113-A-169-2</v>
      </c>
      <c r="H983">
        <v>272.2</v>
      </c>
      <c r="I983">
        <v>272.95999999999998</v>
      </c>
    </row>
    <row r="984" spans="1:9" x14ac:dyDescent="0.3">
      <c r="A984">
        <v>501</v>
      </c>
      <c r="B984" t="s">
        <v>50</v>
      </c>
      <c r="C984" t="s">
        <v>31</v>
      </c>
      <c r="D984">
        <v>170</v>
      </c>
      <c r="E984" t="s">
        <v>48</v>
      </c>
      <c r="F984">
        <v>1</v>
      </c>
      <c r="G984" t="str">
        <f t="shared" si="14"/>
        <v>M0113-A-170-1</v>
      </c>
      <c r="H984">
        <v>248.96</v>
      </c>
      <c r="I984">
        <v>272.95999999999998</v>
      </c>
    </row>
    <row r="985" spans="1:9" x14ac:dyDescent="0.3">
      <c r="A985">
        <v>501</v>
      </c>
      <c r="B985" t="s">
        <v>50</v>
      </c>
      <c r="C985" t="s">
        <v>31</v>
      </c>
      <c r="D985">
        <v>171</v>
      </c>
      <c r="E985" t="s">
        <v>46</v>
      </c>
      <c r="F985">
        <v>1</v>
      </c>
      <c r="G985" t="str">
        <f t="shared" si="14"/>
        <v>M0113-A-171-1</v>
      </c>
      <c r="H985">
        <v>272.95999999999998</v>
      </c>
      <c r="I985">
        <v>274.45999999999998</v>
      </c>
    </row>
    <row r="986" spans="1:9" x14ac:dyDescent="0.3">
      <c r="A986">
        <v>501</v>
      </c>
      <c r="B986" t="s">
        <v>50</v>
      </c>
      <c r="C986" t="s">
        <v>31</v>
      </c>
      <c r="D986">
        <v>172</v>
      </c>
      <c r="E986" t="s">
        <v>46</v>
      </c>
      <c r="F986">
        <v>1</v>
      </c>
      <c r="G986" t="str">
        <f t="shared" si="14"/>
        <v>M0113-A-172-1</v>
      </c>
      <c r="H986">
        <v>274.45999999999998</v>
      </c>
      <c r="I986">
        <v>274.98</v>
      </c>
    </row>
    <row r="987" spans="1:9" x14ac:dyDescent="0.3">
      <c r="A987">
        <v>501</v>
      </c>
      <c r="B987" t="s">
        <v>50</v>
      </c>
      <c r="C987" t="s">
        <v>31</v>
      </c>
      <c r="D987">
        <v>172</v>
      </c>
      <c r="E987" t="s">
        <v>46</v>
      </c>
      <c r="F987">
        <v>2</v>
      </c>
      <c r="G987" t="str">
        <f t="shared" si="14"/>
        <v>M0113-A-172-2</v>
      </c>
      <c r="H987">
        <v>274.98</v>
      </c>
      <c r="I987">
        <v>275.98</v>
      </c>
    </row>
    <row r="988" spans="1:9" x14ac:dyDescent="0.3">
      <c r="A988">
        <v>501</v>
      </c>
      <c r="B988" t="s">
        <v>50</v>
      </c>
      <c r="C988" t="s">
        <v>31</v>
      </c>
      <c r="D988">
        <v>172</v>
      </c>
      <c r="E988" t="s">
        <v>46</v>
      </c>
      <c r="F988">
        <v>3</v>
      </c>
      <c r="G988" t="str">
        <f t="shared" si="14"/>
        <v>M0113-A-172-3</v>
      </c>
      <c r="H988">
        <v>275.98</v>
      </c>
      <c r="I988">
        <v>276.77999999999997</v>
      </c>
    </row>
    <row r="989" spans="1:9" x14ac:dyDescent="0.3">
      <c r="A989">
        <v>501</v>
      </c>
      <c r="B989" t="s">
        <v>50</v>
      </c>
      <c r="C989" t="s">
        <v>31</v>
      </c>
      <c r="D989">
        <v>172</v>
      </c>
      <c r="E989" t="s">
        <v>46</v>
      </c>
      <c r="F989">
        <v>4</v>
      </c>
      <c r="G989" t="str">
        <f t="shared" si="14"/>
        <v>M0113-A-172-4</v>
      </c>
      <c r="H989">
        <v>276.77999999999997</v>
      </c>
      <c r="I989">
        <v>276.83999999999997</v>
      </c>
    </row>
    <row r="990" spans="1:9" x14ac:dyDescent="0.3">
      <c r="A990">
        <v>501</v>
      </c>
      <c r="B990" t="s">
        <v>50</v>
      </c>
      <c r="C990" t="s">
        <v>31</v>
      </c>
      <c r="D990">
        <v>173</v>
      </c>
      <c r="E990" t="s">
        <v>46</v>
      </c>
      <c r="F990">
        <v>1</v>
      </c>
      <c r="G990" t="str">
        <f t="shared" si="14"/>
        <v>M0113-A-173-1</v>
      </c>
      <c r="H990">
        <v>276.83999999999997</v>
      </c>
      <c r="I990">
        <v>277.73</v>
      </c>
    </row>
    <row r="991" spans="1:9" x14ac:dyDescent="0.3">
      <c r="A991">
        <v>501</v>
      </c>
      <c r="B991" t="s">
        <v>50</v>
      </c>
      <c r="C991" t="s">
        <v>31</v>
      </c>
      <c r="D991">
        <v>174</v>
      </c>
      <c r="E991" t="s">
        <v>46</v>
      </c>
      <c r="F991">
        <v>1</v>
      </c>
      <c r="G991" t="str">
        <f t="shared" si="14"/>
        <v>M0113-A-174-1</v>
      </c>
      <c r="H991">
        <v>277.73</v>
      </c>
      <c r="I991">
        <v>277.74</v>
      </c>
    </row>
    <row r="992" spans="1:9" x14ac:dyDescent="0.3">
      <c r="A992">
        <v>501</v>
      </c>
      <c r="B992" t="s">
        <v>50</v>
      </c>
      <c r="C992" t="s">
        <v>31</v>
      </c>
      <c r="D992">
        <v>175</v>
      </c>
      <c r="E992" t="s">
        <v>34</v>
      </c>
      <c r="F992">
        <v>1</v>
      </c>
      <c r="G992" t="str">
        <f t="shared" si="14"/>
        <v>M0113-A-175-1</v>
      </c>
      <c r="H992">
        <v>277.74</v>
      </c>
      <c r="I992">
        <v>278.99</v>
      </c>
    </row>
    <row r="993" spans="1:9" x14ac:dyDescent="0.3">
      <c r="A993">
        <v>501</v>
      </c>
      <c r="B993" t="s">
        <v>50</v>
      </c>
      <c r="C993" t="s">
        <v>31</v>
      </c>
      <c r="D993">
        <v>176</v>
      </c>
      <c r="E993" t="s">
        <v>34</v>
      </c>
      <c r="F993">
        <v>1</v>
      </c>
      <c r="G993" t="str">
        <f t="shared" si="14"/>
        <v>M0113-A-176-1</v>
      </c>
      <c r="H993">
        <v>279.74</v>
      </c>
      <c r="I993">
        <v>280.13</v>
      </c>
    </row>
    <row r="994" spans="1:9" x14ac:dyDescent="0.3">
      <c r="A994">
        <v>501</v>
      </c>
      <c r="B994" t="s">
        <v>50</v>
      </c>
      <c r="C994" t="s">
        <v>31</v>
      </c>
      <c r="D994">
        <v>177</v>
      </c>
      <c r="E994" t="s">
        <v>46</v>
      </c>
      <c r="F994">
        <v>1</v>
      </c>
      <c r="G994" t="str">
        <f t="shared" si="14"/>
        <v>M0113-A-177-1</v>
      </c>
      <c r="H994">
        <v>281.49</v>
      </c>
      <c r="I994">
        <v>282.27999999999997</v>
      </c>
    </row>
    <row r="995" spans="1:9" x14ac:dyDescent="0.3">
      <c r="A995">
        <v>501</v>
      </c>
      <c r="B995" t="s">
        <v>50</v>
      </c>
      <c r="C995" t="s">
        <v>31</v>
      </c>
      <c r="D995">
        <v>177</v>
      </c>
      <c r="E995" t="s">
        <v>46</v>
      </c>
      <c r="F995">
        <v>2</v>
      </c>
      <c r="G995" t="str">
        <f t="shared" si="14"/>
        <v>M0113-A-177-2</v>
      </c>
      <c r="H995">
        <v>282.27999999999997</v>
      </c>
      <c r="I995">
        <v>282.89</v>
      </c>
    </row>
    <row r="996" spans="1:9" x14ac:dyDescent="0.3">
      <c r="A996">
        <v>501</v>
      </c>
      <c r="B996" t="s">
        <v>50</v>
      </c>
      <c r="C996" t="s">
        <v>31</v>
      </c>
      <c r="D996">
        <v>178</v>
      </c>
      <c r="E996" t="s">
        <v>46</v>
      </c>
      <c r="F996">
        <v>1</v>
      </c>
      <c r="G996" t="str">
        <f t="shared" si="14"/>
        <v>M0113-A-178-1</v>
      </c>
      <c r="H996">
        <v>282.89</v>
      </c>
      <c r="I996">
        <v>284.29000000000002</v>
      </c>
    </row>
    <row r="997" spans="1:9" x14ac:dyDescent="0.3">
      <c r="A997">
        <v>501</v>
      </c>
      <c r="B997" t="s">
        <v>50</v>
      </c>
      <c r="C997" t="s">
        <v>31</v>
      </c>
      <c r="D997">
        <v>178</v>
      </c>
      <c r="E997" t="s">
        <v>46</v>
      </c>
      <c r="F997">
        <v>2</v>
      </c>
      <c r="G997" t="str">
        <f t="shared" si="14"/>
        <v>M0113-A-178-2</v>
      </c>
      <c r="H997">
        <v>284.29000000000002</v>
      </c>
      <c r="I997">
        <v>284.79000000000002</v>
      </c>
    </row>
    <row r="998" spans="1:9" x14ac:dyDescent="0.3">
      <c r="A998">
        <v>501</v>
      </c>
      <c r="B998" t="s">
        <v>50</v>
      </c>
      <c r="C998" t="s">
        <v>31</v>
      </c>
      <c r="D998">
        <v>179</v>
      </c>
      <c r="E998" t="s">
        <v>46</v>
      </c>
      <c r="F998">
        <v>1</v>
      </c>
      <c r="G998" t="str">
        <f t="shared" si="14"/>
        <v>M0113-A-179-1</v>
      </c>
      <c r="H998">
        <v>284.79000000000002</v>
      </c>
      <c r="I998">
        <v>285.55</v>
      </c>
    </row>
    <row r="999" spans="1:9" x14ac:dyDescent="0.3">
      <c r="A999">
        <v>501</v>
      </c>
      <c r="B999" t="s">
        <v>50</v>
      </c>
      <c r="C999" t="s">
        <v>31</v>
      </c>
      <c r="D999">
        <v>179</v>
      </c>
      <c r="E999" t="s">
        <v>46</v>
      </c>
      <c r="F999">
        <v>2</v>
      </c>
      <c r="G999" t="str">
        <f t="shared" si="14"/>
        <v>M0113-A-179-2</v>
      </c>
      <c r="H999">
        <v>285.55</v>
      </c>
      <c r="I999">
        <v>286.08999999999997</v>
      </c>
    </row>
    <row r="1000" spans="1:9" x14ac:dyDescent="0.3">
      <c r="A1000">
        <v>501</v>
      </c>
      <c r="B1000" t="s">
        <v>50</v>
      </c>
      <c r="C1000" t="s">
        <v>31</v>
      </c>
      <c r="D1000">
        <v>180</v>
      </c>
      <c r="E1000" t="s">
        <v>46</v>
      </c>
      <c r="F1000">
        <v>1</v>
      </c>
      <c r="G1000" t="str">
        <f t="shared" si="14"/>
        <v>M0113-A-180-1</v>
      </c>
      <c r="H1000">
        <v>286.08999999999997</v>
      </c>
      <c r="I1000">
        <v>286.99</v>
      </c>
    </row>
    <row r="1001" spans="1:9" x14ac:dyDescent="0.3">
      <c r="A1001">
        <v>501</v>
      </c>
      <c r="B1001" t="s">
        <v>50</v>
      </c>
      <c r="C1001" t="s">
        <v>31</v>
      </c>
      <c r="D1001">
        <v>181</v>
      </c>
      <c r="E1001" t="s">
        <v>46</v>
      </c>
      <c r="F1001">
        <v>1</v>
      </c>
      <c r="G1001" t="str">
        <f t="shared" si="14"/>
        <v>M0113-A-181-1</v>
      </c>
      <c r="H1001">
        <v>286.99</v>
      </c>
      <c r="I1001">
        <v>288.39999999999998</v>
      </c>
    </row>
    <row r="1002" spans="1:9" x14ac:dyDescent="0.3">
      <c r="A1002">
        <v>501</v>
      </c>
      <c r="B1002" t="s">
        <v>50</v>
      </c>
      <c r="C1002" t="s">
        <v>31</v>
      </c>
      <c r="D1002">
        <v>182</v>
      </c>
      <c r="E1002" t="s">
        <v>46</v>
      </c>
      <c r="F1002">
        <v>1</v>
      </c>
      <c r="G1002" t="str">
        <f t="shared" si="14"/>
        <v>M0113-A-182-1</v>
      </c>
      <c r="H1002">
        <v>288.39999999999998</v>
      </c>
      <c r="I1002">
        <v>289.89999999999998</v>
      </c>
    </row>
    <row r="1003" spans="1:9" x14ac:dyDescent="0.3">
      <c r="A1003">
        <v>501</v>
      </c>
      <c r="B1003" t="s">
        <v>50</v>
      </c>
      <c r="C1003" t="s">
        <v>31</v>
      </c>
      <c r="D1003">
        <v>182</v>
      </c>
      <c r="E1003" t="s">
        <v>46</v>
      </c>
      <c r="F1003">
        <v>2</v>
      </c>
      <c r="G1003" t="str">
        <f t="shared" si="14"/>
        <v>M0113-A-182-2</v>
      </c>
      <c r="H1003">
        <v>289.89999999999998</v>
      </c>
      <c r="I1003">
        <v>290.66000000000003</v>
      </c>
    </row>
    <row r="1004" spans="1:9" x14ac:dyDescent="0.3">
      <c r="A1004">
        <v>501</v>
      </c>
      <c r="B1004" t="s">
        <v>50</v>
      </c>
      <c r="C1004" t="s">
        <v>31</v>
      </c>
      <c r="D1004">
        <v>183</v>
      </c>
      <c r="E1004" t="s">
        <v>46</v>
      </c>
      <c r="F1004">
        <v>1</v>
      </c>
      <c r="G1004" t="str">
        <f t="shared" si="14"/>
        <v>M0113-A-183-1</v>
      </c>
      <c r="H1004">
        <v>290.66000000000003</v>
      </c>
      <c r="I1004">
        <v>290.89</v>
      </c>
    </row>
    <row r="1005" spans="1:9" x14ac:dyDescent="0.3">
      <c r="A1005">
        <v>501</v>
      </c>
      <c r="B1005" t="s">
        <v>50</v>
      </c>
      <c r="C1005" t="s">
        <v>31</v>
      </c>
      <c r="D1005">
        <v>184</v>
      </c>
      <c r="E1005" t="s">
        <v>46</v>
      </c>
      <c r="F1005">
        <v>1</v>
      </c>
      <c r="G1005" t="str">
        <f t="shared" si="14"/>
        <v>M0113-A-184-1</v>
      </c>
      <c r="H1005">
        <v>290.89</v>
      </c>
      <c r="I1005">
        <v>292.19</v>
      </c>
    </row>
    <row r="1006" spans="1:9" x14ac:dyDescent="0.3">
      <c r="A1006">
        <v>501</v>
      </c>
      <c r="B1006" t="s">
        <v>50</v>
      </c>
      <c r="C1006" t="s">
        <v>31</v>
      </c>
      <c r="D1006">
        <v>185</v>
      </c>
      <c r="E1006" t="s">
        <v>46</v>
      </c>
      <c r="F1006">
        <v>1</v>
      </c>
      <c r="G1006" t="str">
        <f t="shared" si="14"/>
        <v>M0113-A-185-1</v>
      </c>
      <c r="H1006">
        <v>292.19</v>
      </c>
      <c r="I1006">
        <v>293.2</v>
      </c>
    </row>
    <row r="1007" spans="1:9" x14ac:dyDescent="0.3">
      <c r="A1007">
        <v>501</v>
      </c>
      <c r="B1007" t="s">
        <v>50</v>
      </c>
      <c r="C1007" t="s">
        <v>31</v>
      </c>
      <c r="D1007">
        <v>185</v>
      </c>
      <c r="E1007" t="s">
        <v>46</v>
      </c>
      <c r="F1007">
        <v>2</v>
      </c>
      <c r="G1007" t="str">
        <f t="shared" si="14"/>
        <v>M0113-A-185-2</v>
      </c>
      <c r="H1007">
        <v>293.2</v>
      </c>
      <c r="I1007">
        <v>293.83999999999997</v>
      </c>
    </row>
    <row r="1008" spans="1:9" x14ac:dyDescent="0.3">
      <c r="A1008">
        <v>501</v>
      </c>
      <c r="B1008" t="s">
        <v>50</v>
      </c>
      <c r="C1008" t="s">
        <v>31</v>
      </c>
      <c r="D1008">
        <v>186</v>
      </c>
      <c r="E1008" t="s">
        <v>46</v>
      </c>
      <c r="F1008">
        <v>1</v>
      </c>
      <c r="G1008" t="str">
        <f t="shared" si="14"/>
        <v>M0113-A-186-1</v>
      </c>
      <c r="H1008">
        <v>293.83999999999997</v>
      </c>
      <c r="I1008">
        <v>293.89</v>
      </c>
    </row>
    <row r="1009" spans="1:9" x14ac:dyDescent="0.3">
      <c r="A1009">
        <v>501</v>
      </c>
      <c r="B1009" t="s">
        <v>50</v>
      </c>
      <c r="C1009" t="s">
        <v>31</v>
      </c>
      <c r="D1009">
        <v>187</v>
      </c>
      <c r="E1009" t="s">
        <v>46</v>
      </c>
      <c r="F1009">
        <v>1</v>
      </c>
      <c r="G1009" t="str">
        <f t="shared" si="14"/>
        <v>M0113-A-187-1</v>
      </c>
      <c r="H1009">
        <v>293.89</v>
      </c>
      <c r="I1009">
        <v>294.47000000000003</v>
      </c>
    </row>
    <row r="1010" spans="1:9" x14ac:dyDescent="0.3">
      <c r="A1010">
        <v>501</v>
      </c>
      <c r="B1010" t="s">
        <v>50</v>
      </c>
      <c r="C1010" t="s">
        <v>31</v>
      </c>
      <c r="D1010">
        <v>188</v>
      </c>
      <c r="E1010" t="s">
        <v>46</v>
      </c>
      <c r="F1010">
        <v>1</v>
      </c>
      <c r="G1010" t="str">
        <f t="shared" si="14"/>
        <v>M0113-A-188-1</v>
      </c>
      <c r="H1010">
        <v>294.47000000000003</v>
      </c>
      <c r="I1010">
        <v>295.41000000000003</v>
      </c>
    </row>
    <row r="1011" spans="1:9" x14ac:dyDescent="0.3">
      <c r="A1011">
        <v>501</v>
      </c>
      <c r="B1011" t="s">
        <v>50</v>
      </c>
      <c r="C1011" t="s">
        <v>31</v>
      </c>
      <c r="D1011">
        <v>189</v>
      </c>
      <c r="E1011" t="s">
        <v>34</v>
      </c>
      <c r="F1011">
        <v>1</v>
      </c>
      <c r="G1011" t="str">
        <f t="shared" si="14"/>
        <v>M0113-A-189-1</v>
      </c>
      <c r="H1011">
        <v>295.41000000000003</v>
      </c>
      <c r="I1011">
        <v>295.79000000000002</v>
      </c>
    </row>
    <row r="1012" spans="1:9" x14ac:dyDescent="0.3">
      <c r="A1012">
        <v>501</v>
      </c>
      <c r="B1012" t="s">
        <v>50</v>
      </c>
      <c r="C1012" t="s">
        <v>31</v>
      </c>
      <c r="D1012">
        <v>190</v>
      </c>
      <c r="E1012" t="s">
        <v>34</v>
      </c>
      <c r="F1012">
        <v>1</v>
      </c>
      <c r="G1012" t="str">
        <f t="shared" si="14"/>
        <v>M0113-A-190-1</v>
      </c>
      <c r="H1012">
        <v>296.49</v>
      </c>
      <c r="I1012">
        <v>296.76</v>
      </c>
    </row>
    <row r="1013" spans="1:9" x14ac:dyDescent="0.3">
      <c r="A1013">
        <v>501</v>
      </c>
      <c r="B1013" t="s">
        <v>50</v>
      </c>
      <c r="C1013" t="s">
        <v>31</v>
      </c>
      <c r="D1013">
        <v>191</v>
      </c>
      <c r="E1013" t="s">
        <v>46</v>
      </c>
      <c r="F1013">
        <v>1</v>
      </c>
      <c r="G1013" t="str">
        <f t="shared" si="14"/>
        <v>M0113-A-191-1</v>
      </c>
      <c r="H1013">
        <v>297.99</v>
      </c>
      <c r="I1013">
        <v>298.99</v>
      </c>
    </row>
    <row r="1014" spans="1:9" x14ac:dyDescent="0.3">
      <c r="A1014">
        <v>501</v>
      </c>
      <c r="B1014" t="s">
        <v>50</v>
      </c>
      <c r="C1014" t="s">
        <v>31</v>
      </c>
      <c r="D1014">
        <v>191</v>
      </c>
      <c r="E1014" t="s">
        <v>46</v>
      </c>
      <c r="F1014">
        <v>2</v>
      </c>
      <c r="G1014" t="str">
        <f t="shared" si="14"/>
        <v>M0113-A-191-2</v>
      </c>
      <c r="H1014">
        <v>298.99</v>
      </c>
      <c r="I1014">
        <v>299.83</v>
      </c>
    </row>
    <row r="1015" spans="1:9" x14ac:dyDescent="0.3">
      <c r="A1015">
        <v>501</v>
      </c>
      <c r="B1015" t="s">
        <v>50</v>
      </c>
      <c r="C1015" t="s">
        <v>31</v>
      </c>
      <c r="D1015">
        <v>192</v>
      </c>
      <c r="E1015" t="s">
        <v>46</v>
      </c>
      <c r="F1015">
        <v>1</v>
      </c>
      <c r="G1015" t="str">
        <f t="shared" si="14"/>
        <v>M0113-A-192-1</v>
      </c>
      <c r="H1015">
        <v>299.83</v>
      </c>
      <c r="I1015">
        <v>300.97000000000003</v>
      </c>
    </row>
    <row r="1016" spans="1:9" x14ac:dyDescent="0.3">
      <c r="A1016">
        <v>501</v>
      </c>
      <c r="B1016" t="s">
        <v>50</v>
      </c>
      <c r="C1016" t="s">
        <v>31</v>
      </c>
      <c r="D1016">
        <v>193</v>
      </c>
      <c r="E1016" t="s">
        <v>46</v>
      </c>
      <c r="F1016">
        <v>1</v>
      </c>
      <c r="G1016" t="str">
        <f t="shared" ref="G1016:G1049" si="15">CONCATENATE(B1016, "-",C1016, "-", D1016, "-", F1016)</f>
        <v>M0113-A-193-1</v>
      </c>
      <c r="H1016">
        <v>300.97000000000003</v>
      </c>
      <c r="I1016">
        <v>301.43</v>
      </c>
    </row>
    <row r="1017" spans="1:9" x14ac:dyDescent="0.3">
      <c r="A1017">
        <v>501</v>
      </c>
      <c r="B1017" t="s">
        <v>50</v>
      </c>
      <c r="C1017" t="s">
        <v>31</v>
      </c>
      <c r="D1017">
        <v>193</v>
      </c>
      <c r="E1017" t="s">
        <v>46</v>
      </c>
      <c r="F1017">
        <v>2</v>
      </c>
      <c r="G1017" t="str">
        <f t="shared" si="15"/>
        <v>M0113-A-193-2</v>
      </c>
      <c r="H1017">
        <v>301.43</v>
      </c>
      <c r="I1017">
        <v>301.82</v>
      </c>
    </row>
    <row r="1018" spans="1:9" x14ac:dyDescent="0.3">
      <c r="A1018">
        <v>501</v>
      </c>
      <c r="B1018" t="s">
        <v>50</v>
      </c>
      <c r="C1018" t="s">
        <v>31</v>
      </c>
      <c r="D1018">
        <v>194</v>
      </c>
      <c r="E1018" t="s">
        <v>46</v>
      </c>
      <c r="F1018">
        <v>1</v>
      </c>
      <c r="G1018" t="str">
        <f t="shared" si="15"/>
        <v>M0113-A-194-1</v>
      </c>
      <c r="H1018">
        <v>301.82</v>
      </c>
      <c r="I1018">
        <v>301.95</v>
      </c>
    </row>
    <row r="1019" spans="1:9" x14ac:dyDescent="0.3">
      <c r="A1019">
        <v>501</v>
      </c>
      <c r="B1019" t="s">
        <v>50</v>
      </c>
      <c r="C1019" t="s">
        <v>31</v>
      </c>
      <c r="D1019">
        <v>194</v>
      </c>
      <c r="E1019" t="s">
        <v>46</v>
      </c>
      <c r="F1019">
        <v>2</v>
      </c>
      <c r="G1019" t="str">
        <f t="shared" si="15"/>
        <v>M0113-A-194-2</v>
      </c>
      <c r="H1019">
        <v>301.95</v>
      </c>
      <c r="I1019">
        <v>302.10000000000002</v>
      </c>
    </row>
    <row r="1020" spans="1:9" x14ac:dyDescent="0.3">
      <c r="A1020">
        <v>501</v>
      </c>
      <c r="B1020" t="s">
        <v>50</v>
      </c>
      <c r="C1020" t="s">
        <v>31</v>
      </c>
      <c r="D1020">
        <v>194</v>
      </c>
      <c r="E1020" t="s">
        <v>46</v>
      </c>
      <c r="F1020">
        <v>3</v>
      </c>
      <c r="G1020" t="str">
        <f t="shared" si="15"/>
        <v>M0113-A-194-3</v>
      </c>
      <c r="H1020">
        <v>302.10000000000002</v>
      </c>
      <c r="I1020">
        <v>302.69</v>
      </c>
    </row>
    <row r="1021" spans="1:9" x14ac:dyDescent="0.3">
      <c r="A1021">
        <v>501</v>
      </c>
      <c r="B1021" t="s">
        <v>50</v>
      </c>
      <c r="C1021" t="s">
        <v>31</v>
      </c>
      <c r="D1021">
        <v>195</v>
      </c>
      <c r="E1021" t="s">
        <v>46</v>
      </c>
      <c r="F1021">
        <v>1</v>
      </c>
      <c r="G1021" t="str">
        <f t="shared" si="15"/>
        <v>M0113-A-195-1</v>
      </c>
      <c r="H1021">
        <v>302.69</v>
      </c>
      <c r="I1021">
        <v>303.26</v>
      </c>
    </row>
    <row r="1022" spans="1:9" x14ac:dyDescent="0.3">
      <c r="A1022">
        <v>501</v>
      </c>
      <c r="B1022" t="s">
        <v>50</v>
      </c>
      <c r="C1022" t="s">
        <v>31</v>
      </c>
      <c r="D1022">
        <v>196</v>
      </c>
      <c r="E1022" t="s">
        <v>46</v>
      </c>
      <c r="F1022">
        <v>1</v>
      </c>
      <c r="G1022" t="str">
        <f t="shared" si="15"/>
        <v>M0113-A-196-1</v>
      </c>
      <c r="H1022">
        <v>303.26</v>
      </c>
      <c r="I1022">
        <v>304.36</v>
      </c>
    </row>
    <row r="1023" spans="1:9" x14ac:dyDescent="0.3">
      <c r="A1023">
        <v>501</v>
      </c>
      <c r="B1023" t="s">
        <v>50</v>
      </c>
      <c r="C1023" t="s">
        <v>31</v>
      </c>
      <c r="D1023">
        <v>196</v>
      </c>
      <c r="E1023" t="s">
        <v>46</v>
      </c>
      <c r="F1023">
        <v>2</v>
      </c>
      <c r="G1023" t="str">
        <f t="shared" si="15"/>
        <v>M0113-A-196-2</v>
      </c>
      <c r="H1023">
        <v>304.36</v>
      </c>
      <c r="I1023">
        <v>304.79000000000002</v>
      </c>
    </row>
    <row r="1024" spans="1:9" x14ac:dyDescent="0.3">
      <c r="A1024">
        <v>501</v>
      </c>
      <c r="B1024" t="s">
        <v>50</v>
      </c>
      <c r="C1024" t="s">
        <v>31</v>
      </c>
      <c r="D1024">
        <v>197</v>
      </c>
      <c r="E1024" t="s">
        <v>46</v>
      </c>
      <c r="F1024">
        <v>1</v>
      </c>
      <c r="G1024" t="str">
        <f t="shared" si="15"/>
        <v>M0113-A-197-1</v>
      </c>
      <c r="H1024">
        <v>304.79000000000002</v>
      </c>
      <c r="I1024">
        <v>305.22000000000003</v>
      </c>
    </row>
    <row r="1025" spans="1:9" x14ac:dyDescent="0.3">
      <c r="A1025">
        <v>501</v>
      </c>
      <c r="B1025" t="s">
        <v>50</v>
      </c>
      <c r="C1025" t="s">
        <v>31</v>
      </c>
      <c r="D1025">
        <v>197</v>
      </c>
      <c r="E1025" t="s">
        <v>46</v>
      </c>
      <c r="F1025">
        <v>2</v>
      </c>
      <c r="G1025" t="str">
        <f t="shared" si="15"/>
        <v>M0113-A-197-2</v>
      </c>
      <c r="H1025">
        <v>305.22000000000003</v>
      </c>
      <c r="I1025">
        <v>305.41000000000003</v>
      </c>
    </row>
    <row r="1026" spans="1:9" x14ac:dyDescent="0.3">
      <c r="A1026">
        <v>501</v>
      </c>
      <c r="B1026" t="s">
        <v>50</v>
      </c>
      <c r="C1026" t="s">
        <v>31</v>
      </c>
      <c r="D1026">
        <v>198</v>
      </c>
      <c r="E1026" t="s">
        <v>46</v>
      </c>
      <c r="F1026">
        <v>1</v>
      </c>
      <c r="G1026" t="str">
        <f t="shared" si="15"/>
        <v>M0113-A-198-1</v>
      </c>
      <c r="H1026">
        <v>305.41000000000003</v>
      </c>
      <c r="I1026">
        <v>305.49</v>
      </c>
    </row>
    <row r="1027" spans="1:9" x14ac:dyDescent="0.3">
      <c r="A1027">
        <v>501</v>
      </c>
      <c r="B1027" t="s">
        <v>50</v>
      </c>
      <c r="C1027" t="s">
        <v>31</v>
      </c>
      <c r="D1027">
        <v>198</v>
      </c>
      <c r="E1027" t="s">
        <v>46</v>
      </c>
      <c r="F1027">
        <v>2</v>
      </c>
      <c r="G1027" t="str">
        <f t="shared" si="15"/>
        <v>M0113-A-198-2</v>
      </c>
      <c r="H1027">
        <v>305.49</v>
      </c>
      <c r="I1027">
        <v>306.04000000000002</v>
      </c>
    </row>
    <row r="1028" spans="1:9" x14ac:dyDescent="0.3">
      <c r="A1028">
        <v>501</v>
      </c>
      <c r="B1028" t="s">
        <v>50</v>
      </c>
      <c r="C1028" t="s">
        <v>31</v>
      </c>
      <c r="D1028">
        <v>199</v>
      </c>
      <c r="E1028" t="s">
        <v>46</v>
      </c>
      <c r="F1028">
        <v>1</v>
      </c>
      <c r="G1028" t="str">
        <f t="shared" si="15"/>
        <v>M0113-A-199-1</v>
      </c>
      <c r="H1028">
        <v>306.04000000000002</v>
      </c>
      <c r="I1028">
        <v>306.45999999999998</v>
      </c>
    </row>
    <row r="1029" spans="1:9" x14ac:dyDescent="0.3">
      <c r="A1029">
        <v>501</v>
      </c>
      <c r="B1029" t="s">
        <v>50</v>
      </c>
      <c r="C1029" t="s">
        <v>31</v>
      </c>
      <c r="D1029">
        <v>200</v>
      </c>
      <c r="E1029" t="s">
        <v>34</v>
      </c>
      <c r="F1029">
        <v>1</v>
      </c>
      <c r="G1029" t="str">
        <f t="shared" si="15"/>
        <v>M0113-A-200-1</v>
      </c>
      <c r="H1029">
        <v>306.45999999999998</v>
      </c>
      <c r="I1029">
        <v>307.12</v>
      </c>
    </row>
    <row r="1030" spans="1:9" x14ac:dyDescent="0.3">
      <c r="A1030">
        <v>501</v>
      </c>
      <c r="B1030" t="s">
        <v>50</v>
      </c>
      <c r="C1030" t="s">
        <v>31</v>
      </c>
      <c r="D1030">
        <v>200</v>
      </c>
      <c r="E1030" t="s">
        <v>34</v>
      </c>
      <c r="F1030">
        <v>2</v>
      </c>
      <c r="G1030" t="str">
        <f t="shared" si="15"/>
        <v>M0113-A-200-2</v>
      </c>
      <c r="H1030">
        <v>307.12</v>
      </c>
      <c r="I1030">
        <v>307.45</v>
      </c>
    </row>
    <row r="1031" spans="1:9" x14ac:dyDescent="0.3">
      <c r="A1031">
        <v>501</v>
      </c>
      <c r="B1031" t="s">
        <v>50</v>
      </c>
      <c r="C1031" t="s">
        <v>31</v>
      </c>
      <c r="D1031">
        <v>200</v>
      </c>
      <c r="E1031" t="s">
        <v>34</v>
      </c>
      <c r="F1031">
        <v>3</v>
      </c>
      <c r="G1031" t="str">
        <f t="shared" si="15"/>
        <v>M0113-A-200-3</v>
      </c>
      <c r="H1031">
        <v>307.45</v>
      </c>
      <c r="I1031">
        <v>307.52999999999997</v>
      </c>
    </row>
    <row r="1032" spans="1:9" x14ac:dyDescent="0.3">
      <c r="A1032">
        <v>501</v>
      </c>
      <c r="B1032" t="s">
        <v>50</v>
      </c>
      <c r="C1032" t="s">
        <v>31</v>
      </c>
      <c r="D1032">
        <v>201</v>
      </c>
      <c r="E1032" t="s">
        <v>34</v>
      </c>
      <c r="F1032">
        <v>1</v>
      </c>
      <c r="G1032" t="str">
        <f t="shared" si="15"/>
        <v>M0113-A-201-1</v>
      </c>
      <c r="H1032">
        <v>308.49</v>
      </c>
      <c r="I1032">
        <v>308.94</v>
      </c>
    </row>
    <row r="1033" spans="1:9" x14ac:dyDescent="0.3">
      <c r="A1033">
        <v>501</v>
      </c>
      <c r="B1033" t="s">
        <v>50</v>
      </c>
      <c r="C1033" t="s">
        <v>31</v>
      </c>
      <c r="D1033">
        <v>201</v>
      </c>
      <c r="E1033" t="s">
        <v>34</v>
      </c>
      <c r="F1033">
        <v>2</v>
      </c>
      <c r="G1033" t="str">
        <f t="shared" si="15"/>
        <v>M0113-A-201-2</v>
      </c>
      <c r="H1033">
        <v>308.94</v>
      </c>
      <c r="I1033">
        <v>309.29000000000002</v>
      </c>
    </row>
    <row r="1034" spans="1:9" x14ac:dyDescent="0.3">
      <c r="A1034">
        <v>501</v>
      </c>
      <c r="B1034" t="s">
        <v>50</v>
      </c>
      <c r="C1034" t="s">
        <v>31</v>
      </c>
      <c r="D1034">
        <v>202</v>
      </c>
      <c r="E1034" t="s">
        <v>34</v>
      </c>
      <c r="F1034">
        <v>1</v>
      </c>
      <c r="G1034" t="str">
        <f t="shared" si="15"/>
        <v>M0113-A-202-1</v>
      </c>
      <c r="H1034">
        <v>311.49</v>
      </c>
      <c r="I1034">
        <v>311.99</v>
      </c>
    </row>
    <row r="1035" spans="1:9" x14ac:dyDescent="0.3">
      <c r="A1035">
        <v>501</v>
      </c>
      <c r="B1035" t="s">
        <v>50</v>
      </c>
      <c r="C1035" t="s">
        <v>31</v>
      </c>
      <c r="D1035">
        <v>203</v>
      </c>
      <c r="E1035" t="s">
        <v>34</v>
      </c>
      <c r="F1035">
        <v>1</v>
      </c>
      <c r="G1035" t="str">
        <f t="shared" si="15"/>
        <v>M0113-A-203-1</v>
      </c>
      <c r="H1035">
        <v>312.99</v>
      </c>
      <c r="I1035">
        <v>313.99</v>
      </c>
    </row>
    <row r="1036" spans="1:9" x14ac:dyDescent="0.3">
      <c r="A1036">
        <v>501</v>
      </c>
      <c r="B1036" t="s">
        <v>50</v>
      </c>
      <c r="C1036" t="s">
        <v>31</v>
      </c>
      <c r="D1036">
        <v>203</v>
      </c>
      <c r="E1036" t="s">
        <v>34</v>
      </c>
      <c r="F1036">
        <v>2</v>
      </c>
      <c r="G1036" t="str">
        <f t="shared" si="15"/>
        <v>M0113-A-203-2</v>
      </c>
      <c r="H1036">
        <v>313.99</v>
      </c>
      <c r="I1036">
        <v>314.55</v>
      </c>
    </row>
    <row r="1037" spans="1:9" x14ac:dyDescent="0.3">
      <c r="A1037">
        <v>501</v>
      </c>
      <c r="B1037" t="s">
        <v>50</v>
      </c>
      <c r="C1037" t="s">
        <v>31</v>
      </c>
      <c r="D1037">
        <v>204</v>
      </c>
      <c r="E1037" t="s">
        <v>34</v>
      </c>
      <c r="F1037">
        <v>1</v>
      </c>
      <c r="G1037" t="str">
        <f t="shared" si="15"/>
        <v>M0113-A-204-1</v>
      </c>
      <c r="H1037">
        <v>314.49</v>
      </c>
      <c r="I1037">
        <v>314.89</v>
      </c>
    </row>
    <row r="1038" spans="1:9" x14ac:dyDescent="0.3">
      <c r="A1038">
        <v>501</v>
      </c>
      <c r="B1038" t="s">
        <v>50</v>
      </c>
      <c r="C1038" t="s">
        <v>31</v>
      </c>
      <c r="D1038">
        <v>204</v>
      </c>
      <c r="E1038" t="s">
        <v>34</v>
      </c>
      <c r="F1038">
        <v>2</v>
      </c>
      <c r="G1038" t="str">
        <f t="shared" si="15"/>
        <v>M0113-A-204-2</v>
      </c>
      <c r="H1038">
        <v>314.89</v>
      </c>
      <c r="I1038">
        <v>314.99</v>
      </c>
    </row>
    <row r="1039" spans="1:9" x14ac:dyDescent="0.3">
      <c r="A1039">
        <v>501</v>
      </c>
      <c r="B1039" t="s">
        <v>50</v>
      </c>
      <c r="C1039" t="s">
        <v>31</v>
      </c>
      <c r="D1039">
        <v>205</v>
      </c>
      <c r="E1039" t="s">
        <v>34</v>
      </c>
      <c r="F1039">
        <v>1</v>
      </c>
      <c r="G1039" t="str">
        <f t="shared" si="15"/>
        <v>M0113-A-205-1</v>
      </c>
      <c r="H1039">
        <v>315.99</v>
      </c>
      <c r="I1039">
        <v>316.99</v>
      </c>
    </row>
    <row r="1040" spans="1:9" x14ac:dyDescent="0.3">
      <c r="A1040">
        <v>501</v>
      </c>
      <c r="B1040" t="s">
        <v>50</v>
      </c>
      <c r="C1040" t="s">
        <v>31</v>
      </c>
      <c r="D1040">
        <v>205</v>
      </c>
      <c r="E1040" t="s">
        <v>34</v>
      </c>
      <c r="F1040">
        <v>2</v>
      </c>
      <c r="G1040" t="str">
        <f t="shared" si="15"/>
        <v>M0113-A-205-2</v>
      </c>
      <c r="H1040">
        <v>316.99</v>
      </c>
      <c r="I1040">
        <v>317.43</v>
      </c>
    </row>
    <row r="1041" spans="1:9" x14ac:dyDescent="0.3">
      <c r="A1041">
        <v>501</v>
      </c>
      <c r="B1041" t="s">
        <v>50</v>
      </c>
      <c r="C1041" t="s">
        <v>31</v>
      </c>
      <c r="D1041">
        <v>205</v>
      </c>
      <c r="E1041" t="s">
        <v>34</v>
      </c>
      <c r="F1041">
        <v>3</v>
      </c>
      <c r="G1041" t="str">
        <f t="shared" si="15"/>
        <v>M0113-A-205-3</v>
      </c>
      <c r="H1041">
        <v>317.43</v>
      </c>
      <c r="I1041">
        <v>317.56</v>
      </c>
    </row>
    <row r="1042" spans="1:9" x14ac:dyDescent="0.3">
      <c r="A1042">
        <v>501</v>
      </c>
      <c r="B1042" t="s">
        <v>50</v>
      </c>
      <c r="C1042" t="s">
        <v>31</v>
      </c>
      <c r="D1042">
        <v>206</v>
      </c>
      <c r="E1042" t="s">
        <v>34</v>
      </c>
      <c r="F1042">
        <v>1</v>
      </c>
      <c r="G1042" t="str">
        <f t="shared" si="15"/>
        <v>M0113-A-206-1</v>
      </c>
      <c r="H1042">
        <v>317.49</v>
      </c>
      <c r="I1042">
        <v>318.92</v>
      </c>
    </row>
    <row r="1043" spans="1:9" x14ac:dyDescent="0.3">
      <c r="A1043">
        <v>501</v>
      </c>
      <c r="B1043" t="s">
        <v>50</v>
      </c>
      <c r="C1043" t="s">
        <v>31</v>
      </c>
      <c r="D1043">
        <v>207</v>
      </c>
      <c r="E1043" t="s">
        <v>34</v>
      </c>
      <c r="F1043">
        <v>1</v>
      </c>
      <c r="G1043" t="str">
        <f t="shared" si="15"/>
        <v>M0113-A-207-1</v>
      </c>
      <c r="H1043">
        <v>318.99</v>
      </c>
      <c r="I1043">
        <v>319.99</v>
      </c>
    </row>
    <row r="1044" spans="1:9" x14ac:dyDescent="0.3">
      <c r="A1044">
        <v>501</v>
      </c>
      <c r="B1044" t="s">
        <v>50</v>
      </c>
      <c r="C1044" t="s">
        <v>31</v>
      </c>
      <c r="D1044">
        <v>207</v>
      </c>
      <c r="E1044" t="s">
        <v>34</v>
      </c>
      <c r="F1044">
        <v>2</v>
      </c>
      <c r="G1044" t="str">
        <f t="shared" si="15"/>
        <v>M0113-A-207-2</v>
      </c>
      <c r="H1044">
        <v>319.99</v>
      </c>
      <c r="I1044">
        <v>320.56</v>
      </c>
    </row>
    <row r="1045" spans="1:9" x14ac:dyDescent="0.3">
      <c r="A1045">
        <v>501</v>
      </c>
      <c r="B1045" t="s">
        <v>50</v>
      </c>
      <c r="C1045" t="s">
        <v>31</v>
      </c>
      <c r="D1045">
        <v>208</v>
      </c>
      <c r="E1045" t="s">
        <v>34</v>
      </c>
      <c r="F1045">
        <v>1</v>
      </c>
      <c r="G1045" t="str">
        <f t="shared" si="15"/>
        <v>M0113-A-208-1</v>
      </c>
      <c r="H1045">
        <v>320.49</v>
      </c>
      <c r="I1045">
        <v>321.77</v>
      </c>
    </row>
    <row r="1046" spans="1:9" x14ac:dyDescent="0.3">
      <c r="A1046">
        <v>501</v>
      </c>
      <c r="B1046" t="s">
        <v>50</v>
      </c>
      <c r="C1046" t="s">
        <v>31</v>
      </c>
      <c r="D1046">
        <v>209</v>
      </c>
      <c r="E1046" t="s">
        <v>34</v>
      </c>
      <c r="F1046">
        <v>1</v>
      </c>
      <c r="G1046" t="str">
        <f t="shared" si="15"/>
        <v>M0113-A-209-1</v>
      </c>
      <c r="H1046">
        <v>321.99</v>
      </c>
      <c r="I1046">
        <v>323.49</v>
      </c>
    </row>
    <row r="1047" spans="1:9" x14ac:dyDescent="0.3">
      <c r="A1047">
        <v>501</v>
      </c>
      <c r="B1047" t="s">
        <v>50</v>
      </c>
      <c r="C1047" t="s">
        <v>31</v>
      </c>
      <c r="D1047">
        <v>209</v>
      </c>
      <c r="E1047" t="s">
        <v>34</v>
      </c>
      <c r="F1047">
        <v>2</v>
      </c>
      <c r="G1047" t="str">
        <f t="shared" si="15"/>
        <v>M0113-A-209-2</v>
      </c>
      <c r="H1047">
        <v>323.49</v>
      </c>
      <c r="I1047">
        <v>323.89</v>
      </c>
    </row>
    <row r="1048" spans="1:9" x14ac:dyDescent="0.3">
      <c r="A1048">
        <v>501</v>
      </c>
      <c r="B1048" t="s">
        <v>50</v>
      </c>
      <c r="C1048" t="s">
        <v>31</v>
      </c>
      <c r="D1048">
        <v>210</v>
      </c>
      <c r="E1048" t="s">
        <v>34</v>
      </c>
      <c r="F1048">
        <v>1</v>
      </c>
      <c r="G1048" t="str">
        <f t="shared" si="15"/>
        <v>M0113-A-210-1</v>
      </c>
      <c r="H1048">
        <v>323.49</v>
      </c>
      <c r="I1048">
        <v>324.01</v>
      </c>
    </row>
    <row r="1049" spans="1:9" x14ac:dyDescent="0.3">
      <c r="A1049">
        <v>501</v>
      </c>
      <c r="B1049" t="s">
        <v>50</v>
      </c>
      <c r="C1049" t="s">
        <v>31</v>
      </c>
      <c r="D1049">
        <v>210</v>
      </c>
      <c r="E1049" t="s">
        <v>34</v>
      </c>
      <c r="F1049">
        <v>2</v>
      </c>
      <c r="G1049" t="str">
        <f t="shared" si="15"/>
        <v>M0113-A-210-2</v>
      </c>
      <c r="H1049">
        <v>324.01</v>
      </c>
      <c r="I1049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3"/>
  <sheetViews>
    <sheetView topLeftCell="A43" workbookViewId="0">
      <selection activeCell="C64" sqref="C64"/>
    </sheetView>
  </sheetViews>
  <sheetFormatPr defaultColWidth="8.6640625" defaultRowHeight="14.4" x14ac:dyDescent="0.3"/>
  <cols>
    <col min="2" max="2" width="11.33203125" bestFit="1" customWidth="1"/>
    <col min="3" max="3" width="9.6640625" bestFit="1" customWidth="1"/>
    <col min="4" max="4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ht="21" x14ac:dyDescent="0.4">
      <c r="A2">
        <v>91</v>
      </c>
      <c r="B2">
        <v>9.5238999999999994</v>
      </c>
      <c r="C2">
        <f>B2/2.23</f>
        <v>4.2708071748878922</v>
      </c>
      <c r="F2" s="17" t="s">
        <v>54</v>
      </c>
    </row>
    <row r="3" spans="1:6" x14ac:dyDescent="0.3">
      <c r="A3">
        <v>92</v>
      </c>
      <c r="B3">
        <v>9.1041000000000007</v>
      </c>
      <c r="C3">
        <f>B3/2.23</f>
        <v>4.0825560538116594</v>
      </c>
    </row>
    <row r="4" spans="1:6" x14ac:dyDescent="0.3">
      <c r="A4">
        <v>93</v>
      </c>
      <c r="B4">
        <v>9.4764999999999997</v>
      </c>
      <c r="C4">
        <f t="shared" ref="C4:C110" si="0">B4/2.23</f>
        <v>4.2495515695067265</v>
      </c>
    </row>
    <row r="5" spans="1:6" x14ac:dyDescent="0.3">
      <c r="A5">
        <v>94</v>
      </c>
      <c r="B5">
        <v>9.6204999999999998</v>
      </c>
      <c r="C5">
        <f t="shared" si="0"/>
        <v>4.3141255605381161</v>
      </c>
    </row>
    <row r="6" spans="1:6" x14ac:dyDescent="0.3">
      <c r="A6">
        <v>95</v>
      </c>
      <c r="B6" s="19">
        <v>9.3812999999999995</v>
      </c>
      <c r="C6" s="19">
        <f t="shared" si="0"/>
        <v>4.2068609865470847</v>
      </c>
    </row>
    <row r="7" spans="1:6" x14ac:dyDescent="0.3">
      <c r="A7">
        <v>97</v>
      </c>
      <c r="B7" s="19">
        <v>9.4983000000000004</v>
      </c>
      <c r="C7" s="19">
        <f t="shared" si="0"/>
        <v>4.2593273542600896</v>
      </c>
    </row>
    <row r="8" spans="1:6" x14ac:dyDescent="0.3">
      <c r="A8">
        <v>98</v>
      </c>
      <c r="B8" s="19">
        <v>9.3954000000000004</v>
      </c>
      <c r="C8" s="19">
        <f t="shared" si="0"/>
        <v>4.2131838565022424</v>
      </c>
    </row>
    <row r="9" spans="1:6" x14ac:dyDescent="0.3">
      <c r="A9">
        <v>99</v>
      </c>
      <c r="B9" s="19">
        <v>9.327</v>
      </c>
      <c r="C9" s="19">
        <f t="shared" si="0"/>
        <v>4.1825112107623319</v>
      </c>
    </row>
    <row r="10" spans="1:6" x14ac:dyDescent="0.3">
      <c r="A10">
        <v>100</v>
      </c>
      <c r="B10" s="19">
        <v>9.6332000000000004</v>
      </c>
      <c r="C10" s="19">
        <f t="shared" si="0"/>
        <v>4.3198206278026907</v>
      </c>
    </row>
    <row r="11" spans="1:6" x14ac:dyDescent="0.3">
      <c r="A11">
        <v>151</v>
      </c>
      <c r="B11" s="19">
        <v>9.7263999999999999</v>
      </c>
      <c r="C11" s="19">
        <f t="shared" si="0"/>
        <v>4.3616143497757847</v>
      </c>
    </row>
    <row r="12" spans="1:6" x14ac:dyDescent="0.3">
      <c r="A12">
        <v>152</v>
      </c>
      <c r="B12" s="19">
        <v>9.7155000000000005</v>
      </c>
      <c r="C12" s="19">
        <f t="shared" si="0"/>
        <v>4.3567264573991036</v>
      </c>
    </row>
    <row r="13" spans="1:6" x14ac:dyDescent="0.3">
      <c r="A13">
        <v>153</v>
      </c>
      <c r="B13" s="19">
        <v>9.6697000000000006</v>
      </c>
      <c r="C13" s="19">
        <f t="shared" si="0"/>
        <v>4.3361883408071753</v>
      </c>
    </row>
    <row r="14" spans="1:6" x14ac:dyDescent="0.3">
      <c r="A14">
        <v>154</v>
      </c>
      <c r="B14" s="19">
        <v>9.7118000000000002</v>
      </c>
      <c r="C14" s="19">
        <f t="shared" si="0"/>
        <v>4.3550672645739912</v>
      </c>
    </row>
    <row r="15" spans="1:6" x14ac:dyDescent="0.3">
      <c r="A15">
        <v>155</v>
      </c>
      <c r="B15" s="19">
        <v>9.7377000000000002</v>
      </c>
      <c r="C15" s="19">
        <f t="shared" si="0"/>
        <v>4.3666816143497762</v>
      </c>
    </row>
    <row r="16" spans="1:6" x14ac:dyDescent="0.3">
      <c r="A16">
        <v>156</v>
      </c>
      <c r="B16" s="19">
        <v>9.6448999999999998</v>
      </c>
      <c r="C16" s="19">
        <f t="shared" si="0"/>
        <v>4.3250672645739909</v>
      </c>
    </row>
    <row r="17" spans="1:3" x14ac:dyDescent="0.3">
      <c r="A17">
        <v>157</v>
      </c>
      <c r="B17" s="19">
        <v>9.6016999999999992</v>
      </c>
      <c r="C17" s="19">
        <f t="shared" si="0"/>
        <v>4.3056950672645735</v>
      </c>
    </row>
    <row r="18" spans="1:3" x14ac:dyDescent="0.3">
      <c r="A18">
        <v>158</v>
      </c>
      <c r="B18" s="19">
        <v>9.5899000000000001</v>
      </c>
      <c r="C18" s="19">
        <f t="shared" si="0"/>
        <v>4.3004035874439461</v>
      </c>
    </row>
    <row r="19" spans="1:3" x14ac:dyDescent="0.3">
      <c r="A19">
        <v>159</v>
      </c>
      <c r="B19" s="19">
        <v>9.7159999999999993</v>
      </c>
      <c r="C19" s="19">
        <f t="shared" si="0"/>
        <v>4.3569506726457394</v>
      </c>
    </row>
    <row r="20" spans="1:3" x14ac:dyDescent="0.3">
      <c r="A20">
        <v>160</v>
      </c>
      <c r="B20" s="19">
        <v>9.4581</v>
      </c>
      <c r="C20" s="19">
        <f t="shared" si="0"/>
        <v>4.2413004484304935</v>
      </c>
    </row>
    <row r="21" spans="1:3" x14ac:dyDescent="0.3">
      <c r="A21">
        <v>161</v>
      </c>
      <c r="B21" s="19">
        <v>9.7497000000000007</v>
      </c>
      <c r="C21" s="19">
        <f t="shared" si="0"/>
        <v>4.3720627802690588</v>
      </c>
    </row>
    <row r="22" spans="1:3" x14ac:dyDescent="0.3">
      <c r="A22">
        <v>162</v>
      </c>
      <c r="B22" s="19">
        <v>9.8841999999999999</v>
      </c>
      <c r="C22" s="19">
        <f t="shared" si="0"/>
        <v>4.4323766816143495</v>
      </c>
    </row>
    <row r="23" spans="1:3" x14ac:dyDescent="0.3">
      <c r="A23">
        <v>163</v>
      </c>
      <c r="B23" s="19">
        <v>9.5631000000000004</v>
      </c>
      <c r="C23" s="19">
        <f t="shared" si="0"/>
        <v>4.2883856502242157</v>
      </c>
    </row>
    <row r="24" spans="1:3" x14ac:dyDescent="0.3">
      <c r="A24">
        <v>164</v>
      </c>
      <c r="B24" s="19">
        <v>9.9097000000000008</v>
      </c>
      <c r="C24" s="19">
        <f t="shared" si="0"/>
        <v>4.4438116591928258</v>
      </c>
    </row>
    <row r="25" spans="1:3" x14ac:dyDescent="0.3">
      <c r="A25">
        <v>165</v>
      </c>
      <c r="B25" s="19">
        <v>9.8137000000000008</v>
      </c>
      <c r="C25" s="19">
        <f t="shared" si="0"/>
        <v>4.4007623318385658</v>
      </c>
    </row>
    <row r="26" spans="1:3" x14ac:dyDescent="0.3">
      <c r="A26">
        <v>166</v>
      </c>
      <c r="B26" s="19">
        <v>9.5335000000000001</v>
      </c>
      <c r="C26" s="19">
        <f t="shared" si="0"/>
        <v>4.2751121076233183</v>
      </c>
    </row>
    <row r="27" spans="1:3" x14ac:dyDescent="0.3">
      <c r="A27">
        <v>167</v>
      </c>
      <c r="B27" s="19">
        <v>9.8195999999999994</v>
      </c>
      <c r="C27" s="19">
        <f t="shared" si="0"/>
        <v>4.4034080717488786</v>
      </c>
    </row>
    <row r="28" spans="1:3" x14ac:dyDescent="0.3">
      <c r="A28">
        <v>168</v>
      </c>
      <c r="B28" s="19">
        <v>9.8671000000000006</v>
      </c>
      <c r="C28" s="19">
        <f t="shared" si="0"/>
        <v>4.4247085201793723</v>
      </c>
    </row>
    <row r="29" spans="1:3" x14ac:dyDescent="0.3">
      <c r="A29">
        <v>169</v>
      </c>
      <c r="B29" s="19">
        <v>9.4824999999999999</v>
      </c>
      <c r="C29" s="19">
        <f t="shared" si="0"/>
        <v>4.2522421524663674</v>
      </c>
    </row>
    <row r="30" spans="1:3" x14ac:dyDescent="0.3">
      <c r="A30">
        <v>170</v>
      </c>
      <c r="B30" s="19">
        <v>9.5950000000000006</v>
      </c>
      <c r="C30" s="19">
        <f t="shared" si="0"/>
        <v>4.3026905829596416</v>
      </c>
    </row>
    <row r="31" spans="1:3" x14ac:dyDescent="0.3">
      <c r="A31">
        <v>171</v>
      </c>
      <c r="B31" s="19">
        <v>9.4852000000000007</v>
      </c>
      <c r="C31" s="19">
        <f t="shared" si="0"/>
        <v>4.2534529147982063</v>
      </c>
    </row>
    <row r="32" spans="1:3" x14ac:dyDescent="0.3">
      <c r="A32">
        <v>172</v>
      </c>
      <c r="B32" s="19">
        <v>9.5744000000000007</v>
      </c>
      <c r="C32" s="19">
        <f t="shared" si="0"/>
        <v>4.2934529147982063</v>
      </c>
    </row>
    <row r="33" spans="1:4" x14ac:dyDescent="0.3">
      <c r="A33">
        <v>173</v>
      </c>
      <c r="B33" s="19">
        <v>9.5054999999999996</v>
      </c>
      <c r="C33" s="19">
        <f t="shared" si="0"/>
        <v>4.2625560538116591</v>
      </c>
    </row>
    <row r="34" spans="1:4" x14ac:dyDescent="0.3">
      <c r="A34">
        <v>174</v>
      </c>
      <c r="B34" s="19">
        <v>9.8544</v>
      </c>
      <c r="C34" s="19">
        <f t="shared" si="0"/>
        <v>4.4190134529147986</v>
      </c>
    </row>
    <row r="35" spans="1:4" x14ac:dyDescent="0.3">
      <c r="A35">
        <v>175</v>
      </c>
      <c r="B35" s="19">
        <v>9.6488999999999994</v>
      </c>
      <c r="C35" s="19">
        <f t="shared" si="0"/>
        <v>4.3268609865470848</v>
      </c>
    </row>
    <row r="36" spans="1:4" x14ac:dyDescent="0.3">
      <c r="A36">
        <v>176</v>
      </c>
      <c r="B36" s="19">
        <v>9.7192000000000007</v>
      </c>
      <c r="C36" s="19">
        <f t="shared" si="0"/>
        <v>4.358385650224216</v>
      </c>
    </row>
    <row r="37" spans="1:4" x14ac:dyDescent="0.3">
      <c r="A37">
        <v>177</v>
      </c>
      <c r="B37" s="19">
        <v>9.4539000000000009</v>
      </c>
      <c r="C37" s="19">
        <f t="shared" si="0"/>
        <v>4.2394170403587452</v>
      </c>
    </row>
    <row r="38" spans="1:4" x14ac:dyDescent="0.3">
      <c r="A38">
        <v>178</v>
      </c>
      <c r="B38" s="19">
        <v>9.6098999999999997</v>
      </c>
      <c r="C38" s="19">
        <f t="shared" si="0"/>
        <v>4.3093721973094166</v>
      </c>
    </row>
    <row r="39" spans="1:4" x14ac:dyDescent="0.3">
      <c r="A39">
        <v>179</v>
      </c>
      <c r="B39" s="19">
        <v>9.5829000000000004</v>
      </c>
      <c r="C39" s="19">
        <f t="shared" si="0"/>
        <v>4.2972645739910318</v>
      </c>
      <c r="D39" s="20"/>
    </row>
    <row r="40" spans="1:4" x14ac:dyDescent="0.3">
      <c r="A40">
        <v>180</v>
      </c>
      <c r="B40" s="19">
        <v>9.5632000000000001</v>
      </c>
      <c r="C40" s="19">
        <f t="shared" si="0"/>
        <v>4.2884304932735429</v>
      </c>
    </row>
    <row r="41" spans="1:4" x14ac:dyDescent="0.3">
      <c r="A41">
        <v>181</v>
      </c>
      <c r="B41" s="19">
        <v>9.5058000000000007</v>
      </c>
      <c r="C41" s="19">
        <f t="shared" si="0"/>
        <v>4.2626905829596415</v>
      </c>
    </row>
    <row r="42" spans="1:4" x14ac:dyDescent="0.3">
      <c r="A42">
        <v>182</v>
      </c>
      <c r="B42" s="19">
        <v>9.7033000000000005</v>
      </c>
      <c r="C42" s="19">
        <f t="shared" si="0"/>
        <v>4.3512556053811657</v>
      </c>
    </row>
    <row r="43" spans="1:4" x14ac:dyDescent="0.3">
      <c r="A43">
        <v>183</v>
      </c>
      <c r="B43" s="19">
        <v>9.6636000000000006</v>
      </c>
      <c r="C43" s="19">
        <f t="shared" si="0"/>
        <v>4.3334529147982064</v>
      </c>
    </row>
    <row r="44" spans="1:4" x14ac:dyDescent="0.3">
      <c r="A44">
        <v>184</v>
      </c>
      <c r="B44" s="19">
        <v>9.8976000000000006</v>
      </c>
      <c r="C44" s="19">
        <f t="shared" si="0"/>
        <v>4.4383856502242152</v>
      </c>
    </row>
    <row r="45" spans="1:4" x14ac:dyDescent="0.3">
      <c r="A45">
        <v>185</v>
      </c>
      <c r="B45" s="19">
        <v>9.8465000000000007</v>
      </c>
      <c r="C45" s="19">
        <f t="shared" si="0"/>
        <v>4.415470852017938</v>
      </c>
    </row>
    <row r="46" spans="1:4" x14ac:dyDescent="0.3">
      <c r="A46">
        <v>186</v>
      </c>
      <c r="B46" s="19">
        <v>9.8185000000000002</v>
      </c>
      <c r="C46" s="19">
        <f t="shared" si="0"/>
        <v>4.402914798206278</v>
      </c>
    </row>
    <row r="47" spans="1:4" x14ac:dyDescent="0.3">
      <c r="A47">
        <v>187</v>
      </c>
      <c r="B47" s="19">
        <v>9.7688000000000006</v>
      </c>
      <c r="C47" s="19">
        <f t="shared" si="0"/>
        <v>4.3806278026905829</v>
      </c>
    </row>
    <row r="48" spans="1:4" x14ac:dyDescent="0.3">
      <c r="A48">
        <v>188</v>
      </c>
      <c r="B48" s="19">
        <v>9.8792000000000009</v>
      </c>
      <c r="C48" s="19">
        <f t="shared" si="0"/>
        <v>4.4301345291479821</v>
      </c>
    </row>
    <row r="49" spans="1:3" x14ac:dyDescent="0.3">
      <c r="A49">
        <v>189</v>
      </c>
      <c r="B49" s="19">
        <v>9.7583000000000002</v>
      </c>
      <c r="C49" s="19">
        <f t="shared" si="0"/>
        <v>4.3759192825112105</v>
      </c>
    </row>
    <row r="50" spans="1:3" x14ac:dyDescent="0.3">
      <c r="A50">
        <v>190</v>
      </c>
      <c r="B50" s="19">
        <v>9.7570999999999994</v>
      </c>
      <c r="C50" s="19">
        <f t="shared" si="0"/>
        <v>4.3753811659192827</v>
      </c>
    </row>
    <row r="51" spans="1:3" x14ac:dyDescent="0.3">
      <c r="A51">
        <v>210</v>
      </c>
      <c r="B51" s="19">
        <v>9.7520000000000007</v>
      </c>
      <c r="C51" s="19">
        <f t="shared" si="0"/>
        <v>4.3730941704035882</v>
      </c>
    </row>
    <row r="52" spans="1:3" x14ac:dyDescent="0.3">
      <c r="A52">
        <v>211</v>
      </c>
      <c r="B52" s="19">
        <v>9.7985000000000007</v>
      </c>
      <c r="C52" s="19">
        <f t="shared" si="0"/>
        <v>4.3939461883408075</v>
      </c>
    </row>
    <row r="53" spans="1:3" x14ac:dyDescent="0.3">
      <c r="A53">
        <v>212</v>
      </c>
      <c r="B53" s="19">
        <v>9.7664000000000009</v>
      </c>
      <c r="C53" s="19">
        <f t="shared" si="0"/>
        <v>4.3795515695067273</v>
      </c>
    </row>
    <row r="54" spans="1:3" x14ac:dyDescent="0.3">
      <c r="A54">
        <v>213</v>
      </c>
      <c r="B54" s="19">
        <v>9.3755000000000006</v>
      </c>
      <c r="C54" s="19">
        <f t="shared" si="0"/>
        <v>4.2042600896860991</v>
      </c>
    </row>
    <row r="55" spans="1:3" x14ac:dyDescent="0.3">
      <c r="A55">
        <v>214</v>
      </c>
      <c r="B55" s="19">
        <v>9.9960000000000004</v>
      </c>
      <c r="C55" s="19">
        <f t="shared" si="0"/>
        <v>4.4825112107623317</v>
      </c>
    </row>
    <row r="56" spans="1:3" x14ac:dyDescent="0.3">
      <c r="A56">
        <v>215</v>
      </c>
      <c r="B56" s="19">
        <v>10.084</v>
      </c>
      <c r="C56" s="19">
        <f t="shared" si="0"/>
        <v>4.5219730941704031</v>
      </c>
    </row>
    <row r="57" spans="1:3" x14ac:dyDescent="0.3">
      <c r="A57">
        <v>216</v>
      </c>
      <c r="B57" s="19">
        <v>10.079499999999999</v>
      </c>
      <c r="C57" s="19">
        <f t="shared" si="0"/>
        <v>4.5199551569506724</v>
      </c>
    </row>
    <row r="58" spans="1:3" x14ac:dyDescent="0.3">
      <c r="A58">
        <v>217</v>
      </c>
      <c r="B58" s="19">
        <v>9.6670999999999996</v>
      </c>
      <c r="C58" s="19">
        <f t="shared" si="0"/>
        <v>4.3350224215246635</v>
      </c>
    </row>
    <row r="59" spans="1:3" x14ac:dyDescent="0.3">
      <c r="A59">
        <v>218</v>
      </c>
      <c r="B59" s="19">
        <v>10.0969</v>
      </c>
      <c r="C59" s="19">
        <f t="shared" si="0"/>
        <v>4.527757847533632</v>
      </c>
    </row>
    <row r="60" spans="1:3" x14ac:dyDescent="0.3">
      <c r="A60">
        <v>219</v>
      </c>
      <c r="B60" s="19">
        <v>9.6616999999999997</v>
      </c>
      <c r="C60" s="19">
        <f t="shared" si="0"/>
        <v>4.3326008968609866</v>
      </c>
    </row>
    <row r="61" spans="1:3" x14ac:dyDescent="0.3">
      <c r="A61">
        <v>230</v>
      </c>
      <c r="B61" s="19">
        <v>9.8049999999999997</v>
      </c>
      <c r="C61" s="19">
        <f t="shared" si="0"/>
        <v>4.3968609865470851</v>
      </c>
    </row>
    <row r="62" spans="1:3" x14ac:dyDescent="0.3">
      <c r="A62">
        <v>231</v>
      </c>
      <c r="B62" s="19">
        <v>9.8867999999999991</v>
      </c>
      <c r="C62" s="19">
        <f t="shared" si="0"/>
        <v>4.4335426008968604</v>
      </c>
    </row>
    <row r="63" spans="1:3" x14ac:dyDescent="0.3">
      <c r="A63">
        <v>232</v>
      </c>
      <c r="B63" s="19">
        <v>9.8774999999999995</v>
      </c>
      <c r="C63" s="19">
        <f t="shared" si="0"/>
        <v>4.4293721973094167</v>
      </c>
    </row>
    <row r="64" spans="1:3" x14ac:dyDescent="0.3">
      <c r="A64">
        <v>233</v>
      </c>
      <c r="B64" s="19">
        <v>9.9604999999999997</v>
      </c>
      <c r="C64" s="19">
        <f t="shared" si="0"/>
        <v>4.4665919282511206</v>
      </c>
    </row>
    <row r="65" spans="1:3" x14ac:dyDescent="0.3">
      <c r="A65">
        <v>234</v>
      </c>
      <c r="B65" s="19">
        <v>10.0063</v>
      </c>
      <c r="C65" s="19">
        <f t="shared" si="0"/>
        <v>4.4871300448430489</v>
      </c>
    </row>
    <row r="66" spans="1:3" x14ac:dyDescent="0.3">
      <c r="A66">
        <v>235</v>
      </c>
      <c r="B66" s="19">
        <v>9.9943000000000008</v>
      </c>
      <c r="C66" s="19">
        <f t="shared" si="0"/>
        <v>4.4817488789237672</v>
      </c>
    </row>
    <row r="67" spans="1:3" x14ac:dyDescent="0.3">
      <c r="A67">
        <v>236</v>
      </c>
      <c r="B67" s="19">
        <v>9.8712</v>
      </c>
      <c r="C67" s="19">
        <f t="shared" si="0"/>
        <v>4.4265470852017934</v>
      </c>
    </row>
    <row r="68" spans="1:3" x14ac:dyDescent="0.3">
      <c r="A68">
        <v>237</v>
      </c>
      <c r="B68" s="19">
        <v>9.8346999999999998</v>
      </c>
      <c r="C68" s="19">
        <f t="shared" si="0"/>
        <v>4.4101793721973097</v>
      </c>
    </row>
    <row r="69" spans="1:3" x14ac:dyDescent="0.3">
      <c r="A69">
        <v>238</v>
      </c>
      <c r="B69" s="19">
        <v>9.9239999999999995</v>
      </c>
      <c r="C69" s="19">
        <f t="shared" si="0"/>
        <v>4.4502242152466369</v>
      </c>
    </row>
    <row r="70" spans="1:3" x14ac:dyDescent="0.3">
      <c r="A70">
        <v>239</v>
      </c>
      <c r="B70" s="19">
        <v>10.027900000000001</v>
      </c>
      <c r="C70" s="19">
        <f t="shared" si="0"/>
        <v>4.4968161434977585</v>
      </c>
    </row>
    <row r="71" spans="1:3" x14ac:dyDescent="0.3">
      <c r="A71">
        <v>240</v>
      </c>
      <c r="B71" s="19">
        <v>9.859</v>
      </c>
      <c r="C71" s="19">
        <f t="shared" si="0"/>
        <v>4.4210762331838565</v>
      </c>
    </row>
    <row r="72" spans="1:3" x14ac:dyDescent="0.3">
      <c r="A72">
        <v>241</v>
      </c>
      <c r="B72" s="19">
        <v>9.8088999999999995</v>
      </c>
      <c r="C72" s="19">
        <f t="shared" si="0"/>
        <v>4.3986098654708519</v>
      </c>
    </row>
    <row r="73" spans="1:3" x14ac:dyDescent="0.3">
      <c r="A73">
        <v>242</v>
      </c>
      <c r="B73" s="19">
        <v>9.9347999999999992</v>
      </c>
      <c r="C73" s="19">
        <f t="shared" si="0"/>
        <v>4.4550672645739908</v>
      </c>
    </row>
    <row r="74" spans="1:3" x14ac:dyDescent="0.3">
      <c r="A74">
        <v>243</v>
      </c>
      <c r="B74" s="19">
        <v>9.8368000000000002</v>
      </c>
      <c r="C74" s="19">
        <f t="shared" si="0"/>
        <v>4.4111210762331838</v>
      </c>
    </row>
    <row r="75" spans="1:3" x14ac:dyDescent="0.3">
      <c r="A75">
        <v>245</v>
      </c>
      <c r="B75" s="19">
        <v>9.8491999999999997</v>
      </c>
      <c r="C75" s="19">
        <f t="shared" si="0"/>
        <v>4.416681614349776</v>
      </c>
    </row>
    <row r="76" spans="1:3" x14ac:dyDescent="0.3">
      <c r="A76">
        <v>246</v>
      </c>
      <c r="B76" s="19">
        <v>9.7553000000000001</v>
      </c>
      <c r="C76" s="19">
        <f t="shared" si="0"/>
        <v>4.3745739910313901</v>
      </c>
    </row>
    <row r="77" spans="1:3" x14ac:dyDescent="0.3">
      <c r="A77">
        <v>247</v>
      </c>
      <c r="B77" s="19">
        <v>9.8389000000000006</v>
      </c>
      <c r="C77" s="19">
        <f t="shared" si="0"/>
        <v>4.4120627802690588</v>
      </c>
    </row>
    <row r="78" spans="1:3" x14ac:dyDescent="0.3">
      <c r="A78">
        <v>248</v>
      </c>
      <c r="B78" s="19">
        <v>9.6745000000000001</v>
      </c>
      <c r="C78" s="19">
        <f t="shared" si="0"/>
        <v>4.3383408071748883</v>
      </c>
    </row>
    <row r="79" spans="1:3" x14ac:dyDescent="0.3">
      <c r="A79">
        <v>249</v>
      </c>
      <c r="B79" s="19">
        <v>9.9565000000000001</v>
      </c>
      <c r="C79" s="19">
        <f t="shared" si="0"/>
        <v>4.4647982062780267</v>
      </c>
    </row>
    <row r="80" spans="1:3" x14ac:dyDescent="0.3">
      <c r="A80">
        <v>250</v>
      </c>
      <c r="B80" s="19">
        <v>9.8892000000000007</v>
      </c>
      <c r="C80" s="19">
        <f t="shared" si="0"/>
        <v>4.4346188340807178</v>
      </c>
    </row>
    <row r="81" spans="1:3" x14ac:dyDescent="0.3">
      <c r="A81">
        <v>251</v>
      </c>
      <c r="B81" s="19">
        <v>9.8140000000000001</v>
      </c>
      <c r="C81" s="19">
        <f t="shared" si="0"/>
        <v>4.4008968609865473</v>
      </c>
    </row>
    <row r="82" spans="1:3" x14ac:dyDescent="0.3">
      <c r="A82">
        <v>252</v>
      </c>
      <c r="B82" s="19">
        <v>9.8140000000000001</v>
      </c>
      <c r="C82" s="19">
        <f t="shared" si="0"/>
        <v>4.4008968609865473</v>
      </c>
    </row>
    <row r="83" spans="1:3" x14ac:dyDescent="0.3">
      <c r="A83">
        <v>253</v>
      </c>
      <c r="B83" s="19">
        <v>9.8926999999999996</v>
      </c>
      <c r="C83" s="19">
        <f t="shared" si="0"/>
        <v>4.4361883408071749</v>
      </c>
    </row>
    <row r="84" spans="1:3" x14ac:dyDescent="0.3">
      <c r="A84">
        <v>254</v>
      </c>
      <c r="B84" s="19">
        <v>9.8201000000000001</v>
      </c>
      <c r="C84" s="19">
        <f t="shared" si="0"/>
        <v>4.4036322869955153</v>
      </c>
    </row>
    <row r="85" spans="1:3" x14ac:dyDescent="0.3">
      <c r="A85">
        <v>255</v>
      </c>
      <c r="B85" s="19">
        <v>9.9283000000000001</v>
      </c>
      <c r="C85" s="19">
        <f t="shared" si="0"/>
        <v>4.4521524663677132</v>
      </c>
    </row>
    <row r="86" spans="1:3" x14ac:dyDescent="0.3">
      <c r="A86">
        <v>256</v>
      </c>
      <c r="B86" s="19">
        <v>9.8771000000000004</v>
      </c>
      <c r="C86" s="19">
        <f t="shared" si="0"/>
        <v>4.429192825112108</v>
      </c>
    </row>
    <row r="87" spans="1:3" x14ac:dyDescent="0.3">
      <c r="A87">
        <v>257</v>
      </c>
      <c r="B87" s="19">
        <v>9.7716999999999992</v>
      </c>
      <c r="C87" s="19">
        <f t="shared" si="0"/>
        <v>4.3819282511210762</v>
      </c>
    </row>
    <row r="88" spans="1:3" x14ac:dyDescent="0.3">
      <c r="A88">
        <v>258</v>
      </c>
      <c r="B88" s="19">
        <v>9.8592999999999993</v>
      </c>
      <c r="C88" s="19">
        <f t="shared" si="0"/>
        <v>4.421210762331838</v>
      </c>
    </row>
    <row r="89" spans="1:3" x14ac:dyDescent="0.3">
      <c r="A89">
        <v>259</v>
      </c>
      <c r="B89" s="19">
        <v>9.9796999999999993</v>
      </c>
      <c r="C89" s="19">
        <f t="shared" si="0"/>
        <v>4.4752017937219728</v>
      </c>
    </row>
    <row r="90" spans="1:3" x14ac:dyDescent="0.3">
      <c r="A90">
        <v>200</v>
      </c>
      <c r="B90" s="19">
        <v>9.6303000000000001</v>
      </c>
      <c r="C90" s="19">
        <f t="shared" si="0"/>
        <v>4.3185201793721975</v>
      </c>
    </row>
    <row r="91" spans="1:3" x14ac:dyDescent="0.3">
      <c r="A91">
        <v>201</v>
      </c>
      <c r="B91" s="19">
        <v>9.7538</v>
      </c>
      <c r="C91" s="19">
        <f t="shared" si="0"/>
        <v>4.3739013452914799</v>
      </c>
    </row>
    <row r="92" spans="1:3" x14ac:dyDescent="0.3">
      <c r="A92">
        <v>202</v>
      </c>
      <c r="B92" s="19">
        <v>9.9245000000000001</v>
      </c>
      <c r="C92" s="19">
        <f t="shared" si="0"/>
        <v>4.4504484304932737</v>
      </c>
    </row>
    <row r="93" spans="1:3" x14ac:dyDescent="0.3">
      <c r="A93">
        <v>203</v>
      </c>
      <c r="B93" s="19">
        <v>10.0562</v>
      </c>
      <c r="C93" s="19">
        <f t="shared" si="0"/>
        <v>4.5095067264573991</v>
      </c>
    </row>
    <row r="94" spans="1:3" x14ac:dyDescent="0.3">
      <c r="A94">
        <v>204</v>
      </c>
      <c r="B94" s="19">
        <v>9.9425000000000008</v>
      </c>
      <c r="C94" s="19">
        <f t="shared" si="0"/>
        <v>4.458520179372198</v>
      </c>
    </row>
    <row r="95" spans="1:3" x14ac:dyDescent="0.3">
      <c r="A95">
        <v>205</v>
      </c>
      <c r="B95" s="19">
        <v>9.6085999999999991</v>
      </c>
      <c r="C95" s="19">
        <f t="shared" si="0"/>
        <v>4.3087892376681607</v>
      </c>
    </row>
    <row r="96" spans="1:3" x14ac:dyDescent="0.3">
      <c r="A96">
        <v>207</v>
      </c>
      <c r="B96" s="19">
        <v>9.7720000000000002</v>
      </c>
      <c r="C96" s="19">
        <f t="shared" si="0"/>
        <v>4.3820627802690586</v>
      </c>
    </row>
    <row r="97" spans="1:3" x14ac:dyDescent="0.3">
      <c r="A97">
        <v>208</v>
      </c>
      <c r="B97" s="19">
        <v>10.0436</v>
      </c>
      <c r="C97" s="19">
        <f t="shared" si="0"/>
        <v>4.5038565022421526</v>
      </c>
    </row>
    <row r="98" spans="1:3" x14ac:dyDescent="0.3">
      <c r="A98">
        <v>209</v>
      </c>
      <c r="B98" s="19">
        <v>9.6793999999999993</v>
      </c>
      <c r="C98" s="19">
        <f t="shared" si="0"/>
        <v>4.3405381165919277</v>
      </c>
    </row>
    <row r="99" spans="1:3" x14ac:dyDescent="0.3">
      <c r="A99">
        <v>270</v>
      </c>
      <c r="B99" s="19">
        <v>9.7308000000000003</v>
      </c>
      <c r="C99" s="19">
        <f t="shared" si="0"/>
        <v>4.3635874439461881</v>
      </c>
    </row>
    <row r="100" spans="1:3" x14ac:dyDescent="0.3">
      <c r="A100">
        <v>271</v>
      </c>
      <c r="B100" s="19">
        <v>9.9113000000000007</v>
      </c>
      <c r="C100" s="19">
        <f t="shared" si="0"/>
        <v>4.4445291479820632</v>
      </c>
    </row>
    <row r="101" spans="1:3" x14ac:dyDescent="0.3">
      <c r="A101">
        <v>272</v>
      </c>
      <c r="B101" s="19">
        <v>10.093299999999999</v>
      </c>
      <c r="C101" s="19">
        <f t="shared" si="0"/>
        <v>4.5261434977578476</v>
      </c>
    </row>
    <row r="102" spans="1:3" x14ac:dyDescent="0.3">
      <c r="A102">
        <v>274</v>
      </c>
      <c r="B102" s="19">
        <v>9.9088999999999992</v>
      </c>
      <c r="C102" s="19">
        <f t="shared" si="0"/>
        <v>4.4434529147982058</v>
      </c>
    </row>
    <row r="103" spans="1:3" x14ac:dyDescent="0.3">
      <c r="A103">
        <v>273</v>
      </c>
      <c r="B103" s="19">
        <v>9.6430000000000007</v>
      </c>
      <c r="C103" s="19">
        <f t="shared" si="0"/>
        <v>4.324215246636772</v>
      </c>
    </row>
    <row r="104" spans="1:3" x14ac:dyDescent="0.3">
      <c r="A104">
        <v>275</v>
      </c>
      <c r="B104" s="19">
        <v>9.7668999999999997</v>
      </c>
      <c r="C104" s="19">
        <f t="shared" si="0"/>
        <v>4.3797757847533632</v>
      </c>
    </row>
    <row r="105" spans="1:3" x14ac:dyDescent="0.3">
      <c r="A105">
        <v>276</v>
      </c>
      <c r="B105" s="19">
        <v>9.9183000000000003</v>
      </c>
      <c r="C105" s="19">
        <f t="shared" si="0"/>
        <v>4.4476681614349776</v>
      </c>
    </row>
    <row r="106" spans="1:3" x14ac:dyDescent="0.3">
      <c r="A106">
        <v>277</v>
      </c>
      <c r="B106" s="19">
        <v>9.8651999999999997</v>
      </c>
      <c r="C106" s="19">
        <f t="shared" si="0"/>
        <v>4.4238565022421525</v>
      </c>
    </row>
    <row r="107" spans="1:3" x14ac:dyDescent="0.3">
      <c r="A107">
        <v>278</v>
      </c>
      <c r="B107" s="19">
        <v>10.157</v>
      </c>
      <c r="C107" s="19">
        <f t="shared" si="0"/>
        <v>4.5547085201793722</v>
      </c>
    </row>
    <row r="108" spans="1:3" x14ac:dyDescent="0.3">
      <c r="A108">
        <v>279</v>
      </c>
      <c r="B108" s="19">
        <v>9.9806000000000008</v>
      </c>
      <c r="C108" s="19">
        <f t="shared" si="0"/>
        <v>4.47560538116592</v>
      </c>
    </row>
    <row r="109" spans="1:3" x14ac:dyDescent="0.3">
      <c r="A109">
        <v>280</v>
      </c>
      <c r="B109" s="19">
        <v>10.0747</v>
      </c>
      <c r="C109" s="19">
        <f t="shared" si="0"/>
        <v>4.5178026905829594</v>
      </c>
    </row>
    <row r="110" spans="1:3" x14ac:dyDescent="0.3">
      <c r="A110">
        <v>281</v>
      </c>
      <c r="B110" s="19">
        <v>9.8646999999999991</v>
      </c>
      <c r="C110" s="19">
        <f t="shared" si="0"/>
        <v>4.4236322869955149</v>
      </c>
    </row>
    <row r="111" spans="1:3" x14ac:dyDescent="0.3">
      <c r="A111">
        <v>282</v>
      </c>
      <c r="B111" s="19">
        <v>10.1076</v>
      </c>
      <c r="C111" s="19">
        <f t="shared" ref="C111:C138" si="1">B111/2.23</f>
        <v>4.5325560538116587</v>
      </c>
    </row>
    <row r="112" spans="1:3" x14ac:dyDescent="0.3">
      <c r="A112">
        <v>283</v>
      </c>
      <c r="B112" s="19">
        <v>9.6501999999999999</v>
      </c>
      <c r="C112" s="19">
        <f t="shared" si="1"/>
        <v>4.3274439461883407</v>
      </c>
    </row>
    <row r="113" spans="1:3" x14ac:dyDescent="0.3">
      <c r="A113">
        <v>284</v>
      </c>
      <c r="B113" s="19">
        <v>10.0555</v>
      </c>
      <c r="C113" s="19">
        <f t="shared" si="1"/>
        <v>4.5091928251121081</v>
      </c>
    </row>
    <row r="114" spans="1:3" x14ac:dyDescent="0.3">
      <c r="A114">
        <v>285</v>
      </c>
      <c r="B114" s="19">
        <v>10.051</v>
      </c>
      <c r="C114" s="19">
        <f t="shared" si="1"/>
        <v>4.5071748878923765</v>
      </c>
    </row>
    <row r="115" spans="1:3" x14ac:dyDescent="0.3">
      <c r="A115">
        <v>286</v>
      </c>
      <c r="B115" s="19">
        <v>9.5493000000000006</v>
      </c>
      <c r="C115" s="19">
        <f t="shared" si="1"/>
        <v>4.2821973094170405</v>
      </c>
    </row>
    <row r="116" spans="1:3" x14ac:dyDescent="0.3">
      <c r="A116">
        <v>287</v>
      </c>
      <c r="B116" s="19">
        <v>10.169</v>
      </c>
      <c r="C116" s="19">
        <f t="shared" si="1"/>
        <v>4.5600896860986548</v>
      </c>
    </row>
    <row r="117" spans="1:3" x14ac:dyDescent="0.3">
      <c r="A117">
        <v>288</v>
      </c>
      <c r="B117" s="19">
        <v>10.1602</v>
      </c>
      <c r="C117" s="19">
        <f t="shared" si="1"/>
        <v>4.556143497757847</v>
      </c>
    </row>
    <row r="118" spans="1:3" x14ac:dyDescent="0.3">
      <c r="A118">
        <v>289</v>
      </c>
      <c r="B118" s="19">
        <v>9.6905999999999999</v>
      </c>
      <c r="C118" s="19">
        <f t="shared" si="1"/>
        <v>4.345560538116592</v>
      </c>
    </row>
    <row r="119" spans="1:3" x14ac:dyDescent="0.3">
      <c r="A119">
        <v>290</v>
      </c>
      <c r="B119" s="19">
        <v>9.9170999999999996</v>
      </c>
      <c r="C119" s="19">
        <f t="shared" si="1"/>
        <v>4.4471300448430489</v>
      </c>
    </row>
    <row r="120" spans="1:3" x14ac:dyDescent="0.3">
      <c r="A120">
        <v>291</v>
      </c>
      <c r="B120" s="19">
        <v>10.095700000000001</v>
      </c>
      <c r="C120" s="19">
        <f t="shared" si="1"/>
        <v>4.5272197309417042</v>
      </c>
    </row>
    <row r="121" spans="1:3" x14ac:dyDescent="0.3">
      <c r="A121">
        <v>292</v>
      </c>
      <c r="B121" s="19">
        <v>9.6498000000000008</v>
      </c>
      <c r="C121" s="19">
        <f t="shared" si="1"/>
        <v>4.327264573991032</v>
      </c>
    </row>
    <row r="122" spans="1:3" x14ac:dyDescent="0.3">
      <c r="A122">
        <v>293</v>
      </c>
      <c r="B122" s="19">
        <v>9.7003000000000004</v>
      </c>
      <c r="C122" s="19">
        <f t="shared" si="1"/>
        <v>4.3499103139013453</v>
      </c>
    </row>
    <row r="123" spans="1:3" x14ac:dyDescent="0.3">
      <c r="A123">
        <v>294</v>
      </c>
      <c r="B123" s="19">
        <v>10.168900000000001</v>
      </c>
      <c r="C123" s="19">
        <f t="shared" si="1"/>
        <v>4.5600448430493277</v>
      </c>
    </row>
    <row r="124" spans="1:3" x14ac:dyDescent="0.3">
      <c r="A124">
        <v>295</v>
      </c>
      <c r="B124" s="19">
        <v>10.167</v>
      </c>
      <c r="C124" s="19">
        <f t="shared" si="1"/>
        <v>4.5591928251121079</v>
      </c>
    </row>
    <row r="125" spans="1:3" x14ac:dyDescent="0.3">
      <c r="A125">
        <v>296</v>
      </c>
      <c r="B125" s="19">
        <v>9.8501999999999992</v>
      </c>
      <c r="C125" s="19">
        <f t="shared" si="1"/>
        <v>4.4171300448430486</v>
      </c>
    </row>
    <row r="126" spans="1:3" x14ac:dyDescent="0.3">
      <c r="A126">
        <v>297</v>
      </c>
      <c r="B126" s="19">
        <v>9.5855999999999995</v>
      </c>
      <c r="C126" s="19">
        <f t="shared" si="1"/>
        <v>4.2984753363228698</v>
      </c>
    </row>
    <row r="127" spans="1:3" x14ac:dyDescent="0.3">
      <c r="A127">
        <v>298</v>
      </c>
      <c r="B127" s="19">
        <v>9.6489999999999991</v>
      </c>
      <c r="C127" s="19">
        <f t="shared" si="1"/>
        <v>4.326905829596412</v>
      </c>
    </row>
    <row r="128" spans="1:3" x14ac:dyDescent="0.3">
      <c r="A128">
        <v>299</v>
      </c>
      <c r="B128" s="19">
        <v>9.6849000000000007</v>
      </c>
      <c r="C128" s="19">
        <f t="shared" si="1"/>
        <v>4.3430044843049327</v>
      </c>
    </row>
    <row r="129" spans="1:3" x14ac:dyDescent="0.3">
      <c r="A129">
        <v>191</v>
      </c>
      <c r="B129" s="19">
        <v>9.5350000000000001</v>
      </c>
      <c r="C129" s="19">
        <f t="shared" si="1"/>
        <v>4.2757847533632285</v>
      </c>
    </row>
    <row r="130" spans="1:3" x14ac:dyDescent="0.3">
      <c r="A130">
        <v>1</v>
      </c>
      <c r="B130" s="19">
        <v>9.8663000000000007</v>
      </c>
      <c r="C130" s="19">
        <f t="shared" si="1"/>
        <v>4.4243497757847541</v>
      </c>
    </row>
    <row r="131" spans="1:3" x14ac:dyDescent="0.3">
      <c r="A131">
        <v>2</v>
      </c>
      <c r="B131" s="19">
        <v>9.4932999999999996</v>
      </c>
      <c r="C131" s="19">
        <f t="shared" si="1"/>
        <v>4.2570852017937222</v>
      </c>
    </row>
    <row r="132" spans="1:3" x14ac:dyDescent="0.3">
      <c r="A132">
        <v>3</v>
      </c>
      <c r="B132" s="19">
        <v>9.7538999999999998</v>
      </c>
      <c r="C132" s="19">
        <f t="shared" si="1"/>
        <v>4.3739461883408071</v>
      </c>
    </row>
    <row r="133" spans="1:3" x14ac:dyDescent="0.3">
      <c r="A133">
        <v>4</v>
      </c>
      <c r="B133" s="19">
        <v>9.4748999999999999</v>
      </c>
      <c r="C133" s="19">
        <f t="shared" si="1"/>
        <v>4.2488340807174891</v>
      </c>
    </row>
    <row r="134" spans="1:3" x14ac:dyDescent="0.3">
      <c r="A134">
        <v>6</v>
      </c>
      <c r="B134" s="19">
        <v>9.8908000000000005</v>
      </c>
      <c r="C134" s="19">
        <f t="shared" si="1"/>
        <v>4.4353363228699552</v>
      </c>
    </row>
    <row r="135" spans="1:3" x14ac:dyDescent="0.3">
      <c r="A135">
        <v>7</v>
      </c>
      <c r="B135" s="19">
        <v>9.8834</v>
      </c>
      <c r="C135" s="19">
        <f t="shared" si="1"/>
        <v>4.4320179372197313</v>
      </c>
    </row>
    <row r="136" spans="1:3" x14ac:dyDescent="0.3">
      <c r="A136">
        <v>8</v>
      </c>
      <c r="B136" s="19">
        <v>9.5215999999999994</v>
      </c>
      <c r="C136" s="19">
        <f t="shared" si="1"/>
        <v>4.2697757847533628</v>
      </c>
    </row>
    <row r="137" spans="1:3" x14ac:dyDescent="0.3">
      <c r="A137">
        <v>9</v>
      </c>
      <c r="B137" s="19">
        <v>9.5976999999999997</v>
      </c>
      <c r="C137" s="19">
        <f t="shared" si="1"/>
        <v>4.3039013452914796</v>
      </c>
    </row>
    <row r="138" spans="1:3" x14ac:dyDescent="0.3">
      <c r="A138">
        <v>10</v>
      </c>
      <c r="B138" s="19">
        <v>9.9908999999999999</v>
      </c>
      <c r="C138" s="19">
        <f t="shared" si="1"/>
        <v>4.4802242152466372</v>
      </c>
    </row>
    <row r="139" spans="1:3" x14ac:dyDescent="0.3">
      <c r="B139" s="19"/>
      <c r="C139" s="19"/>
    </row>
    <row r="140" spans="1:3" x14ac:dyDescent="0.3">
      <c r="B140" s="19"/>
      <c r="C140" s="19"/>
    </row>
    <row r="141" spans="1:3" x14ac:dyDescent="0.3">
      <c r="B141" s="19"/>
      <c r="C141" s="19"/>
    </row>
    <row r="142" spans="1:3" x14ac:dyDescent="0.3">
      <c r="B142" s="19"/>
      <c r="C142" s="19"/>
    </row>
    <row r="143" spans="1:3" x14ac:dyDescent="0.3">
      <c r="B143" s="19"/>
      <c r="C143" s="19"/>
    </row>
    <row r="144" spans="1:3" x14ac:dyDescent="0.3">
      <c r="B144" s="19"/>
      <c r="C144" s="19"/>
    </row>
    <row r="145" spans="2:3" x14ac:dyDescent="0.3">
      <c r="B145" s="19"/>
      <c r="C145" s="19"/>
    </row>
    <row r="146" spans="2:3" x14ac:dyDescent="0.3">
      <c r="B146" s="19"/>
      <c r="C146" s="19"/>
    </row>
    <row r="147" spans="2:3" x14ac:dyDescent="0.3">
      <c r="B147" s="19"/>
      <c r="C147" s="19"/>
    </row>
    <row r="148" spans="2:3" x14ac:dyDescent="0.3">
      <c r="B148" s="19"/>
      <c r="C148" s="19"/>
    </row>
    <row r="149" spans="2:3" x14ac:dyDescent="0.3">
      <c r="B149" s="19"/>
      <c r="C149" s="19"/>
    </row>
    <row r="150" spans="2:3" x14ac:dyDescent="0.3">
      <c r="B150" s="19"/>
      <c r="C150" s="19"/>
    </row>
    <row r="151" spans="2:3" x14ac:dyDescent="0.3">
      <c r="B151" s="19"/>
      <c r="C151" s="19"/>
    </row>
    <row r="152" spans="2:3" x14ac:dyDescent="0.3">
      <c r="B152" s="19"/>
      <c r="C152" s="19"/>
    </row>
    <row r="153" spans="2:3" x14ac:dyDescent="0.3">
      <c r="B153" s="19"/>
      <c r="C153" s="19"/>
    </row>
    <row r="154" spans="2:3" x14ac:dyDescent="0.3">
      <c r="B154" s="19"/>
      <c r="C154" s="19"/>
    </row>
    <row r="155" spans="2:3" x14ac:dyDescent="0.3">
      <c r="B155" s="19"/>
      <c r="C155" s="19"/>
    </row>
    <row r="156" spans="2:3" x14ac:dyDescent="0.3">
      <c r="B156" s="19"/>
      <c r="C156" s="19"/>
    </row>
    <row r="157" spans="2:3" x14ac:dyDescent="0.3">
      <c r="B157" s="19"/>
      <c r="C157" s="19"/>
    </row>
    <row r="158" spans="2:3" x14ac:dyDescent="0.3">
      <c r="B158" s="19"/>
      <c r="C158" s="19"/>
    </row>
    <row r="159" spans="2:3" x14ac:dyDescent="0.3">
      <c r="B159" s="19"/>
      <c r="C159" s="19"/>
    </row>
    <row r="160" spans="2:3" x14ac:dyDescent="0.3">
      <c r="B160" s="19"/>
      <c r="C160" s="19"/>
    </row>
    <row r="161" spans="2:3" x14ac:dyDescent="0.3">
      <c r="B161" s="19"/>
      <c r="C161" s="19"/>
    </row>
    <row r="162" spans="2:3" x14ac:dyDescent="0.3">
      <c r="B162" s="19"/>
      <c r="C162" s="19"/>
    </row>
    <row r="163" spans="2:3" x14ac:dyDescent="0.3">
      <c r="B163" s="19"/>
      <c r="C163" s="19"/>
    </row>
    <row r="164" spans="2:3" x14ac:dyDescent="0.3">
      <c r="B164" s="19"/>
      <c r="C164" s="19"/>
    </row>
    <row r="165" spans="2:3" x14ac:dyDescent="0.3">
      <c r="B165" s="19"/>
      <c r="C165" s="19"/>
    </row>
    <row r="166" spans="2:3" x14ac:dyDescent="0.3">
      <c r="B166" s="19"/>
      <c r="C166" s="19"/>
    </row>
    <row r="167" spans="2:3" x14ac:dyDescent="0.3">
      <c r="B167" s="19"/>
      <c r="C167" s="19"/>
    </row>
    <row r="168" spans="2:3" x14ac:dyDescent="0.3">
      <c r="B168" s="19"/>
      <c r="C168" s="19"/>
    </row>
    <row r="169" spans="2:3" x14ac:dyDescent="0.3">
      <c r="B169" s="19"/>
      <c r="C169" s="19"/>
    </row>
    <row r="170" spans="2:3" x14ac:dyDescent="0.3">
      <c r="B170" s="19"/>
      <c r="C170" s="19"/>
    </row>
    <row r="171" spans="2:3" x14ac:dyDescent="0.3">
      <c r="B171" s="19"/>
      <c r="C171" s="19"/>
    </row>
    <row r="172" spans="2:3" x14ac:dyDescent="0.3">
      <c r="B172" s="19"/>
      <c r="C172" s="19"/>
    </row>
    <row r="173" spans="2:3" x14ac:dyDescent="0.3">
      <c r="B173" s="19"/>
      <c r="C173" s="19"/>
    </row>
    <row r="174" spans="2:3" x14ac:dyDescent="0.3">
      <c r="B174" s="19"/>
      <c r="C174" s="19"/>
    </row>
    <row r="175" spans="2:3" x14ac:dyDescent="0.3">
      <c r="B175" s="19"/>
      <c r="C175" s="19"/>
    </row>
    <row r="176" spans="2:3" x14ac:dyDescent="0.3">
      <c r="B176" s="19"/>
      <c r="C176" s="19"/>
    </row>
    <row r="177" spans="2:3" x14ac:dyDescent="0.3">
      <c r="B177" s="19"/>
      <c r="C177" s="19"/>
    </row>
    <row r="178" spans="2:3" x14ac:dyDescent="0.3">
      <c r="B178" s="19"/>
      <c r="C178" s="19"/>
    </row>
    <row r="179" spans="2:3" x14ac:dyDescent="0.3">
      <c r="B179" s="19"/>
      <c r="C179" s="19"/>
    </row>
    <row r="180" spans="2:3" x14ac:dyDescent="0.3">
      <c r="B180" s="19"/>
      <c r="C180" s="19"/>
    </row>
    <row r="181" spans="2:3" x14ac:dyDescent="0.3">
      <c r="B181" s="19"/>
      <c r="C181" s="19"/>
    </row>
    <row r="182" spans="2:3" x14ac:dyDescent="0.3">
      <c r="B182" s="19"/>
      <c r="C182" s="19"/>
    </row>
    <row r="183" spans="2:3" x14ac:dyDescent="0.3">
      <c r="B183" s="19"/>
      <c r="C183" s="19"/>
    </row>
    <row r="184" spans="2:3" x14ac:dyDescent="0.3">
      <c r="B184" s="19"/>
      <c r="C184" s="19"/>
    </row>
    <row r="185" spans="2:3" x14ac:dyDescent="0.3">
      <c r="B185" s="19"/>
      <c r="C185" s="19"/>
    </row>
    <row r="186" spans="2:3" x14ac:dyDescent="0.3">
      <c r="B186" s="19"/>
      <c r="C186" s="19"/>
    </row>
    <row r="187" spans="2:3" x14ac:dyDescent="0.3">
      <c r="B187" s="19"/>
      <c r="C187" s="19"/>
    </row>
    <row r="188" spans="2:3" x14ac:dyDescent="0.3">
      <c r="B188" s="19"/>
      <c r="C188" s="19"/>
    </row>
    <row r="189" spans="2:3" x14ac:dyDescent="0.3">
      <c r="B189" s="19"/>
      <c r="C189" s="19"/>
    </row>
    <row r="190" spans="2:3" x14ac:dyDescent="0.3">
      <c r="B190" s="19"/>
      <c r="C190" s="19"/>
    </row>
    <row r="191" spans="2:3" x14ac:dyDescent="0.3">
      <c r="B191" s="19"/>
      <c r="C191" s="19"/>
    </row>
    <row r="192" spans="2:3" x14ac:dyDescent="0.3">
      <c r="B192" s="19"/>
      <c r="C192" s="19"/>
    </row>
    <row r="193" spans="2:3" x14ac:dyDescent="0.3">
      <c r="B193" s="19"/>
      <c r="C193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54DAB-EA40-45B5-B897-4E73CBE83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MAD</vt:lpstr>
      <vt:lpstr>STD</vt:lpstr>
      <vt:lpstr>Depth vlookup</vt:lpstr>
      <vt:lpstr>Beakers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Rydzy, Marisa B. (Dr.)</dc:creator>
  <cp:lastModifiedBy>Maddox Chastain</cp:lastModifiedBy>
  <cp:lastPrinted>2024-02-07T15:07:26Z</cp:lastPrinted>
  <dcterms:created xsi:type="dcterms:W3CDTF">2024-02-05T08:47:56Z</dcterms:created>
  <dcterms:modified xsi:type="dcterms:W3CDTF">2026-07-14T00:48:27Z</dcterms:modified>
</cp:coreProperties>
</file>