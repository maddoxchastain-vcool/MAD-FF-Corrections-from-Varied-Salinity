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3_MAD/M0111A/"/>
    </mc:Choice>
  </mc:AlternateContent>
  <xr:revisionPtr revIDLastSave="6" documentId="11_9C7812B6000284D3929A09BD5B3BF2B185EEE75F" xr6:coauthVersionLast="47" xr6:coauthVersionMax="47" xr10:uidLastSave="{46615F6C-11AD-4C38-90F7-F491EACECC34}"/>
  <bookViews>
    <workbookView xWindow="-108" yWindow="-108" windowWidth="23256" windowHeight="12456" tabRatio="500" xr2:uid="{00000000-000D-0000-FFFF-FFFF00000000}"/>
  </bookViews>
  <sheets>
    <sheet name="MAD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4" i="1" l="1"/>
  <c r="AC2" i="1"/>
  <c r="Y2" i="1"/>
  <c r="V2" i="1" l="1"/>
  <c r="AC241" i="1"/>
  <c r="N241" i="1"/>
  <c r="J241" i="1"/>
  <c r="I241" i="1"/>
  <c r="K241" i="1" s="1"/>
  <c r="L241" i="1" s="1"/>
  <c r="AC240" i="1"/>
  <c r="N240" i="1"/>
  <c r="K240" i="1"/>
  <c r="L240" i="1" s="1"/>
  <c r="J240" i="1"/>
  <c r="I240" i="1"/>
  <c r="AC239" i="1"/>
  <c r="N239" i="1"/>
  <c r="I239" i="1"/>
  <c r="J239" i="1" s="1"/>
  <c r="AC238" i="1"/>
  <c r="N238" i="1"/>
  <c r="I238" i="1"/>
  <c r="J238" i="1" s="1"/>
  <c r="AC237" i="1"/>
  <c r="N237" i="1"/>
  <c r="I237" i="1"/>
  <c r="AC236" i="1"/>
  <c r="W236" i="1"/>
  <c r="X236" i="1" s="1"/>
  <c r="N236" i="1"/>
  <c r="V236" i="1" s="1"/>
  <c r="I236" i="1"/>
  <c r="AC235" i="1"/>
  <c r="X235" i="1"/>
  <c r="W235" i="1"/>
  <c r="V235" i="1"/>
  <c r="N235" i="1"/>
  <c r="I235" i="1"/>
  <c r="AC234" i="1"/>
  <c r="W234" i="1"/>
  <c r="V234" i="1"/>
  <c r="N234" i="1"/>
  <c r="I234" i="1"/>
  <c r="AC233" i="1"/>
  <c r="W233" i="1"/>
  <c r="N233" i="1"/>
  <c r="V233" i="1" s="1"/>
  <c r="I233" i="1"/>
  <c r="K233" i="1" s="1"/>
  <c r="L233" i="1" s="1"/>
  <c r="AC232" i="1"/>
  <c r="N232" i="1"/>
  <c r="V232" i="1" s="1"/>
  <c r="I232" i="1"/>
  <c r="AC231" i="1"/>
  <c r="N231" i="1"/>
  <c r="K231" i="1"/>
  <c r="L231" i="1" s="1"/>
  <c r="I231" i="1"/>
  <c r="J231" i="1" s="1"/>
  <c r="AC230" i="1"/>
  <c r="N230" i="1"/>
  <c r="K230" i="1"/>
  <c r="L230" i="1" s="1"/>
  <c r="I230" i="1"/>
  <c r="J230" i="1" s="1"/>
  <c r="AC229" i="1"/>
  <c r="N229" i="1"/>
  <c r="L229" i="1"/>
  <c r="J229" i="1"/>
  <c r="I229" i="1"/>
  <c r="K229" i="1" s="1"/>
  <c r="AC228" i="1"/>
  <c r="N228" i="1"/>
  <c r="V228" i="1" s="1"/>
  <c r="K228" i="1"/>
  <c r="L228" i="1" s="1"/>
  <c r="I228" i="1"/>
  <c r="J228" i="1" s="1"/>
  <c r="AC227" i="1"/>
  <c r="W227" i="1"/>
  <c r="V227" i="1"/>
  <c r="N227" i="1"/>
  <c r="K227" i="1"/>
  <c r="L227" i="1" s="1"/>
  <c r="I227" i="1"/>
  <c r="J227" i="1" s="1"/>
  <c r="AC226" i="1"/>
  <c r="N226" i="1"/>
  <c r="K226" i="1"/>
  <c r="L226" i="1" s="1"/>
  <c r="I226" i="1"/>
  <c r="J226" i="1" s="1"/>
  <c r="AC225" i="1"/>
  <c r="W225" i="1"/>
  <c r="N225" i="1"/>
  <c r="V225" i="1" s="1"/>
  <c r="L225" i="1"/>
  <c r="K225" i="1"/>
  <c r="J225" i="1"/>
  <c r="I225" i="1"/>
  <c r="AC224" i="1"/>
  <c r="N224" i="1"/>
  <c r="K224" i="1"/>
  <c r="L224" i="1" s="1"/>
  <c r="J224" i="1"/>
  <c r="I224" i="1"/>
  <c r="AC223" i="1"/>
  <c r="X223" i="1"/>
  <c r="W223" i="1"/>
  <c r="V223" i="1"/>
  <c r="N223" i="1"/>
  <c r="K223" i="1"/>
  <c r="L223" i="1" s="1"/>
  <c r="I223" i="1"/>
  <c r="J223" i="1" s="1"/>
  <c r="AC222" i="1"/>
  <c r="W222" i="1"/>
  <c r="V222" i="1"/>
  <c r="N222" i="1"/>
  <c r="I222" i="1"/>
  <c r="J222" i="1" s="1"/>
  <c r="AC221" i="1"/>
  <c r="N221" i="1"/>
  <c r="I221" i="1"/>
  <c r="AC220" i="1"/>
  <c r="W220" i="1"/>
  <c r="N220" i="1"/>
  <c r="V220" i="1" s="1"/>
  <c r="I220" i="1"/>
  <c r="AC219" i="1"/>
  <c r="X219" i="1"/>
  <c r="W219" i="1"/>
  <c r="V219" i="1"/>
  <c r="N219" i="1"/>
  <c r="I219" i="1"/>
  <c r="AC218" i="1"/>
  <c r="W218" i="1"/>
  <c r="V218" i="1"/>
  <c r="N218" i="1"/>
  <c r="K218" i="1"/>
  <c r="L218" i="1" s="1"/>
  <c r="I218" i="1"/>
  <c r="J218" i="1" s="1"/>
  <c r="AC217" i="1"/>
  <c r="W217" i="1"/>
  <c r="N217" i="1"/>
  <c r="V217" i="1" s="1"/>
  <c r="I217" i="1"/>
  <c r="AC216" i="1"/>
  <c r="N216" i="1"/>
  <c r="V216" i="1" s="1"/>
  <c r="K216" i="1"/>
  <c r="L216" i="1" s="1"/>
  <c r="I216" i="1"/>
  <c r="J216" i="1" s="1"/>
  <c r="AC215" i="1"/>
  <c r="N215" i="1"/>
  <c r="K215" i="1"/>
  <c r="L215" i="1" s="1"/>
  <c r="I215" i="1"/>
  <c r="J215" i="1" s="1"/>
  <c r="AC214" i="1"/>
  <c r="N214" i="1"/>
  <c r="K214" i="1"/>
  <c r="L214" i="1" s="1"/>
  <c r="I214" i="1"/>
  <c r="J214" i="1" s="1"/>
  <c r="AC213" i="1"/>
  <c r="N213" i="1"/>
  <c r="K213" i="1"/>
  <c r="L213" i="1" s="1"/>
  <c r="I213" i="1"/>
  <c r="J213" i="1" s="1"/>
  <c r="AC212" i="1"/>
  <c r="W212" i="1"/>
  <c r="N212" i="1"/>
  <c r="V212" i="1" s="1"/>
  <c r="K212" i="1"/>
  <c r="L212" i="1" s="1"/>
  <c r="J212" i="1"/>
  <c r="I212" i="1"/>
  <c r="AC211" i="1"/>
  <c r="W211" i="1"/>
  <c r="V211" i="1"/>
  <c r="N211" i="1"/>
  <c r="K211" i="1"/>
  <c r="L211" i="1" s="1"/>
  <c r="J211" i="1"/>
  <c r="I211" i="1"/>
  <c r="AC210" i="1"/>
  <c r="N210" i="1"/>
  <c r="I210" i="1"/>
  <c r="AF209" i="1"/>
  <c r="AC209" i="1"/>
  <c r="Y209" i="1"/>
  <c r="W209" i="1"/>
  <c r="X209" i="1" s="1"/>
  <c r="V209" i="1"/>
  <c r="N209" i="1"/>
  <c r="I209" i="1"/>
  <c r="AC208" i="1"/>
  <c r="N208" i="1"/>
  <c r="I208" i="1"/>
  <c r="AC207" i="1"/>
  <c r="V207" i="1"/>
  <c r="N207" i="1"/>
  <c r="W207" i="1" s="1"/>
  <c r="K207" i="1"/>
  <c r="L207" i="1" s="1"/>
  <c r="J207" i="1"/>
  <c r="I207" i="1"/>
  <c r="AC206" i="1"/>
  <c r="N206" i="1"/>
  <c r="I206" i="1"/>
  <c r="J206" i="1" s="1"/>
  <c r="AF205" i="1"/>
  <c r="AC205" i="1"/>
  <c r="Y205" i="1"/>
  <c r="AB205" i="1" s="1"/>
  <c r="W205" i="1"/>
  <c r="Z205" i="1" s="1"/>
  <c r="V205" i="1"/>
  <c r="X205" i="1" s="1"/>
  <c r="N205" i="1"/>
  <c r="K205" i="1"/>
  <c r="L205" i="1" s="1"/>
  <c r="I205" i="1"/>
  <c r="J205" i="1" s="1"/>
  <c r="AC204" i="1"/>
  <c r="N204" i="1"/>
  <c r="I204" i="1"/>
  <c r="AC203" i="1"/>
  <c r="W203" i="1"/>
  <c r="N203" i="1"/>
  <c r="V203" i="1" s="1"/>
  <c r="K203" i="1"/>
  <c r="L203" i="1" s="1"/>
  <c r="J203" i="1"/>
  <c r="I203" i="1"/>
  <c r="AC202" i="1"/>
  <c r="N202" i="1"/>
  <c r="I202" i="1"/>
  <c r="AF201" i="1"/>
  <c r="AC201" i="1"/>
  <c r="W201" i="1"/>
  <c r="V201" i="1"/>
  <c r="X201" i="1" s="1"/>
  <c r="N201" i="1"/>
  <c r="K201" i="1"/>
  <c r="L201" i="1" s="1"/>
  <c r="J201" i="1"/>
  <c r="I201" i="1"/>
  <c r="AC200" i="1"/>
  <c r="W200" i="1"/>
  <c r="V200" i="1"/>
  <c r="N200" i="1"/>
  <c r="J200" i="1"/>
  <c r="I200" i="1"/>
  <c r="K200" i="1" s="1"/>
  <c r="L200" i="1" s="1"/>
  <c r="AC199" i="1"/>
  <c r="W199" i="1"/>
  <c r="N199" i="1"/>
  <c r="V199" i="1" s="1"/>
  <c r="L199" i="1"/>
  <c r="K199" i="1"/>
  <c r="J199" i="1"/>
  <c r="I199" i="1"/>
  <c r="AC198" i="1"/>
  <c r="V198" i="1"/>
  <c r="N198" i="1"/>
  <c r="W198" i="1" s="1"/>
  <c r="K198" i="1"/>
  <c r="L198" i="1" s="1"/>
  <c r="I198" i="1"/>
  <c r="J198" i="1" s="1"/>
  <c r="AC197" i="1"/>
  <c r="W197" i="1"/>
  <c r="V197" i="1"/>
  <c r="N197" i="1"/>
  <c r="I197" i="1"/>
  <c r="AC196" i="1"/>
  <c r="N196" i="1"/>
  <c r="I196" i="1"/>
  <c r="AC195" i="1"/>
  <c r="N195" i="1"/>
  <c r="J195" i="1"/>
  <c r="I195" i="1"/>
  <c r="K195" i="1" s="1"/>
  <c r="L195" i="1" s="1"/>
  <c r="AC194" i="1"/>
  <c r="W194" i="1"/>
  <c r="V194" i="1"/>
  <c r="N194" i="1"/>
  <c r="K194" i="1"/>
  <c r="L194" i="1" s="1"/>
  <c r="J194" i="1"/>
  <c r="I194" i="1"/>
  <c r="AC193" i="1"/>
  <c r="W193" i="1"/>
  <c r="V193" i="1"/>
  <c r="N193" i="1"/>
  <c r="K193" i="1"/>
  <c r="L193" i="1" s="1"/>
  <c r="I193" i="1"/>
  <c r="J193" i="1" s="1"/>
  <c r="AC192" i="1"/>
  <c r="W192" i="1"/>
  <c r="N192" i="1"/>
  <c r="V192" i="1" s="1"/>
  <c r="L192" i="1"/>
  <c r="I192" i="1"/>
  <c r="K192" i="1" s="1"/>
  <c r="AC191" i="1"/>
  <c r="N191" i="1"/>
  <c r="I191" i="1"/>
  <c r="AC190" i="1"/>
  <c r="N190" i="1"/>
  <c r="I190" i="1"/>
  <c r="AC189" i="1"/>
  <c r="AA189" i="1"/>
  <c r="X189" i="1"/>
  <c r="W189" i="1"/>
  <c r="V189" i="1"/>
  <c r="N189" i="1"/>
  <c r="J189" i="1"/>
  <c r="I189" i="1"/>
  <c r="K189" i="1" s="1"/>
  <c r="L189" i="1" s="1"/>
  <c r="AC188" i="1"/>
  <c r="N188" i="1"/>
  <c r="I188" i="1"/>
  <c r="AC187" i="1"/>
  <c r="N187" i="1"/>
  <c r="K187" i="1"/>
  <c r="L187" i="1" s="1"/>
  <c r="J187" i="1"/>
  <c r="I187" i="1"/>
  <c r="AC186" i="1"/>
  <c r="V186" i="1"/>
  <c r="N186" i="1"/>
  <c r="W186" i="1" s="1"/>
  <c r="L186" i="1"/>
  <c r="K186" i="1"/>
  <c r="I186" i="1"/>
  <c r="J186" i="1" s="1"/>
  <c r="AC185" i="1"/>
  <c r="X185" i="1"/>
  <c r="W185" i="1"/>
  <c r="V185" i="1"/>
  <c r="N185" i="1"/>
  <c r="K185" i="1"/>
  <c r="L185" i="1" s="1"/>
  <c r="J185" i="1"/>
  <c r="I185" i="1"/>
  <c r="AC184" i="1"/>
  <c r="N184" i="1"/>
  <c r="W184" i="1" s="1"/>
  <c r="I184" i="1"/>
  <c r="AC183" i="1"/>
  <c r="N183" i="1"/>
  <c r="K183" i="1"/>
  <c r="L183" i="1" s="1"/>
  <c r="J183" i="1"/>
  <c r="I183" i="1"/>
  <c r="AC182" i="1"/>
  <c r="V182" i="1"/>
  <c r="N182" i="1"/>
  <c r="W182" i="1" s="1"/>
  <c r="K182" i="1"/>
  <c r="L182" i="1" s="1"/>
  <c r="I182" i="1"/>
  <c r="J182" i="1" s="1"/>
  <c r="AC181" i="1"/>
  <c r="W181" i="1"/>
  <c r="V181" i="1"/>
  <c r="N181" i="1"/>
  <c r="K181" i="1"/>
  <c r="L181" i="1" s="1"/>
  <c r="J181" i="1"/>
  <c r="I181" i="1"/>
  <c r="AC180" i="1"/>
  <c r="N180" i="1"/>
  <c r="I180" i="1"/>
  <c r="AC179" i="1"/>
  <c r="N179" i="1"/>
  <c r="K179" i="1"/>
  <c r="L179" i="1" s="1"/>
  <c r="J179" i="1"/>
  <c r="I179" i="1"/>
  <c r="AC178" i="1"/>
  <c r="V178" i="1"/>
  <c r="N178" i="1"/>
  <c r="W178" i="1" s="1"/>
  <c r="K178" i="1"/>
  <c r="L178" i="1" s="1"/>
  <c r="I178" i="1"/>
  <c r="J178" i="1" s="1"/>
  <c r="AC177" i="1"/>
  <c r="X177" i="1"/>
  <c r="V177" i="1"/>
  <c r="N177" i="1"/>
  <c r="W177" i="1" s="1"/>
  <c r="I177" i="1"/>
  <c r="AC176" i="1"/>
  <c r="W176" i="1"/>
  <c r="X176" i="1" s="1"/>
  <c r="AF176" i="1" s="1"/>
  <c r="V176" i="1"/>
  <c r="N176" i="1"/>
  <c r="I176" i="1"/>
  <c r="AC175" i="1"/>
  <c r="N175" i="1"/>
  <c r="J175" i="1"/>
  <c r="I175" i="1"/>
  <c r="K175" i="1" s="1"/>
  <c r="L175" i="1" s="1"/>
  <c r="AC174" i="1"/>
  <c r="X174" i="1"/>
  <c r="V174" i="1"/>
  <c r="N174" i="1"/>
  <c r="W174" i="1" s="1"/>
  <c r="L174" i="1"/>
  <c r="K174" i="1"/>
  <c r="J174" i="1"/>
  <c r="I174" i="1"/>
  <c r="AC173" i="1"/>
  <c r="V173" i="1"/>
  <c r="N173" i="1"/>
  <c r="W173" i="1" s="1"/>
  <c r="L173" i="1"/>
  <c r="J173" i="1"/>
  <c r="I173" i="1"/>
  <c r="K173" i="1" s="1"/>
  <c r="AC172" i="1"/>
  <c r="W172" i="1"/>
  <c r="X172" i="1" s="1"/>
  <c r="V172" i="1"/>
  <c r="N172" i="1"/>
  <c r="I172" i="1"/>
  <c r="AC171" i="1"/>
  <c r="V171" i="1"/>
  <c r="N171" i="1"/>
  <c r="W171" i="1" s="1"/>
  <c r="J171" i="1"/>
  <c r="I171" i="1"/>
  <c r="K171" i="1" s="1"/>
  <c r="L171" i="1" s="1"/>
  <c r="AC170" i="1"/>
  <c r="AA170" i="1"/>
  <c r="X170" i="1"/>
  <c r="V170" i="1"/>
  <c r="N170" i="1"/>
  <c r="W170" i="1" s="1"/>
  <c r="K170" i="1"/>
  <c r="L170" i="1" s="1"/>
  <c r="J170" i="1"/>
  <c r="I170" i="1"/>
  <c r="AC169" i="1"/>
  <c r="V169" i="1"/>
  <c r="N169" i="1"/>
  <c r="W169" i="1" s="1"/>
  <c r="L169" i="1"/>
  <c r="J169" i="1"/>
  <c r="I169" i="1"/>
  <c r="K169" i="1" s="1"/>
  <c r="AC168" i="1"/>
  <c r="W168" i="1"/>
  <c r="V168" i="1"/>
  <c r="N168" i="1"/>
  <c r="I168" i="1"/>
  <c r="AC167" i="1"/>
  <c r="N167" i="1"/>
  <c r="W167" i="1" s="1"/>
  <c r="J167" i="1"/>
  <c r="I167" i="1"/>
  <c r="K167" i="1" s="1"/>
  <c r="L167" i="1" s="1"/>
  <c r="AC166" i="1"/>
  <c r="X166" i="1"/>
  <c r="V166" i="1"/>
  <c r="N166" i="1"/>
  <c r="W166" i="1" s="1"/>
  <c r="K166" i="1"/>
  <c r="L166" i="1" s="1"/>
  <c r="J166" i="1"/>
  <c r="I166" i="1"/>
  <c r="AC165" i="1"/>
  <c r="V165" i="1"/>
  <c r="N165" i="1"/>
  <c r="W165" i="1" s="1"/>
  <c r="L165" i="1"/>
  <c r="J165" i="1"/>
  <c r="I165" i="1"/>
  <c r="K165" i="1" s="1"/>
  <c r="AC164" i="1"/>
  <c r="W164" i="1"/>
  <c r="X164" i="1" s="1"/>
  <c r="V164" i="1"/>
  <c r="N164" i="1"/>
  <c r="I164" i="1"/>
  <c r="AC163" i="1"/>
  <c r="N163" i="1"/>
  <c r="J163" i="1"/>
  <c r="I163" i="1"/>
  <c r="K163" i="1" s="1"/>
  <c r="L163" i="1" s="1"/>
  <c r="AC162" i="1"/>
  <c r="N162" i="1"/>
  <c r="K162" i="1"/>
  <c r="L162" i="1" s="1"/>
  <c r="J162" i="1"/>
  <c r="I162" i="1"/>
  <c r="AC161" i="1"/>
  <c r="V161" i="1"/>
  <c r="N161" i="1"/>
  <c r="W161" i="1" s="1"/>
  <c r="I161" i="1"/>
  <c r="J161" i="1" s="1"/>
  <c r="AC160" i="1"/>
  <c r="W160" i="1"/>
  <c r="V160" i="1"/>
  <c r="N160" i="1"/>
  <c r="K160" i="1"/>
  <c r="L160" i="1" s="1"/>
  <c r="I160" i="1"/>
  <c r="J160" i="1" s="1"/>
  <c r="AC159" i="1"/>
  <c r="W159" i="1"/>
  <c r="N159" i="1"/>
  <c r="V159" i="1" s="1"/>
  <c r="I159" i="1"/>
  <c r="AC158" i="1"/>
  <c r="W158" i="1"/>
  <c r="N158" i="1"/>
  <c r="V158" i="1" s="1"/>
  <c r="K158" i="1"/>
  <c r="L158" i="1" s="1"/>
  <c r="J158" i="1"/>
  <c r="I158" i="1"/>
  <c r="AC157" i="1"/>
  <c r="X157" i="1"/>
  <c r="V157" i="1"/>
  <c r="N157" i="1"/>
  <c r="W157" i="1" s="1"/>
  <c r="K157" i="1"/>
  <c r="L157" i="1" s="1"/>
  <c r="I157" i="1"/>
  <c r="J157" i="1" s="1"/>
  <c r="AC156" i="1"/>
  <c r="W156" i="1"/>
  <c r="V156" i="1"/>
  <c r="N156" i="1"/>
  <c r="K156" i="1"/>
  <c r="L156" i="1" s="1"/>
  <c r="I156" i="1"/>
  <c r="J156" i="1" s="1"/>
  <c r="AC155" i="1"/>
  <c r="N155" i="1"/>
  <c r="I155" i="1"/>
  <c r="AC154" i="1"/>
  <c r="N154" i="1"/>
  <c r="K154" i="1"/>
  <c r="L154" i="1" s="1"/>
  <c r="J154" i="1"/>
  <c r="I154" i="1"/>
  <c r="AF153" i="1"/>
  <c r="AC153" i="1"/>
  <c r="X153" i="1"/>
  <c r="V153" i="1"/>
  <c r="N153" i="1"/>
  <c r="W153" i="1" s="1"/>
  <c r="K153" i="1"/>
  <c r="L153" i="1" s="1"/>
  <c r="I153" i="1"/>
  <c r="J153" i="1" s="1"/>
  <c r="AC152" i="1"/>
  <c r="W152" i="1"/>
  <c r="V152" i="1"/>
  <c r="N152" i="1"/>
  <c r="K152" i="1"/>
  <c r="L152" i="1" s="1"/>
  <c r="I152" i="1"/>
  <c r="J152" i="1" s="1"/>
  <c r="AF151" i="1"/>
  <c r="AC151" i="1"/>
  <c r="X151" i="1"/>
  <c r="W151" i="1"/>
  <c r="V151" i="1"/>
  <c r="N151" i="1"/>
  <c r="I151" i="1"/>
  <c r="AC150" i="1"/>
  <c r="N150" i="1"/>
  <c r="V150" i="1" s="1"/>
  <c r="K150" i="1"/>
  <c r="L150" i="1" s="1"/>
  <c r="J150" i="1"/>
  <c r="I150" i="1"/>
  <c r="AC149" i="1"/>
  <c r="V149" i="1"/>
  <c r="X149" i="1" s="1"/>
  <c r="N149" i="1"/>
  <c r="W149" i="1" s="1"/>
  <c r="I149" i="1"/>
  <c r="AG148" i="1"/>
  <c r="AF148" i="1"/>
  <c r="AC148" i="1"/>
  <c r="AB148" i="1"/>
  <c r="Y148" i="1"/>
  <c r="Z148" i="1" s="1"/>
  <c r="X148" i="1"/>
  <c r="AA148" i="1" s="1"/>
  <c r="W148" i="1"/>
  <c r="V148" i="1"/>
  <c r="N148" i="1"/>
  <c r="I148" i="1"/>
  <c r="AC147" i="1"/>
  <c r="W147" i="1"/>
  <c r="V147" i="1"/>
  <c r="N147" i="1"/>
  <c r="I147" i="1"/>
  <c r="AC146" i="1"/>
  <c r="N146" i="1"/>
  <c r="L146" i="1"/>
  <c r="K146" i="1"/>
  <c r="J146" i="1"/>
  <c r="I146" i="1"/>
  <c r="AF145" i="1"/>
  <c r="AC145" i="1"/>
  <c r="Y145" i="1"/>
  <c r="AB145" i="1" s="1"/>
  <c r="X145" i="1"/>
  <c r="AA145" i="1" s="1"/>
  <c r="V145" i="1"/>
  <c r="N145" i="1"/>
  <c r="W145" i="1" s="1"/>
  <c r="L145" i="1"/>
  <c r="K145" i="1"/>
  <c r="I145" i="1"/>
  <c r="J145" i="1" s="1"/>
  <c r="AC144" i="1"/>
  <c r="AA144" i="1"/>
  <c r="X144" i="1"/>
  <c r="Y144" i="1" s="1"/>
  <c r="AB144" i="1" s="1"/>
  <c r="W144" i="1"/>
  <c r="V144" i="1"/>
  <c r="N144" i="1"/>
  <c r="J144" i="1"/>
  <c r="I144" i="1"/>
  <c r="K144" i="1" s="1"/>
  <c r="L144" i="1" s="1"/>
  <c r="AC143" i="1"/>
  <c r="N143" i="1"/>
  <c r="I143" i="1"/>
  <c r="AC142" i="1"/>
  <c r="W142" i="1"/>
  <c r="N142" i="1"/>
  <c r="V142" i="1" s="1"/>
  <c r="K142" i="1"/>
  <c r="L142" i="1" s="1"/>
  <c r="J142" i="1"/>
  <c r="I142" i="1"/>
  <c r="AC141" i="1"/>
  <c r="V141" i="1"/>
  <c r="N141" i="1"/>
  <c r="W141" i="1" s="1"/>
  <c r="K141" i="1"/>
  <c r="L141" i="1" s="1"/>
  <c r="I141" i="1"/>
  <c r="J141" i="1" s="1"/>
  <c r="AC140" i="1"/>
  <c r="W140" i="1"/>
  <c r="V140" i="1"/>
  <c r="X140" i="1" s="1"/>
  <c r="N140" i="1"/>
  <c r="K140" i="1"/>
  <c r="L140" i="1" s="1"/>
  <c r="I140" i="1"/>
  <c r="J140" i="1" s="1"/>
  <c r="AC139" i="1"/>
  <c r="W139" i="1"/>
  <c r="V139" i="1"/>
  <c r="X139" i="1" s="1"/>
  <c r="N139" i="1"/>
  <c r="K139" i="1"/>
  <c r="L139" i="1" s="1"/>
  <c r="J139" i="1"/>
  <c r="I139" i="1"/>
  <c r="AC138" i="1"/>
  <c r="W138" i="1"/>
  <c r="V138" i="1"/>
  <c r="N138" i="1"/>
  <c r="J138" i="1"/>
  <c r="I138" i="1"/>
  <c r="K138" i="1" s="1"/>
  <c r="L138" i="1" s="1"/>
  <c r="AC137" i="1"/>
  <c r="W137" i="1"/>
  <c r="N137" i="1"/>
  <c r="V137" i="1" s="1"/>
  <c r="K137" i="1"/>
  <c r="L137" i="1" s="1"/>
  <c r="J137" i="1"/>
  <c r="I137" i="1"/>
  <c r="AC136" i="1"/>
  <c r="X136" i="1"/>
  <c r="V136" i="1"/>
  <c r="N136" i="1"/>
  <c r="W136" i="1" s="1"/>
  <c r="K136" i="1"/>
  <c r="L136" i="1" s="1"/>
  <c r="I136" i="1"/>
  <c r="J136" i="1" s="1"/>
  <c r="AC135" i="1"/>
  <c r="W135" i="1"/>
  <c r="V135" i="1"/>
  <c r="N135" i="1"/>
  <c r="L135" i="1"/>
  <c r="K135" i="1"/>
  <c r="J135" i="1"/>
  <c r="I135" i="1"/>
  <c r="AC134" i="1"/>
  <c r="W134" i="1"/>
  <c r="V134" i="1"/>
  <c r="N134" i="1"/>
  <c r="L134" i="1"/>
  <c r="J134" i="1"/>
  <c r="I134" i="1"/>
  <c r="K134" i="1" s="1"/>
  <c r="AC133" i="1"/>
  <c r="V133" i="1"/>
  <c r="N133" i="1"/>
  <c r="W133" i="1" s="1"/>
  <c r="L133" i="1"/>
  <c r="K133" i="1"/>
  <c r="J133" i="1"/>
  <c r="I133" i="1"/>
  <c r="AC132" i="1"/>
  <c r="N132" i="1"/>
  <c r="J132" i="1"/>
  <c r="I132" i="1"/>
  <c r="K132" i="1" s="1"/>
  <c r="L132" i="1" s="1"/>
  <c r="AC131" i="1"/>
  <c r="AA131" i="1"/>
  <c r="X131" i="1"/>
  <c r="W131" i="1"/>
  <c r="V131" i="1"/>
  <c r="N131" i="1"/>
  <c r="K131" i="1"/>
  <c r="L131" i="1" s="1"/>
  <c r="J131" i="1"/>
  <c r="I131" i="1"/>
  <c r="AC130" i="1"/>
  <c r="W130" i="1"/>
  <c r="V130" i="1"/>
  <c r="N130" i="1"/>
  <c r="L130" i="1"/>
  <c r="J130" i="1"/>
  <c r="I130" i="1"/>
  <c r="K130" i="1" s="1"/>
  <c r="AC129" i="1"/>
  <c r="W129" i="1"/>
  <c r="V129" i="1"/>
  <c r="N129" i="1"/>
  <c r="L129" i="1"/>
  <c r="K129" i="1"/>
  <c r="J129" i="1"/>
  <c r="I129" i="1"/>
  <c r="AF128" i="1"/>
  <c r="AC128" i="1"/>
  <c r="X128" i="1"/>
  <c r="V128" i="1"/>
  <c r="N128" i="1"/>
  <c r="W128" i="1" s="1"/>
  <c r="K128" i="1"/>
  <c r="L128" i="1" s="1"/>
  <c r="I128" i="1"/>
  <c r="J128" i="1" s="1"/>
  <c r="AC127" i="1"/>
  <c r="W127" i="1"/>
  <c r="V127" i="1"/>
  <c r="N127" i="1"/>
  <c r="L127" i="1"/>
  <c r="K127" i="1"/>
  <c r="J127" i="1"/>
  <c r="I127" i="1"/>
  <c r="AF126" i="1"/>
  <c r="AC126" i="1"/>
  <c r="X126" i="1"/>
  <c r="W126" i="1"/>
  <c r="V126" i="1"/>
  <c r="N126" i="1"/>
  <c r="I126" i="1"/>
  <c r="AC125" i="1"/>
  <c r="W125" i="1"/>
  <c r="N125" i="1"/>
  <c r="V125" i="1" s="1"/>
  <c r="K125" i="1"/>
  <c r="L125" i="1" s="1"/>
  <c r="J125" i="1"/>
  <c r="I125" i="1"/>
  <c r="AC124" i="1"/>
  <c r="X124" i="1"/>
  <c r="V124" i="1"/>
  <c r="N124" i="1"/>
  <c r="W124" i="1" s="1"/>
  <c r="I124" i="1"/>
  <c r="AC123" i="1"/>
  <c r="W123" i="1"/>
  <c r="V123" i="1"/>
  <c r="N123" i="1"/>
  <c r="K123" i="1"/>
  <c r="L123" i="1" s="1"/>
  <c r="J123" i="1"/>
  <c r="I123" i="1"/>
  <c r="AF122" i="1"/>
  <c r="AC122" i="1"/>
  <c r="X122" i="1"/>
  <c r="W122" i="1"/>
  <c r="V122" i="1"/>
  <c r="N122" i="1"/>
  <c r="I122" i="1"/>
  <c r="AC121" i="1"/>
  <c r="N121" i="1"/>
  <c r="K121" i="1"/>
  <c r="L121" i="1" s="1"/>
  <c r="J121" i="1"/>
  <c r="I121" i="1"/>
  <c r="AC120" i="1"/>
  <c r="X120" i="1"/>
  <c r="V120" i="1"/>
  <c r="N120" i="1"/>
  <c r="W120" i="1" s="1"/>
  <c r="K120" i="1"/>
  <c r="L120" i="1" s="1"/>
  <c r="I120" i="1"/>
  <c r="J120" i="1" s="1"/>
  <c r="AF119" i="1"/>
  <c r="AC119" i="1"/>
  <c r="W119" i="1"/>
  <c r="V119" i="1"/>
  <c r="X119" i="1" s="1"/>
  <c r="N119" i="1"/>
  <c r="K119" i="1"/>
  <c r="L119" i="1" s="1"/>
  <c r="J119" i="1"/>
  <c r="I119" i="1"/>
  <c r="AC118" i="1"/>
  <c r="X118" i="1"/>
  <c r="W118" i="1"/>
  <c r="V118" i="1"/>
  <c r="N118" i="1"/>
  <c r="I118" i="1"/>
  <c r="AC117" i="1"/>
  <c r="N117" i="1"/>
  <c r="L117" i="1"/>
  <c r="K117" i="1"/>
  <c r="J117" i="1"/>
  <c r="I117" i="1"/>
  <c r="AC116" i="1"/>
  <c r="V116" i="1"/>
  <c r="X116" i="1" s="1"/>
  <c r="N116" i="1"/>
  <c r="W116" i="1" s="1"/>
  <c r="I116" i="1"/>
  <c r="AC115" i="1"/>
  <c r="AB115" i="1"/>
  <c r="Z115" i="1"/>
  <c r="Y115" i="1"/>
  <c r="W115" i="1"/>
  <c r="V115" i="1"/>
  <c r="X115" i="1" s="1"/>
  <c r="AF115" i="1" s="1"/>
  <c r="N115" i="1"/>
  <c r="I115" i="1"/>
  <c r="K115" i="1" s="1"/>
  <c r="L115" i="1" s="1"/>
  <c r="AC114" i="1"/>
  <c r="N114" i="1"/>
  <c r="V114" i="1" s="1"/>
  <c r="K114" i="1"/>
  <c r="L114" i="1" s="1"/>
  <c r="I114" i="1"/>
  <c r="J114" i="1" s="1"/>
  <c r="AC113" i="1"/>
  <c r="W113" i="1"/>
  <c r="N113" i="1"/>
  <c r="V113" i="1" s="1"/>
  <c r="I113" i="1"/>
  <c r="AC112" i="1"/>
  <c r="W112" i="1"/>
  <c r="V112" i="1"/>
  <c r="N112" i="1"/>
  <c r="K112" i="1"/>
  <c r="L112" i="1" s="1"/>
  <c r="J112" i="1"/>
  <c r="I112" i="1"/>
  <c r="AC111" i="1"/>
  <c r="W111" i="1"/>
  <c r="N111" i="1"/>
  <c r="V111" i="1" s="1"/>
  <c r="K111" i="1"/>
  <c r="L111" i="1" s="1"/>
  <c r="J111" i="1"/>
  <c r="I111" i="1"/>
  <c r="AC110" i="1"/>
  <c r="N110" i="1"/>
  <c r="I110" i="1"/>
  <c r="AC109" i="1"/>
  <c r="W109" i="1"/>
  <c r="N109" i="1"/>
  <c r="V109" i="1" s="1"/>
  <c r="I109" i="1"/>
  <c r="AC108" i="1"/>
  <c r="W108" i="1"/>
  <c r="N108" i="1"/>
  <c r="V108" i="1" s="1"/>
  <c r="L108" i="1"/>
  <c r="K108" i="1"/>
  <c r="J108" i="1"/>
  <c r="I108" i="1"/>
  <c r="AC107" i="1"/>
  <c r="W107" i="1"/>
  <c r="N107" i="1"/>
  <c r="V107" i="1" s="1"/>
  <c r="K107" i="1"/>
  <c r="L107" i="1" s="1"/>
  <c r="J107" i="1"/>
  <c r="I107" i="1"/>
  <c r="AF106" i="1"/>
  <c r="AC106" i="1"/>
  <c r="W106" i="1"/>
  <c r="V106" i="1"/>
  <c r="X106" i="1" s="1"/>
  <c r="Y106" i="1" s="1"/>
  <c r="AB106" i="1" s="1"/>
  <c r="AE106" i="1" s="1"/>
  <c r="N106" i="1"/>
  <c r="I106" i="1"/>
  <c r="AC105" i="1"/>
  <c r="N105" i="1"/>
  <c r="I105" i="1"/>
  <c r="AC104" i="1"/>
  <c r="N104" i="1"/>
  <c r="I104" i="1"/>
  <c r="K104" i="1" s="1"/>
  <c r="L104" i="1" s="1"/>
  <c r="AC103" i="1"/>
  <c r="N103" i="1"/>
  <c r="K103" i="1"/>
  <c r="L103" i="1" s="1"/>
  <c r="J103" i="1"/>
  <c r="I103" i="1"/>
  <c r="AC102" i="1"/>
  <c r="W102" i="1"/>
  <c r="V102" i="1"/>
  <c r="N102" i="1"/>
  <c r="K102" i="1"/>
  <c r="L102" i="1" s="1"/>
  <c r="J102" i="1"/>
  <c r="I102" i="1"/>
  <c r="AC101" i="1"/>
  <c r="W101" i="1"/>
  <c r="V101" i="1"/>
  <c r="N101" i="1"/>
  <c r="I101" i="1"/>
  <c r="J101" i="1" s="1"/>
  <c r="AC100" i="1"/>
  <c r="N100" i="1"/>
  <c r="V100" i="1" s="1"/>
  <c r="I100" i="1"/>
  <c r="AC99" i="1"/>
  <c r="N99" i="1"/>
  <c r="L99" i="1"/>
  <c r="K99" i="1"/>
  <c r="J99" i="1"/>
  <c r="I99" i="1"/>
  <c r="AC98" i="1"/>
  <c r="N98" i="1"/>
  <c r="W98" i="1" s="1"/>
  <c r="K98" i="1"/>
  <c r="L98" i="1" s="1"/>
  <c r="J98" i="1"/>
  <c r="I98" i="1"/>
  <c r="AC97" i="1"/>
  <c r="W97" i="1"/>
  <c r="V97" i="1"/>
  <c r="N97" i="1"/>
  <c r="K97" i="1"/>
  <c r="L97" i="1" s="1"/>
  <c r="I97" i="1"/>
  <c r="J97" i="1" s="1"/>
  <c r="AC96" i="1"/>
  <c r="W96" i="1"/>
  <c r="N96" i="1"/>
  <c r="V96" i="1" s="1"/>
  <c r="I96" i="1"/>
  <c r="K96" i="1" s="1"/>
  <c r="L96" i="1" s="1"/>
  <c r="AC95" i="1"/>
  <c r="N95" i="1"/>
  <c r="I95" i="1"/>
  <c r="K95" i="1" s="1"/>
  <c r="L95" i="1" s="1"/>
  <c r="AC94" i="1"/>
  <c r="V94" i="1"/>
  <c r="N94" i="1"/>
  <c r="W94" i="1" s="1"/>
  <c r="K94" i="1"/>
  <c r="L94" i="1" s="1"/>
  <c r="I94" i="1"/>
  <c r="J94" i="1" s="1"/>
  <c r="AC93" i="1"/>
  <c r="N93" i="1"/>
  <c r="V93" i="1" s="1"/>
  <c r="K93" i="1"/>
  <c r="L93" i="1" s="1"/>
  <c r="I93" i="1"/>
  <c r="J93" i="1" s="1"/>
  <c r="AC92" i="1"/>
  <c r="W92" i="1"/>
  <c r="V92" i="1"/>
  <c r="X92" i="1" s="1"/>
  <c r="N92" i="1"/>
  <c r="I92" i="1"/>
  <c r="AC91" i="1"/>
  <c r="N91" i="1"/>
  <c r="V91" i="1" s="1"/>
  <c r="J91" i="1"/>
  <c r="I91" i="1"/>
  <c r="K91" i="1" s="1"/>
  <c r="L91" i="1" s="1"/>
  <c r="AC90" i="1"/>
  <c r="N90" i="1"/>
  <c r="I90" i="1"/>
  <c r="AC89" i="1"/>
  <c r="N89" i="1"/>
  <c r="K89" i="1"/>
  <c r="L89" i="1" s="1"/>
  <c r="I89" i="1"/>
  <c r="J89" i="1" s="1"/>
  <c r="AC88" i="1"/>
  <c r="V88" i="1"/>
  <c r="N88" i="1"/>
  <c r="W88" i="1" s="1"/>
  <c r="K88" i="1"/>
  <c r="L88" i="1" s="1"/>
  <c r="I88" i="1"/>
  <c r="J88" i="1" s="1"/>
  <c r="AC87" i="1"/>
  <c r="X87" i="1"/>
  <c r="W87" i="1"/>
  <c r="N87" i="1"/>
  <c r="V87" i="1" s="1"/>
  <c r="K87" i="1"/>
  <c r="L87" i="1" s="1"/>
  <c r="J87" i="1"/>
  <c r="I87" i="1"/>
  <c r="AC86" i="1"/>
  <c r="N86" i="1"/>
  <c r="K86" i="1"/>
  <c r="L86" i="1" s="1"/>
  <c r="I86" i="1"/>
  <c r="J86" i="1" s="1"/>
  <c r="AC85" i="1"/>
  <c r="W85" i="1"/>
  <c r="V85" i="1"/>
  <c r="N85" i="1"/>
  <c r="I85" i="1"/>
  <c r="AC84" i="1"/>
  <c r="V84" i="1"/>
  <c r="N84" i="1"/>
  <c r="W84" i="1" s="1"/>
  <c r="K84" i="1"/>
  <c r="L84" i="1" s="1"/>
  <c r="I84" i="1"/>
  <c r="J84" i="1" s="1"/>
  <c r="AC83" i="1"/>
  <c r="X83" i="1"/>
  <c r="W83" i="1"/>
  <c r="N83" i="1"/>
  <c r="V83" i="1" s="1"/>
  <c r="I83" i="1"/>
  <c r="AC82" i="1"/>
  <c r="N82" i="1"/>
  <c r="K82" i="1"/>
  <c r="L82" i="1" s="1"/>
  <c r="J82" i="1"/>
  <c r="I82" i="1"/>
  <c r="AC81" i="1"/>
  <c r="W81" i="1"/>
  <c r="N81" i="1"/>
  <c r="V81" i="1" s="1"/>
  <c r="J81" i="1"/>
  <c r="I81" i="1"/>
  <c r="K81" i="1" s="1"/>
  <c r="L81" i="1" s="1"/>
  <c r="AC80" i="1"/>
  <c r="V80" i="1"/>
  <c r="N80" i="1"/>
  <c r="W80" i="1" s="1"/>
  <c r="J80" i="1"/>
  <c r="I80" i="1"/>
  <c r="K80" i="1" s="1"/>
  <c r="L80" i="1" s="1"/>
  <c r="AC79" i="1"/>
  <c r="W79" i="1"/>
  <c r="V79" i="1"/>
  <c r="N79" i="1"/>
  <c r="L79" i="1"/>
  <c r="K79" i="1"/>
  <c r="I79" i="1"/>
  <c r="J79" i="1" s="1"/>
  <c r="AC78" i="1"/>
  <c r="W78" i="1"/>
  <c r="V78" i="1"/>
  <c r="N78" i="1"/>
  <c r="J78" i="1"/>
  <c r="I78" i="1"/>
  <c r="K78" i="1" s="1"/>
  <c r="L78" i="1" s="1"/>
  <c r="AC77" i="1"/>
  <c r="N77" i="1"/>
  <c r="K77" i="1"/>
  <c r="L77" i="1" s="1"/>
  <c r="J77" i="1"/>
  <c r="I77" i="1"/>
  <c r="AC76" i="1"/>
  <c r="W76" i="1"/>
  <c r="V76" i="1"/>
  <c r="X76" i="1" s="1"/>
  <c r="Y76" i="1" s="1"/>
  <c r="AB76" i="1" s="1"/>
  <c r="N76" i="1"/>
  <c r="J76" i="1"/>
  <c r="I76" i="1"/>
  <c r="K76" i="1" s="1"/>
  <c r="L76" i="1" s="1"/>
  <c r="AC75" i="1"/>
  <c r="V75" i="1"/>
  <c r="N75" i="1"/>
  <c r="W75" i="1" s="1"/>
  <c r="I75" i="1"/>
  <c r="J75" i="1" s="1"/>
  <c r="AC74" i="1"/>
  <c r="N74" i="1"/>
  <c r="I74" i="1"/>
  <c r="AC73" i="1"/>
  <c r="AA73" i="1"/>
  <c r="Y73" i="1"/>
  <c r="X73" i="1"/>
  <c r="AF73" i="1" s="1"/>
  <c r="W73" i="1"/>
  <c r="N73" i="1"/>
  <c r="V73" i="1" s="1"/>
  <c r="I73" i="1"/>
  <c r="AC72" i="1"/>
  <c r="N72" i="1"/>
  <c r="K72" i="1"/>
  <c r="L72" i="1" s="1"/>
  <c r="J72" i="1"/>
  <c r="I72" i="1"/>
  <c r="AC71" i="1"/>
  <c r="W71" i="1"/>
  <c r="V71" i="1"/>
  <c r="N71" i="1"/>
  <c r="K71" i="1"/>
  <c r="L71" i="1" s="1"/>
  <c r="I71" i="1"/>
  <c r="J71" i="1" s="1"/>
  <c r="AC70" i="1"/>
  <c r="V70" i="1"/>
  <c r="N70" i="1"/>
  <c r="W70" i="1" s="1"/>
  <c r="I70" i="1"/>
  <c r="J70" i="1" s="1"/>
  <c r="AC69" i="1"/>
  <c r="W69" i="1"/>
  <c r="X69" i="1" s="1"/>
  <c r="N69" i="1"/>
  <c r="V69" i="1" s="1"/>
  <c r="I69" i="1"/>
  <c r="AC68" i="1"/>
  <c r="N68" i="1"/>
  <c r="I68" i="1"/>
  <c r="AC26" i="1"/>
  <c r="N26" i="1"/>
  <c r="W26" i="1" s="1"/>
  <c r="K26" i="1"/>
  <c r="L26" i="1" s="1"/>
  <c r="J26" i="1"/>
  <c r="I26" i="1"/>
  <c r="AC25" i="1"/>
  <c r="W25" i="1"/>
  <c r="N25" i="1"/>
  <c r="V25" i="1" s="1"/>
  <c r="J25" i="1"/>
  <c r="I25" i="1"/>
  <c r="K25" i="1" s="1"/>
  <c r="L25" i="1" s="1"/>
  <c r="AC24" i="1"/>
  <c r="N24" i="1"/>
  <c r="L24" i="1"/>
  <c r="K24" i="1"/>
  <c r="J24" i="1"/>
  <c r="I24" i="1"/>
  <c r="AC23" i="1"/>
  <c r="W23" i="1"/>
  <c r="V23" i="1"/>
  <c r="X23" i="1" s="1"/>
  <c r="AA23" i="1" s="1"/>
  <c r="N23" i="1"/>
  <c r="J23" i="1"/>
  <c r="I23" i="1"/>
  <c r="K23" i="1" s="1"/>
  <c r="L23" i="1" s="1"/>
  <c r="AC22" i="1"/>
  <c r="V22" i="1"/>
  <c r="N22" i="1"/>
  <c r="W22" i="1" s="1"/>
  <c r="J22" i="1"/>
  <c r="I22" i="1"/>
  <c r="K22" i="1" s="1"/>
  <c r="L22" i="1" s="1"/>
  <c r="AC21" i="1"/>
  <c r="W21" i="1"/>
  <c r="V21" i="1"/>
  <c r="X21" i="1" s="1"/>
  <c r="Y21" i="1" s="1"/>
  <c r="AB21" i="1" s="1"/>
  <c r="N21" i="1"/>
  <c r="J21" i="1"/>
  <c r="I21" i="1"/>
  <c r="K21" i="1" s="1"/>
  <c r="L21" i="1" s="1"/>
  <c r="AC20" i="1"/>
  <c r="N20" i="1"/>
  <c r="K20" i="1"/>
  <c r="L20" i="1" s="1"/>
  <c r="J20" i="1"/>
  <c r="I20" i="1"/>
  <c r="AC19" i="1"/>
  <c r="V19" i="1"/>
  <c r="N19" i="1"/>
  <c r="W19" i="1" s="1"/>
  <c r="K19" i="1"/>
  <c r="L19" i="1" s="1"/>
  <c r="J19" i="1"/>
  <c r="I19" i="1"/>
  <c r="AC18" i="1"/>
  <c r="W18" i="1"/>
  <c r="X18" i="1" s="1"/>
  <c r="V18" i="1"/>
  <c r="N18" i="1"/>
  <c r="J18" i="1"/>
  <c r="I18" i="1"/>
  <c r="K18" i="1" s="1"/>
  <c r="L18" i="1" s="1"/>
  <c r="AC17" i="1"/>
  <c r="V17" i="1"/>
  <c r="X17" i="1" s="1"/>
  <c r="N17" i="1"/>
  <c r="W17" i="1" s="1"/>
  <c r="L17" i="1"/>
  <c r="K17" i="1"/>
  <c r="J17" i="1"/>
  <c r="I17" i="1"/>
  <c r="AC16" i="1"/>
  <c r="W16" i="1"/>
  <c r="N16" i="1"/>
  <c r="V16" i="1" s="1"/>
  <c r="X16" i="1" s="1"/>
  <c r="L16" i="1"/>
  <c r="J16" i="1"/>
  <c r="I16" i="1"/>
  <c r="K16" i="1" s="1"/>
  <c r="AC15" i="1"/>
  <c r="N15" i="1"/>
  <c r="K15" i="1"/>
  <c r="L15" i="1" s="1"/>
  <c r="J15" i="1"/>
  <c r="I15" i="1"/>
  <c r="AC14" i="1"/>
  <c r="N14" i="1"/>
  <c r="W14" i="1" s="1"/>
  <c r="L14" i="1"/>
  <c r="K14" i="1"/>
  <c r="J14" i="1"/>
  <c r="I14" i="1"/>
  <c r="AC13" i="1"/>
  <c r="W13" i="1"/>
  <c r="V13" i="1"/>
  <c r="N13" i="1"/>
  <c r="J13" i="1"/>
  <c r="I13" i="1"/>
  <c r="K13" i="1" s="1"/>
  <c r="L13" i="1" s="1"/>
  <c r="AC12" i="1"/>
  <c r="W12" i="1"/>
  <c r="N12" i="1"/>
  <c r="V12" i="1" s="1"/>
  <c r="L12" i="1"/>
  <c r="J12" i="1"/>
  <c r="I12" i="1"/>
  <c r="K12" i="1" s="1"/>
  <c r="AC11" i="1"/>
  <c r="N11" i="1"/>
  <c r="K11" i="1"/>
  <c r="L11" i="1" s="1"/>
  <c r="J11" i="1"/>
  <c r="I11" i="1"/>
  <c r="AC10" i="1"/>
  <c r="N10" i="1"/>
  <c r="W10" i="1" s="1"/>
  <c r="L10" i="1"/>
  <c r="K10" i="1"/>
  <c r="J10" i="1"/>
  <c r="I10" i="1"/>
  <c r="AC9" i="1"/>
  <c r="N9" i="1"/>
  <c r="V9" i="1" s="1"/>
  <c r="L9" i="1"/>
  <c r="K9" i="1"/>
  <c r="J9" i="1"/>
  <c r="I9" i="1"/>
  <c r="AC8" i="1"/>
  <c r="N8" i="1"/>
  <c r="J8" i="1"/>
  <c r="I8" i="1"/>
  <c r="K8" i="1" s="1"/>
  <c r="L8" i="1" s="1"/>
  <c r="AC7" i="1"/>
  <c r="W7" i="1"/>
  <c r="V7" i="1"/>
  <c r="N7" i="1"/>
  <c r="J7" i="1"/>
  <c r="I7" i="1"/>
  <c r="K7" i="1" s="1"/>
  <c r="L7" i="1" s="1"/>
  <c r="AC6" i="1"/>
  <c r="N6" i="1"/>
  <c r="V6" i="1" s="1"/>
  <c r="J6" i="1"/>
  <c r="I6" i="1"/>
  <c r="K6" i="1" s="1"/>
  <c r="L6" i="1" s="1"/>
  <c r="AC5" i="1"/>
  <c r="N5" i="1"/>
  <c r="V5" i="1" s="1"/>
  <c r="K5" i="1"/>
  <c r="L5" i="1" s="1"/>
  <c r="J5" i="1"/>
  <c r="I5" i="1"/>
  <c r="AC4" i="1"/>
  <c r="N4" i="1"/>
  <c r="W4" i="1" s="1"/>
  <c r="K4" i="1"/>
  <c r="L4" i="1" s="1"/>
  <c r="J4" i="1"/>
  <c r="I4" i="1"/>
  <c r="AC3" i="1"/>
  <c r="W3" i="1"/>
  <c r="V3" i="1"/>
  <c r="X3" i="1" s="1"/>
  <c r="N3" i="1"/>
  <c r="J3" i="1"/>
  <c r="I3" i="1"/>
  <c r="K3" i="1" s="1"/>
  <c r="L3" i="1" s="1"/>
  <c r="N2" i="1"/>
  <c r="W2" i="1" s="1"/>
  <c r="J2" i="1"/>
  <c r="I2" i="1"/>
  <c r="K2" i="1" s="1"/>
  <c r="L2" i="1" s="1"/>
  <c r="AE76" i="1" l="1"/>
  <c r="AF18" i="1"/>
  <c r="AA18" i="1"/>
  <c r="Y18" i="1"/>
  <c r="AB18" i="1" s="1"/>
  <c r="AE18" i="1" s="1"/>
  <c r="AA3" i="1"/>
  <c r="Y3" i="1"/>
  <c r="AB3" i="1" s="1"/>
  <c r="AF3" i="1"/>
  <c r="AE21" i="1"/>
  <c r="AL23" i="1"/>
  <c r="AK23" i="1"/>
  <c r="X84" i="1"/>
  <c r="X107" i="1"/>
  <c r="AJ115" i="1"/>
  <c r="Z3" i="1"/>
  <c r="V20" i="1"/>
  <c r="W20" i="1"/>
  <c r="AA69" i="1"/>
  <c r="Y69" i="1"/>
  <c r="AF69" i="1"/>
  <c r="K74" i="1"/>
  <c r="L74" i="1" s="1"/>
  <c r="J74" i="1"/>
  <c r="J113" i="1"/>
  <c r="K113" i="1"/>
  <c r="L113" i="1" s="1"/>
  <c r="K90" i="1"/>
  <c r="L90" i="1" s="1"/>
  <c r="J90" i="1"/>
  <c r="X75" i="1"/>
  <c r="V11" i="1"/>
  <c r="W11" i="1"/>
  <c r="X12" i="1"/>
  <c r="K68" i="1"/>
  <c r="L68" i="1" s="1"/>
  <c r="J68" i="1"/>
  <c r="K73" i="1"/>
  <c r="L73" i="1" s="1"/>
  <c r="J73" i="1"/>
  <c r="V74" i="1"/>
  <c r="W74" i="1"/>
  <c r="W68" i="1"/>
  <c r="V68" i="1"/>
  <c r="X81" i="1"/>
  <c r="V82" i="1"/>
  <c r="W82" i="1"/>
  <c r="K92" i="1"/>
  <c r="L92" i="1" s="1"/>
  <c r="J92" i="1"/>
  <c r="W105" i="1"/>
  <c r="V105" i="1"/>
  <c r="W86" i="1"/>
  <c r="V86" i="1"/>
  <c r="K70" i="1"/>
  <c r="L70" i="1" s="1"/>
  <c r="X79" i="1"/>
  <c r="Y87" i="1"/>
  <c r="AB87" i="1" s="1"/>
  <c r="AF87" i="1"/>
  <c r="AA87" i="1"/>
  <c r="X109" i="1"/>
  <c r="AF21" i="1"/>
  <c r="AG21" i="1"/>
  <c r="AA21" i="1"/>
  <c r="AD21" i="1" s="1"/>
  <c r="AH21" i="1" s="1"/>
  <c r="W15" i="1"/>
  <c r="V15" i="1"/>
  <c r="AA16" i="1"/>
  <c r="Y16" i="1"/>
  <c r="AB16" i="1" s="1"/>
  <c r="AE16" i="1" s="1"/>
  <c r="X71" i="1"/>
  <c r="W72" i="1"/>
  <c r="V72" i="1"/>
  <c r="AB73" i="1"/>
  <c r="AD73" i="1" s="1"/>
  <c r="Z73" i="1"/>
  <c r="X112" i="1"/>
  <c r="Y23" i="1"/>
  <c r="AB23" i="1" s="1"/>
  <c r="AE23" i="1" s="1"/>
  <c r="AG23" i="1"/>
  <c r="AF23" i="1"/>
  <c r="X13" i="1"/>
  <c r="AF16" i="1"/>
  <c r="AF17" i="1"/>
  <c r="AA17" i="1"/>
  <c r="Y17" i="1"/>
  <c r="AB17" i="1" s="1"/>
  <c r="AG76" i="1"/>
  <c r="AF76" i="1"/>
  <c r="AA76" i="1"/>
  <c r="J83" i="1"/>
  <c r="K83" i="1"/>
  <c r="L83" i="1" s="1"/>
  <c r="K100" i="1"/>
  <c r="L100" i="1" s="1"/>
  <c r="J100" i="1"/>
  <c r="V121" i="1"/>
  <c r="W121" i="1"/>
  <c r="Z21" i="1"/>
  <c r="AD23" i="1"/>
  <c r="W90" i="1"/>
  <c r="V90" i="1"/>
  <c r="V99" i="1"/>
  <c r="W99" i="1"/>
  <c r="K106" i="1"/>
  <c r="L106" i="1" s="1"/>
  <c r="J106" i="1"/>
  <c r="J110" i="1"/>
  <c r="K110" i="1"/>
  <c r="L110" i="1" s="1"/>
  <c r="AE115" i="1"/>
  <c r="AA120" i="1"/>
  <c r="Y120" i="1"/>
  <c r="AF120" i="1"/>
  <c r="K143" i="1"/>
  <c r="L143" i="1" s="1"/>
  <c r="J143" i="1"/>
  <c r="J115" i="1"/>
  <c r="V154" i="1"/>
  <c r="W154" i="1"/>
  <c r="V117" i="1"/>
  <c r="W117" i="1"/>
  <c r="X123" i="1"/>
  <c r="AF136" i="1"/>
  <c r="Y136" i="1"/>
  <c r="AA136" i="1"/>
  <c r="AB209" i="1"/>
  <c r="Z209" i="1"/>
  <c r="J85" i="1"/>
  <c r="K85" i="1"/>
  <c r="L85" i="1" s="1"/>
  <c r="J95" i="1"/>
  <c r="X102" i="1"/>
  <c r="W9" i="1"/>
  <c r="V14" i="1"/>
  <c r="Z106" i="1"/>
  <c r="X113" i="1"/>
  <c r="J116" i="1"/>
  <c r="K116" i="1"/>
  <c r="L116" i="1" s="1"/>
  <c r="AA149" i="1"/>
  <c r="AG149" i="1"/>
  <c r="AF149" i="1"/>
  <c r="Y149" i="1"/>
  <c r="AB149" i="1" s="1"/>
  <c r="X94" i="1"/>
  <c r="X130" i="1"/>
  <c r="AE73" i="1"/>
  <c r="AL73" i="1" s="1"/>
  <c r="W8" i="1"/>
  <c r="V8" i="1"/>
  <c r="V77" i="1"/>
  <c r="W77" i="1"/>
  <c r="V95" i="1"/>
  <c r="W95" i="1"/>
  <c r="V98" i="1"/>
  <c r="W100" i="1"/>
  <c r="K101" i="1"/>
  <c r="L101" i="1" s="1"/>
  <c r="W6" i="1"/>
  <c r="Z23" i="1"/>
  <c r="AH23" i="1"/>
  <c r="K69" i="1"/>
  <c r="L69" i="1" s="1"/>
  <c r="J69" i="1"/>
  <c r="X70" i="1"/>
  <c r="K75" i="1"/>
  <c r="L75" i="1" s="1"/>
  <c r="X80" i="1"/>
  <c r="AD87" i="1"/>
  <c r="AH87" i="1" s="1"/>
  <c r="AE87" i="1"/>
  <c r="X88" i="1"/>
  <c r="J96" i="1"/>
  <c r="J104" i="1"/>
  <c r="X108" i="1"/>
  <c r="W114" i="1"/>
  <c r="AA118" i="1"/>
  <c r="Y118" i="1"/>
  <c r="AF118" i="1"/>
  <c r="X138" i="1"/>
  <c r="X127" i="1"/>
  <c r="V103" i="1"/>
  <c r="W103" i="1"/>
  <c r="AA106" i="1"/>
  <c r="W110" i="1"/>
  <c r="V110" i="1"/>
  <c r="V24" i="1"/>
  <c r="W24" i="1"/>
  <c r="AF92" i="1"/>
  <c r="AA92" i="1"/>
  <c r="Y92" i="1"/>
  <c r="AB92" i="1" s="1"/>
  <c r="AE92" i="1" s="1"/>
  <c r="W5" i="1"/>
  <c r="X5" i="1" s="1"/>
  <c r="V10" i="1"/>
  <c r="X2" i="1"/>
  <c r="X19" i="1"/>
  <c r="Z76" i="1"/>
  <c r="AA83" i="1"/>
  <c r="AF83" i="1"/>
  <c r="X93" i="1"/>
  <c r="J109" i="1"/>
  <c r="K109" i="1"/>
  <c r="L109" i="1" s="1"/>
  <c r="J124" i="1"/>
  <c r="K124" i="1"/>
  <c r="L124" i="1" s="1"/>
  <c r="X7" i="1"/>
  <c r="X22" i="1"/>
  <c r="X25" i="1"/>
  <c r="V26" i="1"/>
  <c r="Y83" i="1"/>
  <c r="X85" i="1"/>
  <c r="W89" i="1"/>
  <c r="V89" i="1"/>
  <c r="W91" i="1"/>
  <c r="W93" i="1"/>
  <c r="X96" i="1"/>
  <c r="X97" i="1"/>
  <c r="X101" i="1"/>
  <c r="V104" i="1"/>
  <c r="W104" i="1"/>
  <c r="AA116" i="1"/>
  <c r="AF116" i="1"/>
  <c r="Y116" i="1"/>
  <c r="X125" i="1"/>
  <c r="X129" i="1"/>
  <c r="W132" i="1"/>
  <c r="V132" i="1"/>
  <c r="X135" i="1"/>
  <c r="X111" i="1"/>
  <c r="Y119" i="1"/>
  <c r="AA119" i="1"/>
  <c r="K155" i="1"/>
  <c r="L155" i="1" s="1"/>
  <c r="J155" i="1"/>
  <c r="AA140" i="1"/>
  <c r="Y140" i="1"/>
  <c r="AF140" i="1"/>
  <c r="AL144" i="1"/>
  <c r="V146" i="1"/>
  <c r="W146" i="1"/>
  <c r="AD106" i="1"/>
  <c r="AH106" i="1" s="1"/>
  <c r="AG115" i="1"/>
  <c r="AA115" i="1"/>
  <c r="AA126" i="1"/>
  <c r="Y126" i="1"/>
  <c r="AA128" i="1"/>
  <c r="Y128" i="1"/>
  <c r="X133" i="1"/>
  <c r="X78" i="1"/>
  <c r="J105" i="1"/>
  <c r="K105" i="1"/>
  <c r="L105" i="1" s="1"/>
  <c r="AA122" i="1"/>
  <c r="Y122" i="1"/>
  <c r="AA124" i="1"/>
  <c r="Y124" i="1"/>
  <c r="AF124" i="1"/>
  <c r="Y131" i="1"/>
  <c r="AB131" i="1" s="1"/>
  <c r="AF131" i="1"/>
  <c r="X160" i="1"/>
  <c r="Y139" i="1"/>
  <c r="AF139" i="1"/>
  <c r="AA139" i="1"/>
  <c r="X141" i="1"/>
  <c r="AE144" i="1"/>
  <c r="AD144" i="1"/>
  <c r="AH144" i="1" s="1"/>
  <c r="X152" i="1"/>
  <c r="X137" i="1"/>
  <c r="Z144" i="1"/>
  <c r="AG144" i="1" s="1"/>
  <c r="AK145" i="1"/>
  <c r="X193" i="1"/>
  <c r="K118" i="1"/>
  <c r="L118" i="1" s="1"/>
  <c r="J118" i="1"/>
  <c r="K122" i="1"/>
  <c r="L122" i="1" s="1"/>
  <c r="J122" i="1"/>
  <c r="K126" i="1"/>
  <c r="L126" i="1" s="1"/>
  <c r="J126" i="1"/>
  <c r="AI148" i="1"/>
  <c r="W155" i="1"/>
  <c r="V155" i="1"/>
  <c r="X161" i="1"/>
  <c r="AA172" i="1"/>
  <c r="Y172" i="1"/>
  <c r="AF172" i="1"/>
  <c r="K151" i="1"/>
  <c r="L151" i="1" s="1"/>
  <c r="J151" i="1"/>
  <c r="X168" i="1"/>
  <c r="X142" i="1"/>
  <c r="AF144" i="1"/>
  <c r="Z145" i="1"/>
  <c r="W150" i="1"/>
  <c r="Z153" i="1"/>
  <c r="AA157" i="1"/>
  <c r="AF157" i="1"/>
  <c r="V162" i="1"/>
  <c r="W162" i="1"/>
  <c r="W163" i="1"/>
  <c r="V163" i="1"/>
  <c r="AA164" i="1"/>
  <c r="AF164" i="1"/>
  <c r="X171" i="1"/>
  <c r="K180" i="1"/>
  <c r="L180" i="1" s="1"/>
  <c r="J180" i="1"/>
  <c r="X192" i="1"/>
  <c r="W208" i="1"/>
  <c r="V208" i="1"/>
  <c r="J149" i="1"/>
  <c r="K149" i="1"/>
  <c r="L149" i="1" s="1"/>
  <c r="Y157" i="1"/>
  <c r="Y164" i="1"/>
  <c r="W180" i="1"/>
  <c r="V180" i="1"/>
  <c r="X134" i="1"/>
  <c r="AJ148" i="1"/>
  <c r="Z149" i="1"/>
  <c r="AA153" i="1"/>
  <c r="Y153" i="1"/>
  <c r="AB153" i="1" s="1"/>
  <c r="K159" i="1"/>
  <c r="L159" i="1" s="1"/>
  <c r="J159" i="1"/>
  <c r="K172" i="1"/>
  <c r="L172" i="1" s="1"/>
  <c r="J172" i="1"/>
  <c r="Y177" i="1"/>
  <c r="AF177" i="1"/>
  <c r="AA177" i="1"/>
  <c r="X197" i="1"/>
  <c r="X147" i="1"/>
  <c r="AE148" i="1"/>
  <c r="AL148" i="1" s="1"/>
  <c r="AD148" i="1"/>
  <c r="AH148" i="1" s="1"/>
  <c r="AA151" i="1"/>
  <c r="Y151" i="1"/>
  <c r="AB151" i="1" s="1"/>
  <c r="AD151" i="1" s="1"/>
  <c r="AH151" i="1" s="1"/>
  <c r="X156" i="1"/>
  <c r="Y185" i="1"/>
  <c r="AF185" i="1"/>
  <c r="W143" i="1"/>
  <c r="V143" i="1"/>
  <c r="AE145" i="1"/>
  <c r="AL145" i="1" s="1"/>
  <c r="AD145" i="1"/>
  <c r="AH145" i="1" s="1"/>
  <c r="K148" i="1"/>
  <c r="L148" i="1" s="1"/>
  <c r="J148" i="1"/>
  <c r="X158" i="1"/>
  <c r="AA185" i="1"/>
  <c r="Y166" i="1"/>
  <c r="AF166" i="1"/>
  <c r="K191" i="1"/>
  <c r="L191" i="1" s="1"/>
  <c r="J191" i="1"/>
  <c r="V224" i="1"/>
  <c r="W224" i="1"/>
  <c r="K147" i="1"/>
  <c r="L147" i="1" s="1"/>
  <c r="J147" i="1"/>
  <c r="X159" i="1"/>
  <c r="K164" i="1"/>
  <c r="L164" i="1" s="1"/>
  <c r="J164" i="1"/>
  <c r="AA166" i="1"/>
  <c r="X181" i="1"/>
  <c r="K196" i="1"/>
  <c r="L196" i="1" s="1"/>
  <c r="J196" i="1"/>
  <c r="X165" i="1"/>
  <c r="Y174" i="1"/>
  <c r="AF174" i="1"/>
  <c r="AA174" i="1"/>
  <c r="W175" i="1"/>
  <c r="V175" i="1"/>
  <c r="K177" i="1"/>
  <c r="L177" i="1" s="1"/>
  <c r="J177" i="1"/>
  <c r="AE153" i="1"/>
  <c r="K161" i="1"/>
  <c r="L161" i="1" s="1"/>
  <c r="V167" i="1"/>
  <c r="Y170" i="1"/>
  <c r="AF170" i="1"/>
  <c r="K168" i="1"/>
  <c r="L168" i="1" s="1"/>
  <c r="J168" i="1"/>
  <c r="J190" i="1"/>
  <c r="K190" i="1"/>
  <c r="L190" i="1" s="1"/>
  <c r="X169" i="1"/>
  <c r="X173" i="1"/>
  <c r="AA176" i="1"/>
  <c r="Y176" i="1"/>
  <c r="X182" i="1"/>
  <c r="V183" i="1"/>
  <c r="W183" i="1"/>
  <c r="V184" i="1"/>
  <c r="V188" i="1"/>
  <c r="W188" i="1"/>
  <c r="W190" i="1"/>
  <c r="V190" i="1"/>
  <c r="X198" i="1"/>
  <c r="AE149" i="1"/>
  <c r="X186" i="1"/>
  <c r="AF189" i="1"/>
  <c r="Y189" i="1"/>
  <c r="V191" i="1"/>
  <c r="W191" i="1"/>
  <c r="X178" i="1"/>
  <c r="W196" i="1"/>
  <c r="V196" i="1"/>
  <c r="AA223" i="1"/>
  <c r="AF223" i="1"/>
  <c r="Y223" i="1"/>
  <c r="AB223" i="1" s="1"/>
  <c r="V229" i="1"/>
  <c r="W229" i="1"/>
  <c r="V187" i="1"/>
  <c r="W187" i="1"/>
  <c r="K204" i="1"/>
  <c r="L204" i="1" s="1"/>
  <c r="J204" i="1"/>
  <c r="K176" i="1"/>
  <c r="L176" i="1" s="1"/>
  <c r="J176" i="1"/>
  <c r="V179" i="1"/>
  <c r="W179" i="1"/>
  <c r="K184" i="1"/>
  <c r="L184" i="1" s="1"/>
  <c r="J184" i="1"/>
  <c r="J192" i="1"/>
  <c r="X194" i="1"/>
  <c r="V195" i="1"/>
  <c r="W195" i="1"/>
  <c r="V204" i="1"/>
  <c r="W204" i="1"/>
  <c r="X211" i="1"/>
  <c r="X222" i="1"/>
  <c r="V238" i="1"/>
  <c r="W238" i="1"/>
  <c r="X200" i="1"/>
  <c r="J202" i="1"/>
  <c r="K202" i="1"/>
  <c r="L202" i="1" s="1"/>
  <c r="AD205" i="1"/>
  <c r="AI205" i="1" s="1"/>
  <c r="AE205" i="1"/>
  <c r="AJ205" i="1" s="1"/>
  <c r="X207" i="1"/>
  <c r="X203" i="1"/>
  <c r="J209" i="1"/>
  <c r="K209" i="1"/>
  <c r="L209" i="1" s="1"/>
  <c r="K210" i="1"/>
  <c r="L210" i="1" s="1"/>
  <c r="J210" i="1"/>
  <c r="K188" i="1"/>
  <c r="L188" i="1" s="1"/>
  <c r="J188" i="1"/>
  <c r="AA201" i="1"/>
  <c r="Y201" i="1"/>
  <c r="AB201" i="1" s="1"/>
  <c r="AH205" i="1"/>
  <c r="K208" i="1"/>
  <c r="L208" i="1" s="1"/>
  <c r="J208" i="1"/>
  <c r="W226" i="1"/>
  <c r="V226" i="1"/>
  <c r="AF235" i="1"/>
  <c r="AA235" i="1"/>
  <c r="Y235" i="1"/>
  <c r="AB235" i="1" s="1"/>
  <c r="K237" i="1"/>
  <c r="L237" i="1" s="1"/>
  <c r="J237" i="1"/>
  <c r="W239" i="1"/>
  <c r="V239" i="1"/>
  <c r="AG205" i="1"/>
  <c r="AA205" i="1"/>
  <c r="W231" i="1"/>
  <c r="V231" i="1"/>
  <c r="J197" i="1"/>
  <c r="K197" i="1"/>
  <c r="L197" i="1" s="1"/>
  <c r="K206" i="1"/>
  <c r="L206" i="1" s="1"/>
  <c r="Z219" i="1"/>
  <c r="X220" i="1"/>
  <c r="J217" i="1"/>
  <c r="K217" i="1"/>
  <c r="L217" i="1" s="1"/>
  <c r="Y219" i="1"/>
  <c r="AB219" i="1" s="1"/>
  <c r="AE219" i="1" s="1"/>
  <c r="AF219" i="1"/>
  <c r="V221" i="1"/>
  <c r="W221" i="1"/>
  <c r="X199" i="1"/>
  <c r="AA209" i="1"/>
  <c r="AG209" i="1"/>
  <c r="W214" i="1"/>
  <c r="V214" i="1"/>
  <c r="AA219" i="1"/>
  <c r="X227" i="1"/>
  <c r="AE235" i="1"/>
  <c r="AD235" i="1"/>
  <c r="V237" i="1"/>
  <c r="W237" i="1"/>
  <c r="J234" i="1"/>
  <c r="K234" i="1"/>
  <c r="L234" i="1" s="1"/>
  <c r="J233" i="1"/>
  <c r="K232" i="1"/>
  <c r="L232" i="1" s="1"/>
  <c r="J232" i="1"/>
  <c r="AH235" i="1"/>
  <c r="AA236" i="1"/>
  <c r="Y236" i="1"/>
  <c r="AF236" i="1"/>
  <c r="X234" i="1"/>
  <c r="K236" i="1"/>
  <c r="L236" i="1" s="1"/>
  <c r="J236" i="1"/>
  <c r="W202" i="1"/>
  <c r="V202" i="1"/>
  <c r="X212" i="1"/>
  <c r="J219" i="1"/>
  <c r="K219" i="1"/>
  <c r="L219" i="1" s="1"/>
  <c r="W210" i="1"/>
  <c r="V210" i="1"/>
  <c r="K221" i="1"/>
  <c r="L221" i="1" s="1"/>
  <c r="J221" i="1"/>
  <c r="Z223" i="1"/>
  <c r="J235" i="1"/>
  <c r="K235" i="1"/>
  <c r="L235" i="1" s="1"/>
  <c r="W228" i="1"/>
  <c r="W230" i="1"/>
  <c r="V230" i="1"/>
  <c r="W206" i="1"/>
  <c r="V206" i="1"/>
  <c r="V213" i="1"/>
  <c r="W213" i="1"/>
  <c r="W215" i="1"/>
  <c r="V215" i="1"/>
  <c r="X218" i="1"/>
  <c r="K220" i="1"/>
  <c r="L220" i="1" s="1"/>
  <c r="J220" i="1"/>
  <c r="X225" i="1"/>
  <c r="W240" i="1"/>
  <c r="V240" i="1"/>
  <c r="V241" i="1"/>
  <c r="W241" i="1"/>
  <c r="W216" i="1"/>
  <c r="X217" i="1"/>
  <c r="K222" i="1"/>
  <c r="L222" i="1" s="1"/>
  <c r="W232" i="1"/>
  <c r="X233" i="1"/>
  <c r="K238" i="1"/>
  <c r="L238" i="1" s="1"/>
  <c r="K239" i="1"/>
  <c r="L239" i="1" s="1"/>
  <c r="AH73" i="1" l="1"/>
  <c r="AK73" i="1"/>
  <c r="Y5" i="1"/>
  <c r="AB5" i="1" s="1"/>
  <c r="AA5" i="1"/>
  <c r="AF5" i="1"/>
  <c r="Y207" i="1"/>
  <c r="AF207" i="1"/>
  <c r="AA207" i="1"/>
  <c r="X20" i="1"/>
  <c r="AA107" i="1"/>
  <c r="Y107" i="1"/>
  <c r="AF107" i="1"/>
  <c r="Y127" i="1"/>
  <c r="AA127" i="1"/>
  <c r="AF127" i="1"/>
  <c r="AF80" i="1"/>
  <c r="Y80" i="1"/>
  <c r="AA80" i="1"/>
  <c r="AJ23" i="1"/>
  <c r="AI23" i="1"/>
  <c r="X98" i="1"/>
  <c r="AA130" i="1"/>
  <c r="Y130" i="1"/>
  <c r="AF130" i="1"/>
  <c r="AB120" i="1"/>
  <c r="Z120" i="1"/>
  <c r="Z87" i="1"/>
  <c r="X15" i="1"/>
  <c r="AL87" i="1"/>
  <c r="AK87" i="1"/>
  <c r="X105" i="1"/>
  <c r="X68" i="1"/>
  <c r="X74" i="1"/>
  <c r="AL18" i="1"/>
  <c r="AF225" i="1"/>
  <c r="AA225" i="1"/>
  <c r="Y225" i="1"/>
  <c r="AA134" i="1"/>
  <c r="AF134" i="1"/>
  <c r="Y134" i="1"/>
  <c r="AJ153" i="1"/>
  <c r="AG153" i="1"/>
  <c r="AF152" i="1"/>
  <c r="Y152" i="1"/>
  <c r="AA152" i="1"/>
  <c r="X146" i="1"/>
  <c r="AF109" i="1"/>
  <c r="AA109" i="1"/>
  <c r="Y109" i="1"/>
  <c r="AA12" i="1"/>
  <c r="Y12" i="1"/>
  <c r="AF12" i="1"/>
  <c r="X190" i="1"/>
  <c r="Y181" i="1"/>
  <c r="AF181" i="1"/>
  <c r="AA181" i="1"/>
  <c r="AB116" i="1"/>
  <c r="Z116" i="1"/>
  <c r="AA19" i="1"/>
  <c r="AF19" i="1"/>
  <c r="Y19" i="1"/>
  <c r="AL149" i="1"/>
  <c r="X241" i="1"/>
  <c r="X187" i="1"/>
  <c r="AB176" i="1"/>
  <c r="Z176" i="1"/>
  <c r="X167" i="1"/>
  <c r="Y165" i="1"/>
  <c r="AA165" i="1"/>
  <c r="AF165" i="1"/>
  <c r="AK151" i="1"/>
  <c r="X132" i="1"/>
  <c r="AF25" i="1"/>
  <c r="AA25" i="1"/>
  <c r="Y25" i="1"/>
  <c r="X232" i="1"/>
  <c r="X240" i="1"/>
  <c r="X206" i="1"/>
  <c r="X228" i="1"/>
  <c r="X210" i="1"/>
  <c r="AK205" i="1"/>
  <c r="AL205" i="1"/>
  <c r="AF192" i="1"/>
  <c r="Y192" i="1"/>
  <c r="AA192" i="1"/>
  <c r="Y137" i="1"/>
  <c r="AA137" i="1"/>
  <c r="AF137" i="1"/>
  <c r="Y133" i="1"/>
  <c r="AA133" i="1"/>
  <c r="AF133" i="1"/>
  <c r="AA97" i="1"/>
  <c r="AF97" i="1"/>
  <c r="Y97" i="1"/>
  <c r="AA85" i="1"/>
  <c r="AF85" i="1"/>
  <c r="Y85" i="1"/>
  <c r="AA2" i="1"/>
  <c r="AF2" i="1"/>
  <c r="X103" i="1"/>
  <c r="AA138" i="1"/>
  <c r="AF138" i="1"/>
  <c r="Y138" i="1"/>
  <c r="X114" i="1"/>
  <c r="AF94" i="1"/>
  <c r="Y94" i="1"/>
  <c r="AA94" i="1"/>
  <c r="X11" i="1"/>
  <c r="AF218" i="1"/>
  <c r="AA218" i="1"/>
  <c r="Y218" i="1"/>
  <c r="X202" i="1"/>
  <c r="X214" i="1"/>
  <c r="AK201" i="1"/>
  <c r="Y203" i="1"/>
  <c r="AF203" i="1"/>
  <c r="AA203" i="1"/>
  <c r="X229" i="1"/>
  <c r="X188" i="1"/>
  <c r="Y173" i="1"/>
  <c r="AF173" i="1"/>
  <c r="AA173" i="1"/>
  <c r="X175" i="1"/>
  <c r="X224" i="1"/>
  <c r="X143" i="1"/>
  <c r="AB177" i="1"/>
  <c r="Z177" i="1"/>
  <c r="AA160" i="1"/>
  <c r="Y160" i="1"/>
  <c r="AF160" i="1"/>
  <c r="Z131" i="1"/>
  <c r="AK115" i="1"/>
  <c r="AL115" i="1"/>
  <c r="AB140" i="1"/>
  <c r="Z140" i="1"/>
  <c r="AB83" i="1"/>
  <c r="Z83" i="1"/>
  <c r="AF22" i="1"/>
  <c r="AA22" i="1"/>
  <c r="Y22" i="1"/>
  <c r="X24" i="1"/>
  <c r="AD92" i="1"/>
  <c r="AH92" i="1" s="1"/>
  <c r="AD18" i="1"/>
  <c r="AH18" i="1" s="1"/>
  <c r="X8" i="1"/>
  <c r="X9" i="1"/>
  <c r="Y123" i="1"/>
  <c r="AA123" i="1"/>
  <c r="AF123" i="1"/>
  <c r="AD115" i="1"/>
  <c r="Z92" i="1"/>
  <c r="Z17" i="1"/>
  <c r="AF75" i="1"/>
  <c r="Y75" i="1"/>
  <c r="AA75" i="1"/>
  <c r="AB69" i="1"/>
  <c r="Z69" i="1"/>
  <c r="AJ219" i="1"/>
  <c r="AG219" i="1"/>
  <c r="Z174" i="1"/>
  <c r="AB174" i="1"/>
  <c r="AB157" i="1"/>
  <c r="Z157" i="1"/>
  <c r="AF78" i="1"/>
  <c r="AA78" i="1"/>
  <c r="Y78" i="1"/>
  <c r="AA93" i="1"/>
  <c r="Y93" i="1"/>
  <c r="AB93" i="1" s="1"/>
  <c r="AF93" i="1"/>
  <c r="AJ106" i="1"/>
  <c r="AI106" i="1"/>
  <c r="AA186" i="1"/>
  <c r="Y186" i="1"/>
  <c r="AF186" i="1"/>
  <c r="Y135" i="1"/>
  <c r="AF135" i="1"/>
  <c r="AA135" i="1"/>
  <c r="X26" i="1"/>
  <c r="AL106" i="1"/>
  <c r="AK106" i="1"/>
  <c r="AF233" i="1"/>
  <c r="AA233" i="1"/>
  <c r="Y233" i="1"/>
  <c r="X213" i="1"/>
  <c r="AF234" i="1"/>
  <c r="AA234" i="1"/>
  <c r="Y234" i="1"/>
  <c r="Y199" i="1"/>
  <c r="AA199" i="1"/>
  <c r="AF199" i="1"/>
  <c r="X239" i="1"/>
  <c r="AA168" i="1"/>
  <c r="AF168" i="1"/>
  <c r="Y168" i="1"/>
  <c r="AD201" i="1"/>
  <c r="AH201" i="1" s="1"/>
  <c r="AE201" i="1"/>
  <c r="AL201" i="1" s="1"/>
  <c r="AE223" i="1"/>
  <c r="AD223" i="1"/>
  <c r="AH223" i="1" s="1"/>
  <c r="X184" i="1"/>
  <c r="AA147" i="1"/>
  <c r="AF147" i="1"/>
  <c r="Y147" i="1"/>
  <c r="AK148" i="1"/>
  <c r="X162" i="1"/>
  <c r="AA141" i="1"/>
  <c r="AF141" i="1"/>
  <c r="Y141" i="1"/>
  <c r="AD16" i="1"/>
  <c r="AH16" i="1" s="1"/>
  <c r="Y129" i="1"/>
  <c r="AA129" i="1"/>
  <c r="AF129" i="1"/>
  <c r="AF96" i="1"/>
  <c r="Y96" i="1"/>
  <c r="AA96" i="1"/>
  <c r="X10" i="1"/>
  <c r="AF88" i="1"/>
  <c r="AA88" i="1"/>
  <c r="Y88" i="1"/>
  <c r="X95" i="1"/>
  <c r="AF102" i="1"/>
  <c r="AA102" i="1"/>
  <c r="Y102" i="1"/>
  <c r="AI209" i="1"/>
  <c r="Z18" i="1"/>
  <c r="AJ73" i="1"/>
  <c r="AI73" i="1"/>
  <c r="AG73" i="1"/>
  <c r="AL21" i="1"/>
  <c r="AK21" i="1"/>
  <c r="X86" i="1"/>
  <c r="AI3" i="1"/>
  <c r="AF84" i="1"/>
  <c r="Y84" i="1"/>
  <c r="AA84" i="1"/>
  <c r="Y198" i="1"/>
  <c r="AF198" i="1"/>
  <c r="AA198" i="1"/>
  <c r="Z170" i="1"/>
  <c r="AB170" i="1"/>
  <c r="X154" i="1"/>
  <c r="AA81" i="1"/>
  <c r="Y81" i="1"/>
  <c r="AF81" i="1"/>
  <c r="AB122" i="1"/>
  <c r="Z122" i="1"/>
  <c r="Y111" i="1"/>
  <c r="AF111" i="1"/>
  <c r="AA111" i="1"/>
  <c r="Y101" i="1"/>
  <c r="AF101" i="1"/>
  <c r="AA101" i="1"/>
  <c r="AL92" i="1"/>
  <c r="AK92" i="1"/>
  <c r="AL16" i="1"/>
  <c r="AK16" i="1"/>
  <c r="X226" i="1"/>
  <c r="AA178" i="1"/>
  <c r="Y178" i="1"/>
  <c r="AF178" i="1"/>
  <c r="Z166" i="1"/>
  <c r="AB166" i="1"/>
  <c r="AE131" i="1"/>
  <c r="AL131" i="1" s="1"/>
  <c r="AD131" i="1"/>
  <c r="AB126" i="1"/>
  <c r="Z126" i="1"/>
  <c r="AK144" i="1"/>
  <c r="AA159" i="1"/>
  <c r="Y159" i="1"/>
  <c r="AF159" i="1"/>
  <c r="X180" i="1"/>
  <c r="X230" i="1"/>
  <c r="AF222" i="1"/>
  <c r="Y222" i="1"/>
  <c r="AA222" i="1"/>
  <c r="Y227" i="1"/>
  <c r="AA227" i="1"/>
  <c r="AF227" i="1"/>
  <c r="Z201" i="1"/>
  <c r="Y158" i="1"/>
  <c r="AF158" i="1"/>
  <c r="AA158" i="1"/>
  <c r="AA171" i="1"/>
  <c r="Y171" i="1"/>
  <c r="AF171" i="1"/>
  <c r="Y142" i="1"/>
  <c r="AF142" i="1"/>
  <c r="AA142" i="1"/>
  <c r="AA161" i="1"/>
  <c r="AF161" i="1"/>
  <c r="Y161" i="1"/>
  <c r="AA193" i="1"/>
  <c r="Y193" i="1"/>
  <c r="AF193" i="1"/>
  <c r="AB124" i="1"/>
  <c r="Z124" i="1"/>
  <c r="AB119" i="1"/>
  <c r="Z119" i="1"/>
  <c r="Z93" i="1"/>
  <c r="Z5" i="1"/>
  <c r="X110" i="1"/>
  <c r="AG106" i="1"/>
  <c r="AF108" i="1"/>
  <c r="AA108" i="1"/>
  <c r="Y108" i="1"/>
  <c r="AF70" i="1"/>
  <c r="Y70" i="1"/>
  <c r="AA70" i="1"/>
  <c r="AD149" i="1"/>
  <c r="AH149" i="1" s="1"/>
  <c r="Y113" i="1"/>
  <c r="AA113" i="1"/>
  <c r="AF113" i="1"/>
  <c r="AE209" i="1"/>
  <c r="AL209" i="1" s="1"/>
  <c r="AD209" i="1"/>
  <c r="AH209" i="1" s="1"/>
  <c r="X117" i="1"/>
  <c r="X99" i="1"/>
  <c r="AD17" i="1"/>
  <c r="AH17" i="1" s="1"/>
  <c r="AA79" i="1"/>
  <c r="AF79" i="1"/>
  <c r="Y79" i="1"/>
  <c r="X6" i="1"/>
  <c r="AG3" i="1"/>
  <c r="X216" i="1"/>
  <c r="Y212" i="1"/>
  <c r="AF212" i="1"/>
  <c r="AA212" i="1"/>
  <c r="Y211" i="1"/>
  <c r="AF211" i="1"/>
  <c r="AA211" i="1"/>
  <c r="AL223" i="1"/>
  <c r="AK223" i="1"/>
  <c r="AA182" i="1"/>
  <c r="Y182" i="1"/>
  <c r="AF182" i="1"/>
  <c r="AB185" i="1"/>
  <c r="Z185" i="1"/>
  <c r="AL153" i="1"/>
  <c r="AB139" i="1"/>
  <c r="Z139" i="1"/>
  <c r="X91" i="1"/>
  <c r="X90" i="1"/>
  <c r="AF112" i="1"/>
  <c r="Y112" i="1"/>
  <c r="AA112" i="1"/>
  <c r="X231" i="1"/>
  <c r="X196" i="1"/>
  <c r="Z151" i="1"/>
  <c r="X89" i="1"/>
  <c r="AB118" i="1"/>
  <c r="Z118" i="1"/>
  <c r="X77" i="1"/>
  <c r="X14" i="1"/>
  <c r="AB136" i="1"/>
  <c r="Z136" i="1"/>
  <c r="X121" i="1"/>
  <c r="AL76" i="1"/>
  <c r="AA71" i="1"/>
  <c r="Y71" i="1"/>
  <c r="AF71" i="1"/>
  <c r="X237" i="1"/>
  <c r="AJ149" i="1"/>
  <c r="X163" i="1"/>
  <c r="AB172" i="1"/>
  <c r="Z172" i="1"/>
  <c r="AJ144" i="1"/>
  <c r="AI144" i="1"/>
  <c r="AL219" i="1"/>
  <c r="X238" i="1"/>
  <c r="AJ145" i="1"/>
  <c r="AI145" i="1"/>
  <c r="AG145" i="1"/>
  <c r="AJ223" i="1"/>
  <c r="AI223" i="1"/>
  <c r="AF200" i="1"/>
  <c r="AA200" i="1"/>
  <c r="Y200" i="1"/>
  <c r="X204" i="1"/>
  <c r="AD219" i="1"/>
  <c r="AH219" i="1" s="1"/>
  <c r="X195" i="1"/>
  <c r="X179" i="1"/>
  <c r="AG223" i="1"/>
  <c r="X191" i="1"/>
  <c r="Y169" i="1"/>
  <c r="AF169" i="1"/>
  <c r="AA169" i="1"/>
  <c r="AF217" i="1"/>
  <c r="AA217" i="1"/>
  <c r="Y217" i="1"/>
  <c r="Z235" i="1"/>
  <c r="X215" i="1"/>
  <c r="AB236" i="1"/>
  <c r="Z236" i="1"/>
  <c r="X221" i="1"/>
  <c r="AF220" i="1"/>
  <c r="Y220" i="1"/>
  <c r="AA220" i="1"/>
  <c r="AK235" i="1"/>
  <c r="AL235" i="1"/>
  <c r="AA194" i="1"/>
  <c r="AF194" i="1"/>
  <c r="Y194" i="1"/>
  <c r="AB189" i="1"/>
  <c r="Z189" i="1"/>
  <c r="X183" i="1"/>
  <c r="AD153" i="1"/>
  <c r="AH153" i="1" s="1"/>
  <c r="AE151" i="1"/>
  <c r="AL151" i="1" s="1"/>
  <c r="AA156" i="1"/>
  <c r="AF156" i="1"/>
  <c r="Y156" i="1"/>
  <c r="AA197" i="1"/>
  <c r="Y197" i="1"/>
  <c r="AF197" i="1"/>
  <c r="AB164" i="1"/>
  <c r="Z164" i="1"/>
  <c r="X208" i="1"/>
  <c r="X150" i="1"/>
  <c r="X155" i="1"/>
  <c r="AB128" i="1"/>
  <c r="Z128" i="1"/>
  <c r="Y125" i="1"/>
  <c r="AF125" i="1"/>
  <c r="AA125" i="1"/>
  <c r="X104" i="1"/>
  <c r="AF7" i="1"/>
  <c r="AA7" i="1"/>
  <c r="Y7" i="1"/>
  <c r="AJ76" i="1"/>
  <c r="AI76" i="1"/>
  <c r="X100" i="1"/>
  <c r="AI21" i="1"/>
  <c r="AJ21" i="1"/>
  <c r="Z16" i="1"/>
  <c r="AF13" i="1"/>
  <c r="Y13" i="1"/>
  <c r="AA13" i="1"/>
  <c r="X72" i="1"/>
  <c r="X82" i="1"/>
  <c r="X4" i="1"/>
  <c r="AE17" i="1"/>
  <c r="AL17" i="1" s="1"/>
  <c r="AD3" i="1"/>
  <c r="AH3" i="1" s="1"/>
  <c r="AE3" i="1"/>
  <c r="AJ3" i="1" s="1"/>
  <c r="AD76" i="1"/>
  <c r="AH76" i="1" s="1"/>
  <c r="AJ16" i="1" l="1"/>
  <c r="AI16" i="1"/>
  <c r="AG16" i="1"/>
  <c r="AB169" i="1"/>
  <c r="Z169" i="1"/>
  <c r="Y14" i="1"/>
  <c r="AA14" i="1"/>
  <c r="AF14" i="1"/>
  <c r="AF226" i="1"/>
  <c r="AA226" i="1"/>
  <c r="Y226" i="1"/>
  <c r="AE170" i="1"/>
  <c r="AL170" i="1" s="1"/>
  <c r="AD170" i="1"/>
  <c r="Y24" i="1"/>
  <c r="AF24" i="1"/>
  <c r="AA24" i="1"/>
  <c r="AB173" i="1"/>
  <c r="Z173" i="1"/>
  <c r="AB137" i="1"/>
  <c r="Z137" i="1"/>
  <c r="AA167" i="1"/>
  <c r="Y167" i="1"/>
  <c r="AF167" i="1"/>
  <c r="AA98" i="1"/>
  <c r="Y98" i="1"/>
  <c r="AF98" i="1"/>
  <c r="AB207" i="1"/>
  <c r="Z207" i="1"/>
  <c r="AF82" i="1"/>
  <c r="Y82" i="1"/>
  <c r="AA82" i="1"/>
  <c r="AE164" i="1"/>
  <c r="AL164" i="1" s="1"/>
  <c r="AD164" i="1"/>
  <c r="Z217" i="1"/>
  <c r="AB217" i="1"/>
  <c r="AK76" i="1"/>
  <c r="AL3" i="1"/>
  <c r="AG185" i="1"/>
  <c r="AB79" i="1"/>
  <c r="Z79" i="1"/>
  <c r="AI119" i="1"/>
  <c r="AG119" i="1"/>
  <c r="AB159" i="1"/>
  <c r="Z159" i="1"/>
  <c r="AD166" i="1"/>
  <c r="AI166" i="1" s="1"/>
  <c r="AE166" i="1"/>
  <c r="AL166" i="1" s="1"/>
  <c r="AB81" i="1"/>
  <c r="Z81" i="1"/>
  <c r="AI170" i="1"/>
  <c r="AG170" i="1"/>
  <c r="AJ209" i="1"/>
  <c r="AB96" i="1"/>
  <c r="Z96" i="1"/>
  <c r="AB147" i="1"/>
  <c r="Z147" i="1"/>
  <c r="AB168" i="1"/>
  <c r="Z168" i="1"/>
  <c r="AF213" i="1"/>
  <c r="Y213" i="1"/>
  <c r="AA213" i="1"/>
  <c r="AA26" i="1"/>
  <c r="Y26" i="1"/>
  <c r="AF26" i="1"/>
  <c r="AE93" i="1"/>
  <c r="AL93" i="1" s="1"/>
  <c r="AD93" i="1"/>
  <c r="AH93" i="1" s="1"/>
  <c r="Y9" i="1"/>
  <c r="AF9" i="1"/>
  <c r="AA9" i="1"/>
  <c r="AE140" i="1"/>
  <c r="AL140" i="1" s="1"/>
  <c r="AD140" i="1"/>
  <c r="AI140" i="1" s="1"/>
  <c r="AA224" i="1"/>
  <c r="AF224" i="1"/>
  <c r="Y224" i="1"/>
  <c r="AA188" i="1"/>
  <c r="Y188" i="1"/>
  <c r="AF188" i="1"/>
  <c r="AF103" i="1"/>
  <c r="Y103" i="1"/>
  <c r="AA103" i="1"/>
  <c r="AA210" i="1"/>
  <c r="AF210" i="1"/>
  <c r="Y210" i="1"/>
  <c r="AF232" i="1"/>
  <c r="AA232" i="1"/>
  <c r="Y232" i="1"/>
  <c r="Y146" i="1"/>
  <c r="AF146" i="1"/>
  <c r="AA146" i="1"/>
  <c r="AF68" i="1"/>
  <c r="AA68" i="1"/>
  <c r="Y68" i="1"/>
  <c r="AI120" i="1"/>
  <c r="AG120" i="1"/>
  <c r="AB107" i="1"/>
  <c r="Z107" i="1"/>
  <c r="AI164" i="1"/>
  <c r="AJ164" i="1"/>
  <c r="AG164" i="1"/>
  <c r="AG140" i="1"/>
  <c r="AB203" i="1"/>
  <c r="Z203" i="1"/>
  <c r="AB94" i="1"/>
  <c r="Z94" i="1"/>
  <c r="AK149" i="1"/>
  <c r="AI153" i="1"/>
  <c r="AJ87" i="1"/>
  <c r="AI87" i="1"/>
  <c r="AG87" i="1"/>
  <c r="Y72" i="1"/>
  <c r="AF72" i="1"/>
  <c r="AA72" i="1"/>
  <c r="AB7" i="1"/>
  <c r="Z7" i="1"/>
  <c r="AB125" i="1"/>
  <c r="Z125" i="1"/>
  <c r="AA155" i="1"/>
  <c r="Y155" i="1"/>
  <c r="AF155" i="1"/>
  <c r="Y191" i="1"/>
  <c r="AF191" i="1"/>
  <c r="AA191" i="1"/>
  <c r="AI172" i="1"/>
  <c r="AJ172" i="1"/>
  <c r="AG172" i="1"/>
  <c r="Y77" i="1"/>
  <c r="AF77" i="1"/>
  <c r="AA77" i="1"/>
  <c r="AI151" i="1"/>
  <c r="AJ151" i="1"/>
  <c r="AG151" i="1"/>
  <c r="AK3" i="1"/>
  <c r="Y91" i="1"/>
  <c r="AA91" i="1"/>
  <c r="AF91" i="1"/>
  <c r="AE185" i="1"/>
  <c r="AL185" i="1" s="1"/>
  <c r="AD185" i="1"/>
  <c r="AB212" i="1"/>
  <c r="Z212" i="1"/>
  <c r="AE119" i="1"/>
  <c r="AL119" i="1" s="1"/>
  <c r="AD119" i="1"/>
  <c r="AB193" i="1"/>
  <c r="Z193" i="1"/>
  <c r="AJ166" i="1"/>
  <c r="AG166" i="1"/>
  <c r="AB88" i="1"/>
  <c r="Z88" i="1"/>
  <c r="AB141" i="1"/>
  <c r="Z141" i="1"/>
  <c r="AB199" i="1"/>
  <c r="Z199" i="1"/>
  <c r="AB233" i="1"/>
  <c r="Z233" i="1"/>
  <c r="AB186" i="1"/>
  <c r="Z186" i="1"/>
  <c r="AK93" i="1"/>
  <c r="AG157" i="1"/>
  <c r="AJ17" i="1"/>
  <c r="AI17" i="1"/>
  <c r="AG17" i="1"/>
  <c r="Y8" i="1"/>
  <c r="AF8" i="1"/>
  <c r="AA8" i="1"/>
  <c r="AB22" i="1"/>
  <c r="Z22" i="1"/>
  <c r="AB218" i="1"/>
  <c r="Z218" i="1"/>
  <c r="AA114" i="1"/>
  <c r="Y114" i="1"/>
  <c r="AF114" i="1"/>
  <c r="AB25" i="1"/>
  <c r="Z25" i="1"/>
  <c r="AG176" i="1"/>
  <c r="AB19" i="1"/>
  <c r="Z19" i="1"/>
  <c r="AB12" i="1"/>
  <c r="Z12" i="1"/>
  <c r="Y105" i="1"/>
  <c r="AF105" i="1"/>
  <c r="AA105" i="1"/>
  <c r="AD120" i="1"/>
  <c r="AE120" i="1"/>
  <c r="AL120" i="1" s="1"/>
  <c r="AB194" i="1"/>
  <c r="Z194" i="1"/>
  <c r="Y150" i="1"/>
  <c r="AA150" i="1"/>
  <c r="AF150" i="1"/>
  <c r="AF216" i="1"/>
  <c r="AA216" i="1"/>
  <c r="Y216" i="1"/>
  <c r="AB227" i="1"/>
  <c r="Z227" i="1"/>
  <c r="AI92" i="1"/>
  <c r="AJ92" i="1"/>
  <c r="AG92" i="1"/>
  <c r="AB2" i="1"/>
  <c r="Z2" i="1"/>
  <c r="AE176" i="1"/>
  <c r="AL176" i="1" s="1"/>
  <c r="AD176" i="1"/>
  <c r="AB134" i="1"/>
  <c r="Z134" i="1"/>
  <c r="AB197" i="1"/>
  <c r="Z197" i="1"/>
  <c r="Y183" i="1"/>
  <c r="AF183" i="1"/>
  <c r="AA183" i="1"/>
  <c r="AG236" i="1"/>
  <c r="AA204" i="1"/>
  <c r="Y204" i="1"/>
  <c r="AF204" i="1"/>
  <c r="AF238" i="1"/>
  <c r="AA238" i="1"/>
  <c r="Y238" i="1"/>
  <c r="AA163" i="1"/>
  <c r="Y163" i="1"/>
  <c r="AF163" i="1"/>
  <c r="AF237" i="1"/>
  <c r="AA237" i="1"/>
  <c r="Y237" i="1"/>
  <c r="AJ118" i="1"/>
  <c r="AG118" i="1"/>
  <c r="AF196" i="1"/>
  <c r="AA196" i="1"/>
  <c r="Y196" i="1"/>
  <c r="AG139" i="1"/>
  <c r="AB211" i="1"/>
  <c r="Z211" i="1"/>
  <c r="AJ5" i="1"/>
  <c r="AF230" i="1"/>
  <c r="AA230" i="1"/>
  <c r="Y230" i="1"/>
  <c r="AK17" i="1"/>
  <c r="AB198" i="1"/>
  <c r="Z198" i="1"/>
  <c r="AB234" i="1"/>
  <c r="Z234" i="1"/>
  <c r="AD174" i="1"/>
  <c r="AE174" i="1"/>
  <c r="AL174" i="1" s="1"/>
  <c r="AG69" i="1"/>
  <c r="AH115" i="1"/>
  <c r="AI115" i="1"/>
  <c r="AJ131" i="1"/>
  <c r="AI131" i="1"/>
  <c r="AG131" i="1"/>
  <c r="AF229" i="1"/>
  <c r="Y229" i="1"/>
  <c r="AA229" i="1"/>
  <c r="AB138" i="1"/>
  <c r="Z138" i="1"/>
  <c r="AB133" i="1"/>
  <c r="Z133" i="1"/>
  <c r="AB192" i="1"/>
  <c r="Z192" i="1"/>
  <c r="Y187" i="1"/>
  <c r="AA187" i="1"/>
  <c r="AF187" i="1"/>
  <c r="AF190" i="1"/>
  <c r="AA190" i="1"/>
  <c r="Y190" i="1"/>
  <c r="AB109" i="1"/>
  <c r="Z109" i="1"/>
  <c r="AK18" i="1"/>
  <c r="AB127" i="1"/>
  <c r="Z127" i="1"/>
  <c r="AD5" i="1"/>
  <c r="AH5" i="1" s="1"/>
  <c r="AE5" i="1"/>
  <c r="AL5" i="1" s="1"/>
  <c r="AB220" i="1"/>
  <c r="Z220" i="1"/>
  <c r="Y117" i="1"/>
  <c r="AA117" i="1"/>
  <c r="AF117" i="1"/>
  <c r="AE172" i="1"/>
  <c r="AL172" i="1" s="1"/>
  <c r="AD172" i="1"/>
  <c r="AA175" i="1"/>
  <c r="Y175" i="1"/>
  <c r="AF175" i="1"/>
  <c r="AB181" i="1"/>
  <c r="Z181" i="1"/>
  <c r="AJ128" i="1"/>
  <c r="AG128" i="1"/>
  <c r="AD236" i="1"/>
  <c r="AE236" i="1"/>
  <c r="AL236" i="1" s="1"/>
  <c r="Y179" i="1"/>
  <c r="AF179" i="1"/>
  <c r="AA179" i="1"/>
  <c r="AE118" i="1"/>
  <c r="AL118" i="1" s="1"/>
  <c r="AD118" i="1"/>
  <c r="AF231" i="1"/>
  <c r="AA231" i="1"/>
  <c r="Y231" i="1"/>
  <c r="AB112" i="1"/>
  <c r="Z112" i="1"/>
  <c r="AD139" i="1"/>
  <c r="AI139" i="1" s="1"/>
  <c r="AE139" i="1"/>
  <c r="AL139" i="1" s="1"/>
  <c r="Z182" i="1"/>
  <c r="AB182" i="1"/>
  <c r="AG124" i="1"/>
  <c r="AB161" i="1"/>
  <c r="Z161" i="1"/>
  <c r="AA180" i="1"/>
  <c r="Y180" i="1"/>
  <c r="AF180" i="1"/>
  <c r="AG126" i="1"/>
  <c r="AB178" i="1"/>
  <c r="Z178" i="1"/>
  <c r="AG122" i="1"/>
  <c r="AI18" i="1"/>
  <c r="AJ18" i="1"/>
  <c r="AG18" i="1"/>
  <c r="Y10" i="1"/>
  <c r="AA10" i="1"/>
  <c r="AF10" i="1"/>
  <c r="AB129" i="1"/>
  <c r="Z129" i="1"/>
  <c r="AB135" i="1"/>
  <c r="Z135" i="1"/>
  <c r="AB78" i="1"/>
  <c r="Z78" i="1"/>
  <c r="AG174" i="1"/>
  <c r="AD69" i="1"/>
  <c r="AE69" i="1"/>
  <c r="AL69" i="1" s="1"/>
  <c r="AG177" i="1"/>
  <c r="AF214" i="1"/>
  <c r="Y214" i="1"/>
  <c r="AA214" i="1"/>
  <c r="AA206" i="1"/>
  <c r="Y206" i="1"/>
  <c r="AF206" i="1"/>
  <c r="AB152" i="1"/>
  <c r="Z152" i="1"/>
  <c r="AB80" i="1"/>
  <c r="Z80" i="1"/>
  <c r="AF20" i="1"/>
  <c r="AA20" i="1"/>
  <c r="Y20" i="1"/>
  <c r="AG5" i="1"/>
  <c r="AJ235" i="1"/>
  <c r="AI235" i="1"/>
  <c r="AG235" i="1"/>
  <c r="AF90" i="1"/>
  <c r="AA90" i="1"/>
  <c r="Y90" i="1"/>
  <c r="AB222" i="1"/>
  <c r="Z222" i="1"/>
  <c r="AF221" i="1"/>
  <c r="AA221" i="1"/>
  <c r="Y221" i="1"/>
  <c r="AB70" i="1"/>
  <c r="Z70" i="1"/>
  <c r="AB142" i="1"/>
  <c r="Z142" i="1"/>
  <c r="AB102" i="1"/>
  <c r="Z102" i="1"/>
  <c r="Y228" i="1"/>
  <c r="AA228" i="1"/>
  <c r="AF228" i="1"/>
  <c r="AA4" i="1"/>
  <c r="Y4" i="1"/>
  <c r="AF4" i="1"/>
  <c r="AD128" i="1"/>
  <c r="AE128" i="1"/>
  <c r="AL128" i="1" s="1"/>
  <c r="Z156" i="1"/>
  <c r="AB156" i="1"/>
  <c r="AG189" i="1"/>
  <c r="AF215" i="1"/>
  <c r="AA215" i="1"/>
  <c r="Y215" i="1"/>
  <c r="AB200" i="1"/>
  <c r="Z200" i="1"/>
  <c r="AI149" i="1"/>
  <c r="AG136" i="1"/>
  <c r="AF89" i="1"/>
  <c r="AA89" i="1"/>
  <c r="Y89" i="1"/>
  <c r="AK209" i="1"/>
  <c r="AA6" i="1"/>
  <c r="AF6" i="1"/>
  <c r="Y6" i="1"/>
  <c r="AF99" i="1"/>
  <c r="AA99" i="1"/>
  <c r="Y99" i="1"/>
  <c r="AB108" i="1"/>
  <c r="Z108" i="1"/>
  <c r="AD124" i="1"/>
  <c r="AE124" i="1"/>
  <c r="AL124" i="1" s="1"/>
  <c r="AB171" i="1"/>
  <c r="Z171" i="1"/>
  <c r="AE126" i="1"/>
  <c r="AL126" i="1" s="1"/>
  <c r="AD126" i="1"/>
  <c r="AE122" i="1"/>
  <c r="AL122" i="1" s="1"/>
  <c r="AD122" i="1"/>
  <c r="AI122" i="1" s="1"/>
  <c r="Y86" i="1"/>
  <c r="AA86" i="1"/>
  <c r="AF86" i="1"/>
  <c r="Y162" i="1"/>
  <c r="AF162" i="1"/>
  <c r="AA162" i="1"/>
  <c r="AF239" i="1"/>
  <c r="AA239" i="1"/>
  <c r="Y239" i="1"/>
  <c r="AJ83" i="1"/>
  <c r="AI83" i="1"/>
  <c r="AG83" i="1"/>
  <c r="AD177" i="1"/>
  <c r="AI177" i="1" s="1"/>
  <c r="AE177" i="1"/>
  <c r="AL177" i="1" s="1"/>
  <c r="Y202" i="1"/>
  <c r="AF202" i="1"/>
  <c r="AA202" i="1"/>
  <c r="Y240" i="1"/>
  <c r="AF240" i="1"/>
  <c r="AA240" i="1"/>
  <c r="AA132" i="1"/>
  <c r="AF132" i="1"/>
  <c r="Y132" i="1"/>
  <c r="AA241" i="1"/>
  <c r="Y241" i="1"/>
  <c r="AF241" i="1"/>
  <c r="AJ116" i="1"/>
  <c r="AG116" i="1"/>
  <c r="AA15" i="1"/>
  <c r="Y15" i="1"/>
  <c r="AF15" i="1"/>
  <c r="AB130" i="1"/>
  <c r="Z130" i="1"/>
  <c r="Y121" i="1"/>
  <c r="AF121" i="1"/>
  <c r="AA121" i="1"/>
  <c r="AA110" i="1"/>
  <c r="AF110" i="1"/>
  <c r="Y110" i="1"/>
  <c r="AB158" i="1"/>
  <c r="Z158" i="1"/>
  <c r="AB111" i="1"/>
  <c r="Z111" i="1"/>
  <c r="AA184" i="1"/>
  <c r="Y184" i="1"/>
  <c r="AF184" i="1"/>
  <c r="AE157" i="1"/>
  <c r="AL157" i="1" s="1"/>
  <c r="AD157" i="1"/>
  <c r="AB97" i="1"/>
  <c r="Z97" i="1"/>
  <c r="AB13" i="1"/>
  <c r="Z13" i="1"/>
  <c r="AA208" i="1"/>
  <c r="Y208" i="1"/>
  <c r="AF208" i="1"/>
  <c r="AF100" i="1"/>
  <c r="Y100" i="1"/>
  <c r="AA100" i="1"/>
  <c r="AF104" i="1"/>
  <c r="AA104" i="1"/>
  <c r="Y104" i="1"/>
  <c r="AE189" i="1"/>
  <c r="AL189" i="1" s="1"/>
  <c r="AD189" i="1"/>
  <c r="AI189" i="1" s="1"/>
  <c r="AF195" i="1"/>
  <c r="AA195" i="1"/>
  <c r="Y195" i="1"/>
  <c r="AK219" i="1"/>
  <c r="AB71" i="1"/>
  <c r="Z71" i="1"/>
  <c r="AD136" i="1"/>
  <c r="AI136" i="1" s="1"/>
  <c r="AE136" i="1"/>
  <c r="AL136" i="1" s="1"/>
  <c r="AK153" i="1"/>
  <c r="AB113" i="1"/>
  <c r="Z113" i="1"/>
  <c r="AJ93" i="1"/>
  <c r="AI93" i="1"/>
  <c r="AJ201" i="1"/>
  <c r="AI201" i="1"/>
  <c r="AG201" i="1"/>
  <c r="AH131" i="1"/>
  <c r="AK131" i="1"/>
  <c r="AB101" i="1"/>
  <c r="Z101" i="1"/>
  <c r="Y154" i="1"/>
  <c r="AF154" i="1"/>
  <c r="AA154" i="1"/>
  <c r="AB84" i="1"/>
  <c r="Z84" i="1"/>
  <c r="AA95" i="1"/>
  <c r="Y95" i="1"/>
  <c r="AF95" i="1"/>
  <c r="AG93" i="1"/>
  <c r="AI219" i="1"/>
  <c r="AB75" i="1"/>
  <c r="Z75" i="1"/>
  <c r="AB123" i="1"/>
  <c r="Z123" i="1"/>
  <c r="AE83" i="1"/>
  <c r="AL83" i="1" s="1"/>
  <c r="AD83" i="1"/>
  <c r="Z160" i="1"/>
  <c r="AB160" i="1"/>
  <c r="AA143" i="1"/>
  <c r="AF143" i="1"/>
  <c r="Y143" i="1"/>
  <c r="AA11" i="1"/>
  <c r="Y11" i="1"/>
  <c r="AF11" i="1"/>
  <c r="AB85" i="1"/>
  <c r="Z85" i="1"/>
  <c r="AB165" i="1"/>
  <c r="Z165" i="1"/>
  <c r="AD116" i="1"/>
  <c r="AI116" i="1" s="1"/>
  <c r="AE116" i="1"/>
  <c r="AL116" i="1" s="1"/>
  <c r="AB225" i="1"/>
  <c r="Z225" i="1"/>
  <c r="AF74" i="1"/>
  <c r="AA74" i="1"/>
  <c r="Y74" i="1"/>
  <c r="AB100" i="1" l="1"/>
  <c r="Z100" i="1"/>
  <c r="AB239" i="1"/>
  <c r="Z239" i="1"/>
  <c r="AD182" i="1"/>
  <c r="AE182" i="1"/>
  <c r="AL182" i="1" s="1"/>
  <c r="AB183" i="1"/>
  <c r="Z183" i="1"/>
  <c r="AG218" i="1"/>
  <c r="AB14" i="1"/>
  <c r="Z14" i="1"/>
  <c r="AJ165" i="1"/>
  <c r="AI165" i="1"/>
  <c r="AG165" i="1"/>
  <c r="AE160" i="1"/>
  <c r="AL160" i="1" s="1"/>
  <c r="AD160" i="1"/>
  <c r="AG84" i="1"/>
  <c r="AJ71" i="1"/>
  <c r="AI71" i="1"/>
  <c r="AG71" i="1"/>
  <c r="AE13" i="1"/>
  <c r="AL13" i="1" s="1"/>
  <c r="AD13" i="1"/>
  <c r="AB15" i="1"/>
  <c r="Z15" i="1"/>
  <c r="AB240" i="1"/>
  <c r="Z240" i="1"/>
  <c r="AE171" i="1"/>
  <c r="AL171" i="1" s="1"/>
  <c r="AD171" i="1"/>
  <c r="AH128" i="1"/>
  <c r="AK128" i="1"/>
  <c r="AE70" i="1"/>
  <c r="AL70" i="1" s="1"/>
  <c r="AD70" i="1"/>
  <c r="AI70" i="1" s="1"/>
  <c r="AD222" i="1"/>
  <c r="AE222" i="1"/>
  <c r="AL222" i="1" s="1"/>
  <c r="AE80" i="1"/>
  <c r="AL80" i="1" s="1"/>
  <c r="AD80" i="1"/>
  <c r="AB214" i="1"/>
  <c r="Z214" i="1"/>
  <c r="AD135" i="1"/>
  <c r="AE135" i="1"/>
  <c r="AL135" i="1" s="1"/>
  <c r="AJ124" i="1"/>
  <c r="AI128" i="1"/>
  <c r="AB117" i="1"/>
  <c r="Z117" i="1"/>
  <c r="AE133" i="1"/>
  <c r="AL133" i="1" s="1"/>
  <c r="AD133" i="1"/>
  <c r="AJ69" i="1"/>
  <c r="AB230" i="1"/>
  <c r="Z230" i="1"/>
  <c r="AJ211" i="1"/>
  <c r="AI211" i="1"/>
  <c r="AG211" i="1"/>
  <c r="AE134" i="1"/>
  <c r="AL134" i="1" s="1"/>
  <c r="AD134" i="1"/>
  <c r="AG194" i="1"/>
  <c r="AG12" i="1"/>
  <c r="AE25" i="1"/>
  <c r="AL25" i="1" s="1"/>
  <c r="AD25" i="1"/>
  <c r="AB8" i="1"/>
  <c r="Z8" i="1"/>
  <c r="AD141" i="1"/>
  <c r="AE141" i="1"/>
  <c r="AL141" i="1" s="1"/>
  <c r="AG212" i="1"/>
  <c r="AD7" i="1"/>
  <c r="AE7" i="1"/>
  <c r="AL7" i="1" s="1"/>
  <c r="AD96" i="1"/>
  <c r="AE96" i="1"/>
  <c r="AL96" i="1" s="1"/>
  <c r="AG79" i="1"/>
  <c r="AD173" i="1"/>
  <c r="AE173" i="1"/>
  <c r="AL173" i="1" s="1"/>
  <c r="AB89" i="1"/>
  <c r="Z89" i="1"/>
  <c r="AI200" i="1"/>
  <c r="AG200" i="1"/>
  <c r="AB90" i="1"/>
  <c r="Z90" i="1"/>
  <c r="AB180" i="1"/>
  <c r="Z180" i="1"/>
  <c r="AI182" i="1"/>
  <c r="AG182" i="1"/>
  <c r="AJ220" i="1"/>
  <c r="AG220" i="1"/>
  <c r="AE138" i="1"/>
  <c r="AL138" i="1" s="1"/>
  <c r="AD138" i="1"/>
  <c r="AH174" i="1"/>
  <c r="AK174" i="1"/>
  <c r="AB204" i="1"/>
  <c r="Z204" i="1"/>
  <c r="AG19" i="1"/>
  <c r="AD218" i="1"/>
  <c r="AE218" i="1"/>
  <c r="AL218" i="1" s="1"/>
  <c r="AD186" i="1"/>
  <c r="AE186" i="1"/>
  <c r="AL186" i="1" s="1"/>
  <c r="AE88" i="1"/>
  <c r="AL88" i="1" s="1"/>
  <c r="AD88" i="1"/>
  <c r="AH185" i="1"/>
  <c r="AK185" i="1"/>
  <c r="AG94" i="1"/>
  <c r="AJ120" i="1"/>
  <c r="AH166" i="1"/>
  <c r="AK166" i="1"/>
  <c r="AG217" i="1"/>
  <c r="AD207" i="1"/>
  <c r="AE207" i="1"/>
  <c r="AL207" i="1" s="1"/>
  <c r="AB167" i="1"/>
  <c r="Z167" i="1"/>
  <c r="AB226" i="1"/>
  <c r="Z226" i="1"/>
  <c r="AD165" i="1"/>
  <c r="AE165" i="1"/>
  <c r="AL165" i="1" s="1"/>
  <c r="AG113" i="1"/>
  <c r="AB163" i="1"/>
  <c r="Z163" i="1"/>
  <c r="AG186" i="1"/>
  <c r="AB210" i="1"/>
  <c r="Z210" i="1"/>
  <c r="AE217" i="1"/>
  <c r="AL217" i="1" s="1"/>
  <c r="AD217" i="1"/>
  <c r="AB104" i="1"/>
  <c r="Z104" i="1"/>
  <c r="AI158" i="1"/>
  <c r="AJ158" i="1"/>
  <c r="AG158" i="1"/>
  <c r="AB121" i="1"/>
  <c r="Z121" i="1"/>
  <c r="AB202" i="1"/>
  <c r="Z202" i="1"/>
  <c r="AH126" i="1"/>
  <c r="AK126" i="1"/>
  <c r="AG108" i="1"/>
  <c r="AE200" i="1"/>
  <c r="AL200" i="1" s="1"/>
  <c r="AD200" i="1"/>
  <c r="AB4" i="1"/>
  <c r="Z4" i="1"/>
  <c r="AG102" i="1"/>
  <c r="AB20" i="1"/>
  <c r="Z20" i="1"/>
  <c r="AJ152" i="1"/>
  <c r="AI152" i="1"/>
  <c r="AG152" i="1"/>
  <c r="AI174" i="1"/>
  <c r="AG178" i="1"/>
  <c r="AH118" i="1"/>
  <c r="AK118" i="1"/>
  <c r="AD220" i="1"/>
  <c r="AI220" i="1" s="1"/>
  <c r="AE220" i="1"/>
  <c r="AL220" i="1" s="1"/>
  <c r="AG109" i="1"/>
  <c r="AB187" i="1"/>
  <c r="Z187" i="1"/>
  <c r="AJ234" i="1"/>
  <c r="AI234" i="1"/>
  <c r="AG234" i="1"/>
  <c r="AI118" i="1"/>
  <c r="AI197" i="1"/>
  <c r="AJ197" i="1"/>
  <c r="AG197" i="1"/>
  <c r="AG2" i="1"/>
  <c r="AH120" i="1"/>
  <c r="AK120" i="1"/>
  <c r="AD19" i="1"/>
  <c r="AE19" i="1"/>
  <c r="AL19" i="1" s="1"/>
  <c r="AG22" i="1"/>
  <c r="AG233" i="1"/>
  <c r="AB155" i="1"/>
  <c r="Z155" i="1"/>
  <c r="AD94" i="1"/>
  <c r="AI94" i="1" s="1"/>
  <c r="AE94" i="1"/>
  <c r="AL94" i="1" s="1"/>
  <c r="AB146" i="1"/>
  <c r="Z146" i="1"/>
  <c r="AB188" i="1"/>
  <c r="Z188" i="1"/>
  <c r="AB26" i="1"/>
  <c r="Z26" i="1"/>
  <c r="AJ168" i="1"/>
  <c r="AG168" i="1"/>
  <c r="AG159" i="1"/>
  <c r="AH164" i="1"/>
  <c r="AK164" i="1"/>
  <c r="AG169" i="1"/>
  <c r="AB74" i="1"/>
  <c r="Z74" i="1"/>
  <c r="AE84" i="1"/>
  <c r="AL84" i="1" s="1"/>
  <c r="AD84" i="1"/>
  <c r="AI84" i="1" s="1"/>
  <c r="AH157" i="1"/>
  <c r="AK157" i="1"/>
  <c r="AH69" i="1"/>
  <c r="AK69" i="1"/>
  <c r="AD211" i="1"/>
  <c r="AE211" i="1"/>
  <c r="AL211" i="1" s="1"/>
  <c r="AD194" i="1"/>
  <c r="AI194" i="1" s="1"/>
  <c r="AE194" i="1"/>
  <c r="AL194" i="1" s="1"/>
  <c r="AJ88" i="1"/>
  <c r="AG88" i="1"/>
  <c r="AI207" i="1"/>
  <c r="AJ207" i="1"/>
  <c r="AG207" i="1"/>
  <c r="AB132" i="1"/>
  <c r="Z132" i="1"/>
  <c r="AG225" i="1"/>
  <c r="AJ85" i="1"/>
  <c r="AG85" i="1"/>
  <c r="AB143" i="1"/>
  <c r="Z143" i="1"/>
  <c r="AG123" i="1"/>
  <c r="AB154" i="1"/>
  <c r="Z154" i="1"/>
  <c r="AD158" i="1"/>
  <c r="AE158" i="1"/>
  <c r="AL158" i="1" s="1"/>
  <c r="AB86" i="1"/>
  <c r="Z86" i="1"/>
  <c r="AD108" i="1"/>
  <c r="AE108" i="1"/>
  <c r="AL108" i="1" s="1"/>
  <c r="AB6" i="1"/>
  <c r="Z6" i="1"/>
  <c r="AB215" i="1"/>
  <c r="Z215" i="1"/>
  <c r="AJ189" i="1"/>
  <c r="AE102" i="1"/>
  <c r="AL102" i="1" s="1"/>
  <c r="AD102" i="1"/>
  <c r="AI102" i="1" s="1"/>
  <c r="AE152" i="1"/>
  <c r="AL152" i="1" s="1"/>
  <c r="AD152" i="1"/>
  <c r="AB206" i="1"/>
  <c r="Z206" i="1"/>
  <c r="AJ174" i="1"/>
  <c r="AD178" i="1"/>
  <c r="AE178" i="1"/>
  <c r="AL178" i="1" s="1"/>
  <c r="AG161" i="1"/>
  <c r="AH139" i="1"/>
  <c r="AK139" i="1"/>
  <c r="AH236" i="1"/>
  <c r="AK236" i="1"/>
  <c r="AH172" i="1"/>
  <c r="AK172" i="1"/>
  <c r="AD109" i="1"/>
  <c r="AI109" i="1" s="1"/>
  <c r="AE109" i="1"/>
  <c r="AL109" i="1" s="1"/>
  <c r="AE234" i="1"/>
  <c r="AL234" i="1" s="1"/>
  <c r="AD234" i="1"/>
  <c r="AI5" i="1"/>
  <c r="AJ139" i="1"/>
  <c r="AB237" i="1"/>
  <c r="Z237" i="1"/>
  <c r="AE197" i="1"/>
  <c r="AL197" i="1" s="1"/>
  <c r="AD197" i="1"/>
  <c r="AD2" i="1"/>
  <c r="AE2" i="1"/>
  <c r="AL2" i="1" s="1"/>
  <c r="AJ227" i="1"/>
  <c r="AI227" i="1"/>
  <c r="AG227" i="1"/>
  <c r="AD22" i="1"/>
  <c r="AE22" i="1"/>
  <c r="AL22" i="1" s="1"/>
  <c r="AD233" i="1"/>
  <c r="AE233" i="1"/>
  <c r="AL233" i="1" s="1"/>
  <c r="AJ193" i="1"/>
  <c r="AG193" i="1"/>
  <c r="AB72" i="1"/>
  <c r="Z72" i="1"/>
  <c r="AG203" i="1"/>
  <c r="AB68" i="1"/>
  <c r="Z68" i="1"/>
  <c r="AE168" i="1"/>
  <c r="AL168" i="1" s="1"/>
  <c r="AD168" i="1"/>
  <c r="AI168" i="1" s="1"/>
  <c r="AJ170" i="1"/>
  <c r="AE159" i="1"/>
  <c r="AL159" i="1" s="1"/>
  <c r="AD159" i="1"/>
  <c r="AJ119" i="1"/>
  <c r="AD169" i="1"/>
  <c r="AI169" i="1" s="1"/>
  <c r="AE169" i="1"/>
  <c r="AL169" i="1" s="1"/>
  <c r="AB11" i="1"/>
  <c r="Z11" i="1"/>
  <c r="AH189" i="1"/>
  <c r="AK189" i="1"/>
  <c r="AB10" i="1"/>
  <c r="Z10" i="1"/>
  <c r="AI138" i="1"/>
  <c r="AJ138" i="1"/>
  <c r="AG138" i="1"/>
  <c r="AD79" i="1"/>
  <c r="AI79" i="1" s="1"/>
  <c r="AE79" i="1"/>
  <c r="AL79" i="1" s="1"/>
  <c r="AE111" i="1"/>
  <c r="AL111" i="1" s="1"/>
  <c r="AD111" i="1"/>
  <c r="AB228" i="1"/>
  <c r="Z228" i="1"/>
  <c r="AD85" i="1"/>
  <c r="AE85" i="1"/>
  <c r="AL85" i="1" s="1"/>
  <c r="AB95" i="1"/>
  <c r="Z95" i="1"/>
  <c r="AB208" i="1"/>
  <c r="Z208" i="1"/>
  <c r="AB110" i="1"/>
  <c r="Z110" i="1"/>
  <c r="AI130" i="1"/>
  <c r="AG130" i="1"/>
  <c r="AE156" i="1"/>
  <c r="AL156" i="1" s="1"/>
  <c r="AD156" i="1"/>
  <c r="AI156" i="1" s="1"/>
  <c r="AI142" i="1"/>
  <c r="AJ142" i="1"/>
  <c r="AG142" i="1"/>
  <c r="AG78" i="1"/>
  <c r="AJ129" i="1"/>
  <c r="AG129" i="1"/>
  <c r="AD161" i="1"/>
  <c r="AE161" i="1"/>
  <c r="AL161" i="1" s="1"/>
  <c r="AG112" i="1"/>
  <c r="AB175" i="1"/>
  <c r="Z175" i="1"/>
  <c r="AG192" i="1"/>
  <c r="AG198" i="1"/>
  <c r="AB196" i="1"/>
  <c r="Z196" i="1"/>
  <c r="AB238" i="1"/>
  <c r="Z238" i="1"/>
  <c r="AI236" i="1"/>
  <c r="AK5" i="1"/>
  <c r="AE227" i="1"/>
  <c r="AL227" i="1" s="1"/>
  <c r="AD227" i="1"/>
  <c r="AJ176" i="1"/>
  <c r="AI157" i="1"/>
  <c r="AG199" i="1"/>
  <c r="AE193" i="1"/>
  <c r="AL193" i="1" s="1"/>
  <c r="AD193" i="1"/>
  <c r="AI193" i="1" s="1"/>
  <c r="AB191" i="1"/>
  <c r="Z191" i="1"/>
  <c r="AG125" i="1"/>
  <c r="AD203" i="1"/>
  <c r="AE203" i="1"/>
  <c r="AL203" i="1" s="1"/>
  <c r="AB232" i="1"/>
  <c r="Z232" i="1"/>
  <c r="AB9" i="1"/>
  <c r="Z9" i="1"/>
  <c r="AG147" i="1"/>
  <c r="AG81" i="1"/>
  <c r="AI185" i="1"/>
  <c r="AB98" i="1"/>
  <c r="Z98" i="1"/>
  <c r="AJ137" i="1"/>
  <c r="AG137" i="1"/>
  <c r="AI160" i="1"/>
  <c r="AJ160" i="1"/>
  <c r="AG160" i="1"/>
  <c r="AE71" i="1"/>
  <c r="AL71" i="1" s="1"/>
  <c r="AD71" i="1"/>
  <c r="AH176" i="1"/>
  <c r="AK176" i="1"/>
  <c r="AH140" i="1"/>
  <c r="AK140" i="1"/>
  <c r="AH83" i="1"/>
  <c r="AK83" i="1"/>
  <c r="AD113" i="1"/>
  <c r="AI113" i="1" s="1"/>
  <c r="AE113" i="1"/>
  <c r="AL113" i="1" s="1"/>
  <c r="AE225" i="1"/>
  <c r="AL225" i="1" s="1"/>
  <c r="AD225" i="1"/>
  <c r="AI225" i="1" s="1"/>
  <c r="AE123" i="1"/>
  <c r="AL123" i="1" s="1"/>
  <c r="AD123" i="1"/>
  <c r="AI123" i="1" s="1"/>
  <c r="AJ97" i="1"/>
  <c r="AI97" i="1"/>
  <c r="AG97" i="1"/>
  <c r="AI75" i="1"/>
  <c r="AG75" i="1"/>
  <c r="AG101" i="1"/>
  <c r="AB195" i="1"/>
  <c r="Z195" i="1"/>
  <c r="AE97" i="1"/>
  <c r="AL97" i="1" s="1"/>
  <c r="AD97" i="1"/>
  <c r="AE130" i="1"/>
  <c r="AL130" i="1" s="1"/>
  <c r="AD130" i="1"/>
  <c r="AG156" i="1"/>
  <c r="AD142" i="1"/>
  <c r="AE142" i="1"/>
  <c r="AL142" i="1" s="1"/>
  <c r="AD78" i="1"/>
  <c r="AI78" i="1" s="1"/>
  <c r="AE78" i="1"/>
  <c r="AL78" i="1" s="1"/>
  <c r="AD129" i="1"/>
  <c r="AE129" i="1"/>
  <c r="AL129" i="1" s="1"/>
  <c r="AJ126" i="1"/>
  <c r="AE112" i="1"/>
  <c r="AL112" i="1" s="1"/>
  <c r="AD112" i="1"/>
  <c r="AI181" i="1"/>
  <c r="AG181" i="1"/>
  <c r="AI127" i="1"/>
  <c r="AG127" i="1"/>
  <c r="AB190" i="1"/>
  <c r="Z190" i="1"/>
  <c r="AD192" i="1"/>
  <c r="AE192" i="1"/>
  <c r="AL192" i="1" s="1"/>
  <c r="AD198" i="1"/>
  <c r="AE198" i="1"/>
  <c r="AL198" i="1" s="1"/>
  <c r="AJ236" i="1"/>
  <c r="AB216" i="1"/>
  <c r="Z216" i="1"/>
  <c r="AB150" i="1"/>
  <c r="Z150" i="1"/>
  <c r="AB105" i="1"/>
  <c r="Z105" i="1"/>
  <c r="AI176" i="1"/>
  <c r="AJ157" i="1"/>
  <c r="AD199" i="1"/>
  <c r="AE199" i="1"/>
  <c r="AL199" i="1" s="1"/>
  <c r="AH119" i="1"/>
  <c r="AK119" i="1"/>
  <c r="AD125" i="1"/>
  <c r="AI125" i="1" s="1"/>
  <c r="AE125" i="1"/>
  <c r="AL125" i="1" s="1"/>
  <c r="AJ107" i="1"/>
  <c r="AG107" i="1"/>
  <c r="AB224" i="1"/>
  <c r="Z224" i="1"/>
  <c r="AE147" i="1"/>
  <c r="AL147" i="1" s="1"/>
  <c r="AD147" i="1"/>
  <c r="AE81" i="1"/>
  <c r="AL81" i="1" s="1"/>
  <c r="AD81" i="1"/>
  <c r="AI81" i="1" s="1"/>
  <c r="AJ185" i="1"/>
  <c r="AE137" i="1"/>
  <c r="AL137" i="1" s="1"/>
  <c r="AD137" i="1"/>
  <c r="AB24" i="1"/>
  <c r="Z24" i="1"/>
  <c r="AJ111" i="1"/>
  <c r="AI111" i="1"/>
  <c r="AG111" i="1"/>
  <c r="AE12" i="1"/>
  <c r="AL12" i="1" s="1"/>
  <c r="AD12" i="1"/>
  <c r="AI12" i="1" s="1"/>
  <c r="AE212" i="1"/>
  <c r="AL212" i="1" s="1"/>
  <c r="AD212" i="1"/>
  <c r="AH124" i="1"/>
  <c r="AK124" i="1"/>
  <c r="AB221" i="1"/>
  <c r="Z221" i="1"/>
  <c r="AH116" i="1"/>
  <c r="AK116" i="1"/>
  <c r="AE75" i="1"/>
  <c r="AL75" i="1" s="1"/>
  <c r="AD75" i="1"/>
  <c r="AD101" i="1"/>
  <c r="AE101" i="1"/>
  <c r="AL101" i="1" s="1"/>
  <c r="AH136" i="1"/>
  <c r="AK136" i="1"/>
  <c r="AJ13" i="1"/>
  <c r="AI13" i="1"/>
  <c r="AG13" i="1"/>
  <c r="AB184" i="1"/>
  <c r="Z184" i="1"/>
  <c r="AB241" i="1"/>
  <c r="Z241" i="1"/>
  <c r="AH177" i="1"/>
  <c r="AK177" i="1"/>
  <c r="AB162" i="1"/>
  <c r="Z162" i="1"/>
  <c r="AH122" i="1"/>
  <c r="AK122" i="1"/>
  <c r="AI171" i="1"/>
  <c r="AJ171" i="1"/>
  <c r="AG171" i="1"/>
  <c r="AB99" i="1"/>
  <c r="Z99" i="1"/>
  <c r="AJ136" i="1"/>
  <c r="AG70" i="1"/>
  <c r="AJ222" i="1"/>
  <c r="AI222" i="1"/>
  <c r="AG222" i="1"/>
  <c r="AJ80" i="1"/>
  <c r="AI80" i="1"/>
  <c r="AG80" i="1"/>
  <c r="AJ177" i="1"/>
  <c r="AI135" i="1"/>
  <c r="AG135" i="1"/>
  <c r="AJ122" i="1"/>
  <c r="AI126" i="1"/>
  <c r="AI124" i="1"/>
  <c r="AB231" i="1"/>
  <c r="Z231" i="1"/>
  <c r="AB179" i="1"/>
  <c r="Z179" i="1"/>
  <c r="AE181" i="1"/>
  <c r="AL181" i="1" s="1"/>
  <c r="AD181" i="1"/>
  <c r="AE127" i="1"/>
  <c r="AL127" i="1" s="1"/>
  <c r="AD127" i="1"/>
  <c r="AI133" i="1"/>
  <c r="AJ133" i="1"/>
  <c r="AG133" i="1"/>
  <c r="AB229" i="1"/>
  <c r="Z229" i="1"/>
  <c r="AI69" i="1"/>
  <c r="AI134" i="1"/>
  <c r="AJ134" i="1"/>
  <c r="AG134" i="1"/>
  <c r="AI25" i="1"/>
  <c r="AJ25" i="1"/>
  <c r="AG25" i="1"/>
  <c r="AB114" i="1"/>
  <c r="Z114" i="1"/>
  <c r="AI141" i="1"/>
  <c r="AG141" i="1"/>
  <c r="AB91" i="1"/>
  <c r="Z91" i="1"/>
  <c r="AB77" i="1"/>
  <c r="Z77" i="1"/>
  <c r="AJ7" i="1"/>
  <c r="AI7" i="1"/>
  <c r="AG7" i="1"/>
  <c r="AJ140" i="1"/>
  <c r="AE107" i="1"/>
  <c r="AL107" i="1" s="1"/>
  <c r="AD107" i="1"/>
  <c r="AI107" i="1" s="1"/>
  <c r="AB103" i="1"/>
  <c r="Z103" i="1"/>
  <c r="AB213" i="1"/>
  <c r="Z213" i="1"/>
  <c r="AJ96" i="1"/>
  <c r="AI96" i="1"/>
  <c r="AG96" i="1"/>
  <c r="AB82" i="1"/>
  <c r="Z82" i="1"/>
  <c r="AI173" i="1"/>
  <c r="AG173" i="1"/>
  <c r="AH170" i="1"/>
  <c r="AK170" i="1"/>
  <c r="AG238" i="1" l="1"/>
  <c r="AG183" i="1"/>
  <c r="AH127" i="1"/>
  <c r="AK127" i="1"/>
  <c r="AE90" i="1"/>
  <c r="AL90" i="1" s="1"/>
  <c r="AD90" i="1"/>
  <c r="AG214" i="1"/>
  <c r="AJ15" i="1"/>
  <c r="AI15" i="1"/>
  <c r="AG15" i="1"/>
  <c r="AH101" i="1"/>
  <c r="AK101" i="1"/>
  <c r="AE221" i="1"/>
  <c r="AL221" i="1" s="1"/>
  <c r="AD221" i="1"/>
  <c r="AI216" i="1"/>
  <c r="AG216" i="1"/>
  <c r="AH192" i="1"/>
  <c r="AK192" i="1"/>
  <c r="AJ181" i="1"/>
  <c r="AE195" i="1"/>
  <c r="AL195" i="1" s="1"/>
  <c r="AD195" i="1"/>
  <c r="AJ75" i="1"/>
  <c r="AJ81" i="1"/>
  <c r="AJ112" i="1"/>
  <c r="AJ78" i="1"/>
  <c r="AG208" i="1"/>
  <c r="AG72" i="1"/>
  <c r="AH233" i="1"/>
  <c r="AK233" i="1"/>
  <c r="AH234" i="1"/>
  <c r="AK234" i="1"/>
  <c r="AG206" i="1"/>
  <c r="AH108" i="1"/>
  <c r="AK108" i="1"/>
  <c r="AJ123" i="1"/>
  <c r="AG74" i="1"/>
  <c r="AE26" i="1"/>
  <c r="AL26" i="1" s="1"/>
  <c r="AD26" i="1"/>
  <c r="AE146" i="1"/>
  <c r="AL146" i="1" s="1"/>
  <c r="AD146" i="1"/>
  <c r="AI146" i="1" s="1"/>
  <c r="AI233" i="1"/>
  <c r="AD187" i="1"/>
  <c r="AE187" i="1"/>
  <c r="AL187" i="1" s="1"/>
  <c r="AG104" i="1"/>
  <c r="AI210" i="1"/>
  <c r="AG210" i="1"/>
  <c r="AJ113" i="1"/>
  <c r="AH186" i="1"/>
  <c r="AK186" i="1"/>
  <c r="AH173" i="1"/>
  <c r="AK173" i="1"/>
  <c r="AE8" i="1"/>
  <c r="AL8" i="1" s="1"/>
  <c r="AD8" i="1"/>
  <c r="AI230" i="1"/>
  <c r="AG230" i="1"/>
  <c r="AD214" i="1"/>
  <c r="AE214" i="1"/>
  <c r="AL214" i="1" s="1"/>
  <c r="AE15" i="1"/>
  <c r="AL15" i="1" s="1"/>
  <c r="AD15" i="1"/>
  <c r="AI14" i="1"/>
  <c r="AJ14" i="1"/>
  <c r="AG14" i="1"/>
  <c r="AH182" i="1"/>
  <c r="AK182" i="1"/>
  <c r="AE184" i="1"/>
  <c r="AL184" i="1" s="1"/>
  <c r="AD184" i="1"/>
  <c r="AH129" i="1"/>
  <c r="AK129" i="1"/>
  <c r="AI129" i="1"/>
  <c r="AH85" i="1"/>
  <c r="AK85" i="1"/>
  <c r="AG6" i="1"/>
  <c r="AH88" i="1"/>
  <c r="AK88" i="1"/>
  <c r="AD180" i="1"/>
  <c r="AE180" i="1"/>
  <c r="AL180" i="1" s="1"/>
  <c r="AG150" i="1"/>
  <c r="AH203" i="1"/>
  <c r="AK203" i="1"/>
  <c r="AH102" i="1"/>
  <c r="AK102" i="1"/>
  <c r="AH141" i="1"/>
  <c r="AK141" i="1"/>
  <c r="AD117" i="1"/>
  <c r="AE117" i="1"/>
  <c r="AL117" i="1" s="1"/>
  <c r="AG213" i="1"/>
  <c r="AJ135" i="1"/>
  <c r="AH147" i="1"/>
  <c r="AK147" i="1"/>
  <c r="AJ195" i="1"/>
  <c r="AI195" i="1"/>
  <c r="AG195" i="1"/>
  <c r="AI203" i="1"/>
  <c r="AE229" i="1"/>
  <c r="AL229" i="1" s="1"/>
  <c r="AD229" i="1"/>
  <c r="AH137" i="1"/>
  <c r="AK137" i="1"/>
  <c r="AJ173" i="1"/>
  <c r="AG103" i="1"/>
  <c r="AI77" i="1"/>
  <c r="AG77" i="1"/>
  <c r="AE114" i="1"/>
  <c r="AL114" i="1" s="1"/>
  <c r="AD114" i="1"/>
  <c r="AD231" i="1"/>
  <c r="AE231" i="1"/>
  <c r="AL231" i="1" s="1"/>
  <c r="AD241" i="1"/>
  <c r="AE241" i="1"/>
  <c r="AL241" i="1" s="1"/>
  <c r="AH75" i="1"/>
  <c r="AK75" i="1"/>
  <c r="AH199" i="1"/>
  <c r="AK199" i="1"/>
  <c r="AE216" i="1"/>
  <c r="AL216" i="1" s="1"/>
  <c r="AD216" i="1"/>
  <c r="AJ190" i="1"/>
  <c r="AI190" i="1"/>
  <c r="AG190" i="1"/>
  <c r="AH112" i="1"/>
  <c r="AK112" i="1"/>
  <c r="AH142" i="1"/>
  <c r="AK142" i="1"/>
  <c r="AH130" i="1"/>
  <c r="AK130" i="1"/>
  <c r="AI137" i="1"/>
  <c r="AJ232" i="1"/>
  <c r="AG232" i="1"/>
  <c r="AJ125" i="1"/>
  <c r="AJ199" i="1"/>
  <c r="AH227" i="1"/>
  <c r="AK227" i="1"/>
  <c r="AI196" i="1"/>
  <c r="AJ196" i="1"/>
  <c r="AG196" i="1"/>
  <c r="AI192" i="1"/>
  <c r="AI112" i="1"/>
  <c r="AD208" i="1"/>
  <c r="AE208" i="1"/>
  <c r="AL208" i="1" s="1"/>
  <c r="AJ10" i="1"/>
  <c r="AI10" i="1"/>
  <c r="AG10" i="1"/>
  <c r="AG11" i="1"/>
  <c r="AE72" i="1"/>
  <c r="AL72" i="1" s="1"/>
  <c r="AD72" i="1"/>
  <c r="AH2" i="1"/>
  <c r="AK2" i="1"/>
  <c r="AN9" i="1" s="1"/>
  <c r="AE206" i="1"/>
  <c r="AL206" i="1" s="1"/>
  <c r="AD206" i="1"/>
  <c r="AI206" i="1" s="1"/>
  <c r="AG86" i="1"/>
  <c r="AJ225" i="1"/>
  <c r="AH211" i="1"/>
  <c r="AK211" i="1"/>
  <c r="AE74" i="1"/>
  <c r="AL74" i="1" s="1"/>
  <c r="AD74" i="1"/>
  <c r="AI74" i="1" s="1"/>
  <c r="AJ233" i="1"/>
  <c r="AG20" i="1"/>
  <c r="AJ102" i="1"/>
  <c r="AJ108" i="1"/>
  <c r="AI202" i="1"/>
  <c r="AG202" i="1"/>
  <c r="AD104" i="1"/>
  <c r="AE104" i="1"/>
  <c r="AL104" i="1" s="1"/>
  <c r="AD210" i="1"/>
  <c r="AE210" i="1"/>
  <c r="AL210" i="1" s="1"/>
  <c r="AH207" i="1"/>
  <c r="AK207" i="1"/>
  <c r="AJ200" i="1"/>
  <c r="AH7" i="1"/>
  <c r="AK7" i="1"/>
  <c r="AE230" i="1"/>
  <c r="AL230" i="1" s="1"/>
  <c r="AD230" i="1"/>
  <c r="AH80" i="1"/>
  <c r="AK80" i="1"/>
  <c r="AH171" i="1"/>
  <c r="AK171" i="1"/>
  <c r="AE14" i="1"/>
  <c r="AL14" i="1" s="1"/>
  <c r="AD14" i="1"/>
  <c r="AJ239" i="1"/>
  <c r="AI239" i="1"/>
  <c r="AG239" i="1"/>
  <c r="AD162" i="1"/>
  <c r="AI162" i="1" s="1"/>
  <c r="AE162" i="1"/>
  <c r="AL162" i="1" s="1"/>
  <c r="AH81" i="1"/>
  <c r="AK81" i="1"/>
  <c r="AD105" i="1"/>
  <c r="AE105" i="1"/>
  <c r="AL105" i="1" s="1"/>
  <c r="AH168" i="1"/>
  <c r="AK168" i="1"/>
  <c r="AI85" i="1"/>
  <c r="AH220" i="1"/>
  <c r="AK220" i="1"/>
  <c r="AH96" i="1"/>
  <c r="AK96" i="1"/>
  <c r="AJ117" i="1"/>
  <c r="AI117" i="1"/>
  <c r="AG117" i="1"/>
  <c r="AJ179" i="1"/>
  <c r="AI179" i="1"/>
  <c r="AG179" i="1"/>
  <c r="AG24" i="1"/>
  <c r="AH198" i="1"/>
  <c r="AK198" i="1"/>
  <c r="AH178" i="1"/>
  <c r="AK178" i="1"/>
  <c r="AG167" i="1"/>
  <c r="AH135" i="1"/>
  <c r="AK135" i="1"/>
  <c r="AD183" i="1"/>
  <c r="AI183" i="1" s="1"/>
  <c r="AE183" i="1"/>
  <c r="AL183" i="1" s="1"/>
  <c r="AI229" i="1"/>
  <c r="AG229" i="1"/>
  <c r="AH113" i="1"/>
  <c r="AK113" i="1"/>
  <c r="AD110" i="1"/>
  <c r="AE110" i="1"/>
  <c r="AL110" i="1" s="1"/>
  <c r="AI187" i="1"/>
  <c r="AJ187" i="1"/>
  <c r="AG187" i="1"/>
  <c r="AI114" i="1"/>
  <c r="AJ114" i="1"/>
  <c r="AG114" i="1"/>
  <c r="AJ231" i="1"/>
  <c r="AI231" i="1"/>
  <c r="AG231" i="1"/>
  <c r="AE77" i="1"/>
  <c r="AL77" i="1" s="1"/>
  <c r="AD77" i="1"/>
  <c r="AE190" i="1"/>
  <c r="AL190" i="1" s="1"/>
  <c r="AD190" i="1"/>
  <c r="AI101" i="1"/>
  <c r="AH123" i="1"/>
  <c r="AK123" i="1"/>
  <c r="AH71" i="1"/>
  <c r="AK71" i="1"/>
  <c r="AG98" i="1"/>
  <c r="AD232" i="1"/>
  <c r="AE232" i="1"/>
  <c r="AL232" i="1" s="1"/>
  <c r="AI191" i="1"/>
  <c r="AG191" i="1"/>
  <c r="AI199" i="1"/>
  <c r="AD196" i="1"/>
  <c r="AE196" i="1"/>
  <c r="AL196" i="1" s="1"/>
  <c r="AJ192" i="1"/>
  <c r="AG95" i="1"/>
  <c r="AH111" i="1"/>
  <c r="AK111" i="1"/>
  <c r="AE10" i="1"/>
  <c r="AL10" i="1" s="1"/>
  <c r="AD10" i="1"/>
  <c r="AE11" i="1"/>
  <c r="AL11" i="1" s="1"/>
  <c r="AD11" i="1"/>
  <c r="AH159" i="1"/>
  <c r="AK159" i="1"/>
  <c r="AH22" i="1"/>
  <c r="AK22" i="1"/>
  <c r="AH197" i="1"/>
  <c r="AK197" i="1"/>
  <c r="AH152" i="1"/>
  <c r="AK152" i="1"/>
  <c r="AD86" i="1"/>
  <c r="AI86" i="1" s="1"/>
  <c r="AE86" i="1"/>
  <c r="AL86" i="1" s="1"/>
  <c r="AG143" i="1"/>
  <c r="AI132" i="1"/>
  <c r="AG132" i="1"/>
  <c r="AJ159" i="1"/>
  <c r="AH94" i="1"/>
  <c r="AK94" i="1"/>
  <c r="AJ2" i="1"/>
  <c r="AE20" i="1"/>
  <c r="AL20" i="1" s="1"/>
  <c r="AD20" i="1"/>
  <c r="AI20" i="1" s="1"/>
  <c r="AG4" i="1"/>
  <c r="AI108" i="1"/>
  <c r="AE202" i="1"/>
  <c r="AL202" i="1" s="1"/>
  <c r="AD202" i="1"/>
  <c r="AJ94" i="1"/>
  <c r="AH218" i="1"/>
  <c r="AK218" i="1"/>
  <c r="AH138" i="1"/>
  <c r="AK138" i="1"/>
  <c r="AJ194" i="1"/>
  <c r="AJ84" i="1"/>
  <c r="AD239" i="1"/>
  <c r="AE239" i="1"/>
  <c r="AL239" i="1" s="1"/>
  <c r="AG99" i="1"/>
  <c r="AH12" i="1"/>
  <c r="AK12" i="1"/>
  <c r="AJ198" i="1"/>
  <c r="AG154" i="1"/>
  <c r="AG163" i="1"/>
  <c r="AJ19" i="1"/>
  <c r="AH70" i="1"/>
  <c r="AK70" i="1"/>
  <c r="AH193" i="1"/>
  <c r="AK193" i="1"/>
  <c r="AJ228" i="1"/>
  <c r="AI228" i="1"/>
  <c r="AG228" i="1"/>
  <c r="AJ203" i="1"/>
  <c r="AD154" i="1"/>
  <c r="AE154" i="1"/>
  <c r="AL154" i="1" s="1"/>
  <c r="AH19" i="1"/>
  <c r="AK19" i="1"/>
  <c r="AH217" i="1"/>
  <c r="AK217" i="1"/>
  <c r="AJ90" i="1"/>
  <c r="AI90" i="1"/>
  <c r="AG90" i="1"/>
  <c r="AJ12" i="1"/>
  <c r="AJ141" i="1"/>
  <c r="AD179" i="1"/>
  <c r="AE179" i="1"/>
  <c r="AL179" i="1" s="1"/>
  <c r="AI221" i="1"/>
  <c r="AJ221" i="1"/>
  <c r="AG221" i="1"/>
  <c r="AH78" i="1"/>
  <c r="AK78" i="1"/>
  <c r="AE228" i="1"/>
  <c r="AL228" i="1" s="1"/>
  <c r="AD228" i="1"/>
  <c r="AG146" i="1"/>
  <c r="AD213" i="1"/>
  <c r="AE213" i="1"/>
  <c r="AL213" i="1" s="1"/>
  <c r="AE103" i="1"/>
  <c r="AL103" i="1" s="1"/>
  <c r="AD103" i="1"/>
  <c r="AI103" i="1" s="1"/>
  <c r="AE82" i="1"/>
  <c r="AL82" i="1" s="1"/>
  <c r="AD82" i="1"/>
  <c r="AG91" i="1"/>
  <c r="AJ70" i="1"/>
  <c r="AH212" i="1"/>
  <c r="AK212" i="1"/>
  <c r="AG224" i="1"/>
  <c r="AH125" i="1"/>
  <c r="AK125" i="1"/>
  <c r="AH97" i="1"/>
  <c r="AK97" i="1"/>
  <c r="AJ101" i="1"/>
  <c r="AE98" i="1"/>
  <c r="AL98" i="1" s="1"/>
  <c r="AD98" i="1"/>
  <c r="AJ147" i="1"/>
  <c r="AD191" i="1"/>
  <c r="AE191" i="1"/>
  <c r="AL191" i="1" s="1"/>
  <c r="AI175" i="1"/>
  <c r="AG175" i="1"/>
  <c r="AH161" i="1"/>
  <c r="AK161" i="1"/>
  <c r="AD95" i="1"/>
  <c r="AI95" i="1" s="1"/>
  <c r="AE95" i="1"/>
  <c r="AL95" i="1" s="1"/>
  <c r="AJ68" i="1"/>
  <c r="AG68" i="1"/>
  <c r="AH109" i="1"/>
  <c r="AK109" i="1"/>
  <c r="AI161" i="1"/>
  <c r="AG215" i="1"/>
  <c r="AD143" i="1"/>
  <c r="AE143" i="1"/>
  <c r="AL143" i="1" s="1"/>
  <c r="AD132" i="1"/>
  <c r="AE132" i="1"/>
  <c r="AL132" i="1" s="1"/>
  <c r="AI159" i="1"/>
  <c r="AI188" i="1"/>
  <c r="AJ188" i="1"/>
  <c r="AG188" i="1"/>
  <c r="AI155" i="1"/>
  <c r="AG155" i="1"/>
  <c r="AI22" i="1"/>
  <c r="AI2" i="1"/>
  <c r="AJ109" i="1"/>
  <c r="AI178" i="1"/>
  <c r="AD4" i="1"/>
  <c r="AE4" i="1"/>
  <c r="AL4" i="1" s="1"/>
  <c r="AG121" i="1"/>
  <c r="AI186" i="1"/>
  <c r="AH165" i="1"/>
  <c r="AK165" i="1"/>
  <c r="AI217" i="1"/>
  <c r="AJ182" i="1"/>
  <c r="AG89" i="1"/>
  <c r="AJ79" i="1"/>
  <c r="AI212" i="1"/>
  <c r="AH25" i="1"/>
  <c r="AK25" i="1"/>
  <c r="AH134" i="1"/>
  <c r="AK134" i="1"/>
  <c r="AH133" i="1"/>
  <c r="AK133" i="1"/>
  <c r="AH13" i="1"/>
  <c r="AK13" i="1"/>
  <c r="AH160" i="1"/>
  <c r="AK160" i="1"/>
  <c r="AI218" i="1"/>
  <c r="AG100" i="1"/>
  <c r="AJ9" i="1"/>
  <c r="AI9" i="1"/>
  <c r="AG9" i="1"/>
  <c r="AH79" i="1"/>
  <c r="AK79" i="1"/>
  <c r="AE237" i="1"/>
  <c r="AL237" i="1" s="1"/>
  <c r="AD237" i="1"/>
  <c r="AE226" i="1"/>
  <c r="AL226" i="1" s="1"/>
  <c r="AD226" i="1"/>
  <c r="AJ240" i="1"/>
  <c r="AI240" i="1"/>
  <c r="AG240" i="1"/>
  <c r="AE99" i="1"/>
  <c r="AL99" i="1" s="1"/>
  <c r="AD99" i="1"/>
  <c r="AI99" i="1" s="1"/>
  <c r="AD9" i="1"/>
  <c r="AE9" i="1"/>
  <c r="AL9" i="1" s="1"/>
  <c r="AE238" i="1"/>
  <c r="AL238" i="1" s="1"/>
  <c r="AD238" i="1"/>
  <c r="AJ110" i="1"/>
  <c r="AI110" i="1"/>
  <c r="AG110" i="1"/>
  <c r="AE6" i="1"/>
  <c r="AL6" i="1" s="1"/>
  <c r="AD6" i="1"/>
  <c r="AI6" i="1" s="1"/>
  <c r="AH84" i="1"/>
  <c r="AK84" i="1"/>
  <c r="AE163" i="1"/>
  <c r="AL163" i="1" s="1"/>
  <c r="AD163" i="1"/>
  <c r="AI204" i="1"/>
  <c r="AJ204" i="1"/>
  <c r="AG204" i="1"/>
  <c r="AE240" i="1"/>
  <c r="AL240" i="1" s="1"/>
  <c r="AD240" i="1"/>
  <c r="AE24" i="1"/>
  <c r="AL24" i="1" s="1"/>
  <c r="AD24" i="1"/>
  <c r="AD150" i="1"/>
  <c r="AE150" i="1"/>
  <c r="AL150" i="1" s="1"/>
  <c r="AH156" i="1"/>
  <c r="AK156" i="1"/>
  <c r="AH194" i="1"/>
  <c r="AK194" i="1"/>
  <c r="AJ26" i="1"/>
  <c r="AI26" i="1"/>
  <c r="AG26" i="1"/>
  <c r="AD167" i="1"/>
  <c r="AE167" i="1"/>
  <c r="AL167" i="1" s="1"/>
  <c r="AD204" i="1"/>
  <c r="AE204" i="1"/>
  <c r="AL204" i="1" s="1"/>
  <c r="AG8" i="1"/>
  <c r="AI241" i="1"/>
  <c r="AG241" i="1"/>
  <c r="AI82" i="1"/>
  <c r="AJ82" i="1"/>
  <c r="AG82" i="1"/>
  <c r="AH107" i="1"/>
  <c r="AK107" i="1"/>
  <c r="AE91" i="1"/>
  <c r="AL91" i="1" s="1"/>
  <c r="AD91" i="1"/>
  <c r="AH181" i="1"/>
  <c r="AK181" i="1"/>
  <c r="AG162" i="1"/>
  <c r="AI184" i="1"/>
  <c r="AJ184" i="1"/>
  <c r="AG184" i="1"/>
  <c r="AE224" i="1"/>
  <c r="AL224" i="1" s="1"/>
  <c r="AD224" i="1"/>
  <c r="AI224" i="1" s="1"/>
  <c r="AI105" i="1"/>
  <c r="AJ105" i="1"/>
  <c r="AG105" i="1"/>
  <c r="AJ127" i="1"/>
  <c r="AJ156" i="1"/>
  <c r="AH225" i="1"/>
  <c r="AK225" i="1"/>
  <c r="AI147" i="1"/>
  <c r="AI198" i="1"/>
  <c r="AE175" i="1"/>
  <c r="AL175" i="1" s="1"/>
  <c r="AD175" i="1"/>
  <c r="AJ130" i="1"/>
  <c r="AH169" i="1"/>
  <c r="AK169" i="1"/>
  <c r="AD68" i="1"/>
  <c r="AE68" i="1"/>
  <c r="AL68" i="1" s="1"/>
  <c r="AJ237" i="1"/>
  <c r="AI237" i="1"/>
  <c r="AG237" i="1"/>
  <c r="AJ161" i="1"/>
  <c r="AE215" i="1"/>
  <c r="AL215" i="1" s="1"/>
  <c r="AD215" i="1"/>
  <c r="AH158" i="1"/>
  <c r="AK158" i="1"/>
  <c r="AI88" i="1"/>
  <c r="AJ169" i="1"/>
  <c r="AD188" i="1"/>
  <c r="AE188" i="1"/>
  <c r="AL188" i="1" s="1"/>
  <c r="AD155" i="1"/>
  <c r="AE155" i="1"/>
  <c r="AL155" i="1" s="1"/>
  <c r="AJ22" i="1"/>
  <c r="AJ178" i="1"/>
  <c r="AH200" i="1"/>
  <c r="AK200" i="1"/>
  <c r="AD121" i="1"/>
  <c r="AE121" i="1"/>
  <c r="AL121" i="1" s="1"/>
  <c r="AJ186" i="1"/>
  <c r="AJ226" i="1"/>
  <c r="AI226" i="1"/>
  <c r="AG226" i="1"/>
  <c r="AJ217" i="1"/>
  <c r="AI19" i="1"/>
  <c r="AJ180" i="1"/>
  <c r="AG180" i="1"/>
  <c r="AE89" i="1"/>
  <c r="AL89" i="1" s="1"/>
  <c r="AD89" i="1"/>
  <c r="AJ212" i="1"/>
  <c r="AH222" i="1"/>
  <c r="AK222" i="1"/>
  <c r="AJ218" i="1"/>
  <c r="AE100" i="1"/>
  <c r="AL100" i="1" s="1"/>
  <c r="AD100" i="1"/>
  <c r="AH215" i="1" l="1"/>
  <c r="AK215" i="1"/>
  <c r="AH167" i="1"/>
  <c r="AK167" i="1"/>
  <c r="AJ241" i="1"/>
  <c r="AH191" i="1"/>
  <c r="AK191" i="1"/>
  <c r="AJ191" i="1"/>
  <c r="AJ213" i="1"/>
  <c r="AH15" i="1"/>
  <c r="AK15" i="1"/>
  <c r="AH180" i="1"/>
  <c r="AK180" i="1"/>
  <c r="AH91" i="1"/>
  <c r="AK91" i="1"/>
  <c r="AH4" i="1"/>
  <c r="AK4" i="1"/>
  <c r="AH213" i="1"/>
  <c r="AK213" i="1"/>
  <c r="AH100" i="1"/>
  <c r="AK100" i="1"/>
  <c r="AH163" i="1"/>
  <c r="AK163" i="1"/>
  <c r="AH24" i="1"/>
  <c r="AK24" i="1"/>
  <c r="AJ91" i="1"/>
  <c r="AJ163" i="1"/>
  <c r="AI4" i="1"/>
  <c r="AH11" i="1"/>
  <c r="AK11" i="1"/>
  <c r="AH110" i="1"/>
  <c r="AK110" i="1"/>
  <c r="AH230" i="1"/>
  <c r="AK230" i="1"/>
  <c r="AH210" i="1"/>
  <c r="AK210" i="1"/>
  <c r="AH72" i="1"/>
  <c r="AK72" i="1"/>
  <c r="AH216" i="1"/>
  <c r="AK216" i="1"/>
  <c r="AJ103" i="1"/>
  <c r="AI213" i="1"/>
  <c r="AH184" i="1"/>
  <c r="AK184" i="1"/>
  <c r="AH26" i="1"/>
  <c r="AK26" i="1"/>
  <c r="AI72" i="1"/>
  <c r="AJ216" i="1"/>
  <c r="AH143" i="1"/>
  <c r="AK143" i="1"/>
  <c r="AJ77" i="1"/>
  <c r="AH8" i="1"/>
  <c r="AK8" i="1"/>
  <c r="AJ210" i="1"/>
  <c r="AH238" i="1"/>
  <c r="AK238" i="1"/>
  <c r="AH226" i="1"/>
  <c r="AK226" i="1"/>
  <c r="AH98" i="1"/>
  <c r="AK98" i="1"/>
  <c r="AH82" i="1"/>
  <c r="AK82" i="1"/>
  <c r="AJ146" i="1"/>
  <c r="AI163" i="1"/>
  <c r="AJ4" i="1"/>
  <c r="AH232" i="1"/>
  <c r="AK232" i="1"/>
  <c r="AH208" i="1"/>
  <c r="AK208" i="1"/>
  <c r="AH231" i="1"/>
  <c r="AK231" i="1"/>
  <c r="AJ6" i="1"/>
  <c r="AJ104" i="1"/>
  <c r="AJ72" i="1"/>
  <c r="AH195" i="1"/>
  <c r="AK195" i="1"/>
  <c r="AH221" i="1"/>
  <c r="AK221" i="1"/>
  <c r="AJ214" i="1"/>
  <c r="AJ183" i="1"/>
  <c r="AH68" i="1"/>
  <c r="AK68" i="1"/>
  <c r="AH154" i="1"/>
  <c r="AK154" i="1"/>
  <c r="AI143" i="1"/>
  <c r="AH229" i="1"/>
  <c r="AK229" i="1"/>
  <c r="AH150" i="1"/>
  <c r="AK150" i="1"/>
  <c r="AI215" i="1"/>
  <c r="AI91" i="1"/>
  <c r="AJ215" i="1"/>
  <c r="AI180" i="1"/>
  <c r="AH175" i="1"/>
  <c r="AK175" i="1"/>
  <c r="AH240" i="1"/>
  <c r="AK240" i="1"/>
  <c r="AJ224" i="1"/>
  <c r="AH228" i="1"/>
  <c r="AK228" i="1"/>
  <c r="AH179" i="1"/>
  <c r="AK179" i="1"/>
  <c r="AJ99" i="1"/>
  <c r="AH20" i="1"/>
  <c r="AK20" i="1"/>
  <c r="AJ132" i="1"/>
  <c r="AH10" i="1"/>
  <c r="AK10" i="1"/>
  <c r="AH190" i="1"/>
  <c r="AK190" i="1"/>
  <c r="AJ24" i="1"/>
  <c r="AH105" i="1"/>
  <c r="AK105" i="1"/>
  <c r="AH14" i="1"/>
  <c r="AK14" i="1"/>
  <c r="AH104" i="1"/>
  <c r="AK104" i="1"/>
  <c r="AJ20" i="1"/>
  <c r="AH114" i="1"/>
  <c r="AK114" i="1"/>
  <c r="AH117" i="1"/>
  <c r="AK117" i="1"/>
  <c r="AI150" i="1"/>
  <c r="AH214" i="1"/>
  <c r="AK214" i="1"/>
  <c r="AI104" i="1"/>
  <c r="AJ206" i="1"/>
  <c r="AI214" i="1"/>
  <c r="AH86" i="1"/>
  <c r="AK86" i="1"/>
  <c r="AH183" i="1"/>
  <c r="AK183" i="1"/>
  <c r="AH241" i="1"/>
  <c r="AK241" i="1"/>
  <c r="AH95" i="1"/>
  <c r="AK95" i="1"/>
  <c r="AH121" i="1"/>
  <c r="AK121" i="1"/>
  <c r="AI8" i="1"/>
  <c r="AJ8" i="1"/>
  <c r="AJ162" i="1"/>
  <c r="AH6" i="1"/>
  <c r="AK6" i="1"/>
  <c r="AH9" i="1"/>
  <c r="AK9" i="1"/>
  <c r="AH237" i="1"/>
  <c r="AK237" i="1"/>
  <c r="AI100" i="1"/>
  <c r="AJ89" i="1"/>
  <c r="AJ121" i="1"/>
  <c r="AH132" i="1"/>
  <c r="AK132" i="1"/>
  <c r="AH103" i="1"/>
  <c r="AK103" i="1"/>
  <c r="AI154" i="1"/>
  <c r="AH196" i="1"/>
  <c r="AK196" i="1"/>
  <c r="AI98" i="1"/>
  <c r="AJ167" i="1"/>
  <c r="AI24" i="1"/>
  <c r="AJ86" i="1"/>
  <c r="AI11" i="1"/>
  <c r="AJ150" i="1"/>
  <c r="AJ208" i="1"/>
  <c r="AH90" i="1"/>
  <c r="AK90" i="1"/>
  <c r="AJ238" i="1"/>
  <c r="AH89" i="1"/>
  <c r="AK89" i="1"/>
  <c r="AI68" i="1"/>
  <c r="AH162" i="1"/>
  <c r="AK162" i="1"/>
  <c r="AH146" i="1"/>
  <c r="AK146" i="1"/>
  <c r="AH155" i="1"/>
  <c r="AK155" i="1"/>
  <c r="AJ95" i="1"/>
  <c r="AH188" i="1"/>
  <c r="AK188" i="1"/>
  <c r="AH224" i="1"/>
  <c r="AK224" i="1"/>
  <c r="AH204" i="1"/>
  <c r="AK204" i="1"/>
  <c r="AH99" i="1"/>
  <c r="AK99" i="1"/>
  <c r="AJ100" i="1"/>
  <c r="AI89" i="1"/>
  <c r="AI121" i="1"/>
  <c r="AJ155" i="1"/>
  <c r="AJ175" i="1"/>
  <c r="AJ154" i="1"/>
  <c r="AH239" i="1"/>
  <c r="AK239" i="1"/>
  <c r="AH202" i="1"/>
  <c r="AK202" i="1"/>
  <c r="AJ143" i="1"/>
  <c r="AJ98" i="1"/>
  <c r="AH77" i="1"/>
  <c r="AK77" i="1"/>
  <c r="AJ229" i="1"/>
  <c r="AI167" i="1"/>
  <c r="AJ202" i="1"/>
  <c r="AH74" i="1"/>
  <c r="AK74" i="1"/>
  <c r="AH206" i="1"/>
  <c r="AK206" i="1"/>
  <c r="AJ11" i="1"/>
  <c r="AI232" i="1"/>
  <c r="AJ230" i="1"/>
  <c r="AH187" i="1"/>
  <c r="AK187" i="1"/>
  <c r="AJ74" i="1"/>
  <c r="AI208" i="1"/>
  <c r="AI238" i="1"/>
</calcChain>
</file>

<file path=xl/sharedStrings.xml><?xml version="1.0" encoding="utf-8"?>
<sst xmlns="http://schemas.openxmlformats.org/spreadsheetml/2006/main" count="137" uniqueCount="45">
  <si>
    <t>Exp</t>
  </si>
  <si>
    <t>Site</t>
  </si>
  <si>
    <t>Hole</t>
  </si>
  <si>
    <t>Core</t>
  </si>
  <si>
    <t>Type</t>
  </si>
  <si>
    <t>Section</t>
  </si>
  <si>
    <t>Sample Top, cm</t>
  </si>
  <si>
    <t>Sample Bottom, cm</t>
  </si>
  <si>
    <t>Combined id</t>
  </si>
  <si>
    <t>Sample Label</t>
  </si>
  <si>
    <t>Sample Top Depth, mbsf</t>
  </si>
  <si>
    <t>Sample Bot Depth, mbsf</t>
  </si>
  <si>
    <t>Beaker Number</t>
  </si>
  <si>
    <t>Beaker Weight,         g</t>
  </si>
  <si>
    <r>
      <rPr>
        <sz val="9"/>
        <color theme="1"/>
        <rFont val="Calibri"/>
        <family val="2"/>
        <charset val="1"/>
      </rPr>
      <t xml:space="preserve">OVEN             Date/Time                    </t>
    </r>
    <r>
      <rPr>
        <b/>
        <sz val="9"/>
        <color theme="1"/>
        <rFont val="Calibri"/>
        <family val="2"/>
        <charset val="1"/>
      </rPr>
      <t>IN</t>
    </r>
  </si>
  <si>
    <t>Scientist</t>
  </si>
  <si>
    <t>Pycnometer Cell</t>
  </si>
  <si>
    <t>DRY Volume, cc</t>
  </si>
  <si>
    <t>WEIGHT   WET Sample, g</t>
  </si>
  <si>
    <t>WEIGHT     DRY Sample,  g</t>
  </si>
  <si>
    <t>WEIGHT Pore Water, g</t>
  </si>
  <si>
    <t>WEIGHT Salt,                g</t>
  </si>
  <si>
    <t xml:space="preserve">WEIGHT Grains,               g </t>
  </si>
  <si>
    <t>VOLUME Pore Water, cc</t>
  </si>
  <si>
    <t>VOLUME Salt,                           cc</t>
  </si>
  <si>
    <t>VOLUME   Dry Sample, cc</t>
  </si>
  <si>
    <t>VOLUME   Wet Sample, cc</t>
  </si>
  <si>
    <t>VOLUME        Grains,          cc</t>
  </si>
  <si>
    <t>Water Content,   (wet) v/v</t>
  </si>
  <si>
    <t>Water Content (dry), v/v</t>
  </si>
  <si>
    <t>Bulk Density, g/cc</t>
  </si>
  <si>
    <t>Dry Density, g/cc</t>
  </si>
  <si>
    <t>Grain Density, g/cc</t>
  </si>
  <si>
    <t>Porosity,   v/v</t>
  </si>
  <si>
    <t>Void Ratio, v/v</t>
  </si>
  <si>
    <t>M0111</t>
  </si>
  <si>
    <t>A</t>
  </si>
  <si>
    <t>H</t>
  </si>
  <si>
    <t xml:space="preserve">Shintani </t>
  </si>
  <si>
    <t>MS</t>
  </si>
  <si>
    <t>X</t>
  </si>
  <si>
    <t>R</t>
  </si>
  <si>
    <t>TS</t>
  </si>
  <si>
    <r>
      <t>WET</t>
    </r>
    <r>
      <rPr>
        <sz val="9"/>
        <color theme="1"/>
        <rFont val="Calibri"/>
        <family val="2"/>
        <charset val="1"/>
      </rPr>
      <t xml:space="preserve"> Weight (Sample + Beaker), g </t>
    </r>
  </si>
  <si>
    <r>
      <t>DRY</t>
    </r>
    <r>
      <rPr>
        <sz val="9"/>
        <color theme="1"/>
        <rFont val="Calibri"/>
        <family val="2"/>
        <charset val="1"/>
      </rPr>
      <t xml:space="preserve"> Weight (Sample + Beaker), 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</si>
</sst>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0"/>
    <numFmt numFmtId="166" formatCode="#,##0.0000"/>
    <numFmt numFmtId="167" formatCode="0.0"/>
  </numFmts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79989013336588644"/>
        <bgColor rgb="FFEDEDED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8" tint="0.79989013336588644"/>
        <bgColor rgb="FFEDEDED"/>
      </patternFill>
    </fill>
    <fill>
      <patternFill patternType="solid">
        <fgColor theme="3" tint="0.79989013336588644"/>
        <bgColor rgb="FFDE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22" fontId="6" fillId="0" borderId="1" xfId="0" applyNumberFormat="1" applyFont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taff/home/a/am1422/My%20Documents/ESO%20Files/New%20England%20Hydrogeology/Onshore%20Operations/Work%20Stations/MAD/X501-MAD-Input+Calculations%20Spreadsheet.xlsx" TargetMode="External"/><Relationship Id="rId2" Type="http://schemas.microsoft.com/office/2019/04/relationships/externalLinkLongPath" Target="/e255fabf6a46c9b0/Desktop/Work%20stuff/SURF%202026/staff/home/a/am1422/My%20Documents/ESO%20Files/New%20England%20Hydrogeology/Onshore%20Operations/Work%20Stations/MAD/X501-MAD-Input+Calculations%20Spreadsheet.xlsx?275FA62C" TargetMode="External"/><Relationship Id="rId1" Type="http://schemas.openxmlformats.org/officeDocument/2006/relationships/externalLinkPath" Target="file:///\\275FA62C\X501-MAD-Input+Calculations%20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AD"/>
      <sheetName val="STD"/>
      <sheetName val="Depth vlookup"/>
      <sheetName val="Beakers"/>
      <sheetName val="Sample List"/>
      <sheetName val="PRINT"/>
    </sheetNames>
    <sheetDataSet>
      <sheetData sheetId="0" refreshError="1"/>
      <sheetData sheetId="1" refreshError="1"/>
      <sheetData sheetId="2" refreshError="1">
        <row r="2">
          <cell r="G2" t="str">
            <v>M0111-A-1-1</v>
          </cell>
          <cell r="H2">
            <v>0</v>
          </cell>
          <cell r="I2">
            <v>1.5</v>
          </cell>
        </row>
        <row r="3">
          <cell r="G3" t="str">
            <v>M0111-A-1-2</v>
          </cell>
          <cell r="H3">
            <v>1.5</v>
          </cell>
          <cell r="I3">
            <v>2.9</v>
          </cell>
        </row>
        <row r="4">
          <cell r="G4" t="str">
            <v>M0111-A-2-1</v>
          </cell>
          <cell r="H4">
            <v>2.4</v>
          </cell>
          <cell r="I4">
            <v>3.91</v>
          </cell>
        </row>
        <row r="5">
          <cell r="G5" t="str">
            <v>M0111-A-2-2</v>
          </cell>
          <cell r="H5">
            <v>3.91</v>
          </cell>
          <cell r="I5">
            <v>4.99</v>
          </cell>
        </row>
        <row r="6">
          <cell r="G6" t="str">
            <v>M0111-A-3-1</v>
          </cell>
          <cell r="H6">
            <v>4.46</v>
          </cell>
          <cell r="I6">
            <v>5.97</v>
          </cell>
        </row>
        <row r="7">
          <cell r="G7" t="str">
            <v>M0111-A-3-2</v>
          </cell>
          <cell r="H7">
            <v>5.97</v>
          </cell>
          <cell r="I7">
            <v>7.1</v>
          </cell>
        </row>
        <row r="8">
          <cell r="G8" t="str">
            <v>M0111-A-4-1</v>
          </cell>
          <cell r="H8">
            <v>6.89</v>
          </cell>
          <cell r="I8">
            <v>8.4</v>
          </cell>
        </row>
        <row r="9">
          <cell r="G9" t="str">
            <v>M0111-A-4-2</v>
          </cell>
          <cell r="H9">
            <v>8.4</v>
          </cell>
          <cell r="I9">
            <v>9.6</v>
          </cell>
        </row>
        <row r="10">
          <cell r="G10" t="str">
            <v>M0111-A-5-1</v>
          </cell>
          <cell r="H10">
            <v>9.6</v>
          </cell>
          <cell r="I10">
            <v>11.1</v>
          </cell>
        </row>
        <row r="11">
          <cell r="G11" t="str">
            <v>M0111-A-5-2</v>
          </cell>
          <cell r="H11">
            <v>11.1</v>
          </cell>
          <cell r="I11">
            <v>12.05</v>
          </cell>
        </row>
        <row r="12">
          <cell r="G12" t="str">
            <v>M0111-A-6-1</v>
          </cell>
          <cell r="H12">
            <v>11.7</v>
          </cell>
          <cell r="I12">
            <v>13.2</v>
          </cell>
        </row>
        <row r="13">
          <cell r="G13" t="str">
            <v>M0111-A-6-2</v>
          </cell>
          <cell r="H13">
            <v>13.2</v>
          </cell>
          <cell r="I13">
            <v>13.94</v>
          </cell>
        </row>
        <row r="14">
          <cell r="G14" t="str">
            <v>M0111-A-7-1</v>
          </cell>
          <cell r="H14">
            <v>13.94</v>
          </cell>
          <cell r="I14">
            <v>14.17</v>
          </cell>
        </row>
        <row r="15">
          <cell r="G15" t="str">
            <v>M0111-A-8-1</v>
          </cell>
          <cell r="H15">
            <v>14.77</v>
          </cell>
          <cell r="I15">
            <v>14.77</v>
          </cell>
        </row>
        <row r="16">
          <cell r="G16" t="str">
            <v>M0111-A-9-1</v>
          </cell>
          <cell r="H16">
            <v>14.77</v>
          </cell>
          <cell r="I16">
            <v>15.05</v>
          </cell>
        </row>
        <row r="17">
          <cell r="G17" t="str">
            <v>M0111-A-10-1</v>
          </cell>
          <cell r="H17">
            <v>15.21</v>
          </cell>
          <cell r="I17">
            <v>16.54</v>
          </cell>
        </row>
        <row r="18">
          <cell r="G18" t="str">
            <v>M0111-A-11-1</v>
          </cell>
          <cell r="H18">
            <v>16.36</v>
          </cell>
          <cell r="I18">
            <v>16.84</v>
          </cell>
        </row>
        <row r="19">
          <cell r="G19" t="str">
            <v>M0111-A-12-1</v>
          </cell>
          <cell r="H19">
            <v>32.25</v>
          </cell>
          <cell r="I19">
            <v>33.020000000000003</v>
          </cell>
        </row>
        <row r="20">
          <cell r="G20" t="str">
            <v>M0111-A-13-1</v>
          </cell>
          <cell r="H20">
            <v>33.799999999999997</v>
          </cell>
          <cell r="I20">
            <v>34.9</v>
          </cell>
        </row>
        <row r="21">
          <cell r="G21" t="str">
            <v>M0111-A-13-2</v>
          </cell>
          <cell r="H21">
            <v>34.9</v>
          </cell>
          <cell r="I21">
            <v>35.35</v>
          </cell>
        </row>
        <row r="22">
          <cell r="G22" t="str">
            <v>M0111-A-14-1</v>
          </cell>
          <cell r="H22">
            <v>33.35</v>
          </cell>
          <cell r="I22">
            <v>34.85</v>
          </cell>
        </row>
        <row r="23">
          <cell r="G23" t="str">
            <v>M0111-A-14-2</v>
          </cell>
          <cell r="H23">
            <v>34.85</v>
          </cell>
          <cell r="I23">
            <v>36.119999999999997</v>
          </cell>
        </row>
        <row r="24">
          <cell r="G24" t="str">
            <v>M0111-A-15-1</v>
          </cell>
          <cell r="H24">
            <v>38.119999999999997</v>
          </cell>
          <cell r="I24">
            <v>39.630000000000003</v>
          </cell>
        </row>
        <row r="25">
          <cell r="G25" t="str">
            <v>M0111-A-15-2</v>
          </cell>
          <cell r="H25">
            <v>39.630000000000003</v>
          </cell>
          <cell r="I25">
            <v>40.450000000000003</v>
          </cell>
        </row>
        <row r="26">
          <cell r="G26" t="str">
            <v>M0111-A-16-1</v>
          </cell>
          <cell r="H26">
            <v>40.450000000000003</v>
          </cell>
          <cell r="I26">
            <v>41.19</v>
          </cell>
        </row>
        <row r="27">
          <cell r="G27" t="str">
            <v>M0111-A-17-1</v>
          </cell>
          <cell r="H27">
            <v>41.19</v>
          </cell>
          <cell r="I27">
            <v>42.69</v>
          </cell>
        </row>
        <row r="28">
          <cell r="G28" t="str">
            <v>M0111-A-17-2</v>
          </cell>
          <cell r="H28">
            <v>42.69</v>
          </cell>
          <cell r="I28">
            <v>43.32</v>
          </cell>
        </row>
        <row r="29">
          <cell r="G29" t="str">
            <v>M0111-A-18-1</v>
          </cell>
          <cell r="H29">
            <v>43.32</v>
          </cell>
          <cell r="I29">
            <v>43.83</v>
          </cell>
        </row>
        <row r="30">
          <cell r="G30" t="str">
            <v>M0111-A-19-1</v>
          </cell>
          <cell r="H30">
            <v>43.83</v>
          </cell>
          <cell r="I30">
            <v>45.33</v>
          </cell>
        </row>
        <row r="31">
          <cell r="G31" t="str">
            <v>M0111-A-19-2</v>
          </cell>
          <cell r="H31">
            <v>45.33</v>
          </cell>
          <cell r="I31">
            <v>46.2</v>
          </cell>
        </row>
        <row r="32">
          <cell r="G32" t="str">
            <v>M0111-A-20-1</v>
          </cell>
          <cell r="H32">
            <v>46.2</v>
          </cell>
          <cell r="I32">
            <v>47.7</v>
          </cell>
        </row>
        <row r="33">
          <cell r="G33" t="str">
            <v>M0111-A-20-2</v>
          </cell>
          <cell r="H33">
            <v>47.7</v>
          </cell>
          <cell r="I33">
            <v>48.67</v>
          </cell>
        </row>
        <row r="34">
          <cell r="G34" t="str">
            <v>M0111-A-21-1</v>
          </cell>
          <cell r="H34">
            <v>48.67</v>
          </cell>
          <cell r="I34">
            <v>48.77</v>
          </cell>
        </row>
        <row r="35">
          <cell r="G35" t="str">
            <v>M0111-A-21-2</v>
          </cell>
          <cell r="H35">
            <v>48.77</v>
          </cell>
          <cell r="I35">
            <v>50.08</v>
          </cell>
        </row>
        <row r="36">
          <cell r="G36" t="str">
            <v>M0111-A-21-3</v>
          </cell>
          <cell r="H36">
            <v>50.08</v>
          </cell>
          <cell r="I36">
            <v>50.9</v>
          </cell>
        </row>
        <row r="37">
          <cell r="G37" t="str">
            <v>M0111-A-22-1</v>
          </cell>
          <cell r="H37">
            <v>50.9</v>
          </cell>
          <cell r="I37">
            <v>51.07</v>
          </cell>
        </row>
        <row r="38">
          <cell r="G38" t="str">
            <v>M0111-A-22-2</v>
          </cell>
          <cell r="H38">
            <v>51.07</v>
          </cell>
          <cell r="I38">
            <v>52.42</v>
          </cell>
        </row>
        <row r="39">
          <cell r="G39" t="str">
            <v>M0111-A-23-1</v>
          </cell>
          <cell r="H39">
            <v>52.42</v>
          </cell>
          <cell r="I39">
            <v>53.92</v>
          </cell>
        </row>
        <row r="40">
          <cell r="G40" t="str">
            <v>M0111-A-23-2</v>
          </cell>
          <cell r="H40">
            <v>53.92</v>
          </cell>
          <cell r="I40">
            <v>54.92</v>
          </cell>
        </row>
        <row r="41">
          <cell r="G41" t="str">
            <v>M0111-A-24-1</v>
          </cell>
          <cell r="H41">
            <v>54.92</v>
          </cell>
          <cell r="I41">
            <v>55.92</v>
          </cell>
        </row>
        <row r="42">
          <cell r="G42" t="str">
            <v>M0111-A-24-2</v>
          </cell>
          <cell r="H42">
            <v>55.92</v>
          </cell>
          <cell r="I42">
            <v>56.66</v>
          </cell>
        </row>
        <row r="43">
          <cell r="G43" t="str">
            <v>M0111-A-25-1</v>
          </cell>
          <cell r="H43">
            <v>56.66</v>
          </cell>
          <cell r="I43">
            <v>58.17</v>
          </cell>
        </row>
        <row r="44">
          <cell r="G44" t="str">
            <v>M0111-A-25-2</v>
          </cell>
          <cell r="H44">
            <v>58.17</v>
          </cell>
          <cell r="I44">
            <v>58.88</v>
          </cell>
        </row>
        <row r="45">
          <cell r="G45" t="str">
            <v>M0111-A-26-1</v>
          </cell>
          <cell r="H45">
            <v>58.88</v>
          </cell>
          <cell r="I45">
            <v>60.39</v>
          </cell>
        </row>
        <row r="46">
          <cell r="G46" t="str">
            <v>M0111-A-26-2</v>
          </cell>
          <cell r="H46">
            <v>60.39</v>
          </cell>
          <cell r="I46">
            <v>61.9</v>
          </cell>
        </row>
        <row r="47">
          <cell r="G47" t="str">
            <v>M0111-A-27-1</v>
          </cell>
          <cell r="H47">
            <v>61.2</v>
          </cell>
          <cell r="I47">
            <v>62.7</v>
          </cell>
        </row>
        <row r="48">
          <cell r="G48" t="str">
            <v>M0111-A-27-2</v>
          </cell>
          <cell r="H48">
            <v>62.7</v>
          </cell>
          <cell r="I48">
            <v>64.2</v>
          </cell>
        </row>
        <row r="49">
          <cell r="G49" t="str">
            <v>M0111-A-28-1</v>
          </cell>
          <cell r="H49">
            <v>63.38</v>
          </cell>
          <cell r="I49">
            <v>63.76</v>
          </cell>
        </row>
        <row r="50">
          <cell r="G50" t="str">
            <v>M0111-A-29-1</v>
          </cell>
          <cell r="H50">
            <v>63.38</v>
          </cell>
          <cell r="I50">
            <v>63.65</v>
          </cell>
        </row>
        <row r="51">
          <cell r="G51" t="str">
            <v>M0111-B-1-1</v>
          </cell>
          <cell r="H51">
            <v>62</v>
          </cell>
          <cell r="I51">
            <v>63.5</v>
          </cell>
        </row>
        <row r="52">
          <cell r="G52" t="str">
            <v>M0111-B-1-2</v>
          </cell>
          <cell r="H52">
            <v>63.5</v>
          </cell>
          <cell r="I52">
            <v>64.239999999999995</v>
          </cell>
        </row>
        <row r="53">
          <cell r="G53" t="str">
            <v>M0111-B-2-1</v>
          </cell>
          <cell r="H53">
            <v>64.14</v>
          </cell>
          <cell r="I53">
            <v>65.14</v>
          </cell>
        </row>
        <row r="54">
          <cell r="G54" t="str">
            <v>M0111-B-2-2</v>
          </cell>
          <cell r="H54">
            <v>65.14</v>
          </cell>
          <cell r="I54">
            <v>66.06</v>
          </cell>
        </row>
        <row r="55">
          <cell r="G55" t="str">
            <v>M0111-B-3-1</v>
          </cell>
          <cell r="H55">
            <v>66.06</v>
          </cell>
          <cell r="I55">
            <v>67.56</v>
          </cell>
        </row>
        <row r="56">
          <cell r="G56" t="str">
            <v>M0111-B-3-2</v>
          </cell>
          <cell r="H56">
            <v>67.56</v>
          </cell>
          <cell r="I56">
            <v>68.2</v>
          </cell>
        </row>
        <row r="57">
          <cell r="G57" t="str">
            <v>M0111-B-4-1</v>
          </cell>
          <cell r="H57">
            <v>68.2</v>
          </cell>
          <cell r="I57">
            <v>69.650000000000006</v>
          </cell>
        </row>
        <row r="58">
          <cell r="G58" t="str">
            <v>M0111-B-5-1</v>
          </cell>
          <cell r="H58">
            <v>69.650000000000006</v>
          </cell>
          <cell r="I58">
            <v>70.540000000000006</v>
          </cell>
        </row>
        <row r="59">
          <cell r="G59" t="str">
            <v>M0111-B-5-2</v>
          </cell>
          <cell r="H59">
            <v>70.540000000000006</v>
          </cell>
          <cell r="I59">
            <v>71.540000000000006</v>
          </cell>
        </row>
        <row r="60">
          <cell r="G60" t="str">
            <v>M0111-B-6-1</v>
          </cell>
          <cell r="H60">
            <v>71.540000000000006</v>
          </cell>
          <cell r="I60">
            <v>72.260000000000005</v>
          </cell>
        </row>
        <row r="61">
          <cell r="G61" t="str">
            <v>M0111-B-7-1</v>
          </cell>
          <cell r="H61">
            <v>72.260000000000005</v>
          </cell>
          <cell r="I61">
            <v>72.760000000000005</v>
          </cell>
        </row>
        <row r="62">
          <cell r="G62" t="str">
            <v>M0111-B-8-1</v>
          </cell>
          <cell r="H62">
            <v>72.760000000000005</v>
          </cell>
          <cell r="I62">
            <v>72.260000000000005</v>
          </cell>
        </row>
        <row r="63">
          <cell r="G63" t="str">
            <v>M0111-B-9-1</v>
          </cell>
          <cell r="H63">
            <v>72.760000000000005</v>
          </cell>
          <cell r="I63">
            <v>74.08</v>
          </cell>
        </row>
        <row r="64">
          <cell r="G64" t="str">
            <v>M0111-B-11-1</v>
          </cell>
          <cell r="H64">
            <v>76.400000000000006</v>
          </cell>
          <cell r="I64">
            <v>76.69</v>
          </cell>
        </row>
        <row r="65">
          <cell r="G65" t="str">
            <v>M0111-B-12-1</v>
          </cell>
          <cell r="H65">
            <v>76.69</v>
          </cell>
          <cell r="I65">
            <v>77.38</v>
          </cell>
        </row>
        <row r="66">
          <cell r="G66" t="str">
            <v>M0111-B-12-2</v>
          </cell>
          <cell r="H66">
            <v>77.38</v>
          </cell>
          <cell r="I66">
            <v>77.510000000000005</v>
          </cell>
        </row>
        <row r="67">
          <cell r="G67" t="str">
            <v>M0111-B-13-1</v>
          </cell>
          <cell r="H67">
            <v>79.599999999999994</v>
          </cell>
          <cell r="I67">
            <v>80.5</v>
          </cell>
        </row>
        <row r="68">
          <cell r="G68" t="str">
            <v>M0111-B-13-2</v>
          </cell>
          <cell r="H68">
            <v>80.5</v>
          </cell>
          <cell r="I68">
            <v>80.66</v>
          </cell>
        </row>
        <row r="69">
          <cell r="G69" t="str">
            <v>M0111-B-14-1</v>
          </cell>
          <cell r="H69">
            <v>82.6</v>
          </cell>
          <cell r="I69">
            <v>84.08</v>
          </cell>
        </row>
        <row r="70">
          <cell r="G70" t="str">
            <v>M0111-B-15-1</v>
          </cell>
          <cell r="H70">
            <v>84.6</v>
          </cell>
          <cell r="I70">
            <v>86.1</v>
          </cell>
        </row>
        <row r="71">
          <cell r="G71" t="str">
            <v>M0111-B-15-2</v>
          </cell>
          <cell r="H71">
            <v>86.1</v>
          </cell>
          <cell r="I71">
            <v>86.82</v>
          </cell>
        </row>
        <row r="72">
          <cell r="G72" t="str">
            <v>M0111-B-16-1</v>
          </cell>
          <cell r="H72">
            <v>86.6</v>
          </cell>
          <cell r="I72">
            <v>88</v>
          </cell>
        </row>
        <row r="73">
          <cell r="G73" t="str">
            <v>M0111-B-17-1</v>
          </cell>
          <cell r="H73">
            <v>88.4</v>
          </cell>
          <cell r="I73">
            <v>89.4</v>
          </cell>
        </row>
        <row r="74">
          <cell r="G74" t="str">
            <v>M0111-B-17-2</v>
          </cell>
          <cell r="H74">
            <v>89.4</v>
          </cell>
          <cell r="I74">
            <v>90.4</v>
          </cell>
        </row>
        <row r="75">
          <cell r="G75" t="str">
            <v>M0111-B-18-1</v>
          </cell>
          <cell r="H75">
            <v>91.1</v>
          </cell>
          <cell r="I75">
            <v>92.56</v>
          </cell>
        </row>
        <row r="76">
          <cell r="G76" t="str">
            <v>M0111-B-19-1</v>
          </cell>
          <cell r="H76">
            <v>94.1</v>
          </cell>
          <cell r="I76">
            <v>94.49</v>
          </cell>
        </row>
        <row r="77">
          <cell r="G77" t="str">
            <v>M0111-B-21-1</v>
          </cell>
          <cell r="H77">
            <v>96.45</v>
          </cell>
          <cell r="I77">
            <v>97.95</v>
          </cell>
        </row>
        <row r="78">
          <cell r="G78" t="str">
            <v>M0111-B-21-2</v>
          </cell>
          <cell r="H78">
            <v>97.95</v>
          </cell>
          <cell r="I78">
            <v>98.76</v>
          </cell>
        </row>
        <row r="79">
          <cell r="G79" t="str">
            <v>M0111-B-22-1</v>
          </cell>
          <cell r="H79">
            <v>98.76</v>
          </cell>
          <cell r="I79">
            <v>99.76</v>
          </cell>
        </row>
        <row r="80">
          <cell r="G80" t="str">
            <v>M0111-B-22-2</v>
          </cell>
          <cell r="H80">
            <v>99.76</v>
          </cell>
          <cell r="I80">
            <v>100.54</v>
          </cell>
        </row>
        <row r="81">
          <cell r="G81" t="str">
            <v>M0111-B-23-1</v>
          </cell>
          <cell r="H81">
            <v>100.49</v>
          </cell>
          <cell r="I81">
            <v>101.75</v>
          </cell>
        </row>
        <row r="82">
          <cell r="G82" t="str">
            <v>M0111-B-23-2</v>
          </cell>
          <cell r="H82">
            <v>101.75</v>
          </cell>
          <cell r="I82">
            <v>101.84</v>
          </cell>
        </row>
        <row r="83">
          <cell r="G83" t="str">
            <v>M0111-B-24-1</v>
          </cell>
          <cell r="H83">
            <v>101.84</v>
          </cell>
          <cell r="I83">
            <v>102.91</v>
          </cell>
        </row>
        <row r="84">
          <cell r="G84" t="str">
            <v>M0111-B-24-2</v>
          </cell>
          <cell r="H84">
            <v>102.91</v>
          </cell>
          <cell r="I84">
            <v>103.98</v>
          </cell>
        </row>
        <row r="85">
          <cell r="G85" t="str">
            <v>M0111-B-25-1</v>
          </cell>
          <cell r="H85">
            <v>103.6</v>
          </cell>
          <cell r="I85">
            <v>103.75</v>
          </cell>
        </row>
        <row r="86">
          <cell r="G86" t="str">
            <v>M0111-B-26-1</v>
          </cell>
          <cell r="H86">
            <v>106.6</v>
          </cell>
          <cell r="I86">
            <v>108.1</v>
          </cell>
        </row>
        <row r="87">
          <cell r="G87" t="str">
            <v>M0111-B-26-2</v>
          </cell>
          <cell r="H87">
            <v>108.1</v>
          </cell>
          <cell r="I87">
            <v>109.06</v>
          </cell>
        </row>
        <row r="88">
          <cell r="G88" t="str">
            <v>M0111-B-27-1</v>
          </cell>
          <cell r="H88">
            <v>109.6</v>
          </cell>
          <cell r="I88">
            <v>111.1</v>
          </cell>
        </row>
        <row r="89">
          <cell r="G89" t="str">
            <v>M0111-B-27-2</v>
          </cell>
          <cell r="H89">
            <v>111.1</v>
          </cell>
          <cell r="I89">
            <v>112.39</v>
          </cell>
        </row>
        <row r="90">
          <cell r="G90" t="str">
            <v>M0111-B-28-1</v>
          </cell>
          <cell r="H90">
            <v>112.3</v>
          </cell>
          <cell r="I90">
            <v>113.8</v>
          </cell>
        </row>
        <row r="91">
          <cell r="G91" t="str">
            <v>M0111-B-28-2</v>
          </cell>
          <cell r="H91">
            <v>113.8</v>
          </cell>
          <cell r="I91">
            <v>115.25</v>
          </cell>
        </row>
        <row r="92">
          <cell r="G92" t="str">
            <v>M0111-B-29-1</v>
          </cell>
          <cell r="H92">
            <v>115.3</v>
          </cell>
          <cell r="I92">
            <v>116.81</v>
          </cell>
        </row>
        <row r="93">
          <cell r="G93" t="str">
            <v>M0111-B-29-2</v>
          </cell>
          <cell r="H93">
            <v>116.81</v>
          </cell>
          <cell r="I93">
            <v>117.81</v>
          </cell>
        </row>
        <row r="94">
          <cell r="G94" t="str">
            <v>M0111-B-29-3</v>
          </cell>
          <cell r="H94">
            <v>117.81</v>
          </cell>
          <cell r="I94">
            <v>118.53</v>
          </cell>
        </row>
        <row r="95">
          <cell r="G95" t="str">
            <v>M0111-B-30-1</v>
          </cell>
          <cell r="H95">
            <v>118.3</v>
          </cell>
          <cell r="I95">
            <v>119.8</v>
          </cell>
        </row>
        <row r="96">
          <cell r="G96" t="str">
            <v>M0111-B-30-2</v>
          </cell>
          <cell r="H96">
            <v>119.8</v>
          </cell>
          <cell r="I96">
            <v>120.76</v>
          </cell>
        </row>
        <row r="97">
          <cell r="G97" t="str">
            <v>M0111-B-31-1</v>
          </cell>
          <cell r="H97">
            <v>121.3</v>
          </cell>
          <cell r="I97">
            <v>122.8</v>
          </cell>
        </row>
        <row r="98">
          <cell r="G98" t="str">
            <v>M0111-B-31-2</v>
          </cell>
          <cell r="H98">
            <v>122.8</v>
          </cell>
          <cell r="I98">
            <v>123.82</v>
          </cell>
        </row>
        <row r="99">
          <cell r="G99" t="str">
            <v>M0111-B-32-1</v>
          </cell>
          <cell r="H99">
            <v>124.3</v>
          </cell>
          <cell r="I99">
            <v>124.64</v>
          </cell>
        </row>
        <row r="100">
          <cell r="G100" t="str">
            <v>M0111-B-33-1</v>
          </cell>
          <cell r="H100">
            <v>126.7</v>
          </cell>
          <cell r="I100">
            <v>127.31</v>
          </cell>
        </row>
        <row r="101">
          <cell r="G101" t="str">
            <v>M0111-B-33-2</v>
          </cell>
          <cell r="H101">
            <v>127.31</v>
          </cell>
          <cell r="I101">
            <v>127.48</v>
          </cell>
        </row>
        <row r="102">
          <cell r="G102" t="str">
            <v>M0111-B-34-1</v>
          </cell>
          <cell r="H102">
            <v>121.52</v>
          </cell>
          <cell r="I102">
            <v>122.49</v>
          </cell>
        </row>
        <row r="103">
          <cell r="G103" t="str">
            <v>M0111-B-34-2</v>
          </cell>
          <cell r="H103">
            <v>122.49</v>
          </cell>
          <cell r="I103">
            <v>123.1</v>
          </cell>
        </row>
        <row r="104">
          <cell r="G104" t="str">
            <v>M0111-B-35-1</v>
          </cell>
          <cell r="H104">
            <v>122.52</v>
          </cell>
          <cell r="I104">
            <v>124.02</v>
          </cell>
        </row>
        <row r="105">
          <cell r="G105" t="str">
            <v>M0111-B-35-2</v>
          </cell>
          <cell r="H105">
            <v>124.02</v>
          </cell>
          <cell r="I105">
            <v>125.02</v>
          </cell>
        </row>
        <row r="106">
          <cell r="G106" t="str">
            <v>M0111-B-35-3</v>
          </cell>
          <cell r="H106">
            <v>125.02</v>
          </cell>
          <cell r="I106">
            <v>125.67</v>
          </cell>
        </row>
        <row r="107">
          <cell r="G107" t="str">
            <v>M0111-B-36-1</v>
          </cell>
          <cell r="H107">
            <v>125.57</v>
          </cell>
          <cell r="I107">
            <v>126.57</v>
          </cell>
        </row>
        <row r="108">
          <cell r="G108" t="str">
            <v>M0111-B-36-2</v>
          </cell>
          <cell r="H108">
            <v>126.57</v>
          </cell>
          <cell r="I108">
            <v>127.48</v>
          </cell>
        </row>
        <row r="109">
          <cell r="G109" t="str">
            <v>M0111-B-37-1</v>
          </cell>
          <cell r="H109">
            <v>127.64</v>
          </cell>
          <cell r="I109">
            <v>128.71</v>
          </cell>
        </row>
        <row r="110">
          <cell r="G110" t="str">
            <v>M0111-B-38-1</v>
          </cell>
          <cell r="H110">
            <v>129.38999999999999</v>
          </cell>
          <cell r="I110">
            <v>130.88999999999999</v>
          </cell>
        </row>
        <row r="111">
          <cell r="G111" t="str">
            <v>M0111-B-38-2</v>
          </cell>
          <cell r="H111">
            <v>130.88999999999999</v>
          </cell>
          <cell r="I111">
            <v>131.49</v>
          </cell>
        </row>
        <row r="112">
          <cell r="G112" t="str">
            <v>M0111-B-39-1</v>
          </cell>
          <cell r="H112">
            <v>131.66999999999999</v>
          </cell>
          <cell r="I112">
            <v>133.16</v>
          </cell>
        </row>
        <row r="113">
          <cell r="G113" t="str">
            <v>M0111-B-39-2</v>
          </cell>
          <cell r="H113">
            <v>133.16</v>
          </cell>
          <cell r="I113">
            <v>134.46</v>
          </cell>
        </row>
        <row r="114">
          <cell r="G114" t="str">
            <v>M0111-B-40-1</v>
          </cell>
          <cell r="H114">
            <v>134.72</v>
          </cell>
          <cell r="I114">
            <v>135.87</v>
          </cell>
        </row>
        <row r="115">
          <cell r="G115" t="str">
            <v>M0111-B-41-1</v>
          </cell>
          <cell r="H115">
            <v>137.77000000000001</v>
          </cell>
          <cell r="I115">
            <v>139.27000000000001</v>
          </cell>
        </row>
        <row r="116">
          <cell r="G116" t="str">
            <v>M0111-B-41-2</v>
          </cell>
          <cell r="H116">
            <v>139.27000000000001</v>
          </cell>
          <cell r="I116">
            <v>140.22999999999999</v>
          </cell>
        </row>
        <row r="117">
          <cell r="G117" t="str">
            <v>M0111-B-42-1</v>
          </cell>
          <cell r="H117">
            <v>140.82</v>
          </cell>
          <cell r="I117">
            <v>141.87</v>
          </cell>
        </row>
        <row r="118">
          <cell r="G118" t="str">
            <v>M0111-B-43-1</v>
          </cell>
          <cell r="H118">
            <v>143.87</v>
          </cell>
          <cell r="I118">
            <v>144.72</v>
          </cell>
        </row>
        <row r="119">
          <cell r="G119" t="str">
            <v>M0111-B-43-2</v>
          </cell>
          <cell r="H119">
            <v>144.72</v>
          </cell>
          <cell r="I119">
            <v>145.26</v>
          </cell>
        </row>
        <row r="120">
          <cell r="G120" t="str">
            <v>M0111-B-44-1</v>
          </cell>
          <cell r="H120">
            <v>146.11000000000001</v>
          </cell>
          <cell r="I120">
            <v>147.61000000000001</v>
          </cell>
        </row>
        <row r="121">
          <cell r="G121" t="str">
            <v>M0111-B-44-2</v>
          </cell>
          <cell r="H121">
            <v>147.61000000000001</v>
          </cell>
          <cell r="I121">
            <v>148.4</v>
          </cell>
        </row>
        <row r="122">
          <cell r="G122" t="str">
            <v>M0111-B-45-1</v>
          </cell>
          <cell r="H122">
            <v>149.16</v>
          </cell>
          <cell r="I122">
            <v>150.13999999999999</v>
          </cell>
        </row>
        <row r="123">
          <cell r="G123" t="str">
            <v>M0111-B-46-1</v>
          </cell>
          <cell r="H123">
            <v>149.54</v>
          </cell>
          <cell r="I123">
            <v>151.04</v>
          </cell>
        </row>
        <row r="124">
          <cell r="G124" t="str">
            <v>M0111-B-46-2</v>
          </cell>
          <cell r="H124">
            <v>151.04</v>
          </cell>
          <cell r="I124">
            <v>152.29</v>
          </cell>
        </row>
        <row r="125">
          <cell r="G125" t="str">
            <v>M0111-B-47-1</v>
          </cell>
          <cell r="H125">
            <v>152.21</v>
          </cell>
          <cell r="I125">
            <v>153.71</v>
          </cell>
        </row>
        <row r="126">
          <cell r="G126" t="str">
            <v>M0111-B-47-2</v>
          </cell>
          <cell r="H126">
            <v>153.71</v>
          </cell>
          <cell r="I126">
            <v>154.71</v>
          </cell>
        </row>
        <row r="127">
          <cell r="G127" t="str">
            <v>M0111-B-47-3</v>
          </cell>
          <cell r="H127">
            <v>154.71</v>
          </cell>
          <cell r="I127">
            <v>155.35</v>
          </cell>
        </row>
        <row r="128">
          <cell r="G128" t="str">
            <v>M0111-B-48-1</v>
          </cell>
          <cell r="H128">
            <v>155.26</v>
          </cell>
          <cell r="I128">
            <v>155.72999999999999</v>
          </cell>
        </row>
        <row r="129">
          <cell r="G129" t="str">
            <v>M0111-B-49-1</v>
          </cell>
          <cell r="H129">
            <v>158.31</v>
          </cell>
          <cell r="I129">
            <v>158.5</v>
          </cell>
        </row>
        <row r="130">
          <cell r="G130" t="str">
            <v>M0111-B-50-1</v>
          </cell>
          <cell r="H130">
            <v>158.56</v>
          </cell>
          <cell r="I130">
            <v>158.75</v>
          </cell>
        </row>
        <row r="131">
          <cell r="G131" t="str">
            <v>M0111-B-51-1</v>
          </cell>
          <cell r="H131">
            <v>161.36000000000001</v>
          </cell>
          <cell r="I131">
            <v>161.96</v>
          </cell>
        </row>
        <row r="132">
          <cell r="G132" t="str">
            <v>M0111-B-52-1</v>
          </cell>
          <cell r="H132">
            <v>162.06</v>
          </cell>
          <cell r="I132">
            <v>162.32</v>
          </cell>
        </row>
        <row r="133">
          <cell r="G133" t="str">
            <v>M0111-B-53-1</v>
          </cell>
          <cell r="H133">
            <v>163.84</v>
          </cell>
          <cell r="I133">
            <v>164.1</v>
          </cell>
        </row>
        <row r="134">
          <cell r="G134" t="str">
            <v>M0111-B-54-1</v>
          </cell>
          <cell r="H134">
            <v>165.46</v>
          </cell>
          <cell r="I134">
            <v>165.84</v>
          </cell>
        </row>
        <row r="135">
          <cell r="G135" t="str">
            <v>M0111-B-55-1</v>
          </cell>
          <cell r="H135">
            <v>165.81</v>
          </cell>
          <cell r="I135">
            <v>166.31</v>
          </cell>
        </row>
        <row r="136">
          <cell r="G136" t="str">
            <v>M0111-B-56-1</v>
          </cell>
          <cell r="H136">
            <v>166.21</v>
          </cell>
          <cell r="I136">
            <v>166.52</v>
          </cell>
        </row>
        <row r="137">
          <cell r="G137" t="str">
            <v>M0111-B-57-1</v>
          </cell>
          <cell r="H137">
            <v>167.46</v>
          </cell>
          <cell r="I137">
            <v>168.16</v>
          </cell>
        </row>
        <row r="138">
          <cell r="G138" t="str">
            <v>M0111-B-58-1</v>
          </cell>
          <cell r="H138">
            <v>168.51</v>
          </cell>
          <cell r="I138">
            <v>169.33</v>
          </cell>
        </row>
        <row r="139">
          <cell r="G139" t="str">
            <v>M0111-B-59-1</v>
          </cell>
          <cell r="H139">
            <v>169.51</v>
          </cell>
          <cell r="I139">
            <v>170.22</v>
          </cell>
        </row>
        <row r="140">
          <cell r="G140" t="str">
            <v>M0111-B-59-2</v>
          </cell>
          <cell r="H140">
            <v>170.22</v>
          </cell>
          <cell r="I140">
            <v>170.76</v>
          </cell>
        </row>
        <row r="141">
          <cell r="G141" t="str">
            <v>M0111-B-59-3</v>
          </cell>
          <cell r="H141">
            <v>170.76</v>
          </cell>
          <cell r="I141">
            <v>170.9</v>
          </cell>
        </row>
        <row r="142">
          <cell r="G142" t="str">
            <v>M0111-B-60-1</v>
          </cell>
          <cell r="H142">
            <v>172.56</v>
          </cell>
          <cell r="I142">
            <v>173.28</v>
          </cell>
        </row>
        <row r="143">
          <cell r="G143" t="str">
            <v>M0111-B-60-2</v>
          </cell>
          <cell r="H143">
            <v>173.28</v>
          </cell>
          <cell r="I143">
            <v>174.76</v>
          </cell>
        </row>
        <row r="144">
          <cell r="G144" t="str">
            <v>M0111-B-60-3</v>
          </cell>
          <cell r="H144">
            <v>174.76</v>
          </cell>
          <cell r="I144">
            <v>175.58</v>
          </cell>
        </row>
        <row r="145">
          <cell r="G145" t="str">
            <v>M0111-B-60-4</v>
          </cell>
          <cell r="H145">
            <v>175.58</v>
          </cell>
          <cell r="I145">
            <v>175.78</v>
          </cell>
        </row>
        <row r="146">
          <cell r="G146" t="str">
            <v>M0111-B-61-1</v>
          </cell>
          <cell r="H146">
            <v>175.61</v>
          </cell>
          <cell r="I146">
            <v>177.11</v>
          </cell>
        </row>
        <row r="147">
          <cell r="G147" t="str">
            <v>M0111-B-61-2</v>
          </cell>
          <cell r="H147">
            <v>177.11</v>
          </cell>
          <cell r="I147">
            <v>178.11</v>
          </cell>
        </row>
        <row r="148">
          <cell r="G148" t="str">
            <v>M0111-B-61-3</v>
          </cell>
          <cell r="H148">
            <v>178.11</v>
          </cell>
          <cell r="I148">
            <v>178.68</v>
          </cell>
        </row>
        <row r="149">
          <cell r="G149" t="str">
            <v>M0111-B-61-4</v>
          </cell>
          <cell r="H149">
            <v>178.68</v>
          </cell>
          <cell r="I149">
            <v>178.85</v>
          </cell>
        </row>
        <row r="150">
          <cell r="G150" t="str">
            <v>M0111-B-62-1</v>
          </cell>
          <cell r="H150">
            <v>178.66</v>
          </cell>
          <cell r="I150">
            <v>180.16</v>
          </cell>
        </row>
        <row r="151">
          <cell r="G151" t="str">
            <v>M0111-B-63-1</v>
          </cell>
          <cell r="H151">
            <v>181.71</v>
          </cell>
          <cell r="I151">
            <v>183.21</v>
          </cell>
        </row>
        <row r="152">
          <cell r="G152" t="str">
            <v>M0111-B-63-2</v>
          </cell>
          <cell r="H152">
            <v>183.21</v>
          </cell>
          <cell r="I152">
            <v>184.21</v>
          </cell>
        </row>
        <row r="153">
          <cell r="G153" t="str">
            <v>M0111-B-63-3</v>
          </cell>
          <cell r="H153">
            <v>184.21</v>
          </cell>
          <cell r="I153">
            <v>184.79</v>
          </cell>
        </row>
        <row r="154">
          <cell r="G154" t="str">
            <v>M0111-B-63-4</v>
          </cell>
          <cell r="H154">
            <v>184.79</v>
          </cell>
          <cell r="I154">
            <v>184.92</v>
          </cell>
        </row>
        <row r="155">
          <cell r="G155" t="str">
            <v>M0111-B-64-1</v>
          </cell>
          <cell r="H155">
            <v>184.76</v>
          </cell>
          <cell r="I155">
            <v>185.33</v>
          </cell>
        </row>
        <row r="156">
          <cell r="G156" t="str">
            <v>M0111-B-64-2</v>
          </cell>
          <cell r="H156">
            <v>185.33</v>
          </cell>
          <cell r="I156">
            <v>185.66</v>
          </cell>
        </row>
        <row r="157">
          <cell r="G157" t="str">
            <v>M0111-B-65-1</v>
          </cell>
          <cell r="H157">
            <v>187.81</v>
          </cell>
          <cell r="I157">
            <v>189.3</v>
          </cell>
        </row>
        <row r="158">
          <cell r="G158" t="str">
            <v>M0111-B-65-2</v>
          </cell>
          <cell r="H158">
            <v>189.3</v>
          </cell>
          <cell r="I158">
            <v>190.22</v>
          </cell>
        </row>
        <row r="159">
          <cell r="G159" t="str">
            <v>M0111-B-65-3</v>
          </cell>
          <cell r="H159">
            <v>190.22</v>
          </cell>
          <cell r="I159">
            <v>190.87</v>
          </cell>
        </row>
        <row r="160">
          <cell r="G160" t="str">
            <v>M0111-B-65-4</v>
          </cell>
          <cell r="H160">
            <v>190.87</v>
          </cell>
          <cell r="I160">
            <v>190.98</v>
          </cell>
        </row>
        <row r="161">
          <cell r="G161" t="str">
            <v>M0111-B-66-1</v>
          </cell>
          <cell r="H161">
            <v>190.86</v>
          </cell>
          <cell r="I161">
            <v>192.35</v>
          </cell>
        </row>
        <row r="162">
          <cell r="G162" t="str">
            <v>M0111-B-66-2</v>
          </cell>
          <cell r="H162">
            <v>192.35</v>
          </cell>
          <cell r="I162">
            <v>193.25</v>
          </cell>
        </row>
        <row r="163">
          <cell r="G163" t="str">
            <v>M0111-B-66-3</v>
          </cell>
          <cell r="H163">
            <v>193.25</v>
          </cell>
          <cell r="I163">
            <v>193.93</v>
          </cell>
        </row>
        <row r="164">
          <cell r="G164" t="str">
            <v>M0111-B-66-4</v>
          </cell>
          <cell r="H164">
            <v>193.93</v>
          </cell>
          <cell r="I164">
            <v>194.05</v>
          </cell>
        </row>
        <row r="165">
          <cell r="G165" t="str">
            <v>M0111-B-67-1</v>
          </cell>
          <cell r="H165">
            <v>193.91</v>
          </cell>
          <cell r="I165">
            <v>195.4</v>
          </cell>
        </row>
        <row r="166">
          <cell r="G166" t="str">
            <v>M0111-B-67-2</v>
          </cell>
          <cell r="H166">
            <v>195.4</v>
          </cell>
          <cell r="I166">
            <v>196.23</v>
          </cell>
        </row>
        <row r="167">
          <cell r="G167" t="str">
            <v>M0111-B-67-3</v>
          </cell>
          <cell r="H167">
            <v>196.23</v>
          </cell>
          <cell r="I167">
            <v>196.33</v>
          </cell>
        </row>
        <row r="168">
          <cell r="G168" t="str">
            <v>M0111-B-68-1</v>
          </cell>
          <cell r="H168">
            <v>196.96</v>
          </cell>
          <cell r="I168">
            <v>198.46</v>
          </cell>
        </row>
        <row r="169">
          <cell r="G169" t="str">
            <v>M0111-B-68-2</v>
          </cell>
          <cell r="H169">
            <v>198.46</v>
          </cell>
          <cell r="I169">
            <v>199.67</v>
          </cell>
        </row>
        <row r="170">
          <cell r="G170" t="str">
            <v>M0111-B-69-1</v>
          </cell>
          <cell r="H170">
            <v>200.01</v>
          </cell>
          <cell r="I170">
            <v>201.51</v>
          </cell>
        </row>
        <row r="171">
          <cell r="G171" t="str">
            <v>M0111-B-69-2</v>
          </cell>
          <cell r="H171">
            <v>201.51</v>
          </cell>
          <cell r="I171">
            <v>202.99</v>
          </cell>
        </row>
        <row r="172">
          <cell r="G172" t="str">
            <v>M0111-B-70-1</v>
          </cell>
          <cell r="H172">
            <v>203.06</v>
          </cell>
          <cell r="I172">
            <v>204.32</v>
          </cell>
        </row>
        <row r="173">
          <cell r="G173" t="str">
            <v>M0111-B-70-2</v>
          </cell>
          <cell r="H173">
            <v>204.32</v>
          </cell>
          <cell r="I173">
            <v>204.5</v>
          </cell>
        </row>
        <row r="174">
          <cell r="G174" t="str">
            <v>M0111-B-71-1</v>
          </cell>
          <cell r="H174">
            <v>206.11</v>
          </cell>
          <cell r="I174">
            <v>207.29</v>
          </cell>
        </row>
        <row r="175">
          <cell r="G175" t="str">
            <v>M0111-B-72-1</v>
          </cell>
          <cell r="H175">
            <v>207.33</v>
          </cell>
          <cell r="I175">
            <v>208.46</v>
          </cell>
        </row>
        <row r="176">
          <cell r="G176" t="str">
            <v>M0111-B-73-1</v>
          </cell>
          <cell r="H176">
            <v>209.83</v>
          </cell>
          <cell r="I176">
            <v>211.33</v>
          </cell>
        </row>
        <row r="177">
          <cell r="G177" t="str">
            <v>M0111-B-73-2</v>
          </cell>
          <cell r="H177">
            <v>211.33</v>
          </cell>
          <cell r="I177">
            <v>212.38</v>
          </cell>
        </row>
        <row r="178">
          <cell r="G178" t="str">
            <v>M0111-B-74-1</v>
          </cell>
          <cell r="H178">
            <v>212.88</v>
          </cell>
          <cell r="I178">
            <v>213.67</v>
          </cell>
        </row>
        <row r="179">
          <cell r="G179" t="str">
            <v>M0111-B-75-1</v>
          </cell>
          <cell r="H179">
            <v>215.33</v>
          </cell>
          <cell r="I179">
            <v>216.1</v>
          </cell>
        </row>
        <row r="180">
          <cell r="G180" t="str">
            <v>M0111-B-78-1</v>
          </cell>
          <cell r="H180">
            <v>219.93</v>
          </cell>
          <cell r="I180">
            <v>220.62</v>
          </cell>
        </row>
        <row r="181">
          <cell r="G181" t="str">
            <v>M0111-B-81-1</v>
          </cell>
          <cell r="H181">
            <v>224.09</v>
          </cell>
          <cell r="I181">
            <v>224.42</v>
          </cell>
        </row>
        <row r="182">
          <cell r="G182" t="str">
            <v>M0111-B-82-1</v>
          </cell>
          <cell r="H182">
            <v>224.58</v>
          </cell>
          <cell r="I182">
            <v>225.42</v>
          </cell>
        </row>
        <row r="183">
          <cell r="G183" t="str">
            <v>M0111-B-83-1</v>
          </cell>
          <cell r="H183">
            <v>224.58</v>
          </cell>
          <cell r="I183">
            <v>225.04</v>
          </cell>
        </row>
        <row r="184">
          <cell r="G184" t="str">
            <v>M0111-B-84-1</v>
          </cell>
          <cell r="H184">
            <v>227.63</v>
          </cell>
          <cell r="I184">
            <v>228.63</v>
          </cell>
        </row>
        <row r="185">
          <cell r="G185" t="str">
            <v>M0111-B-84-2</v>
          </cell>
          <cell r="H185">
            <v>228.63</v>
          </cell>
          <cell r="I185">
            <v>229.24</v>
          </cell>
        </row>
        <row r="186">
          <cell r="G186" t="str">
            <v>M0111-B-85-1</v>
          </cell>
          <cell r="H186">
            <v>230.68</v>
          </cell>
          <cell r="I186">
            <v>231.08</v>
          </cell>
        </row>
        <row r="187">
          <cell r="G187" t="str">
            <v>M0111-B-86-1</v>
          </cell>
          <cell r="H187">
            <v>230.68</v>
          </cell>
          <cell r="I187">
            <v>232.18</v>
          </cell>
        </row>
        <row r="188">
          <cell r="G188" t="str">
            <v>M0111-B-86-2</v>
          </cell>
          <cell r="H188">
            <v>232.18</v>
          </cell>
          <cell r="I188">
            <v>233.49</v>
          </cell>
        </row>
        <row r="189">
          <cell r="G189" t="str">
            <v>M0111-B-87-1</v>
          </cell>
          <cell r="H189">
            <v>233.73</v>
          </cell>
          <cell r="I189">
            <v>234.67</v>
          </cell>
        </row>
        <row r="190">
          <cell r="G190" t="str">
            <v>M0111-B-88-1</v>
          </cell>
          <cell r="H190">
            <v>234.53</v>
          </cell>
          <cell r="I190">
            <v>235.75</v>
          </cell>
        </row>
        <row r="191">
          <cell r="G191" t="str">
            <v>M0111-B-88-2</v>
          </cell>
          <cell r="H191">
            <v>235.75</v>
          </cell>
          <cell r="I191">
            <v>236.52</v>
          </cell>
        </row>
        <row r="192">
          <cell r="G192" t="str">
            <v>M0111-B-89-1</v>
          </cell>
          <cell r="H192">
            <v>237.58</v>
          </cell>
          <cell r="I192">
            <v>239.08</v>
          </cell>
        </row>
        <row r="193">
          <cell r="G193" t="str">
            <v>M0111-B-89-2</v>
          </cell>
          <cell r="H193">
            <v>239.08</v>
          </cell>
          <cell r="I193">
            <v>240.02</v>
          </cell>
        </row>
        <row r="194">
          <cell r="G194" t="str">
            <v>M0111-B-92-1</v>
          </cell>
          <cell r="H194">
            <v>244.93</v>
          </cell>
          <cell r="I194">
            <v>245.35</v>
          </cell>
        </row>
        <row r="195">
          <cell r="G195" t="str">
            <v>M0111-B-93-1</v>
          </cell>
          <cell r="H195">
            <v>245.28</v>
          </cell>
          <cell r="I195">
            <v>245.83</v>
          </cell>
        </row>
        <row r="196">
          <cell r="G196" t="str">
            <v>M0111-B-93-2</v>
          </cell>
          <cell r="H196">
            <v>245.83</v>
          </cell>
          <cell r="I196">
            <v>245.92</v>
          </cell>
        </row>
        <row r="197">
          <cell r="G197" t="str">
            <v>M0111-B-94-1</v>
          </cell>
          <cell r="H197">
            <v>246.73</v>
          </cell>
          <cell r="I197">
            <v>248.24</v>
          </cell>
        </row>
        <row r="198">
          <cell r="G198" t="str">
            <v>M0111-B-94-2</v>
          </cell>
          <cell r="H198">
            <v>248.24</v>
          </cell>
          <cell r="I198">
            <v>249.44</v>
          </cell>
        </row>
        <row r="199">
          <cell r="G199" t="str">
            <v>M0111-B-94-3</v>
          </cell>
          <cell r="H199">
            <v>249.44</v>
          </cell>
          <cell r="I199">
            <v>249.89</v>
          </cell>
        </row>
        <row r="200">
          <cell r="G200" t="str">
            <v>M0111-B-95-1</v>
          </cell>
          <cell r="H200">
            <v>249.78</v>
          </cell>
          <cell r="I200">
            <v>250.78</v>
          </cell>
        </row>
        <row r="201">
          <cell r="G201" t="str">
            <v>M0111-B-95-2</v>
          </cell>
          <cell r="H201">
            <v>250.78</v>
          </cell>
          <cell r="I201">
            <v>251.32</v>
          </cell>
        </row>
        <row r="202">
          <cell r="G202" t="str">
            <v>M0111-B-96-1</v>
          </cell>
          <cell r="H202">
            <v>251.53</v>
          </cell>
          <cell r="I202">
            <v>252.38</v>
          </cell>
        </row>
        <row r="203">
          <cell r="G203" t="str">
            <v>M0111-B-97-1</v>
          </cell>
          <cell r="H203">
            <v>252.83</v>
          </cell>
          <cell r="I203">
            <v>254.16</v>
          </cell>
        </row>
        <row r="204">
          <cell r="G204" t="str">
            <v>M0111-B-98-1</v>
          </cell>
          <cell r="H204">
            <v>255.53</v>
          </cell>
          <cell r="I204">
            <v>256.27</v>
          </cell>
        </row>
        <row r="205">
          <cell r="G205" t="str">
            <v>M0111-B-99-1</v>
          </cell>
          <cell r="H205">
            <v>256.27999999999997</v>
          </cell>
          <cell r="I205">
            <v>257.2</v>
          </cell>
        </row>
        <row r="206">
          <cell r="G206" t="str">
            <v>M0111-B-100-1</v>
          </cell>
          <cell r="H206">
            <v>258.93</v>
          </cell>
          <cell r="I206">
            <v>260.43</v>
          </cell>
        </row>
        <row r="207">
          <cell r="G207" t="str">
            <v>M0111-B-100-2</v>
          </cell>
          <cell r="H207">
            <v>260.43</v>
          </cell>
          <cell r="I207">
            <v>261.02</v>
          </cell>
        </row>
        <row r="208">
          <cell r="G208" t="str">
            <v>M0111-B-101-1</v>
          </cell>
          <cell r="H208">
            <v>261.98</v>
          </cell>
          <cell r="I208">
            <v>263.45999999999998</v>
          </cell>
        </row>
        <row r="209">
          <cell r="G209" t="str">
            <v>M0111-B-101-2</v>
          </cell>
          <cell r="H209">
            <v>263.45999999999998</v>
          </cell>
          <cell r="I209">
            <v>264.3</v>
          </cell>
        </row>
        <row r="210">
          <cell r="G210" t="str">
            <v>M0111-B-102-1</v>
          </cell>
          <cell r="H210">
            <v>265.02999999999997</v>
          </cell>
          <cell r="I210">
            <v>265.93</v>
          </cell>
        </row>
        <row r="211">
          <cell r="G211" t="str">
            <v>M0111-B-103-1</v>
          </cell>
          <cell r="H211">
            <v>268.08</v>
          </cell>
          <cell r="I211">
            <v>268.83999999999997</v>
          </cell>
        </row>
        <row r="212">
          <cell r="G212" t="str">
            <v>M0111-B-103-2</v>
          </cell>
          <cell r="H212">
            <v>268.83999999999997</v>
          </cell>
          <cell r="I212">
            <v>270.33999999999997</v>
          </cell>
        </row>
        <row r="213">
          <cell r="G213" t="str">
            <v>M0111-B-103-3</v>
          </cell>
          <cell r="H213">
            <v>270.33999999999997</v>
          </cell>
          <cell r="I213">
            <v>271.13</v>
          </cell>
        </row>
        <row r="214">
          <cell r="G214" t="str">
            <v>M0111-B-103-4</v>
          </cell>
          <cell r="H214">
            <v>271.13</v>
          </cell>
          <cell r="I214">
            <v>271.2</v>
          </cell>
        </row>
        <row r="215">
          <cell r="G215" t="str">
            <v>M0111-B-104-1</v>
          </cell>
          <cell r="H215">
            <v>271.13</v>
          </cell>
          <cell r="I215">
            <v>271.42</v>
          </cell>
        </row>
        <row r="216">
          <cell r="G216" t="str">
            <v>M0111-B-104-2</v>
          </cell>
          <cell r="H216">
            <v>271.42</v>
          </cell>
          <cell r="I216">
            <v>272.92</v>
          </cell>
        </row>
        <row r="217">
          <cell r="G217" t="str">
            <v>M0111-B-104-3</v>
          </cell>
          <cell r="H217">
            <v>272.92</v>
          </cell>
          <cell r="I217">
            <v>273.89999999999998</v>
          </cell>
        </row>
        <row r="218">
          <cell r="G218" t="str">
            <v>M0111-B-105-1</v>
          </cell>
          <cell r="H218">
            <v>274.18</v>
          </cell>
          <cell r="I218">
            <v>274.66000000000003</v>
          </cell>
        </row>
        <row r="219">
          <cell r="G219" t="str">
            <v>M0111-B-106-1</v>
          </cell>
          <cell r="H219">
            <v>275.18</v>
          </cell>
          <cell r="I219">
            <v>276.68</v>
          </cell>
        </row>
        <row r="220">
          <cell r="G220" t="str">
            <v>M0111-B-106-2</v>
          </cell>
          <cell r="H220">
            <v>276.68</v>
          </cell>
          <cell r="I220">
            <v>277.47000000000003</v>
          </cell>
        </row>
        <row r="221">
          <cell r="G221" t="str">
            <v>M0111-B-107-1</v>
          </cell>
          <cell r="H221">
            <v>277.23</v>
          </cell>
          <cell r="I221">
            <v>278.19</v>
          </cell>
        </row>
        <row r="222">
          <cell r="G222" t="str">
            <v>M0111-B-108-1</v>
          </cell>
          <cell r="H222">
            <v>278.13</v>
          </cell>
          <cell r="I222">
            <v>278.51</v>
          </cell>
        </row>
        <row r="223">
          <cell r="G223" t="str">
            <v>M0111-B-109-1</v>
          </cell>
          <cell r="H223">
            <v>278.38</v>
          </cell>
          <cell r="I223">
            <v>278.98</v>
          </cell>
        </row>
        <row r="224">
          <cell r="G224" t="str">
            <v>M0111-B-110-1</v>
          </cell>
          <cell r="H224">
            <v>280.27999999999997</v>
          </cell>
          <cell r="I224">
            <v>280.5</v>
          </cell>
        </row>
        <row r="225">
          <cell r="G225" t="str">
            <v>M0111-B-113-1</v>
          </cell>
          <cell r="H225">
            <v>281.52999999999997</v>
          </cell>
          <cell r="I225">
            <v>282.69</v>
          </cell>
        </row>
        <row r="226">
          <cell r="G226" t="str">
            <v>M0111-B-114-1</v>
          </cell>
          <cell r="H226">
            <v>281.52999999999997</v>
          </cell>
          <cell r="I226">
            <v>282.54000000000002</v>
          </cell>
        </row>
        <row r="227">
          <cell r="G227" t="str">
            <v>M0111-B-114-1</v>
          </cell>
          <cell r="H227">
            <v>282.54000000000002</v>
          </cell>
          <cell r="I227">
            <v>283.3</v>
          </cell>
        </row>
        <row r="228">
          <cell r="G228" t="str">
            <v>M0111-B-115-2</v>
          </cell>
          <cell r="H228">
            <v>284.93</v>
          </cell>
          <cell r="I228">
            <v>286.38</v>
          </cell>
        </row>
        <row r="229">
          <cell r="G229" t="str">
            <v>M0111-B-115-1</v>
          </cell>
          <cell r="H229">
            <v>284.93</v>
          </cell>
          <cell r="I229">
            <v>286.38</v>
          </cell>
        </row>
        <row r="230">
          <cell r="G230" t="str">
            <v>M0111-B-116-2</v>
          </cell>
          <cell r="H230">
            <v>286.48</v>
          </cell>
          <cell r="I230">
            <v>287.99</v>
          </cell>
        </row>
        <row r="231">
          <cell r="G231" t="str">
            <v>M0111-B-116-1</v>
          </cell>
          <cell r="H231">
            <v>287.99</v>
          </cell>
          <cell r="I231">
            <v>288.62</v>
          </cell>
        </row>
        <row r="232">
          <cell r="G232" t="str">
            <v>M0111-B-116-2</v>
          </cell>
          <cell r="H232">
            <v>288.62</v>
          </cell>
          <cell r="I232">
            <v>288.77999999999997</v>
          </cell>
        </row>
        <row r="233">
          <cell r="G233" t="str">
            <v>M0111-B-117-3</v>
          </cell>
          <cell r="H233">
            <v>289.33</v>
          </cell>
          <cell r="I233">
            <v>290.29000000000002</v>
          </cell>
        </row>
        <row r="234">
          <cell r="G234" t="str">
            <v>M0111-B-119-1</v>
          </cell>
          <cell r="H234">
            <v>292.83</v>
          </cell>
          <cell r="I234">
            <v>293.49</v>
          </cell>
        </row>
        <row r="235">
          <cell r="G235" t="str">
            <v>M0111-B-120-1</v>
          </cell>
          <cell r="H235">
            <v>295.63</v>
          </cell>
          <cell r="I235">
            <v>296.70999999999998</v>
          </cell>
        </row>
        <row r="236">
          <cell r="G236" t="str">
            <v>M0111-B-121-1</v>
          </cell>
          <cell r="H236">
            <v>298.68</v>
          </cell>
          <cell r="I236">
            <v>299.68</v>
          </cell>
        </row>
        <row r="237">
          <cell r="G237" t="str">
            <v>M0111-B-121-1</v>
          </cell>
          <cell r="H237">
            <v>299.68</v>
          </cell>
          <cell r="I237">
            <v>300.33999999999997</v>
          </cell>
        </row>
        <row r="238">
          <cell r="G238" t="str">
            <v>M0111-B-122-2</v>
          </cell>
          <cell r="H238">
            <v>300.23</v>
          </cell>
          <cell r="I238">
            <v>301.14</v>
          </cell>
        </row>
        <row r="239">
          <cell r="G239" t="str">
            <v>M0111-B-122-1</v>
          </cell>
          <cell r="H239">
            <v>301.14</v>
          </cell>
          <cell r="I239">
            <v>301.64999999999998</v>
          </cell>
        </row>
        <row r="240">
          <cell r="G240" t="str">
            <v>M0111-B-125-2</v>
          </cell>
          <cell r="H240">
            <v>306.33</v>
          </cell>
          <cell r="I240">
            <v>306.8</v>
          </cell>
        </row>
        <row r="241">
          <cell r="G241" t="str">
            <v>M0111-B-126-1</v>
          </cell>
          <cell r="H241">
            <v>307.08</v>
          </cell>
          <cell r="I241">
            <v>307.5</v>
          </cell>
        </row>
        <row r="242">
          <cell r="G242" t="str">
            <v>M0111-B-127-1</v>
          </cell>
          <cell r="H242">
            <v>310.13</v>
          </cell>
          <cell r="I242">
            <v>311.13</v>
          </cell>
        </row>
        <row r="243">
          <cell r="G243" t="str">
            <v>M0111-B-127-1</v>
          </cell>
          <cell r="H243">
            <v>311.13</v>
          </cell>
          <cell r="I243">
            <v>311.97000000000003</v>
          </cell>
        </row>
        <row r="244">
          <cell r="G244" t="str">
            <v>M0111-B-128-2</v>
          </cell>
          <cell r="H244">
            <v>312.77999999999997</v>
          </cell>
          <cell r="I244">
            <v>314.29000000000002</v>
          </cell>
        </row>
        <row r="245">
          <cell r="G245" t="str">
            <v>M0111-B-128-1</v>
          </cell>
          <cell r="H245">
            <v>314.29000000000002</v>
          </cell>
          <cell r="I245">
            <v>315.3</v>
          </cell>
        </row>
        <row r="246">
          <cell r="G246" t="str">
            <v>M0111-B-128-2</v>
          </cell>
          <cell r="H246">
            <v>315.3</v>
          </cell>
          <cell r="I246">
            <v>315.95999999999998</v>
          </cell>
        </row>
        <row r="247">
          <cell r="G247" t="str">
            <v>M0111-B-129-1</v>
          </cell>
          <cell r="H247">
            <v>315.83</v>
          </cell>
          <cell r="I247">
            <v>317.33</v>
          </cell>
        </row>
        <row r="248">
          <cell r="G248" t="str">
            <v>M0111-B-129-2</v>
          </cell>
          <cell r="H248">
            <v>317.33</v>
          </cell>
          <cell r="I248">
            <v>318.64</v>
          </cell>
        </row>
        <row r="249">
          <cell r="G249" t="str">
            <v>M0111-B-130-1</v>
          </cell>
          <cell r="H249">
            <v>318.88</v>
          </cell>
          <cell r="I249">
            <v>320.38</v>
          </cell>
        </row>
        <row r="250">
          <cell r="G250" t="str">
            <v>M0111-B-130-2</v>
          </cell>
          <cell r="H250">
            <v>320.38</v>
          </cell>
          <cell r="I250">
            <v>321.45999999999998</v>
          </cell>
        </row>
        <row r="251">
          <cell r="G251" t="str">
            <v>M0111-B-131-1</v>
          </cell>
          <cell r="H251">
            <v>321.93</v>
          </cell>
          <cell r="I251">
            <v>322.47000000000003</v>
          </cell>
        </row>
        <row r="252">
          <cell r="G252" t="str">
            <v>M0111-B-132-1</v>
          </cell>
          <cell r="H252">
            <v>323.83</v>
          </cell>
          <cell r="I252">
            <v>324.06</v>
          </cell>
        </row>
        <row r="253">
          <cell r="G253" t="str">
            <v>M0111-B-133-1</v>
          </cell>
          <cell r="H253">
            <v>326.13</v>
          </cell>
          <cell r="I253">
            <v>327.63</v>
          </cell>
        </row>
        <row r="254">
          <cell r="G254" t="str">
            <v>M0111-B-133-2</v>
          </cell>
          <cell r="H254">
            <v>327.63</v>
          </cell>
          <cell r="I254">
            <v>328.33</v>
          </cell>
        </row>
        <row r="255">
          <cell r="G255" t="str">
            <v>M0111-B-134-1</v>
          </cell>
          <cell r="H255">
            <v>328.98</v>
          </cell>
          <cell r="I255">
            <v>329.69</v>
          </cell>
        </row>
        <row r="256">
          <cell r="G256" t="str">
            <v>M0111-B-135-1</v>
          </cell>
          <cell r="H256">
            <v>330.83</v>
          </cell>
          <cell r="I256">
            <v>331.55</v>
          </cell>
        </row>
        <row r="257">
          <cell r="G257" t="str">
            <v>M0111-B-137-1</v>
          </cell>
          <cell r="H257">
            <v>332.58</v>
          </cell>
          <cell r="I257">
            <v>333.22</v>
          </cell>
        </row>
        <row r="258">
          <cell r="G258" t="str">
            <v>M0111-B-138-1</v>
          </cell>
          <cell r="H258">
            <v>334.98</v>
          </cell>
          <cell r="I258">
            <v>336.37</v>
          </cell>
        </row>
        <row r="259">
          <cell r="G259" t="str">
            <v>M0111-B-139-1</v>
          </cell>
          <cell r="H259">
            <v>336.33</v>
          </cell>
          <cell r="I259">
            <v>337.24</v>
          </cell>
        </row>
        <row r="260">
          <cell r="G260" t="str">
            <v>M0111-B-140-1</v>
          </cell>
          <cell r="H260">
            <v>338.03</v>
          </cell>
          <cell r="I260">
            <v>338.65</v>
          </cell>
        </row>
        <row r="261">
          <cell r="G261" t="str">
            <v>M0111-B-141-1</v>
          </cell>
          <cell r="H261">
            <v>339.68</v>
          </cell>
          <cell r="I261">
            <v>339.81</v>
          </cell>
        </row>
        <row r="262">
          <cell r="G262" t="str">
            <v>M0111-B-144-1</v>
          </cell>
          <cell r="H262">
            <v>344.43</v>
          </cell>
          <cell r="I262">
            <v>344.89</v>
          </cell>
        </row>
        <row r="263">
          <cell r="G263" t="str">
            <v>M0111-B-146-1</v>
          </cell>
          <cell r="H263">
            <v>345.78</v>
          </cell>
          <cell r="I263">
            <v>345.82</v>
          </cell>
        </row>
        <row r="264">
          <cell r="G264" t="str">
            <v>M0111-B-147-1</v>
          </cell>
          <cell r="H264">
            <v>346.13</v>
          </cell>
          <cell r="I264">
            <v>346.57</v>
          </cell>
        </row>
        <row r="265">
          <cell r="G265" t="str">
            <v>M0111-B-149-1</v>
          </cell>
          <cell r="H265">
            <v>348.03</v>
          </cell>
          <cell r="I265">
            <v>349.15</v>
          </cell>
        </row>
        <row r="266">
          <cell r="G266" t="str">
            <v>M0111-B-150-1</v>
          </cell>
          <cell r="H266">
            <v>349.03</v>
          </cell>
          <cell r="I266">
            <v>349.13</v>
          </cell>
        </row>
        <row r="267">
          <cell r="G267" t="str">
            <v>M0111-B-151-1</v>
          </cell>
          <cell r="H267">
            <v>350.03</v>
          </cell>
          <cell r="I267">
            <v>350.67</v>
          </cell>
        </row>
        <row r="268">
          <cell r="G268" t="str">
            <v>M0111-B-152-1</v>
          </cell>
          <cell r="H268">
            <v>351.28</v>
          </cell>
          <cell r="I268">
            <v>351.62</v>
          </cell>
        </row>
        <row r="269">
          <cell r="G269" t="str">
            <v>M0111-B-154-1</v>
          </cell>
          <cell r="H269">
            <v>353.58</v>
          </cell>
          <cell r="I269">
            <v>353.81</v>
          </cell>
        </row>
        <row r="270">
          <cell r="G270" t="str">
            <v>M0111-B-155-1</v>
          </cell>
          <cell r="H270">
            <v>355.55</v>
          </cell>
          <cell r="I270">
            <v>356.52</v>
          </cell>
        </row>
        <row r="271">
          <cell r="G271" t="str">
            <v>M0111-B-156-1</v>
          </cell>
          <cell r="H271">
            <v>358.6</v>
          </cell>
          <cell r="I271">
            <v>358.75</v>
          </cell>
        </row>
        <row r="272">
          <cell r="G272" t="str">
            <v>M0111-B-157-1</v>
          </cell>
          <cell r="H272">
            <v>360.83</v>
          </cell>
          <cell r="I272">
            <v>361.57</v>
          </cell>
        </row>
        <row r="273">
          <cell r="G273" t="str">
            <v>M0111-B-158-1</v>
          </cell>
          <cell r="H273">
            <v>361.73</v>
          </cell>
          <cell r="I273">
            <v>362.35</v>
          </cell>
        </row>
        <row r="274">
          <cell r="G274" t="str">
            <v>M0111-B-158-2</v>
          </cell>
          <cell r="H274">
            <v>362.35</v>
          </cell>
          <cell r="I274">
            <v>362.72</v>
          </cell>
        </row>
        <row r="275">
          <cell r="G275" t="str">
            <v>M0111-B-159-1</v>
          </cell>
          <cell r="H275">
            <v>364.78</v>
          </cell>
          <cell r="I275">
            <v>365.38</v>
          </cell>
        </row>
        <row r="276">
          <cell r="G276" t="str">
            <v>M0111-B-160-1</v>
          </cell>
          <cell r="H276">
            <v>366.08</v>
          </cell>
          <cell r="I276">
            <v>366.5</v>
          </cell>
        </row>
        <row r="277">
          <cell r="G277" t="str">
            <v>M0111-B-161-1</v>
          </cell>
          <cell r="H277">
            <v>368.83</v>
          </cell>
          <cell r="I277">
            <v>369.83</v>
          </cell>
        </row>
        <row r="278">
          <cell r="G278" t="str">
            <v>M0111-B-165-1</v>
          </cell>
          <cell r="H278">
            <v>377.98</v>
          </cell>
          <cell r="I278">
            <v>379.48</v>
          </cell>
        </row>
        <row r="279">
          <cell r="G279" t="str">
            <v>M0111-B-165-2</v>
          </cell>
          <cell r="H279">
            <v>379.48</v>
          </cell>
          <cell r="I279">
            <v>379.91</v>
          </cell>
        </row>
        <row r="280">
          <cell r="G280" t="str">
            <v>M0111-B-166-1</v>
          </cell>
          <cell r="H280">
            <v>381.03</v>
          </cell>
          <cell r="I280">
            <v>381.93</v>
          </cell>
        </row>
        <row r="281">
          <cell r="G281" t="str">
            <v>M0111-B-168-1</v>
          </cell>
          <cell r="H281">
            <v>383.08</v>
          </cell>
          <cell r="I281">
            <v>383.25</v>
          </cell>
        </row>
        <row r="282">
          <cell r="G282" t="str">
            <v>M0111-B-169-1</v>
          </cell>
          <cell r="H282">
            <v>384.08</v>
          </cell>
          <cell r="I282">
            <v>384.26</v>
          </cell>
        </row>
        <row r="283">
          <cell r="G283" t="str">
            <v>M0111-B-171-1</v>
          </cell>
          <cell r="H283">
            <v>389.18</v>
          </cell>
          <cell r="I283">
            <v>389.3</v>
          </cell>
        </row>
        <row r="284">
          <cell r="G284" t="str">
            <v>M0111-C-1-1</v>
          </cell>
          <cell r="H284">
            <v>45.56</v>
          </cell>
          <cell r="I284">
            <v>47.06</v>
          </cell>
        </row>
        <row r="285">
          <cell r="G285" t="str">
            <v>M0111-C-1-2</v>
          </cell>
          <cell r="H285">
            <v>47.06</v>
          </cell>
          <cell r="I285">
            <v>47.67</v>
          </cell>
        </row>
        <row r="286">
          <cell r="G286" t="str">
            <v>M0111-C-2-1</v>
          </cell>
          <cell r="H286">
            <v>47.67</v>
          </cell>
          <cell r="I286">
            <v>48.24</v>
          </cell>
        </row>
        <row r="287">
          <cell r="G287" t="str">
            <v>M0111-C-2-2</v>
          </cell>
          <cell r="H287">
            <v>48.24</v>
          </cell>
          <cell r="I287">
            <v>48.56</v>
          </cell>
        </row>
        <row r="288">
          <cell r="G288" t="str">
            <v>M0111-C-3-1</v>
          </cell>
          <cell r="H288">
            <v>48.56</v>
          </cell>
          <cell r="I288">
            <v>49.77</v>
          </cell>
        </row>
        <row r="289">
          <cell r="G289" t="str">
            <v>M0111-C-3-2</v>
          </cell>
          <cell r="H289">
            <v>49.77</v>
          </cell>
          <cell r="I289">
            <v>50</v>
          </cell>
        </row>
        <row r="290">
          <cell r="G290" t="str">
            <v>M0111-C-4-1</v>
          </cell>
          <cell r="H290">
            <v>50</v>
          </cell>
          <cell r="I290">
            <v>51.1</v>
          </cell>
        </row>
        <row r="291">
          <cell r="G291" t="str">
            <v>M0111-C-5-1</v>
          </cell>
          <cell r="H291">
            <v>110</v>
          </cell>
          <cell r="I291">
            <v>110.77</v>
          </cell>
        </row>
        <row r="292">
          <cell r="G292" t="str">
            <v>M0111-C-6-1</v>
          </cell>
          <cell r="H292">
            <v>111.36</v>
          </cell>
          <cell r="I292">
            <v>112.09</v>
          </cell>
        </row>
        <row r="293">
          <cell r="G293" t="str">
            <v>M0111-C-6-2</v>
          </cell>
          <cell r="H293">
            <v>112.09</v>
          </cell>
          <cell r="I293">
            <v>112.66</v>
          </cell>
        </row>
        <row r="294">
          <cell r="G294" t="str">
            <v>M0111-C-7-1</v>
          </cell>
          <cell r="H294">
            <v>120.36</v>
          </cell>
          <cell r="I294">
            <v>121.87</v>
          </cell>
        </row>
        <row r="295">
          <cell r="G295" t="str">
            <v>M0111-C-7-2</v>
          </cell>
          <cell r="H295">
            <v>121.87</v>
          </cell>
          <cell r="I295">
            <v>123.29</v>
          </cell>
        </row>
        <row r="296">
          <cell r="G296" t="str">
            <v>M0111-C-8-1</v>
          </cell>
          <cell r="H296">
            <v>125</v>
          </cell>
          <cell r="I296">
            <v>126.01</v>
          </cell>
        </row>
        <row r="297">
          <cell r="G297" t="str">
            <v>M0111-C-8-2</v>
          </cell>
          <cell r="H297">
            <v>126.01</v>
          </cell>
          <cell r="I297">
            <v>126.45</v>
          </cell>
        </row>
        <row r="298">
          <cell r="G298" t="str">
            <v>M0111-C-9-1</v>
          </cell>
          <cell r="H298">
            <v>126.36</v>
          </cell>
          <cell r="I298">
            <v>127.87</v>
          </cell>
        </row>
        <row r="299">
          <cell r="G299" t="str">
            <v>M0111-C-9-2</v>
          </cell>
          <cell r="H299">
            <v>127.87</v>
          </cell>
          <cell r="I299">
            <v>129.19</v>
          </cell>
        </row>
        <row r="300">
          <cell r="G300" t="str">
            <v>M0111-C-10-1</v>
          </cell>
          <cell r="H300">
            <v>150</v>
          </cell>
          <cell r="I300">
            <v>151.5</v>
          </cell>
        </row>
        <row r="301">
          <cell r="G301" t="str">
            <v>M0111-C-10-2</v>
          </cell>
          <cell r="H301">
            <v>151.5</v>
          </cell>
          <cell r="I301">
            <v>152.5</v>
          </cell>
        </row>
        <row r="302">
          <cell r="G302" t="str">
            <v>M0111-C-10-3</v>
          </cell>
          <cell r="H302">
            <v>152.5</v>
          </cell>
          <cell r="I302">
            <v>153.12</v>
          </cell>
        </row>
        <row r="303">
          <cell r="G303" t="str">
            <v>M0111-C-11-1</v>
          </cell>
          <cell r="H303">
            <v>153</v>
          </cell>
          <cell r="I303">
            <v>154.5</v>
          </cell>
        </row>
        <row r="304">
          <cell r="G304" t="str">
            <v>M0111-C-11-2</v>
          </cell>
          <cell r="H304">
            <v>154.5</v>
          </cell>
          <cell r="I304">
            <v>155.49</v>
          </cell>
        </row>
        <row r="305">
          <cell r="G305" t="str">
            <v>M0111-C-11-3</v>
          </cell>
          <cell r="H305">
            <v>155.49</v>
          </cell>
          <cell r="I305">
            <v>156.12</v>
          </cell>
        </row>
        <row r="306">
          <cell r="G306" t="str">
            <v>M0111-C-12-1</v>
          </cell>
          <cell r="H306">
            <v>156</v>
          </cell>
          <cell r="I306">
            <v>157.47999999999999</v>
          </cell>
        </row>
        <row r="307">
          <cell r="G307" t="str">
            <v>M0111-C-12-2</v>
          </cell>
          <cell r="H307">
            <v>157.47999999999999</v>
          </cell>
          <cell r="I307">
            <v>158.11000000000001</v>
          </cell>
        </row>
        <row r="308">
          <cell r="G308" t="str">
            <v>M0111-C-13-1</v>
          </cell>
          <cell r="H308">
            <v>159</v>
          </cell>
          <cell r="I308">
            <v>159.83000000000001</v>
          </cell>
        </row>
        <row r="309">
          <cell r="G309" t="str">
            <v>M0111-C-14-1</v>
          </cell>
          <cell r="H309">
            <v>161.16</v>
          </cell>
          <cell r="I309">
            <v>162.13999999999999</v>
          </cell>
        </row>
        <row r="310">
          <cell r="G310" t="str">
            <v>M0111-C-15-1</v>
          </cell>
          <cell r="H310">
            <v>162.36000000000001</v>
          </cell>
          <cell r="I310">
            <v>163.25</v>
          </cell>
        </row>
        <row r="311">
          <cell r="G311" t="str">
            <v>M0111-C-17-1</v>
          </cell>
          <cell r="H311">
            <v>166.36</v>
          </cell>
          <cell r="I311">
            <v>166.53</v>
          </cell>
        </row>
        <row r="312">
          <cell r="G312" t="str">
            <v>M0111-C-18-1</v>
          </cell>
          <cell r="H312">
            <v>168.36</v>
          </cell>
          <cell r="I312">
            <v>169.86</v>
          </cell>
        </row>
        <row r="313">
          <cell r="G313" t="str">
            <v>M0111-C-18-2</v>
          </cell>
          <cell r="H313">
            <v>169.86</v>
          </cell>
          <cell r="I313">
            <v>171.22</v>
          </cell>
        </row>
        <row r="314">
          <cell r="G314" t="str">
            <v>M0111-C-19-1</v>
          </cell>
          <cell r="H314">
            <v>150.36000000000001</v>
          </cell>
          <cell r="I314">
            <v>165.36</v>
          </cell>
        </row>
        <row r="315">
          <cell r="G315" t="str">
            <v>M0111-C-20-1</v>
          </cell>
          <cell r="H315">
            <v>171.36</v>
          </cell>
          <cell r="I315">
            <v>172.86</v>
          </cell>
        </row>
        <row r="316">
          <cell r="G316" t="str">
            <v>M0111-C-20-2</v>
          </cell>
          <cell r="H316">
            <v>172.86</v>
          </cell>
          <cell r="I316">
            <v>174.36</v>
          </cell>
        </row>
        <row r="317">
          <cell r="G317" t="str">
            <v>M0111-C-20-3</v>
          </cell>
          <cell r="H317">
            <v>174.36</v>
          </cell>
          <cell r="I317">
            <v>174.68</v>
          </cell>
        </row>
        <row r="318">
          <cell r="G318" t="str">
            <v>M0111-C-21-1</v>
          </cell>
          <cell r="H318">
            <v>177.36</v>
          </cell>
          <cell r="I318">
            <v>178.88</v>
          </cell>
        </row>
        <row r="319">
          <cell r="G319" t="str">
            <v>M0111-C-21-2</v>
          </cell>
          <cell r="H319">
            <v>178.88</v>
          </cell>
          <cell r="I319">
            <v>180.39</v>
          </cell>
        </row>
        <row r="320">
          <cell r="G320" t="str">
            <v>M0111-C-21-3</v>
          </cell>
          <cell r="H320">
            <v>180.39</v>
          </cell>
          <cell r="I320">
            <v>180.72</v>
          </cell>
        </row>
        <row r="321">
          <cell r="G321" t="str">
            <v>M0111-C-22-1</v>
          </cell>
          <cell r="H321">
            <v>185</v>
          </cell>
          <cell r="I321">
            <v>185.79</v>
          </cell>
        </row>
        <row r="322">
          <cell r="G322" t="str">
            <v>M0111-C-23-1</v>
          </cell>
          <cell r="H322">
            <v>186.36</v>
          </cell>
          <cell r="I322">
            <v>187.87</v>
          </cell>
        </row>
        <row r="323">
          <cell r="G323" t="str">
            <v>M0111-C-23-2</v>
          </cell>
          <cell r="H323">
            <v>187.87</v>
          </cell>
          <cell r="I323">
            <v>189.37</v>
          </cell>
        </row>
        <row r="324">
          <cell r="G324" t="str">
            <v>M0111-C-23-3</v>
          </cell>
          <cell r="H324">
            <v>189.37</v>
          </cell>
          <cell r="I324">
            <v>189.71</v>
          </cell>
        </row>
        <row r="325">
          <cell r="G325" t="str">
            <v>M0111-C-24-1</v>
          </cell>
          <cell r="H325">
            <v>189.36</v>
          </cell>
          <cell r="I325">
            <v>190.86</v>
          </cell>
        </row>
        <row r="326">
          <cell r="G326" t="str">
            <v>M0111-C-24-2</v>
          </cell>
          <cell r="H326">
            <v>190.86</v>
          </cell>
          <cell r="I326">
            <v>192.36</v>
          </cell>
        </row>
        <row r="327">
          <cell r="G327" t="str">
            <v>M0111-C-24-3</v>
          </cell>
          <cell r="H327">
            <v>192.36</v>
          </cell>
          <cell r="I327">
            <v>192.51</v>
          </cell>
        </row>
        <row r="328">
          <cell r="G328" t="str">
            <v>M0111-C-25-1</v>
          </cell>
          <cell r="H328">
            <v>192.36</v>
          </cell>
          <cell r="I328">
            <v>193.86</v>
          </cell>
        </row>
        <row r="329">
          <cell r="G329" t="str">
            <v>M0111-C-25-2</v>
          </cell>
          <cell r="H329">
            <v>193.86</v>
          </cell>
          <cell r="I329">
            <v>195.17</v>
          </cell>
        </row>
        <row r="330">
          <cell r="G330" t="str">
            <v>M0111-C-26-1</v>
          </cell>
          <cell r="H330">
            <v>195.36</v>
          </cell>
          <cell r="I330">
            <v>196.87</v>
          </cell>
        </row>
        <row r="331">
          <cell r="G331" t="str">
            <v>M0111-C-26-2</v>
          </cell>
          <cell r="H331">
            <v>196.87</v>
          </cell>
          <cell r="I331">
            <v>197.67</v>
          </cell>
        </row>
        <row r="332">
          <cell r="G332" t="str">
            <v>M0111-C-27-1</v>
          </cell>
          <cell r="H332">
            <v>198.36</v>
          </cell>
          <cell r="I332">
            <v>199.86</v>
          </cell>
        </row>
        <row r="333">
          <cell r="G333" t="str">
            <v>M0111-C-27-2</v>
          </cell>
          <cell r="H333">
            <v>199.86</v>
          </cell>
          <cell r="I333">
            <v>200.97</v>
          </cell>
        </row>
        <row r="334">
          <cell r="G334" t="str">
            <v>M0111-C-28-1</v>
          </cell>
          <cell r="H334">
            <v>201.36</v>
          </cell>
          <cell r="I334">
            <v>202.86</v>
          </cell>
        </row>
        <row r="335">
          <cell r="G335" t="str">
            <v>M0111-C-28-2</v>
          </cell>
          <cell r="H335">
            <v>202.86</v>
          </cell>
          <cell r="I335">
            <v>204.33</v>
          </cell>
        </row>
        <row r="336">
          <cell r="G336" t="str">
            <v>M0111-C-28-3</v>
          </cell>
          <cell r="H336">
            <v>204.33</v>
          </cell>
          <cell r="I336">
            <v>204.51</v>
          </cell>
        </row>
        <row r="337">
          <cell r="G337" t="str">
            <v>M0111-C-29-1</v>
          </cell>
          <cell r="H337">
            <v>204.36</v>
          </cell>
          <cell r="I337">
            <v>204.69</v>
          </cell>
        </row>
        <row r="338">
          <cell r="G338" t="str">
            <v>M0111-C-30-1</v>
          </cell>
          <cell r="H338">
            <v>207.36</v>
          </cell>
          <cell r="I338">
            <v>208.87</v>
          </cell>
        </row>
        <row r="339">
          <cell r="G339" t="str">
            <v>M0111-C-30-2</v>
          </cell>
          <cell r="H339">
            <v>208.87</v>
          </cell>
          <cell r="I339">
            <v>209.97</v>
          </cell>
        </row>
        <row r="340">
          <cell r="G340" t="str">
            <v>M0111-C-30-3</v>
          </cell>
          <cell r="H340">
            <v>209.97</v>
          </cell>
          <cell r="I340">
            <v>210.25</v>
          </cell>
        </row>
        <row r="341">
          <cell r="G341" t="str">
            <v>M0111-C-31-1</v>
          </cell>
          <cell r="H341">
            <v>210.36</v>
          </cell>
          <cell r="I341">
            <v>211.67</v>
          </cell>
        </row>
        <row r="342">
          <cell r="G342" t="str">
            <v>M0111-C-32-1</v>
          </cell>
          <cell r="H342">
            <v>213.36</v>
          </cell>
          <cell r="I342">
            <v>213.83</v>
          </cell>
        </row>
        <row r="343">
          <cell r="G343" t="str">
            <v>M0111-C-33-1</v>
          </cell>
          <cell r="H343">
            <v>216.36</v>
          </cell>
          <cell r="I343">
            <v>217.79</v>
          </cell>
        </row>
        <row r="344">
          <cell r="G344" t="str">
            <v>M0111-C-33-2</v>
          </cell>
          <cell r="H344">
            <v>217.79</v>
          </cell>
          <cell r="I344">
            <v>218.68</v>
          </cell>
        </row>
        <row r="345">
          <cell r="G345" t="str">
            <v>M0111-C-34-1</v>
          </cell>
          <cell r="H345">
            <v>219.36</v>
          </cell>
          <cell r="I345">
            <v>220.86</v>
          </cell>
        </row>
        <row r="346">
          <cell r="G346" t="str">
            <v>M0111-C-34-2</v>
          </cell>
          <cell r="H346">
            <v>220.86</v>
          </cell>
          <cell r="I346">
            <v>221.74</v>
          </cell>
        </row>
        <row r="347">
          <cell r="G347" t="str">
            <v>M0111-C-35-1</v>
          </cell>
          <cell r="H347">
            <v>222.36</v>
          </cell>
          <cell r="I347">
            <v>222.99</v>
          </cell>
        </row>
        <row r="348">
          <cell r="G348" t="str">
            <v>M0111-C-36-1</v>
          </cell>
          <cell r="H348">
            <v>223.16</v>
          </cell>
          <cell r="I348">
            <v>223.66</v>
          </cell>
        </row>
        <row r="349">
          <cell r="G349" t="str">
            <v>M0111-C-37-1</v>
          </cell>
          <cell r="H349">
            <v>225.36</v>
          </cell>
          <cell r="I349">
            <v>225.39</v>
          </cell>
        </row>
        <row r="350">
          <cell r="G350" t="str">
            <v>M0111-C-38-1</v>
          </cell>
          <cell r="H350">
            <v>228.36</v>
          </cell>
          <cell r="I350">
            <v>228.38</v>
          </cell>
        </row>
        <row r="351">
          <cell r="G351" t="str">
            <v>M0111-C-39-1</v>
          </cell>
          <cell r="H351">
            <v>229.36</v>
          </cell>
          <cell r="I351">
            <v>230.3</v>
          </cell>
        </row>
        <row r="352">
          <cell r="G352" t="str">
            <v>M0112-A-1-1</v>
          </cell>
          <cell r="H352">
            <v>0</v>
          </cell>
          <cell r="I352">
            <v>0.71</v>
          </cell>
        </row>
        <row r="353">
          <cell r="G353" t="str">
            <v>M0112-A-1-2</v>
          </cell>
          <cell r="H353">
            <v>0.71</v>
          </cell>
          <cell r="I353">
            <v>2.21</v>
          </cell>
        </row>
        <row r="354">
          <cell r="G354" t="str">
            <v>M0112-A-2-1</v>
          </cell>
          <cell r="H354">
            <v>2.21</v>
          </cell>
          <cell r="I354">
            <v>3.71</v>
          </cell>
        </row>
        <row r="355">
          <cell r="G355" t="str">
            <v>M0112-A-2-2</v>
          </cell>
          <cell r="H355">
            <v>3.71</v>
          </cell>
          <cell r="I355">
            <v>5.01</v>
          </cell>
        </row>
        <row r="356">
          <cell r="G356" t="str">
            <v>M0112-A-3-1</v>
          </cell>
          <cell r="H356">
            <v>5.01</v>
          </cell>
          <cell r="I356">
            <v>6.52</v>
          </cell>
        </row>
        <row r="357">
          <cell r="G357" t="str">
            <v>M0112-A-3-2</v>
          </cell>
          <cell r="H357">
            <v>6.52</v>
          </cell>
          <cell r="I357">
            <v>7.17</v>
          </cell>
        </row>
        <row r="358">
          <cell r="G358" t="str">
            <v>M0112-A-4-1</v>
          </cell>
          <cell r="H358">
            <v>7.17</v>
          </cell>
          <cell r="I358">
            <v>8.67</v>
          </cell>
        </row>
        <row r="359">
          <cell r="G359" t="str">
            <v>M0112-A-4-2</v>
          </cell>
          <cell r="H359">
            <v>8.67</v>
          </cell>
          <cell r="I359">
            <v>9.25</v>
          </cell>
        </row>
        <row r="360">
          <cell r="G360" t="str">
            <v>M0112-A-5-1</v>
          </cell>
          <cell r="H360">
            <v>9.25</v>
          </cell>
          <cell r="I360">
            <v>10.5</v>
          </cell>
        </row>
        <row r="361">
          <cell r="G361" t="str">
            <v>M0112-A-5-2</v>
          </cell>
          <cell r="H361">
            <v>10.5</v>
          </cell>
          <cell r="I361">
            <v>11.45</v>
          </cell>
        </row>
        <row r="362">
          <cell r="G362" t="str">
            <v>M0112-A-6-1</v>
          </cell>
          <cell r="H362">
            <v>11.45</v>
          </cell>
          <cell r="I362">
            <v>12.21</v>
          </cell>
        </row>
        <row r="363">
          <cell r="G363" t="str">
            <v>M0112-A-7-1</v>
          </cell>
          <cell r="H363">
            <v>12.21</v>
          </cell>
          <cell r="I363">
            <v>13.71</v>
          </cell>
        </row>
        <row r="364">
          <cell r="G364" t="str">
            <v>M0112-A-7-2</v>
          </cell>
          <cell r="H364">
            <v>13.71</v>
          </cell>
          <cell r="I364">
            <v>14.58</v>
          </cell>
        </row>
        <row r="365">
          <cell r="G365" t="str">
            <v>M0112-A-8-1</v>
          </cell>
          <cell r="H365">
            <v>14.58</v>
          </cell>
          <cell r="I365">
            <v>16.07</v>
          </cell>
        </row>
        <row r="366">
          <cell r="G366" t="str">
            <v>M0112-A-8-2</v>
          </cell>
          <cell r="H366">
            <v>16.07</v>
          </cell>
          <cell r="I366">
            <v>17.23</v>
          </cell>
        </row>
        <row r="367">
          <cell r="G367" t="str">
            <v>M0112-A-9-1</v>
          </cell>
          <cell r="H367">
            <v>17.23</v>
          </cell>
          <cell r="I367">
            <v>18.73</v>
          </cell>
        </row>
        <row r="368">
          <cell r="G368" t="str">
            <v>M0112-A-9-2</v>
          </cell>
          <cell r="H368">
            <v>18.73</v>
          </cell>
          <cell r="I368">
            <v>19.87</v>
          </cell>
        </row>
        <row r="369">
          <cell r="G369" t="str">
            <v>M0112-A-10-1</v>
          </cell>
          <cell r="H369">
            <v>19.87</v>
          </cell>
          <cell r="I369">
            <v>21.28</v>
          </cell>
        </row>
        <row r="370">
          <cell r="G370" t="str">
            <v>M0112-A-11-1</v>
          </cell>
          <cell r="H370">
            <v>21.28</v>
          </cell>
          <cell r="I370">
            <v>22.79</v>
          </cell>
        </row>
        <row r="371">
          <cell r="G371" t="str">
            <v>M0112-A-11-2</v>
          </cell>
          <cell r="H371">
            <v>22.79</v>
          </cell>
          <cell r="I371">
            <v>23.91</v>
          </cell>
        </row>
        <row r="372">
          <cell r="G372" t="str">
            <v>M0112-A-12-1</v>
          </cell>
          <cell r="H372">
            <v>23.91</v>
          </cell>
          <cell r="I372">
            <v>23.92</v>
          </cell>
        </row>
        <row r="373">
          <cell r="G373" t="str">
            <v>M0112-A-13-1</v>
          </cell>
          <cell r="H373">
            <v>23.92</v>
          </cell>
          <cell r="I373">
            <v>24.33</v>
          </cell>
        </row>
        <row r="374">
          <cell r="G374" t="str">
            <v>M0112-A-14-1</v>
          </cell>
          <cell r="H374">
            <v>24.33</v>
          </cell>
          <cell r="I374">
            <v>25.79</v>
          </cell>
        </row>
        <row r="375">
          <cell r="G375" t="str">
            <v>M0112-A-15-1</v>
          </cell>
          <cell r="H375">
            <v>25.79</v>
          </cell>
          <cell r="I375">
            <v>27.3</v>
          </cell>
        </row>
        <row r="376">
          <cell r="G376" t="str">
            <v>M0112-A-15-2</v>
          </cell>
          <cell r="H376">
            <v>27.3</v>
          </cell>
          <cell r="I376">
            <v>27.67</v>
          </cell>
        </row>
        <row r="377">
          <cell r="G377" t="str">
            <v>M0112-A-16-1</v>
          </cell>
          <cell r="H377">
            <v>27.67</v>
          </cell>
          <cell r="I377">
            <v>29.16</v>
          </cell>
        </row>
        <row r="378">
          <cell r="G378" t="str">
            <v>M0112-A-16-2</v>
          </cell>
          <cell r="H378">
            <v>29.16</v>
          </cell>
          <cell r="I378">
            <v>29.48</v>
          </cell>
        </row>
        <row r="379">
          <cell r="G379" t="str">
            <v>M0112-A-17-1</v>
          </cell>
          <cell r="H379">
            <v>29.48</v>
          </cell>
          <cell r="I379">
            <v>30.1</v>
          </cell>
        </row>
        <row r="380">
          <cell r="G380" t="str">
            <v>M0112-A-19-1</v>
          </cell>
          <cell r="H380">
            <v>32.21</v>
          </cell>
          <cell r="I380">
            <v>32.799999999999997</v>
          </cell>
        </row>
        <row r="381">
          <cell r="G381" t="str">
            <v>M0112-A-19-2</v>
          </cell>
          <cell r="H381">
            <v>32.799999999999997</v>
          </cell>
          <cell r="I381">
            <v>33.130000000000003</v>
          </cell>
        </row>
        <row r="382">
          <cell r="G382" t="str">
            <v>M0112-A-20-1</v>
          </cell>
          <cell r="H382">
            <v>33.130000000000003</v>
          </cell>
          <cell r="I382">
            <v>34.61</v>
          </cell>
        </row>
        <row r="383">
          <cell r="G383" t="str">
            <v>M0112-A-20-2</v>
          </cell>
          <cell r="H383">
            <v>34.61</v>
          </cell>
          <cell r="I383">
            <v>34.81</v>
          </cell>
        </row>
        <row r="384">
          <cell r="G384" t="str">
            <v>M0112-A-21-1</v>
          </cell>
          <cell r="H384">
            <v>34.81</v>
          </cell>
          <cell r="I384">
            <v>36.31</v>
          </cell>
        </row>
        <row r="385">
          <cell r="G385" t="str">
            <v>M0112-A-21-2</v>
          </cell>
          <cell r="H385">
            <v>36.31</v>
          </cell>
          <cell r="I385">
            <v>36.79</v>
          </cell>
        </row>
        <row r="386">
          <cell r="G386" t="str">
            <v>M0112-A-22-1</v>
          </cell>
          <cell r="H386">
            <v>36.79</v>
          </cell>
          <cell r="I386">
            <v>38.229999999999997</v>
          </cell>
        </row>
        <row r="387">
          <cell r="G387" t="str">
            <v>M0112-A-22-2</v>
          </cell>
          <cell r="H387">
            <v>38.229999999999997</v>
          </cell>
          <cell r="I387">
            <v>38.590000000000003</v>
          </cell>
        </row>
        <row r="388">
          <cell r="G388" t="str">
            <v>M0112-A-23-1</v>
          </cell>
          <cell r="H388">
            <v>38.590000000000003</v>
          </cell>
          <cell r="I388">
            <v>40.07</v>
          </cell>
        </row>
        <row r="389">
          <cell r="G389" t="str">
            <v>M0112-A-23-2</v>
          </cell>
          <cell r="H389">
            <v>40.07</v>
          </cell>
          <cell r="I389">
            <v>41.48</v>
          </cell>
        </row>
        <row r="390">
          <cell r="G390" t="str">
            <v>M0112-A-24-1</v>
          </cell>
          <cell r="H390">
            <v>41.38</v>
          </cell>
          <cell r="I390">
            <v>42.87</v>
          </cell>
        </row>
        <row r="391">
          <cell r="G391" t="str">
            <v>M0112-A-24-2</v>
          </cell>
          <cell r="H391">
            <v>42.87</v>
          </cell>
          <cell r="I391">
            <v>44.31</v>
          </cell>
        </row>
        <row r="392">
          <cell r="G392" t="str">
            <v>M0112-A-25-1</v>
          </cell>
          <cell r="H392">
            <v>44.14</v>
          </cell>
          <cell r="I392">
            <v>45.36</v>
          </cell>
        </row>
        <row r="393">
          <cell r="G393" t="str">
            <v>M0112-A-27-1</v>
          </cell>
          <cell r="H393">
            <v>45.36</v>
          </cell>
          <cell r="I393">
            <v>46.43</v>
          </cell>
        </row>
        <row r="394">
          <cell r="G394" t="str">
            <v>M0112-A-28-1</v>
          </cell>
          <cell r="H394">
            <v>46.43</v>
          </cell>
          <cell r="I394">
            <v>47.43</v>
          </cell>
        </row>
        <row r="395">
          <cell r="G395" t="str">
            <v>M0112-A-29-1</v>
          </cell>
          <cell r="H395">
            <v>47.43</v>
          </cell>
          <cell r="I395">
            <v>47.96</v>
          </cell>
        </row>
        <row r="396">
          <cell r="G396" t="str">
            <v>M0112-A-30-1</v>
          </cell>
          <cell r="H396">
            <v>47.96</v>
          </cell>
          <cell r="I396">
            <v>48.18</v>
          </cell>
        </row>
        <row r="397">
          <cell r="G397" t="str">
            <v>M0112-A-31-1</v>
          </cell>
          <cell r="H397">
            <v>49.96</v>
          </cell>
          <cell r="I397">
            <v>51.45</v>
          </cell>
        </row>
        <row r="398">
          <cell r="G398" t="str">
            <v>M0112-A-32-1</v>
          </cell>
          <cell r="H398">
            <v>51.45</v>
          </cell>
          <cell r="I398">
            <v>52.95</v>
          </cell>
        </row>
        <row r="399">
          <cell r="G399" t="str">
            <v>M0112-A-32-2</v>
          </cell>
          <cell r="H399">
            <v>52.95</v>
          </cell>
          <cell r="I399">
            <v>53.61</v>
          </cell>
        </row>
        <row r="400">
          <cell r="G400" t="str">
            <v>M0112-A-33-1</v>
          </cell>
          <cell r="H400">
            <v>53.61</v>
          </cell>
          <cell r="I400">
            <v>54.51</v>
          </cell>
        </row>
        <row r="401">
          <cell r="G401" t="str">
            <v>M0112-A-33-2</v>
          </cell>
          <cell r="H401">
            <v>54.51</v>
          </cell>
          <cell r="I401">
            <v>55.15</v>
          </cell>
        </row>
        <row r="402">
          <cell r="G402" t="str">
            <v>M0112-A-34-1</v>
          </cell>
          <cell r="H402">
            <v>55.15</v>
          </cell>
          <cell r="I402">
            <v>56.15</v>
          </cell>
        </row>
        <row r="403">
          <cell r="G403" t="str">
            <v>M0112-A-34-2</v>
          </cell>
          <cell r="H403">
            <v>56.15</v>
          </cell>
          <cell r="I403">
            <v>56.31</v>
          </cell>
        </row>
        <row r="404">
          <cell r="G404" t="str">
            <v>M0112-A-35-1</v>
          </cell>
          <cell r="H404">
            <v>56.3</v>
          </cell>
          <cell r="I404">
            <v>56.68</v>
          </cell>
        </row>
        <row r="405">
          <cell r="G405" t="str">
            <v>M0112-A-36-1</v>
          </cell>
          <cell r="H405">
            <v>56.3</v>
          </cell>
          <cell r="I405">
            <v>57.8</v>
          </cell>
        </row>
        <row r="406">
          <cell r="G406" t="str">
            <v>M0112-A-36-2</v>
          </cell>
          <cell r="H406">
            <v>57.8</v>
          </cell>
          <cell r="I406">
            <v>59.3</v>
          </cell>
        </row>
        <row r="407">
          <cell r="G407" t="str">
            <v>M0112-A-37-1</v>
          </cell>
          <cell r="H407">
            <v>59.21</v>
          </cell>
          <cell r="I407">
            <v>59.52</v>
          </cell>
        </row>
        <row r="408">
          <cell r="G408" t="str">
            <v>M0112-A-38-1</v>
          </cell>
          <cell r="H408">
            <v>59.61</v>
          </cell>
          <cell r="I408">
            <v>60.11</v>
          </cell>
        </row>
        <row r="409">
          <cell r="G409" t="str">
            <v>M0112-A-39-1</v>
          </cell>
          <cell r="H409">
            <v>60.51</v>
          </cell>
          <cell r="I409">
            <v>61.27</v>
          </cell>
        </row>
        <row r="410">
          <cell r="G410" t="str">
            <v>M0112-A-40-1</v>
          </cell>
          <cell r="H410">
            <v>62.21</v>
          </cell>
          <cell r="I410">
            <v>63.21</v>
          </cell>
        </row>
        <row r="411">
          <cell r="G411" t="str">
            <v>M0112-A-40-2</v>
          </cell>
          <cell r="H411">
            <v>63.21</v>
          </cell>
          <cell r="I411">
            <v>63.56</v>
          </cell>
        </row>
        <row r="412">
          <cell r="G412" t="str">
            <v>M0112-A-41-1</v>
          </cell>
          <cell r="H412">
            <v>65.209999999999994</v>
          </cell>
          <cell r="I412">
            <v>66.7</v>
          </cell>
        </row>
        <row r="413">
          <cell r="G413" t="str">
            <v>M0112-A-41-2</v>
          </cell>
          <cell r="H413">
            <v>66.7</v>
          </cell>
          <cell r="I413">
            <v>68.09</v>
          </cell>
        </row>
        <row r="414">
          <cell r="G414" t="str">
            <v>M0112-A-42-1</v>
          </cell>
          <cell r="H414">
            <v>67.59</v>
          </cell>
          <cell r="I414">
            <v>68.34</v>
          </cell>
        </row>
        <row r="415">
          <cell r="G415" t="str">
            <v>M0112-A-43-1</v>
          </cell>
          <cell r="H415">
            <v>68.34</v>
          </cell>
          <cell r="I415">
            <v>69.14</v>
          </cell>
        </row>
        <row r="416">
          <cell r="G416" t="str">
            <v>M0112-A-43-2</v>
          </cell>
          <cell r="H416">
            <v>69.14</v>
          </cell>
          <cell r="I416">
            <v>69.42</v>
          </cell>
        </row>
        <row r="417">
          <cell r="G417" t="str">
            <v>M0112-A-44-1</v>
          </cell>
          <cell r="H417">
            <v>69.42</v>
          </cell>
          <cell r="I417">
            <v>70.290000000000006</v>
          </cell>
        </row>
        <row r="418">
          <cell r="G418" t="str">
            <v>M0112-A-45-1</v>
          </cell>
          <cell r="H418">
            <v>70.08</v>
          </cell>
          <cell r="I418">
            <v>71.11</v>
          </cell>
        </row>
        <row r="419">
          <cell r="G419" t="str">
            <v>M0112-A-46-1</v>
          </cell>
          <cell r="H419">
            <v>71.11</v>
          </cell>
          <cell r="I419">
            <v>71.959999999999994</v>
          </cell>
        </row>
        <row r="420">
          <cell r="G420" t="str">
            <v>M0112-A-46-2</v>
          </cell>
          <cell r="H420">
            <v>71.959999999999994</v>
          </cell>
          <cell r="I420">
            <v>72.180000000000007</v>
          </cell>
        </row>
        <row r="421">
          <cell r="G421" t="str">
            <v>M0112-A-47-1</v>
          </cell>
          <cell r="H421">
            <v>72.180000000000007</v>
          </cell>
          <cell r="I421">
            <v>72.86</v>
          </cell>
        </row>
        <row r="422">
          <cell r="G422" t="str">
            <v>M0112-A-48-1</v>
          </cell>
          <cell r="H422">
            <v>72.86</v>
          </cell>
          <cell r="I422">
            <v>73.010000000000005</v>
          </cell>
        </row>
        <row r="423">
          <cell r="G423" t="str">
            <v>M0112-A-48-2</v>
          </cell>
          <cell r="H423">
            <v>73.010000000000005</v>
          </cell>
          <cell r="I423">
            <v>74.19</v>
          </cell>
        </row>
        <row r="424">
          <cell r="G424" t="str">
            <v>M0112-A-49-1</v>
          </cell>
          <cell r="H424">
            <v>74.19</v>
          </cell>
          <cell r="I424">
            <v>75.39</v>
          </cell>
        </row>
        <row r="425">
          <cell r="G425" t="str">
            <v>M0112-A-50-1</v>
          </cell>
          <cell r="H425">
            <v>75.39</v>
          </cell>
          <cell r="I425">
            <v>76.69</v>
          </cell>
        </row>
        <row r="426">
          <cell r="G426" t="str">
            <v>M0112-A-50-2</v>
          </cell>
          <cell r="H426">
            <v>76.69</v>
          </cell>
          <cell r="I426">
            <v>77.42</v>
          </cell>
        </row>
        <row r="427">
          <cell r="G427" t="str">
            <v>M0112-A-51-1</v>
          </cell>
          <cell r="H427">
            <v>77.239999999999995</v>
          </cell>
          <cell r="I427">
            <v>78.739999999999995</v>
          </cell>
        </row>
        <row r="428">
          <cell r="G428" t="str">
            <v>M0112-A-51-2</v>
          </cell>
          <cell r="H428">
            <v>78.739999999999995</v>
          </cell>
          <cell r="I428">
            <v>79.989999999999995</v>
          </cell>
        </row>
        <row r="429">
          <cell r="G429" t="str">
            <v>M0112-A-51-3</v>
          </cell>
          <cell r="H429">
            <v>79.989999999999995</v>
          </cell>
          <cell r="I429">
            <v>80.34</v>
          </cell>
        </row>
        <row r="430">
          <cell r="G430" t="str">
            <v>M0112-A-52-1</v>
          </cell>
          <cell r="H430">
            <v>80.209999999999994</v>
          </cell>
          <cell r="I430">
            <v>81.709999999999994</v>
          </cell>
        </row>
        <row r="431">
          <cell r="G431" t="str">
            <v>M0112-A-52-2</v>
          </cell>
          <cell r="H431">
            <v>81.709999999999994</v>
          </cell>
          <cell r="I431">
            <v>82.56</v>
          </cell>
        </row>
        <row r="432">
          <cell r="G432" t="str">
            <v>M0112-A-53-1</v>
          </cell>
          <cell r="H432">
            <v>83.21</v>
          </cell>
          <cell r="I432">
            <v>83.93</v>
          </cell>
        </row>
        <row r="433">
          <cell r="G433" t="str">
            <v>M0112-A-54-1</v>
          </cell>
          <cell r="H433">
            <v>86.21</v>
          </cell>
          <cell r="I433">
            <v>86.98</v>
          </cell>
        </row>
        <row r="434">
          <cell r="G434" t="str">
            <v>M0112-A-55-1</v>
          </cell>
          <cell r="H434">
            <v>87.71</v>
          </cell>
          <cell r="I434">
            <v>88.89</v>
          </cell>
        </row>
        <row r="435">
          <cell r="G435" t="str">
            <v>M0112-A-55-2</v>
          </cell>
          <cell r="H435">
            <v>88.89</v>
          </cell>
          <cell r="I435">
            <v>89.24</v>
          </cell>
        </row>
        <row r="436">
          <cell r="G436" t="str">
            <v>M0112-A-56-1</v>
          </cell>
          <cell r="H436">
            <v>89.21</v>
          </cell>
          <cell r="I436">
            <v>90.69</v>
          </cell>
        </row>
        <row r="437">
          <cell r="G437" t="str">
            <v>M0112-A-57-1</v>
          </cell>
          <cell r="H437">
            <v>90.71</v>
          </cell>
          <cell r="I437">
            <v>91.94</v>
          </cell>
        </row>
        <row r="438">
          <cell r="G438" t="str">
            <v>M0112-A-57-2</v>
          </cell>
          <cell r="H438">
            <v>91.94</v>
          </cell>
          <cell r="I438">
            <v>92.37</v>
          </cell>
        </row>
        <row r="439">
          <cell r="G439" t="str">
            <v>M0112-A-58-1</v>
          </cell>
          <cell r="H439">
            <v>92.21</v>
          </cell>
          <cell r="I439">
            <v>93.27</v>
          </cell>
        </row>
        <row r="440">
          <cell r="G440" t="str">
            <v>M0112-A-58-2</v>
          </cell>
          <cell r="H440">
            <v>93.27</v>
          </cell>
          <cell r="I440">
            <v>93.86</v>
          </cell>
        </row>
        <row r="441">
          <cell r="G441" t="str">
            <v>M0112-A-59-1</v>
          </cell>
          <cell r="H441">
            <v>93.71</v>
          </cell>
          <cell r="I441">
            <v>95.13</v>
          </cell>
        </row>
        <row r="442">
          <cell r="G442" t="str">
            <v>M0112-A-60-1</v>
          </cell>
          <cell r="H442">
            <v>95.21</v>
          </cell>
          <cell r="I442">
            <v>95.88</v>
          </cell>
        </row>
        <row r="443">
          <cell r="G443" t="str">
            <v>M0112-A-62-1</v>
          </cell>
          <cell r="H443">
            <v>97.41</v>
          </cell>
          <cell r="I443">
            <v>98.61</v>
          </cell>
        </row>
        <row r="444">
          <cell r="G444" t="str">
            <v>M0112-A-62-2</v>
          </cell>
          <cell r="H444">
            <v>98.61</v>
          </cell>
          <cell r="I444">
            <v>99.26</v>
          </cell>
        </row>
        <row r="445">
          <cell r="G445" t="str">
            <v>M0112-A-63-1</v>
          </cell>
          <cell r="H445">
            <v>98.86</v>
          </cell>
          <cell r="I445">
            <v>98.98</v>
          </cell>
        </row>
        <row r="446">
          <cell r="G446" t="str">
            <v>M0112-A-64-1</v>
          </cell>
          <cell r="H446">
            <v>99.46</v>
          </cell>
          <cell r="I446">
            <v>99.73</v>
          </cell>
        </row>
        <row r="447">
          <cell r="G447" t="str">
            <v>M0112-A-66-1</v>
          </cell>
          <cell r="H447">
            <v>102.21</v>
          </cell>
          <cell r="I447">
            <v>102.33</v>
          </cell>
        </row>
        <row r="448">
          <cell r="G448" t="str">
            <v>M0112-A-67-1</v>
          </cell>
          <cell r="H448">
            <v>102.33</v>
          </cell>
          <cell r="I448">
            <v>103.24</v>
          </cell>
        </row>
        <row r="449">
          <cell r="G449" t="str">
            <v>M0112-A-68-1</v>
          </cell>
          <cell r="H449">
            <v>103.24</v>
          </cell>
          <cell r="I449">
            <v>103.38</v>
          </cell>
        </row>
        <row r="450">
          <cell r="G450" t="str">
            <v>M0112-A-69-1</v>
          </cell>
          <cell r="H450">
            <v>103.38</v>
          </cell>
          <cell r="I450">
            <v>103.65</v>
          </cell>
        </row>
        <row r="451">
          <cell r="G451" t="str">
            <v>M0112-A-70-1</v>
          </cell>
          <cell r="H451">
            <v>104.28</v>
          </cell>
          <cell r="I451">
            <v>104.91</v>
          </cell>
        </row>
        <row r="452">
          <cell r="G452" t="str">
            <v>M0112-A-71-1</v>
          </cell>
          <cell r="H452">
            <v>107.21</v>
          </cell>
          <cell r="I452">
            <v>107.47</v>
          </cell>
        </row>
        <row r="453">
          <cell r="G453" t="str">
            <v>M0112-A-72-1</v>
          </cell>
          <cell r="H453">
            <v>110.21</v>
          </cell>
          <cell r="I453">
            <v>110.54</v>
          </cell>
        </row>
        <row r="454">
          <cell r="G454" t="str">
            <v>M0112-A-75-1</v>
          </cell>
          <cell r="H454">
            <v>113.21</v>
          </cell>
          <cell r="I454">
            <v>113.35</v>
          </cell>
        </row>
        <row r="455">
          <cell r="G455" t="str">
            <v>M0112-A-77-1</v>
          </cell>
          <cell r="H455">
            <v>115.21</v>
          </cell>
          <cell r="I455">
            <v>115.23</v>
          </cell>
        </row>
        <row r="456">
          <cell r="G456" t="str">
            <v>M0112-A-78-1</v>
          </cell>
          <cell r="H456">
            <v>115.21</v>
          </cell>
          <cell r="I456">
            <v>116.7</v>
          </cell>
        </row>
        <row r="457">
          <cell r="G457" t="str">
            <v>M0112-A-78-2</v>
          </cell>
          <cell r="H457">
            <v>116.7</v>
          </cell>
          <cell r="I457">
            <v>117.2</v>
          </cell>
        </row>
        <row r="458">
          <cell r="G458" t="str">
            <v>M0112-A-80-1</v>
          </cell>
          <cell r="H458">
            <v>117.2</v>
          </cell>
          <cell r="I458">
            <v>117.22</v>
          </cell>
        </row>
        <row r="459">
          <cell r="G459" t="str">
            <v>M0112-A-81-1</v>
          </cell>
          <cell r="H459">
            <v>117.2</v>
          </cell>
          <cell r="I459">
            <v>117.36</v>
          </cell>
        </row>
        <row r="460">
          <cell r="G460" t="str">
            <v>M0112-A-82-1</v>
          </cell>
          <cell r="H460">
            <v>119.21</v>
          </cell>
          <cell r="I460">
            <v>120.24</v>
          </cell>
        </row>
        <row r="461">
          <cell r="G461" t="str">
            <v>M0112-A-83-1</v>
          </cell>
          <cell r="H461">
            <v>120.24</v>
          </cell>
          <cell r="I461">
            <v>120.36</v>
          </cell>
        </row>
        <row r="462">
          <cell r="G462" t="str">
            <v>M0112-A-84-1</v>
          </cell>
          <cell r="H462">
            <v>120.36</v>
          </cell>
          <cell r="I462">
            <v>121.57</v>
          </cell>
        </row>
        <row r="463">
          <cell r="G463" t="str">
            <v>M0112-A-85-1</v>
          </cell>
          <cell r="H463">
            <v>121.57</v>
          </cell>
          <cell r="I463">
            <v>122.12</v>
          </cell>
        </row>
        <row r="464">
          <cell r="G464" t="str">
            <v>M0112-A-86-1</v>
          </cell>
          <cell r="H464">
            <v>122.12</v>
          </cell>
          <cell r="I464">
            <v>123.62</v>
          </cell>
        </row>
        <row r="465">
          <cell r="G465" t="str">
            <v>M0112-A-86-2</v>
          </cell>
          <cell r="H465">
            <v>123.62</v>
          </cell>
          <cell r="I465">
            <v>124.15</v>
          </cell>
        </row>
        <row r="466">
          <cell r="G466" t="str">
            <v>M0112-A-87-1</v>
          </cell>
          <cell r="H466">
            <v>124.15</v>
          </cell>
          <cell r="I466">
            <v>124.34</v>
          </cell>
        </row>
        <row r="467">
          <cell r="G467" t="str">
            <v>M0112-A-88-1</v>
          </cell>
          <cell r="H467">
            <v>124.34</v>
          </cell>
          <cell r="I467">
            <v>124.47</v>
          </cell>
        </row>
        <row r="468">
          <cell r="G468" t="str">
            <v>M0112-A-89-1</v>
          </cell>
          <cell r="H468">
            <v>124.47</v>
          </cell>
          <cell r="I468">
            <v>125.13</v>
          </cell>
        </row>
        <row r="469">
          <cell r="G469" t="str">
            <v>M0112-A-89-2</v>
          </cell>
          <cell r="H469">
            <v>125.13</v>
          </cell>
          <cell r="I469">
            <v>125.89</v>
          </cell>
        </row>
        <row r="470">
          <cell r="G470" t="str">
            <v>M0112-A-90-1</v>
          </cell>
          <cell r="H470">
            <v>125.89</v>
          </cell>
          <cell r="I470">
            <v>126.41</v>
          </cell>
        </row>
        <row r="471">
          <cell r="G471" t="str">
            <v>M0112-A-91-1</v>
          </cell>
          <cell r="H471">
            <v>126.41</v>
          </cell>
          <cell r="I471">
            <v>126.88</v>
          </cell>
        </row>
        <row r="472">
          <cell r="G472" t="str">
            <v>M0112-A-91-2</v>
          </cell>
          <cell r="H472">
            <v>126.88</v>
          </cell>
          <cell r="I472">
            <v>127.89</v>
          </cell>
        </row>
        <row r="473">
          <cell r="G473" t="str">
            <v>M0112-A-91-3</v>
          </cell>
          <cell r="H473">
            <v>127.89</v>
          </cell>
          <cell r="I473">
            <v>128.43</v>
          </cell>
        </row>
        <row r="474">
          <cell r="G474" t="str">
            <v>M0112-A-92-1</v>
          </cell>
          <cell r="H474">
            <v>128.43</v>
          </cell>
          <cell r="I474">
            <v>129.93</v>
          </cell>
        </row>
        <row r="475">
          <cell r="G475" t="str">
            <v>M0112-A-92-2</v>
          </cell>
          <cell r="H475">
            <v>129.93</v>
          </cell>
          <cell r="I475">
            <v>130.72999999999999</v>
          </cell>
        </row>
        <row r="476">
          <cell r="G476" t="str">
            <v>M0112-A-93-1</v>
          </cell>
          <cell r="H476">
            <v>130.72999999999999</v>
          </cell>
          <cell r="I476">
            <v>132.22999999999999</v>
          </cell>
        </row>
        <row r="477">
          <cell r="G477" t="str">
            <v>M0112-A-93-2</v>
          </cell>
          <cell r="H477">
            <v>132.22999999999999</v>
          </cell>
          <cell r="I477">
            <v>133.59</v>
          </cell>
        </row>
        <row r="478">
          <cell r="G478" t="str">
            <v>M0112-A-94-1</v>
          </cell>
          <cell r="H478">
            <v>133.59</v>
          </cell>
          <cell r="I478">
            <v>135.09</v>
          </cell>
        </row>
        <row r="479">
          <cell r="G479" t="str">
            <v>M0112-A-94-2</v>
          </cell>
          <cell r="H479">
            <v>135.09</v>
          </cell>
          <cell r="I479">
            <v>136.34</v>
          </cell>
        </row>
        <row r="480">
          <cell r="G480" t="str">
            <v>M0112-A-95-1</v>
          </cell>
          <cell r="H480">
            <v>136.24</v>
          </cell>
          <cell r="I480">
            <v>136.79</v>
          </cell>
        </row>
        <row r="481">
          <cell r="G481" t="str">
            <v>M0112-A-95-2</v>
          </cell>
          <cell r="H481">
            <v>136.79</v>
          </cell>
          <cell r="I481">
            <v>138.22</v>
          </cell>
        </row>
        <row r="482">
          <cell r="G482" t="str">
            <v>M0112-A-96-1</v>
          </cell>
          <cell r="H482">
            <v>138.22</v>
          </cell>
          <cell r="I482">
            <v>139.04</v>
          </cell>
        </row>
        <row r="483">
          <cell r="G483" t="str">
            <v>M0112-A-96-2</v>
          </cell>
          <cell r="H483">
            <v>139.04</v>
          </cell>
          <cell r="I483">
            <v>139.16</v>
          </cell>
        </row>
        <row r="484">
          <cell r="G484" t="str">
            <v>M0112-A-98-1</v>
          </cell>
          <cell r="H484">
            <v>140.21</v>
          </cell>
          <cell r="I484">
            <v>140.33000000000001</v>
          </cell>
        </row>
        <row r="485">
          <cell r="G485" t="str">
            <v>M0112-A-99-1</v>
          </cell>
          <cell r="H485">
            <v>141.21</v>
          </cell>
          <cell r="I485">
            <v>142.41999999999999</v>
          </cell>
        </row>
        <row r="486">
          <cell r="G486" t="str">
            <v>M0112-A-99-2</v>
          </cell>
          <cell r="H486">
            <v>142.41999999999999</v>
          </cell>
          <cell r="I486">
            <v>142.88</v>
          </cell>
        </row>
        <row r="487">
          <cell r="G487" t="str">
            <v>M0112-A-100-1</v>
          </cell>
          <cell r="H487">
            <v>142.21</v>
          </cell>
          <cell r="I487">
            <v>143.18</v>
          </cell>
        </row>
        <row r="488">
          <cell r="G488" t="str">
            <v>M0112-A-101-1</v>
          </cell>
          <cell r="H488">
            <v>143.21</v>
          </cell>
          <cell r="I488">
            <v>144.4</v>
          </cell>
        </row>
        <row r="489">
          <cell r="G489" t="str">
            <v>M0112-A-101-2</v>
          </cell>
          <cell r="H489">
            <v>144.4</v>
          </cell>
          <cell r="I489">
            <v>144.97</v>
          </cell>
        </row>
        <row r="490">
          <cell r="G490" t="str">
            <v>M0112-A-102-1</v>
          </cell>
          <cell r="H490">
            <v>146.21</v>
          </cell>
          <cell r="I490">
            <v>147.26</v>
          </cell>
        </row>
        <row r="491">
          <cell r="G491" t="str">
            <v>M0112-A-103-1</v>
          </cell>
          <cell r="H491">
            <v>148.21</v>
          </cell>
          <cell r="I491">
            <v>149.09</v>
          </cell>
        </row>
        <row r="492">
          <cell r="G492" t="str">
            <v>M0112-A-104-1</v>
          </cell>
          <cell r="H492">
            <v>150.21</v>
          </cell>
          <cell r="I492">
            <v>150.62</v>
          </cell>
        </row>
        <row r="493">
          <cell r="G493" t="str">
            <v>M0112-A-106-1</v>
          </cell>
          <cell r="H493">
            <v>153.36000000000001</v>
          </cell>
          <cell r="I493">
            <v>153.5</v>
          </cell>
        </row>
        <row r="494">
          <cell r="G494" t="str">
            <v>M0112-A-107-1</v>
          </cell>
          <cell r="H494">
            <v>153.5</v>
          </cell>
          <cell r="I494">
            <v>153.69999999999999</v>
          </cell>
        </row>
        <row r="495">
          <cell r="G495" t="str">
            <v>M0112-A-108-1</v>
          </cell>
          <cell r="H495">
            <v>153.69999999999999</v>
          </cell>
          <cell r="I495">
            <v>153.80000000000001</v>
          </cell>
        </row>
        <row r="496">
          <cell r="G496" t="str">
            <v>M0112-A-109-1</v>
          </cell>
          <cell r="H496">
            <v>155.21</v>
          </cell>
          <cell r="I496">
            <v>155.37</v>
          </cell>
        </row>
        <row r="497">
          <cell r="G497" t="str">
            <v>M0112-A-110-1</v>
          </cell>
          <cell r="H497">
            <v>155.37</v>
          </cell>
          <cell r="I497">
            <v>155.49</v>
          </cell>
        </row>
        <row r="498">
          <cell r="G498" t="str">
            <v>M0112-A-111-1</v>
          </cell>
          <cell r="H498">
            <v>155.49</v>
          </cell>
          <cell r="I498">
            <v>156.36000000000001</v>
          </cell>
        </row>
        <row r="499">
          <cell r="G499" t="str">
            <v>M0112-A-111-2</v>
          </cell>
          <cell r="H499">
            <v>156.36000000000001</v>
          </cell>
          <cell r="I499">
            <v>157.54</v>
          </cell>
        </row>
        <row r="500">
          <cell r="G500" t="str">
            <v>M0112-A-112-1</v>
          </cell>
          <cell r="H500">
            <v>157.54</v>
          </cell>
          <cell r="I500">
            <v>158.79</v>
          </cell>
        </row>
        <row r="501">
          <cell r="G501" t="str">
            <v>M0112-A-113-1</v>
          </cell>
          <cell r="H501">
            <v>158.79</v>
          </cell>
          <cell r="I501">
            <v>159.79</v>
          </cell>
        </row>
        <row r="502">
          <cell r="G502" t="str">
            <v>M0112-A-113-2</v>
          </cell>
          <cell r="H502">
            <v>159.79</v>
          </cell>
          <cell r="I502">
            <v>160.6</v>
          </cell>
        </row>
        <row r="503">
          <cell r="G503" t="str">
            <v>M0112-A-114-1</v>
          </cell>
          <cell r="H503">
            <v>160.6</v>
          </cell>
          <cell r="I503">
            <v>160.78</v>
          </cell>
        </row>
        <row r="504">
          <cell r="G504" t="str">
            <v>M0112-A-115-1</v>
          </cell>
          <cell r="H504">
            <v>160.78</v>
          </cell>
          <cell r="I504">
            <v>161.97999999999999</v>
          </cell>
        </row>
        <row r="505">
          <cell r="G505" t="str">
            <v>M0112-A-115-2</v>
          </cell>
          <cell r="H505">
            <v>161.97999999999999</v>
          </cell>
          <cell r="I505">
            <v>162.62</v>
          </cell>
        </row>
        <row r="506">
          <cell r="G506" t="str">
            <v>M0112-A-116-1</v>
          </cell>
          <cell r="H506">
            <v>162.62</v>
          </cell>
          <cell r="I506">
            <v>164.14</v>
          </cell>
        </row>
        <row r="507">
          <cell r="G507" t="str">
            <v>M0112-A-116-2</v>
          </cell>
          <cell r="H507">
            <v>164.14</v>
          </cell>
          <cell r="I507">
            <v>164.78</v>
          </cell>
        </row>
        <row r="508">
          <cell r="G508" t="str">
            <v>M0112-A-117-1</v>
          </cell>
          <cell r="H508">
            <v>164.78</v>
          </cell>
          <cell r="I508">
            <v>166.28</v>
          </cell>
        </row>
        <row r="509">
          <cell r="G509" t="str">
            <v>M0112-A-117-2</v>
          </cell>
          <cell r="H509">
            <v>166.28</v>
          </cell>
          <cell r="I509">
            <v>167.54</v>
          </cell>
        </row>
        <row r="510">
          <cell r="G510" t="str">
            <v>M0112-A-118-1</v>
          </cell>
          <cell r="H510">
            <v>167.54</v>
          </cell>
          <cell r="I510">
            <v>169.04</v>
          </cell>
        </row>
        <row r="511">
          <cell r="G511" t="str">
            <v>M0112-A-118-2</v>
          </cell>
          <cell r="H511">
            <v>169.04</v>
          </cell>
          <cell r="I511">
            <v>170.4</v>
          </cell>
        </row>
        <row r="512">
          <cell r="G512" t="str">
            <v>M0112-A-119-1</v>
          </cell>
          <cell r="H512">
            <v>170.4</v>
          </cell>
          <cell r="I512">
            <v>171.9</v>
          </cell>
        </row>
        <row r="513">
          <cell r="G513" t="str">
            <v>M0112-A-119-2</v>
          </cell>
          <cell r="H513">
            <v>171.9</v>
          </cell>
          <cell r="I513">
            <v>173.02</v>
          </cell>
        </row>
        <row r="514">
          <cell r="G514" t="str">
            <v>M0112-A-120-1</v>
          </cell>
          <cell r="H514">
            <v>173.02</v>
          </cell>
          <cell r="I514">
            <v>174.46</v>
          </cell>
        </row>
        <row r="515">
          <cell r="G515" t="str">
            <v>M0112-A-120-2</v>
          </cell>
          <cell r="H515">
            <v>174.46</v>
          </cell>
          <cell r="I515">
            <v>175.65</v>
          </cell>
        </row>
        <row r="516">
          <cell r="G516" t="str">
            <v>M0112-A-121-1</v>
          </cell>
          <cell r="H516">
            <v>175.65</v>
          </cell>
          <cell r="I516">
            <v>177.09</v>
          </cell>
        </row>
        <row r="517">
          <cell r="G517" t="str">
            <v>M0112-A-121-2</v>
          </cell>
          <cell r="H517">
            <v>177.09</v>
          </cell>
          <cell r="I517">
            <v>177.89</v>
          </cell>
        </row>
        <row r="518">
          <cell r="G518" t="str">
            <v>M0112-A-122-1</v>
          </cell>
          <cell r="H518">
            <v>177.89</v>
          </cell>
          <cell r="I518">
            <v>179.39</v>
          </cell>
        </row>
        <row r="519">
          <cell r="G519" t="str">
            <v>M0112-A-122-2</v>
          </cell>
          <cell r="H519">
            <v>179.39</v>
          </cell>
          <cell r="I519">
            <v>180.25</v>
          </cell>
        </row>
        <row r="520">
          <cell r="G520" t="str">
            <v>M0112-A-123-1</v>
          </cell>
          <cell r="H520">
            <v>180.25</v>
          </cell>
          <cell r="I520">
            <v>181.74</v>
          </cell>
        </row>
        <row r="521">
          <cell r="G521" t="str">
            <v>M0112-A-123-2</v>
          </cell>
          <cell r="H521">
            <v>181.74</v>
          </cell>
          <cell r="I521">
            <v>182.93</v>
          </cell>
        </row>
        <row r="522">
          <cell r="G522" t="str">
            <v>M0112-A-124-1</v>
          </cell>
          <cell r="H522">
            <v>182.93</v>
          </cell>
          <cell r="I522">
            <v>184.43</v>
          </cell>
        </row>
        <row r="523">
          <cell r="G523" t="str">
            <v>M0112-A-124-2</v>
          </cell>
          <cell r="H523">
            <v>184.43</v>
          </cell>
          <cell r="I523">
            <v>185.42</v>
          </cell>
        </row>
        <row r="524">
          <cell r="G524" t="str">
            <v>M0112-A-125-1</v>
          </cell>
          <cell r="H524">
            <v>185.42</v>
          </cell>
          <cell r="I524">
            <v>186.92</v>
          </cell>
        </row>
        <row r="525">
          <cell r="G525" t="str">
            <v>M0112-A-125-2</v>
          </cell>
          <cell r="H525">
            <v>186.92</v>
          </cell>
          <cell r="I525">
            <v>188.09</v>
          </cell>
        </row>
        <row r="526">
          <cell r="G526" t="str">
            <v>M0112-A-126-1</v>
          </cell>
          <cell r="H526">
            <v>197.88</v>
          </cell>
          <cell r="I526">
            <v>188.63</v>
          </cell>
        </row>
        <row r="527">
          <cell r="G527" t="str">
            <v>M0112-A-127-1</v>
          </cell>
          <cell r="H527">
            <v>188.63</v>
          </cell>
          <cell r="I527">
            <v>190.13</v>
          </cell>
        </row>
        <row r="528">
          <cell r="G528" t="str">
            <v>M0112-A-127-2</v>
          </cell>
          <cell r="H528">
            <v>190.13</v>
          </cell>
          <cell r="I528">
            <v>191.38</v>
          </cell>
        </row>
        <row r="529">
          <cell r="G529" t="str">
            <v>M0112-A-128-1</v>
          </cell>
          <cell r="H529">
            <v>191.38</v>
          </cell>
          <cell r="I529">
            <v>192.7</v>
          </cell>
        </row>
        <row r="530">
          <cell r="G530" t="str">
            <v>M0112-A-128-2</v>
          </cell>
          <cell r="H530">
            <v>192.7</v>
          </cell>
          <cell r="I530">
            <v>192.88</v>
          </cell>
        </row>
        <row r="531">
          <cell r="G531" t="str">
            <v>M0112-A-129-1</v>
          </cell>
          <cell r="H531">
            <v>192.88</v>
          </cell>
          <cell r="I531">
            <v>193.73</v>
          </cell>
        </row>
        <row r="532">
          <cell r="G532" t="str">
            <v>M0112-A-130-1</v>
          </cell>
          <cell r="H532">
            <v>193.73</v>
          </cell>
          <cell r="I532">
            <v>194.25</v>
          </cell>
        </row>
        <row r="533">
          <cell r="G533" t="str">
            <v>M0112-A-131-1</v>
          </cell>
          <cell r="H533">
            <v>194.25</v>
          </cell>
          <cell r="I533">
            <v>195.14</v>
          </cell>
        </row>
        <row r="534">
          <cell r="G534" t="str">
            <v>M0112-A-132-1</v>
          </cell>
          <cell r="H534">
            <v>195.21</v>
          </cell>
          <cell r="I534">
            <v>196.71</v>
          </cell>
        </row>
        <row r="535">
          <cell r="G535" t="str">
            <v>M0112-A-132-2</v>
          </cell>
          <cell r="H535">
            <v>196.71</v>
          </cell>
          <cell r="I535">
            <v>197.21</v>
          </cell>
        </row>
        <row r="536">
          <cell r="G536" t="str">
            <v>M0112-A-133-1</v>
          </cell>
          <cell r="H536">
            <v>197.21</v>
          </cell>
          <cell r="I536">
            <v>197.81</v>
          </cell>
        </row>
        <row r="537">
          <cell r="G537" t="str">
            <v>M0112-A-133-2</v>
          </cell>
          <cell r="H537">
            <v>197.81</v>
          </cell>
          <cell r="I537">
            <v>198.36</v>
          </cell>
        </row>
        <row r="538">
          <cell r="G538" t="str">
            <v>M0112-A-134-1</v>
          </cell>
          <cell r="H538">
            <v>200.21</v>
          </cell>
          <cell r="I538">
            <v>200.55</v>
          </cell>
        </row>
        <row r="539">
          <cell r="G539" t="str">
            <v>M0112-A-136-1</v>
          </cell>
          <cell r="H539">
            <v>203.21</v>
          </cell>
          <cell r="I539">
            <v>204.78</v>
          </cell>
        </row>
        <row r="540">
          <cell r="G540" t="str">
            <v>M0112-A-136-2</v>
          </cell>
          <cell r="H540">
            <v>204.78</v>
          </cell>
          <cell r="I540">
            <v>205.28</v>
          </cell>
        </row>
        <row r="541">
          <cell r="G541" t="str">
            <v>M0112-A-137-1</v>
          </cell>
          <cell r="H541">
            <v>205.28</v>
          </cell>
          <cell r="I541">
            <v>206.2</v>
          </cell>
        </row>
        <row r="542">
          <cell r="G542" t="str">
            <v>M0112-A-137-2</v>
          </cell>
          <cell r="H542">
            <v>206.2</v>
          </cell>
          <cell r="I542">
            <v>207.71</v>
          </cell>
        </row>
        <row r="543">
          <cell r="G543" t="str">
            <v>M0112-A-138-1</v>
          </cell>
          <cell r="H543">
            <v>207.71</v>
          </cell>
          <cell r="I543">
            <v>208.14</v>
          </cell>
        </row>
        <row r="544">
          <cell r="G544" t="str">
            <v>M0112-A-139-1</v>
          </cell>
          <cell r="H544">
            <v>208.14</v>
          </cell>
          <cell r="I544">
            <v>209.64</v>
          </cell>
        </row>
        <row r="545">
          <cell r="G545" t="str">
            <v>M0112-A-139-2</v>
          </cell>
          <cell r="H545">
            <v>209.64</v>
          </cell>
          <cell r="I545">
            <v>210.33</v>
          </cell>
        </row>
        <row r="546">
          <cell r="G546" t="str">
            <v>M0112-A-140-1</v>
          </cell>
          <cell r="H546">
            <v>210.33</v>
          </cell>
          <cell r="I546">
            <v>211.83</v>
          </cell>
        </row>
        <row r="547">
          <cell r="G547" t="str">
            <v>M0112-A-140-2</v>
          </cell>
          <cell r="H547">
            <v>211.83</v>
          </cell>
          <cell r="I547">
            <v>212.68</v>
          </cell>
        </row>
        <row r="548">
          <cell r="G548" t="str">
            <v>M0112-A-141-1</v>
          </cell>
          <cell r="H548">
            <v>212.68</v>
          </cell>
          <cell r="I548">
            <v>214.18</v>
          </cell>
        </row>
        <row r="549">
          <cell r="G549" t="str">
            <v>M0112-A-141-2</v>
          </cell>
          <cell r="H549">
            <v>214.18</v>
          </cell>
          <cell r="I549">
            <v>215.34</v>
          </cell>
        </row>
        <row r="550">
          <cell r="G550" t="str">
            <v>M0112-A-142-1</v>
          </cell>
          <cell r="H550">
            <v>215.34</v>
          </cell>
          <cell r="I550">
            <v>216.11</v>
          </cell>
        </row>
        <row r="551">
          <cell r="G551" t="str">
            <v>M0112-A-143-1</v>
          </cell>
          <cell r="H551">
            <v>216.11</v>
          </cell>
          <cell r="I551">
            <v>216.66</v>
          </cell>
        </row>
        <row r="552">
          <cell r="G552" t="str">
            <v>M0112-A-144-1</v>
          </cell>
          <cell r="H552">
            <v>216.36</v>
          </cell>
          <cell r="I552">
            <v>217.36</v>
          </cell>
        </row>
        <row r="553">
          <cell r="G553" t="str">
            <v>M0112-A-144-2</v>
          </cell>
          <cell r="H553">
            <v>217.36</v>
          </cell>
          <cell r="I553">
            <v>218.18</v>
          </cell>
        </row>
        <row r="554">
          <cell r="G554" t="str">
            <v>M0112-A-145-1</v>
          </cell>
          <cell r="H554">
            <v>218.21</v>
          </cell>
          <cell r="I554">
            <v>218.96</v>
          </cell>
        </row>
        <row r="555">
          <cell r="G555" t="str">
            <v>M0112-A-145-2</v>
          </cell>
          <cell r="H555">
            <v>218.96</v>
          </cell>
          <cell r="I555">
            <v>219.49</v>
          </cell>
        </row>
        <row r="556">
          <cell r="G556" t="str">
            <v>M0112-A-145-3</v>
          </cell>
          <cell r="H556">
            <v>219.49</v>
          </cell>
          <cell r="I556">
            <v>219.58</v>
          </cell>
        </row>
        <row r="557">
          <cell r="G557" t="str">
            <v>M0112-A-146-1</v>
          </cell>
          <cell r="H557">
            <v>219.61</v>
          </cell>
          <cell r="I557">
            <v>219.62</v>
          </cell>
        </row>
        <row r="558">
          <cell r="G558" t="str">
            <v>M0112-A-147-1</v>
          </cell>
          <cell r="H558">
            <v>219.81</v>
          </cell>
          <cell r="I558">
            <v>220.06</v>
          </cell>
        </row>
        <row r="559">
          <cell r="G559" t="str">
            <v>M0112-A-148-1</v>
          </cell>
          <cell r="H559">
            <v>221.21</v>
          </cell>
          <cell r="I559">
            <v>221.42</v>
          </cell>
        </row>
        <row r="560">
          <cell r="G560" t="str">
            <v>M0112-A-149-1</v>
          </cell>
          <cell r="H560">
            <v>223.21</v>
          </cell>
          <cell r="I560">
            <v>223.23</v>
          </cell>
        </row>
        <row r="561">
          <cell r="G561" t="str">
            <v>M0112-A-150-1</v>
          </cell>
          <cell r="H561">
            <v>224.21</v>
          </cell>
          <cell r="I561">
            <v>224.66</v>
          </cell>
        </row>
        <row r="562">
          <cell r="G562" t="str">
            <v>M0112-A-151-1</v>
          </cell>
          <cell r="H562">
            <v>224.66</v>
          </cell>
          <cell r="I562">
            <v>225.92</v>
          </cell>
        </row>
        <row r="563">
          <cell r="G563" t="str">
            <v>M0112-A-152-1</v>
          </cell>
          <cell r="H563">
            <v>225.66</v>
          </cell>
          <cell r="I563">
            <v>225.94</v>
          </cell>
        </row>
        <row r="564">
          <cell r="G564" t="str">
            <v>M0112-A-153-1</v>
          </cell>
          <cell r="H564">
            <v>227.21</v>
          </cell>
          <cell r="I564">
            <v>227.87</v>
          </cell>
        </row>
        <row r="565">
          <cell r="G565" t="str">
            <v>M0112-A-154-1</v>
          </cell>
          <cell r="H565">
            <v>228.21</v>
          </cell>
          <cell r="I565">
            <v>228.84</v>
          </cell>
        </row>
        <row r="566">
          <cell r="G566" t="str">
            <v>M0112-A-155-1</v>
          </cell>
          <cell r="H566">
            <v>228.84</v>
          </cell>
          <cell r="I566">
            <v>229.09</v>
          </cell>
        </row>
        <row r="567">
          <cell r="G567" t="str">
            <v>M0112-A-155-2</v>
          </cell>
          <cell r="H567">
            <v>229.09</v>
          </cell>
          <cell r="I567">
            <v>230.45</v>
          </cell>
        </row>
        <row r="568">
          <cell r="G568" t="str">
            <v>M0112-A-156-1</v>
          </cell>
          <cell r="H568">
            <v>230.45</v>
          </cell>
          <cell r="I568">
            <v>231.18</v>
          </cell>
        </row>
        <row r="569">
          <cell r="G569" t="str">
            <v>M0112-A-157-1</v>
          </cell>
          <cell r="H569">
            <v>231.18</v>
          </cell>
          <cell r="I569">
            <v>231.83</v>
          </cell>
        </row>
        <row r="570">
          <cell r="G570" t="str">
            <v>M0112-A-157-2</v>
          </cell>
          <cell r="H570">
            <v>231.83</v>
          </cell>
          <cell r="I570">
            <v>232.37</v>
          </cell>
        </row>
        <row r="571">
          <cell r="G571" t="str">
            <v>M0112-A-158-1</v>
          </cell>
          <cell r="H571">
            <v>232.37</v>
          </cell>
          <cell r="I571">
            <v>233.07</v>
          </cell>
        </row>
        <row r="572">
          <cell r="G572" t="str">
            <v>M0112-A-159-1</v>
          </cell>
          <cell r="H572">
            <v>233.07</v>
          </cell>
          <cell r="I572">
            <v>234.21</v>
          </cell>
        </row>
        <row r="573">
          <cell r="G573" t="str">
            <v>M0112-A-159-2</v>
          </cell>
          <cell r="H573">
            <v>234.21</v>
          </cell>
          <cell r="I573">
            <v>234.83</v>
          </cell>
        </row>
        <row r="574">
          <cell r="G574" t="str">
            <v>M0112-A-160-1</v>
          </cell>
          <cell r="H574">
            <v>235.21</v>
          </cell>
          <cell r="I574">
            <v>236.31</v>
          </cell>
        </row>
        <row r="575">
          <cell r="G575" t="str">
            <v>M0112-A-160-2</v>
          </cell>
          <cell r="H575">
            <v>236.31</v>
          </cell>
          <cell r="I575">
            <v>237.03</v>
          </cell>
        </row>
        <row r="576">
          <cell r="G576" t="str">
            <v>M0112-A-161-1</v>
          </cell>
          <cell r="H576">
            <v>238.21</v>
          </cell>
          <cell r="I576">
            <v>238.86</v>
          </cell>
        </row>
        <row r="577">
          <cell r="G577" t="str">
            <v>M0112-A-161-2</v>
          </cell>
          <cell r="H577">
            <v>238.86</v>
          </cell>
          <cell r="I577">
            <v>239.36</v>
          </cell>
        </row>
        <row r="578">
          <cell r="G578" t="str">
            <v>M0112-A-162-1</v>
          </cell>
          <cell r="H578">
            <v>240.21</v>
          </cell>
          <cell r="I578">
            <v>240.83</v>
          </cell>
        </row>
        <row r="579">
          <cell r="G579" t="str">
            <v>M0112-A-163-1</v>
          </cell>
          <cell r="H579">
            <v>242.21</v>
          </cell>
          <cell r="I579">
            <v>242.64</v>
          </cell>
        </row>
        <row r="580">
          <cell r="G580" t="str">
            <v>M0112-A-163-2</v>
          </cell>
          <cell r="H580">
            <v>242.64</v>
          </cell>
          <cell r="I580">
            <v>242.73</v>
          </cell>
        </row>
        <row r="581">
          <cell r="G581" t="str">
            <v>M0112-A-164-1</v>
          </cell>
          <cell r="H581">
            <v>243.71</v>
          </cell>
          <cell r="I581">
            <v>244.51</v>
          </cell>
        </row>
        <row r="582">
          <cell r="G582" t="str">
            <v>M0112-A-164-2</v>
          </cell>
          <cell r="H582">
            <v>244.51</v>
          </cell>
          <cell r="I582">
            <v>245.09</v>
          </cell>
        </row>
        <row r="583">
          <cell r="G583" t="str">
            <v>M0112-A-165-1</v>
          </cell>
          <cell r="H583">
            <v>245.21</v>
          </cell>
          <cell r="I583">
            <v>246.71</v>
          </cell>
        </row>
        <row r="584">
          <cell r="G584" t="str">
            <v>M0112-A-165-2</v>
          </cell>
          <cell r="H584">
            <v>246.71</v>
          </cell>
          <cell r="I584">
            <v>247.73</v>
          </cell>
        </row>
        <row r="585">
          <cell r="G585" t="str">
            <v>M0112-A-166-1</v>
          </cell>
          <cell r="H585">
            <v>247.56</v>
          </cell>
          <cell r="I585">
            <v>248.11</v>
          </cell>
        </row>
        <row r="586">
          <cell r="G586" t="str">
            <v>M0112-A-167-1</v>
          </cell>
          <cell r="H586">
            <v>248.81</v>
          </cell>
          <cell r="I586">
            <v>250.31</v>
          </cell>
        </row>
        <row r="587">
          <cell r="G587" t="str">
            <v>M0112-A-167-2</v>
          </cell>
          <cell r="H587">
            <v>250.31</v>
          </cell>
          <cell r="I587">
            <v>251.64</v>
          </cell>
        </row>
        <row r="588">
          <cell r="G588" t="str">
            <v>M0112-A-168-1</v>
          </cell>
          <cell r="H588">
            <v>251.64</v>
          </cell>
          <cell r="I588">
            <v>253.14</v>
          </cell>
        </row>
        <row r="589">
          <cell r="G589" t="str">
            <v>M0112-A-168-2</v>
          </cell>
          <cell r="H589">
            <v>253.14</v>
          </cell>
          <cell r="I589">
            <v>254.06</v>
          </cell>
        </row>
        <row r="590">
          <cell r="G590" t="str">
            <v>M0112-A-169-1</v>
          </cell>
          <cell r="H590">
            <v>254.06</v>
          </cell>
          <cell r="I590">
            <v>255.56</v>
          </cell>
        </row>
        <row r="591">
          <cell r="G591" t="str">
            <v>M0112-A-169-2</v>
          </cell>
          <cell r="H591">
            <v>255.56</v>
          </cell>
          <cell r="I591">
            <v>257.02</v>
          </cell>
        </row>
        <row r="592">
          <cell r="G592" t="str">
            <v>M0112-A-170-1</v>
          </cell>
          <cell r="H592">
            <v>257.02</v>
          </cell>
          <cell r="I592">
            <v>258.52</v>
          </cell>
        </row>
        <row r="593">
          <cell r="G593" t="str">
            <v>M0112-A-170-2</v>
          </cell>
          <cell r="H593">
            <v>258.52</v>
          </cell>
          <cell r="I593">
            <v>259.52</v>
          </cell>
        </row>
        <row r="594">
          <cell r="G594" t="str">
            <v>M0112-A-171-1</v>
          </cell>
          <cell r="H594">
            <v>259.52</v>
          </cell>
          <cell r="I594">
            <v>261.01</v>
          </cell>
        </row>
        <row r="595">
          <cell r="G595" t="str">
            <v>M0112-A-171-2</v>
          </cell>
          <cell r="H595">
            <v>261.01</v>
          </cell>
          <cell r="I595">
            <v>261.82</v>
          </cell>
        </row>
        <row r="596">
          <cell r="G596" t="str">
            <v>M0112-A-172-1</v>
          </cell>
          <cell r="H596">
            <v>261.82</v>
          </cell>
          <cell r="I596">
            <v>263.31</v>
          </cell>
        </row>
        <row r="597">
          <cell r="G597" t="str">
            <v>M0112-A-172-2</v>
          </cell>
          <cell r="H597">
            <v>263.31</v>
          </cell>
          <cell r="I597">
            <v>263.86</v>
          </cell>
        </row>
        <row r="598">
          <cell r="G598" t="str">
            <v>M0112-A-173-1</v>
          </cell>
          <cell r="H598">
            <v>263.86</v>
          </cell>
          <cell r="I598">
            <v>264.7</v>
          </cell>
        </row>
        <row r="599">
          <cell r="G599" t="str">
            <v>M0112-A-174-1</v>
          </cell>
          <cell r="H599">
            <v>264.7</v>
          </cell>
          <cell r="I599">
            <v>265.25</v>
          </cell>
        </row>
        <row r="600">
          <cell r="G600" t="str">
            <v>M0112-A-174-2</v>
          </cell>
          <cell r="H600">
            <v>265.25</v>
          </cell>
          <cell r="I600">
            <v>266.43</v>
          </cell>
        </row>
        <row r="601">
          <cell r="G601" t="str">
            <v>M0112-A-175-1</v>
          </cell>
          <cell r="H601">
            <v>266.43</v>
          </cell>
          <cell r="I601">
            <v>267.92</v>
          </cell>
        </row>
        <row r="602">
          <cell r="G602" t="str">
            <v>M0112-A-175-2</v>
          </cell>
          <cell r="H602">
            <v>267.92</v>
          </cell>
          <cell r="I602">
            <v>269.33999999999997</v>
          </cell>
        </row>
        <row r="603">
          <cell r="G603" t="str">
            <v>M0112-A-176-1</v>
          </cell>
          <cell r="H603">
            <v>269.33999999999997</v>
          </cell>
          <cell r="I603">
            <v>269.58999999999997</v>
          </cell>
        </row>
        <row r="604">
          <cell r="G604" t="str">
            <v>M0112-A-176-2</v>
          </cell>
          <cell r="H604">
            <v>269.58999999999997</v>
          </cell>
          <cell r="I604">
            <v>270.54000000000002</v>
          </cell>
        </row>
        <row r="605">
          <cell r="G605" t="str">
            <v>M0112-A-177-1</v>
          </cell>
          <cell r="H605">
            <v>270.54000000000002</v>
          </cell>
          <cell r="I605">
            <v>270.68</v>
          </cell>
        </row>
        <row r="606">
          <cell r="G606" t="str">
            <v>M0112-A-177-2</v>
          </cell>
          <cell r="H606">
            <v>270.68</v>
          </cell>
          <cell r="I606">
            <v>272.18</v>
          </cell>
        </row>
        <row r="607">
          <cell r="G607" t="str">
            <v>M0112-A-177-3</v>
          </cell>
          <cell r="H607">
            <v>272.18</v>
          </cell>
          <cell r="I607">
            <v>273.35000000000002</v>
          </cell>
        </row>
        <row r="608">
          <cell r="G608" t="str">
            <v>M0112-A-178-1</v>
          </cell>
          <cell r="H608">
            <v>273.35000000000002</v>
          </cell>
          <cell r="I608">
            <v>274.83999999999997</v>
          </cell>
        </row>
        <row r="609">
          <cell r="G609" t="str">
            <v>M0112-A-178-2</v>
          </cell>
          <cell r="H609">
            <v>274.83999999999997</v>
          </cell>
          <cell r="I609">
            <v>275.93</v>
          </cell>
        </row>
        <row r="610">
          <cell r="G610" t="str">
            <v>M0112-A-179-1</v>
          </cell>
          <cell r="H610">
            <v>275.93</v>
          </cell>
          <cell r="I610">
            <v>276.93</v>
          </cell>
        </row>
        <row r="611">
          <cell r="G611" t="str">
            <v>M0112-A-179-2</v>
          </cell>
          <cell r="H611">
            <v>276.93</v>
          </cell>
          <cell r="I611">
            <v>277.74</v>
          </cell>
        </row>
        <row r="612">
          <cell r="G612" t="str">
            <v>M0112-A-180-1</v>
          </cell>
          <cell r="H612">
            <v>277.74</v>
          </cell>
          <cell r="I612">
            <v>278.24</v>
          </cell>
        </row>
        <row r="613">
          <cell r="G613" t="str">
            <v>M0112-A-181-1</v>
          </cell>
          <cell r="H613">
            <v>278.24</v>
          </cell>
          <cell r="I613">
            <v>278.45</v>
          </cell>
        </row>
        <row r="614">
          <cell r="G614" t="str">
            <v>M0112-A-182-1</v>
          </cell>
          <cell r="H614">
            <v>279.74</v>
          </cell>
          <cell r="I614">
            <v>279.87</v>
          </cell>
        </row>
        <row r="615">
          <cell r="G615" t="str">
            <v>M0112-A-183-1</v>
          </cell>
          <cell r="H615">
            <v>281.20999999999998</v>
          </cell>
          <cell r="I615">
            <v>281.29000000000002</v>
          </cell>
        </row>
        <row r="616">
          <cell r="G616" t="str">
            <v>M0112-A-185-1</v>
          </cell>
          <cell r="H616">
            <v>284.20999999999998</v>
          </cell>
          <cell r="I616">
            <v>285.36</v>
          </cell>
        </row>
        <row r="617">
          <cell r="G617" t="str">
            <v>M0112-A-185-2</v>
          </cell>
          <cell r="H617">
            <v>285.36</v>
          </cell>
          <cell r="I617">
            <v>285.95999999999998</v>
          </cell>
        </row>
        <row r="618">
          <cell r="G618" t="str">
            <v>M0112-A-186-1</v>
          </cell>
          <cell r="H618">
            <v>286.20999999999998</v>
          </cell>
          <cell r="I618">
            <v>286.81</v>
          </cell>
        </row>
        <row r="619">
          <cell r="G619" t="str">
            <v>M0112-A-187-1</v>
          </cell>
          <cell r="H619">
            <v>288.20999999999998</v>
          </cell>
          <cell r="I619">
            <v>288.35000000000002</v>
          </cell>
        </row>
        <row r="620">
          <cell r="G620" t="str">
            <v>M0112-A-189-1</v>
          </cell>
          <cell r="H620">
            <v>290.20999999999998</v>
          </cell>
          <cell r="I620">
            <v>290.88</v>
          </cell>
        </row>
        <row r="621">
          <cell r="G621" t="str">
            <v>M0112-A-190-1</v>
          </cell>
          <cell r="H621">
            <v>291.20999999999998</v>
          </cell>
          <cell r="I621">
            <v>291.36</v>
          </cell>
        </row>
        <row r="622">
          <cell r="G622" t="str">
            <v>M0112-A-191-1</v>
          </cell>
          <cell r="H622">
            <v>292.20999999999998</v>
          </cell>
          <cell r="I622">
            <v>292.35000000000002</v>
          </cell>
        </row>
        <row r="623">
          <cell r="G623" t="str">
            <v>M0112-A-194-1</v>
          </cell>
          <cell r="H623">
            <v>294.41000000000003</v>
          </cell>
          <cell r="I623">
            <v>294.43</v>
          </cell>
        </row>
        <row r="624">
          <cell r="G624" t="str">
            <v>M0112-A-195-1</v>
          </cell>
          <cell r="H624">
            <v>295.41000000000003</v>
          </cell>
          <cell r="I624">
            <v>295.7</v>
          </cell>
        </row>
        <row r="625">
          <cell r="G625" t="str">
            <v>M0112-A-196-1</v>
          </cell>
          <cell r="H625">
            <v>295.66000000000003</v>
          </cell>
          <cell r="I625">
            <v>296.5</v>
          </cell>
        </row>
        <row r="626">
          <cell r="G626" t="str">
            <v>M0112-A-197-1</v>
          </cell>
          <cell r="H626">
            <v>297.20999999999998</v>
          </cell>
          <cell r="I626">
            <v>298.16000000000003</v>
          </cell>
        </row>
        <row r="627">
          <cell r="G627" t="str">
            <v>M0112-A-198-1</v>
          </cell>
          <cell r="H627">
            <v>298.20999999999998</v>
          </cell>
          <cell r="I627">
            <v>299.20999999999998</v>
          </cell>
        </row>
        <row r="628">
          <cell r="G628" t="str">
            <v>M0112-A-199-1</v>
          </cell>
          <cell r="H628">
            <v>299.20999999999998</v>
          </cell>
          <cell r="I628">
            <v>299.51</v>
          </cell>
        </row>
        <row r="629">
          <cell r="G629" t="str">
            <v>M0112-A-200-1</v>
          </cell>
          <cell r="H629">
            <v>300.20999999999998</v>
          </cell>
          <cell r="I629">
            <v>300.68</v>
          </cell>
        </row>
        <row r="630">
          <cell r="G630" t="str">
            <v>M0112-A-201-1</v>
          </cell>
          <cell r="H630">
            <v>301.20999999999998</v>
          </cell>
          <cell r="I630">
            <v>301.27999999999997</v>
          </cell>
        </row>
        <row r="631">
          <cell r="G631" t="str">
            <v>M0112-A-202-1</v>
          </cell>
          <cell r="H631">
            <v>302.20999999999998</v>
          </cell>
          <cell r="I631">
            <v>302.25</v>
          </cell>
        </row>
        <row r="632">
          <cell r="G632" t="str">
            <v>M0112-A-204-1</v>
          </cell>
          <cell r="H632">
            <v>304.20999999999998</v>
          </cell>
          <cell r="I632">
            <v>305.75</v>
          </cell>
        </row>
        <row r="633">
          <cell r="G633" t="str">
            <v>M0112-A-205-1</v>
          </cell>
          <cell r="H633">
            <v>305.20999999999998</v>
          </cell>
          <cell r="I633">
            <v>306.14999999999998</v>
          </cell>
        </row>
        <row r="634">
          <cell r="G634" t="str">
            <v>M0112-A-206-1</v>
          </cell>
          <cell r="H634">
            <v>306.20999999999998</v>
          </cell>
          <cell r="I634">
            <v>306.72000000000003</v>
          </cell>
        </row>
        <row r="635">
          <cell r="G635" t="str">
            <v>M0112-A-207-1</v>
          </cell>
          <cell r="H635">
            <v>307.20999999999998</v>
          </cell>
          <cell r="I635">
            <v>307.22000000000003</v>
          </cell>
        </row>
        <row r="636">
          <cell r="G636" t="str">
            <v>M0112-A-209-1</v>
          </cell>
          <cell r="H636">
            <v>309.20999999999998</v>
          </cell>
          <cell r="I636">
            <v>309.41000000000003</v>
          </cell>
        </row>
        <row r="637">
          <cell r="G637" t="str">
            <v>M0112-A-210-1</v>
          </cell>
          <cell r="H637">
            <v>310.20999999999998</v>
          </cell>
          <cell r="I637">
            <v>310.49</v>
          </cell>
        </row>
        <row r="638">
          <cell r="G638" t="str">
            <v>M0112-A-211-1</v>
          </cell>
          <cell r="H638">
            <v>311.20999999999998</v>
          </cell>
          <cell r="I638">
            <v>311.29000000000002</v>
          </cell>
        </row>
        <row r="639">
          <cell r="G639" t="str">
            <v>M0112-A-212-1</v>
          </cell>
          <cell r="H639">
            <v>312.20999999999998</v>
          </cell>
          <cell r="I639">
            <v>313.01</v>
          </cell>
        </row>
        <row r="640">
          <cell r="G640" t="str">
            <v>M0112-A-212-2</v>
          </cell>
          <cell r="H640">
            <v>313.01</v>
          </cell>
          <cell r="I640">
            <v>313.52999999999997</v>
          </cell>
        </row>
        <row r="641">
          <cell r="G641" t="str">
            <v>M0112-A-213-1</v>
          </cell>
          <cell r="H641">
            <v>313.20999999999998</v>
          </cell>
          <cell r="I641">
            <v>313.22000000000003</v>
          </cell>
        </row>
        <row r="642">
          <cell r="G642" t="str">
            <v>M0112-A-214-1</v>
          </cell>
          <cell r="H642">
            <v>314.20999999999998</v>
          </cell>
          <cell r="I642">
            <v>315.70999999999998</v>
          </cell>
        </row>
        <row r="643">
          <cell r="G643" t="str">
            <v>M0112-A-214-2</v>
          </cell>
          <cell r="H643">
            <v>315.70999999999998</v>
          </cell>
          <cell r="I643">
            <v>316.39</v>
          </cell>
        </row>
        <row r="644">
          <cell r="G644" t="str">
            <v>M0112-A-215-1</v>
          </cell>
          <cell r="H644">
            <v>315.20999999999998</v>
          </cell>
          <cell r="I644">
            <v>316.47000000000003</v>
          </cell>
        </row>
        <row r="645">
          <cell r="G645" t="str">
            <v>M0112-A-215-2</v>
          </cell>
          <cell r="H645">
            <v>316.47000000000003</v>
          </cell>
          <cell r="I645">
            <v>317.02</v>
          </cell>
        </row>
        <row r="646">
          <cell r="G646" t="str">
            <v>M0112-A-216-1</v>
          </cell>
          <cell r="H646">
            <v>317.20999999999998</v>
          </cell>
          <cell r="I646">
            <v>318.70999999999998</v>
          </cell>
        </row>
        <row r="647">
          <cell r="G647" t="str">
            <v>M0112-A-216-2</v>
          </cell>
          <cell r="H647">
            <v>318.70999999999998</v>
          </cell>
          <cell r="I647">
            <v>319.66000000000003</v>
          </cell>
        </row>
        <row r="648">
          <cell r="G648" t="str">
            <v>M0112-A-217-1</v>
          </cell>
          <cell r="H648">
            <v>320.20999999999998</v>
          </cell>
          <cell r="I648">
            <v>321.70999999999998</v>
          </cell>
        </row>
        <row r="649">
          <cell r="G649" t="str">
            <v>M0112-A-217-2</v>
          </cell>
          <cell r="H649">
            <v>321.70999999999998</v>
          </cell>
          <cell r="I649">
            <v>323.18</v>
          </cell>
        </row>
        <row r="650">
          <cell r="G650" t="str">
            <v>M0112-A-218-1</v>
          </cell>
          <cell r="H650">
            <v>322.20999999999998</v>
          </cell>
          <cell r="I650">
            <v>323.52999999999997</v>
          </cell>
        </row>
        <row r="651">
          <cell r="G651" t="str">
            <v>M0112-A-218-2</v>
          </cell>
          <cell r="H651">
            <v>322.20999999999998</v>
          </cell>
          <cell r="I651">
            <v>323.52999999999997</v>
          </cell>
        </row>
        <row r="652">
          <cell r="G652" t="str">
            <v>M0112-A-219-1</v>
          </cell>
          <cell r="H652">
            <v>324.01</v>
          </cell>
          <cell r="I652">
            <v>324.95999999999998</v>
          </cell>
        </row>
        <row r="653">
          <cell r="G653" t="str">
            <v>M0112-A-219-2</v>
          </cell>
          <cell r="H653">
            <v>324.95999999999998</v>
          </cell>
          <cell r="I653">
            <v>325.81</v>
          </cell>
        </row>
        <row r="654">
          <cell r="G654" t="str">
            <v>M0112-A-221-1</v>
          </cell>
          <cell r="H654">
            <v>328.21</v>
          </cell>
          <cell r="I654">
            <v>328.49</v>
          </cell>
        </row>
        <row r="655">
          <cell r="G655" t="str">
            <v>M0112-B-2-1</v>
          </cell>
          <cell r="H655">
            <v>28.22</v>
          </cell>
          <cell r="I655">
            <v>29.73</v>
          </cell>
        </row>
        <row r="656">
          <cell r="G656" t="str">
            <v>M0112-B-2-2</v>
          </cell>
          <cell r="H656">
            <v>29.73</v>
          </cell>
          <cell r="I656">
            <v>30.39</v>
          </cell>
        </row>
        <row r="657">
          <cell r="G657" t="str">
            <v>M0112-B-3-1</v>
          </cell>
          <cell r="H657">
            <v>30.39</v>
          </cell>
          <cell r="I657">
            <v>31.9</v>
          </cell>
        </row>
        <row r="658">
          <cell r="G658" t="str">
            <v>M0112-B-3-2</v>
          </cell>
          <cell r="H658">
            <v>31.9</v>
          </cell>
          <cell r="I658">
            <v>32.72</v>
          </cell>
        </row>
        <row r="659">
          <cell r="G659" t="str">
            <v>M0112-B-5-1</v>
          </cell>
          <cell r="H659">
            <v>54</v>
          </cell>
          <cell r="I659">
            <v>55.19</v>
          </cell>
        </row>
        <row r="660">
          <cell r="G660" t="str">
            <v>M0112-B-5-2</v>
          </cell>
          <cell r="H660">
            <v>55.19</v>
          </cell>
          <cell r="I660">
            <v>55.52</v>
          </cell>
        </row>
        <row r="661">
          <cell r="G661" t="str">
            <v>M0112-B-6-1</v>
          </cell>
          <cell r="H661">
            <v>55.52</v>
          </cell>
          <cell r="I661">
            <v>56.32</v>
          </cell>
        </row>
        <row r="662">
          <cell r="G662" t="str">
            <v>M0112-B-7-1</v>
          </cell>
          <cell r="H662">
            <v>56.82</v>
          </cell>
          <cell r="I662">
            <v>57.4</v>
          </cell>
        </row>
        <row r="663">
          <cell r="G663" t="str">
            <v>M0112-B-8-1</v>
          </cell>
          <cell r="H663">
            <v>58.32</v>
          </cell>
          <cell r="I663">
            <v>58.72</v>
          </cell>
        </row>
        <row r="664">
          <cell r="G664" t="str">
            <v>M0112-B-9-1</v>
          </cell>
          <cell r="H664">
            <v>59.82</v>
          </cell>
          <cell r="I664">
            <v>60.89</v>
          </cell>
        </row>
        <row r="665">
          <cell r="G665" t="str">
            <v>M0112-B-9-2</v>
          </cell>
          <cell r="H665">
            <v>60.89</v>
          </cell>
          <cell r="I665">
            <v>61.37</v>
          </cell>
        </row>
        <row r="666">
          <cell r="G666" t="str">
            <v>M0112-B-10-1</v>
          </cell>
          <cell r="H666">
            <v>61.32</v>
          </cell>
          <cell r="I666">
            <v>62.82</v>
          </cell>
        </row>
        <row r="667">
          <cell r="G667" t="str">
            <v>M0112-B-12-1</v>
          </cell>
          <cell r="H667">
            <v>82</v>
          </cell>
          <cell r="I667">
            <v>83.48</v>
          </cell>
        </row>
        <row r="668">
          <cell r="G668" t="str">
            <v>M0112-B-13-1</v>
          </cell>
          <cell r="H668">
            <v>83.5</v>
          </cell>
          <cell r="I668">
            <v>85</v>
          </cell>
        </row>
        <row r="669">
          <cell r="G669" t="str">
            <v>M0112-B-13-2</v>
          </cell>
          <cell r="H669">
            <v>85</v>
          </cell>
          <cell r="I669">
            <v>86.02</v>
          </cell>
        </row>
        <row r="670">
          <cell r="G670" t="str">
            <v>M0112-B-14-1</v>
          </cell>
          <cell r="H670">
            <v>86.5</v>
          </cell>
          <cell r="I670">
            <v>87.75</v>
          </cell>
        </row>
        <row r="671">
          <cell r="G671" t="str">
            <v>M0112-B-15-1</v>
          </cell>
          <cell r="H671">
            <v>89.5</v>
          </cell>
          <cell r="I671">
            <v>91</v>
          </cell>
        </row>
        <row r="672">
          <cell r="G672" t="str">
            <v>M0112-B-15-2</v>
          </cell>
          <cell r="H672">
            <v>91</v>
          </cell>
          <cell r="I672">
            <v>92.27</v>
          </cell>
        </row>
        <row r="673">
          <cell r="G673" t="str">
            <v>M0112-B-16-1</v>
          </cell>
          <cell r="H673">
            <v>92.5</v>
          </cell>
          <cell r="I673">
            <v>94</v>
          </cell>
        </row>
        <row r="674">
          <cell r="G674" t="str">
            <v>M0112-B-16-2</v>
          </cell>
          <cell r="H674">
            <v>94</v>
          </cell>
          <cell r="I674">
            <v>94.91</v>
          </cell>
        </row>
        <row r="675">
          <cell r="G675" t="str">
            <v>M0112-B-17-1</v>
          </cell>
          <cell r="H675">
            <v>95.5</v>
          </cell>
          <cell r="I675">
            <v>96.91</v>
          </cell>
        </row>
        <row r="676">
          <cell r="G676" t="str">
            <v>M0112-B-18-1</v>
          </cell>
          <cell r="H676">
            <v>98.5</v>
          </cell>
          <cell r="I676">
            <v>98.82</v>
          </cell>
        </row>
        <row r="677">
          <cell r="G677" t="str">
            <v>M0112-B-19-1</v>
          </cell>
          <cell r="H677">
            <v>101.5</v>
          </cell>
          <cell r="I677">
            <v>102.11</v>
          </cell>
        </row>
        <row r="678">
          <cell r="G678" t="str">
            <v>M0112-B-19-2</v>
          </cell>
          <cell r="H678">
            <v>102.11</v>
          </cell>
          <cell r="I678">
            <v>102.55</v>
          </cell>
        </row>
        <row r="679">
          <cell r="G679" t="str">
            <v>M0112-B-20-1</v>
          </cell>
          <cell r="H679">
            <v>103.42</v>
          </cell>
          <cell r="I679">
            <v>103.6</v>
          </cell>
        </row>
        <row r="680">
          <cell r="G680" t="str">
            <v>M0112-B-21-1</v>
          </cell>
          <cell r="H680">
            <v>104.82</v>
          </cell>
          <cell r="I680">
            <v>105.06</v>
          </cell>
        </row>
        <row r="681">
          <cell r="G681" t="str">
            <v>M0112-B-22-1</v>
          </cell>
          <cell r="H681">
            <v>107.82</v>
          </cell>
          <cell r="I681">
            <v>107.93</v>
          </cell>
        </row>
        <row r="682">
          <cell r="G682" t="str">
            <v>M0112-B-24-1</v>
          </cell>
          <cell r="H682">
            <v>110.22</v>
          </cell>
          <cell r="I682">
            <v>110.77</v>
          </cell>
        </row>
        <row r="683">
          <cell r="G683" t="str">
            <v>M0112-B-25-1</v>
          </cell>
          <cell r="H683">
            <v>80.819999999999993</v>
          </cell>
          <cell r="I683">
            <v>110.82</v>
          </cell>
        </row>
        <row r="684">
          <cell r="G684" t="str">
            <v>M0112-B-27-1</v>
          </cell>
          <cell r="H684">
            <v>138</v>
          </cell>
          <cell r="I684">
            <v>139.5</v>
          </cell>
        </row>
        <row r="685">
          <cell r="G685" t="str">
            <v>M0112-B-27-2</v>
          </cell>
          <cell r="H685">
            <v>139.5</v>
          </cell>
          <cell r="I685">
            <v>140.66</v>
          </cell>
        </row>
        <row r="686">
          <cell r="G686" t="str">
            <v>M0112-B-28-1</v>
          </cell>
          <cell r="H686">
            <v>141</v>
          </cell>
          <cell r="I686">
            <v>142.5</v>
          </cell>
        </row>
        <row r="687">
          <cell r="G687" t="str">
            <v>M0112-B-28-2</v>
          </cell>
          <cell r="H687">
            <v>142.5</v>
          </cell>
          <cell r="I687">
            <v>143.5</v>
          </cell>
        </row>
        <row r="688">
          <cell r="G688" t="str">
            <v>M0112-B-28-3</v>
          </cell>
          <cell r="H688">
            <v>143.5</v>
          </cell>
          <cell r="I688">
            <v>144.13999999999999</v>
          </cell>
        </row>
        <row r="689">
          <cell r="G689" t="str">
            <v>M0112-B-29-1</v>
          </cell>
          <cell r="H689">
            <v>144</v>
          </cell>
          <cell r="I689">
            <v>145.5</v>
          </cell>
        </row>
        <row r="690">
          <cell r="G690" t="str">
            <v>M0112-B-29-2</v>
          </cell>
          <cell r="H690">
            <v>145.5</v>
          </cell>
          <cell r="I690">
            <v>146.5</v>
          </cell>
        </row>
        <row r="691">
          <cell r="G691" t="str">
            <v>M0112-B-29-3</v>
          </cell>
          <cell r="H691">
            <v>146.5</v>
          </cell>
          <cell r="I691">
            <v>147.09</v>
          </cell>
        </row>
        <row r="692">
          <cell r="G692" t="str">
            <v>M0112-B-30-1</v>
          </cell>
          <cell r="H692">
            <v>147</v>
          </cell>
          <cell r="I692">
            <v>148.5</v>
          </cell>
        </row>
        <row r="693">
          <cell r="G693" t="str">
            <v>M0112-B-30-2</v>
          </cell>
          <cell r="H693">
            <v>148.5</v>
          </cell>
          <cell r="I693">
            <v>149.54</v>
          </cell>
        </row>
        <row r="694">
          <cell r="G694" t="str">
            <v>M0112-B-31-1</v>
          </cell>
          <cell r="H694">
            <v>149.37</v>
          </cell>
          <cell r="I694">
            <v>150.37</v>
          </cell>
        </row>
        <row r="695">
          <cell r="G695" t="str">
            <v>M0112-B-31-2</v>
          </cell>
          <cell r="H695">
            <v>150.37</v>
          </cell>
          <cell r="I695">
            <v>150.91999999999999</v>
          </cell>
        </row>
        <row r="696">
          <cell r="G696" t="str">
            <v>M0112-B-35-1</v>
          </cell>
          <cell r="H696">
            <v>200</v>
          </cell>
          <cell r="I696">
            <v>200.27</v>
          </cell>
        </row>
        <row r="697">
          <cell r="G697" t="str">
            <v>M0112-B-36-1</v>
          </cell>
          <cell r="H697">
            <v>201.82</v>
          </cell>
          <cell r="I697">
            <v>201.97</v>
          </cell>
        </row>
        <row r="698">
          <cell r="G698" t="str">
            <v>M0112-B-37-1</v>
          </cell>
          <cell r="H698">
            <v>203.32</v>
          </cell>
          <cell r="I698">
            <v>203.77</v>
          </cell>
        </row>
        <row r="699">
          <cell r="G699" t="str">
            <v>M0112-B-39-1</v>
          </cell>
          <cell r="H699">
            <v>230.32</v>
          </cell>
          <cell r="I699">
            <v>231.39</v>
          </cell>
        </row>
        <row r="700">
          <cell r="G700" t="str">
            <v>M0112-B-40-1</v>
          </cell>
          <cell r="H700">
            <v>231.82</v>
          </cell>
          <cell r="I700">
            <v>232.72</v>
          </cell>
        </row>
        <row r="701">
          <cell r="G701" t="str">
            <v>M0112-B-40-2</v>
          </cell>
          <cell r="H701">
            <v>232.72</v>
          </cell>
          <cell r="I701">
            <v>232.79</v>
          </cell>
        </row>
        <row r="702">
          <cell r="G702" t="str">
            <v>M0112-B-41-1</v>
          </cell>
          <cell r="H702">
            <v>234.82</v>
          </cell>
          <cell r="I702">
            <v>235.7</v>
          </cell>
        </row>
        <row r="703">
          <cell r="G703" t="str">
            <v>M0112-B-41-2</v>
          </cell>
          <cell r="H703">
            <v>235.7</v>
          </cell>
          <cell r="I703">
            <v>236.25</v>
          </cell>
        </row>
        <row r="704">
          <cell r="G704" t="str">
            <v>M0112-B-42-1</v>
          </cell>
          <cell r="H704">
            <v>236.32</v>
          </cell>
          <cell r="I704">
            <v>236.93</v>
          </cell>
        </row>
        <row r="705">
          <cell r="G705" t="str">
            <v>M0112-B-42-2</v>
          </cell>
          <cell r="H705">
            <v>236.93</v>
          </cell>
          <cell r="I705">
            <v>237.05</v>
          </cell>
        </row>
        <row r="706">
          <cell r="G706" t="str">
            <v>M0112-B-43-1</v>
          </cell>
          <cell r="H706">
            <v>237.82</v>
          </cell>
          <cell r="I706">
            <v>238.9</v>
          </cell>
        </row>
        <row r="707">
          <cell r="G707" t="str">
            <v>M0112-B-44-1</v>
          </cell>
          <cell r="H707">
            <v>239.32</v>
          </cell>
          <cell r="I707">
            <v>240.44</v>
          </cell>
        </row>
        <row r="708">
          <cell r="G708" t="str">
            <v>M0112-B-45-1</v>
          </cell>
          <cell r="H708">
            <v>240.82</v>
          </cell>
          <cell r="I708">
            <v>242.06</v>
          </cell>
        </row>
        <row r="709">
          <cell r="G709" t="str">
            <v>M0112-B-46-1</v>
          </cell>
          <cell r="H709">
            <v>242.32</v>
          </cell>
          <cell r="I709">
            <v>243.75</v>
          </cell>
        </row>
        <row r="710">
          <cell r="G710" t="str">
            <v>M0112-B-47-1</v>
          </cell>
          <cell r="H710">
            <v>243.82</v>
          </cell>
          <cell r="I710">
            <v>243.93</v>
          </cell>
        </row>
        <row r="711">
          <cell r="G711" t="str">
            <v>M0112-B-48-1</v>
          </cell>
          <cell r="H711">
            <v>245.32</v>
          </cell>
          <cell r="I711">
            <v>245.45</v>
          </cell>
        </row>
        <row r="712">
          <cell r="G712" t="str">
            <v>M0112-B-49-1</v>
          </cell>
          <cell r="H712">
            <v>246.82</v>
          </cell>
          <cell r="I712">
            <v>248.32</v>
          </cell>
        </row>
        <row r="713">
          <cell r="G713" t="str">
            <v>M0112-B-49-2</v>
          </cell>
          <cell r="H713">
            <v>248.32</v>
          </cell>
          <cell r="I713">
            <v>248.77</v>
          </cell>
        </row>
        <row r="714">
          <cell r="G714" t="str">
            <v>M0112-B-49-3</v>
          </cell>
          <cell r="H714">
            <v>248.77</v>
          </cell>
          <cell r="I714">
            <v>248.85</v>
          </cell>
        </row>
        <row r="715">
          <cell r="G715" t="str">
            <v>M0112-B-50-1</v>
          </cell>
          <cell r="H715">
            <v>249.82</v>
          </cell>
          <cell r="I715">
            <v>250.24</v>
          </cell>
        </row>
        <row r="716">
          <cell r="G716" t="str">
            <v>M0112-B-51-1</v>
          </cell>
          <cell r="H716">
            <v>250.82</v>
          </cell>
          <cell r="I716">
            <v>251.11</v>
          </cell>
        </row>
        <row r="717">
          <cell r="G717" t="str">
            <v>M0112-B-52-1</v>
          </cell>
          <cell r="H717">
            <v>252.82</v>
          </cell>
          <cell r="I717">
            <v>252.98</v>
          </cell>
        </row>
        <row r="718">
          <cell r="G718" t="str">
            <v>M0112-B-53-1</v>
          </cell>
          <cell r="H718">
            <v>254.42</v>
          </cell>
          <cell r="I718">
            <v>254.54</v>
          </cell>
        </row>
        <row r="719">
          <cell r="G719" t="str">
            <v>M0112-B-54-1</v>
          </cell>
          <cell r="H719">
            <v>235.82</v>
          </cell>
          <cell r="I719">
            <v>255.82</v>
          </cell>
        </row>
        <row r="720">
          <cell r="G720" t="str">
            <v>M0112-B-56-1</v>
          </cell>
          <cell r="H720">
            <v>321.82</v>
          </cell>
          <cell r="I720">
            <v>322.83</v>
          </cell>
        </row>
        <row r="721">
          <cell r="G721" t="str">
            <v>M0112-B-56-2</v>
          </cell>
          <cell r="H721">
            <v>322.83</v>
          </cell>
          <cell r="I721">
            <v>323.5</v>
          </cell>
        </row>
        <row r="722">
          <cell r="G722" t="str">
            <v>M0112-B-56-3</v>
          </cell>
          <cell r="H722">
            <v>323.5</v>
          </cell>
          <cell r="I722">
            <v>323.70999999999998</v>
          </cell>
        </row>
        <row r="723">
          <cell r="G723" t="str">
            <v>M0112-B-57-1</v>
          </cell>
          <cell r="H723">
            <v>323.62</v>
          </cell>
          <cell r="I723">
            <v>324.13</v>
          </cell>
        </row>
        <row r="724">
          <cell r="G724" t="str">
            <v>M0112-B-57-2</v>
          </cell>
          <cell r="H724">
            <v>324.13</v>
          </cell>
          <cell r="I724">
            <v>324.55</v>
          </cell>
        </row>
        <row r="725">
          <cell r="G725" t="str">
            <v>M0112-B-58-1</v>
          </cell>
          <cell r="H725">
            <v>324.82</v>
          </cell>
          <cell r="I725">
            <v>325.70999999999998</v>
          </cell>
        </row>
        <row r="726">
          <cell r="G726" t="str">
            <v>M0112-B-59-1</v>
          </cell>
          <cell r="H726">
            <v>327.82</v>
          </cell>
          <cell r="I726">
            <v>327.91</v>
          </cell>
        </row>
        <row r="727">
          <cell r="G727" t="str">
            <v>M0112-B-60-1</v>
          </cell>
          <cell r="H727">
            <v>329.32</v>
          </cell>
          <cell r="I727">
            <v>329.33</v>
          </cell>
        </row>
        <row r="728">
          <cell r="G728" t="str">
            <v>M0112-B-61-1</v>
          </cell>
          <cell r="H728">
            <v>330.82</v>
          </cell>
          <cell r="I728">
            <v>331.44</v>
          </cell>
        </row>
        <row r="729">
          <cell r="G729" t="str">
            <v>M0112-B-63-1</v>
          </cell>
          <cell r="H729">
            <v>333.82</v>
          </cell>
          <cell r="I729">
            <v>334.66</v>
          </cell>
        </row>
        <row r="730">
          <cell r="G730" t="str">
            <v>M0112-B-64-1</v>
          </cell>
          <cell r="H730">
            <v>335.32</v>
          </cell>
          <cell r="I730">
            <v>336.25</v>
          </cell>
        </row>
        <row r="731">
          <cell r="G731" t="str">
            <v>M0112-B-65-1</v>
          </cell>
          <cell r="H731">
            <v>336.82</v>
          </cell>
          <cell r="I731">
            <v>337.82</v>
          </cell>
        </row>
        <row r="732">
          <cell r="G732" t="str">
            <v>M0113-A-1-1</v>
          </cell>
          <cell r="H732">
            <v>0</v>
          </cell>
          <cell r="I732">
            <v>1.5</v>
          </cell>
        </row>
        <row r="733">
          <cell r="G733" t="str">
            <v>M0113-A-1-2</v>
          </cell>
          <cell r="H733">
            <v>1.5</v>
          </cell>
          <cell r="I733">
            <v>2.9</v>
          </cell>
        </row>
        <row r="734">
          <cell r="G734" t="str">
            <v>M0113-A-2-1</v>
          </cell>
          <cell r="H734">
            <v>2.9</v>
          </cell>
          <cell r="I734">
            <v>4.4000000000000004</v>
          </cell>
        </row>
        <row r="735">
          <cell r="G735" t="str">
            <v>M0113-A-2-2</v>
          </cell>
          <cell r="H735">
            <v>4.4000000000000004</v>
          </cell>
          <cell r="I735">
            <v>5.3</v>
          </cell>
        </row>
        <row r="736">
          <cell r="G736" t="str">
            <v>M0113-A-3-1</v>
          </cell>
          <cell r="H736">
            <v>5.3</v>
          </cell>
          <cell r="I736">
            <v>6.8</v>
          </cell>
        </row>
        <row r="737">
          <cell r="G737" t="str">
            <v>M0113-A-3-2</v>
          </cell>
          <cell r="H737">
            <v>6.8</v>
          </cell>
          <cell r="I737">
            <v>8</v>
          </cell>
        </row>
        <row r="738">
          <cell r="G738" t="str">
            <v>M0113-A-4-1</v>
          </cell>
          <cell r="H738">
            <v>8</v>
          </cell>
          <cell r="I738">
            <v>9.5</v>
          </cell>
        </row>
        <row r="739">
          <cell r="G739" t="str">
            <v>M0113-A-4-2</v>
          </cell>
          <cell r="H739">
            <v>9.5</v>
          </cell>
          <cell r="I739">
            <v>10.5</v>
          </cell>
        </row>
        <row r="740">
          <cell r="G740" t="str">
            <v>M0113-A-5-1</v>
          </cell>
          <cell r="H740">
            <v>10.5</v>
          </cell>
          <cell r="I740">
            <v>11</v>
          </cell>
        </row>
        <row r="741">
          <cell r="G741" t="str">
            <v>M0113-A-6-1</v>
          </cell>
          <cell r="H741">
            <v>11</v>
          </cell>
          <cell r="I741">
            <v>12.51</v>
          </cell>
        </row>
        <row r="742">
          <cell r="G742" t="str">
            <v>M0113-A-6-2</v>
          </cell>
          <cell r="H742">
            <v>12.51</v>
          </cell>
          <cell r="I742">
            <v>13.77</v>
          </cell>
        </row>
        <row r="743">
          <cell r="G743" t="str">
            <v>M0113-A-7-1</v>
          </cell>
          <cell r="H743">
            <v>13.77</v>
          </cell>
          <cell r="I743">
            <v>15.27</v>
          </cell>
        </row>
        <row r="744">
          <cell r="G744" t="str">
            <v>M0113-A-7-2</v>
          </cell>
          <cell r="H744">
            <v>15.27</v>
          </cell>
          <cell r="I744">
            <v>15.88</v>
          </cell>
        </row>
        <row r="745">
          <cell r="G745" t="str">
            <v>M0113-A-8-1</v>
          </cell>
          <cell r="H745">
            <v>15.88</v>
          </cell>
          <cell r="I745">
            <v>17.23</v>
          </cell>
        </row>
        <row r="746">
          <cell r="G746" t="str">
            <v>M0113-A-9-1</v>
          </cell>
          <cell r="H746">
            <v>17.23</v>
          </cell>
          <cell r="I746">
            <v>18.73</v>
          </cell>
        </row>
        <row r="747">
          <cell r="G747" t="str">
            <v>M0113-A-9-2</v>
          </cell>
          <cell r="H747">
            <v>18.73</v>
          </cell>
          <cell r="I747">
            <v>19.190000000000001</v>
          </cell>
        </row>
        <row r="748">
          <cell r="G748" t="str">
            <v>M0113-A-10-1</v>
          </cell>
          <cell r="H748">
            <v>19.190000000000001</v>
          </cell>
          <cell r="I748">
            <v>20.69</v>
          </cell>
        </row>
        <row r="749">
          <cell r="G749" t="str">
            <v>M0113-A-10-2</v>
          </cell>
          <cell r="H749">
            <v>20.69</v>
          </cell>
          <cell r="I749">
            <v>21.38</v>
          </cell>
        </row>
        <row r="750">
          <cell r="G750" t="str">
            <v>M0113-A-11-1</v>
          </cell>
          <cell r="H750">
            <v>21.38</v>
          </cell>
          <cell r="I750">
            <v>21.98</v>
          </cell>
        </row>
        <row r="751">
          <cell r="G751" t="str">
            <v>M0113-A-11-2</v>
          </cell>
          <cell r="H751">
            <v>21.98</v>
          </cell>
          <cell r="I751">
            <v>22.51</v>
          </cell>
        </row>
        <row r="752">
          <cell r="G752" t="str">
            <v>M0113-A-12-1</v>
          </cell>
          <cell r="H752">
            <v>22.51</v>
          </cell>
          <cell r="I752">
            <v>24.02</v>
          </cell>
        </row>
        <row r="753">
          <cell r="G753" t="str">
            <v>M0113-A-13-1</v>
          </cell>
          <cell r="H753">
            <v>24.02</v>
          </cell>
          <cell r="I753">
            <v>25.39</v>
          </cell>
        </row>
        <row r="754">
          <cell r="G754" t="str">
            <v>M0113-A-14-1</v>
          </cell>
          <cell r="H754">
            <v>25.39</v>
          </cell>
          <cell r="I754">
            <v>26.73</v>
          </cell>
        </row>
        <row r="755">
          <cell r="G755" t="str">
            <v>M0113-A-15-1</v>
          </cell>
          <cell r="H755">
            <v>26.73</v>
          </cell>
          <cell r="I755">
            <v>28.22</v>
          </cell>
        </row>
        <row r="756">
          <cell r="G756" t="str">
            <v>M0113-A-15-2</v>
          </cell>
          <cell r="H756">
            <v>28.22</v>
          </cell>
          <cell r="I756">
            <v>28.74</v>
          </cell>
        </row>
        <row r="757">
          <cell r="G757" t="str">
            <v>M0113-A-16-1</v>
          </cell>
          <cell r="H757">
            <v>28.74</v>
          </cell>
          <cell r="I757">
            <v>29.34</v>
          </cell>
        </row>
        <row r="758">
          <cell r="G758" t="str">
            <v>M0113-A-16-2</v>
          </cell>
          <cell r="H758">
            <v>29.34</v>
          </cell>
          <cell r="I758">
            <v>30.36</v>
          </cell>
        </row>
        <row r="759">
          <cell r="G759" t="str">
            <v>M0113-A-16-3</v>
          </cell>
          <cell r="H759">
            <v>30.36</v>
          </cell>
          <cell r="I759">
            <v>31.15</v>
          </cell>
        </row>
        <row r="760">
          <cell r="G760" t="str">
            <v>M0113-A-17-1</v>
          </cell>
          <cell r="H760">
            <v>31.15</v>
          </cell>
          <cell r="I760">
            <v>32.15</v>
          </cell>
        </row>
        <row r="761">
          <cell r="G761" t="str">
            <v>M0113-A-17-2</v>
          </cell>
          <cell r="H761">
            <v>32.15</v>
          </cell>
          <cell r="I761">
            <v>33.03</v>
          </cell>
        </row>
        <row r="762">
          <cell r="G762" t="str">
            <v>M0113-A-18-1</v>
          </cell>
          <cell r="H762">
            <v>33.03</v>
          </cell>
          <cell r="I762">
            <v>34.53</v>
          </cell>
        </row>
        <row r="763">
          <cell r="G763" t="str">
            <v>M0113-A-18-2</v>
          </cell>
          <cell r="H763">
            <v>34.53</v>
          </cell>
          <cell r="I763">
            <v>35.36</v>
          </cell>
        </row>
        <row r="764">
          <cell r="G764" t="str">
            <v>M0113-A-19-1</v>
          </cell>
          <cell r="H764">
            <v>35.36</v>
          </cell>
          <cell r="I764">
            <v>36.630000000000003</v>
          </cell>
        </row>
        <row r="765">
          <cell r="G765" t="str">
            <v>M0113-A-20-1</v>
          </cell>
          <cell r="H765">
            <v>36.630000000000003</v>
          </cell>
          <cell r="I765">
            <v>37.630000000000003</v>
          </cell>
        </row>
        <row r="766">
          <cell r="G766" t="str">
            <v>M0113-A-20-2</v>
          </cell>
          <cell r="H766">
            <v>37.630000000000003</v>
          </cell>
          <cell r="I766">
            <v>38.369999999999997</v>
          </cell>
        </row>
        <row r="767">
          <cell r="G767" t="str">
            <v>M0113-A-21-1</v>
          </cell>
          <cell r="H767">
            <v>38.369999999999997</v>
          </cell>
          <cell r="I767">
            <v>39.47</v>
          </cell>
        </row>
        <row r="768">
          <cell r="G768" t="str">
            <v>M0113-A-21-2</v>
          </cell>
          <cell r="H768">
            <v>39.47</v>
          </cell>
          <cell r="I768">
            <v>40.299999999999997</v>
          </cell>
        </row>
        <row r="769">
          <cell r="G769" t="str">
            <v>M0113-A-22-1</v>
          </cell>
          <cell r="H769">
            <v>40.299999999999997</v>
          </cell>
          <cell r="I769">
            <v>40.43</v>
          </cell>
        </row>
        <row r="770">
          <cell r="G770" t="str">
            <v>M0113-A-23-1</v>
          </cell>
          <cell r="H770">
            <v>40.43</v>
          </cell>
          <cell r="I770">
            <v>40.619999999999997</v>
          </cell>
        </row>
        <row r="771">
          <cell r="G771" t="str">
            <v>M0113-A-23-2</v>
          </cell>
          <cell r="H771">
            <v>40.619999999999997</v>
          </cell>
          <cell r="I771">
            <v>41.48</v>
          </cell>
        </row>
        <row r="772">
          <cell r="G772" t="str">
            <v>M0113-A-23-3</v>
          </cell>
          <cell r="H772">
            <v>41.48</v>
          </cell>
          <cell r="I772">
            <v>42.44</v>
          </cell>
        </row>
        <row r="773">
          <cell r="G773" t="str">
            <v>M0113-A-24-1</v>
          </cell>
          <cell r="H773">
            <v>42.44</v>
          </cell>
          <cell r="I773">
            <v>42.57</v>
          </cell>
        </row>
        <row r="774">
          <cell r="G774" t="str">
            <v>M0113-A-25-1</v>
          </cell>
          <cell r="H774">
            <v>42.57</v>
          </cell>
          <cell r="I774">
            <v>43.57</v>
          </cell>
        </row>
        <row r="775">
          <cell r="G775" t="str">
            <v>M0113-A-25-2</v>
          </cell>
          <cell r="H775">
            <v>43.57</v>
          </cell>
          <cell r="I775">
            <v>44.54</v>
          </cell>
        </row>
        <row r="776">
          <cell r="G776" t="str">
            <v>M0113-A-26-1</v>
          </cell>
          <cell r="H776">
            <v>44.54</v>
          </cell>
          <cell r="I776">
            <v>45.54</v>
          </cell>
        </row>
        <row r="777">
          <cell r="G777" t="str">
            <v>M0113-A-26-2</v>
          </cell>
          <cell r="H777">
            <v>45.54</v>
          </cell>
          <cell r="I777">
            <v>46.48</v>
          </cell>
        </row>
        <row r="778">
          <cell r="G778" t="str">
            <v>M0113-A-27-1</v>
          </cell>
          <cell r="H778">
            <v>46.48</v>
          </cell>
          <cell r="I778">
            <v>47.48</v>
          </cell>
        </row>
        <row r="779">
          <cell r="G779" t="str">
            <v>M0113-A-27-2</v>
          </cell>
          <cell r="H779">
            <v>47.48</v>
          </cell>
          <cell r="I779">
            <v>48.47</v>
          </cell>
        </row>
        <row r="780">
          <cell r="G780" t="str">
            <v>M0113-A-28-1</v>
          </cell>
          <cell r="H780">
            <v>48.47</v>
          </cell>
          <cell r="I780">
            <v>49.47</v>
          </cell>
        </row>
        <row r="781">
          <cell r="G781" t="str">
            <v>M0113-A-28-2</v>
          </cell>
          <cell r="H781">
            <v>49.47</v>
          </cell>
          <cell r="I781">
            <v>50.41</v>
          </cell>
        </row>
        <row r="782">
          <cell r="G782" t="str">
            <v>M0113-A-29-1</v>
          </cell>
          <cell r="H782">
            <v>50.41</v>
          </cell>
          <cell r="I782">
            <v>51.91</v>
          </cell>
        </row>
        <row r="783">
          <cell r="G783" t="str">
            <v>M0113-A-30-1</v>
          </cell>
          <cell r="H783">
            <v>51.91</v>
          </cell>
          <cell r="I783">
            <v>52.89</v>
          </cell>
        </row>
        <row r="784">
          <cell r="G784" t="str">
            <v>M0113-A-30-2</v>
          </cell>
          <cell r="H784">
            <v>52.89</v>
          </cell>
          <cell r="I784">
            <v>53.73</v>
          </cell>
        </row>
        <row r="785">
          <cell r="G785" t="str">
            <v>M0113-A-30-3</v>
          </cell>
          <cell r="H785">
            <v>53.73</v>
          </cell>
          <cell r="I785">
            <v>53.89</v>
          </cell>
        </row>
        <row r="786">
          <cell r="G786" t="str">
            <v>M0113-A-31-1</v>
          </cell>
          <cell r="H786">
            <v>53.89</v>
          </cell>
          <cell r="I786">
            <v>55.02</v>
          </cell>
        </row>
        <row r="787">
          <cell r="G787" t="str">
            <v>M0113-A-32-1</v>
          </cell>
          <cell r="H787">
            <v>55.02</v>
          </cell>
          <cell r="I787">
            <v>56.52</v>
          </cell>
        </row>
        <row r="788">
          <cell r="G788" t="str">
            <v>M0113-A-32-2</v>
          </cell>
          <cell r="H788">
            <v>56.52</v>
          </cell>
          <cell r="I788">
            <v>57.52</v>
          </cell>
        </row>
        <row r="789">
          <cell r="G789" t="str">
            <v>M0113-A-33-1</v>
          </cell>
          <cell r="H789">
            <v>57.52</v>
          </cell>
          <cell r="I789">
            <v>58.52</v>
          </cell>
        </row>
        <row r="790">
          <cell r="G790" t="str">
            <v>M0113-A-33-2</v>
          </cell>
          <cell r="H790">
            <v>58.52</v>
          </cell>
          <cell r="I790">
            <v>59.94</v>
          </cell>
        </row>
        <row r="791">
          <cell r="G791" t="str">
            <v>M0113-A-34-1</v>
          </cell>
          <cell r="H791">
            <v>59.94</v>
          </cell>
          <cell r="I791">
            <v>60.94</v>
          </cell>
        </row>
        <row r="792">
          <cell r="G792" t="str">
            <v>M0113-A-34-2</v>
          </cell>
          <cell r="H792">
            <v>60.94</v>
          </cell>
          <cell r="I792">
            <v>61.74</v>
          </cell>
        </row>
        <row r="793">
          <cell r="G793" t="str">
            <v>M0113-A-35-1</v>
          </cell>
          <cell r="H793">
            <v>61.74</v>
          </cell>
          <cell r="I793">
            <v>62.75</v>
          </cell>
        </row>
        <row r="794">
          <cell r="G794" t="str">
            <v>M0113-A-35-2</v>
          </cell>
          <cell r="H794">
            <v>62.75</v>
          </cell>
          <cell r="I794">
            <v>63.68</v>
          </cell>
        </row>
        <row r="795">
          <cell r="G795" t="str">
            <v>M0113-A-36-1</v>
          </cell>
          <cell r="H795">
            <v>63.68</v>
          </cell>
          <cell r="I795">
            <v>64.680000000000007</v>
          </cell>
        </row>
        <row r="796">
          <cell r="G796" t="str">
            <v>M0113-A-36-2</v>
          </cell>
          <cell r="H796">
            <v>64.680000000000007</v>
          </cell>
          <cell r="I796">
            <v>65.540000000000006</v>
          </cell>
        </row>
        <row r="797">
          <cell r="G797" t="str">
            <v>M0113-A-37-1</v>
          </cell>
          <cell r="H797">
            <v>65.44</v>
          </cell>
          <cell r="I797">
            <v>66.44</v>
          </cell>
        </row>
        <row r="798">
          <cell r="G798" t="str">
            <v>M0113-A-37-2</v>
          </cell>
          <cell r="H798">
            <v>66.44</v>
          </cell>
          <cell r="I798">
            <v>67.209999999999994</v>
          </cell>
        </row>
        <row r="799">
          <cell r="G799" t="str">
            <v>M0113-A-38-1</v>
          </cell>
          <cell r="H799">
            <v>67.010000000000005</v>
          </cell>
          <cell r="I799">
            <v>67.2</v>
          </cell>
        </row>
        <row r="800">
          <cell r="G800" t="str">
            <v>M0113-A-38-2</v>
          </cell>
          <cell r="H800">
            <v>67.2</v>
          </cell>
          <cell r="I800">
            <v>67.66</v>
          </cell>
        </row>
        <row r="801">
          <cell r="G801" t="str">
            <v>M0113-A-38-3</v>
          </cell>
          <cell r="H801">
            <v>67.66</v>
          </cell>
          <cell r="I801">
            <v>68.180000000000007</v>
          </cell>
        </row>
        <row r="802">
          <cell r="G802" t="str">
            <v>M0113-A-38-4</v>
          </cell>
          <cell r="H802">
            <v>68.180000000000007</v>
          </cell>
          <cell r="I802">
            <v>68.27</v>
          </cell>
        </row>
        <row r="803">
          <cell r="G803" t="str">
            <v>M0113-A-39-1</v>
          </cell>
          <cell r="H803">
            <v>68.27</v>
          </cell>
          <cell r="I803">
            <v>68.8</v>
          </cell>
        </row>
        <row r="804">
          <cell r="G804" t="str">
            <v>M0113-A-41-1</v>
          </cell>
          <cell r="H804">
            <v>68.27</v>
          </cell>
          <cell r="I804">
            <v>69.63</v>
          </cell>
        </row>
        <row r="805">
          <cell r="G805" t="str">
            <v>M0113-A-42-1</v>
          </cell>
          <cell r="H805">
            <v>79.400000000000006</v>
          </cell>
          <cell r="I805">
            <v>79.760000000000005</v>
          </cell>
        </row>
        <row r="806">
          <cell r="G806" t="str">
            <v>M0113-A-43-1</v>
          </cell>
          <cell r="H806">
            <v>79.760000000000005</v>
          </cell>
          <cell r="I806">
            <v>80.97</v>
          </cell>
        </row>
        <row r="807">
          <cell r="G807" t="str">
            <v>M0113-A-43-2</v>
          </cell>
          <cell r="H807">
            <v>80.97</v>
          </cell>
          <cell r="I807">
            <v>81.08</v>
          </cell>
        </row>
        <row r="808">
          <cell r="G808" t="str">
            <v>M0113-A-44-1</v>
          </cell>
          <cell r="H808">
            <v>81.08</v>
          </cell>
          <cell r="I808">
            <v>81.19</v>
          </cell>
        </row>
        <row r="809">
          <cell r="G809" t="str">
            <v>M0113-A-44-2</v>
          </cell>
          <cell r="H809">
            <v>81.19</v>
          </cell>
          <cell r="I809">
            <v>82.02</v>
          </cell>
        </row>
        <row r="810">
          <cell r="G810" t="str">
            <v>M0113-A-44-3</v>
          </cell>
          <cell r="H810">
            <v>82.02</v>
          </cell>
          <cell r="I810">
            <v>82.56</v>
          </cell>
        </row>
        <row r="811">
          <cell r="G811" t="str">
            <v>M0113-A-45-1</v>
          </cell>
          <cell r="H811">
            <v>82.56</v>
          </cell>
          <cell r="I811">
            <v>83.92</v>
          </cell>
        </row>
        <row r="812">
          <cell r="G812" t="str">
            <v>M0113-A-46-1</v>
          </cell>
          <cell r="H812">
            <v>83.49</v>
          </cell>
          <cell r="I812">
            <v>83.9</v>
          </cell>
        </row>
        <row r="813">
          <cell r="G813" t="str">
            <v>M0113-A-46-2</v>
          </cell>
          <cell r="H813">
            <v>83.9</v>
          </cell>
          <cell r="I813">
            <v>85.33</v>
          </cell>
        </row>
        <row r="814">
          <cell r="G814" t="str">
            <v>M0113-A-47-1</v>
          </cell>
          <cell r="H814">
            <v>85.33</v>
          </cell>
          <cell r="I814">
            <v>85.82</v>
          </cell>
        </row>
        <row r="815">
          <cell r="G815" t="str">
            <v>M0113-A-47-2</v>
          </cell>
          <cell r="H815">
            <v>85.82</v>
          </cell>
          <cell r="I815">
            <v>86.34</v>
          </cell>
        </row>
        <row r="816">
          <cell r="G816" t="str">
            <v>M0113-A-48-1</v>
          </cell>
          <cell r="H816">
            <v>86.34</v>
          </cell>
          <cell r="I816">
            <v>87.27</v>
          </cell>
        </row>
        <row r="817">
          <cell r="G817" t="str">
            <v>M0113-A-49-1</v>
          </cell>
          <cell r="H817">
            <v>87.27</v>
          </cell>
          <cell r="I817">
            <v>88.21</v>
          </cell>
        </row>
        <row r="818">
          <cell r="G818" t="str">
            <v>M0113-A-49-2</v>
          </cell>
          <cell r="H818">
            <v>88.21</v>
          </cell>
          <cell r="I818">
            <v>88.7</v>
          </cell>
        </row>
        <row r="819">
          <cell r="G819" t="str">
            <v>M0113-A-50-1</v>
          </cell>
          <cell r="H819">
            <v>89.49</v>
          </cell>
          <cell r="I819">
            <v>90.4</v>
          </cell>
        </row>
        <row r="820">
          <cell r="G820" t="str">
            <v>M0113-A-51-1</v>
          </cell>
          <cell r="H820">
            <v>90.99</v>
          </cell>
          <cell r="I820">
            <v>92.15</v>
          </cell>
        </row>
        <row r="821">
          <cell r="G821" t="str">
            <v>M0113-A-53-1</v>
          </cell>
          <cell r="H821">
            <v>93.99</v>
          </cell>
          <cell r="I821">
            <v>95.49</v>
          </cell>
        </row>
        <row r="822">
          <cell r="G822" t="str">
            <v>M0113-A-53-2</v>
          </cell>
          <cell r="H822">
            <v>95.49</v>
          </cell>
          <cell r="I822">
            <v>96.69</v>
          </cell>
        </row>
        <row r="823">
          <cell r="G823" t="str">
            <v>M0113-A-54-1</v>
          </cell>
          <cell r="H823">
            <v>95.49</v>
          </cell>
          <cell r="I823">
            <v>96.72</v>
          </cell>
        </row>
        <row r="824">
          <cell r="G824" t="str">
            <v>M0113-A-55-1</v>
          </cell>
          <cell r="H824">
            <v>96.99</v>
          </cell>
          <cell r="I824">
            <v>97.99</v>
          </cell>
        </row>
        <row r="825">
          <cell r="G825" t="str">
            <v>M0113-A-55-2</v>
          </cell>
          <cell r="H825">
            <v>97.99</v>
          </cell>
          <cell r="I825">
            <v>98.99</v>
          </cell>
        </row>
        <row r="826">
          <cell r="G826" t="str">
            <v>M0113-A-56-1</v>
          </cell>
          <cell r="H826">
            <v>98.99</v>
          </cell>
          <cell r="I826">
            <v>100.49</v>
          </cell>
        </row>
        <row r="827">
          <cell r="G827" t="str">
            <v>M0113-A-56-2</v>
          </cell>
          <cell r="H827">
            <v>100.49</v>
          </cell>
          <cell r="I827">
            <v>101.4</v>
          </cell>
        </row>
        <row r="828">
          <cell r="G828" t="str">
            <v>M0113-A-57-1</v>
          </cell>
          <cell r="H828">
            <v>101.4</v>
          </cell>
          <cell r="I828">
            <v>102.35</v>
          </cell>
        </row>
        <row r="829">
          <cell r="G829" t="str">
            <v>M0113-A-57-2</v>
          </cell>
          <cell r="H829">
            <v>102.35</v>
          </cell>
          <cell r="I829">
            <v>103.38</v>
          </cell>
        </row>
        <row r="830">
          <cell r="G830" t="str">
            <v>M0113-A-58-1</v>
          </cell>
          <cell r="H830">
            <v>103.38</v>
          </cell>
          <cell r="I830">
            <v>104.38</v>
          </cell>
        </row>
        <row r="831">
          <cell r="G831" t="str">
            <v>M0113-A-58-2</v>
          </cell>
          <cell r="H831">
            <v>104.38</v>
          </cell>
          <cell r="I831">
            <v>105.03</v>
          </cell>
        </row>
        <row r="832">
          <cell r="G832" t="str">
            <v>M0113-A-59-1</v>
          </cell>
          <cell r="H832">
            <v>104.22</v>
          </cell>
          <cell r="I832">
            <v>104.9</v>
          </cell>
        </row>
        <row r="833">
          <cell r="G833" t="str">
            <v>M0113-A-59-2</v>
          </cell>
          <cell r="H833">
            <v>104.9</v>
          </cell>
          <cell r="I833">
            <v>105.03</v>
          </cell>
        </row>
        <row r="834">
          <cell r="G834" t="str">
            <v>M0113-A-60-1</v>
          </cell>
          <cell r="H834">
            <v>105.03</v>
          </cell>
          <cell r="I834">
            <v>105.75</v>
          </cell>
        </row>
        <row r="835">
          <cell r="G835" t="str">
            <v>M0113-A-60-2</v>
          </cell>
          <cell r="H835">
            <v>105.75</v>
          </cell>
          <cell r="I835">
            <v>105.9</v>
          </cell>
        </row>
        <row r="836">
          <cell r="G836" t="str">
            <v>M0113-A-61-1</v>
          </cell>
          <cell r="H836">
            <v>105.9</v>
          </cell>
          <cell r="I836">
            <v>106.49</v>
          </cell>
        </row>
        <row r="837">
          <cell r="G837" t="str">
            <v>M0113-A-62-1</v>
          </cell>
          <cell r="H837">
            <v>107.49</v>
          </cell>
          <cell r="I837">
            <v>107.96</v>
          </cell>
        </row>
        <row r="838">
          <cell r="G838" t="str">
            <v>M0113-A-63-1</v>
          </cell>
          <cell r="H838">
            <v>108.99</v>
          </cell>
          <cell r="I838">
            <v>109.8</v>
          </cell>
        </row>
        <row r="839">
          <cell r="G839" t="str">
            <v>M0113-A-63-2</v>
          </cell>
          <cell r="H839">
            <v>109.8</v>
          </cell>
          <cell r="I839">
            <v>109.93</v>
          </cell>
        </row>
        <row r="840">
          <cell r="G840" t="str">
            <v>M0113-A-65-1</v>
          </cell>
          <cell r="H840">
            <v>109.93</v>
          </cell>
          <cell r="I840">
            <v>110.92</v>
          </cell>
        </row>
        <row r="841">
          <cell r="G841" t="str">
            <v>M0113-A-65-2</v>
          </cell>
          <cell r="H841">
            <v>110.92</v>
          </cell>
          <cell r="I841">
            <v>111.31</v>
          </cell>
        </row>
        <row r="842">
          <cell r="G842" t="str">
            <v>M0113-A-66-1</v>
          </cell>
          <cell r="H842">
            <v>111.99</v>
          </cell>
          <cell r="I842">
            <v>112.23</v>
          </cell>
        </row>
        <row r="843">
          <cell r="G843" t="str">
            <v>M0113-A-67-1</v>
          </cell>
          <cell r="H843">
            <v>113.49</v>
          </cell>
          <cell r="I843">
            <v>114.99</v>
          </cell>
        </row>
        <row r="844">
          <cell r="G844" t="str">
            <v>M0113-A-64-1</v>
          </cell>
          <cell r="H844">
            <v>109.93</v>
          </cell>
          <cell r="I844">
            <v>110.14</v>
          </cell>
        </row>
        <row r="845">
          <cell r="G845" t="str">
            <v>M0113-A-68-1</v>
          </cell>
          <cell r="H845">
            <v>114.99</v>
          </cell>
          <cell r="I845">
            <v>115.44</v>
          </cell>
        </row>
        <row r="846">
          <cell r="G846" t="str">
            <v>M0113-A-69-1</v>
          </cell>
          <cell r="H846">
            <v>116.49</v>
          </cell>
          <cell r="I846">
            <v>116.92</v>
          </cell>
        </row>
        <row r="847">
          <cell r="G847" t="str">
            <v>M0113-A-70-1</v>
          </cell>
          <cell r="H847">
            <v>117.99</v>
          </cell>
          <cell r="I847">
            <v>118.97</v>
          </cell>
        </row>
        <row r="848">
          <cell r="G848" t="str">
            <v>M0113-A-71-1</v>
          </cell>
          <cell r="H848">
            <v>119.49</v>
          </cell>
          <cell r="I848">
            <v>119.85</v>
          </cell>
        </row>
        <row r="849">
          <cell r="G849" t="str">
            <v>M0113-A-72-1</v>
          </cell>
          <cell r="H849">
            <v>120.99</v>
          </cell>
          <cell r="I849">
            <v>122.11</v>
          </cell>
        </row>
        <row r="850">
          <cell r="G850" t="str">
            <v>M0113-A-73-1</v>
          </cell>
          <cell r="H850">
            <v>122.49</v>
          </cell>
          <cell r="I850">
            <v>122.99</v>
          </cell>
        </row>
        <row r="851">
          <cell r="G851" t="str">
            <v>M0113-A-74-1</v>
          </cell>
          <cell r="H851">
            <v>123.99</v>
          </cell>
          <cell r="I851">
            <v>124.53</v>
          </cell>
        </row>
        <row r="852">
          <cell r="G852" t="str">
            <v>M0113-A-75-1</v>
          </cell>
          <cell r="H852">
            <v>125.49</v>
          </cell>
          <cell r="I852">
            <v>126.11</v>
          </cell>
        </row>
        <row r="853">
          <cell r="G853" t="str">
            <v>M0113-A-75-2</v>
          </cell>
          <cell r="H853">
            <v>126.11</v>
          </cell>
          <cell r="I853">
            <v>126.51</v>
          </cell>
        </row>
        <row r="854">
          <cell r="G854" t="str">
            <v>M0113-A-76-1</v>
          </cell>
          <cell r="H854">
            <v>126.99</v>
          </cell>
          <cell r="I854">
            <v>127.08</v>
          </cell>
        </row>
        <row r="855">
          <cell r="G855" t="str">
            <v>M0113-A-77-1</v>
          </cell>
          <cell r="H855">
            <v>128.49</v>
          </cell>
          <cell r="I855">
            <v>128.69</v>
          </cell>
        </row>
        <row r="856">
          <cell r="G856" t="str">
            <v>M0113-A-78-1</v>
          </cell>
          <cell r="H856">
            <v>129.99</v>
          </cell>
          <cell r="I856">
            <v>131.49</v>
          </cell>
        </row>
        <row r="857">
          <cell r="G857" t="str">
            <v>M0113-A-78-2</v>
          </cell>
          <cell r="H857">
            <v>131.49</v>
          </cell>
          <cell r="I857">
            <v>132.29</v>
          </cell>
        </row>
        <row r="858">
          <cell r="G858" t="str">
            <v>M0113-A-80-1</v>
          </cell>
          <cell r="H858">
            <v>132.29</v>
          </cell>
          <cell r="I858">
            <v>132.91</v>
          </cell>
        </row>
        <row r="859">
          <cell r="G859" t="str">
            <v>M0113-A-81-1</v>
          </cell>
          <cell r="H859">
            <v>134.49</v>
          </cell>
          <cell r="I859">
            <v>135.05000000000001</v>
          </cell>
        </row>
        <row r="860">
          <cell r="G860" t="str">
            <v>M0113-A-81-2</v>
          </cell>
          <cell r="H860">
            <v>135.05000000000001</v>
          </cell>
          <cell r="I860">
            <v>135.44</v>
          </cell>
        </row>
        <row r="861">
          <cell r="G861" t="str">
            <v>M0113-A-82-1</v>
          </cell>
          <cell r="H861">
            <v>135.99</v>
          </cell>
          <cell r="I861">
            <v>137.06</v>
          </cell>
        </row>
        <row r="862">
          <cell r="G862" t="str">
            <v>M0113-A-83-1</v>
          </cell>
          <cell r="H862">
            <v>137.49</v>
          </cell>
          <cell r="I862">
            <v>138.91999999999999</v>
          </cell>
        </row>
        <row r="863">
          <cell r="G863" t="str">
            <v>M0113-A-83-2</v>
          </cell>
          <cell r="H863">
            <v>138.91999999999999</v>
          </cell>
          <cell r="I863">
            <v>139.02000000000001</v>
          </cell>
        </row>
        <row r="864">
          <cell r="G864" t="str">
            <v>M0113-A-84-1</v>
          </cell>
          <cell r="H864">
            <v>138.99</v>
          </cell>
          <cell r="I864">
            <v>139.69</v>
          </cell>
        </row>
        <row r="865">
          <cell r="G865" t="str">
            <v>M0113-A-84-2</v>
          </cell>
          <cell r="H865">
            <v>139.69</v>
          </cell>
          <cell r="I865">
            <v>140.30000000000001</v>
          </cell>
        </row>
        <row r="866">
          <cell r="G866" t="str">
            <v>M0113-A-85-1</v>
          </cell>
          <cell r="H866">
            <v>140.49</v>
          </cell>
          <cell r="I866">
            <v>141.99</v>
          </cell>
        </row>
        <row r="867">
          <cell r="G867" t="str">
            <v>M0113-A-85-2</v>
          </cell>
          <cell r="H867">
            <v>141.99</v>
          </cell>
          <cell r="I867">
            <v>143.24</v>
          </cell>
        </row>
        <row r="868">
          <cell r="G868" t="str">
            <v>M0113-A-86-1</v>
          </cell>
          <cell r="H868">
            <v>143.49</v>
          </cell>
          <cell r="I868">
            <v>144.49</v>
          </cell>
        </row>
        <row r="869">
          <cell r="G869" t="str">
            <v>M0113-A-86-2</v>
          </cell>
          <cell r="H869">
            <v>144.49</v>
          </cell>
          <cell r="I869">
            <v>145.16</v>
          </cell>
        </row>
        <row r="870">
          <cell r="G870" t="str">
            <v>M0113-A-87-1</v>
          </cell>
          <cell r="H870">
            <v>146.49</v>
          </cell>
          <cell r="I870">
            <v>147.49</v>
          </cell>
        </row>
        <row r="871">
          <cell r="G871" t="str">
            <v>M0113-A-87-2</v>
          </cell>
          <cell r="H871">
            <v>147.49</v>
          </cell>
          <cell r="I871">
            <v>148</v>
          </cell>
        </row>
        <row r="872">
          <cell r="G872" t="str">
            <v>M0113-A-88-1</v>
          </cell>
          <cell r="H872">
            <v>148.49</v>
          </cell>
          <cell r="I872">
            <v>149.99</v>
          </cell>
        </row>
        <row r="873">
          <cell r="G873" t="str">
            <v>M0113-A-88-2</v>
          </cell>
          <cell r="H873">
            <v>149.99</v>
          </cell>
          <cell r="I873">
            <v>150.54</v>
          </cell>
        </row>
        <row r="874">
          <cell r="G874" t="str">
            <v>M0113-A-89-1</v>
          </cell>
          <cell r="H874">
            <v>151.49</v>
          </cell>
          <cell r="I874">
            <v>152.34</v>
          </cell>
        </row>
        <row r="875">
          <cell r="G875" t="str">
            <v>M0113-A-79-1</v>
          </cell>
          <cell r="H875">
            <v>131.59</v>
          </cell>
          <cell r="I875">
            <v>131.75</v>
          </cell>
        </row>
        <row r="876">
          <cell r="G876" t="str">
            <v>M0113-A-90-1</v>
          </cell>
          <cell r="H876">
            <v>152.59</v>
          </cell>
          <cell r="I876">
            <v>153.63999999999999</v>
          </cell>
        </row>
        <row r="877">
          <cell r="G877" t="str">
            <v>M0113-A-90-2</v>
          </cell>
          <cell r="H877">
            <v>153.63999999999999</v>
          </cell>
          <cell r="I877">
            <v>154.13999999999999</v>
          </cell>
        </row>
        <row r="878">
          <cell r="G878" t="str">
            <v>M0113-A-91-1</v>
          </cell>
          <cell r="H878">
            <v>155.49</v>
          </cell>
          <cell r="I878">
            <v>155.88999999999999</v>
          </cell>
        </row>
        <row r="879">
          <cell r="G879" t="str">
            <v>M0113-A-92-1</v>
          </cell>
          <cell r="H879">
            <v>158.49</v>
          </cell>
          <cell r="I879">
            <v>159.07</v>
          </cell>
        </row>
        <row r="880">
          <cell r="G880" t="str">
            <v>M0113-A-93-1</v>
          </cell>
          <cell r="H880">
            <v>161.49</v>
          </cell>
          <cell r="I880">
            <v>162.01</v>
          </cell>
        </row>
        <row r="881">
          <cell r="G881" t="str">
            <v>M0113-A-94-1</v>
          </cell>
          <cell r="H881">
            <v>162.99</v>
          </cell>
          <cell r="I881">
            <v>163.31</v>
          </cell>
        </row>
        <row r="882">
          <cell r="G882" t="str">
            <v>M0113-A-95-1</v>
          </cell>
          <cell r="H882">
            <v>164.49</v>
          </cell>
          <cell r="I882">
            <v>164.88</v>
          </cell>
        </row>
        <row r="883">
          <cell r="G883" t="str">
            <v>M0113-A-95-2</v>
          </cell>
          <cell r="H883">
            <v>164.88</v>
          </cell>
          <cell r="I883">
            <v>165.23</v>
          </cell>
        </row>
        <row r="884">
          <cell r="G884" t="str">
            <v>M0113-A-96-1</v>
          </cell>
          <cell r="H884">
            <v>165.99</v>
          </cell>
          <cell r="I884">
            <v>166.36</v>
          </cell>
        </row>
        <row r="885">
          <cell r="G885" t="str">
            <v>M0113-A-96-2</v>
          </cell>
          <cell r="H885">
            <v>166.36</v>
          </cell>
          <cell r="I885">
            <v>166.48</v>
          </cell>
        </row>
        <row r="886">
          <cell r="G886" t="str">
            <v>M0113-A-97-1</v>
          </cell>
          <cell r="H886">
            <v>167.49</v>
          </cell>
          <cell r="I886">
            <v>168.94</v>
          </cell>
        </row>
        <row r="887">
          <cell r="G887" t="str">
            <v>M0113-A-98-1</v>
          </cell>
          <cell r="H887">
            <v>168.99</v>
          </cell>
          <cell r="I887">
            <v>169.45</v>
          </cell>
        </row>
        <row r="888">
          <cell r="G888" t="str">
            <v>M0113-A-99-1</v>
          </cell>
          <cell r="H888">
            <v>170.49</v>
          </cell>
          <cell r="I888">
            <v>171.49</v>
          </cell>
        </row>
        <row r="889">
          <cell r="G889" t="str">
            <v>M0113-A-99-2</v>
          </cell>
          <cell r="H889">
            <v>171.49</v>
          </cell>
          <cell r="I889">
            <v>171.91</v>
          </cell>
        </row>
        <row r="890">
          <cell r="G890" t="str">
            <v>M0113-A-100-1</v>
          </cell>
          <cell r="H890">
            <v>171.99</v>
          </cell>
          <cell r="I890">
            <v>172.46</v>
          </cell>
        </row>
        <row r="891">
          <cell r="G891" t="str">
            <v>M0113-A-101-1</v>
          </cell>
          <cell r="H891">
            <v>173.49</v>
          </cell>
          <cell r="I891">
            <v>173.96</v>
          </cell>
        </row>
        <row r="892">
          <cell r="G892" t="str">
            <v>M0113-A-102-1</v>
          </cell>
          <cell r="H892">
            <v>174.99</v>
          </cell>
          <cell r="I892">
            <v>175.89</v>
          </cell>
        </row>
        <row r="893">
          <cell r="G893" t="str">
            <v>M0113-A-102-2</v>
          </cell>
          <cell r="H893">
            <v>175.89</v>
          </cell>
          <cell r="I893">
            <v>176.34</v>
          </cell>
        </row>
        <row r="894">
          <cell r="G894" t="str">
            <v>M0113-A-103-1</v>
          </cell>
          <cell r="H894">
            <v>176.49</v>
          </cell>
          <cell r="I894">
            <v>176.89</v>
          </cell>
        </row>
        <row r="895">
          <cell r="G895" t="str">
            <v>M0113-A-104-1</v>
          </cell>
          <cell r="H895">
            <v>177.99</v>
          </cell>
          <cell r="I895">
            <v>179.45</v>
          </cell>
        </row>
        <row r="896">
          <cell r="G896" t="str">
            <v>M0113-A-105-1</v>
          </cell>
          <cell r="H896">
            <v>179.49</v>
          </cell>
          <cell r="I896">
            <v>180.49</v>
          </cell>
        </row>
        <row r="897">
          <cell r="G897" t="str">
            <v>M0113-A-105-2</v>
          </cell>
          <cell r="H897">
            <v>180.49</v>
          </cell>
          <cell r="I897">
            <v>181.19</v>
          </cell>
        </row>
        <row r="898">
          <cell r="G898" t="str">
            <v>M0113-A-105-3</v>
          </cell>
          <cell r="H898">
            <v>181.19</v>
          </cell>
          <cell r="I898">
            <v>181.28</v>
          </cell>
        </row>
        <row r="899">
          <cell r="G899" t="str">
            <v>M0113-A-106-1</v>
          </cell>
          <cell r="H899">
            <v>182.49</v>
          </cell>
          <cell r="I899">
            <v>182.72</v>
          </cell>
        </row>
        <row r="900">
          <cell r="G900" t="str">
            <v>M0113-A-107-1</v>
          </cell>
          <cell r="H900">
            <v>185.49</v>
          </cell>
          <cell r="I900">
            <v>186.49</v>
          </cell>
        </row>
        <row r="901">
          <cell r="G901" t="str">
            <v>M0113-A-107-2</v>
          </cell>
          <cell r="H901">
            <v>186.49</v>
          </cell>
          <cell r="I901">
            <v>187.07</v>
          </cell>
        </row>
        <row r="902">
          <cell r="G902" t="str">
            <v>M0113-A-108-1</v>
          </cell>
          <cell r="H902">
            <v>186.99</v>
          </cell>
          <cell r="I902">
            <v>188.03</v>
          </cell>
        </row>
        <row r="903">
          <cell r="G903" t="str">
            <v>M0113-A-109-1</v>
          </cell>
          <cell r="H903">
            <v>188.49</v>
          </cell>
          <cell r="I903">
            <v>188.75</v>
          </cell>
        </row>
        <row r="904">
          <cell r="G904" t="str">
            <v>M0113-A-110-1</v>
          </cell>
          <cell r="H904">
            <v>189.99</v>
          </cell>
          <cell r="I904">
            <v>190.98</v>
          </cell>
        </row>
        <row r="905">
          <cell r="G905" t="str">
            <v>M0113-A-110-2</v>
          </cell>
          <cell r="H905">
            <v>190.98</v>
          </cell>
          <cell r="I905">
            <v>191.48</v>
          </cell>
        </row>
        <row r="906">
          <cell r="G906" t="str">
            <v>M0113-A-111-1</v>
          </cell>
          <cell r="H906">
            <v>191.49</v>
          </cell>
          <cell r="I906">
            <v>191.74</v>
          </cell>
        </row>
        <row r="907">
          <cell r="G907" t="str">
            <v>M0113-A-112-1</v>
          </cell>
          <cell r="H907">
            <v>192.99</v>
          </cell>
          <cell r="I907">
            <v>193.26</v>
          </cell>
        </row>
        <row r="908">
          <cell r="G908" t="str">
            <v>M0113-A-114-1</v>
          </cell>
          <cell r="H908">
            <v>195.99</v>
          </cell>
          <cell r="I908">
            <v>196.42</v>
          </cell>
        </row>
        <row r="909">
          <cell r="G909" t="str">
            <v>M0113-A-115-1</v>
          </cell>
          <cell r="H909">
            <v>197.49</v>
          </cell>
          <cell r="I909">
            <v>197.9</v>
          </cell>
        </row>
        <row r="910">
          <cell r="G910" t="str">
            <v>M0113-A-116-1</v>
          </cell>
          <cell r="H910">
            <v>198.99</v>
          </cell>
          <cell r="I910">
            <v>200</v>
          </cell>
        </row>
        <row r="911">
          <cell r="G911" t="str">
            <v>M0113-A-117-1</v>
          </cell>
          <cell r="H911">
            <v>200.49</v>
          </cell>
          <cell r="I911">
            <v>200.94</v>
          </cell>
        </row>
        <row r="912">
          <cell r="G912" t="str">
            <v>M0113-A-117-2</v>
          </cell>
          <cell r="H912">
            <v>200.94</v>
          </cell>
          <cell r="I912">
            <v>201.33</v>
          </cell>
        </row>
        <row r="913">
          <cell r="G913" t="str">
            <v>M0113-A-118-1</v>
          </cell>
          <cell r="H913">
            <v>201.99</v>
          </cell>
          <cell r="I913">
            <v>202.49</v>
          </cell>
        </row>
        <row r="914">
          <cell r="G914" t="str">
            <v>M0113-A-118-2</v>
          </cell>
          <cell r="H914">
            <v>202.49</v>
          </cell>
          <cell r="I914">
            <v>202.79</v>
          </cell>
        </row>
        <row r="915">
          <cell r="G915" t="str">
            <v>M0113-A-119-1</v>
          </cell>
          <cell r="H915">
            <v>203.49</v>
          </cell>
          <cell r="I915">
            <v>204.23</v>
          </cell>
        </row>
        <row r="916">
          <cell r="G916" t="str">
            <v>M0113-A-120-1</v>
          </cell>
          <cell r="H916">
            <v>204.99</v>
          </cell>
          <cell r="I916">
            <v>205.59</v>
          </cell>
        </row>
        <row r="917">
          <cell r="G917" t="str">
            <v>M0113-A-121-1</v>
          </cell>
          <cell r="H917">
            <v>206.49</v>
          </cell>
          <cell r="I917">
            <v>207.98</v>
          </cell>
        </row>
        <row r="918">
          <cell r="G918" t="str">
            <v>M0113-A-122-1</v>
          </cell>
          <cell r="H918">
            <v>207.99</v>
          </cell>
          <cell r="I918">
            <v>208.31</v>
          </cell>
        </row>
        <row r="919">
          <cell r="G919" t="str">
            <v>M0113-A-123-1</v>
          </cell>
          <cell r="H919">
            <v>209.49</v>
          </cell>
          <cell r="I919">
            <v>209.74</v>
          </cell>
        </row>
        <row r="920">
          <cell r="G920" t="str">
            <v>M0113-A-124-1</v>
          </cell>
          <cell r="H920">
            <v>210.99</v>
          </cell>
          <cell r="I920">
            <v>211.99</v>
          </cell>
        </row>
        <row r="921">
          <cell r="G921" t="str">
            <v>M0113-A-124-2</v>
          </cell>
          <cell r="H921">
            <v>211.99</v>
          </cell>
          <cell r="I921">
            <v>212.52</v>
          </cell>
        </row>
        <row r="922">
          <cell r="G922" t="str">
            <v>M0113-A-125-1</v>
          </cell>
          <cell r="H922">
            <v>212.49</v>
          </cell>
          <cell r="I922">
            <v>212.71</v>
          </cell>
        </row>
        <row r="923">
          <cell r="G923" t="str">
            <v>M0113-A-126-1</v>
          </cell>
          <cell r="H923">
            <v>215.49</v>
          </cell>
          <cell r="I923">
            <v>216.34</v>
          </cell>
        </row>
        <row r="924">
          <cell r="G924" t="str">
            <v>M0113-A-127-1</v>
          </cell>
          <cell r="H924">
            <v>216.99</v>
          </cell>
          <cell r="I924">
            <v>217.25</v>
          </cell>
        </row>
        <row r="925">
          <cell r="G925" t="str">
            <v>M0113-A-128-1</v>
          </cell>
          <cell r="H925">
            <v>217.47</v>
          </cell>
          <cell r="I925">
            <v>217.77</v>
          </cell>
        </row>
        <row r="926">
          <cell r="G926" t="str">
            <v>M0113-A-128-2</v>
          </cell>
          <cell r="H926">
            <v>217.77</v>
          </cell>
          <cell r="I926">
            <v>218.17</v>
          </cell>
        </row>
        <row r="927">
          <cell r="G927" t="str">
            <v>M0113-A-129-1</v>
          </cell>
          <cell r="H927">
            <v>218.34</v>
          </cell>
          <cell r="I927">
            <v>218.88</v>
          </cell>
        </row>
        <row r="928">
          <cell r="G928" t="str">
            <v>M0113-A-130-1</v>
          </cell>
          <cell r="H928">
            <v>218.74</v>
          </cell>
          <cell r="I928">
            <v>219</v>
          </cell>
        </row>
        <row r="929">
          <cell r="G929" t="str">
            <v>M0113-A-131-1</v>
          </cell>
          <cell r="H929">
            <v>218.94</v>
          </cell>
          <cell r="I929">
            <v>219.24</v>
          </cell>
        </row>
        <row r="930">
          <cell r="G930" t="str">
            <v>M0113-A-132-1</v>
          </cell>
          <cell r="H930">
            <v>219.44</v>
          </cell>
          <cell r="I930">
            <v>220.95</v>
          </cell>
        </row>
        <row r="931">
          <cell r="G931" t="str">
            <v>M0113-A-132-2</v>
          </cell>
          <cell r="H931">
            <v>220.95</v>
          </cell>
          <cell r="I931">
            <v>221.55</v>
          </cell>
        </row>
        <row r="932">
          <cell r="G932" t="str">
            <v>M0113-A-133-1</v>
          </cell>
          <cell r="H932">
            <v>221.49</v>
          </cell>
          <cell r="I932">
            <v>222.74</v>
          </cell>
        </row>
        <row r="933">
          <cell r="G933" t="str">
            <v>M0113-A-134-1</v>
          </cell>
          <cell r="H933">
            <v>222.94</v>
          </cell>
          <cell r="I933">
            <v>223.41</v>
          </cell>
        </row>
        <row r="934">
          <cell r="G934" t="str">
            <v>M0113-A-135-1</v>
          </cell>
          <cell r="H934">
            <v>224.49</v>
          </cell>
          <cell r="I934">
            <v>225.99</v>
          </cell>
        </row>
        <row r="935">
          <cell r="G935" t="str">
            <v>M0113-A-135-2</v>
          </cell>
          <cell r="H935">
            <v>225.99</v>
          </cell>
          <cell r="I935">
            <v>227.11</v>
          </cell>
        </row>
        <row r="936">
          <cell r="G936" t="str">
            <v>M0113-A-136-1</v>
          </cell>
          <cell r="H936">
            <v>227.49</v>
          </cell>
          <cell r="I936">
            <v>228.59</v>
          </cell>
        </row>
        <row r="937">
          <cell r="G937" t="str">
            <v>M0113-A-136-2</v>
          </cell>
          <cell r="H937">
            <v>228.59</v>
          </cell>
          <cell r="I937">
            <v>229.23</v>
          </cell>
        </row>
        <row r="938">
          <cell r="G938" t="str">
            <v>M0113-A-136-3</v>
          </cell>
          <cell r="H938">
            <v>229.23</v>
          </cell>
          <cell r="I938">
            <v>229.35</v>
          </cell>
        </row>
        <row r="939">
          <cell r="G939" t="str">
            <v>M0113-A-137-1</v>
          </cell>
          <cell r="H939">
            <v>230.49</v>
          </cell>
          <cell r="I939">
            <v>230.58</v>
          </cell>
        </row>
        <row r="940">
          <cell r="G940" t="str">
            <v>M0113-A-138-1</v>
          </cell>
          <cell r="H940">
            <v>231.59</v>
          </cell>
          <cell r="I940">
            <v>232.03</v>
          </cell>
        </row>
        <row r="941">
          <cell r="G941" t="str">
            <v>M0113-A-138-2</v>
          </cell>
          <cell r="H941">
            <v>232.03</v>
          </cell>
          <cell r="I941">
            <v>232.17</v>
          </cell>
        </row>
        <row r="942">
          <cell r="G942" t="str">
            <v>M0113-A-139-1</v>
          </cell>
          <cell r="H942">
            <v>232.17</v>
          </cell>
          <cell r="I942">
            <v>232.86</v>
          </cell>
        </row>
        <row r="943">
          <cell r="G943" t="str">
            <v>M0113-A-140-1</v>
          </cell>
          <cell r="H943">
            <v>232.86</v>
          </cell>
          <cell r="I943">
            <v>233.88</v>
          </cell>
        </row>
        <row r="944">
          <cell r="G944" t="str">
            <v>M0113-A-141-1</v>
          </cell>
          <cell r="H944">
            <v>233.49</v>
          </cell>
          <cell r="I944">
            <v>233.84</v>
          </cell>
        </row>
        <row r="945">
          <cell r="G945" t="str">
            <v>M0113-A-142-1</v>
          </cell>
          <cell r="H945">
            <v>234.99</v>
          </cell>
          <cell r="I945">
            <v>236.49</v>
          </cell>
        </row>
        <row r="946">
          <cell r="G946" t="str">
            <v>M0113-A-142-2</v>
          </cell>
          <cell r="H946">
            <v>236.49</v>
          </cell>
          <cell r="I946">
            <v>237.87</v>
          </cell>
        </row>
        <row r="947">
          <cell r="G947" t="str">
            <v>M0113-A-143-1</v>
          </cell>
          <cell r="H947">
            <v>236.49</v>
          </cell>
          <cell r="I947">
            <v>236.61</v>
          </cell>
        </row>
        <row r="948">
          <cell r="G948" t="str">
            <v>M0113-A-144-1</v>
          </cell>
          <cell r="H948">
            <v>236.49</v>
          </cell>
          <cell r="I948">
            <v>237.4</v>
          </cell>
        </row>
        <row r="949">
          <cell r="G949" t="str">
            <v>M0113-A-144-2</v>
          </cell>
          <cell r="H949">
            <v>237.4</v>
          </cell>
          <cell r="I949">
            <v>237.98</v>
          </cell>
        </row>
        <row r="950">
          <cell r="G950" t="str">
            <v>M0113-A-145-1</v>
          </cell>
          <cell r="H950">
            <v>237.99</v>
          </cell>
          <cell r="I950">
            <v>239.5</v>
          </cell>
        </row>
        <row r="951">
          <cell r="G951" t="str">
            <v>M0113-A-145-2</v>
          </cell>
          <cell r="H951">
            <v>239.5</v>
          </cell>
          <cell r="I951">
            <v>239.63</v>
          </cell>
        </row>
        <row r="952">
          <cell r="G952" t="str">
            <v>M0113-A-146-1</v>
          </cell>
          <cell r="H952">
            <v>239.49</v>
          </cell>
          <cell r="I952">
            <v>240.37</v>
          </cell>
        </row>
        <row r="953">
          <cell r="G953" t="str">
            <v>M0113-A-148-1</v>
          </cell>
          <cell r="H953">
            <v>242.49</v>
          </cell>
          <cell r="I953">
            <v>243.49</v>
          </cell>
        </row>
        <row r="954">
          <cell r="G954" t="str">
            <v>M0113-A-148-2</v>
          </cell>
          <cell r="H954">
            <v>243.49</v>
          </cell>
          <cell r="I954">
            <v>244.32</v>
          </cell>
        </row>
        <row r="955">
          <cell r="G955" t="str">
            <v>M0113-A-148-3</v>
          </cell>
          <cell r="H955">
            <v>244.32</v>
          </cell>
          <cell r="I955">
            <v>244.46</v>
          </cell>
        </row>
        <row r="956">
          <cell r="G956" t="str">
            <v>M0113-A-149-1</v>
          </cell>
          <cell r="H956">
            <v>243.99</v>
          </cell>
          <cell r="I956">
            <v>245.49</v>
          </cell>
        </row>
        <row r="957">
          <cell r="G957" t="str">
            <v>M0113-A-150-1</v>
          </cell>
          <cell r="H957">
            <v>245.49</v>
          </cell>
          <cell r="I957">
            <v>246.29</v>
          </cell>
        </row>
        <row r="958">
          <cell r="G958" t="str">
            <v>M0113-A-151-1</v>
          </cell>
          <cell r="H958">
            <v>246.99</v>
          </cell>
          <cell r="I958">
            <v>247.99</v>
          </cell>
        </row>
        <row r="959">
          <cell r="G959" t="str">
            <v>M0113-A-151-2</v>
          </cell>
          <cell r="H959">
            <v>247.99</v>
          </cell>
          <cell r="I959">
            <v>248.51</v>
          </cell>
        </row>
        <row r="960">
          <cell r="G960" t="str">
            <v>M0113-A-152-1</v>
          </cell>
          <cell r="H960">
            <v>248.49</v>
          </cell>
          <cell r="I960">
            <v>249.87</v>
          </cell>
        </row>
        <row r="961">
          <cell r="G961" t="str">
            <v>M0113-A-153-1</v>
          </cell>
          <cell r="H961">
            <v>249.99</v>
          </cell>
          <cell r="I961">
            <v>250.18</v>
          </cell>
        </row>
        <row r="962">
          <cell r="G962" t="str">
            <v>M0113-A-154-1</v>
          </cell>
          <cell r="H962">
            <v>250.84</v>
          </cell>
          <cell r="I962">
            <v>251.06</v>
          </cell>
        </row>
        <row r="963">
          <cell r="G963" t="str">
            <v>M0113-A-156-1</v>
          </cell>
          <cell r="H963">
            <v>252.99</v>
          </cell>
          <cell r="I963">
            <v>254.15</v>
          </cell>
        </row>
        <row r="964">
          <cell r="G964" t="str">
            <v>M0113-A-157-1</v>
          </cell>
          <cell r="H964">
            <v>254.15</v>
          </cell>
          <cell r="I964">
            <v>255.65</v>
          </cell>
        </row>
        <row r="965">
          <cell r="G965" t="str">
            <v>M0113-A-157-2</v>
          </cell>
          <cell r="H965">
            <v>255.65</v>
          </cell>
          <cell r="I965">
            <v>256.56</v>
          </cell>
        </row>
        <row r="966">
          <cell r="G966" t="str">
            <v>M0113-A-158-1</v>
          </cell>
          <cell r="H966">
            <v>234.56</v>
          </cell>
          <cell r="I966">
            <v>256.56</v>
          </cell>
        </row>
        <row r="967">
          <cell r="G967" t="str">
            <v>M0113-A-159-1</v>
          </cell>
          <cell r="H967">
            <v>256.56</v>
          </cell>
          <cell r="I967">
            <v>257.52</v>
          </cell>
        </row>
        <row r="968">
          <cell r="G968" t="str">
            <v>M0113-A-159-2</v>
          </cell>
          <cell r="H968">
            <v>257.52</v>
          </cell>
          <cell r="I968">
            <v>258.29000000000002</v>
          </cell>
        </row>
        <row r="969">
          <cell r="G969" t="str">
            <v>M0113-A-160-1</v>
          </cell>
          <cell r="H969">
            <v>258.29000000000002</v>
          </cell>
          <cell r="I969">
            <v>259.29000000000002</v>
          </cell>
        </row>
        <row r="970">
          <cell r="G970" t="str">
            <v>M0113-A-160-2</v>
          </cell>
          <cell r="H970">
            <v>259.29000000000002</v>
          </cell>
          <cell r="I970">
            <v>259.98</v>
          </cell>
        </row>
        <row r="971">
          <cell r="G971" t="str">
            <v>M0113-A-161-1</v>
          </cell>
          <cell r="H971">
            <v>259.98</v>
          </cell>
          <cell r="I971">
            <v>260.13</v>
          </cell>
        </row>
        <row r="972">
          <cell r="G972" t="str">
            <v>M0113-A-163-1</v>
          </cell>
          <cell r="H972">
            <v>261.63</v>
          </cell>
          <cell r="I972">
            <v>262.49</v>
          </cell>
        </row>
        <row r="973">
          <cell r="G973" t="str">
            <v>M0113-A-164-1</v>
          </cell>
          <cell r="H973">
            <v>262.49</v>
          </cell>
          <cell r="I973">
            <v>262.92</v>
          </cell>
        </row>
        <row r="974">
          <cell r="G974" t="str">
            <v>M0113-A-165-1</v>
          </cell>
          <cell r="H974">
            <v>262.92</v>
          </cell>
          <cell r="I974">
            <v>264.36</v>
          </cell>
        </row>
        <row r="975">
          <cell r="G975" t="str">
            <v>M0113-A-165-2</v>
          </cell>
          <cell r="H975">
            <v>264.36</v>
          </cell>
          <cell r="I975">
            <v>265.06</v>
          </cell>
        </row>
        <row r="976">
          <cell r="G976" t="str">
            <v>M0113-A-166-1</v>
          </cell>
          <cell r="H976">
            <v>265.06</v>
          </cell>
          <cell r="I976">
            <v>266.06</v>
          </cell>
        </row>
        <row r="977">
          <cell r="G977" t="str">
            <v>M0113-A-166-2</v>
          </cell>
          <cell r="H977">
            <v>266.06</v>
          </cell>
          <cell r="I977">
            <v>266.77999999999997</v>
          </cell>
        </row>
        <row r="978">
          <cell r="G978" t="str">
            <v>M0113-A-167-1</v>
          </cell>
          <cell r="H978">
            <v>266.77999999999997</v>
          </cell>
          <cell r="I978">
            <v>268.27999999999997</v>
          </cell>
        </row>
        <row r="979">
          <cell r="G979" t="str">
            <v>M0113-A-167-2</v>
          </cell>
          <cell r="H979">
            <v>268.27999999999997</v>
          </cell>
          <cell r="I979">
            <v>269.02999999999997</v>
          </cell>
        </row>
        <row r="980">
          <cell r="G980" t="str">
            <v>M0113-A-168-1</v>
          </cell>
          <cell r="H980">
            <v>269.02999999999997</v>
          </cell>
          <cell r="I980">
            <v>270.52999999999997</v>
          </cell>
        </row>
        <row r="981">
          <cell r="G981" t="str">
            <v>M0113-A-168-2</v>
          </cell>
          <cell r="H981">
            <v>270.52999999999997</v>
          </cell>
          <cell r="I981">
            <v>270.95</v>
          </cell>
        </row>
        <row r="982">
          <cell r="G982" t="str">
            <v>M0113-A-169-1</v>
          </cell>
          <cell r="H982">
            <v>270.95</v>
          </cell>
          <cell r="I982">
            <v>272.2</v>
          </cell>
        </row>
        <row r="983">
          <cell r="G983" t="str">
            <v>M0113-A-169-2</v>
          </cell>
          <cell r="H983">
            <v>272.2</v>
          </cell>
          <cell r="I983">
            <v>272.95999999999998</v>
          </cell>
        </row>
        <row r="984">
          <cell r="G984" t="str">
            <v>M0113-A-170-1</v>
          </cell>
          <cell r="H984">
            <v>248.96</v>
          </cell>
          <cell r="I984">
            <v>272.95999999999998</v>
          </cell>
        </row>
        <row r="985">
          <cell r="G985" t="str">
            <v>M0113-A-171-1</v>
          </cell>
          <cell r="H985">
            <v>272.95999999999998</v>
          </cell>
          <cell r="I985">
            <v>274.45999999999998</v>
          </cell>
        </row>
        <row r="986">
          <cell r="G986" t="str">
            <v>M0113-A-172-1</v>
          </cell>
          <cell r="H986">
            <v>274.45999999999998</v>
          </cell>
          <cell r="I986">
            <v>274.98</v>
          </cell>
        </row>
        <row r="987">
          <cell r="G987" t="str">
            <v>M0113-A-172-2</v>
          </cell>
          <cell r="H987">
            <v>274.98</v>
          </cell>
          <cell r="I987">
            <v>275.98</v>
          </cell>
        </row>
        <row r="988">
          <cell r="G988" t="str">
            <v>M0113-A-172-3</v>
          </cell>
          <cell r="H988">
            <v>275.98</v>
          </cell>
          <cell r="I988">
            <v>276.77999999999997</v>
          </cell>
        </row>
        <row r="989">
          <cell r="G989" t="str">
            <v>M0113-A-172-4</v>
          </cell>
          <cell r="H989">
            <v>276.77999999999997</v>
          </cell>
          <cell r="I989">
            <v>276.83999999999997</v>
          </cell>
        </row>
        <row r="990">
          <cell r="G990" t="str">
            <v>M0113-A-173-1</v>
          </cell>
          <cell r="H990">
            <v>276.83999999999997</v>
          </cell>
          <cell r="I990">
            <v>277.73</v>
          </cell>
        </row>
        <row r="991">
          <cell r="G991" t="str">
            <v>M0113-A-174-1</v>
          </cell>
          <cell r="H991">
            <v>277.73</v>
          </cell>
          <cell r="I991">
            <v>277.74</v>
          </cell>
        </row>
        <row r="992">
          <cell r="G992" t="str">
            <v>M0113-A-175-1</v>
          </cell>
          <cell r="H992">
            <v>277.74</v>
          </cell>
          <cell r="I992">
            <v>278.99</v>
          </cell>
        </row>
        <row r="993">
          <cell r="G993" t="str">
            <v>M0113-A-176-1</v>
          </cell>
          <cell r="H993">
            <v>279.74</v>
          </cell>
          <cell r="I993">
            <v>280.13</v>
          </cell>
        </row>
        <row r="994">
          <cell r="G994" t="str">
            <v>M0113-A-177-1</v>
          </cell>
          <cell r="H994">
            <v>281.49</v>
          </cell>
          <cell r="I994">
            <v>282.27999999999997</v>
          </cell>
        </row>
        <row r="995">
          <cell r="G995" t="str">
            <v>M0113-A-177-2</v>
          </cell>
          <cell r="H995">
            <v>282.27999999999997</v>
          </cell>
          <cell r="I995">
            <v>282.89</v>
          </cell>
        </row>
        <row r="996">
          <cell r="G996" t="str">
            <v>M0113-A-178-1</v>
          </cell>
          <cell r="H996">
            <v>282.89</v>
          </cell>
          <cell r="I996">
            <v>284.29000000000002</v>
          </cell>
        </row>
        <row r="997">
          <cell r="G997" t="str">
            <v>M0113-A-178-2</v>
          </cell>
          <cell r="H997">
            <v>284.29000000000002</v>
          </cell>
          <cell r="I997">
            <v>284.79000000000002</v>
          </cell>
        </row>
      </sheetData>
      <sheetData sheetId="3" refreshError="1">
        <row r="2">
          <cell r="A2">
            <v>91</v>
          </cell>
          <cell r="B2">
            <v>9.5238999999999994</v>
          </cell>
          <cell r="C2">
            <v>4.2708071748878904</v>
          </cell>
        </row>
        <row r="3">
          <cell r="A3">
            <v>92</v>
          </cell>
          <cell r="B3">
            <v>9.1041000000000007</v>
          </cell>
          <cell r="C3">
            <v>4.0825560538116603</v>
          </cell>
        </row>
        <row r="4">
          <cell r="A4">
            <v>93</v>
          </cell>
          <cell r="B4">
            <v>9.4764999999999997</v>
          </cell>
          <cell r="C4">
            <v>4.2495515695067301</v>
          </cell>
        </row>
        <row r="5">
          <cell r="A5">
            <v>94</v>
          </cell>
          <cell r="B5">
            <v>9.6204999999999998</v>
          </cell>
          <cell r="C5">
            <v>4.3141255605381197</v>
          </cell>
        </row>
        <row r="6">
          <cell r="A6">
            <v>95</v>
          </cell>
          <cell r="B6">
            <v>9.3812999999999995</v>
          </cell>
          <cell r="C6">
            <v>4.2068609865470901</v>
          </cell>
        </row>
        <row r="7">
          <cell r="A7">
            <v>97</v>
          </cell>
          <cell r="B7">
            <v>9.4983000000000004</v>
          </cell>
          <cell r="C7">
            <v>4.2593273542600896</v>
          </cell>
        </row>
        <row r="8">
          <cell r="A8">
            <v>98</v>
          </cell>
          <cell r="B8">
            <v>9.3954000000000004</v>
          </cell>
          <cell r="C8">
            <v>4.2131838565022397</v>
          </cell>
        </row>
        <row r="9">
          <cell r="A9">
            <v>99</v>
          </cell>
          <cell r="B9">
            <v>9.327</v>
          </cell>
          <cell r="C9">
            <v>4.1825112107623301</v>
          </cell>
        </row>
        <row r="10">
          <cell r="A10">
            <v>100</v>
          </cell>
          <cell r="B10">
            <v>9.6332000000000004</v>
          </cell>
          <cell r="C10">
            <v>4.3198206278026898</v>
          </cell>
        </row>
        <row r="11">
          <cell r="A11">
            <v>151</v>
          </cell>
          <cell r="B11">
            <v>9.7263999999999999</v>
          </cell>
          <cell r="C11">
            <v>4.36161434977579</v>
          </cell>
        </row>
        <row r="12">
          <cell r="A12">
            <v>152</v>
          </cell>
          <cell r="B12">
            <v>9.7155000000000005</v>
          </cell>
          <cell r="C12">
            <v>4.3567264573991</v>
          </cell>
        </row>
        <row r="13">
          <cell r="A13">
            <v>153</v>
          </cell>
          <cell r="B13">
            <v>9.6697000000000006</v>
          </cell>
          <cell r="C13">
            <v>4.3361883408071797</v>
          </cell>
        </row>
        <row r="14">
          <cell r="A14">
            <v>154</v>
          </cell>
          <cell r="B14">
            <v>9.7118000000000002</v>
          </cell>
          <cell r="C14">
            <v>4.3550672645739903</v>
          </cell>
        </row>
        <row r="15">
          <cell r="A15">
            <v>155</v>
          </cell>
          <cell r="B15">
            <v>9.7377000000000002</v>
          </cell>
          <cell r="C15">
            <v>4.3666816143497797</v>
          </cell>
        </row>
        <row r="16">
          <cell r="A16">
            <v>156</v>
          </cell>
          <cell r="B16">
            <v>9.6448999999999998</v>
          </cell>
          <cell r="C16">
            <v>4.32506726457399</v>
          </cell>
        </row>
        <row r="17">
          <cell r="A17">
            <v>157</v>
          </cell>
          <cell r="B17">
            <v>9.6016999999999992</v>
          </cell>
          <cell r="C17">
            <v>4.30569506726457</v>
          </cell>
        </row>
        <row r="18">
          <cell r="A18">
            <v>158</v>
          </cell>
          <cell r="B18">
            <v>9.5899000000000001</v>
          </cell>
          <cell r="C18">
            <v>4.3004035874439497</v>
          </cell>
        </row>
        <row r="19">
          <cell r="A19">
            <v>159</v>
          </cell>
          <cell r="B19">
            <v>9.7159999999999993</v>
          </cell>
          <cell r="C19">
            <v>4.3569506726457403</v>
          </cell>
        </row>
        <row r="20">
          <cell r="A20">
            <v>160</v>
          </cell>
          <cell r="B20">
            <v>9.4581</v>
          </cell>
          <cell r="C20">
            <v>4.2413004484304899</v>
          </cell>
        </row>
        <row r="21">
          <cell r="A21">
            <v>161</v>
          </cell>
          <cell r="B21">
            <v>9.7497000000000007</v>
          </cell>
          <cell r="C21">
            <v>4.3720627802690597</v>
          </cell>
        </row>
        <row r="22">
          <cell r="A22">
            <v>162</v>
          </cell>
          <cell r="B22">
            <v>9.8841999999999999</v>
          </cell>
          <cell r="C22">
            <v>4.4323766816143504</v>
          </cell>
        </row>
        <row r="23">
          <cell r="A23">
            <v>163</v>
          </cell>
          <cell r="B23">
            <v>9.5631000000000004</v>
          </cell>
          <cell r="C23">
            <v>4.2883856502242201</v>
          </cell>
        </row>
        <row r="24">
          <cell r="A24">
            <v>164</v>
          </cell>
          <cell r="B24">
            <v>9.9097000000000008</v>
          </cell>
          <cell r="C24">
            <v>4.4438116591928303</v>
          </cell>
        </row>
        <row r="25">
          <cell r="A25">
            <v>165</v>
          </cell>
          <cell r="B25">
            <v>9.8137000000000008</v>
          </cell>
          <cell r="C25">
            <v>4.4007623318385702</v>
          </cell>
        </row>
        <row r="26">
          <cell r="A26">
            <v>166</v>
          </cell>
          <cell r="B26">
            <v>9.5335000000000001</v>
          </cell>
          <cell r="C26">
            <v>4.2751121076233201</v>
          </cell>
        </row>
        <row r="27">
          <cell r="A27">
            <v>167</v>
          </cell>
          <cell r="B27">
            <v>9.8195999999999994</v>
          </cell>
          <cell r="C27">
            <v>4.4034080717488804</v>
          </cell>
        </row>
        <row r="28">
          <cell r="A28">
            <v>168</v>
          </cell>
          <cell r="B28">
            <v>9.8671000000000006</v>
          </cell>
          <cell r="C28">
            <v>4.4247085201793697</v>
          </cell>
        </row>
        <row r="29">
          <cell r="A29">
            <v>169</v>
          </cell>
          <cell r="B29">
            <v>9.4824999999999999</v>
          </cell>
          <cell r="C29">
            <v>4.2522421524663701</v>
          </cell>
        </row>
        <row r="30">
          <cell r="A30">
            <v>170</v>
          </cell>
          <cell r="B30">
            <v>9.5950000000000006</v>
          </cell>
          <cell r="C30">
            <v>4.3026905829596398</v>
          </cell>
        </row>
        <row r="31">
          <cell r="A31">
            <v>171</v>
          </cell>
          <cell r="B31">
            <v>9.4852000000000007</v>
          </cell>
          <cell r="C31">
            <v>4.2534529147982099</v>
          </cell>
        </row>
        <row r="32">
          <cell r="A32">
            <v>172</v>
          </cell>
          <cell r="B32">
            <v>9.5744000000000007</v>
          </cell>
          <cell r="C32">
            <v>4.2934529147982099</v>
          </cell>
        </row>
        <row r="33">
          <cell r="A33">
            <v>173</v>
          </cell>
          <cell r="B33">
            <v>9.5054999999999996</v>
          </cell>
          <cell r="C33">
            <v>4.26255605381166</v>
          </cell>
        </row>
        <row r="34">
          <cell r="A34">
            <v>174</v>
          </cell>
          <cell r="B34">
            <v>9.8544</v>
          </cell>
          <cell r="C34">
            <v>4.4190134529148004</v>
          </cell>
        </row>
        <row r="35">
          <cell r="A35">
            <v>175</v>
          </cell>
          <cell r="B35">
            <v>9.6488999999999994</v>
          </cell>
          <cell r="C35">
            <v>4.3268609865470902</v>
          </cell>
        </row>
        <row r="36">
          <cell r="A36">
            <v>176</v>
          </cell>
          <cell r="B36">
            <v>9.7192000000000007</v>
          </cell>
          <cell r="C36">
            <v>4.3583856502242204</v>
          </cell>
        </row>
        <row r="37">
          <cell r="A37">
            <v>177</v>
          </cell>
          <cell r="B37">
            <v>9.4539000000000009</v>
          </cell>
          <cell r="C37">
            <v>4.2394170403587497</v>
          </cell>
        </row>
        <row r="38">
          <cell r="A38">
            <v>178</v>
          </cell>
          <cell r="B38">
            <v>9.6098999999999997</v>
          </cell>
          <cell r="C38">
            <v>4.3093721973094201</v>
          </cell>
        </row>
        <row r="39">
          <cell r="A39">
            <v>179</v>
          </cell>
          <cell r="B39">
            <v>9.5829000000000004</v>
          </cell>
          <cell r="C39">
            <v>4.29726457399103</v>
          </cell>
        </row>
        <row r="40">
          <cell r="A40">
            <v>180</v>
          </cell>
          <cell r="B40">
            <v>9.5632000000000001</v>
          </cell>
          <cell r="C40">
            <v>4.2884304932735402</v>
          </cell>
        </row>
        <row r="41">
          <cell r="A41">
            <v>181</v>
          </cell>
          <cell r="B41">
            <v>9.5058000000000007</v>
          </cell>
          <cell r="C41">
            <v>4.2626905829596398</v>
          </cell>
        </row>
        <row r="42">
          <cell r="A42">
            <v>182</v>
          </cell>
          <cell r="B42">
            <v>9.7033000000000005</v>
          </cell>
          <cell r="C42">
            <v>4.3512556053811702</v>
          </cell>
        </row>
        <row r="43">
          <cell r="A43">
            <v>183</v>
          </cell>
          <cell r="B43">
            <v>9.6636000000000006</v>
          </cell>
          <cell r="C43">
            <v>4.3334529147982099</v>
          </cell>
        </row>
        <row r="44">
          <cell r="A44">
            <v>184</v>
          </cell>
          <cell r="B44">
            <v>9.8976000000000006</v>
          </cell>
          <cell r="C44">
            <v>4.4383856502242196</v>
          </cell>
        </row>
        <row r="45">
          <cell r="A45">
            <v>185</v>
          </cell>
          <cell r="B45">
            <v>9.8465000000000007</v>
          </cell>
          <cell r="C45">
            <v>4.4154708520179398</v>
          </cell>
        </row>
        <row r="46">
          <cell r="A46">
            <v>186</v>
          </cell>
          <cell r="B46">
            <v>9.8185000000000002</v>
          </cell>
          <cell r="C46">
            <v>4.4029147982062797</v>
          </cell>
        </row>
        <row r="47">
          <cell r="A47">
            <v>187</v>
          </cell>
          <cell r="B47">
            <v>9.7688000000000006</v>
          </cell>
          <cell r="C47">
            <v>4.3806278026905803</v>
          </cell>
        </row>
        <row r="48">
          <cell r="A48">
            <v>188</v>
          </cell>
          <cell r="B48">
            <v>9.8792000000000009</v>
          </cell>
          <cell r="C48">
            <v>4.4301345291479803</v>
          </cell>
        </row>
        <row r="49">
          <cell r="A49">
            <v>189</v>
          </cell>
          <cell r="B49">
            <v>9.7583000000000002</v>
          </cell>
          <cell r="C49">
            <v>4.3759192825112097</v>
          </cell>
        </row>
        <row r="50">
          <cell r="A50">
            <v>190</v>
          </cell>
          <cell r="B50">
            <v>9.7570999999999994</v>
          </cell>
          <cell r="C50">
            <v>4.3753811659192801</v>
          </cell>
        </row>
        <row r="51">
          <cell r="A51">
            <v>210</v>
          </cell>
          <cell r="B51">
            <v>9.7520000000000007</v>
          </cell>
          <cell r="C51">
            <v>4.3730941704035899</v>
          </cell>
        </row>
        <row r="52">
          <cell r="A52">
            <v>211</v>
          </cell>
          <cell r="B52">
            <v>9.7985000000000007</v>
          </cell>
          <cell r="C52">
            <v>4.3939461883408102</v>
          </cell>
        </row>
        <row r="53">
          <cell r="A53">
            <v>212</v>
          </cell>
          <cell r="B53">
            <v>9.7664000000000009</v>
          </cell>
          <cell r="C53">
            <v>4.37955156950673</v>
          </cell>
        </row>
        <row r="54">
          <cell r="A54">
            <v>213</v>
          </cell>
          <cell r="B54">
            <v>9.3755000000000006</v>
          </cell>
          <cell r="C54">
            <v>4.2042600896861</v>
          </cell>
        </row>
        <row r="55">
          <cell r="A55">
            <v>214</v>
          </cell>
          <cell r="B55">
            <v>9.9960000000000004</v>
          </cell>
          <cell r="C55">
            <v>4.4825112107623299</v>
          </cell>
        </row>
        <row r="56">
          <cell r="A56">
            <v>215</v>
          </cell>
          <cell r="B56">
            <v>10.084</v>
          </cell>
          <cell r="C56">
            <v>4.5219730941704004</v>
          </cell>
        </row>
        <row r="57">
          <cell r="A57">
            <v>216</v>
          </cell>
          <cell r="B57">
            <v>10.079499999999999</v>
          </cell>
          <cell r="C57">
            <v>4.5199551569506697</v>
          </cell>
        </row>
        <row r="58">
          <cell r="A58">
            <v>217</v>
          </cell>
          <cell r="B58">
            <v>9.6670999999999996</v>
          </cell>
          <cell r="C58">
            <v>4.33502242152466</v>
          </cell>
        </row>
        <row r="59">
          <cell r="A59">
            <v>218</v>
          </cell>
          <cell r="B59">
            <v>10.0969</v>
          </cell>
          <cell r="C59">
            <v>4.5277578475336302</v>
          </cell>
        </row>
        <row r="60">
          <cell r="A60">
            <v>219</v>
          </cell>
          <cell r="B60">
            <v>9.6616999999999997</v>
          </cell>
          <cell r="C60">
            <v>4.3326008968609901</v>
          </cell>
        </row>
        <row r="61">
          <cell r="A61">
            <v>230</v>
          </cell>
          <cell r="B61">
            <v>9.8049999999999997</v>
          </cell>
          <cell r="C61">
            <v>4.3968609865470896</v>
          </cell>
        </row>
        <row r="62">
          <cell r="A62">
            <v>231</v>
          </cell>
          <cell r="B62">
            <v>9.8867999999999991</v>
          </cell>
          <cell r="C62">
            <v>4.4335426008968604</v>
          </cell>
        </row>
        <row r="63">
          <cell r="A63">
            <v>232</v>
          </cell>
          <cell r="B63">
            <v>9.8774999999999995</v>
          </cell>
          <cell r="C63">
            <v>4.4293721973094202</v>
          </cell>
        </row>
        <row r="64">
          <cell r="A64">
            <v>233</v>
          </cell>
          <cell r="B64">
            <v>9.9604999999999997</v>
          </cell>
          <cell r="C64">
            <v>4.4665919282511197</v>
          </cell>
        </row>
        <row r="65">
          <cell r="A65">
            <v>234</v>
          </cell>
          <cell r="B65">
            <v>10.0063</v>
          </cell>
          <cell r="C65">
            <v>4.4871300448430498</v>
          </cell>
        </row>
        <row r="66">
          <cell r="A66">
            <v>235</v>
          </cell>
          <cell r="B66">
            <v>9.9943000000000008</v>
          </cell>
          <cell r="C66">
            <v>4.4817488789237698</v>
          </cell>
        </row>
        <row r="67">
          <cell r="A67">
            <v>236</v>
          </cell>
          <cell r="B67">
            <v>9.8712</v>
          </cell>
          <cell r="C67">
            <v>4.4265470852017899</v>
          </cell>
        </row>
        <row r="68">
          <cell r="A68">
            <v>237</v>
          </cell>
          <cell r="B68">
            <v>9.8346999999999998</v>
          </cell>
          <cell r="C68">
            <v>4.4101793721973097</v>
          </cell>
        </row>
        <row r="69">
          <cell r="A69">
            <v>238</v>
          </cell>
          <cell r="B69">
            <v>9.9239999999999995</v>
          </cell>
          <cell r="C69">
            <v>4.4502242152466396</v>
          </cell>
        </row>
        <row r="70">
          <cell r="A70">
            <v>239</v>
          </cell>
          <cell r="B70">
            <v>10.027900000000001</v>
          </cell>
          <cell r="C70">
            <v>4.4968161434977603</v>
          </cell>
        </row>
        <row r="71">
          <cell r="A71">
            <v>240</v>
          </cell>
          <cell r="B71">
            <v>9.859</v>
          </cell>
          <cell r="C71">
            <v>4.42107623318386</v>
          </cell>
        </row>
        <row r="72">
          <cell r="A72">
            <v>241</v>
          </cell>
          <cell r="B72">
            <v>9.8088999999999995</v>
          </cell>
          <cell r="C72">
            <v>4.3986098654708501</v>
          </cell>
        </row>
        <row r="73">
          <cell r="A73">
            <v>242</v>
          </cell>
          <cell r="B73">
            <v>9.9347999999999992</v>
          </cell>
          <cell r="C73">
            <v>4.4550672645739899</v>
          </cell>
        </row>
        <row r="74">
          <cell r="A74">
            <v>243</v>
          </cell>
          <cell r="B74">
            <v>9.8368000000000002</v>
          </cell>
          <cell r="C74">
            <v>4.4111210762331803</v>
          </cell>
        </row>
        <row r="75">
          <cell r="A75">
            <v>245</v>
          </cell>
          <cell r="B75">
            <v>9.8491999999999997</v>
          </cell>
          <cell r="C75">
            <v>4.4166816143497796</v>
          </cell>
        </row>
        <row r="76">
          <cell r="A76">
            <v>246</v>
          </cell>
          <cell r="B76">
            <v>9.7553000000000001</v>
          </cell>
          <cell r="C76">
            <v>4.3745739910313901</v>
          </cell>
        </row>
        <row r="77">
          <cell r="A77">
            <v>247</v>
          </cell>
          <cell r="B77">
            <v>9.8389000000000006</v>
          </cell>
          <cell r="C77">
            <v>4.4120627802690597</v>
          </cell>
        </row>
        <row r="78">
          <cell r="A78">
            <v>248</v>
          </cell>
          <cell r="B78">
            <v>9.6745000000000001</v>
          </cell>
          <cell r="C78">
            <v>4.3383408071748901</v>
          </cell>
        </row>
        <row r="79">
          <cell r="A79">
            <v>249</v>
          </cell>
          <cell r="B79">
            <v>9.9565000000000001</v>
          </cell>
          <cell r="C79">
            <v>4.4647982062780303</v>
          </cell>
        </row>
        <row r="80">
          <cell r="A80">
            <v>250</v>
          </cell>
          <cell r="B80">
            <v>9.8892000000000007</v>
          </cell>
          <cell r="C80">
            <v>4.4346188340807204</v>
          </cell>
        </row>
        <row r="81">
          <cell r="A81">
            <v>251</v>
          </cell>
          <cell r="B81">
            <v>9.8140000000000001</v>
          </cell>
          <cell r="C81">
            <v>4.40089686098655</v>
          </cell>
        </row>
        <row r="82">
          <cell r="A82">
            <v>252</v>
          </cell>
          <cell r="B82">
            <v>9.8140000000000001</v>
          </cell>
          <cell r="C82">
            <v>4.40089686098655</v>
          </cell>
        </row>
        <row r="83">
          <cell r="A83">
            <v>253</v>
          </cell>
          <cell r="B83">
            <v>9.8926999999999996</v>
          </cell>
          <cell r="C83">
            <v>4.4361883408071803</v>
          </cell>
        </row>
        <row r="84">
          <cell r="A84">
            <v>254</v>
          </cell>
          <cell r="B84">
            <v>9.8201000000000001</v>
          </cell>
          <cell r="C84">
            <v>4.4036322869955198</v>
          </cell>
        </row>
        <row r="85">
          <cell r="A85">
            <v>255</v>
          </cell>
          <cell r="B85">
            <v>9.9283000000000001</v>
          </cell>
          <cell r="C85">
            <v>4.4521524663677097</v>
          </cell>
        </row>
        <row r="86">
          <cell r="A86">
            <v>256</v>
          </cell>
          <cell r="B86">
            <v>9.8771000000000004</v>
          </cell>
          <cell r="C86">
            <v>4.4291928251121098</v>
          </cell>
        </row>
        <row r="87">
          <cell r="A87">
            <v>257</v>
          </cell>
          <cell r="B87">
            <v>9.7716999999999992</v>
          </cell>
          <cell r="C87">
            <v>4.3819282511210798</v>
          </cell>
        </row>
        <row r="88">
          <cell r="A88">
            <v>258</v>
          </cell>
          <cell r="B88">
            <v>9.8592999999999993</v>
          </cell>
          <cell r="C88">
            <v>4.4212107623318397</v>
          </cell>
        </row>
        <row r="89">
          <cell r="A89">
            <v>259</v>
          </cell>
          <cell r="B89">
            <v>9.9796999999999993</v>
          </cell>
          <cell r="C89">
            <v>4.4752017937219701</v>
          </cell>
        </row>
        <row r="90">
          <cell r="A90">
            <v>200</v>
          </cell>
          <cell r="B90">
            <v>9.6303000000000001</v>
          </cell>
          <cell r="C90">
            <v>4.3185201793722001</v>
          </cell>
        </row>
        <row r="91">
          <cell r="A91">
            <v>201</v>
          </cell>
          <cell r="B91">
            <v>9.7538</v>
          </cell>
          <cell r="C91">
            <v>4.3739013452914799</v>
          </cell>
        </row>
        <row r="92">
          <cell r="A92">
            <v>202</v>
          </cell>
          <cell r="B92">
            <v>9.9245000000000001</v>
          </cell>
          <cell r="C92">
            <v>4.4504484304932701</v>
          </cell>
        </row>
        <row r="93">
          <cell r="A93">
            <v>203</v>
          </cell>
          <cell r="B93">
            <v>10.0562</v>
          </cell>
          <cell r="C93">
            <v>4.5095067264574</v>
          </cell>
        </row>
        <row r="94">
          <cell r="A94">
            <v>204</v>
          </cell>
          <cell r="B94">
            <v>9.9425000000000008</v>
          </cell>
          <cell r="C94">
            <v>4.4585201793721998</v>
          </cell>
        </row>
        <row r="95">
          <cell r="A95">
            <v>205</v>
          </cell>
          <cell r="B95">
            <v>9.6085999999999991</v>
          </cell>
          <cell r="C95">
            <v>4.3087892376681598</v>
          </cell>
        </row>
        <row r="96">
          <cell r="A96">
            <v>207</v>
          </cell>
          <cell r="B96">
            <v>9.7720000000000002</v>
          </cell>
          <cell r="C96">
            <v>4.3820627802690604</v>
          </cell>
        </row>
        <row r="97">
          <cell r="A97">
            <v>208</v>
          </cell>
          <cell r="B97">
            <v>10.0436</v>
          </cell>
          <cell r="C97">
            <v>4.50385650224215</v>
          </cell>
        </row>
        <row r="98">
          <cell r="A98">
            <v>209</v>
          </cell>
          <cell r="B98">
            <v>9.6793999999999993</v>
          </cell>
          <cell r="C98">
            <v>4.3405381165919303</v>
          </cell>
        </row>
        <row r="99">
          <cell r="A99">
            <v>270</v>
          </cell>
          <cell r="B99">
            <v>9.7308000000000003</v>
          </cell>
          <cell r="C99">
            <v>4.3635874439461899</v>
          </cell>
        </row>
        <row r="100">
          <cell r="A100">
            <v>271</v>
          </cell>
          <cell r="B100">
            <v>9.9113000000000007</v>
          </cell>
          <cell r="C100">
            <v>4.4445291479820597</v>
          </cell>
        </row>
        <row r="101">
          <cell r="A101">
            <v>272</v>
          </cell>
          <cell r="B101">
            <v>10.093299999999999</v>
          </cell>
          <cell r="C101">
            <v>4.5261434977578503</v>
          </cell>
        </row>
        <row r="102">
          <cell r="A102">
            <v>274</v>
          </cell>
          <cell r="B102">
            <v>9.9088999999999992</v>
          </cell>
          <cell r="C102">
            <v>4.4434529147982103</v>
          </cell>
        </row>
        <row r="103">
          <cell r="A103">
            <v>273</v>
          </cell>
          <cell r="B103">
            <v>9.6430000000000007</v>
          </cell>
          <cell r="C103">
            <v>4.3242152466367703</v>
          </cell>
        </row>
        <row r="104">
          <cell r="A104">
            <v>275</v>
          </cell>
          <cell r="B104">
            <v>9.7668999999999997</v>
          </cell>
          <cell r="C104">
            <v>4.3797757847533596</v>
          </cell>
        </row>
        <row r="105">
          <cell r="A105">
            <v>276</v>
          </cell>
          <cell r="B105">
            <v>9.9183000000000003</v>
          </cell>
          <cell r="C105">
            <v>4.4476681614349802</v>
          </cell>
        </row>
        <row r="106">
          <cell r="A106">
            <v>277</v>
          </cell>
          <cell r="B106">
            <v>9.8651999999999997</v>
          </cell>
          <cell r="C106">
            <v>4.4238565022421499</v>
          </cell>
        </row>
        <row r="107">
          <cell r="A107">
            <v>278</v>
          </cell>
          <cell r="B107">
            <v>10.157</v>
          </cell>
          <cell r="C107">
            <v>4.5547085201793696</v>
          </cell>
        </row>
        <row r="108">
          <cell r="A108">
            <v>279</v>
          </cell>
          <cell r="B108">
            <v>9.9806000000000008</v>
          </cell>
          <cell r="C108">
            <v>4.47560538116592</v>
          </cell>
        </row>
        <row r="109">
          <cell r="A109">
            <v>280</v>
          </cell>
          <cell r="B109">
            <v>10.0747</v>
          </cell>
          <cell r="C109">
            <v>4.5178026905829602</v>
          </cell>
        </row>
        <row r="110">
          <cell r="A110">
            <v>281</v>
          </cell>
          <cell r="B110">
            <v>9.8646999999999991</v>
          </cell>
          <cell r="C110">
            <v>4.4236322869955202</v>
          </cell>
        </row>
        <row r="111">
          <cell r="A111">
            <v>282</v>
          </cell>
          <cell r="B111">
            <v>10.1076</v>
          </cell>
          <cell r="C111">
            <v>4.5325560538116596</v>
          </cell>
        </row>
        <row r="112">
          <cell r="A112">
            <v>283</v>
          </cell>
          <cell r="B112">
            <v>9.6501999999999999</v>
          </cell>
          <cell r="C112">
            <v>4.3274439461883398</v>
          </cell>
        </row>
        <row r="113">
          <cell r="A113">
            <v>284</v>
          </cell>
          <cell r="B113">
            <v>10.0555</v>
          </cell>
          <cell r="C113">
            <v>4.5091928251121098</v>
          </cell>
        </row>
        <row r="114">
          <cell r="A114">
            <v>285</v>
          </cell>
          <cell r="B114">
            <v>10.051</v>
          </cell>
          <cell r="C114">
            <v>4.5071748878923801</v>
          </cell>
        </row>
        <row r="115">
          <cell r="A115">
            <v>286</v>
          </cell>
          <cell r="B115">
            <v>9.5493000000000006</v>
          </cell>
          <cell r="C115">
            <v>4.2821973094170396</v>
          </cell>
        </row>
        <row r="116">
          <cell r="A116">
            <v>287</v>
          </cell>
          <cell r="B116">
            <v>10.169</v>
          </cell>
          <cell r="C116">
            <v>4.5600896860986602</v>
          </cell>
        </row>
        <row r="117">
          <cell r="A117">
            <v>288</v>
          </cell>
          <cell r="B117">
            <v>10.1602</v>
          </cell>
          <cell r="C117">
            <v>4.5561434977578497</v>
          </cell>
        </row>
        <row r="118">
          <cell r="A118">
            <v>289</v>
          </cell>
          <cell r="B118">
            <v>9.6905999999999999</v>
          </cell>
          <cell r="C118">
            <v>4.3455605381165903</v>
          </cell>
        </row>
        <row r="119">
          <cell r="A119">
            <v>290</v>
          </cell>
          <cell r="B119">
            <v>9.9170999999999996</v>
          </cell>
          <cell r="C119">
            <v>4.4471300448430497</v>
          </cell>
        </row>
        <row r="120">
          <cell r="A120">
            <v>291</v>
          </cell>
          <cell r="B120">
            <v>10.095700000000001</v>
          </cell>
          <cell r="C120">
            <v>4.5272197309416997</v>
          </cell>
        </row>
        <row r="121">
          <cell r="A121">
            <v>292</v>
          </cell>
          <cell r="B121">
            <v>9.6498000000000008</v>
          </cell>
          <cell r="C121">
            <v>4.3272645739910303</v>
          </cell>
        </row>
        <row r="122">
          <cell r="A122">
            <v>293</v>
          </cell>
          <cell r="B122">
            <v>9.7003000000000004</v>
          </cell>
          <cell r="C122">
            <v>4.3499103139013497</v>
          </cell>
        </row>
        <row r="123">
          <cell r="A123">
            <v>294</v>
          </cell>
          <cell r="B123">
            <v>10.168900000000001</v>
          </cell>
          <cell r="C123">
            <v>4.5600448430493303</v>
          </cell>
        </row>
        <row r="124">
          <cell r="A124">
            <v>295</v>
          </cell>
          <cell r="B124">
            <v>10.167</v>
          </cell>
          <cell r="C124">
            <v>4.5591928251121097</v>
          </cell>
        </row>
        <row r="125">
          <cell r="A125">
            <v>296</v>
          </cell>
          <cell r="B125">
            <v>9.8501999999999992</v>
          </cell>
          <cell r="C125">
            <v>4.4171300448430504</v>
          </cell>
        </row>
        <row r="126">
          <cell r="A126">
            <v>297</v>
          </cell>
          <cell r="B126">
            <v>9.5855999999999995</v>
          </cell>
          <cell r="C126">
            <v>4.2984753363228698</v>
          </cell>
        </row>
        <row r="127">
          <cell r="A127">
            <v>298</v>
          </cell>
          <cell r="B127">
            <v>9.6489999999999991</v>
          </cell>
          <cell r="C127">
            <v>4.3269058295964102</v>
          </cell>
        </row>
        <row r="128">
          <cell r="A128">
            <v>299</v>
          </cell>
          <cell r="B128">
            <v>9.6849000000000007</v>
          </cell>
          <cell r="C128">
            <v>4.34300448430493</v>
          </cell>
        </row>
        <row r="129">
          <cell r="A129">
            <v>191</v>
          </cell>
          <cell r="B129">
            <v>9.5350000000000001</v>
          </cell>
          <cell r="C129">
            <v>4.2757847533632303</v>
          </cell>
        </row>
        <row r="130">
          <cell r="A130">
            <v>1</v>
          </cell>
          <cell r="B130">
            <v>9.8663000000000007</v>
          </cell>
          <cell r="C130">
            <v>4.4243497757847496</v>
          </cell>
        </row>
        <row r="131">
          <cell r="A131">
            <v>2</v>
          </cell>
          <cell r="B131">
            <v>9.4932999999999996</v>
          </cell>
          <cell r="C131">
            <v>4.2570852017937204</v>
          </cell>
        </row>
        <row r="132">
          <cell r="A132">
            <v>3</v>
          </cell>
          <cell r="B132">
            <v>9.7538999999999998</v>
          </cell>
          <cell r="C132">
            <v>4.3739461883408097</v>
          </cell>
        </row>
        <row r="133">
          <cell r="A133">
            <v>4</v>
          </cell>
          <cell r="B133">
            <v>9.4748999999999999</v>
          </cell>
          <cell r="C133">
            <v>4.24883408071749</v>
          </cell>
        </row>
        <row r="134">
          <cell r="A134">
            <v>6</v>
          </cell>
          <cell r="B134">
            <v>9.8908000000000005</v>
          </cell>
          <cell r="C134">
            <v>4.4353363228699596</v>
          </cell>
        </row>
        <row r="135">
          <cell r="A135">
            <v>7</v>
          </cell>
          <cell r="B135">
            <v>9.8834</v>
          </cell>
          <cell r="C135">
            <v>4.4320179372197304</v>
          </cell>
        </row>
        <row r="136">
          <cell r="A136">
            <v>8</v>
          </cell>
          <cell r="B136">
            <v>9.5215999999999994</v>
          </cell>
          <cell r="C136">
            <v>4.2697757847533602</v>
          </cell>
        </row>
        <row r="137">
          <cell r="A137">
            <v>9</v>
          </cell>
          <cell r="B137">
            <v>9.5976999999999997</v>
          </cell>
          <cell r="C137">
            <v>4.3039013452914796</v>
          </cell>
        </row>
        <row r="138">
          <cell r="A138">
            <v>10</v>
          </cell>
          <cell r="B138">
            <v>9.9908999999999999</v>
          </cell>
          <cell r="C138">
            <v>4.4802242152466398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03"/>
  <sheetViews>
    <sheetView tabSelected="1" zoomScaleNormal="100" workbookViewId="0">
      <pane xSplit="12" ySplit="1" topLeftCell="AB2" activePane="bottomRight" state="frozen"/>
      <selection pane="topRight" activeCell="M1" sqref="M1"/>
      <selection pane="bottomLeft" activeCell="A2" sqref="A2"/>
      <selection pane="bottomRight" activeCell="L1" sqref="L1"/>
    </sheetView>
  </sheetViews>
  <sheetFormatPr defaultColWidth="8.6640625" defaultRowHeight="14.25" customHeight="1" x14ac:dyDescent="0.3"/>
  <cols>
    <col min="1" max="1" width="5.6640625" style="1" customWidth="1"/>
    <col min="2" max="2" width="7.33203125" style="2" customWidth="1"/>
    <col min="3" max="3" width="5" style="2" customWidth="1"/>
    <col min="4" max="4" width="4.109375" style="2" customWidth="1"/>
    <col min="5" max="5" width="4.6640625" style="2" customWidth="1"/>
    <col min="6" max="6" width="6.109375" style="2" customWidth="1"/>
    <col min="7" max="7" width="8.109375" style="2" customWidth="1"/>
    <col min="8" max="8" width="8.6640625" style="2"/>
    <col min="9" max="9" width="13.5546875" style="3" customWidth="1"/>
    <col min="10" max="10" width="24.5546875" style="3" customWidth="1"/>
    <col min="11" max="11" width="8.6640625" style="3"/>
    <col min="12" max="12" width="9.33203125" style="4" customWidth="1"/>
    <col min="13" max="13" width="8.6640625" style="5"/>
    <col min="14" max="14" width="8.6640625" style="4"/>
    <col min="15" max="15" width="9.6640625" style="2" customWidth="1"/>
    <col min="16" max="16" width="16" style="6" customWidth="1"/>
    <col min="17" max="17" width="9.44140625" style="2" customWidth="1"/>
    <col min="18" max="18" width="7.6640625" style="3" customWidth="1"/>
    <col min="19" max="19" width="11" style="3" customWidth="1"/>
    <col min="20" max="20" width="10" style="2" customWidth="1"/>
    <col min="21" max="21" width="10" style="3" customWidth="1"/>
    <col min="22" max="22" width="9.6640625" style="7" customWidth="1"/>
    <col min="23" max="31" width="9.109375" style="7" customWidth="1"/>
    <col min="32" max="38" width="8.6640625" style="7"/>
    <col min="39" max="16384" width="8.6640625" style="8"/>
  </cols>
  <sheetData>
    <row r="1" spans="1:40" s="10" customFormat="1" ht="3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9" t="s">
        <v>12</v>
      </c>
      <c r="N1" s="12" t="s">
        <v>13</v>
      </c>
      <c r="O1" s="13" t="s">
        <v>43</v>
      </c>
      <c r="P1" s="14" t="s">
        <v>14</v>
      </c>
      <c r="Q1" s="13" t="s">
        <v>44</v>
      </c>
      <c r="R1" s="15" t="s">
        <v>15</v>
      </c>
      <c r="S1" s="15" t="s">
        <v>16</v>
      </c>
      <c r="T1" s="9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25</v>
      </c>
      <c r="AD1" s="10" t="s">
        <v>26</v>
      </c>
      <c r="AE1" s="10" t="s">
        <v>27</v>
      </c>
      <c r="AF1" s="10" t="s">
        <v>28</v>
      </c>
      <c r="AG1" s="16" t="s">
        <v>29</v>
      </c>
      <c r="AH1" s="16" t="s">
        <v>30</v>
      </c>
      <c r="AI1" s="16" t="s">
        <v>31</v>
      </c>
      <c r="AJ1" s="16" t="s">
        <v>32</v>
      </c>
      <c r="AK1" s="16" t="s">
        <v>33</v>
      </c>
      <c r="AL1" s="16" t="s">
        <v>34</v>
      </c>
    </row>
    <row r="2" spans="1:40" ht="14.4" x14ac:dyDescent="0.3">
      <c r="A2" s="1">
        <v>501</v>
      </c>
      <c r="B2" s="2" t="s">
        <v>35</v>
      </c>
      <c r="C2" s="2" t="s">
        <v>36</v>
      </c>
      <c r="D2" s="2">
        <v>1</v>
      </c>
      <c r="E2" s="2" t="s">
        <v>37</v>
      </c>
      <c r="F2" s="2">
        <v>1</v>
      </c>
      <c r="G2" s="17">
        <v>63.5</v>
      </c>
      <c r="H2" s="2">
        <v>65.5</v>
      </c>
      <c r="I2" s="3" t="str">
        <f t="shared" ref="I2:I26" si="0">_xlfn.CONCAT(B2, "-", C2,"-", D2,"-", F2)</f>
        <v>M0111-A-1-1</v>
      </c>
      <c r="J2" s="8" t="str">
        <f t="shared" ref="J2:J26" si="1">_xlfn.CONCAT(A2,"-",B2,C2,"-",D2,E2,"-",F2,",",G2,"-",H2)</f>
        <v>501-M0111A-1H-1,63.5-65.5</v>
      </c>
      <c r="K2" s="3">
        <f>VLOOKUP(I2, '[1]Depth vlookup'!$G$2:$I$997,2,FALSE())+(G2/100)</f>
        <v>0.63500000000000001</v>
      </c>
      <c r="L2" s="18">
        <f t="shared" ref="L2:L26" si="2">K2+2/100</f>
        <v>0.65500000000000003</v>
      </c>
      <c r="M2" s="2">
        <v>280</v>
      </c>
      <c r="N2" s="4">
        <f>VLOOKUP(M2, [1]Beakers!$A$2:$B$151, 2, 0)</f>
        <v>10.0747</v>
      </c>
      <c r="O2" s="2">
        <v>19.1952</v>
      </c>
      <c r="P2" s="6">
        <v>46038.458333333299</v>
      </c>
      <c r="Q2" s="19">
        <v>17.7364</v>
      </c>
      <c r="R2" s="3" t="s">
        <v>38</v>
      </c>
      <c r="S2" s="3">
        <v>1</v>
      </c>
      <c r="T2" s="2">
        <v>7.3963799999999997</v>
      </c>
      <c r="V2" s="20">
        <f>O2-N2</f>
        <v>9.1204999999999998</v>
      </c>
      <c r="W2" s="20">
        <f t="shared" ref="W2:W26" si="3">Q2-N2</f>
        <v>7.6616999999999997</v>
      </c>
      <c r="X2" s="20">
        <f t="shared" ref="X2:X26" si="4">(V2-W2)/(1-35/1000)</f>
        <v>1.5117098445595856</v>
      </c>
      <c r="Y2" s="20">
        <f>X2-(V2-W2)</f>
        <v>5.2909844559585473E-2</v>
      </c>
      <c r="Z2" s="20">
        <f t="shared" ref="Z2:Z26" si="5">W2-Y2</f>
        <v>7.6087901554404143</v>
      </c>
      <c r="AA2" s="20">
        <f t="shared" ref="AA2:AA26" si="6">X2/1.024</f>
        <v>1.4762791450777202</v>
      </c>
      <c r="AB2" s="20">
        <f t="shared" ref="AB2:AB26" si="7">Y2/2.22</f>
        <v>2.383326331512859E-2</v>
      </c>
      <c r="AC2" s="20">
        <f>T2-VLOOKUP(M2, [1]Beakers!$A$2:$C$151, 3, 0)</f>
        <v>2.8785773094170395</v>
      </c>
      <c r="AD2" s="20">
        <f t="shared" ref="AD2:AD26" si="8">AC2-AB2+AA2</f>
        <v>4.3310231911796313</v>
      </c>
      <c r="AE2" s="20">
        <f t="shared" ref="AE2:AE26" si="9">AC2-AB2</f>
        <v>2.8547440461019109</v>
      </c>
      <c r="AF2" s="20">
        <f t="shared" ref="AF2:AF26" si="10">X2/V2</f>
        <v>0.16574857130196652</v>
      </c>
      <c r="AG2" s="20">
        <f t="shared" ref="AG2:AG26" si="11">X2/Z2</f>
        <v>0.19867939760156053</v>
      </c>
      <c r="AH2" s="20">
        <f t="shared" ref="AH2:AH26" si="12">V2/AD2</f>
        <v>2.1058534201743373</v>
      </c>
      <c r="AI2" s="20">
        <f t="shared" ref="AI2:AI26" si="13">Z2/AD2</f>
        <v>1.7568112244090812</v>
      </c>
      <c r="AJ2" s="20">
        <f t="shared" ref="AJ2:AJ26" si="14">Z2/AE2</f>
        <v>2.6653143092915972</v>
      </c>
      <c r="AK2" s="20">
        <f t="shared" ref="AK2:AK26" si="15">AA2/AD2</f>
        <v>0.34086151930200798</v>
      </c>
      <c r="AL2" s="20">
        <f t="shared" ref="AL2:AL26" si="16">AA2/AE2</f>
        <v>0.51713187635632218</v>
      </c>
    </row>
    <row r="3" spans="1:40" ht="14.4" x14ac:dyDescent="0.3">
      <c r="A3" s="1">
        <v>501</v>
      </c>
      <c r="B3" s="2" t="s">
        <v>35</v>
      </c>
      <c r="C3" s="2" t="s">
        <v>36</v>
      </c>
      <c r="D3" s="2">
        <v>2</v>
      </c>
      <c r="E3" s="2" t="s">
        <v>37</v>
      </c>
      <c r="F3" s="2">
        <v>2</v>
      </c>
      <c r="G3" s="2">
        <v>38</v>
      </c>
      <c r="H3" s="2">
        <v>40</v>
      </c>
      <c r="I3" s="3" t="str">
        <f t="shared" si="0"/>
        <v>M0111-A-2-2</v>
      </c>
      <c r="J3" s="8" t="str">
        <f t="shared" si="1"/>
        <v>501-M0111A-2H-2,38-40</v>
      </c>
      <c r="K3" s="3">
        <f>VLOOKUP(I3, '[1]Depth vlookup'!$G$2:$I$997,2,FALSE())+(G3/100)</f>
        <v>4.29</v>
      </c>
      <c r="L3" s="18">
        <f t="shared" si="2"/>
        <v>4.3099999999999996</v>
      </c>
      <c r="M3" s="2">
        <v>281</v>
      </c>
      <c r="N3" s="4">
        <f>VLOOKUP(M3,  [1]Beakers!$A$2:$B$151, 2, 0)</f>
        <v>9.8646999999999991</v>
      </c>
      <c r="O3" s="2">
        <v>19.818100000000001</v>
      </c>
      <c r="P3" s="6">
        <v>46038.458333333299</v>
      </c>
      <c r="Q3" s="2">
        <v>17.874600000000001</v>
      </c>
      <c r="R3" s="3" t="s">
        <v>38</v>
      </c>
      <c r="S3" s="3">
        <v>2</v>
      </c>
      <c r="T3" s="21">
        <v>7.4406999999999996</v>
      </c>
      <c r="U3" s="22"/>
      <c r="V3" s="20">
        <f t="shared" ref="V3:V26" si="17">O3-N3</f>
        <v>9.953400000000002</v>
      </c>
      <c r="W3" s="20">
        <f t="shared" si="3"/>
        <v>8.0099000000000018</v>
      </c>
      <c r="X3" s="20">
        <f t="shared" si="4"/>
        <v>2.0139896373056998</v>
      </c>
      <c r="Y3" s="20">
        <f t="shared" ref="Y3:Y26" si="18">X3-(V3-W3)</f>
        <v>7.0489637305699571E-2</v>
      </c>
      <c r="Z3" s="20">
        <f t="shared" si="5"/>
        <v>7.9394103626943018</v>
      </c>
      <c r="AA3" s="20">
        <f t="shared" si="6"/>
        <v>1.9667867551813474</v>
      </c>
      <c r="AB3" s="20">
        <f t="shared" si="7"/>
        <v>3.1752088876441244E-2</v>
      </c>
      <c r="AC3" s="20">
        <f>T3-VLOOKUP(M3, [1]Beakers!$A$2:$C$151, 3, 0)</f>
        <v>3.0170677130044794</v>
      </c>
      <c r="AD3" s="20">
        <f t="shared" si="8"/>
        <v>4.9521023793093857</v>
      </c>
      <c r="AE3" s="20">
        <f t="shared" si="9"/>
        <v>2.9853156241280381</v>
      </c>
      <c r="AF3" s="20">
        <f t="shared" si="10"/>
        <v>0.2023418768768159</v>
      </c>
      <c r="AG3" s="20">
        <f t="shared" si="11"/>
        <v>0.2536699257628795</v>
      </c>
      <c r="AH3" s="20">
        <f t="shared" si="12"/>
        <v>2.0099342133124662</v>
      </c>
      <c r="AI3" s="20">
        <f t="shared" si="13"/>
        <v>1.6032403521918952</v>
      </c>
      <c r="AJ3" s="20">
        <f t="shared" si="14"/>
        <v>2.6594877601973073</v>
      </c>
      <c r="AK3" s="20">
        <f t="shared" si="15"/>
        <v>0.39716197375055745</v>
      </c>
      <c r="AL3" s="20">
        <f t="shared" si="16"/>
        <v>0.65882037372708746</v>
      </c>
    </row>
    <row r="4" spans="1:40" ht="14.4" x14ac:dyDescent="0.3">
      <c r="A4" s="1">
        <v>501</v>
      </c>
      <c r="B4" s="2" t="s">
        <v>35</v>
      </c>
      <c r="C4" s="2" t="s">
        <v>36</v>
      </c>
      <c r="D4" s="2">
        <v>3</v>
      </c>
      <c r="E4" s="2" t="s">
        <v>37</v>
      </c>
      <c r="F4" s="2">
        <v>1</v>
      </c>
      <c r="G4" s="2">
        <v>38</v>
      </c>
      <c r="H4" s="2">
        <v>40</v>
      </c>
      <c r="I4" s="3" t="str">
        <f t="shared" si="0"/>
        <v>M0111-A-3-1</v>
      </c>
      <c r="J4" s="8" t="str">
        <f t="shared" si="1"/>
        <v>501-M0111A-3H-1,38-40</v>
      </c>
      <c r="K4" s="3">
        <f>VLOOKUP(I4, '[1]Depth vlookup'!$G$2:$I$997,2,FALSE())+(G4/100)</f>
        <v>4.84</v>
      </c>
      <c r="L4" s="18">
        <f t="shared" si="2"/>
        <v>4.8599999999999994</v>
      </c>
      <c r="M4" s="2">
        <v>282</v>
      </c>
      <c r="N4" s="4">
        <f>VLOOKUP(M4,  [1]Beakers!$A$2:$B$151, 2, 0)</f>
        <v>10.1076</v>
      </c>
      <c r="O4" s="2">
        <v>18.9788</v>
      </c>
      <c r="P4" s="6">
        <v>46038.458333333299</v>
      </c>
      <c r="Q4" s="2">
        <v>17.281400000000001</v>
      </c>
      <c r="R4" s="3" t="s">
        <v>38</v>
      </c>
      <c r="S4" s="3">
        <v>3</v>
      </c>
      <c r="T4" s="2">
        <v>7.2446000000000002</v>
      </c>
      <c r="V4" s="20">
        <f>O4-N4</f>
        <v>8.8712</v>
      </c>
      <c r="W4" s="20">
        <f t="shared" si="3"/>
        <v>7.1738000000000017</v>
      </c>
      <c r="X4" s="20">
        <f t="shared" si="4"/>
        <v>1.7589637305699464</v>
      </c>
      <c r="Y4" s="20">
        <f t="shared" si="18"/>
        <v>6.1563730569948127E-2</v>
      </c>
      <c r="Z4" s="20">
        <f t="shared" si="5"/>
        <v>7.1122362694300536</v>
      </c>
      <c r="AA4" s="20">
        <f t="shared" si="6"/>
        <v>1.7177380181347133</v>
      </c>
      <c r="AB4" s="20">
        <f t="shared" si="7"/>
        <v>2.7731410166643298E-2</v>
      </c>
      <c r="AC4" s="20">
        <f>T4-VLOOKUP(M4, [1]Beakers!$A$2:$C$151, 3, 0)</f>
        <v>2.7120439461883405</v>
      </c>
      <c r="AD4" s="20">
        <f t="shared" si="8"/>
        <v>4.4020505541564106</v>
      </c>
      <c r="AE4" s="20">
        <f t="shared" si="9"/>
        <v>2.6843125360216971</v>
      </c>
      <c r="AF4" s="20">
        <f t="shared" si="10"/>
        <v>0.19827799289497997</v>
      </c>
      <c r="AG4" s="20">
        <f t="shared" si="11"/>
        <v>0.2473151430767784</v>
      </c>
      <c r="AH4" s="20">
        <f t="shared" si="12"/>
        <v>2.0152426445043492</v>
      </c>
      <c r="AI4" s="20">
        <f t="shared" si="13"/>
        <v>1.615664377755655</v>
      </c>
      <c r="AJ4" s="20">
        <f t="shared" si="14"/>
        <v>2.6495559566885567</v>
      </c>
      <c r="AK4" s="20">
        <f t="shared" si="15"/>
        <v>0.39021315112177146</v>
      </c>
      <c r="AL4" s="20">
        <f t="shared" si="16"/>
        <v>0.63991729542808684</v>
      </c>
    </row>
    <row r="5" spans="1:40" ht="14.4" x14ac:dyDescent="0.3">
      <c r="A5" s="1">
        <v>501</v>
      </c>
      <c r="B5" s="2" t="s">
        <v>35</v>
      </c>
      <c r="C5" s="2" t="s">
        <v>36</v>
      </c>
      <c r="D5" s="2">
        <v>4</v>
      </c>
      <c r="E5" s="2" t="s">
        <v>37</v>
      </c>
      <c r="F5" s="2">
        <v>1</v>
      </c>
      <c r="G5" s="2">
        <v>88</v>
      </c>
      <c r="H5" s="2">
        <v>90</v>
      </c>
      <c r="I5" s="3" t="str">
        <f t="shared" si="0"/>
        <v>M0111-A-4-1</v>
      </c>
      <c r="J5" s="8" t="str">
        <f t="shared" si="1"/>
        <v>501-M0111A-4H-1,88-90</v>
      </c>
      <c r="K5" s="3">
        <f>VLOOKUP(I5, '[1]Depth vlookup'!$G$2:$I$997,2,FALSE())+(G5/100)</f>
        <v>7.77</v>
      </c>
      <c r="L5" s="18">
        <f t="shared" si="2"/>
        <v>7.7899999999999991</v>
      </c>
      <c r="M5" s="2">
        <v>283</v>
      </c>
      <c r="N5" s="4">
        <f>VLOOKUP(M5,  [1]Beakers!$A$2:$B$151, 2, 0)</f>
        <v>9.6501999999999999</v>
      </c>
      <c r="O5" s="2">
        <v>19.366299999999999</v>
      </c>
      <c r="P5" s="6">
        <v>46038.458333333299</v>
      </c>
      <c r="Q5" s="2">
        <v>17.502700000000001</v>
      </c>
      <c r="R5" s="3" t="s">
        <v>38</v>
      </c>
      <c r="S5" s="3">
        <v>4</v>
      </c>
      <c r="T5" s="2">
        <v>7.2667000000000002</v>
      </c>
      <c r="V5" s="20">
        <f t="shared" si="17"/>
        <v>9.7160999999999991</v>
      </c>
      <c r="W5" s="20">
        <f t="shared" si="3"/>
        <v>7.8525000000000009</v>
      </c>
      <c r="X5" s="20">
        <f t="shared" si="4"/>
        <v>1.9311917098445577</v>
      </c>
      <c r="Y5" s="20">
        <f t="shared" si="18"/>
        <v>6.7591709844559533E-2</v>
      </c>
      <c r="Z5" s="20">
        <f t="shared" si="5"/>
        <v>7.7849082901554416</v>
      </c>
      <c r="AA5" s="20">
        <f t="shared" si="6"/>
        <v>1.8859294041450758</v>
      </c>
      <c r="AB5" s="20">
        <f t="shared" si="7"/>
        <v>3.0446716146197986E-2</v>
      </c>
      <c r="AC5" s="20">
        <f>T5-VLOOKUP(M5, [1]Beakers!$A$2:$C$151, 3, 0)</f>
        <v>2.9392560538116603</v>
      </c>
      <c r="AD5" s="20">
        <f t="shared" si="8"/>
        <v>4.7947387418105381</v>
      </c>
      <c r="AE5" s="20">
        <f t="shared" si="9"/>
        <v>2.9088093376654625</v>
      </c>
      <c r="AF5" s="20">
        <f t="shared" si="10"/>
        <v>0.19876202487053013</v>
      </c>
      <c r="AG5" s="20">
        <f t="shared" si="11"/>
        <v>0.24806865256032418</v>
      </c>
      <c r="AH5" s="20">
        <f t="shared" si="12"/>
        <v>2.0264086372996224</v>
      </c>
      <c r="AI5" s="20">
        <f t="shared" si="13"/>
        <v>1.6236355533348179</v>
      </c>
      <c r="AJ5" s="20">
        <f t="shared" si="14"/>
        <v>2.6763212663513429</v>
      </c>
      <c r="AK5" s="20">
        <f t="shared" si="15"/>
        <v>0.39333308980937953</v>
      </c>
      <c r="AL5" s="20">
        <f t="shared" si="16"/>
        <v>0.64835098668195135</v>
      </c>
    </row>
    <row r="6" spans="1:40" ht="14.4" x14ac:dyDescent="0.3">
      <c r="A6" s="1">
        <v>501</v>
      </c>
      <c r="B6" s="2" t="s">
        <v>35</v>
      </c>
      <c r="C6" s="2" t="s">
        <v>36</v>
      </c>
      <c r="D6" s="2">
        <v>5</v>
      </c>
      <c r="E6" s="2" t="s">
        <v>37</v>
      </c>
      <c r="F6" s="2">
        <v>1</v>
      </c>
      <c r="G6" s="2">
        <v>100</v>
      </c>
      <c r="H6" s="2">
        <v>102</v>
      </c>
      <c r="I6" s="3" t="str">
        <f t="shared" si="0"/>
        <v>M0111-A-5-1</v>
      </c>
      <c r="J6" s="8" t="str">
        <f t="shared" si="1"/>
        <v>501-M0111A-5H-1,100-102</v>
      </c>
      <c r="K6" s="3">
        <f>VLOOKUP(I6, '[1]Depth vlookup'!$G$2:$I$997,2,FALSE())+(G6/100)</f>
        <v>10.6</v>
      </c>
      <c r="L6" s="18">
        <f t="shared" si="2"/>
        <v>10.62</v>
      </c>
      <c r="M6" s="2">
        <v>284</v>
      </c>
      <c r="N6" s="4">
        <f>VLOOKUP(M6,  [1]Beakers!$A$2:$B$151, 2, 0)</f>
        <v>10.0555</v>
      </c>
      <c r="O6" s="2">
        <v>18.786799999999999</v>
      </c>
      <c r="P6" s="6">
        <v>46038.7006944444</v>
      </c>
      <c r="Q6" s="2">
        <v>17.239799999999999</v>
      </c>
      <c r="R6" s="3" t="s">
        <v>39</v>
      </c>
      <c r="S6" s="3">
        <v>2</v>
      </c>
      <c r="T6" s="2">
        <v>7.1943999999999999</v>
      </c>
      <c r="V6" s="20">
        <f t="shared" si="17"/>
        <v>8.7312999999999992</v>
      </c>
      <c r="W6" s="20">
        <f t="shared" si="3"/>
        <v>7.1842999999999986</v>
      </c>
      <c r="X6" s="20">
        <f t="shared" si="4"/>
        <v>1.6031088082901561</v>
      </c>
      <c r="Y6" s="20">
        <f t="shared" si="18"/>
        <v>5.6108808290155521E-2</v>
      </c>
      <c r="Z6" s="20">
        <f t="shared" si="5"/>
        <v>7.1281911917098428</v>
      </c>
      <c r="AA6" s="20">
        <f t="shared" si="6"/>
        <v>1.5655359455958555</v>
      </c>
      <c r="AB6" s="20">
        <f t="shared" si="7"/>
        <v>2.5274237968538522E-2</v>
      </c>
      <c r="AC6" s="20">
        <f>T6-VLOOKUP(M6, [1]Beakers!$A$2:$C$151, 3, 0)</f>
        <v>2.6852071748878901</v>
      </c>
      <c r="AD6" s="20">
        <f t="shared" si="8"/>
        <v>4.2254688825152069</v>
      </c>
      <c r="AE6" s="20">
        <f t="shared" si="9"/>
        <v>2.6599329369193514</v>
      </c>
      <c r="AF6" s="20">
        <f t="shared" si="10"/>
        <v>0.18360482497338956</v>
      </c>
      <c r="AG6" s="20">
        <f t="shared" si="11"/>
        <v>0.22489699913697428</v>
      </c>
      <c r="AH6" s="20">
        <f t="shared" si="12"/>
        <v>2.0663505619766154</v>
      </c>
      <c r="AI6" s="20">
        <f t="shared" si="13"/>
        <v>1.6869586287112337</v>
      </c>
      <c r="AJ6" s="20">
        <f t="shared" si="14"/>
        <v>2.6798386879503378</v>
      </c>
      <c r="AK6" s="20">
        <f t="shared" si="15"/>
        <v>0.37049993482947424</v>
      </c>
      <c r="AL6" s="20">
        <f t="shared" si="16"/>
        <v>0.58856218661249737</v>
      </c>
    </row>
    <row r="7" spans="1:40" ht="14.4" x14ac:dyDescent="0.3">
      <c r="A7" s="1">
        <v>501</v>
      </c>
      <c r="B7" s="2" t="s">
        <v>35</v>
      </c>
      <c r="C7" s="2" t="s">
        <v>36</v>
      </c>
      <c r="D7" s="2">
        <v>6</v>
      </c>
      <c r="E7" s="2" t="s">
        <v>37</v>
      </c>
      <c r="F7" s="2">
        <v>1</v>
      </c>
      <c r="G7" s="2">
        <v>120</v>
      </c>
      <c r="H7" s="2">
        <v>122</v>
      </c>
      <c r="I7" s="3" t="str">
        <f t="shared" si="0"/>
        <v>M0111-A-6-1</v>
      </c>
      <c r="J7" s="8" t="str">
        <f t="shared" si="1"/>
        <v>501-M0111A-6H-1,120-122</v>
      </c>
      <c r="K7" s="3">
        <f>VLOOKUP(I7, '[1]Depth vlookup'!$G$2:$I$997,2,FALSE())+(G7/100)</f>
        <v>12.899999999999999</v>
      </c>
      <c r="L7" s="18">
        <f t="shared" si="2"/>
        <v>12.919999999999998</v>
      </c>
      <c r="M7" s="2">
        <v>285</v>
      </c>
      <c r="N7" s="4">
        <f>VLOOKUP(M7,  [1]Beakers!$A$2:$B$151, 2, 0)</f>
        <v>10.051</v>
      </c>
      <c r="O7" s="2">
        <v>20.073599999999999</v>
      </c>
      <c r="P7" s="6">
        <v>46038.7006944444</v>
      </c>
      <c r="Q7" s="2">
        <v>18.072700000000001</v>
      </c>
      <c r="R7" s="3" t="s">
        <v>39</v>
      </c>
      <c r="S7" s="3">
        <v>3</v>
      </c>
      <c r="T7" s="2">
        <v>7.5315000000000003</v>
      </c>
      <c r="V7" s="20">
        <f t="shared" si="17"/>
        <v>10.022599999999999</v>
      </c>
      <c r="W7" s="20">
        <f t="shared" si="3"/>
        <v>8.0217000000000009</v>
      </c>
      <c r="X7" s="20">
        <f t="shared" si="4"/>
        <v>2.0734715025906714</v>
      </c>
      <c r="Y7" s="20">
        <f t="shared" si="18"/>
        <v>7.2571502590673465E-2</v>
      </c>
      <c r="Z7" s="20">
        <f t="shared" si="5"/>
        <v>7.9491284974093279</v>
      </c>
      <c r="AA7" s="20">
        <f t="shared" si="6"/>
        <v>2.0248745142487024</v>
      </c>
      <c r="AB7" s="20">
        <f t="shared" si="7"/>
        <v>3.2689866031834894E-2</v>
      </c>
      <c r="AC7" s="20">
        <f>T7-VLOOKUP(M7, [1]Beakers!$A$2:$C$151, 3, 0)</f>
        <v>3.0243251121076202</v>
      </c>
      <c r="AD7" s="20">
        <f t="shared" si="8"/>
        <v>5.016509760324487</v>
      </c>
      <c r="AE7" s="20">
        <f t="shared" si="9"/>
        <v>2.9916352460757851</v>
      </c>
      <c r="AF7" s="20">
        <f t="shared" si="10"/>
        <v>0.20687960235773867</v>
      </c>
      <c r="AG7" s="20">
        <f t="shared" si="11"/>
        <v>0.26084261982510776</v>
      </c>
      <c r="AH7" s="20">
        <f t="shared" si="12"/>
        <v>1.9979229541759524</v>
      </c>
      <c r="AI7" s="20">
        <f t="shared" si="13"/>
        <v>1.5845934478746331</v>
      </c>
      <c r="AJ7" s="20">
        <f t="shared" si="14"/>
        <v>2.6571182124680575</v>
      </c>
      <c r="AK7" s="20">
        <f t="shared" si="15"/>
        <v>0.40364209599738238</v>
      </c>
      <c r="AL7" s="20">
        <f t="shared" si="16"/>
        <v>0.67684538645036663</v>
      </c>
    </row>
    <row r="8" spans="1:40" ht="14.4" x14ac:dyDescent="0.3">
      <c r="A8" s="1">
        <v>501</v>
      </c>
      <c r="B8" s="2" t="s">
        <v>35</v>
      </c>
      <c r="C8" s="2" t="s">
        <v>36</v>
      </c>
      <c r="D8" s="2">
        <v>7</v>
      </c>
      <c r="E8" s="2" t="s">
        <v>37</v>
      </c>
      <c r="F8" s="2">
        <v>1</v>
      </c>
      <c r="G8" s="2">
        <v>14</v>
      </c>
      <c r="H8" s="2">
        <v>16</v>
      </c>
      <c r="I8" s="3" t="str">
        <f t="shared" si="0"/>
        <v>M0111-A-7-1</v>
      </c>
      <c r="J8" s="8" t="str">
        <f t="shared" si="1"/>
        <v>501-M0111A-7H-1,14-16</v>
      </c>
      <c r="K8" s="3">
        <f>VLOOKUP(I8, '[1]Depth vlookup'!$G$2:$I$997,2,FALSE())+(G8/100)</f>
        <v>14.08</v>
      </c>
      <c r="L8" s="18">
        <f t="shared" si="2"/>
        <v>14.1</v>
      </c>
      <c r="M8" s="2">
        <v>286</v>
      </c>
      <c r="N8" s="4">
        <f>VLOOKUP(M8,  [1]Beakers!$A$2:$B$151, 2, 0)</f>
        <v>9.5493000000000006</v>
      </c>
      <c r="O8" s="2">
        <v>17.011800000000001</v>
      </c>
      <c r="P8" s="6">
        <v>46038.7006944444</v>
      </c>
      <c r="Q8" s="2">
        <v>15.619</v>
      </c>
      <c r="R8" s="3" t="s">
        <v>39</v>
      </c>
      <c r="S8" s="3">
        <v>4</v>
      </c>
      <c r="T8" s="2">
        <v>6.5564</v>
      </c>
      <c r="V8" s="20">
        <f t="shared" si="17"/>
        <v>7.4625000000000004</v>
      </c>
      <c r="W8" s="20">
        <f t="shared" si="3"/>
        <v>6.0696999999999992</v>
      </c>
      <c r="X8" s="20">
        <f t="shared" si="4"/>
        <v>1.4433160621761671</v>
      </c>
      <c r="Y8" s="20">
        <f t="shared" si="18"/>
        <v>5.0516062176165999E-2</v>
      </c>
      <c r="Z8" s="20">
        <f t="shared" si="5"/>
        <v>6.0191839378238328</v>
      </c>
      <c r="AA8" s="20">
        <f t="shared" si="6"/>
        <v>1.4094883419689133</v>
      </c>
      <c r="AB8" s="20">
        <f t="shared" si="7"/>
        <v>2.2754982962236936E-2</v>
      </c>
      <c r="AC8" s="20">
        <f>T8-VLOOKUP(M8, [1]Beakers!$A$2:$C$151, 3, 0)</f>
        <v>2.2742026905829604</v>
      </c>
      <c r="AD8" s="20">
        <f t="shared" si="8"/>
        <v>3.6609360495896368</v>
      </c>
      <c r="AE8" s="20">
        <f t="shared" si="9"/>
        <v>2.2514477076207235</v>
      </c>
      <c r="AF8" s="20">
        <f t="shared" si="10"/>
        <v>0.19340918756129541</v>
      </c>
      <c r="AG8" s="20">
        <f t="shared" si="11"/>
        <v>0.23978600373159248</v>
      </c>
      <c r="AH8" s="20">
        <f t="shared" si="12"/>
        <v>2.0384130995231371</v>
      </c>
      <c r="AI8" s="20">
        <f t="shared" si="13"/>
        <v>1.6441652780300648</v>
      </c>
      <c r="AJ8" s="20">
        <f t="shared" si="14"/>
        <v>2.6734726804669</v>
      </c>
      <c r="AK8" s="20">
        <f t="shared" si="15"/>
        <v>0.38500763817682809</v>
      </c>
      <c r="AL8" s="20">
        <f t="shared" si="16"/>
        <v>0.62603645520971352</v>
      </c>
    </row>
    <row r="9" spans="1:40" ht="14.4" x14ac:dyDescent="0.3">
      <c r="A9" s="1">
        <v>501</v>
      </c>
      <c r="B9" s="2" t="s">
        <v>35</v>
      </c>
      <c r="C9" s="2" t="s">
        <v>36</v>
      </c>
      <c r="D9" s="2">
        <v>9</v>
      </c>
      <c r="E9" s="2" t="s">
        <v>40</v>
      </c>
      <c r="F9" s="2">
        <v>1</v>
      </c>
      <c r="G9" s="2">
        <v>18</v>
      </c>
      <c r="H9" s="2">
        <v>20</v>
      </c>
      <c r="I9" s="3" t="str">
        <f t="shared" si="0"/>
        <v>M0111-A-9-1</v>
      </c>
      <c r="J9" s="8" t="str">
        <f t="shared" si="1"/>
        <v>501-M0111A-9X-1,18-20</v>
      </c>
      <c r="K9" s="3">
        <f>VLOOKUP(I9, '[1]Depth vlookup'!$G$2:$I$997,2,FALSE())+(G9/100)</f>
        <v>14.95</v>
      </c>
      <c r="L9" s="18">
        <f t="shared" si="2"/>
        <v>14.969999999999999</v>
      </c>
      <c r="M9" s="2">
        <v>287</v>
      </c>
      <c r="N9" s="4">
        <f>VLOOKUP(M9,  [1]Beakers!$A$2:$B$151, 2, 0)</f>
        <v>10.169</v>
      </c>
      <c r="O9" s="2">
        <v>18.449100000000001</v>
      </c>
      <c r="P9" s="6">
        <v>46038.7006944444</v>
      </c>
      <c r="Q9" s="2">
        <v>16.849299999999999</v>
      </c>
      <c r="R9" s="3" t="s">
        <v>39</v>
      </c>
      <c r="S9" s="3">
        <v>5</v>
      </c>
      <c r="T9" s="2">
        <v>7.0872999999999999</v>
      </c>
      <c r="V9" s="20">
        <f t="shared" si="17"/>
        <v>8.2801000000000009</v>
      </c>
      <c r="W9" s="20">
        <f t="shared" si="3"/>
        <v>6.680299999999999</v>
      </c>
      <c r="X9" s="20">
        <f t="shared" si="4"/>
        <v>1.6578238341968932</v>
      </c>
      <c r="Y9" s="20">
        <f t="shared" si="18"/>
        <v>5.8023834196891277E-2</v>
      </c>
      <c r="Z9" s="20">
        <f t="shared" si="5"/>
        <v>6.6222761658031075</v>
      </c>
      <c r="AA9" s="20">
        <f t="shared" si="6"/>
        <v>1.6189685880829034</v>
      </c>
      <c r="AB9" s="20">
        <f t="shared" si="7"/>
        <v>2.6136862250851923E-2</v>
      </c>
      <c r="AC9" s="20">
        <f>T9-VLOOKUP(M9, [1]Beakers!$A$2:$C$151, 3, 0)</f>
        <v>2.5272103139013398</v>
      </c>
      <c r="AD9" s="20">
        <f t="shared" si="8"/>
        <v>4.1200420397333914</v>
      </c>
      <c r="AE9" s="20">
        <f t="shared" si="9"/>
        <v>2.501073451650488</v>
      </c>
      <c r="AF9" s="20">
        <f t="shared" si="10"/>
        <v>0.20021785174054577</v>
      </c>
      <c r="AG9" s="20">
        <f t="shared" si="11"/>
        <v>0.25034048606395487</v>
      </c>
      <c r="AH9" s="20">
        <f t="shared" si="12"/>
        <v>2.0097125029665492</v>
      </c>
      <c r="AI9" s="20">
        <f t="shared" si="13"/>
        <v>1.6073321830064715</v>
      </c>
      <c r="AJ9" s="20">
        <f t="shared" si="14"/>
        <v>2.6477735635604742</v>
      </c>
      <c r="AK9" s="20">
        <f t="shared" si="15"/>
        <v>0.39294953121101334</v>
      </c>
      <c r="AL9" s="20">
        <f t="shared" si="16"/>
        <v>0.64730949305568253</v>
      </c>
      <c r="AN9" s="8">
        <f>AK2/(1-AK2)</f>
        <v>0.51713187635632196</v>
      </c>
    </row>
    <row r="10" spans="1:40" ht="14.4" x14ac:dyDescent="0.3">
      <c r="A10" s="1">
        <v>501</v>
      </c>
      <c r="B10" s="2" t="s">
        <v>35</v>
      </c>
      <c r="C10" s="2" t="s">
        <v>36</v>
      </c>
      <c r="D10" s="2">
        <v>10</v>
      </c>
      <c r="E10" s="2" t="s">
        <v>41</v>
      </c>
      <c r="F10" s="2">
        <v>1</v>
      </c>
      <c r="G10" s="2">
        <v>40</v>
      </c>
      <c r="H10" s="2">
        <v>42</v>
      </c>
      <c r="I10" s="3" t="str">
        <f t="shared" si="0"/>
        <v>M0111-A-10-1</v>
      </c>
      <c r="J10" s="8" t="str">
        <f t="shared" si="1"/>
        <v>501-M0111A-10R-1,40-42</v>
      </c>
      <c r="K10" s="3">
        <f>VLOOKUP(I10, '[1]Depth vlookup'!$G$2:$I$997,2,FALSE())+(G10/100)</f>
        <v>15.610000000000001</v>
      </c>
      <c r="L10" s="18">
        <f t="shared" si="2"/>
        <v>15.63</v>
      </c>
      <c r="M10" s="2">
        <v>288</v>
      </c>
      <c r="N10" s="4">
        <f>VLOOKUP(M10,  [1]Beakers!$A$2:$B$151, 2, 0)</f>
        <v>10.1602</v>
      </c>
      <c r="O10" s="2">
        <v>20.785799999999998</v>
      </c>
      <c r="P10" s="6">
        <v>46038.732638888898</v>
      </c>
      <c r="Q10" s="2">
        <v>19.009799999999998</v>
      </c>
      <c r="R10" s="3" t="s">
        <v>39</v>
      </c>
      <c r="S10" s="3">
        <v>3</v>
      </c>
      <c r="T10" s="2">
        <v>7.9097999999999997</v>
      </c>
      <c r="V10" s="20">
        <f t="shared" si="17"/>
        <v>10.625599999999999</v>
      </c>
      <c r="W10" s="20">
        <f t="shared" si="3"/>
        <v>8.8495999999999988</v>
      </c>
      <c r="X10" s="20">
        <f t="shared" si="4"/>
        <v>1.8404145077720206</v>
      </c>
      <c r="Y10" s="20">
        <f t="shared" si="18"/>
        <v>6.4414507772020846E-2</v>
      </c>
      <c r="Z10" s="20">
        <f t="shared" si="5"/>
        <v>8.7851854922279777</v>
      </c>
      <c r="AA10" s="20">
        <f t="shared" si="6"/>
        <v>1.7972797927461139</v>
      </c>
      <c r="AB10" s="20">
        <f t="shared" si="7"/>
        <v>2.901554404145083E-2</v>
      </c>
      <c r="AC10" s="20">
        <f>T10-VLOOKUP(M10, [1]Beakers!$A$2:$C$151, 3, 0)</f>
        <v>3.3536565022421501</v>
      </c>
      <c r="AD10" s="20">
        <f t="shared" si="8"/>
        <v>5.1219207509468134</v>
      </c>
      <c r="AE10" s="20">
        <f t="shared" si="9"/>
        <v>3.3246409582006993</v>
      </c>
      <c r="AF10" s="20">
        <f t="shared" si="10"/>
        <v>0.17320570205654465</v>
      </c>
      <c r="AG10" s="20">
        <f t="shared" si="11"/>
        <v>0.20949068285469749</v>
      </c>
      <c r="AH10" s="20">
        <f t="shared" si="12"/>
        <v>2.0745342453874946</v>
      </c>
      <c r="AI10" s="20">
        <f t="shared" si="13"/>
        <v>1.7152130849748097</v>
      </c>
      <c r="AJ10" s="20">
        <f t="shared" si="14"/>
        <v>2.6424463882507583</v>
      </c>
      <c r="AK10" s="20">
        <f t="shared" si="15"/>
        <v>0.35089957071551281</v>
      </c>
      <c r="AL10" s="20">
        <f t="shared" si="16"/>
        <v>0.54059365066560583</v>
      </c>
    </row>
    <row r="11" spans="1:40" ht="14.4" x14ac:dyDescent="0.3">
      <c r="A11" s="1">
        <v>501</v>
      </c>
      <c r="B11" s="2" t="s">
        <v>35</v>
      </c>
      <c r="C11" s="2" t="s">
        <v>36</v>
      </c>
      <c r="D11" s="2">
        <v>11</v>
      </c>
      <c r="E11" s="2" t="s">
        <v>41</v>
      </c>
      <c r="F11" s="2">
        <v>1</v>
      </c>
      <c r="G11" s="2">
        <v>38</v>
      </c>
      <c r="H11" s="2">
        <v>40</v>
      </c>
      <c r="I11" s="3" t="str">
        <f t="shared" si="0"/>
        <v>M0111-A-11-1</v>
      </c>
      <c r="J11" s="8" t="str">
        <f t="shared" si="1"/>
        <v>501-M0111A-11R-1,38-40</v>
      </c>
      <c r="K11" s="3">
        <f>VLOOKUP(I11, '[1]Depth vlookup'!$G$2:$I$997,2,FALSE())+(G11/100)</f>
        <v>16.739999999999998</v>
      </c>
      <c r="L11" s="18">
        <f t="shared" si="2"/>
        <v>16.759999999999998</v>
      </c>
      <c r="M11" s="2">
        <v>289</v>
      </c>
      <c r="N11" s="4">
        <f>VLOOKUP(M11,  [1]Beakers!$A$2:$B$151, 2, 0)</f>
        <v>9.6905999999999999</v>
      </c>
      <c r="O11" s="2">
        <v>20.992599999999999</v>
      </c>
      <c r="P11" s="6">
        <v>46038.732638888898</v>
      </c>
      <c r="Q11" s="2">
        <v>19.237300000000001</v>
      </c>
      <c r="R11" s="3" t="s">
        <v>39</v>
      </c>
      <c r="S11" s="3">
        <v>4</v>
      </c>
      <c r="T11" s="23">
        <v>7.9249000000000001</v>
      </c>
      <c r="V11" s="20">
        <f t="shared" si="17"/>
        <v>11.302</v>
      </c>
      <c r="W11" s="20">
        <f t="shared" si="3"/>
        <v>9.5467000000000013</v>
      </c>
      <c r="X11" s="20">
        <f t="shared" si="4"/>
        <v>1.8189637305699464</v>
      </c>
      <c r="Y11" s="20">
        <f t="shared" si="18"/>
        <v>6.3663730569948118E-2</v>
      </c>
      <c r="Z11" s="20">
        <f t="shared" si="5"/>
        <v>9.4830362694300536</v>
      </c>
      <c r="AA11" s="20">
        <f t="shared" si="6"/>
        <v>1.7763317681347133</v>
      </c>
      <c r="AB11" s="20">
        <f t="shared" si="7"/>
        <v>2.8677356112589241E-2</v>
      </c>
      <c r="AC11" s="20">
        <f>T11-VLOOKUP(M11, [1]Beakers!$A$2:$C$151, 3, 0)</f>
        <v>3.5793394618834098</v>
      </c>
      <c r="AD11" s="20">
        <f t="shared" si="8"/>
        <v>5.3269938739055336</v>
      </c>
      <c r="AE11" s="20">
        <f t="shared" si="9"/>
        <v>3.5506621057708205</v>
      </c>
      <c r="AF11" s="20">
        <f t="shared" si="10"/>
        <v>0.16094175637674274</v>
      </c>
      <c r="AG11" s="20">
        <f t="shared" si="11"/>
        <v>0.19181237726925504</v>
      </c>
      <c r="AH11" s="20">
        <f t="shared" si="12"/>
        <v>2.1216468926993222</v>
      </c>
      <c r="AI11" s="20">
        <f t="shared" si="13"/>
        <v>1.7801853153770346</v>
      </c>
      <c r="AJ11" s="20">
        <f t="shared" si="14"/>
        <v>2.6707796988109522</v>
      </c>
      <c r="AK11" s="20">
        <f t="shared" si="15"/>
        <v>0.33345857160379644</v>
      </c>
      <c r="AL11" s="20">
        <f t="shared" si="16"/>
        <v>0.5002818390540954</v>
      </c>
    </row>
    <row r="12" spans="1:40" ht="14.4" x14ac:dyDescent="0.3">
      <c r="A12" s="1">
        <v>501</v>
      </c>
      <c r="B12" s="2" t="s">
        <v>35</v>
      </c>
      <c r="C12" s="2" t="s">
        <v>36</v>
      </c>
      <c r="D12" s="2">
        <v>12</v>
      </c>
      <c r="E12" s="2" t="s">
        <v>41</v>
      </c>
      <c r="F12" s="2">
        <v>1</v>
      </c>
      <c r="G12" s="2">
        <v>48</v>
      </c>
      <c r="H12" s="2">
        <v>50</v>
      </c>
      <c r="I12" s="3" t="str">
        <f t="shared" si="0"/>
        <v>M0111-A-12-1</v>
      </c>
      <c r="J12" s="8" t="str">
        <f t="shared" si="1"/>
        <v>501-M0111A-12R-1,48-50</v>
      </c>
      <c r="K12" s="3">
        <f>VLOOKUP(I12, '[1]Depth vlookup'!$G$2:$I$997,2,FALSE())+(G12/100)</f>
        <v>32.729999999999997</v>
      </c>
      <c r="L12" s="18">
        <f t="shared" si="2"/>
        <v>32.75</v>
      </c>
      <c r="M12" s="2">
        <v>270</v>
      </c>
      <c r="N12" s="4">
        <f>VLOOKUP(M12,  [1]Beakers!$A$2:$B$151, 2, 0)</f>
        <v>9.7308000000000003</v>
      </c>
      <c r="O12" s="2">
        <v>19.063400000000001</v>
      </c>
      <c r="P12" s="6">
        <v>46038.732638888898</v>
      </c>
      <c r="Q12" s="2">
        <v>17.501100000000001</v>
      </c>
      <c r="R12" s="3" t="s">
        <v>39</v>
      </c>
      <c r="S12" s="3">
        <v>5</v>
      </c>
      <c r="T12" s="2">
        <v>7.2873000000000001</v>
      </c>
      <c r="V12" s="20">
        <f t="shared" si="17"/>
        <v>9.3326000000000011</v>
      </c>
      <c r="W12" s="20">
        <f t="shared" si="3"/>
        <v>7.7703000000000007</v>
      </c>
      <c r="X12" s="20">
        <f t="shared" si="4"/>
        <v>1.6189637305699487</v>
      </c>
      <c r="Y12" s="20">
        <f t="shared" si="18"/>
        <v>5.6663730569948223E-2</v>
      </c>
      <c r="Z12" s="20">
        <f t="shared" si="5"/>
        <v>7.7136362694300526</v>
      </c>
      <c r="AA12" s="20">
        <f t="shared" si="6"/>
        <v>1.5810192681347155</v>
      </c>
      <c r="AB12" s="20">
        <f t="shared" si="7"/>
        <v>2.5524202959436134E-2</v>
      </c>
      <c r="AC12" s="20">
        <f>T12-VLOOKUP(M12, [1]Beakers!$A$2:$C$151, 3, 0)</f>
        <v>2.9237125560538102</v>
      </c>
      <c r="AD12" s="20">
        <f t="shared" si="8"/>
        <v>4.4792076212290892</v>
      </c>
      <c r="AE12" s="20">
        <f t="shared" si="9"/>
        <v>2.8981883530943739</v>
      </c>
      <c r="AF12" s="20">
        <f t="shared" si="10"/>
        <v>0.17347402980626497</v>
      </c>
      <c r="AG12" s="20">
        <f t="shared" si="11"/>
        <v>0.20988333828833378</v>
      </c>
      <c r="AH12" s="20">
        <f t="shared" si="12"/>
        <v>2.083538158795851</v>
      </c>
      <c r="AI12" s="20">
        <f t="shared" si="13"/>
        <v>1.7220983981344093</v>
      </c>
      <c r="AJ12" s="20">
        <f t="shared" si="14"/>
        <v>2.6615372535033002</v>
      </c>
      <c r="AK12" s="20">
        <f t="shared" si="15"/>
        <v>0.35296851627093939</v>
      </c>
      <c r="AL12" s="20">
        <f t="shared" si="16"/>
        <v>0.54551984740628512</v>
      </c>
    </row>
    <row r="13" spans="1:40" ht="14.4" x14ac:dyDescent="0.3">
      <c r="A13" s="1">
        <v>501</v>
      </c>
      <c r="B13" s="2" t="s">
        <v>35</v>
      </c>
      <c r="C13" s="2" t="s">
        <v>36</v>
      </c>
      <c r="D13" s="2">
        <v>13</v>
      </c>
      <c r="E13" s="2" t="s">
        <v>37</v>
      </c>
      <c r="F13" s="2">
        <v>1</v>
      </c>
      <c r="G13" s="2">
        <v>38</v>
      </c>
      <c r="H13" s="2">
        <v>40</v>
      </c>
      <c r="I13" s="3" t="str">
        <f t="shared" si="0"/>
        <v>M0111-A-13-1</v>
      </c>
      <c r="J13" s="8" t="str">
        <f t="shared" si="1"/>
        <v>501-M0111A-13H-1,38-40</v>
      </c>
      <c r="K13" s="3">
        <f>VLOOKUP(I13, '[1]Depth vlookup'!$G$2:$I$997,2,FALSE())+(G13/100)</f>
        <v>34.18</v>
      </c>
      <c r="L13" s="18">
        <f t="shared" si="2"/>
        <v>34.200000000000003</v>
      </c>
      <c r="M13" s="2">
        <v>271</v>
      </c>
      <c r="N13" s="4">
        <f>VLOOKUP(M13,  [1]Beakers!$A$2:$B$151, 2, 0)</f>
        <v>9.9113000000000007</v>
      </c>
      <c r="O13" s="2">
        <v>22.398299999999999</v>
      </c>
      <c r="P13" s="6">
        <v>46038.732638888898</v>
      </c>
      <c r="Q13" s="2">
        <v>19.7471</v>
      </c>
      <c r="R13" s="3" t="s">
        <v>39</v>
      </c>
      <c r="S13" s="3">
        <v>1</v>
      </c>
      <c r="T13" s="2">
        <v>8.1348000000000003</v>
      </c>
      <c r="V13" s="20">
        <f t="shared" si="17"/>
        <v>12.486999999999998</v>
      </c>
      <c r="W13" s="20">
        <f t="shared" si="3"/>
        <v>9.835799999999999</v>
      </c>
      <c r="X13" s="20">
        <f t="shared" si="4"/>
        <v>2.7473575129533674</v>
      </c>
      <c r="Y13" s="20">
        <f t="shared" si="18"/>
        <v>9.6157512953368052E-2</v>
      </c>
      <c r="Z13" s="20">
        <f t="shared" si="5"/>
        <v>9.7396424870466305</v>
      </c>
      <c r="AA13" s="20">
        <f t="shared" si="6"/>
        <v>2.6829663212435229</v>
      </c>
      <c r="AB13" s="20">
        <f t="shared" si="7"/>
        <v>4.3314195024039659E-2</v>
      </c>
      <c r="AC13" s="20">
        <f>T13-VLOOKUP(M13, [1]Beakers!$A$2:$C$151, 3, 0)</f>
        <v>3.6902708520179406</v>
      </c>
      <c r="AD13" s="20">
        <f t="shared" si="8"/>
        <v>6.3299229782374233</v>
      </c>
      <c r="AE13" s="20">
        <f t="shared" si="9"/>
        <v>3.6469566569939009</v>
      </c>
      <c r="AF13" s="20">
        <f t="shared" si="10"/>
        <v>0.2200174191521877</v>
      </c>
      <c r="AG13" s="20">
        <f t="shared" si="11"/>
        <v>0.28207991377581393</v>
      </c>
      <c r="AH13" s="20">
        <f t="shared" si="12"/>
        <v>1.9726938294400893</v>
      </c>
      <c r="AI13" s="20">
        <f t="shared" si="13"/>
        <v>1.538666824309235</v>
      </c>
      <c r="AJ13" s="20">
        <f t="shared" si="14"/>
        <v>2.6706219467589682</v>
      </c>
      <c r="AK13" s="20">
        <f t="shared" si="15"/>
        <v>0.42385449719810003</v>
      </c>
      <c r="AL13" s="20">
        <f t="shared" si="16"/>
        <v>0.73567266452106062</v>
      </c>
    </row>
    <row r="14" spans="1:40" ht="14.4" x14ac:dyDescent="0.3">
      <c r="A14" s="1">
        <v>501</v>
      </c>
      <c r="B14" s="2" t="s">
        <v>35</v>
      </c>
      <c r="C14" s="2" t="s">
        <v>36</v>
      </c>
      <c r="D14" s="2">
        <v>15</v>
      </c>
      <c r="E14" s="2" t="s">
        <v>37</v>
      </c>
      <c r="F14" s="2">
        <v>1</v>
      </c>
      <c r="G14" s="2">
        <v>38</v>
      </c>
      <c r="H14" s="2">
        <v>40</v>
      </c>
      <c r="I14" s="3" t="str">
        <f t="shared" si="0"/>
        <v>M0111-A-15-1</v>
      </c>
      <c r="J14" s="8" t="str">
        <f t="shared" si="1"/>
        <v>501-M0111A-15H-1,38-40</v>
      </c>
      <c r="K14" s="3">
        <f>VLOOKUP(I14, '[1]Depth vlookup'!$G$2:$I$997,2,FALSE())+(G14/100)</f>
        <v>38.5</v>
      </c>
      <c r="L14" s="18">
        <f t="shared" si="2"/>
        <v>38.520000000000003</v>
      </c>
      <c r="M14" s="2">
        <v>272</v>
      </c>
      <c r="N14" s="4">
        <f>VLOOKUP(M14,  [1]Beakers!$A$2:$B$151, 2, 0)</f>
        <v>10.093299999999999</v>
      </c>
      <c r="O14" s="2">
        <v>18.933499999999999</v>
      </c>
      <c r="P14" s="6">
        <v>46038.850694444402</v>
      </c>
      <c r="Q14" s="2">
        <v>17.324000000000002</v>
      </c>
      <c r="R14" s="3" t="s">
        <v>42</v>
      </c>
      <c r="S14" s="3">
        <v>4</v>
      </c>
      <c r="T14" s="2">
        <v>7.2150999999999996</v>
      </c>
      <c r="V14" s="20">
        <f t="shared" si="17"/>
        <v>8.8401999999999994</v>
      </c>
      <c r="W14" s="20">
        <f t="shared" si="3"/>
        <v>7.2307000000000023</v>
      </c>
      <c r="X14" s="20">
        <f t="shared" si="4"/>
        <v>1.6678756476683907</v>
      </c>
      <c r="Y14" s="20">
        <f t="shared" si="18"/>
        <v>5.8375647668393649E-2</v>
      </c>
      <c r="Z14" s="20">
        <f t="shared" si="5"/>
        <v>7.1723243523316089</v>
      </c>
      <c r="AA14" s="20">
        <f t="shared" si="6"/>
        <v>1.6287848121761628</v>
      </c>
      <c r="AB14" s="20">
        <f t="shared" si="7"/>
        <v>2.6295336787564703E-2</v>
      </c>
      <c r="AC14" s="20">
        <f>T14-VLOOKUP(M14, [1]Beakers!$A$2:$C$151, 3, 0)</f>
        <v>2.6889565022421493</v>
      </c>
      <c r="AD14" s="20">
        <f t="shared" si="8"/>
        <v>4.2914459776307474</v>
      </c>
      <c r="AE14" s="20">
        <f t="shared" si="9"/>
        <v>2.6626611654545846</v>
      </c>
      <c r="AF14" s="20">
        <f t="shared" si="10"/>
        <v>0.18866944726006096</v>
      </c>
      <c r="AG14" s="20">
        <f t="shared" si="11"/>
        <v>0.23254325456240565</v>
      </c>
      <c r="AH14" s="20">
        <f t="shared" si="12"/>
        <v>2.0599583557802492</v>
      </c>
      <c r="AI14" s="20">
        <f t="shared" si="13"/>
        <v>1.6713071514164459</v>
      </c>
      <c r="AJ14" s="20">
        <f t="shared" si="14"/>
        <v>2.6936676905741814</v>
      </c>
      <c r="AK14" s="20">
        <f t="shared" si="15"/>
        <v>0.37954219176152698</v>
      </c>
      <c r="AL14" s="20">
        <f t="shared" si="16"/>
        <v>0.61171313620675705</v>
      </c>
    </row>
    <row r="15" spans="1:40" ht="14.4" x14ac:dyDescent="0.3">
      <c r="A15" s="1">
        <v>501</v>
      </c>
      <c r="B15" s="2" t="s">
        <v>35</v>
      </c>
      <c r="C15" s="2" t="s">
        <v>36</v>
      </c>
      <c r="D15" s="2">
        <v>16</v>
      </c>
      <c r="E15" s="2" t="s">
        <v>37</v>
      </c>
      <c r="F15" s="2">
        <v>1</v>
      </c>
      <c r="G15" s="2">
        <v>38</v>
      </c>
      <c r="H15" s="2">
        <v>40</v>
      </c>
      <c r="I15" s="3" t="str">
        <f t="shared" si="0"/>
        <v>M0111-A-16-1</v>
      </c>
      <c r="J15" s="8" t="str">
        <f t="shared" si="1"/>
        <v>501-M0111A-16H-1,38-40</v>
      </c>
      <c r="K15" s="3">
        <f>VLOOKUP(I15, '[1]Depth vlookup'!$G$2:$I$997,2,FALSE())+(G15/100)</f>
        <v>40.830000000000005</v>
      </c>
      <c r="L15" s="18">
        <f t="shared" si="2"/>
        <v>40.850000000000009</v>
      </c>
      <c r="M15" s="2">
        <v>273</v>
      </c>
      <c r="N15" s="4">
        <f>VLOOKUP(M15,  [1]Beakers!$A$2:$B$151, 2, 0)</f>
        <v>9.6430000000000007</v>
      </c>
      <c r="O15" s="2">
        <v>18.7437</v>
      </c>
      <c r="P15" s="6">
        <v>46038.850694444402</v>
      </c>
      <c r="Q15" s="2">
        <v>17.239599999999999</v>
      </c>
      <c r="R15" s="3" t="s">
        <v>42</v>
      </c>
      <c r="S15" s="3">
        <v>5</v>
      </c>
      <c r="T15" s="2">
        <v>7.1925999999999997</v>
      </c>
      <c r="V15" s="20">
        <f t="shared" si="17"/>
        <v>9.1006999999999998</v>
      </c>
      <c r="W15" s="20">
        <f t="shared" si="3"/>
        <v>7.5965999999999987</v>
      </c>
      <c r="X15" s="20">
        <f t="shared" si="4"/>
        <v>1.5586528497409338</v>
      </c>
      <c r="Y15" s="20">
        <f t="shared" si="18"/>
        <v>5.4552849740932663E-2</v>
      </c>
      <c r="Z15" s="20">
        <f t="shared" si="5"/>
        <v>7.5420471502590658</v>
      </c>
      <c r="AA15" s="20">
        <f t="shared" si="6"/>
        <v>1.5221219235751307</v>
      </c>
      <c r="AB15" s="20">
        <f t="shared" si="7"/>
        <v>2.4573355739158854E-2</v>
      </c>
      <c r="AC15" s="20">
        <f>T15-VLOOKUP(M15, [1]Beakers!$A$2:$C$151, 3, 0)</f>
        <v>2.8683847533632294</v>
      </c>
      <c r="AD15" s="20">
        <f t="shared" si="8"/>
        <v>4.3659333211992015</v>
      </c>
      <c r="AE15" s="20">
        <f t="shared" si="9"/>
        <v>2.8438113976240706</v>
      </c>
      <c r="AF15" s="20">
        <f t="shared" si="10"/>
        <v>0.17126735852636982</v>
      </c>
      <c r="AG15" s="20">
        <f t="shared" si="11"/>
        <v>0.20666177480571635</v>
      </c>
      <c r="AH15" s="20">
        <f t="shared" si="12"/>
        <v>2.0844798421017314</v>
      </c>
      <c r="AI15" s="20">
        <f t="shared" si="13"/>
        <v>1.7274764856435034</v>
      </c>
      <c r="AJ15" s="20">
        <f t="shared" si="14"/>
        <v>2.6520911888039578</v>
      </c>
      <c r="AK15" s="20">
        <f t="shared" si="15"/>
        <v>0.34863609029123827</v>
      </c>
      <c r="AL15" s="20">
        <f t="shared" si="16"/>
        <v>0.53524010939924616</v>
      </c>
    </row>
    <row r="16" spans="1:40" ht="14.4" x14ac:dyDescent="0.3">
      <c r="A16" s="1">
        <v>501</v>
      </c>
      <c r="B16" s="2" t="s">
        <v>35</v>
      </c>
      <c r="C16" s="2" t="s">
        <v>36</v>
      </c>
      <c r="D16" s="2">
        <v>17</v>
      </c>
      <c r="E16" s="2" t="s">
        <v>37</v>
      </c>
      <c r="F16" s="2">
        <v>1</v>
      </c>
      <c r="G16" s="2">
        <v>38</v>
      </c>
      <c r="H16" s="2">
        <v>40</v>
      </c>
      <c r="I16" s="3" t="str">
        <f t="shared" si="0"/>
        <v>M0111-A-17-1</v>
      </c>
      <c r="J16" s="8" t="str">
        <f t="shared" si="1"/>
        <v>501-M0111A-17H-1,38-40</v>
      </c>
      <c r="K16" s="3">
        <f>VLOOKUP(I16, '[1]Depth vlookup'!$G$2:$I$997,2,FALSE())+(G16/100)</f>
        <v>41.57</v>
      </c>
      <c r="L16" s="18">
        <f t="shared" si="2"/>
        <v>41.59</v>
      </c>
      <c r="M16" s="2">
        <v>274</v>
      </c>
      <c r="N16" s="4">
        <f>VLOOKUP(M16,  [1]Beakers!$A$2:$B$151, 2, 0)</f>
        <v>9.9088999999999992</v>
      </c>
      <c r="O16" s="2">
        <v>20.146599999999999</v>
      </c>
      <c r="P16" s="6">
        <v>46038.850694444402</v>
      </c>
      <c r="Q16" s="2">
        <v>18.213799999999999</v>
      </c>
      <c r="R16" s="3" t="s">
        <v>42</v>
      </c>
      <c r="S16" s="3">
        <v>1</v>
      </c>
      <c r="T16" s="2">
        <v>7.6210000000000004</v>
      </c>
      <c r="V16" s="20">
        <f t="shared" si="17"/>
        <v>10.2377</v>
      </c>
      <c r="W16" s="20">
        <f t="shared" si="3"/>
        <v>8.3048999999999999</v>
      </c>
      <c r="X16" s="20">
        <f t="shared" si="4"/>
        <v>2.0029015544041453</v>
      </c>
      <c r="Y16" s="20">
        <f t="shared" si="18"/>
        <v>7.0101554404145006E-2</v>
      </c>
      <c r="Z16" s="20">
        <f t="shared" si="5"/>
        <v>8.2347984455958549</v>
      </c>
      <c r="AA16" s="20">
        <f t="shared" si="6"/>
        <v>1.9559585492227982</v>
      </c>
      <c r="AB16" s="20">
        <f t="shared" si="7"/>
        <v>3.1577276758623873E-2</v>
      </c>
      <c r="AC16" s="20">
        <f>T16-VLOOKUP(M16, [1]Beakers!$A$2:$C$151, 3, 0)</f>
        <v>3.1775470852017902</v>
      </c>
      <c r="AD16" s="20">
        <f t="shared" si="8"/>
        <v>5.1019283576659644</v>
      </c>
      <c r="AE16" s="20">
        <f t="shared" si="9"/>
        <v>3.1459698084431662</v>
      </c>
      <c r="AF16" s="20">
        <f t="shared" si="10"/>
        <v>0.19563979745491128</v>
      </c>
      <c r="AG16" s="20">
        <f t="shared" si="11"/>
        <v>0.24322411381851605</v>
      </c>
      <c r="AH16" s="20">
        <f t="shared" si="12"/>
        <v>2.0066334300083262</v>
      </c>
      <c r="AI16" s="20">
        <f t="shared" si="13"/>
        <v>1.6140560721952433</v>
      </c>
      <c r="AJ16" s="20">
        <f t="shared" si="14"/>
        <v>2.6175707165069642</v>
      </c>
      <c r="AK16" s="20">
        <f t="shared" si="15"/>
        <v>0.38337632598933868</v>
      </c>
      <c r="AL16" s="20">
        <f t="shared" si="16"/>
        <v>0.62173468542939891</v>
      </c>
    </row>
    <row r="17" spans="1:38" ht="14.4" x14ac:dyDescent="0.3">
      <c r="A17" s="1">
        <v>501</v>
      </c>
      <c r="B17" s="2" t="s">
        <v>35</v>
      </c>
      <c r="C17" s="2" t="s">
        <v>36</v>
      </c>
      <c r="D17" s="2">
        <v>18</v>
      </c>
      <c r="E17" s="2" t="s">
        <v>37</v>
      </c>
      <c r="F17" s="2">
        <v>1</v>
      </c>
      <c r="G17" s="2">
        <v>7</v>
      </c>
      <c r="H17" s="2">
        <v>9</v>
      </c>
      <c r="I17" s="3" t="str">
        <f t="shared" si="0"/>
        <v>M0111-A-18-1</v>
      </c>
      <c r="J17" s="8" t="str">
        <f t="shared" si="1"/>
        <v>501-M0111A-18H-1,7-9</v>
      </c>
      <c r="K17" s="3">
        <f>VLOOKUP(I17, '[1]Depth vlookup'!$G$2:$I$997,2,FALSE())+(G17/100)</f>
        <v>43.39</v>
      </c>
      <c r="L17" s="18">
        <f t="shared" si="2"/>
        <v>43.410000000000004</v>
      </c>
      <c r="M17" s="2">
        <v>275</v>
      </c>
      <c r="N17" s="4">
        <f>VLOOKUP(M17,  [1]Beakers!$A$2:$B$151, 2, 0)</f>
        <v>9.7668999999999997</v>
      </c>
      <c r="O17" s="2">
        <v>20.806799999999999</v>
      </c>
      <c r="P17" s="6">
        <v>46038.850694444402</v>
      </c>
      <c r="Q17" s="2">
        <v>18.1995</v>
      </c>
      <c r="R17" s="3" t="s">
        <v>42</v>
      </c>
      <c r="S17" s="3">
        <v>2</v>
      </c>
      <c r="T17" s="2">
        <v>7.7865000000000002</v>
      </c>
      <c r="V17" s="20">
        <f t="shared" si="17"/>
        <v>11.039899999999999</v>
      </c>
      <c r="W17" s="20">
        <f t="shared" si="3"/>
        <v>8.4326000000000008</v>
      </c>
      <c r="X17" s="20">
        <f t="shared" si="4"/>
        <v>2.7018652849740921</v>
      </c>
      <c r="Y17" s="20">
        <f t="shared" si="18"/>
        <v>9.4565284974093444E-2</v>
      </c>
      <c r="Z17" s="20">
        <f t="shared" si="5"/>
        <v>8.3380347150259073</v>
      </c>
      <c r="AA17" s="20">
        <f t="shared" si="6"/>
        <v>2.6385403173575117</v>
      </c>
      <c r="AB17" s="20">
        <f t="shared" si="7"/>
        <v>4.2596975213555599E-2</v>
      </c>
      <c r="AC17" s="20">
        <f>T17-VLOOKUP(M17, [1]Beakers!$A$2:$C$151, 3, 0)</f>
        <v>3.4067242152466406</v>
      </c>
      <c r="AD17" s="20">
        <f t="shared" si="8"/>
        <v>6.0026675573905965</v>
      </c>
      <c r="AE17" s="20">
        <f t="shared" si="9"/>
        <v>3.3641272400330848</v>
      </c>
      <c r="AF17" s="20">
        <f t="shared" si="10"/>
        <v>0.2447363911787328</v>
      </c>
      <c r="AG17" s="20">
        <f t="shared" si="11"/>
        <v>0.32404102133384999</v>
      </c>
      <c r="AH17" s="20">
        <f t="shared" si="12"/>
        <v>1.8391656533448146</v>
      </c>
      <c r="AI17" s="20">
        <f t="shared" si="13"/>
        <v>1.3890548885653284</v>
      </c>
      <c r="AJ17" s="20">
        <f t="shared" si="14"/>
        <v>2.4785134806446578</v>
      </c>
      <c r="AK17" s="20">
        <f t="shared" si="15"/>
        <v>0.43956129372996705</v>
      </c>
      <c r="AL17" s="20">
        <f t="shared" si="16"/>
        <v>0.78431644497833042</v>
      </c>
    </row>
    <row r="18" spans="1:38" ht="14.4" x14ac:dyDescent="0.3">
      <c r="A18" s="1">
        <v>501</v>
      </c>
      <c r="B18" s="2" t="s">
        <v>35</v>
      </c>
      <c r="C18" s="2" t="s">
        <v>36</v>
      </c>
      <c r="D18" s="2">
        <v>19</v>
      </c>
      <c r="E18" s="2" t="s">
        <v>37</v>
      </c>
      <c r="F18" s="2">
        <v>1</v>
      </c>
      <c r="G18" s="2">
        <v>38</v>
      </c>
      <c r="H18" s="2">
        <v>40</v>
      </c>
      <c r="I18" s="3" t="str">
        <f t="shared" si="0"/>
        <v>M0111-A-19-1</v>
      </c>
      <c r="J18" s="8" t="str">
        <f t="shared" si="1"/>
        <v>501-M0111A-19H-1,38-40</v>
      </c>
      <c r="K18" s="3">
        <f>VLOOKUP(I18, '[1]Depth vlookup'!$G$2:$I$997,2,FALSE())+(G18/100)</f>
        <v>44.21</v>
      </c>
      <c r="L18" s="18">
        <f t="shared" si="2"/>
        <v>44.230000000000004</v>
      </c>
      <c r="M18" s="2">
        <v>276</v>
      </c>
      <c r="N18" s="4">
        <f>VLOOKUP(M18,  [1]Beakers!$A$2:$B$151, 2, 0)</f>
        <v>9.9183000000000003</v>
      </c>
      <c r="O18" s="2">
        <v>19.960799999999999</v>
      </c>
      <c r="P18" s="6">
        <v>46038.892361111102</v>
      </c>
      <c r="Q18" s="2">
        <v>18.245000000000001</v>
      </c>
      <c r="R18" s="3" t="s">
        <v>42</v>
      </c>
      <c r="S18" s="3">
        <v>5</v>
      </c>
      <c r="T18" s="2">
        <v>7.5921000000000003</v>
      </c>
      <c r="V18" s="20">
        <f t="shared" si="17"/>
        <v>10.042499999999999</v>
      </c>
      <c r="W18" s="20">
        <f t="shared" si="3"/>
        <v>8.3267000000000007</v>
      </c>
      <c r="X18" s="20">
        <f t="shared" si="4"/>
        <v>1.7780310880828996</v>
      </c>
      <c r="Y18" s="20">
        <f t="shared" si="18"/>
        <v>6.2231088082901564E-2</v>
      </c>
      <c r="Z18" s="20">
        <f t="shared" si="5"/>
        <v>8.2644689119170991</v>
      </c>
      <c r="AA18" s="20">
        <f t="shared" si="6"/>
        <v>1.7363584844559565</v>
      </c>
      <c r="AB18" s="20">
        <f t="shared" si="7"/>
        <v>2.8032021658964665E-2</v>
      </c>
      <c r="AC18" s="20">
        <f>T18-VLOOKUP(M18, [1]Beakers!$A$2:$C$151, 3, 0)</f>
        <v>3.1444318385650201</v>
      </c>
      <c r="AD18" s="20">
        <f t="shared" si="8"/>
        <v>4.8527583013620124</v>
      </c>
      <c r="AE18" s="20">
        <f t="shared" si="9"/>
        <v>3.1163998169060556</v>
      </c>
      <c r="AF18" s="20">
        <f t="shared" si="10"/>
        <v>0.17705064357310429</v>
      </c>
      <c r="AG18" s="20">
        <f t="shared" si="11"/>
        <v>0.21514160280995623</v>
      </c>
      <c r="AH18" s="20">
        <f t="shared" si="12"/>
        <v>2.0694416198683117</v>
      </c>
      <c r="AI18" s="20">
        <f t="shared" si="13"/>
        <v>1.7030456492336594</v>
      </c>
      <c r="AJ18" s="20">
        <f t="shared" si="14"/>
        <v>2.6519283139099969</v>
      </c>
      <c r="AK18" s="20">
        <f t="shared" si="15"/>
        <v>0.35780856507290232</v>
      </c>
      <c r="AL18" s="20">
        <f t="shared" si="16"/>
        <v>0.55716807421064596</v>
      </c>
    </row>
    <row r="19" spans="1:38" ht="14.4" x14ac:dyDescent="0.3">
      <c r="A19" s="1">
        <v>501</v>
      </c>
      <c r="B19" s="2" t="s">
        <v>35</v>
      </c>
      <c r="C19" s="2" t="s">
        <v>36</v>
      </c>
      <c r="D19" s="2">
        <v>20</v>
      </c>
      <c r="E19" s="2" t="s">
        <v>37</v>
      </c>
      <c r="F19" s="2">
        <v>1</v>
      </c>
      <c r="G19" s="2">
        <v>38</v>
      </c>
      <c r="H19" s="2">
        <v>40</v>
      </c>
      <c r="I19" s="3" t="str">
        <f t="shared" si="0"/>
        <v>M0111-A-20-1</v>
      </c>
      <c r="J19" s="8" t="str">
        <f t="shared" si="1"/>
        <v>501-M0111A-20H-1,38-40</v>
      </c>
      <c r="K19" s="3">
        <f>VLOOKUP(I19, '[1]Depth vlookup'!$G$2:$I$997,2,FALSE())+(G19/100)</f>
        <v>46.580000000000005</v>
      </c>
      <c r="L19" s="18">
        <f t="shared" si="2"/>
        <v>46.600000000000009</v>
      </c>
      <c r="M19" s="2">
        <v>277</v>
      </c>
      <c r="N19" s="4">
        <f>VLOOKUP(M19,  [1]Beakers!$A$2:$B$151, 2, 0)</f>
        <v>9.8651999999999997</v>
      </c>
      <c r="O19" s="2">
        <v>21.796199999999999</v>
      </c>
      <c r="P19" s="6">
        <v>46038.892361111102</v>
      </c>
      <c r="Q19" s="2">
        <v>19.8553</v>
      </c>
      <c r="R19" s="3" t="s">
        <v>42</v>
      </c>
      <c r="S19" s="3">
        <v>1</v>
      </c>
      <c r="T19" s="2">
        <v>8.2136999999999993</v>
      </c>
      <c r="V19" s="20">
        <f t="shared" si="17"/>
        <v>11.930999999999999</v>
      </c>
      <c r="W19" s="20">
        <f t="shared" si="3"/>
        <v>9.9901</v>
      </c>
      <c r="X19" s="20">
        <f t="shared" si="4"/>
        <v>2.0112953367875641</v>
      </c>
      <c r="Y19" s="20">
        <f t="shared" si="18"/>
        <v>7.0395336787564933E-2</v>
      </c>
      <c r="Z19" s="20">
        <f t="shared" si="5"/>
        <v>9.9197046632124355</v>
      </c>
      <c r="AA19" s="20">
        <f t="shared" si="6"/>
        <v>1.9641556023316056</v>
      </c>
      <c r="AB19" s="20">
        <f t="shared" si="7"/>
        <v>3.1709611165569786E-2</v>
      </c>
      <c r="AC19" s="20">
        <f>T19-VLOOKUP(M19, [1]Beakers!$A$2:$C$151, 3, 0)</f>
        <v>3.7898434977578495</v>
      </c>
      <c r="AD19" s="20">
        <f t="shared" si="8"/>
        <v>5.7222894889238853</v>
      </c>
      <c r="AE19" s="20">
        <f t="shared" si="9"/>
        <v>3.7581338865922795</v>
      </c>
      <c r="AF19" s="20">
        <f t="shared" si="10"/>
        <v>0.16857726400029874</v>
      </c>
      <c r="AG19" s="20">
        <f t="shared" si="11"/>
        <v>0.20275758251619341</v>
      </c>
      <c r="AH19" s="20">
        <f t="shared" si="12"/>
        <v>2.0850046162630798</v>
      </c>
      <c r="AI19" s="20">
        <f t="shared" si="13"/>
        <v>1.733520242625457</v>
      </c>
      <c r="AJ19" s="20">
        <f t="shared" si="14"/>
        <v>2.6395293415709609</v>
      </c>
      <c r="AK19" s="20">
        <f t="shared" si="15"/>
        <v>0.34324645863049097</v>
      </c>
      <c r="AL19" s="20">
        <f t="shared" si="16"/>
        <v>0.5226411994897342</v>
      </c>
    </row>
    <row r="20" spans="1:38" ht="14.4" x14ac:dyDescent="0.3">
      <c r="A20" s="1">
        <v>501</v>
      </c>
      <c r="B20" s="2" t="s">
        <v>35</v>
      </c>
      <c r="C20" s="2" t="s">
        <v>36</v>
      </c>
      <c r="D20" s="2">
        <v>21</v>
      </c>
      <c r="E20" s="2" t="s">
        <v>37</v>
      </c>
      <c r="F20" s="2">
        <v>2</v>
      </c>
      <c r="G20" s="2">
        <v>31</v>
      </c>
      <c r="H20" s="2">
        <v>33</v>
      </c>
      <c r="I20" s="3" t="str">
        <f t="shared" si="0"/>
        <v>M0111-A-21-2</v>
      </c>
      <c r="J20" s="8" t="str">
        <f t="shared" si="1"/>
        <v>501-M0111A-21H-2,31-33</v>
      </c>
      <c r="K20" s="3">
        <f>VLOOKUP(I20, '[1]Depth vlookup'!$G$2:$I$997,2,FALSE())+(G20/100)</f>
        <v>49.080000000000005</v>
      </c>
      <c r="L20" s="18">
        <f t="shared" si="2"/>
        <v>49.100000000000009</v>
      </c>
      <c r="M20" s="2">
        <v>278</v>
      </c>
      <c r="N20" s="4">
        <f>VLOOKUP(M20,  [1]Beakers!$A$2:$B$151, 2, 0)</f>
        <v>10.157</v>
      </c>
      <c r="O20" s="2">
        <v>22.2896</v>
      </c>
      <c r="P20" s="6">
        <v>46038.892361111102</v>
      </c>
      <c r="Q20" s="2">
        <v>19.7608</v>
      </c>
      <c r="R20" s="3" t="s">
        <v>42</v>
      </c>
      <c r="S20" s="3">
        <v>2</v>
      </c>
      <c r="T20" s="2">
        <v>8.1577000000000002</v>
      </c>
      <c r="V20" s="20">
        <f t="shared" si="17"/>
        <v>12.1326</v>
      </c>
      <c r="W20" s="20">
        <f t="shared" si="3"/>
        <v>9.6037999999999997</v>
      </c>
      <c r="X20" s="20">
        <f t="shared" si="4"/>
        <v>2.6205181347150264</v>
      </c>
      <c r="Y20" s="20">
        <f t="shared" si="18"/>
        <v>9.171813471502599E-2</v>
      </c>
      <c r="Z20" s="20">
        <f t="shared" si="5"/>
        <v>9.5120818652849728</v>
      </c>
      <c r="AA20" s="20">
        <f t="shared" si="6"/>
        <v>2.559099740932643</v>
      </c>
      <c r="AB20" s="20">
        <f t="shared" si="7"/>
        <v>4.1314475096858552E-2</v>
      </c>
      <c r="AC20" s="20">
        <f>T20-VLOOKUP(M20, [1]Beakers!$A$2:$C$151, 3, 0)</f>
        <v>3.6029914798206306</v>
      </c>
      <c r="AD20" s="20">
        <f t="shared" si="8"/>
        <v>6.1207767456564151</v>
      </c>
      <c r="AE20" s="20">
        <f t="shared" si="9"/>
        <v>3.561677004723772</v>
      </c>
      <c r="AF20" s="20">
        <f t="shared" si="10"/>
        <v>0.21598982367464734</v>
      </c>
      <c r="AG20" s="20">
        <f t="shared" si="11"/>
        <v>0.27549364816537125</v>
      </c>
      <c r="AH20" s="20">
        <f t="shared" si="12"/>
        <v>1.982199401180553</v>
      </c>
      <c r="AI20" s="20">
        <f t="shared" si="13"/>
        <v>1.5540645020315738</v>
      </c>
      <c r="AJ20" s="20">
        <f t="shared" si="14"/>
        <v>2.6706750366945999</v>
      </c>
      <c r="AK20" s="20">
        <f t="shared" si="15"/>
        <v>0.41810048745017503</v>
      </c>
      <c r="AL20" s="20">
        <f t="shared" si="16"/>
        <v>0.71850977433904495</v>
      </c>
    </row>
    <row r="21" spans="1:38" ht="14.4" x14ac:dyDescent="0.3">
      <c r="A21" s="1">
        <v>501</v>
      </c>
      <c r="B21" s="2" t="s">
        <v>35</v>
      </c>
      <c r="C21" s="2" t="s">
        <v>36</v>
      </c>
      <c r="D21" s="2">
        <v>22</v>
      </c>
      <c r="E21" s="2" t="s">
        <v>37</v>
      </c>
      <c r="F21" s="2">
        <v>1</v>
      </c>
      <c r="G21" s="2">
        <v>15</v>
      </c>
      <c r="H21" s="2">
        <v>17</v>
      </c>
      <c r="I21" s="3" t="str">
        <f t="shared" si="0"/>
        <v>M0111-A-22-1</v>
      </c>
      <c r="J21" s="8" t="str">
        <f t="shared" si="1"/>
        <v>501-M0111A-22H-1,15-17</v>
      </c>
      <c r="K21" s="3">
        <f>VLOOKUP(I21, '[1]Depth vlookup'!$G$2:$I$997,2,FALSE())+(G21/100)</f>
        <v>51.05</v>
      </c>
      <c r="L21" s="18">
        <f t="shared" si="2"/>
        <v>51.07</v>
      </c>
      <c r="M21" s="2">
        <v>279</v>
      </c>
      <c r="N21" s="4">
        <f>VLOOKUP(M21,  [1]Beakers!$A$2:$B$151, 2, 0)</f>
        <v>9.9806000000000008</v>
      </c>
      <c r="O21" s="2">
        <v>19.815200000000001</v>
      </c>
      <c r="P21" s="6">
        <v>46038.892361111102</v>
      </c>
      <c r="Q21" s="2">
        <v>17.6066</v>
      </c>
      <c r="R21" s="3" t="s">
        <v>42</v>
      </c>
      <c r="S21" s="3">
        <v>3</v>
      </c>
      <c r="T21" s="2">
        <v>7.3446999999999996</v>
      </c>
      <c r="V21" s="20">
        <f t="shared" si="17"/>
        <v>9.8346</v>
      </c>
      <c r="W21" s="20">
        <f t="shared" si="3"/>
        <v>7.6259999999999994</v>
      </c>
      <c r="X21" s="20">
        <f t="shared" si="4"/>
        <v>2.2887046632124357</v>
      </c>
      <c r="Y21" s="20">
        <f t="shared" si="18"/>
        <v>8.0104663212435145E-2</v>
      </c>
      <c r="Z21" s="20">
        <f t="shared" si="5"/>
        <v>7.5458953367875647</v>
      </c>
      <c r="AA21" s="20">
        <f t="shared" si="6"/>
        <v>2.2350631476683942</v>
      </c>
      <c r="AB21" s="20">
        <f t="shared" si="7"/>
        <v>3.6083181627223036E-2</v>
      </c>
      <c r="AC21" s="20">
        <f>T21-VLOOKUP(M21, [1]Beakers!$A$2:$C$151, 3, 0)</f>
        <v>2.8690946188340796</v>
      </c>
      <c r="AD21" s="20">
        <f t="shared" si="8"/>
        <v>5.0680745848752506</v>
      </c>
      <c r="AE21" s="20">
        <f t="shared" si="9"/>
        <v>2.8330114372068564</v>
      </c>
      <c r="AF21" s="20">
        <f t="shared" si="10"/>
        <v>0.23271964932101313</v>
      </c>
      <c r="AG21" s="20">
        <f t="shared" si="11"/>
        <v>0.30330458627680651</v>
      </c>
      <c r="AH21" s="20">
        <f t="shared" si="12"/>
        <v>1.9405002502034165</v>
      </c>
      <c r="AI21" s="20">
        <f t="shared" si="13"/>
        <v>1.4889077124687393</v>
      </c>
      <c r="AJ21" s="20">
        <f t="shared" si="14"/>
        <v>2.663559785775969</v>
      </c>
      <c r="AK21" s="20">
        <f t="shared" si="15"/>
        <v>0.44100833763152081</v>
      </c>
      <c r="AL21" s="20">
        <f t="shared" si="16"/>
        <v>0.78893544809406213</v>
      </c>
    </row>
    <row r="22" spans="1:38" ht="14.4" x14ac:dyDescent="0.3">
      <c r="A22" s="1">
        <v>501</v>
      </c>
      <c r="B22" s="2" t="s">
        <v>35</v>
      </c>
      <c r="C22" s="2" t="s">
        <v>36</v>
      </c>
      <c r="D22" s="2">
        <v>23</v>
      </c>
      <c r="E22" s="2" t="s">
        <v>37</v>
      </c>
      <c r="F22" s="2">
        <v>1</v>
      </c>
      <c r="G22" s="2">
        <v>38</v>
      </c>
      <c r="H22" s="2">
        <v>40</v>
      </c>
      <c r="I22" s="3" t="str">
        <f t="shared" si="0"/>
        <v>M0111-A-23-1</v>
      </c>
      <c r="J22" s="8" t="str">
        <f t="shared" si="1"/>
        <v>501-M0111A-23H-1,38-40</v>
      </c>
      <c r="K22" s="3">
        <f>VLOOKUP(I22, '[1]Depth vlookup'!$G$2:$I$997,2,FALSE())+(G22/100)</f>
        <v>52.800000000000004</v>
      </c>
      <c r="L22" s="18">
        <f t="shared" si="2"/>
        <v>52.820000000000007</v>
      </c>
      <c r="M22" s="2">
        <v>200</v>
      </c>
      <c r="N22" s="4">
        <f>VLOOKUP(M22,  [1]Beakers!$A$2:$B$151, 2, 0)</f>
        <v>9.6303000000000001</v>
      </c>
      <c r="O22" s="2">
        <v>20.0214</v>
      </c>
      <c r="P22" s="6">
        <v>46039.495138888902</v>
      </c>
      <c r="Q22" s="2">
        <v>17.921900000000001</v>
      </c>
      <c r="R22" s="3" t="s">
        <v>42</v>
      </c>
      <c r="S22" s="3">
        <v>5</v>
      </c>
      <c r="T22" s="2">
        <v>7.4241000000000001</v>
      </c>
      <c r="V22" s="20">
        <f t="shared" si="17"/>
        <v>10.3911</v>
      </c>
      <c r="W22" s="20">
        <f t="shared" si="3"/>
        <v>8.2916000000000007</v>
      </c>
      <c r="X22" s="20">
        <f t="shared" si="4"/>
        <v>2.1756476683937813</v>
      </c>
      <c r="Y22" s="20">
        <f t="shared" si="18"/>
        <v>7.6147668393782286E-2</v>
      </c>
      <c r="Z22" s="20">
        <f t="shared" si="5"/>
        <v>8.2154523316062189</v>
      </c>
      <c r="AA22" s="20">
        <f t="shared" si="6"/>
        <v>2.124655926165802</v>
      </c>
      <c r="AB22" s="20">
        <f t="shared" si="7"/>
        <v>3.4300751528730758E-2</v>
      </c>
      <c r="AC22" s="20">
        <f>T22-VLOOKUP(M22, [1]Beakers!$A$2:$C$151, 3, 0)</f>
        <v>3.1055798206278</v>
      </c>
      <c r="AD22" s="20">
        <f t="shared" si="8"/>
        <v>5.1959349952648708</v>
      </c>
      <c r="AE22" s="20">
        <f t="shared" si="9"/>
        <v>3.0712790690990692</v>
      </c>
      <c r="AF22" s="20">
        <f t="shared" si="10"/>
        <v>0.20937606878903883</v>
      </c>
      <c r="AG22" s="20">
        <f t="shared" si="11"/>
        <v>0.26482384421168154</v>
      </c>
      <c r="AH22" s="20">
        <f t="shared" si="12"/>
        <v>1.9998518090525683</v>
      </c>
      <c r="AI22" s="20">
        <f t="shared" si="13"/>
        <v>1.581130699112494</v>
      </c>
      <c r="AJ22" s="20">
        <f t="shared" si="14"/>
        <v>2.6749286361711651</v>
      </c>
      <c r="AK22" s="20">
        <f t="shared" si="15"/>
        <v>0.40890733392585377</v>
      </c>
      <c r="AL22" s="20">
        <f t="shared" si="16"/>
        <v>0.69178211369410003</v>
      </c>
    </row>
    <row r="23" spans="1:38" ht="14.4" x14ac:dyDescent="0.3">
      <c r="A23" s="1">
        <v>501</v>
      </c>
      <c r="B23" s="2" t="s">
        <v>35</v>
      </c>
      <c r="C23" s="2" t="s">
        <v>36</v>
      </c>
      <c r="D23" s="2">
        <v>24</v>
      </c>
      <c r="E23" s="2" t="s">
        <v>37</v>
      </c>
      <c r="F23" s="2">
        <v>1</v>
      </c>
      <c r="G23" s="2">
        <v>38</v>
      </c>
      <c r="H23" s="2">
        <v>40</v>
      </c>
      <c r="I23" s="3" t="str">
        <f t="shared" si="0"/>
        <v>M0111-A-24-1</v>
      </c>
      <c r="J23" s="8" t="str">
        <f t="shared" si="1"/>
        <v>501-M0111A-24H-1,38-40</v>
      </c>
      <c r="K23" s="3">
        <f>VLOOKUP(I23, '[1]Depth vlookup'!$G$2:$I$997,2,FALSE())+(G23/100)</f>
        <v>55.300000000000004</v>
      </c>
      <c r="L23" s="18">
        <f t="shared" si="2"/>
        <v>55.320000000000007</v>
      </c>
      <c r="M23" s="2">
        <v>201</v>
      </c>
      <c r="N23" s="4">
        <f>VLOOKUP(M23,  [1]Beakers!$A$2:$B$151, 2, 0)</f>
        <v>9.7538</v>
      </c>
      <c r="O23" s="2">
        <v>20.223800000000001</v>
      </c>
      <c r="P23" s="6">
        <v>46039.495138888902</v>
      </c>
      <c r="Q23" s="2">
        <v>18.398299999999999</v>
      </c>
      <c r="R23" s="3" t="s">
        <v>42</v>
      </c>
      <c r="S23" s="3">
        <v>1</v>
      </c>
      <c r="T23" s="2">
        <v>7.6078000000000001</v>
      </c>
      <c r="V23" s="20">
        <f t="shared" si="17"/>
        <v>10.47</v>
      </c>
      <c r="W23" s="20">
        <f t="shared" si="3"/>
        <v>8.644499999999999</v>
      </c>
      <c r="X23" s="20">
        <f t="shared" si="4"/>
        <v>1.8917098445595872</v>
      </c>
      <c r="Y23" s="20">
        <f t="shared" si="18"/>
        <v>6.6209844559585562E-2</v>
      </c>
      <c r="Z23" s="20">
        <f t="shared" si="5"/>
        <v>8.5782901554404134</v>
      </c>
      <c r="AA23" s="20">
        <f t="shared" si="6"/>
        <v>1.847372895077722</v>
      </c>
      <c r="AB23" s="20">
        <f t="shared" si="7"/>
        <v>2.9824254306119621E-2</v>
      </c>
      <c r="AC23" s="20">
        <f>T23-VLOOKUP(M23, [1]Beakers!$A$2:$C$151, 3, 0)</f>
        <v>3.2338986547085202</v>
      </c>
      <c r="AD23" s="20">
        <f t="shared" si="8"/>
        <v>5.0514472954801226</v>
      </c>
      <c r="AE23" s="20">
        <f t="shared" si="9"/>
        <v>3.2040744004024004</v>
      </c>
      <c r="AF23" s="20">
        <f t="shared" si="10"/>
        <v>0.18067906824828911</v>
      </c>
      <c r="AG23" s="20">
        <f t="shared" si="11"/>
        <v>0.2205229492452935</v>
      </c>
      <c r="AH23" s="20">
        <f t="shared" si="12"/>
        <v>2.0726733127292509</v>
      </c>
      <c r="AI23" s="20">
        <f t="shared" si="13"/>
        <v>1.6981846298022349</v>
      </c>
      <c r="AJ23" s="20">
        <f t="shared" si="14"/>
        <v>2.6773067923650786</v>
      </c>
      <c r="AK23" s="20">
        <f t="shared" si="15"/>
        <v>0.36571160442091388</v>
      </c>
      <c r="AL23" s="20">
        <f t="shared" si="16"/>
        <v>0.5765699119988319</v>
      </c>
    </row>
    <row r="24" spans="1:38" ht="14.4" x14ac:dyDescent="0.3">
      <c r="A24" s="1">
        <v>501</v>
      </c>
      <c r="B24" s="2" t="s">
        <v>35</v>
      </c>
      <c r="C24" s="2" t="s">
        <v>36</v>
      </c>
      <c r="D24" s="2">
        <v>25</v>
      </c>
      <c r="E24" s="2" t="s">
        <v>37</v>
      </c>
      <c r="F24" s="2">
        <v>1</v>
      </c>
      <c r="G24" s="2">
        <v>38</v>
      </c>
      <c r="H24" s="2">
        <v>40</v>
      </c>
      <c r="I24" s="3" t="str">
        <f t="shared" si="0"/>
        <v>M0111-A-25-1</v>
      </c>
      <c r="J24" s="8" t="str">
        <f t="shared" si="1"/>
        <v>501-M0111A-25H-1,38-40</v>
      </c>
      <c r="K24" s="3">
        <f>VLOOKUP(I24, '[1]Depth vlookup'!$G$2:$I$997,2,FALSE())+(G24/100)</f>
        <v>57.04</v>
      </c>
      <c r="L24" s="18">
        <f t="shared" si="2"/>
        <v>57.06</v>
      </c>
      <c r="M24" s="2">
        <v>202</v>
      </c>
      <c r="N24" s="4">
        <f>VLOOKUP(M24,  [1]Beakers!$A$2:$B$151, 2, 0)</f>
        <v>9.9245000000000001</v>
      </c>
      <c r="O24" s="2">
        <v>19.9085</v>
      </c>
      <c r="P24" s="6">
        <v>46039.495138888902</v>
      </c>
      <c r="Q24" s="2">
        <v>17.906700000000001</v>
      </c>
      <c r="R24" s="3" t="s">
        <v>42</v>
      </c>
      <c r="S24" s="3">
        <v>2</v>
      </c>
      <c r="T24" s="2">
        <v>7.4650999999999996</v>
      </c>
      <c r="V24" s="20">
        <f t="shared" si="17"/>
        <v>9.984</v>
      </c>
      <c r="W24" s="20">
        <f t="shared" si="3"/>
        <v>7.9822000000000006</v>
      </c>
      <c r="X24" s="20">
        <f t="shared" si="4"/>
        <v>2.0744041450777195</v>
      </c>
      <c r="Y24" s="20">
        <f t="shared" si="18"/>
        <v>7.2604145077720172E-2</v>
      </c>
      <c r="Z24" s="20">
        <f t="shared" si="5"/>
        <v>7.90959585492228</v>
      </c>
      <c r="AA24" s="20">
        <f t="shared" si="6"/>
        <v>2.0257852979274604</v>
      </c>
      <c r="AB24" s="20">
        <f t="shared" si="7"/>
        <v>3.2704569854828905E-2</v>
      </c>
      <c r="AC24" s="20">
        <f>T24-VLOOKUP(M24, [1]Beakers!$A$2:$C$151, 3, 0)</f>
        <v>3.0146515695067295</v>
      </c>
      <c r="AD24" s="20">
        <f t="shared" si="8"/>
        <v>5.007732297579361</v>
      </c>
      <c r="AE24" s="20">
        <f t="shared" si="9"/>
        <v>2.9819469996519006</v>
      </c>
      <c r="AF24" s="20">
        <f t="shared" si="10"/>
        <v>0.20777285106948312</v>
      </c>
      <c r="AG24" s="20">
        <f t="shared" si="11"/>
        <v>0.26226423993417836</v>
      </c>
      <c r="AH24" s="20">
        <f t="shared" si="12"/>
        <v>1.9937167976862638</v>
      </c>
      <c r="AI24" s="20">
        <f t="shared" si="13"/>
        <v>1.5794765744058687</v>
      </c>
      <c r="AJ24" s="20">
        <f t="shared" si="14"/>
        <v>2.6524937753238444</v>
      </c>
      <c r="AK24" s="20">
        <f t="shared" si="15"/>
        <v>0.40453146804726065</v>
      </c>
      <c r="AL24" s="20">
        <f t="shared" si="16"/>
        <v>0.67934986710492895</v>
      </c>
    </row>
    <row r="25" spans="1:38" ht="14.4" x14ac:dyDescent="0.3">
      <c r="A25" s="1">
        <v>501</v>
      </c>
      <c r="B25" s="2" t="s">
        <v>35</v>
      </c>
      <c r="C25" s="2" t="s">
        <v>36</v>
      </c>
      <c r="D25" s="2">
        <v>26</v>
      </c>
      <c r="E25" s="2" t="s">
        <v>37</v>
      </c>
      <c r="F25" s="2">
        <v>1</v>
      </c>
      <c r="G25" s="2">
        <v>90</v>
      </c>
      <c r="H25" s="2">
        <v>92</v>
      </c>
      <c r="I25" s="3" t="str">
        <f t="shared" si="0"/>
        <v>M0111-A-26-1</v>
      </c>
      <c r="J25" s="8" t="str">
        <f t="shared" si="1"/>
        <v>501-M0111A-26H-1,90-92</v>
      </c>
      <c r="K25" s="3">
        <f>VLOOKUP(I25, '[1]Depth vlookup'!$G$2:$I$997,2,FALSE())+(G25/100)</f>
        <v>59.78</v>
      </c>
      <c r="L25" s="18">
        <f t="shared" si="2"/>
        <v>59.800000000000004</v>
      </c>
      <c r="M25" s="2">
        <v>203</v>
      </c>
      <c r="N25" s="4">
        <f>VLOOKUP(M25,  [1]Beakers!$A$2:$B$151, 2, 0)</f>
        <v>10.0562</v>
      </c>
      <c r="O25" s="2">
        <v>20.203199999999999</v>
      </c>
      <c r="P25" s="6">
        <v>46039.495138888902</v>
      </c>
      <c r="Q25" s="2">
        <v>18.275300000000001</v>
      </c>
      <c r="R25" s="3" t="s">
        <v>42</v>
      </c>
      <c r="S25" s="3">
        <v>3</v>
      </c>
      <c r="T25" s="2">
        <v>7.6215999999999999</v>
      </c>
      <c r="V25" s="20">
        <f t="shared" si="17"/>
        <v>10.146999999999998</v>
      </c>
      <c r="W25" s="20">
        <f t="shared" si="3"/>
        <v>8.219100000000001</v>
      </c>
      <c r="X25" s="20">
        <f t="shared" si="4"/>
        <v>1.9978238341968886</v>
      </c>
      <c r="Y25" s="20">
        <f t="shared" si="18"/>
        <v>6.9923834196891077E-2</v>
      </c>
      <c r="Z25" s="20">
        <f t="shared" si="5"/>
        <v>8.1491761658031105</v>
      </c>
      <c r="AA25" s="20">
        <f t="shared" si="6"/>
        <v>1.950999838082899</v>
      </c>
      <c r="AB25" s="20">
        <f t="shared" si="7"/>
        <v>3.1497222611212197E-2</v>
      </c>
      <c r="AC25" s="20">
        <f>T25-VLOOKUP(M25, [1]Beakers!$A$2:$C$151, 3, 0)</f>
        <v>3.1120932735425999</v>
      </c>
      <c r="AD25" s="20">
        <f t="shared" si="8"/>
        <v>5.0315958890142873</v>
      </c>
      <c r="AE25" s="20">
        <f t="shared" si="9"/>
        <v>3.0805960509313879</v>
      </c>
      <c r="AF25" s="20">
        <f t="shared" si="10"/>
        <v>0.1968881279389858</v>
      </c>
      <c r="AG25" s="20">
        <f t="shared" si="11"/>
        <v>0.24515654018874689</v>
      </c>
      <c r="AH25" s="20">
        <f t="shared" si="12"/>
        <v>2.0166563897061778</v>
      </c>
      <c r="AI25" s="20">
        <f t="shared" si="13"/>
        <v>1.6196006884407348</v>
      </c>
      <c r="AJ25" s="20">
        <f t="shared" si="14"/>
        <v>2.6453244862594976</v>
      </c>
      <c r="AK25" s="20">
        <f t="shared" si="15"/>
        <v>0.38774970826703431</v>
      </c>
      <c r="AL25" s="20">
        <f t="shared" si="16"/>
        <v>0.63331894407026634</v>
      </c>
    </row>
    <row r="26" spans="1:38" ht="14.4" x14ac:dyDescent="0.3">
      <c r="A26" s="1">
        <v>501</v>
      </c>
      <c r="B26" s="2" t="s">
        <v>35</v>
      </c>
      <c r="C26" s="2" t="s">
        <v>36</v>
      </c>
      <c r="D26" s="2">
        <v>27</v>
      </c>
      <c r="E26" s="2" t="s">
        <v>37</v>
      </c>
      <c r="F26" s="2">
        <v>1</v>
      </c>
      <c r="G26" s="2">
        <v>70</v>
      </c>
      <c r="H26" s="2">
        <v>72</v>
      </c>
      <c r="I26" s="3" t="str">
        <f t="shared" si="0"/>
        <v>M0111-A-27-1</v>
      </c>
      <c r="J26" s="8" t="str">
        <f t="shared" si="1"/>
        <v>501-M0111A-27H-1,70-72</v>
      </c>
      <c r="K26" s="3">
        <f>VLOOKUP(I26, '[1]Depth vlookup'!$G$2:$I$997,2,FALSE())+(G26/100)</f>
        <v>61.900000000000006</v>
      </c>
      <c r="L26" s="18">
        <f t="shared" si="2"/>
        <v>61.920000000000009</v>
      </c>
      <c r="M26" s="2">
        <v>204</v>
      </c>
      <c r="N26" s="4">
        <f>VLOOKUP(M26,  [1]Beakers!$A$2:$B$151, 2, 0)</f>
        <v>9.9425000000000008</v>
      </c>
      <c r="O26" s="2">
        <v>19.893999999999998</v>
      </c>
      <c r="P26" s="6">
        <v>46039.717361111099</v>
      </c>
      <c r="Q26" s="2">
        <v>18.434999999999999</v>
      </c>
      <c r="R26" s="3" t="s">
        <v>39</v>
      </c>
      <c r="S26" s="3">
        <v>1</v>
      </c>
      <c r="T26" s="2">
        <v>7.6314000000000002</v>
      </c>
      <c r="V26" s="20">
        <f t="shared" si="17"/>
        <v>9.9514999999999976</v>
      </c>
      <c r="W26" s="20">
        <f t="shared" si="3"/>
        <v>8.4924999999999979</v>
      </c>
      <c r="X26" s="20">
        <f t="shared" si="4"/>
        <v>1.5119170984455956</v>
      </c>
      <c r="Y26" s="20">
        <f t="shared" si="18"/>
        <v>5.2917098445596E-2</v>
      </c>
      <c r="Z26" s="20">
        <f t="shared" si="5"/>
        <v>8.4395829015544024</v>
      </c>
      <c r="AA26" s="20">
        <f t="shared" si="6"/>
        <v>1.476481541450777</v>
      </c>
      <c r="AB26" s="20">
        <f t="shared" si="7"/>
        <v>2.3836530831349546E-2</v>
      </c>
      <c r="AC26" s="20">
        <f>T26-VLOOKUP(M26, [1]Beakers!$A$2:$C$151, 3, 0)</f>
        <v>3.1728798206278004</v>
      </c>
      <c r="AD26" s="20">
        <f t="shared" si="8"/>
        <v>4.6255248312472279</v>
      </c>
      <c r="AE26" s="20">
        <f t="shared" si="9"/>
        <v>3.1490432897964507</v>
      </c>
      <c r="AF26" s="20">
        <f t="shared" si="10"/>
        <v>0.15192856337693775</v>
      </c>
      <c r="AG26" s="20">
        <f t="shared" si="11"/>
        <v>0.17914595023020993</v>
      </c>
      <c r="AH26" s="20">
        <f t="shared" si="12"/>
        <v>2.1514315376222233</v>
      </c>
      <c r="AI26" s="20">
        <f t="shared" si="13"/>
        <v>1.8245676349074427</v>
      </c>
      <c r="AJ26" s="20">
        <f t="shared" si="14"/>
        <v>2.6800466442936464</v>
      </c>
      <c r="AK26" s="20">
        <f t="shared" si="15"/>
        <v>0.31920302999490291</v>
      </c>
      <c r="AL26" s="20">
        <f t="shared" si="16"/>
        <v>0.46886670190749097</v>
      </c>
    </row>
    <row r="27" spans="1:38" s="26" customFormat="1" ht="14.4" x14ac:dyDescent="0.3">
      <c r="A27" s="24"/>
      <c r="B27" s="5"/>
      <c r="C27" s="5"/>
      <c r="D27" s="5"/>
      <c r="E27" s="5"/>
      <c r="F27" s="5"/>
      <c r="G27" s="5"/>
      <c r="H27" s="5"/>
      <c r="I27" s="25"/>
      <c r="K27" s="25"/>
      <c r="L27" s="27"/>
      <c r="M27" s="5"/>
      <c r="N27" s="28"/>
      <c r="O27" s="5"/>
      <c r="P27" s="29"/>
      <c r="Q27" s="5"/>
      <c r="R27" s="25"/>
      <c r="S27" s="25"/>
      <c r="T27" s="5"/>
      <c r="U27" s="25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</row>
    <row r="28" spans="1:38" s="26" customFormat="1" ht="14.4" x14ac:dyDescent="0.3">
      <c r="A28" s="24"/>
      <c r="B28" s="5"/>
      <c r="C28" s="5"/>
      <c r="D28" s="5"/>
      <c r="E28" s="5"/>
      <c r="F28" s="5"/>
      <c r="G28" s="5"/>
      <c r="H28" s="5"/>
      <c r="I28" s="25"/>
      <c r="K28" s="25"/>
      <c r="L28" s="27"/>
      <c r="M28" s="5"/>
      <c r="N28" s="28"/>
      <c r="O28" s="5"/>
      <c r="P28" s="29"/>
      <c r="Q28" s="5"/>
      <c r="R28" s="25"/>
      <c r="S28" s="25"/>
      <c r="T28" s="5"/>
      <c r="U28" s="25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spans="1:38" s="34" customFormat="1" ht="14.4" x14ac:dyDescent="0.3">
      <c r="A29" s="31"/>
      <c r="B29" s="32"/>
      <c r="C29" s="32"/>
      <c r="D29" s="32"/>
      <c r="E29" s="32"/>
      <c r="F29" s="32"/>
      <c r="G29" s="32"/>
      <c r="H29" s="32"/>
      <c r="I29" s="33"/>
      <c r="K29" s="33"/>
      <c r="L29" s="35"/>
      <c r="M29" s="32"/>
      <c r="N29" s="36"/>
      <c r="O29" s="32"/>
      <c r="P29" s="37"/>
      <c r="Q29" s="32"/>
      <c r="R29" s="3"/>
      <c r="S29" s="33"/>
      <c r="T29" s="32"/>
      <c r="U29" s="33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</row>
    <row r="30" spans="1:38" s="34" customFormat="1" ht="14.4" x14ac:dyDescent="0.3">
      <c r="A30" s="31"/>
      <c r="B30" s="32"/>
      <c r="C30" s="32"/>
      <c r="D30" s="32"/>
      <c r="E30" s="32"/>
      <c r="F30" s="32"/>
      <c r="G30" s="32"/>
      <c r="H30" s="32"/>
      <c r="I30" s="33"/>
      <c r="K30" s="33"/>
      <c r="L30" s="35"/>
      <c r="M30" s="32"/>
      <c r="N30" s="36"/>
      <c r="O30" s="32"/>
      <c r="P30" s="37"/>
      <c r="Q30" s="32"/>
      <c r="R30" s="3"/>
      <c r="S30" s="33"/>
      <c r="T30" s="32"/>
      <c r="U30" s="33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</row>
    <row r="31" spans="1:38" s="34" customFormat="1" ht="14.4" x14ac:dyDescent="0.3">
      <c r="A31" s="31"/>
      <c r="B31" s="32"/>
      <c r="C31" s="32"/>
      <c r="D31" s="32"/>
      <c r="E31" s="32"/>
      <c r="F31" s="32"/>
      <c r="G31" s="32"/>
      <c r="H31" s="32"/>
      <c r="I31" s="33"/>
      <c r="K31" s="33"/>
      <c r="L31" s="35"/>
      <c r="M31" s="32"/>
      <c r="N31" s="36"/>
      <c r="O31" s="32"/>
      <c r="P31" s="37"/>
      <c r="Q31" s="32"/>
      <c r="R31" s="3"/>
      <c r="S31" s="33"/>
      <c r="T31" s="32"/>
      <c r="U31" s="33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</row>
    <row r="32" spans="1:38" ht="14.4" x14ac:dyDescent="0.3">
      <c r="J32" s="8"/>
      <c r="L32" s="18"/>
      <c r="M32" s="2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0:38" ht="14.4" x14ac:dyDescent="0.3">
      <c r="J33" s="8"/>
      <c r="L33" s="18"/>
      <c r="M33" s="2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0:38" ht="14.4" x14ac:dyDescent="0.3">
      <c r="J34" s="8"/>
      <c r="L34" s="18"/>
      <c r="M34" s="2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0:38" ht="14.4" x14ac:dyDescent="0.3">
      <c r="J35" s="8"/>
      <c r="L35" s="18"/>
      <c r="M35" s="2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0:38" ht="14.4" x14ac:dyDescent="0.3">
      <c r="J36" s="8"/>
      <c r="L36" s="18"/>
      <c r="M36" s="2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0:38" ht="14.4" x14ac:dyDescent="0.3">
      <c r="J37" s="8"/>
      <c r="L37" s="18"/>
      <c r="M37" s="2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0:38" ht="14.4" x14ac:dyDescent="0.3">
      <c r="J38" s="8"/>
      <c r="L38" s="18"/>
      <c r="M38" s="2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0:38" ht="14.4" x14ac:dyDescent="0.3">
      <c r="J39" s="8"/>
      <c r="L39" s="18"/>
      <c r="M39" s="2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0:38" ht="14.4" x14ac:dyDescent="0.3">
      <c r="J40" s="8"/>
      <c r="L40" s="18"/>
      <c r="M40" s="2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0:38" ht="14.4" x14ac:dyDescent="0.3">
      <c r="J41" s="8"/>
      <c r="L41" s="18"/>
      <c r="M41" s="2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0:38" ht="14.4" x14ac:dyDescent="0.3">
      <c r="J42" s="8"/>
      <c r="L42" s="18"/>
      <c r="M42" s="2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0:38" ht="14.4" x14ac:dyDescent="0.3">
      <c r="J43" s="8"/>
      <c r="L43" s="18"/>
      <c r="M43" s="2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0:38" ht="14.4" x14ac:dyDescent="0.3">
      <c r="J44" s="8"/>
      <c r="L44" s="18"/>
      <c r="M44" s="2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0:38" ht="14.4" x14ac:dyDescent="0.3">
      <c r="J45" s="8"/>
      <c r="L45" s="18"/>
      <c r="M45" s="2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0:38" ht="14.4" x14ac:dyDescent="0.3">
      <c r="J46" s="8"/>
      <c r="L46" s="18"/>
      <c r="M46" s="2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0:38" ht="14.4" x14ac:dyDescent="0.3">
      <c r="J47" s="8"/>
      <c r="L47" s="18"/>
      <c r="M47" s="2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0:38" ht="14.4" x14ac:dyDescent="0.3">
      <c r="J48" s="8"/>
      <c r="L48" s="18"/>
      <c r="M48" s="2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4.4" x14ac:dyDescent="0.3">
      <c r="J49" s="8"/>
      <c r="L49" s="18"/>
      <c r="M49" s="2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4.4" x14ac:dyDescent="0.3">
      <c r="J50" s="8"/>
      <c r="L50" s="18"/>
      <c r="M50" s="2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4.4" x14ac:dyDescent="0.3">
      <c r="J51" s="8"/>
      <c r="L51" s="18"/>
      <c r="M51" s="2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4.4" x14ac:dyDescent="0.3">
      <c r="J52" s="8"/>
      <c r="L52" s="18"/>
      <c r="M52" s="2"/>
      <c r="O52" s="21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4.4" x14ac:dyDescent="0.3">
      <c r="J53" s="8"/>
      <c r="L53" s="18"/>
      <c r="M53" s="2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4.4" x14ac:dyDescent="0.3">
      <c r="J54" s="8"/>
      <c r="L54" s="18"/>
      <c r="M54" s="2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4.4" x14ac:dyDescent="0.3">
      <c r="J55" s="8"/>
      <c r="L55" s="18"/>
      <c r="M55" s="2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4.4" x14ac:dyDescent="0.3">
      <c r="A56" s="24"/>
      <c r="B56" s="5"/>
      <c r="C56" s="5"/>
      <c r="D56" s="5"/>
      <c r="E56" s="5"/>
      <c r="F56" s="5"/>
      <c r="J56" s="8"/>
      <c r="L56" s="18"/>
      <c r="M56" s="2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4.4" x14ac:dyDescent="0.3">
      <c r="A57" s="24"/>
      <c r="B57" s="5"/>
      <c r="C57" s="5"/>
      <c r="D57" s="5"/>
      <c r="E57" s="5"/>
      <c r="F57" s="5"/>
      <c r="J57" s="8"/>
      <c r="L57" s="18"/>
      <c r="M57" s="2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4.4" x14ac:dyDescent="0.3">
      <c r="A58" s="24"/>
      <c r="B58" s="5"/>
      <c r="C58" s="5"/>
      <c r="D58" s="5"/>
      <c r="E58" s="5"/>
      <c r="F58" s="5"/>
      <c r="J58" s="8"/>
      <c r="L58" s="18"/>
      <c r="M58" s="2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4.4" x14ac:dyDescent="0.3">
      <c r="A59" s="24"/>
      <c r="B59" s="5"/>
      <c r="C59" s="5"/>
      <c r="E59" s="5"/>
      <c r="J59" s="8"/>
      <c r="L59" s="18"/>
      <c r="M59" s="2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4.4" x14ac:dyDescent="0.3">
      <c r="A60" s="24"/>
      <c r="B60" s="5"/>
      <c r="C60" s="5"/>
      <c r="E60" s="5"/>
      <c r="J60" s="8"/>
      <c r="L60" s="18"/>
      <c r="M60" s="2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4.4" x14ac:dyDescent="0.3">
      <c r="A61" s="24"/>
      <c r="B61" s="5"/>
      <c r="C61" s="5"/>
      <c r="E61" s="5"/>
      <c r="J61" s="8"/>
      <c r="L61" s="18"/>
      <c r="M61" s="2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4.4" x14ac:dyDescent="0.3">
      <c r="A62" s="24"/>
      <c r="B62" s="5"/>
      <c r="C62" s="5"/>
      <c r="E62" s="5"/>
      <c r="J62" s="8"/>
      <c r="L62" s="18"/>
      <c r="M62" s="2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4.4" x14ac:dyDescent="0.3">
      <c r="A63" s="24"/>
      <c r="B63" s="5"/>
      <c r="C63" s="5"/>
      <c r="E63" s="5"/>
      <c r="J63" s="8"/>
      <c r="L63" s="18"/>
      <c r="M63" s="2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4.4" x14ac:dyDescent="0.3">
      <c r="A64" s="24"/>
      <c r="B64" s="5"/>
      <c r="C64" s="5"/>
      <c r="E64" s="5"/>
      <c r="J64" s="8"/>
      <c r="L64" s="18"/>
      <c r="M64" s="2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4.4" x14ac:dyDescent="0.3">
      <c r="A65" s="24"/>
      <c r="B65" s="5"/>
      <c r="C65" s="5"/>
      <c r="E65" s="5"/>
      <c r="J65" s="8"/>
      <c r="L65" s="18"/>
      <c r="M65" s="2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4.4" x14ac:dyDescent="0.3">
      <c r="A66" s="24"/>
      <c r="B66" s="5"/>
      <c r="C66" s="5"/>
      <c r="E66" s="5"/>
      <c r="J66" s="8"/>
      <c r="L66" s="18"/>
      <c r="M66" s="2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4.4" x14ac:dyDescent="0.3">
      <c r="A67" s="24"/>
      <c r="B67" s="5"/>
      <c r="C67" s="5"/>
      <c r="E67" s="5"/>
      <c r="J67" s="8"/>
      <c r="L67" s="18"/>
      <c r="M67" s="2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4.4" x14ac:dyDescent="0.3">
      <c r="I68" s="3" t="str">
        <f t="shared" ref="I68:I99" si="19">_xlfn.CONCAT(B68, "-", C68,"-", D68,"-", F68)</f>
        <v>---</v>
      </c>
      <c r="J68" s="8" t="str">
        <f t="shared" ref="J68:J99" si="20">_xlfn.CONCAT(A68, "-", I68, ",",G68, "-",H68)</f>
        <v>----,-</v>
      </c>
      <c r="K68" s="3" t="e">
        <f>VLOOKUP(I68, '[1]Depth vlookup'!$G$2:$I$997,2,FALSE())+(G68/100)</f>
        <v>#N/A</v>
      </c>
      <c r="L68" s="18" t="e">
        <f t="shared" ref="L68:L99" si="21">K68+2/100</f>
        <v>#N/A</v>
      </c>
      <c r="M68" s="2"/>
      <c r="N68" s="4" t="e">
        <f>VLOOKUP(M68,  [1]Beakers!$A$2:$B$151, 2, 0)</f>
        <v>#N/A</v>
      </c>
      <c r="V68" s="20" t="e">
        <f t="shared" ref="V68:V99" si="22">O68-N68</f>
        <v>#N/A</v>
      </c>
      <c r="W68" s="20" t="e">
        <f t="shared" ref="W68:W99" si="23">Q68-N68</f>
        <v>#N/A</v>
      </c>
      <c r="X68" s="20" t="e">
        <f t="shared" ref="X68:X99" si="24">(V68-W68)/(1-35/1000)</f>
        <v>#N/A</v>
      </c>
      <c r="Y68" s="20" t="e">
        <f t="shared" ref="Y68:Y99" si="25">X68-(V68-W68)</f>
        <v>#N/A</v>
      </c>
      <c r="Z68" s="20" t="e">
        <f t="shared" ref="Z68:Z99" si="26">W68-Y68</f>
        <v>#N/A</v>
      </c>
      <c r="AA68" s="20" t="e">
        <f t="shared" ref="AA68:AA99" si="27">X68/1.024</f>
        <v>#N/A</v>
      </c>
      <c r="AB68" s="20" t="e">
        <f t="shared" ref="AB68:AB99" si="28">Y68/2.22</f>
        <v>#N/A</v>
      </c>
      <c r="AC68" s="20" t="e">
        <f>T68-VLOOKUP(M68, [1]Beakers!$A$2:$C$151, 3, 0)</f>
        <v>#N/A</v>
      </c>
      <c r="AD68" s="20" t="e">
        <f t="shared" ref="AD68:AD99" si="29">AC68-AB68+AA68</f>
        <v>#N/A</v>
      </c>
      <c r="AE68" s="20" t="e">
        <f t="shared" ref="AE68:AE99" si="30">AC68-AB68</f>
        <v>#N/A</v>
      </c>
      <c r="AF68" s="20" t="e">
        <f t="shared" ref="AF68:AF99" si="31">X68/V68</f>
        <v>#N/A</v>
      </c>
      <c r="AG68" s="20" t="e">
        <f t="shared" ref="AG68:AG99" si="32">X68/Z68</f>
        <v>#N/A</v>
      </c>
      <c r="AH68" s="20" t="e">
        <f t="shared" ref="AH68:AH99" si="33">V68/AD68</f>
        <v>#N/A</v>
      </c>
      <c r="AI68" s="20" t="e">
        <f t="shared" ref="AI68:AI99" si="34">Z68/AD68</f>
        <v>#N/A</v>
      </c>
      <c r="AJ68" s="20" t="e">
        <f t="shared" ref="AJ68:AJ99" si="35">Z68/AE68</f>
        <v>#N/A</v>
      </c>
      <c r="AK68" s="20" t="e">
        <f t="shared" ref="AK68:AK99" si="36">AA68/AD68</f>
        <v>#N/A</v>
      </c>
      <c r="AL68" s="20" t="e">
        <f t="shared" ref="AL68:AL99" si="37">AA68/AE68</f>
        <v>#N/A</v>
      </c>
    </row>
    <row r="69" spans="1:38" ht="14.4" x14ac:dyDescent="0.3">
      <c r="I69" s="3" t="str">
        <f t="shared" si="19"/>
        <v>---</v>
      </c>
      <c r="J69" s="8" t="str">
        <f t="shared" si="20"/>
        <v>----,-</v>
      </c>
      <c r="K69" s="3" t="e">
        <f>VLOOKUP(I69, '[1]Depth vlookup'!$G$2:$I$997,2,FALSE())+(G69/100)</f>
        <v>#N/A</v>
      </c>
      <c r="L69" s="18" t="e">
        <f t="shared" si="21"/>
        <v>#N/A</v>
      </c>
      <c r="M69" s="2"/>
      <c r="N69" s="4" t="e">
        <f>VLOOKUP(M69,  [1]Beakers!$A$2:$B$151, 2, 0)</f>
        <v>#N/A</v>
      </c>
      <c r="V69" s="20" t="e">
        <f t="shared" si="22"/>
        <v>#N/A</v>
      </c>
      <c r="W69" s="20" t="e">
        <f t="shared" si="23"/>
        <v>#N/A</v>
      </c>
      <c r="X69" s="20" t="e">
        <f t="shared" si="24"/>
        <v>#N/A</v>
      </c>
      <c r="Y69" s="20" t="e">
        <f t="shared" si="25"/>
        <v>#N/A</v>
      </c>
      <c r="Z69" s="20" t="e">
        <f t="shared" si="26"/>
        <v>#N/A</v>
      </c>
      <c r="AA69" s="20" t="e">
        <f t="shared" si="27"/>
        <v>#N/A</v>
      </c>
      <c r="AB69" s="20" t="e">
        <f t="shared" si="28"/>
        <v>#N/A</v>
      </c>
      <c r="AC69" s="20" t="e">
        <f>T69-VLOOKUP(M69, [1]Beakers!$A$2:$C$151, 3, 0)</f>
        <v>#N/A</v>
      </c>
      <c r="AD69" s="20" t="e">
        <f t="shared" si="29"/>
        <v>#N/A</v>
      </c>
      <c r="AE69" s="20" t="e">
        <f t="shared" si="30"/>
        <v>#N/A</v>
      </c>
      <c r="AF69" s="20" t="e">
        <f t="shared" si="31"/>
        <v>#N/A</v>
      </c>
      <c r="AG69" s="20" t="e">
        <f t="shared" si="32"/>
        <v>#N/A</v>
      </c>
      <c r="AH69" s="20" t="e">
        <f t="shared" si="33"/>
        <v>#N/A</v>
      </c>
      <c r="AI69" s="20" t="e">
        <f t="shared" si="34"/>
        <v>#N/A</v>
      </c>
      <c r="AJ69" s="20" t="e">
        <f t="shared" si="35"/>
        <v>#N/A</v>
      </c>
      <c r="AK69" s="20" t="e">
        <f t="shared" si="36"/>
        <v>#N/A</v>
      </c>
      <c r="AL69" s="20" t="e">
        <f t="shared" si="37"/>
        <v>#N/A</v>
      </c>
    </row>
    <row r="70" spans="1:38" ht="14.4" x14ac:dyDescent="0.3">
      <c r="I70" s="3" t="str">
        <f t="shared" si="19"/>
        <v>---</v>
      </c>
      <c r="J70" s="8" t="str">
        <f t="shared" si="20"/>
        <v>----,-</v>
      </c>
      <c r="K70" s="3" t="e">
        <f>VLOOKUP(I70, '[1]Depth vlookup'!$G$2:$I$997,2,FALSE())+(G70/100)</f>
        <v>#N/A</v>
      </c>
      <c r="L70" s="18" t="e">
        <f t="shared" si="21"/>
        <v>#N/A</v>
      </c>
      <c r="M70" s="2"/>
      <c r="N70" s="4" t="e">
        <f>VLOOKUP(M70,  [1]Beakers!$A$2:$B$151, 2, 0)</f>
        <v>#N/A</v>
      </c>
      <c r="V70" s="20" t="e">
        <f t="shared" si="22"/>
        <v>#N/A</v>
      </c>
      <c r="W70" s="20" t="e">
        <f t="shared" si="23"/>
        <v>#N/A</v>
      </c>
      <c r="X70" s="20" t="e">
        <f t="shared" si="24"/>
        <v>#N/A</v>
      </c>
      <c r="Y70" s="20" t="e">
        <f t="shared" si="25"/>
        <v>#N/A</v>
      </c>
      <c r="Z70" s="20" t="e">
        <f t="shared" si="26"/>
        <v>#N/A</v>
      </c>
      <c r="AA70" s="20" t="e">
        <f t="shared" si="27"/>
        <v>#N/A</v>
      </c>
      <c r="AB70" s="20" t="e">
        <f t="shared" si="28"/>
        <v>#N/A</v>
      </c>
      <c r="AC70" s="20" t="e">
        <f>T70-VLOOKUP(M70, [1]Beakers!$A$2:$C$151, 3, 0)</f>
        <v>#N/A</v>
      </c>
      <c r="AD70" s="20" t="e">
        <f t="shared" si="29"/>
        <v>#N/A</v>
      </c>
      <c r="AE70" s="20" t="e">
        <f t="shared" si="30"/>
        <v>#N/A</v>
      </c>
      <c r="AF70" s="20" t="e">
        <f t="shared" si="31"/>
        <v>#N/A</v>
      </c>
      <c r="AG70" s="20" t="e">
        <f t="shared" si="32"/>
        <v>#N/A</v>
      </c>
      <c r="AH70" s="20" t="e">
        <f t="shared" si="33"/>
        <v>#N/A</v>
      </c>
      <c r="AI70" s="20" t="e">
        <f t="shared" si="34"/>
        <v>#N/A</v>
      </c>
      <c r="AJ70" s="20" t="e">
        <f t="shared" si="35"/>
        <v>#N/A</v>
      </c>
      <c r="AK70" s="20" t="e">
        <f t="shared" si="36"/>
        <v>#N/A</v>
      </c>
      <c r="AL70" s="20" t="e">
        <f t="shared" si="37"/>
        <v>#N/A</v>
      </c>
    </row>
    <row r="71" spans="1:38" ht="14.4" x14ac:dyDescent="0.3">
      <c r="I71" s="3" t="str">
        <f t="shared" si="19"/>
        <v>---</v>
      </c>
      <c r="J71" s="8" t="str">
        <f t="shared" si="20"/>
        <v>----,-</v>
      </c>
      <c r="K71" s="3" t="e">
        <f>VLOOKUP(I71, '[1]Depth vlookup'!$G$2:$I$997,2,FALSE())+(G71/100)</f>
        <v>#N/A</v>
      </c>
      <c r="L71" s="18" t="e">
        <f t="shared" si="21"/>
        <v>#N/A</v>
      </c>
      <c r="M71" s="2"/>
      <c r="N71" s="4" t="e">
        <f>VLOOKUP(M71,  [1]Beakers!$A$2:$B$151, 2, 0)</f>
        <v>#N/A</v>
      </c>
      <c r="V71" s="20" t="e">
        <f t="shared" si="22"/>
        <v>#N/A</v>
      </c>
      <c r="W71" s="20" t="e">
        <f t="shared" si="23"/>
        <v>#N/A</v>
      </c>
      <c r="X71" s="20" t="e">
        <f t="shared" si="24"/>
        <v>#N/A</v>
      </c>
      <c r="Y71" s="20" t="e">
        <f t="shared" si="25"/>
        <v>#N/A</v>
      </c>
      <c r="Z71" s="20" t="e">
        <f t="shared" si="26"/>
        <v>#N/A</v>
      </c>
      <c r="AA71" s="20" t="e">
        <f t="shared" si="27"/>
        <v>#N/A</v>
      </c>
      <c r="AB71" s="20" t="e">
        <f t="shared" si="28"/>
        <v>#N/A</v>
      </c>
      <c r="AC71" s="20" t="e">
        <f>T71-VLOOKUP(M71, [1]Beakers!$A$2:$C$151, 3, 0)</f>
        <v>#N/A</v>
      </c>
      <c r="AD71" s="20" t="e">
        <f t="shared" si="29"/>
        <v>#N/A</v>
      </c>
      <c r="AE71" s="20" t="e">
        <f t="shared" si="30"/>
        <v>#N/A</v>
      </c>
      <c r="AF71" s="20" t="e">
        <f t="shared" si="31"/>
        <v>#N/A</v>
      </c>
      <c r="AG71" s="20" t="e">
        <f t="shared" si="32"/>
        <v>#N/A</v>
      </c>
      <c r="AH71" s="20" t="e">
        <f t="shared" si="33"/>
        <v>#N/A</v>
      </c>
      <c r="AI71" s="20" t="e">
        <f t="shared" si="34"/>
        <v>#N/A</v>
      </c>
      <c r="AJ71" s="20" t="e">
        <f t="shared" si="35"/>
        <v>#N/A</v>
      </c>
      <c r="AK71" s="20" t="e">
        <f t="shared" si="36"/>
        <v>#N/A</v>
      </c>
      <c r="AL71" s="20" t="e">
        <f t="shared" si="37"/>
        <v>#N/A</v>
      </c>
    </row>
    <row r="72" spans="1:38" ht="14.4" x14ac:dyDescent="0.3">
      <c r="I72" s="3" t="str">
        <f t="shared" si="19"/>
        <v>---</v>
      </c>
      <c r="J72" s="8" t="str">
        <f t="shared" si="20"/>
        <v>----,-</v>
      </c>
      <c r="K72" s="3" t="e">
        <f>VLOOKUP(I72, '[1]Depth vlookup'!$G$2:$I$997,2,FALSE())+(G72/100)</f>
        <v>#N/A</v>
      </c>
      <c r="L72" s="18" t="e">
        <f t="shared" si="21"/>
        <v>#N/A</v>
      </c>
      <c r="M72" s="2"/>
      <c r="N72" s="4" t="e">
        <f>VLOOKUP(M72,  [1]Beakers!$A$2:$B$151, 2, 0)</f>
        <v>#N/A</v>
      </c>
      <c r="V72" s="20" t="e">
        <f t="shared" si="22"/>
        <v>#N/A</v>
      </c>
      <c r="W72" s="20" t="e">
        <f t="shared" si="23"/>
        <v>#N/A</v>
      </c>
      <c r="X72" s="20" t="e">
        <f t="shared" si="24"/>
        <v>#N/A</v>
      </c>
      <c r="Y72" s="20" t="e">
        <f t="shared" si="25"/>
        <v>#N/A</v>
      </c>
      <c r="Z72" s="20" t="e">
        <f t="shared" si="26"/>
        <v>#N/A</v>
      </c>
      <c r="AA72" s="20" t="e">
        <f t="shared" si="27"/>
        <v>#N/A</v>
      </c>
      <c r="AB72" s="20" t="e">
        <f t="shared" si="28"/>
        <v>#N/A</v>
      </c>
      <c r="AC72" s="20" t="e">
        <f>T72-VLOOKUP(M72, [1]Beakers!$A$2:$C$151, 3, 0)</f>
        <v>#N/A</v>
      </c>
      <c r="AD72" s="20" t="e">
        <f t="shared" si="29"/>
        <v>#N/A</v>
      </c>
      <c r="AE72" s="20" t="e">
        <f t="shared" si="30"/>
        <v>#N/A</v>
      </c>
      <c r="AF72" s="20" t="e">
        <f t="shared" si="31"/>
        <v>#N/A</v>
      </c>
      <c r="AG72" s="20" t="e">
        <f t="shared" si="32"/>
        <v>#N/A</v>
      </c>
      <c r="AH72" s="20" t="e">
        <f t="shared" si="33"/>
        <v>#N/A</v>
      </c>
      <c r="AI72" s="20" t="e">
        <f t="shared" si="34"/>
        <v>#N/A</v>
      </c>
      <c r="AJ72" s="20" t="e">
        <f t="shared" si="35"/>
        <v>#N/A</v>
      </c>
      <c r="AK72" s="20" t="e">
        <f t="shared" si="36"/>
        <v>#N/A</v>
      </c>
      <c r="AL72" s="20" t="e">
        <f t="shared" si="37"/>
        <v>#N/A</v>
      </c>
    </row>
    <row r="73" spans="1:38" ht="14.4" x14ac:dyDescent="0.3">
      <c r="I73" s="3" t="str">
        <f t="shared" si="19"/>
        <v>---</v>
      </c>
      <c r="J73" s="8" t="str">
        <f t="shared" si="20"/>
        <v>----,-</v>
      </c>
      <c r="K73" s="3" t="e">
        <f>VLOOKUP(I73, '[1]Depth vlookup'!$G$2:$I$997,2,FALSE())+(G73/100)</f>
        <v>#N/A</v>
      </c>
      <c r="L73" s="18" t="e">
        <f t="shared" si="21"/>
        <v>#N/A</v>
      </c>
      <c r="M73" s="2"/>
      <c r="N73" s="4" t="e">
        <f>VLOOKUP(M73,  [1]Beakers!$A$2:$B$151, 2, 0)</f>
        <v>#N/A</v>
      </c>
      <c r="V73" s="20" t="e">
        <f t="shared" si="22"/>
        <v>#N/A</v>
      </c>
      <c r="W73" s="20" t="e">
        <f t="shared" si="23"/>
        <v>#N/A</v>
      </c>
      <c r="X73" s="20" t="e">
        <f t="shared" si="24"/>
        <v>#N/A</v>
      </c>
      <c r="Y73" s="20" t="e">
        <f t="shared" si="25"/>
        <v>#N/A</v>
      </c>
      <c r="Z73" s="20" t="e">
        <f t="shared" si="26"/>
        <v>#N/A</v>
      </c>
      <c r="AA73" s="20" t="e">
        <f t="shared" si="27"/>
        <v>#N/A</v>
      </c>
      <c r="AB73" s="20" t="e">
        <f t="shared" si="28"/>
        <v>#N/A</v>
      </c>
      <c r="AC73" s="20" t="e">
        <f>T73-VLOOKUP(M73, [1]Beakers!$A$2:$C$151, 3, 0)</f>
        <v>#N/A</v>
      </c>
      <c r="AD73" s="20" t="e">
        <f t="shared" si="29"/>
        <v>#N/A</v>
      </c>
      <c r="AE73" s="20" t="e">
        <f t="shared" si="30"/>
        <v>#N/A</v>
      </c>
      <c r="AF73" s="20" t="e">
        <f t="shared" si="31"/>
        <v>#N/A</v>
      </c>
      <c r="AG73" s="20" t="e">
        <f t="shared" si="32"/>
        <v>#N/A</v>
      </c>
      <c r="AH73" s="20" t="e">
        <f t="shared" si="33"/>
        <v>#N/A</v>
      </c>
      <c r="AI73" s="20" t="e">
        <f t="shared" si="34"/>
        <v>#N/A</v>
      </c>
      <c r="AJ73" s="20" t="e">
        <f t="shared" si="35"/>
        <v>#N/A</v>
      </c>
      <c r="AK73" s="20" t="e">
        <f t="shared" si="36"/>
        <v>#N/A</v>
      </c>
      <c r="AL73" s="20" t="e">
        <f t="shared" si="37"/>
        <v>#N/A</v>
      </c>
    </row>
    <row r="74" spans="1:38" ht="14.4" x14ac:dyDescent="0.3">
      <c r="I74" s="3" t="str">
        <f t="shared" si="19"/>
        <v>---</v>
      </c>
      <c r="J74" s="8" t="str">
        <f t="shared" si="20"/>
        <v>----,-</v>
      </c>
      <c r="K74" s="3" t="e">
        <f>VLOOKUP(I74, '[1]Depth vlookup'!$G$2:$I$997,2,FALSE())+(G74/100)</f>
        <v>#N/A</v>
      </c>
      <c r="L74" s="18" t="e">
        <f t="shared" si="21"/>
        <v>#N/A</v>
      </c>
      <c r="M74" s="2"/>
      <c r="N74" s="4" t="e">
        <f>VLOOKUP(M74,  [1]Beakers!$A$2:$B$151, 2, 0)</f>
        <v>#N/A</v>
      </c>
      <c r="V74" s="20" t="e">
        <f t="shared" si="22"/>
        <v>#N/A</v>
      </c>
      <c r="W74" s="20" t="e">
        <f t="shared" si="23"/>
        <v>#N/A</v>
      </c>
      <c r="X74" s="20" t="e">
        <f t="shared" si="24"/>
        <v>#N/A</v>
      </c>
      <c r="Y74" s="20" t="e">
        <f t="shared" si="25"/>
        <v>#N/A</v>
      </c>
      <c r="Z74" s="20" t="e">
        <f t="shared" si="26"/>
        <v>#N/A</v>
      </c>
      <c r="AA74" s="20" t="e">
        <f t="shared" si="27"/>
        <v>#N/A</v>
      </c>
      <c r="AB74" s="20" t="e">
        <f t="shared" si="28"/>
        <v>#N/A</v>
      </c>
      <c r="AC74" s="20" t="e">
        <f>T74-VLOOKUP(M74, [1]Beakers!$A$2:$C$151, 3, 0)</f>
        <v>#N/A</v>
      </c>
      <c r="AD74" s="20" t="e">
        <f t="shared" si="29"/>
        <v>#N/A</v>
      </c>
      <c r="AE74" s="20" t="e">
        <f t="shared" si="30"/>
        <v>#N/A</v>
      </c>
      <c r="AF74" s="20" t="e">
        <f t="shared" si="31"/>
        <v>#N/A</v>
      </c>
      <c r="AG74" s="20" t="e">
        <f t="shared" si="32"/>
        <v>#N/A</v>
      </c>
      <c r="AH74" s="20" t="e">
        <f t="shared" si="33"/>
        <v>#N/A</v>
      </c>
      <c r="AI74" s="20" t="e">
        <f t="shared" si="34"/>
        <v>#N/A</v>
      </c>
      <c r="AJ74" s="20" t="e">
        <f t="shared" si="35"/>
        <v>#N/A</v>
      </c>
      <c r="AK74" s="20" t="e">
        <f t="shared" si="36"/>
        <v>#N/A</v>
      </c>
      <c r="AL74" s="20" t="e">
        <f t="shared" si="37"/>
        <v>#N/A</v>
      </c>
    </row>
    <row r="75" spans="1:38" ht="14.4" x14ac:dyDescent="0.3">
      <c r="I75" s="3" t="str">
        <f t="shared" si="19"/>
        <v>---</v>
      </c>
      <c r="J75" s="8" t="str">
        <f t="shared" si="20"/>
        <v>----,-</v>
      </c>
      <c r="K75" s="3" t="e">
        <f>VLOOKUP(I75, '[1]Depth vlookup'!$G$2:$I$997,2,FALSE())+(G75/100)</f>
        <v>#N/A</v>
      </c>
      <c r="L75" s="18" t="e">
        <f t="shared" si="21"/>
        <v>#N/A</v>
      </c>
      <c r="M75" s="2"/>
      <c r="N75" s="4" t="e">
        <f>VLOOKUP(M75,  [1]Beakers!$A$2:$B$151, 2, 0)</f>
        <v>#N/A</v>
      </c>
      <c r="V75" s="20" t="e">
        <f t="shared" si="22"/>
        <v>#N/A</v>
      </c>
      <c r="W75" s="20" t="e">
        <f t="shared" si="23"/>
        <v>#N/A</v>
      </c>
      <c r="X75" s="20" t="e">
        <f t="shared" si="24"/>
        <v>#N/A</v>
      </c>
      <c r="Y75" s="20" t="e">
        <f t="shared" si="25"/>
        <v>#N/A</v>
      </c>
      <c r="Z75" s="20" t="e">
        <f t="shared" si="26"/>
        <v>#N/A</v>
      </c>
      <c r="AA75" s="20" t="e">
        <f t="shared" si="27"/>
        <v>#N/A</v>
      </c>
      <c r="AB75" s="20" t="e">
        <f t="shared" si="28"/>
        <v>#N/A</v>
      </c>
      <c r="AC75" s="20" t="e">
        <f>T75-VLOOKUP(M75, [1]Beakers!$A$2:$C$151, 3, 0)</f>
        <v>#N/A</v>
      </c>
      <c r="AD75" s="20" t="e">
        <f t="shared" si="29"/>
        <v>#N/A</v>
      </c>
      <c r="AE75" s="20" t="e">
        <f t="shared" si="30"/>
        <v>#N/A</v>
      </c>
      <c r="AF75" s="20" t="e">
        <f t="shared" si="31"/>
        <v>#N/A</v>
      </c>
      <c r="AG75" s="20" t="e">
        <f t="shared" si="32"/>
        <v>#N/A</v>
      </c>
      <c r="AH75" s="20" t="e">
        <f t="shared" si="33"/>
        <v>#N/A</v>
      </c>
      <c r="AI75" s="20" t="e">
        <f t="shared" si="34"/>
        <v>#N/A</v>
      </c>
      <c r="AJ75" s="20" t="e">
        <f t="shared" si="35"/>
        <v>#N/A</v>
      </c>
      <c r="AK75" s="20" t="e">
        <f t="shared" si="36"/>
        <v>#N/A</v>
      </c>
      <c r="AL75" s="20" t="e">
        <f t="shared" si="37"/>
        <v>#N/A</v>
      </c>
    </row>
    <row r="76" spans="1:38" ht="14.4" x14ac:dyDescent="0.3">
      <c r="I76" s="3" t="str">
        <f t="shared" si="19"/>
        <v>---</v>
      </c>
      <c r="J76" s="8" t="str">
        <f t="shared" si="20"/>
        <v>----,-</v>
      </c>
      <c r="K76" s="3" t="e">
        <f>VLOOKUP(I76, '[1]Depth vlookup'!$G$2:$I$997,2,FALSE())+(G76/100)</f>
        <v>#N/A</v>
      </c>
      <c r="L76" s="18" t="e">
        <f t="shared" si="21"/>
        <v>#N/A</v>
      </c>
      <c r="M76" s="2"/>
      <c r="N76" s="4" t="e">
        <f>VLOOKUP(M76,  [1]Beakers!$A$2:$B$151, 2, 0)</f>
        <v>#N/A</v>
      </c>
      <c r="V76" s="20" t="e">
        <f t="shared" si="22"/>
        <v>#N/A</v>
      </c>
      <c r="W76" s="20" t="e">
        <f t="shared" si="23"/>
        <v>#N/A</v>
      </c>
      <c r="X76" s="20" t="e">
        <f t="shared" si="24"/>
        <v>#N/A</v>
      </c>
      <c r="Y76" s="20" t="e">
        <f t="shared" si="25"/>
        <v>#N/A</v>
      </c>
      <c r="Z76" s="20" t="e">
        <f t="shared" si="26"/>
        <v>#N/A</v>
      </c>
      <c r="AA76" s="20" t="e">
        <f t="shared" si="27"/>
        <v>#N/A</v>
      </c>
      <c r="AB76" s="20" t="e">
        <f t="shared" si="28"/>
        <v>#N/A</v>
      </c>
      <c r="AC76" s="20" t="e">
        <f>T76-VLOOKUP(M76, [1]Beakers!$A$2:$C$151, 3, 0)</f>
        <v>#N/A</v>
      </c>
      <c r="AD76" s="20" t="e">
        <f t="shared" si="29"/>
        <v>#N/A</v>
      </c>
      <c r="AE76" s="20" t="e">
        <f t="shared" si="30"/>
        <v>#N/A</v>
      </c>
      <c r="AF76" s="20" t="e">
        <f t="shared" si="31"/>
        <v>#N/A</v>
      </c>
      <c r="AG76" s="20" t="e">
        <f t="shared" si="32"/>
        <v>#N/A</v>
      </c>
      <c r="AH76" s="20" t="e">
        <f t="shared" si="33"/>
        <v>#N/A</v>
      </c>
      <c r="AI76" s="20" t="e">
        <f t="shared" si="34"/>
        <v>#N/A</v>
      </c>
      <c r="AJ76" s="20" t="e">
        <f t="shared" si="35"/>
        <v>#N/A</v>
      </c>
      <c r="AK76" s="20" t="e">
        <f t="shared" si="36"/>
        <v>#N/A</v>
      </c>
      <c r="AL76" s="20" t="e">
        <f t="shared" si="37"/>
        <v>#N/A</v>
      </c>
    </row>
    <row r="77" spans="1:38" ht="14.4" x14ac:dyDescent="0.3">
      <c r="I77" s="3" t="str">
        <f t="shared" si="19"/>
        <v>---</v>
      </c>
      <c r="J77" s="8" t="str">
        <f t="shared" si="20"/>
        <v>----,-</v>
      </c>
      <c r="K77" s="3" t="e">
        <f>VLOOKUP(I77, '[1]Depth vlookup'!$G$2:$I$997,2,FALSE())+(G77/100)</f>
        <v>#N/A</v>
      </c>
      <c r="L77" s="18" t="e">
        <f t="shared" si="21"/>
        <v>#N/A</v>
      </c>
      <c r="M77" s="2"/>
      <c r="N77" s="4" t="e">
        <f>VLOOKUP(M77,  [1]Beakers!$A$2:$B$151, 2, 0)</f>
        <v>#N/A</v>
      </c>
      <c r="V77" s="20" t="e">
        <f t="shared" si="22"/>
        <v>#N/A</v>
      </c>
      <c r="W77" s="20" t="e">
        <f t="shared" si="23"/>
        <v>#N/A</v>
      </c>
      <c r="X77" s="20" t="e">
        <f t="shared" si="24"/>
        <v>#N/A</v>
      </c>
      <c r="Y77" s="20" t="e">
        <f t="shared" si="25"/>
        <v>#N/A</v>
      </c>
      <c r="Z77" s="20" t="e">
        <f t="shared" si="26"/>
        <v>#N/A</v>
      </c>
      <c r="AA77" s="20" t="e">
        <f t="shared" si="27"/>
        <v>#N/A</v>
      </c>
      <c r="AB77" s="20" t="e">
        <f t="shared" si="28"/>
        <v>#N/A</v>
      </c>
      <c r="AC77" s="20" t="e">
        <f>T77-VLOOKUP(M77, [1]Beakers!$A$2:$C$151, 3, 0)</f>
        <v>#N/A</v>
      </c>
      <c r="AD77" s="20" t="e">
        <f t="shared" si="29"/>
        <v>#N/A</v>
      </c>
      <c r="AE77" s="20" t="e">
        <f t="shared" si="30"/>
        <v>#N/A</v>
      </c>
      <c r="AF77" s="20" t="e">
        <f t="shared" si="31"/>
        <v>#N/A</v>
      </c>
      <c r="AG77" s="20" t="e">
        <f t="shared" si="32"/>
        <v>#N/A</v>
      </c>
      <c r="AH77" s="20" t="e">
        <f t="shared" si="33"/>
        <v>#N/A</v>
      </c>
      <c r="AI77" s="20" t="e">
        <f t="shared" si="34"/>
        <v>#N/A</v>
      </c>
      <c r="AJ77" s="20" t="e">
        <f t="shared" si="35"/>
        <v>#N/A</v>
      </c>
      <c r="AK77" s="20" t="e">
        <f t="shared" si="36"/>
        <v>#N/A</v>
      </c>
      <c r="AL77" s="20" t="e">
        <f t="shared" si="37"/>
        <v>#N/A</v>
      </c>
    </row>
    <row r="78" spans="1:38" ht="14.4" x14ac:dyDescent="0.3">
      <c r="I78" s="3" t="str">
        <f t="shared" si="19"/>
        <v>---</v>
      </c>
      <c r="J78" s="8" t="str">
        <f t="shared" si="20"/>
        <v>----,-</v>
      </c>
      <c r="K78" s="3" t="e">
        <f>VLOOKUP(I78, '[1]Depth vlookup'!$G$2:$I$997,2,FALSE())+(G78/100)</f>
        <v>#N/A</v>
      </c>
      <c r="L78" s="18" t="e">
        <f t="shared" si="21"/>
        <v>#N/A</v>
      </c>
      <c r="M78" s="2"/>
      <c r="N78" s="4" t="e">
        <f>VLOOKUP(M78,  [1]Beakers!$A$2:$B$151, 2, 0)</f>
        <v>#N/A</v>
      </c>
      <c r="V78" s="20" t="e">
        <f t="shared" si="22"/>
        <v>#N/A</v>
      </c>
      <c r="W78" s="20" t="e">
        <f t="shared" si="23"/>
        <v>#N/A</v>
      </c>
      <c r="X78" s="20" t="e">
        <f t="shared" si="24"/>
        <v>#N/A</v>
      </c>
      <c r="Y78" s="20" t="e">
        <f t="shared" si="25"/>
        <v>#N/A</v>
      </c>
      <c r="Z78" s="20" t="e">
        <f t="shared" si="26"/>
        <v>#N/A</v>
      </c>
      <c r="AA78" s="20" t="e">
        <f t="shared" si="27"/>
        <v>#N/A</v>
      </c>
      <c r="AB78" s="20" t="e">
        <f t="shared" si="28"/>
        <v>#N/A</v>
      </c>
      <c r="AC78" s="20" t="e">
        <f>T78-VLOOKUP(M78, [1]Beakers!$A$2:$C$151, 3, 0)</f>
        <v>#N/A</v>
      </c>
      <c r="AD78" s="20" t="e">
        <f t="shared" si="29"/>
        <v>#N/A</v>
      </c>
      <c r="AE78" s="20" t="e">
        <f t="shared" si="30"/>
        <v>#N/A</v>
      </c>
      <c r="AF78" s="20" t="e">
        <f t="shared" si="31"/>
        <v>#N/A</v>
      </c>
      <c r="AG78" s="20" t="e">
        <f t="shared" si="32"/>
        <v>#N/A</v>
      </c>
      <c r="AH78" s="20" t="e">
        <f t="shared" si="33"/>
        <v>#N/A</v>
      </c>
      <c r="AI78" s="20" t="e">
        <f t="shared" si="34"/>
        <v>#N/A</v>
      </c>
      <c r="AJ78" s="20" t="e">
        <f t="shared" si="35"/>
        <v>#N/A</v>
      </c>
      <c r="AK78" s="20" t="e">
        <f t="shared" si="36"/>
        <v>#N/A</v>
      </c>
      <c r="AL78" s="20" t="e">
        <f t="shared" si="37"/>
        <v>#N/A</v>
      </c>
    </row>
    <row r="79" spans="1:38" ht="14.4" x14ac:dyDescent="0.3">
      <c r="I79" s="3" t="str">
        <f t="shared" si="19"/>
        <v>---</v>
      </c>
      <c r="J79" s="8" t="str">
        <f t="shared" si="20"/>
        <v>----,-</v>
      </c>
      <c r="K79" s="3" t="e">
        <f>VLOOKUP(I79, '[1]Depth vlookup'!$G$2:$I$997,2,FALSE())+(G79/100)</f>
        <v>#N/A</v>
      </c>
      <c r="L79" s="18" t="e">
        <f t="shared" si="21"/>
        <v>#N/A</v>
      </c>
      <c r="M79" s="2"/>
      <c r="N79" s="4" t="e">
        <f>VLOOKUP(M79,  [1]Beakers!$A$2:$B$151, 2, 0)</f>
        <v>#N/A</v>
      </c>
      <c r="V79" s="20" t="e">
        <f t="shared" si="22"/>
        <v>#N/A</v>
      </c>
      <c r="W79" s="20" t="e">
        <f t="shared" si="23"/>
        <v>#N/A</v>
      </c>
      <c r="X79" s="20" t="e">
        <f t="shared" si="24"/>
        <v>#N/A</v>
      </c>
      <c r="Y79" s="20" t="e">
        <f t="shared" si="25"/>
        <v>#N/A</v>
      </c>
      <c r="Z79" s="20" t="e">
        <f t="shared" si="26"/>
        <v>#N/A</v>
      </c>
      <c r="AA79" s="20" t="e">
        <f t="shared" si="27"/>
        <v>#N/A</v>
      </c>
      <c r="AB79" s="20" t="e">
        <f t="shared" si="28"/>
        <v>#N/A</v>
      </c>
      <c r="AC79" s="20" t="e">
        <f>T79-VLOOKUP(M79, [1]Beakers!$A$2:$C$151, 3, 0)</f>
        <v>#N/A</v>
      </c>
      <c r="AD79" s="20" t="e">
        <f t="shared" si="29"/>
        <v>#N/A</v>
      </c>
      <c r="AE79" s="20" t="e">
        <f t="shared" si="30"/>
        <v>#N/A</v>
      </c>
      <c r="AF79" s="20" t="e">
        <f t="shared" si="31"/>
        <v>#N/A</v>
      </c>
      <c r="AG79" s="20" t="e">
        <f t="shared" si="32"/>
        <v>#N/A</v>
      </c>
      <c r="AH79" s="20" t="e">
        <f t="shared" si="33"/>
        <v>#N/A</v>
      </c>
      <c r="AI79" s="20" t="e">
        <f t="shared" si="34"/>
        <v>#N/A</v>
      </c>
      <c r="AJ79" s="20" t="e">
        <f t="shared" si="35"/>
        <v>#N/A</v>
      </c>
      <c r="AK79" s="20" t="e">
        <f t="shared" si="36"/>
        <v>#N/A</v>
      </c>
      <c r="AL79" s="20" t="e">
        <f t="shared" si="37"/>
        <v>#N/A</v>
      </c>
    </row>
    <row r="80" spans="1:38" ht="14.4" x14ac:dyDescent="0.3">
      <c r="I80" s="3" t="str">
        <f t="shared" si="19"/>
        <v>---</v>
      </c>
      <c r="J80" s="8" t="str">
        <f t="shared" si="20"/>
        <v>----,-</v>
      </c>
      <c r="K80" s="3" t="e">
        <f>VLOOKUP(I80, '[1]Depth vlookup'!$G$2:$I$997,2,FALSE())+(G80/100)</f>
        <v>#N/A</v>
      </c>
      <c r="L80" s="18" t="e">
        <f t="shared" si="21"/>
        <v>#N/A</v>
      </c>
      <c r="M80" s="2"/>
      <c r="N80" s="4" t="e">
        <f>VLOOKUP(M80,  [1]Beakers!$A$2:$B$151, 2, 0)</f>
        <v>#N/A</v>
      </c>
      <c r="V80" s="20" t="e">
        <f t="shared" si="22"/>
        <v>#N/A</v>
      </c>
      <c r="W80" s="20" t="e">
        <f t="shared" si="23"/>
        <v>#N/A</v>
      </c>
      <c r="X80" s="20" t="e">
        <f t="shared" si="24"/>
        <v>#N/A</v>
      </c>
      <c r="Y80" s="20" t="e">
        <f t="shared" si="25"/>
        <v>#N/A</v>
      </c>
      <c r="Z80" s="20" t="e">
        <f t="shared" si="26"/>
        <v>#N/A</v>
      </c>
      <c r="AA80" s="20" t="e">
        <f t="shared" si="27"/>
        <v>#N/A</v>
      </c>
      <c r="AB80" s="20" t="e">
        <f t="shared" si="28"/>
        <v>#N/A</v>
      </c>
      <c r="AC80" s="20" t="e">
        <f>T80-VLOOKUP(M80, [1]Beakers!$A$2:$C$151, 3, 0)</f>
        <v>#N/A</v>
      </c>
      <c r="AD80" s="20" t="e">
        <f t="shared" si="29"/>
        <v>#N/A</v>
      </c>
      <c r="AE80" s="20" t="e">
        <f t="shared" si="30"/>
        <v>#N/A</v>
      </c>
      <c r="AF80" s="20" t="e">
        <f t="shared" si="31"/>
        <v>#N/A</v>
      </c>
      <c r="AG80" s="20" t="e">
        <f t="shared" si="32"/>
        <v>#N/A</v>
      </c>
      <c r="AH80" s="20" t="e">
        <f t="shared" si="33"/>
        <v>#N/A</v>
      </c>
      <c r="AI80" s="20" t="e">
        <f t="shared" si="34"/>
        <v>#N/A</v>
      </c>
      <c r="AJ80" s="20" t="e">
        <f t="shared" si="35"/>
        <v>#N/A</v>
      </c>
      <c r="AK80" s="20" t="e">
        <f t="shared" si="36"/>
        <v>#N/A</v>
      </c>
      <c r="AL80" s="20" t="e">
        <f t="shared" si="37"/>
        <v>#N/A</v>
      </c>
    </row>
    <row r="81" spans="7:38" ht="14.4" x14ac:dyDescent="0.3">
      <c r="I81" s="3" t="str">
        <f t="shared" si="19"/>
        <v>---</v>
      </c>
      <c r="J81" s="8" t="str">
        <f t="shared" si="20"/>
        <v>----,-</v>
      </c>
      <c r="K81" s="3" t="e">
        <f>VLOOKUP(I81, '[1]Depth vlookup'!$G$2:$I$997,2,FALSE())+(G81/100)</f>
        <v>#N/A</v>
      </c>
      <c r="L81" s="18" t="e">
        <f t="shared" si="21"/>
        <v>#N/A</v>
      </c>
      <c r="M81" s="2"/>
      <c r="N81" s="4" t="e">
        <f>VLOOKUP(M81,  [1]Beakers!$A$2:$B$151, 2, 0)</f>
        <v>#N/A</v>
      </c>
      <c r="V81" s="20" t="e">
        <f t="shared" si="22"/>
        <v>#N/A</v>
      </c>
      <c r="W81" s="20" t="e">
        <f t="shared" si="23"/>
        <v>#N/A</v>
      </c>
      <c r="X81" s="20" t="e">
        <f t="shared" si="24"/>
        <v>#N/A</v>
      </c>
      <c r="Y81" s="20" t="e">
        <f t="shared" si="25"/>
        <v>#N/A</v>
      </c>
      <c r="Z81" s="20" t="e">
        <f t="shared" si="26"/>
        <v>#N/A</v>
      </c>
      <c r="AA81" s="20" t="e">
        <f t="shared" si="27"/>
        <v>#N/A</v>
      </c>
      <c r="AB81" s="20" t="e">
        <f t="shared" si="28"/>
        <v>#N/A</v>
      </c>
      <c r="AC81" s="20" t="e">
        <f>T81-VLOOKUP(M81, [1]Beakers!$A$2:$C$151, 3, 0)</f>
        <v>#N/A</v>
      </c>
      <c r="AD81" s="20" t="e">
        <f t="shared" si="29"/>
        <v>#N/A</v>
      </c>
      <c r="AE81" s="20" t="e">
        <f t="shared" si="30"/>
        <v>#N/A</v>
      </c>
      <c r="AF81" s="20" t="e">
        <f t="shared" si="31"/>
        <v>#N/A</v>
      </c>
      <c r="AG81" s="20" t="e">
        <f t="shared" si="32"/>
        <v>#N/A</v>
      </c>
      <c r="AH81" s="20" t="e">
        <f t="shared" si="33"/>
        <v>#N/A</v>
      </c>
      <c r="AI81" s="20" t="e">
        <f t="shared" si="34"/>
        <v>#N/A</v>
      </c>
      <c r="AJ81" s="20" t="e">
        <f t="shared" si="35"/>
        <v>#N/A</v>
      </c>
      <c r="AK81" s="20" t="e">
        <f t="shared" si="36"/>
        <v>#N/A</v>
      </c>
      <c r="AL81" s="20" t="e">
        <f t="shared" si="37"/>
        <v>#N/A</v>
      </c>
    </row>
    <row r="82" spans="7:38" ht="14.4" x14ac:dyDescent="0.3">
      <c r="I82" s="3" t="str">
        <f t="shared" si="19"/>
        <v>---</v>
      </c>
      <c r="J82" s="8" t="str">
        <f t="shared" si="20"/>
        <v>----,-</v>
      </c>
      <c r="K82" s="3" t="e">
        <f>VLOOKUP(I82, '[1]Depth vlookup'!$G$2:$I$997,2,FALSE())+(G82/100)</f>
        <v>#N/A</v>
      </c>
      <c r="L82" s="18" t="e">
        <f t="shared" si="21"/>
        <v>#N/A</v>
      </c>
      <c r="M82" s="2"/>
      <c r="N82" s="4" t="e">
        <f>VLOOKUP(M82,  [1]Beakers!$A$2:$B$151, 2, 0)</f>
        <v>#N/A</v>
      </c>
      <c r="V82" s="20" t="e">
        <f t="shared" si="22"/>
        <v>#N/A</v>
      </c>
      <c r="W82" s="20" t="e">
        <f t="shared" si="23"/>
        <v>#N/A</v>
      </c>
      <c r="X82" s="20" t="e">
        <f t="shared" si="24"/>
        <v>#N/A</v>
      </c>
      <c r="Y82" s="20" t="e">
        <f t="shared" si="25"/>
        <v>#N/A</v>
      </c>
      <c r="Z82" s="20" t="e">
        <f t="shared" si="26"/>
        <v>#N/A</v>
      </c>
      <c r="AA82" s="20" t="e">
        <f t="shared" si="27"/>
        <v>#N/A</v>
      </c>
      <c r="AB82" s="20" t="e">
        <f t="shared" si="28"/>
        <v>#N/A</v>
      </c>
      <c r="AC82" s="20" t="e">
        <f>T82-VLOOKUP(M82, [1]Beakers!$A$2:$C$151, 3, 0)</f>
        <v>#N/A</v>
      </c>
      <c r="AD82" s="20" t="e">
        <f t="shared" si="29"/>
        <v>#N/A</v>
      </c>
      <c r="AE82" s="20" t="e">
        <f t="shared" si="30"/>
        <v>#N/A</v>
      </c>
      <c r="AF82" s="20" t="e">
        <f t="shared" si="31"/>
        <v>#N/A</v>
      </c>
      <c r="AG82" s="20" t="e">
        <f t="shared" si="32"/>
        <v>#N/A</v>
      </c>
      <c r="AH82" s="20" t="e">
        <f t="shared" si="33"/>
        <v>#N/A</v>
      </c>
      <c r="AI82" s="20" t="e">
        <f t="shared" si="34"/>
        <v>#N/A</v>
      </c>
      <c r="AJ82" s="20" t="e">
        <f t="shared" si="35"/>
        <v>#N/A</v>
      </c>
      <c r="AK82" s="20" t="e">
        <f t="shared" si="36"/>
        <v>#N/A</v>
      </c>
      <c r="AL82" s="20" t="e">
        <f t="shared" si="37"/>
        <v>#N/A</v>
      </c>
    </row>
    <row r="83" spans="7:38" ht="14.4" x14ac:dyDescent="0.3">
      <c r="I83" s="3" t="str">
        <f t="shared" si="19"/>
        <v>---</v>
      </c>
      <c r="J83" s="8" t="str">
        <f t="shared" si="20"/>
        <v>----,-</v>
      </c>
      <c r="K83" s="3" t="e">
        <f>VLOOKUP(I83, '[1]Depth vlookup'!$G$2:$I$997,2,FALSE())+(G83/100)</f>
        <v>#N/A</v>
      </c>
      <c r="L83" s="18" t="e">
        <f t="shared" si="21"/>
        <v>#N/A</v>
      </c>
      <c r="M83" s="2"/>
      <c r="N83" s="4" t="e">
        <f>VLOOKUP(M83,  [1]Beakers!$A$2:$B$151, 2, 0)</f>
        <v>#N/A</v>
      </c>
      <c r="V83" s="20" t="e">
        <f t="shared" si="22"/>
        <v>#N/A</v>
      </c>
      <c r="W83" s="20" t="e">
        <f t="shared" si="23"/>
        <v>#N/A</v>
      </c>
      <c r="X83" s="20" t="e">
        <f t="shared" si="24"/>
        <v>#N/A</v>
      </c>
      <c r="Y83" s="20" t="e">
        <f t="shared" si="25"/>
        <v>#N/A</v>
      </c>
      <c r="Z83" s="20" t="e">
        <f t="shared" si="26"/>
        <v>#N/A</v>
      </c>
      <c r="AA83" s="20" t="e">
        <f t="shared" si="27"/>
        <v>#N/A</v>
      </c>
      <c r="AB83" s="20" t="e">
        <f t="shared" si="28"/>
        <v>#N/A</v>
      </c>
      <c r="AC83" s="20" t="e">
        <f>T83-VLOOKUP(M83, [1]Beakers!$A$2:$C$151, 3, 0)</f>
        <v>#N/A</v>
      </c>
      <c r="AD83" s="20" t="e">
        <f t="shared" si="29"/>
        <v>#N/A</v>
      </c>
      <c r="AE83" s="20" t="e">
        <f t="shared" si="30"/>
        <v>#N/A</v>
      </c>
      <c r="AF83" s="20" t="e">
        <f t="shared" si="31"/>
        <v>#N/A</v>
      </c>
      <c r="AG83" s="20" t="e">
        <f t="shared" si="32"/>
        <v>#N/A</v>
      </c>
      <c r="AH83" s="20" t="e">
        <f t="shared" si="33"/>
        <v>#N/A</v>
      </c>
      <c r="AI83" s="20" t="e">
        <f t="shared" si="34"/>
        <v>#N/A</v>
      </c>
      <c r="AJ83" s="20" t="e">
        <f t="shared" si="35"/>
        <v>#N/A</v>
      </c>
      <c r="AK83" s="20" t="e">
        <f t="shared" si="36"/>
        <v>#N/A</v>
      </c>
      <c r="AL83" s="20" t="e">
        <f t="shared" si="37"/>
        <v>#N/A</v>
      </c>
    </row>
    <row r="84" spans="7:38" ht="14.4" x14ac:dyDescent="0.3">
      <c r="I84" s="3" t="str">
        <f t="shared" si="19"/>
        <v>---</v>
      </c>
      <c r="J84" s="8" t="str">
        <f t="shared" si="20"/>
        <v>----,-</v>
      </c>
      <c r="K84" s="3" t="e">
        <f>VLOOKUP(I84, '[1]Depth vlookup'!$G$2:$I$997,2,FALSE())+(G84/100)</f>
        <v>#N/A</v>
      </c>
      <c r="L84" s="18" t="e">
        <f t="shared" si="21"/>
        <v>#N/A</v>
      </c>
      <c r="M84" s="2"/>
      <c r="N84" s="4" t="e">
        <f>VLOOKUP(M84,  [1]Beakers!$A$2:$B$151, 2, 0)</f>
        <v>#N/A</v>
      </c>
      <c r="V84" s="20" t="e">
        <f t="shared" si="22"/>
        <v>#N/A</v>
      </c>
      <c r="W84" s="20" t="e">
        <f t="shared" si="23"/>
        <v>#N/A</v>
      </c>
      <c r="X84" s="20" t="e">
        <f t="shared" si="24"/>
        <v>#N/A</v>
      </c>
      <c r="Y84" s="20" t="e">
        <f t="shared" si="25"/>
        <v>#N/A</v>
      </c>
      <c r="Z84" s="20" t="e">
        <f t="shared" si="26"/>
        <v>#N/A</v>
      </c>
      <c r="AA84" s="20" t="e">
        <f t="shared" si="27"/>
        <v>#N/A</v>
      </c>
      <c r="AB84" s="20" t="e">
        <f t="shared" si="28"/>
        <v>#N/A</v>
      </c>
      <c r="AC84" s="20" t="e">
        <f>T84-VLOOKUP(M84, [1]Beakers!$A$2:$C$151, 3, 0)</f>
        <v>#N/A</v>
      </c>
      <c r="AD84" s="20" t="e">
        <f t="shared" si="29"/>
        <v>#N/A</v>
      </c>
      <c r="AE84" s="20" t="e">
        <f t="shared" si="30"/>
        <v>#N/A</v>
      </c>
      <c r="AF84" s="20" t="e">
        <f t="shared" si="31"/>
        <v>#N/A</v>
      </c>
      <c r="AG84" s="20" t="e">
        <f t="shared" si="32"/>
        <v>#N/A</v>
      </c>
      <c r="AH84" s="20" t="e">
        <f t="shared" si="33"/>
        <v>#N/A</v>
      </c>
      <c r="AI84" s="20" t="e">
        <f t="shared" si="34"/>
        <v>#N/A</v>
      </c>
      <c r="AJ84" s="20" t="e">
        <f t="shared" si="35"/>
        <v>#N/A</v>
      </c>
      <c r="AK84" s="20" t="e">
        <f t="shared" si="36"/>
        <v>#N/A</v>
      </c>
      <c r="AL84" s="20" t="e">
        <f t="shared" si="37"/>
        <v>#N/A</v>
      </c>
    </row>
    <row r="85" spans="7:38" ht="14.4" x14ac:dyDescent="0.3">
      <c r="I85" s="3" t="str">
        <f t="shared" si="19"/>
        <v>---</v>
      </c>
      <c r="J85" s="8" t="str">
        <f t="shared" si="20"/>
        <v>----,-</v>
      </c>
      <c r="K85" s="3" t="e">
        <f>VLOOKUP(I85, '[1]Depth vlookup'!$G$2:$I$997,2,FALSE())+(G85/100)</f>
        <v>#N/A</v>
      </c>
      <c r="L85" s="18" t="e">
        <f t="shared" si="21"/>
        <v>#N/A</v>
      </c>
      <c r="M85" s="2"/>
      <c r="N85" s="4" t="e">
        <f>VLOOKUP(M85,  [1]Beakers!$A$2:$B$151, 2, 0)</f>
        <v>#N/A</v>
      </c>
      <c r="V85" s="20" t="e">
        <f t="shared" si="22"/>
        <v>#N/A</v>
      </c>
      <c r="W85" s="20" t="e">
        <f t="shared" si="23"/>
        <v>#N/A</v>
      </c>
      <c r="X85" s="20" t="e">
        <f t="shared" si="24"/>
        <v>#N/A</v>
      </c>
      <c r="Y85" s="20" t="e">
        <f t="shared" si="25"/>
        <v>#N/A</v>
      </c>
      <c r="Z85" s="20" t="e">
        <f t="shared" si="26"/>
        <v>#N/A</v>
      </c>
      <c r="AA85" s="20" t="e">
        <f t="shared" si="27"/>
        <v>#N/A</v>
      </c>
      <c r="AB85" s="20" t="e">
        <f t="shared" si="28"/>
        <v>#N/A</v>
      </c>
      <c r="AC85" s="20" t="e">
        <f>T85-VLOOKUP(M85, [1]Beakers!$A$2:$C$151, 3, 0)</f>
        <v>#N/A</v>
      </c>
      <c r="AD85" s="20" t="e">
        <f t="shared" si="29"/>
        <v>#N/A</v>
      </c>
      <c r="AE85" s="20" t="e">
        <f t="shared" si="30"/>
        <v>#N/A</v>
      </c>
      <c r="AF85" s="20" t="e">
        <f t="shared" si="31"/>
        <v>#N/A</v>
      </c>
      <c r="AG85" s="20" t="e">
        <f t="shared" si="32"/>
        <v>#N/A</v>
      </c>
      <c r="AH85" s="20" t="e">
        <f t="shared" si="33"/>
        <v>#N/A</v>
      </c>
      <c r="AI85" s="20" t="e">
        <f t="shared" si="34"/>
        <v>#N/A</v>
      </c>
      <c r="AJ85" s="20" t="e">
        <f t="shared" si="35"/>
        <v>#N/A</v>
      </c>
      <c r="AK85" s="20" t="e">
        <f t="shared" si="36"/>
        <v>#N/A</v>
      </c>
      <c r="AL85" s="20" t="e">
        <f t="shared" si="37"/>
        <v>#N/A</v>
      </c>
    </row>
    <row r="86" spans="7:38" ht="14.4" x14ac:dyDescent="0.3">
      <c r="I86" s="3" t="str">
        <f t="shared" si="19"/>
        <v>---</v>
      </c>
      <c r="J86" s="8" t="str">
        <f t="shared" si="20"/>
        <v>----,-</v>
      </c>
      <c r="K86" s="3" t="e">
        <f>VLOOKUP(I86, '[1]Depth vlookup'!$G$2:$I$997,2,FALSE())+(G86/100)</f>
        <v>#N/A</v>
      </c>
      <c r="L86" s="18" t="e">
        <f t="shared" si="21"/>
        <v>#N/A</v>
      </c>
      <c r="M86" s="2"/>
      <c r="N86" s="4" t="e">
        <f>VLOOKUP(M86,  [1]Beakers!$A$2:$B$151, 2, 0)</f>
        <v>#N/A</v>
      </c>
      <c r="V86" s="20" t="e">
        <f t="shared" si="22"/>
        <v>#N/A</v>
      </c>
      <c r="W86" s="20" t="e">
        <f t="shared" si="23"/>
        <v>#N/A</v>
      </c>
      <c r="X86" s="20" t="e">
        <f t="shared" si="24"/>
        <v>#N/A</v>
      </c>
      <c r="Y86" s="20" t="e">
        <f t="shared" si="25"/>
        <v>#N/A</v>
      </c>
      <c r="Z86" s="20" t="e">
        <f t="shared" si="26"/>
        <v>#N/A</v>
      </c>
      <c r="AA86" s="20" t="e">
        <f t="shared" si="27"/>
        <v>#N/A</v>
      </c>
      <c r="AB86" s="20" t="e">
        <f t="shared" si="28"/>
        <v>#N/A</v>
      </c>
      <c r="AC86" s="20" t="e">
        <f>T86-VLOOKUP(M86, [1]Beakers!$A$2:$C$151, 3, 0)</f>
        <v>#N/A</v>
      </c>
      <c r="AD86" s="20" t="e">
        <f t="shared" si="29"/>
        <v>#N/A</v>
      </c>
      <c r="AE86" s="20" t="e">
        <f t="shared" si="30"/>
        <v>#N/A</v>
      </c>
      <c r="AF86" s="20" t="e">
        <f t="shared" si="31"/>
        <v>#N/A</v>
      </c>
      <c r="AG86" s="20" t="e">
        <f t="shared" si="32"/>
        <v>#N/A</v>
      </c>
      <c r="AH86" s="20" t="e">
        <f t="shared" si="33"/>
        <v>#N/A</v>
      </c>
      <c r="AI86" s="20" t="e">
        <f t="shared" si="34"/>
        <v>#N/A</v>
      </c>
      <c r="AJ86" s="20" t="e">
        <f t="shared" si="35"/>
        <v>#N/A</v>
      </c>
      <c r="AK86" s="20" t="e">
        <f t="shared" si="36"/>
        <v>#N/A</v>
      </c>
      <c r="AL86" s="20" t="e">
        <f t="shared" si="37"/>
        <v>#N/A</v>
      </c>
    </row>
    <row r="87" spans="7:38" ht="14.4" x14ac:dyDescent="0.3">
      <c r="I87" s="3" t="str">
        <f t="shared" si="19"/>
        <v>---</v>
      </c>
      <c r="J87" s="8" t="str">
        <f t="shared" si="20"/>
        <v>----,-</v>
      </c>
      <c r="K87" s="3" t="e">
        <f>VLOOKUP(I87, '[1]Depth vlookup'!$G$2:$I$997,2,FALSE())+(G87/100)</f>
        <v>#N/A</v>
      </c>
      <c r="L87" s="18" t="e">
        <f t="shared" si="21"/>
        <v>#N/A</v>
      </c>
      <c r="M87" s="2"/>
      <c r="N87" s="4" t="e">
        <f>VLOOKUP(M87,  [1]Beakers!$A$2:$B$151, 2, 0)</f>
        <v>#N/A</v>
      </c>
      <c r="V87" s="20" t="e">
        <f t="shared" si="22"/>
        <v>#N/A</v>
      </c>
      <c r="W87" s="20" t="e">
        <f t="shared" si="23"/>
        <v>#N/A</v>
      </c>
      <c r="X87" s="20" t="e">
        <f t="shared" si="24"/>
        <v>#N/A</v>
      </c>
      <c r="Y87" s="20" t="e">
        <f t="shared" si="25"/>
        <v>#N/A</v>
      </c>
      <c r="Z87" s="20" t="e">
        <f t="shared" si="26"/>
        <v>#N/A</v>
      </c>
      <c r="AA87" s="20" t="e">
        <f t="shared" si="27"/>
        <v>#N/A</v>
      </c>
      <c r="AB87" s="20" t="e">
        <f t="shared" si="28"/>
        <v>#N/A</v>
      </c>
      <c r="AC87" s="20" t="e">
        <f>T87-VLOOKUP(M87, [1]Beakers!$A$2:$C$151, 3, 0)</f>
        <v>#N/A</v>
      </c>
      <c r="AD87" s="20" t="e">
        <f t="shared" si="29"/>
        <v>#N/A</v>
      </c>
      <c r="AE87" s="20" t="e">
        <f t="shared" si="30"/>
        <v>#N/A</v>
      </c>
      <c r="AF87" s="20" t="e">
        <f t="shared" si="31"/>
        <v>#N/A</v>
      </c>
      <c r="AG87" s="20" t="e">
        <f t="shared" si="32"/>
        <v>#N/A</v>
      </c>
      <c r="AH87" s="20" t="e">
        <f t="shared" si="33"/>
        <v>#N/A</v>
      </c>
      <c r="AI87" s="20" t="e">
        <f t="shared" si="34"/>
        <v>#N/A</v>
      </c>
      <c r="AJ87" s="20" t="e">
        <f t="shared" si="35"/>
        <v>#N/A</v>
      </c>
      <c r="AK87" s="20" t="e">
        <f t="shared" si="36"/>
        <v>#N/A</v>
      </c>
      <c r="AL87" s="20" t="e">
        <f t="shared" si="37"/>
        <v>#N/A</v>
      </c>
    </row>
    <row r="88" spans="7:38" ht="14.4" x14ac:dyDescent="0.3">
      <c r="I88" s="3" t="str">
        <f t="shared" si="19"/>
        <v>---</v>
      </c>
      <c r="J88" s="8" t="str">
        <f t="shared" si="20"/>
        <v>----,-</v>
      </c>
      <c r="K88" s="3" t="e">
        <f>VLOOKUP(I88, '[1]Depth vlookup'!$G$2:$I$997,2,FALSE())+(G88/100)</f>
        <v>#N/A</v>
      </c>
      <c r="L88" s="18" t="e">
        <f t="shared" si="21"/>
        <v>#N/A</v>
      </c>
      <c r="M88" s="2"/>
      <c r="N88" s="4" t="e">
        <f>VLOOKUP(M88,  [1]Beakers!$A$2:$B$151, 2, 0)</f>
        <v>#N/A</v>
      </c>
      <c r="V88" s="20" t="e">
        <f t="shared" si="22"/>
        <v>#N/A</v>
      </c>
      <c r="W88" s="20" t="e">
        <f t="shared" si="23"/>
        <v>#N/A</v>
      </c>
      <c r="X88" s="20" t="e">
        <f t="shared" si="24"/>
        <v>#N/A</v>
      </c>
      <c r="Y88" s="20" t="e">
        <f t="shared" si="25"/>
        <v>#N/A</v>
      </c>
      <c r="Z88" s="20" t="e">
        <f t="shared" si="26"/>
        <v>#N/A</v>
      </c>
      <c r="AA88" s="20" t="e">
        <f t="shared" si="27"/>
        <v>#N/A</v>
      </c>
      <c r="AB88" s="20" t="e">
        <f t="shared" si="28"/>
        <v>#N/A</v>
      </c>
      <c r="AC88" s="20" t="e">
        <f>T88-VLOOKUP(M88, [1]Beakers!$A$2:$C$151, 3, 0)</f>
        <v>#N/A</v>
      </c>
      <c r="AD88" s="20" t="e">
        <f t="shared" si="29"/>
        <v>#N/A</v>
      </c>
      <c r="AE88" s="20" t="e">
        <f t="shared" si="30"/>
        <v>#N/A</v>
      </c>
      <c r="AF88" s="20" t="e">
        <f t="shared" si="31"/>
        <v>#N/A</v>
      </c>
      <c r="AG88" s="20" t="e">
        <f t="shared" si="32"/>
        <v>#N/A</v>
      </c>
      <c r="AH88" s="20" t="e">
        <f t="shared" si="33"/>
        <v>#N/A</v>
      </c>
      <c r="AI88" s="20" t="e">
        <f t="shared" si="34"/>
        <v>#N/A</v>
      </c>
      <c r="AJ88" s="20" t="e">
        <f t="shared" si="35"/>
        <v>#N/A</v>
      </c>
      <c r="AK88" s="20" t="e">
        <f t="shared" si="36"/>
        <v>#N/A</v>
      </c>
      <c r="AL88" s="20" t="e">
        <f t="shared" si="37"/>
        <v>#N/A</v>
      </c>
    </row>
    <row r="89" spans="7:38" ht="14.4" x14ac:dyDescent="0.3">
      <c r="I89" s="3" t="str">
        <f t="shared" si="19"/>
        <v>---</v>
      </c>
      <c r="J89" s="8" t="str">
        <f t="shared" si="20"/>
        <v>----,-</v>
      </c>
      <c r="K89" s="3" t="e">
        <f>VLOOKUP(I89, '[1]Depth vlookup'!$G$2:$I$997,2,FALSE())+(G89/100)</f>
        <v>#N/A</v>
      </c>
      <c r="L89" s="18" t="e">
        <f t="shared" si="21"/>
        <v>#N/A</v>
      </c>
      <c r="M89" s="2"/>
      <c r="N89" s="4" t="e">
        <f>VLOOKUP(M89,  [1]Beakers!$A$2:$B$151, 2, 0)</f>
        <v>#N/A</v>
      </c>
      <c r="V89" s="20" t="e">
        <f t="shared" si="22"/>
        <v>#N/A</v>
      </c>
      <c r="W89" s="20" t="e">
        <f t="shared" si="23"/>
        <v>#N/A</v>
      </c>
      <c r="X89" s="20" t="e">
        <f t="shared" si="24"/>
        <v>#N/A</v>
      </c>
      <c r="Y89" s="20" t="e">
        <f t="shared" si="25"/>
        <v>#N/A</v>
      </c>
      <c r="Z89" s="20" t="e">
        <f t="shared" si="26"/>
        <v>#N/A</v>
      </c>
      <c r="AA89" s="20" t="e">
        <f t="shared" si="27"/>
        <v>#N/A</v>
      </c>
      <c r="AB89" s="20" t="e">
        <f t="shared" si="28"/>
        <v>#N/A</v>
      </c>
      <c r="AC89" s="20" t="e">
        <f>T89-VLOOKUP(M89, [1]Beakers!$A$2:$C$151, 3, 0)</f>
        <v>#N/A</v>
      </c>
      <c r="AD89" s="20" t="e">
        <f t="shared" si="29"/>
        <v>#N/A</v>
      </c>
      <c r="AE89" s="20" t="e">
        <f t="shared" si="30"/>
        <v>#N/A</v>
      </c>
      <c r="AF89" s="20" t="e">
        <f t="shared" si="31"/>
        <v>#N/A</v>
      </c>
      <c r="AG89" s="20" t="e">
        <f t="shared" si="32"/>
        <v>#N/A</v>
      </c>
      <c r="AH89" s="20" t="e">
        <f t="shared" si="33"/>
        <v>#N/A</v>
      </c>
      <c r="AI89" s="20" t="e">
        <f t="shared" si="34"/>
        <v>#N/A</v>
      </c>
      <c r="AJ89" s="20" t="e">
        <f t="shared" si="35"/>
        <v>#N/A</v>
      </c>
      <c r="AK89" s="20" t="e">
        <f t="shared" si="36"/>
        <v>#N/A</v>
      </c>
      <c r="AL89" s="20" t="e">
        <f t="shared" si="37"/>
        <v>#N/A</v>
      </c>
    </row>
    <row r="90" spans="7:38" ht="14.4" x14ac:dyDescent="0.3">
      <c r="I90" s="3" t="str">
        <f t="shared" si="19"/>
        <v>---</v>
      </c>
      <c r="J90" s="8" t="str">
        <f t="shared" si="20"/>
        <v>----,-</v>
      </c>
      <c r="K90" s="3" t="e">
        <f>VLOOKUP(I90, '[1]Depth vlookup'!$G$2:$I$997,2,FALSE())+(G90/100)</f>
        <v>#N/A</v>
      </c>
      <c r="L90" s="18" t="e">
        <f t="shared" si="21"/>
        <v>#N/A</v>
      </c>
      <c r="M90" s="2"/>
      <c r="N90" s="4" t="e">
        <f>VLOOKUP(M90,  [1]Beakers!$A$2:$B$151, 2, 0)</f>
        <v>#N/A</v>
      </c>
      <c r="V90" s="20" t="e">
        <f t="shared" si="22"/>
        <v>#N/A</v>
      </c>
      <c r="W90" s="20" t="e">
        <f t="shared" si="23"/>
        <v>#N/A</v>
      </c>
      <c r="X90" s="20" t="e">
        <f t="shared" si="24"/>
        <v>#N/A</v>
      </c>
      <c r="Y90" s="20" t="e">
        <f t="shared" si="25"/>
        <v>#N/A</v>
      </c>
      <c r="Z90" s="20" t="e">
        <f t="shared" si="26"/>
        <v>#N/A</v>
      </c>
      <c r="AA90" s="20" t="e">
        <f t="shared" si="27"/>
        <v>#N/A</v>
      </c>
      <c r="AB90" s="20" t="e">
        <f t="shared" si="28"/>
        <v>#N/A</v>
      </c>
      <c r="AC90" s="20" t="e">
        <f>T90-VLOOKUP(M90, [1]Beakers!$A$2:$C$151, 3, 0)</f>
        <v>#N/A</v>
      </c>
      <c r="AD90" s="20" t="e">
        <f t="shared" si="29"/>
        <v>#N/A</v>
      </c>
      <c r="AE90" s="20" t="e">
        <f t="shared" si="30"/>
        <v>#N/A</v>
      </c>
      <c r="AF90" s="20" t="e">
        <f t="shared" si="31"/>
        <v>#N/A</v>
      </c>
      <c r="AG90" s="20" t="e">
        <f t="shared" si="32"/>
        <v>#N/A</v>
      </c>
      <c r="AH90" s="20" t="e">
        <f t="shared" si="33"/>
        <v>#N/A</v>
      </c>
      <c r="AI90" s="20" t="e">
        <f t="shared" si="34"/>
        <v>#N/A</v>
      </c>
      <c r="AJ90" s="20" t="e">
        <f t="shared" si="35"/>
        <v>#N/A</v>
      </c>
      <c r="AK90" s="20" t="e">
        <f t="shared" si="36"/>
        <v>#N/A</v>
      </c>
      <c r="AL90" s="20" t="e">
        <f t="shared" si="37"/>
        <v>#N/A</v>
      </c>
    </row>
    <row r="91" spans="7:38" ht="14.4" x14ac:dyDescent="0.3">
      <c r="I91" s="3" t="str">
        <f t="shared" si="19"/>
        <v>---</v>
      </c>
      <c r="J91" s="8" t="str">
        <f t="shared" si="20"/>
        <v>----,-</v>
      </c>
      <c r="K91" s="3" t="e">
        <f>VLOOKUP(I91, '[1]Depth vlookup'!$G$2:$I$997,2,FALSE())+(G91/100)</f>
        <v>#N/A</v>
      </c>
      <c r="L91" s="18" t="e">
        <f t="shared" si="21"/>
        <v>#N/A</v>
      </c>
      <c r="M91" s="2"/>
      <c r="N91" s="4" t="e">
        <f>VLOOKUP(M91,  [1]Beakers!$A$2:$B$151, 2, 0)</f>
        <v>#N/A</v>
      </c>
      <c r="V91" s="20" t="e">
        <f t="shared" si="22"/>
        <v>#N/A</v>
      </c>
      <c r="W91" s="20" t="e">
        <f t="shared" si="23"/>
        <v>#N/A</v>
      </c>
      <c r="X91" s="20" t="e">
        <f t="shared" si="24"/>
        <v>#N/A</v>
      </c>
      <c r="Y91" s="20" t="e">
        <f t="shared" si="25"/>
        <v>#N/A</v>
      </c>
      <c r="Z91" s="20" t="e">
        <f t="shared" si="26"/>
        <v>#N/A</v>
      </c>
      <c r="AA91" s="20" t="e">
        <f t="shared" si="27"/>
        <v>#N/A</v>
      </c>
      <c r="AB91" s="20" t="e">
        <f t="shared" si="28"/>
        <v>#N/A</v>
      </c>
      <c r="AC91" s="20" t="e">
        <f>T91-VLOOKUP(M91, [1]Beakers!$A$2:$C$151, 3, 0)</f>
        <v>#N/A</v>
      </c>
      <c r="AD91" s="20" t="e">
        <f t="shared" si="29"/>
        <v>#N/A</v>
      </c>
      <c r="AE91" s="20" t="e">
        <f t="shared" si="30"/>
        <v>#N/A</v>
      </c>
      <c r="AF91" s="20" t="e">
        <f t="shared" si="31"/>
        <v>#N/A</v>
      </c>
      <c r="AG91" s="20" t="e">
        <f t="shared" si="32"/>
        <v>#N/A</v>
      </c>
      <c r="AH91" s="20" t="e">
        <f t="shared" si="33"/>
        <v>#N/A</v>
      </c>
      <c r="AI91" s="20" t="e">
        <f t="shared" si="34"/>
        <v>#N/A</v>
      </c>
      <c r="AJ91" s="20" t="e">
        <f t="shared" si="35"/>
        <v>#N/A</v>
      </c>
      <c r="AK91" s="20" t="e">
        <f t="shared" si="36"/>
        <v>#N/A</v>
      </c>
      <c r="AL91" s="20" t="e">
        <f t="shared" si="37"/>
        <v>#N/A</v>
      </c>
    </row>
    <row r="92" spans="7:38" ht="14.4" x14ac:dyDescent="0.3">
      <c r="I92" s="3" t="str">
        <f t="shared" si="19"/>
        <v>---</v>
      </c>
      <c r="J92" s="8" t="str">
        <f t="shared" si="20"/>
        <v>----,-</v>
      </c>
      <c r="K92" s="3" t="e">
        <f>VLOOKUP(I92, '[1]Depth vlookup'!$G$2:$I$997,2,FALSE())+(G92/100)</f>
        <v>#N/A</v>
      </c>
      <c r="L92" s="18" t="e">
        <f t="shared" si="21"/>
        <v>#N/A</v>
      </c>
      <c r="M92" s="2"/>
      <c r="N92" s="4" t="e">
        <f>VLOOKUP(M92,  [1]Beakers!$A$2:$B$151, 2, 0)</f>
        <v>#N/A</v>
      </c>
      <c r="V92" s="20" t="e">
        <f t="shared" si="22"/>
        <v>#N/A</v>
      </c>
      <c r="W92" s="20" t="e">
        <f t="shared" si="23"/>
        <v>#N/A</v>
      </c>
      <c r="X92" s="20" t="e">
        <f t="shared" si="24"/>
        <v>#N/A</v>
      </c>
      <c r="Y92" s="20" t="e">
        <f t="shared" si="25"/>
        <v>#N/A</v>
      </c>
      <c r="Z92" s="20" t="e">
        <f t="shared" si="26"/>
        <v>#N/A</v>
      </c>
      <c r="AA92" s="20" t="e">
        <f t="shared" si="27"/>
        <v>#N/A</v>
      </c>
      <c r="AB92" s="20" t="e">
        <f t="shared" si="28"/>
        <v>#N/A</v>
      </c>
      <c r="AC92" s="20" t="e">
        <f>T92-VLOOKUP(M92, [1]Beakers!$A$2:$C$151, 3, 0)</f>
        <v>#N/A</v>
      </c>
      <c r="AD92" s="20" t="e">
        <f t="shared" si="29"/>
        <v>#N/A</v>
      </c>
      <c r="AE92" s="20" t="e">
        <f t="shared" si="30"/>
        <v>#N/A</v>
      </c>
      <c r="AF92" s="20" t="e">
        <f t="shared" si="31"/>
        <v>#N/A</v>
      </c>
      <c r="AG92" s="20" t="e">
        <f t="shared" si="32"/>
        <v>#N/A</v>
      </c>
      <c r="AH92" s="20" t="e">
        <f t="shared" si="33"/>
        <v>#N/A</v>
      </c>
      <c r="AI92" s="20" t="e">
        <f t="shared" si="34"/>
        <v>#N/A</v>
      </c>
      <c r="AJ92" s="20" t="e">
        <f t="shared" si="35"/>
        <v>#N/A</v>
      </c>
      <c r="AK92" s="20" t="e">
        <f t="shared" si="36"/>
        <v>#N/A</v>
      </c>
      <c r="AL92" s="20" t="e">
        <f t="shared" si="37"/>
        <v>#N/A</v>
      </c>
    </row>
    <row r="93" spans="7:38" ht="14.4" x14ac:dyDescent="0.3">
      <c r="I93" s="3" t="str">
        <f t="shared" si="19"/>
        <v>---</v>
      </c>
      <c r="J93" s="8" t="str">
        <f t="shared" si="20"/>
        <v>----,-</v>
      </c>
      <c r="K93" s="3" t="e">
        <f>VLOOKUP(I93, '[1]Depth vlookup'!$G$2:$I$997,2,FALSE())+(G93/100)</f>
        <v>#N/A</v>
      </c>
      <c r="L93" s="18" t="e">
        <f t="shared" si="21"/>
        <v>#N/A</v>
      </c>
      <c r="M93" s="2"/>
      <c r="N93" s="4" t="e">
        <f>VLOOKUP(M93,  [1]Beakers!$A$2:$B$151, 2, 0)</f>
        <v>#N/A</v>
      </c>
      <c r="V93" s="20" t="e">
        <f t="shared" si="22"/>
        <v>#N/A</v>
      </c>
      <c r="W93" s="20" t="e">
        <f t="shared" si="23"/>
        <v>#N/A</v>
      </c>
      <c r="X93" s="20" t="e">
        <f t="shared" si="24"/>
        <v>#N/A</v>
      </c>
      <c r="Y93" s="20" t="e">
        <f t="shared" si="25"/>
        <v>#N/A</v>
      </c>
      <c r="Z93" s="20" t="e">
        <f t="shared" si="26"/>
        <v>#N/A</v>
      </c>
      <c r="AA93" s="20" t="e">
        <f t="shared" si="27"/>
        <v>#N/A</v>
      </c>
      <c r="AB93" s="20" t="e">
        <f t="shared" si="28"/>
        <v>#N/A</v>
      </c>
      <c r="AC93" s="20" t="e">
        <f>T93-VLOOKUP(M93, [1]Beakers!$A$2:$C$151, 3, 0)</f>
        <v>#N/A</v>
      </c>
      <c r="AD93" s="20" t="e">
        <f t="shared" si="29"/>
        <v>#N/A</v>
      </c>
      <c r="AE93" s="20" t="e">
        <f t="shared" si="30"/>
        <v>#N/A</v>
      </c>
      <c r="AF93" s="20" t="e">
        <f t="shared" si="31"/>
        <v>#N/A</v>
      </c>
      <c r="AG93" s="20" t="e">
        <f t="shared" si="32"/>
        <v>#N/A</v>
      </c>
      <c r="AH93" s="20" t="e">
        <f t="shared" si="33"/>
        <v>#N/A</v>
      </c>
      <c r="AI93" s="20" t="e">
        <f t="shared" si="34"/>
        <v>#N/A</v>
      </c>
      <c r="AJ93" s="20" t="e">
        <f t="shared" si="35"/>
        <v>#N/A</v>
      </c>
      <c r="AK93" s="20" t="e">
        <f t="shared" si="36"/>
        <v>#N/A</v>
      </c>
      <c r="AL93" s="20" t="e">
        <f t="shared" si="37"/>
        <v>#N/A</v>
      </c>
    </row>
    <row r="94" spans="7:38" ht="14.4" x14ac:dyDescent="0.3">
      <c r="I94" s="3" t="str">
        <f t="shared" si="19"/>
        <v>---</v>
      </c>
      <c r="J94" s="8" t="str">
        <f t="shared" si="20"/>
        <v>----,-</v>
      </c>
      <c r="K94" s="3" t="e">
        <f>VLOOKUP(I94, '[1]Depth vlookup'!$G$2:$I$997,2,FALSE())+(G94/100)</f>
        <v>#N/A</v>
      </c>
      <c r="L94" s="18" t="e">
        <f t="shared" si="21"/>
        <v>#N/A</v>
      </c>
      <c r="M94" s="2"/>
      <c r="N94" s="4" t="e">
        <f>VLOOKUP(M94,  [1]Beakers!$A$2:$B$151, 2, 0)</f>
        <v>#N/A</v>
      </c>
      <c r="V94" s="20" t="e">
        <f t="shared" si="22"/>
        <v>#N/A</v>
      </c>
      <c r="W94" s="20" t="e">
        <f t="shared" si="23"/>
        <v>#N/A</v>
      </c>
      <c r="X94" s="20" t="e">
        <f t="shared" si="24"/>
        <v>#N/A</v>
      </c>
      <c r="Y94" s="20" t="e">
        <f t="shared" si="25"/>
        <v>#N/A</v>
      </c>
      <c r="Z94" s="20" t="e">
        <f t="shared" si="26"/>
        <v>#N/A</v>
      </c>
      <c r="AA94" s="20" t="e">
        <f t="shared" si="27"/>
        <v>#N/A</v>
      </c>
      <c r="AB94" s="20" t="e">
        <f t="shared" si="28"/>
        <v>#N/A</v>
      </c>
      <c r="AC94" s="20" t="e">
        <f>T94-VLOOKUP(M94, [1]Beakers!$A$2:$C$151, 3, 0)</f>
        <v>#N/A</v>
      </c>
      <c r="AD94" s="20" t="e">
        <f t="shared" si="29"/>
        <v>#N/A</v>
      </c>
      <c r="AE94" s="20" t="e">
        <f t="shared" si="30"/>
        <v>#N/A</v>
      </c>
      <c r="AF94" s="20" t="e">
        <f t="shared" si="31"/>
        <v>#N/A</v>
      </c>
      <c r="AG94" s="20" t="e">
        <f t="shared" si="32"/>
        <v>#N/A</v>
      </c>
      <c r="AH94" s="20" t="e">
        <f t="shared" si="33"/>
        <v>#N/A</v>
      </c>
      <c r="AI94" s="20" t="e">
        <f t="shared" si="34"/>
        <v>#N/A</v>
      </c>
      <c r="AJ94" s="20" t="e">
        <f t="shared" si="35"/>
        <v>#N/A</v>
      </c>
      <c r="AK94" s="20" t="e">
        <f t="shared" si="36"/>
        <v>#N/A</v>
      </c>
      <c r="AL94" s="20" t="e">
        <f t="shared" si="37"/>
        <v>#N/A</v>
      </c>
    </row>
    <row r="95" spans="7:38" ht="14.4" x14ac:dyDescent="0.3">
      <c r="I95" s="3" t="str">
        <f t="shared" si="19"/>
        <v>---</v>
      </c>
      <c r="J95" s="8" t="str">
        <f t="shared" si="20"/>
        <v>----,-</v>
      </c>
      <c r="K95" s="3" t="e">
        <f>VLOOKUP(I95, '[1]Depth vlookup'!$G$2:$I$997,2,FALSE())+(G95/100)</f>
        <v>#N/A</v>
      </c>
      <c r="L95" s="18" t="e">
        <f t="shared" si="21"/>
        <v>#N/A</v>
      </c>
      <c r="M95" s="2"/>
      <c r="N95" s="4" t="e">
        <f>VLOOKUP(M95,  [1]Beakers!$A$2:$B$151, 2, 0)</f>
        <v>#N/A</v>
      </c>
      <c r="V95" s="20" t="e">
        <f t="shared" si="22"/>
        <v>#N/A</v>
      </c>
      <c r="W95" s="20" t="e">
        <f t="shared" si="23"/>
        <v>#N/A</v>
      </c>
      <c r="X95" s="20" t="e">
        <f t="shared" si="24"/>
        <v>#N/A</v>
      </c>
      <c r="Y95" s="20" t="e">
        <f t="shared" si="25"/>
        <v>#N/A</v>
      </c>
      <c r="Z95" s="20" t="e">
        <f t="shared" si="26"/>
        <v>#N/A</v>
      </c>
      <c r="AA95" s="20" t="e">
        <f t="shared" si="27"/>
        <v>#N/A</v>
      </c>
      <c r="AB95" s="20" t="e">
        <f t="shared" si="28"/>
        <v>#N/A</v>
      </c>
      <c r="AC95" s="20" t="e">
        <f>T95-VLOOKUP(M95, [1]Beakers!$A$2:$C$151, 3, 0)</f>
        <v>#N/A</v>
      </c>
      <c r="AD95" s="20" t="e">
        <f t="shared" si="29"/>
        <v>#N/A</v>
      </c>
      <c r="AE95" s="20" t="e">
        <f t="shared" si="30"/>
        <v>#N/A</v>
      </c>
      <c r="AF95" s="20" t="e">
        <f t="shared" si="31"/>
        <v>#N/A</v>
      </c>
      <c r="AG95" s="20" t="e">
        <f t="shared" si="32"/>
        <v>#N/A</v>
      </c>
      <c r="AH95" s="20" t="e">
        <f t="shared" si="33"/>
        <v>#N/A</v>
      </c>
      <c r="AI95" s="20" t="e">
        <f t="shared" si="34"/>
        <v>#N/A</v>
      </c>
      <c r="AJ95" s="20" t="e">
        <f t="shared" si="35"/>
        <v>#N/A</v>
      </c>
      <c r="AK95" s="20" t="e">
        <f t="shared" si="36"/>
        <v>#N/A</v>
      </c>
      <c r="AL95" s="20" t="e">
        <f t="shared" si="37"/>
        <v>#N/A</v>
      </c>
    </row>
    <row r="96" spans="7:38" ht="14.4" x14ac:dyDescent="0.3">
      <c r="G96" s="39"/>
      <c r="I96" s="3" t="str">
        <f t="shared" si="19"/>
        <v>---</v>
      </c>
      <c r="J96" s="8" t="str">
        <f t="shared" si="20"/>
        <v>----,-</v>
      </c>
      <c r="K96" s="3" t="e">
        <f>VLOOKUP(I96, '[1]Depth vlookup'!$G$2:$I$997,2,FALSE())+(G96/100)</f>
        <v>#N/A</v>
      </c>
      <c r="L96" s="18" t="e">
        <f t="shared" si="21"/>
        <v>#N/A</v>
      </c>
      <c r="M96" s="2"/>
      <c r="N96" s="4" t="e">
        <f>VLOOKUP(M96,  [1]Beakers!$A$2:$B$151, 2, 0)</f>
        <v>#N/A</v>
      </c>
      <c r="V96" s="20" t="e">
        <f t="shared" si="22"/>
        <v>#N/A</v>
      </c>
      <c r="W96" s="20" t="e">
        <f t="shared" si="23"/>
        <v>#N/A</v>
      </c>
      <c r="X96" s="20" t="e">
        <f t="shared" si="24"/>
        <v>#N/A</v>
      </c>
      <c r="Y96" s="20" t="e">
        <f t="shared" si="25"/>
        <v>#N/A</v>
      </c>
      <c r="Z96" s="20" t="e">
        <f t="shared" si="26"/>
        <v>#N/A</v>
      </c>
      <c r="AA96" s="20" t="e">
        <f t="shared" si="27"/>
        <v>#N/A</v>
      </c>
      <c r="AB96" s="20" t="e">
        <f t="shared" si="28"/>
        <v>#N/A</v>
      </c>
      <c r="AC96" s="20" t="e">
        <f>T96-VLOOKUP(M96, [1]Beakers!$A$2:$C$151, 3, 0)</f>
        <v>#N/A</v>
      </c>
      <c r="AD96" s="20" t="e">
        <f t="shared" si="29"/>
        <v>#N/A</v>
      </c>
      <c r="AE96" s="20" t="e">
        <f t="shared" si="30"/>
        <v>#N/A</v>
      </c>
      <c r="AF96" s="20" t="e">
        <f t="shared" si="31"/>
        <v>#N/A</v>
      </c>
      <c r="AG96" s="20" t="e">
        <f t="shared" si="32"/>
        <v>#N/A</v>
      </c>
      <c r="AH96" s="20" t="e">
        <f t="shared" si="33"/>
        <v>#N/A</v>
      </c>
      <c r="AI96" s="20" t="e">
        <f t="shared" si="34"/>
        <v>#N/A</v>
      </c>
      <c r="AJ96" s="20" t="e">
        <f t="shared" si="35"/>
        <v>#N/A</v>
      </c>
      <c r="AK96" s="20" t="e">
        <f t="shared" si="36"/>
        <v>#N/A</v>
      </c>
      <c r="AL96" s="20" t="e">
        <f t="shared" si="37"/>
        <v>#N/A</v>
      </c>
    </row>
    <row r="97" spans="9:38" ht="14.4" x14ac:dyDescent="0.3">
      <c r="I97" s="3" t="str">
        <f t="shared" si="19"/>
        <v>---</v>
      </c>
      <c r="J97" s="8" t="str">
        <f t="shared" si="20"/>
        <v>----,-</v>
      </c>
      <c r="K97" s="3" t="e">
        <f>VLOOKUP(I97, '[1]Depth vlookup'!$G$2:$I$997,2,FALSE())+(G97/100)</f>
        <v>#N/A</v>
      </c>
      <c r="L97" s="18" t="e">
        <f t="shared" si="21"/>
        <v>#N/A</v>
      </c>
      <c r="M97" s="2"/>
      <c r="N97" s="4" t="e">
        <f>VLOOKUP(M97,  [1]Beakers!$A$2:$B$151, 2, 0)</f>
        <v>#N/A</v>
      </c>
      <c r="V97" s="20" t="e">
        <f t="shared" si="22"/>
        <v>#N/A</v>
      </c>
      <c r="W97" s="20" t="e">
        <f t="shared" si="23"/>
        <v>#N/A</v>
      </c>
      <c r="X97" s="20" t="e">
        <f t="shared" si="24"/>
        <v>#N/A</v>
      </c>
      <c r="Y97" s="20" t="e">
        <f t="shared" si="25"/>
        <v>#N/A</v>
      </c>
      <c r="Z97" s="20" t="e">
        <f t="shared" si="26"/>
        <v>#N/A</v>
      </c>
      <c r="AA97" s="20" t="e">
        <f t="shared" si="27"/>
        <v>#N/A</v>
      </c>
      <c r="AB97" s="20" t="e">
        <f t="shared" si="28"/>
        <v>#N/A</v>
      </c>
      <c r="AC97" s="20" t="e">
        <f>T97-VLOOKUP(M97, [1]Beakers!$A$2:$C$151, 3, 0)</f>
        <v>#N/A</v>
      </c>
      <c r="AD97" s="20" t="e">
        <f t="shared" si="29"/>
        <v>#N/A</v>
      </c>
      <c r="AE97" s="20" t="e">
        <f t="shared" si="30"/>
        <v>#N/A</v>
      </c>
      <c r="AF97" s="20" t="e">
        <f t="shared" si="31"/>
        <v>#N/A</v>
      </c>
      <c r="AG97" s="20" t="e">
        <f t="shared" si="32"/>
        <v>#N/A</v>
      </c>
      <c r="AH97" s="20" t="e">
        <f t="shared" si="33"/>
        <v>#N/A</v>
      </c>
      <c r="AI97" s="20" t="e">
        <f t="shared" si="34"/>
        <v>#N/A</v>
      </c>
      <c r="AJ97" s="20" t="e">
        <f t="shared" si="35"/>
        <v>#N/A</v>
      </c>
      <c r="AK97" s="20" t="e">
        <f t="shared" si="36"/>
        <v>#N/A</v>
      </c>
      <c r="AL97" s="20" t="e">
        <f t="shared" si="37"/>
        <v>#N/A</v>
      </c>
    </row>
    <row r="98" spans="9:38" ht="14.4" x14ac:dyDescent="0.3">
      <c r="I98" s="3" t="str">
        <f t="shared" si="19"/>
        <v>---</v>
      </c>
      <c r="J98" s="8" t="str">
        <f t="shared" si="20"/>
        <v>----,-</v>
      </c>
      <c r="K98" s="3" t="e">
        <f>VLOOKUP(I98, '[1]Depth vlookup'!$G$2:$I$997,2,FALSE())+(G98/100)</f>
        <v>#N/A</v>
      </c>
      <c r="L98" s="18" t="e">
        <f t="shared" si="21"/>
        <v>#N/A</v>
      </c>
      <c r="M98" s="2"/>
      <c r="N98" s="4" t="e">
        <f>VLOOKUP(M98,  [1]Beakers!$A$2:$B$151, 2, 0)</f>
        <v>#N/A</v>
      </c>
      <c r="V98" s="20" t="e">
        <f t="shared" si="22"/>
        <v>#N/A</v>
      </c>
      <c r="W98" s="20" t="e">
        <f t="shared" si="23"/>
        <v>#N/A</v>
      </c>
      <c r="X98" s="20" t="e">
        <f t="shared" si="24"/>
        <v>#N/A</v>
      </c>
      <c r="Y98" s="20" t="e">
        <f t="shared" si="25"/>
        <v>#N/A</v>
      </c>
      <c r="Z98" s="20" t="e">
        <f t="shared" si="26"/>
        <v>#N/A</v>
      </c>
      <c r="AA98" s="20" t="e">
        <f t="shared" si="27"/>
        <v>#N/A</v>
      </c>
      <c r="AB98" s="20" t="e">
        <f t="shared" si="28"/>
        <v>#N/A</v>
      </c>
      <c r="AC98" s="20" t="e">
        <f>T98-VLOOKUP(M98, [1]Beakers!$A$2:$C$151, 3, 0)</f>
        <v>#N/A</v>
      </c>
      <c r="AD98" s="20" t="e">
        <f t="shared" si="29"/>
        <v>#N/A</v>
      </c>
      <c r="AE98" s="20" t="e">
        <f t="shared" si="30"/>
        <v>#N/A</v>
      </c>
      <c r="AF98" s="20" t="e">
        <f t="shared" si="31"/>
        <v>#N/A</v>
      </c>
      <c r="AG98" s="20" t="e">
        <f t="shared" si="32"/>
        <v>#N/A</v>
      </c>
      <c r="AH98" s="20" t="e">
        <f t="shared" si="33"/>
        <v>#N/A</v>
      </c>
      <c r="AI98" s="20" t="e">
        <f t="shared" si="34"/>
        <v>#N/A</v>
      </c>
      <c r="AJ98" s="20" t="e">
        <f t="shared" si="35"/>
        <v>#N/A</v>
      </c>
      <c r="AK98" s="20" t="e">
        <f t="shared" si="36"/>
        <v>#N/A</v>
      </c>
      <c r="AL98" s="20" t="e">
        <f t="shared" si="37"/>
        <v>#N/A</v>
      </c>
    </row>
    <row r="99" spans="9:38" ht="14.4" x14ac:dyDescent="0.3">
      <c r="I99" s="3" t="str">
        <f t="shared" si="19"/>
        <v>---</v>
      </c>
      <c r="J99" s="8" t="str">
        <f t="shared" si="20"/>
        <v>----,-</v>
      </c>
      <c r="K99" s="3" t="e">
        <f>VLOOKUP(I99, '[1]Depth vlookup'!$G$2:$I$997,2,FALSE())+(G99/100)</f>
        <v>#N/A</v>
      </c>
      <c r="L99" s="18" t="e">
        <f t="shared" si="21"/>
        <v>#N/A</v>
      </c>
      <c r="M99" s="2"/>
      <c r="N99" s="4" t="e">
        <f>VLOOKUP(M99,  [1]Beakers!$A$2:$B$151, 2, 0)</f>
        <v>#N/A</v>
      </c>
      <c r="V99" s="20" t="e">
        <f t="shared" si="22"/>
        <v>#N/A</v>
      </c>
      <c r="W99" s="20" t="e">
        <f t="shared" si="23"/>
        <v>#N/A</v>
      </c>
      <c r="X99" s="20" t="e">
        <f t="shared" si="24"/>
        <v>#N/A</v>
      </c>
      <c r="Y99" s="20" t="e">
        <f t="shared" si="25"/>
        <v>#N/A</v>
      </c>
      <c r="Z99" s="20" t="e">
        <f t="shared" si="26"/>
        <v>#N/A</v>
      </c>
      <c r="AA99" s="20" t="e">
        <f t="shared" si="27"/>
        <v>#N/A</v>
      </c>
      <c r="AB99" s="20" t="e">
        <f t="shared" si="28"/>
        <v>#N/A</v>
      </c>
      <c r="AC99" s="20" t="e">
        <f>T99-VLOOKUP(M99, [1]Beakers!$A$2:$C$151, 3, 0)</f>
        <v>#N/A</v>
      </c>
      <c r="AD99" s="20" t="e">
        <f t="shared" si="29"/>
        <v>#N/A</v>
      </c>
      <c r="AE99" s="20" t="e">
        <f t="shared" si="30"/>
        <v>#N/A</v>
      </c>
      <c r="AF99" s="20" t="e">
        <f t="shared" si="31"/>
        <v>#N/A</v>
      </c>
      <c r="AG99" s="20" t="e">
        <f t="shared" si="32"/>
        <v>#N/A</v>
      </c>
      <c r="AH99" s="20" t="e">
        <f t="shared" si="33"/>
        <v>#N/A</v>
      </c>
      <c r="AI99" s="20" t="e">
        <f t="shared" si="34"/>
        <v>#N/A</v>
      </c>
      <c r="AJ99" s="20" t="e">
        <f t="shared" si="35"/>
        <v>#N/A</v>
      </c>
      <c r="AK99" s="20" t="e">
        <f t="shared" si="36"/>
        <v>#N/A</v>
      </c>
      <c r="AL99" s="20" t="e">
        <f t="shared" si="37"/>
        <v>#N/A</v>
      </c>
    </row>
    <row r="100" spans="9:38" ht="14.4" x14ac:dyDescent="0.3">
      <c r="I100" s="3" t="str">
        <f t="shared" ref="I100:I131" si="38">_xlfn.CONCAT(B100, "-", C100,"-", D100,"-", F100)</f>
        <v>---</v>
      </c>
      <c r="J100" s="8" t="str">
        <f t="shared" ref="J100:J131" si="39">_xlfn.CONCAT(A100, "-", I100, ",",G100, "-",H100)</f>
        <v>----,-</v>
      </c>
      <c r="K100" s="3" t="e">
        <f>VLOOKUP(I100, '[1]Depth vlookup'!$G$2:$I$997,2,FALSE())+(G100/100)</f>
        <v>#N/A</v>
      </c>
      <c r="L100" s="18" t="e">
        <f t="shared" ref="L100:L131" si="40">K100+2/100</f>
        <v>#N/A</v>
      </c>
      <c r="M100" s="2"/>
      <c r="N100" s="4" t="e">
        <f>VLOOKUP(M100,  [1]Beakers!$A$2:$B$151, 2, 0)</f>
        <v>#N/A</v>
      </c>
      <c r="V100" s="20" t="e">
        <f t="shared" ref="V100:V131" si="41">O100-N100</f>
        <v>#N/A</v>
      </c>
      <c r="W100" s="20" t="e">
        <f t="shared" ref="W100:W131" si="42">Q100-N100</f>
        <v>#N/A</v>
      </c>
      <c r="X100" s="20" t="e">
        <f t="shared" ref="X100:X131" si="43">(V100-W100)/(1-35/1000)</f>
        <v>#N/A</v>
      </c>
      <c r="Y100" s="20" t="e">
        <f t="shared" ref="Y100:Y131" si="44">X100-(V100-W100)</f>
        <v>#N/A</v>
      </c>
      <c r="Z100" s="20" t="e">
        <f t="shared" ref="Z100:Z131" si="45">W100-Y100</f>
        <v>#N/A</v>
      </c>
      <c r="AA100" s="20" t="e">
        <f t="shared" ref="AA100:AA131" si="46">X100/1.024</f>
        <v>#N/A</v>
      </c>
      <c r="AB100" s="20" t="e">
        <f t="shared" ref="AB100:AB131" si="47">Y100/2.22</f>
        <v>#N/A</v>
      </c>
      <c r="AC100" s="20" t="e">
        <f>T100-VLOOKUP(M100, [1]Beakers!$A$2:$C$151, 3, 0)</f>
        <v>#N/A</v>
      </c>
      <c r="AD100" s="20" t="e">
        <f t="shared" ref="AD100:AD131" si="48">AC100-AB100+AA100</f>
        <v>#N/A</v>
      </c>
      <c r="AE100" s="20" t="e">
        <f t="shared" ref="AE100:AE131" si="49">AC100-AB100</f>
        <v>#N/A</v>
      </c>
      <c r="AF100" s="20" t="e">
        <f t="shared" ref="AF100:AF131" si="50">X100/V100</f>
        <v>#N/A</v>
      </c>
      <c r="AG100" s="20" t="e">
        <f t="shared" ref="AG100:AG131" si="51">X100/Z100</f>
        <v>#N/A</v>
      </c>
      <c r="AH100" s="20" t="e">
        <f t="shared" ref="AH100:AH131" si="52">V100/AD100</f>
        <v>#N/A</v>
      </c>
      <c r="AI100" s="20" t="e">
        <f t="shared" ref="AI100:AI131" si="53">Z100/AD100</f>
        <v>#N/A</v>
      </c>
      <c r="AJ100" s="20" t="e">
        <f t="shared" ref="AJ100:AJ131" si="54">Z100/AE100</f>
        <v>#N/A</v>
      </c>
      <c r="AK100" s="20" t="e">
        <f t="shared" ref="AK100:AK131" si="55">AA100/AD100</f>
        <v>#N/A</v>
      </c>
      <c r="AL100" s="20" t="e">
        <f t="shared" ref="AL100:AL131" si="56">AA100/AE100</f>
        <v>#N/A</v>
      </c>
    </row>
    <row r="101" spans="9:38" ht="14.4" x14ac:dyDescent="0.3">
      <c r="I101" s="3" t="str">
        <f t="shared" si="38"/>
        <v>---</v>
      </c>
      <c r="J101" s="8" t="str">
        <f t="shared" si="39"/>
        <v>----,-</v>
      </c>
      <c r="K101" s="3" t="e">
        <f>VLOOKUP(I101, '[1]Depth vlookup'!$G$2:$I$997,2,FALSE())+(G101/100)</f>
        <v>#N/A</v>
      </c>
      <c r="L101" s="18" t="e">
        <f t="shared" si="40"/>
        <v>#N/A</v>
      </c>
      <c r="M101" s="2"/>
      <c r="N101" s="4" t="e">
        <f>VLOOKUP(M101,  [1]Beakers!$A$2:$B$151, 2, 0)</f>
        <v>#N/A</v>
      </c>
      <c r="V101" s="20" t="e">
        <f t="shared" si="41"/>
        <v>#N/A</v>
      </c>
      <c r="W101" s="20" t="e">
        <f t="shared" si="42"/>
        <v>#N/A</v>
      </c>
      <c r="X101" s="20" t="e">
        <f t="shared" si="43"/>
        <v>#N/A</v>
      </c>
      <c r="Y101" s="20" t="e">
        <f t="shared" si="44"/>
        <v>#N/A</v>
      </c>
      <c r="Z101" s="20" t="e">
        <f t="shared" si="45"/>
        <v>#N/A</v>
      </c>
      <c r="AA101" s="20" t="e">
        <f t="shared" si="46"/>
        <v>#N/A</v>
      </c>
      <c r="AB101" s="20" t="e">
        <f t="shared" si="47"/>
        <v>#N/A</v>
      </c>
      <c r="AC101" s="20" t="e">
        <f>T101-VLOOKUP(M101, [1]Beakers!$A$2:$C$151, 3, 0)</f>
        <v>#N/A</v>
      </c>
      <c r="AD101" s="20" t="e">
        <f t="shared" si="48"/>
        <v>#N/A</v>
      </c>
      <c r="AE101" s="20" t="e">
        <f t="shared" si="49"/>
        <v>#N/A</v>
      </c>
      <c r="AF101" s="20" t="e">
        <f t="shared" si="50"/>
        <v>#N/A</v>
      </c>
      <c r="AG101" s="20" t="e">
        <f t="shared" si="51"/>
        <v>#N/A</v>
      </c>
      <c r="AH101" s="20" t="e">
        <f t="shared" si="52"/>
        <v>#N/A</v>
      </c>
      <c r="AI101" s="20" t="e">
        <f t="shared" si="53"/>
        <v>#N/A</v>
      </c>
      <c r="AJ101" s="20" t="e">
        <f t="shared" si="54"/>
        <v>#N/A</v>
      </c>
      <c r="AK101" s="20" t="e">
        <f t="shared" si="55"/>
        <v>#N/A</v>
      </c>
      <c r="AL101" s="20" t="e">
        <f t="shared" si="56"/>
        <v>#N/A</v>
      </c>
    </row>
    <row r="102" spans="9:38" ht="14.4" x14ac:dyDescent="0.3">
      <c r="I102" s="3" t="str">
        <f t="shared" si="38"/>
        <v>---</v>
      </c>
      <c r="J102" s="8" t="str">
        <f t="shared" si="39"/>
        <v>----,-</v>
      </c>
      <c r="K102" s="3" t="e">
        <f>VLOOKUP(I102, '[1]Depth vlookup'!$G$2:$I$997,2,FALSE())+(G102/100)</f>
        <v>#N/A</v>
      </c>
      <c r="L102" s="18" t="e">
        <f t="shared" si="40"/>
        <v>#N/A</v>
      </c>
      <c r="M102" s="2"/>
      <c r="N102" s="4" t="e">
        <f>VLOOKUP(M102,  [1]Beakers!$A$2:$B$151, 2, 0)</f>
        <v>#N/A</v>
      </c>
      <c r="V102" s="20" t="e">
        <f t="shared" si="41"/>
        <v>#N/A</v>
      </c>
      <c r="W102" s="20" t="e">
        <f t="shared" si="42"/>
        <v>#N/A</v>
      </c>
      <c r="X102" s="20" t="e">
        <f t="shared" si="43"/>
        <v>#N/A</v>
      </c>
      <c r="Y102" s="20" t="e">
        <f t="shared" si="44"/>
        <v>#N/A</v>
      </c>
      <c r="Z102" s="20" t="e">
        <f t="shared" si="45"/>
        <v>#N/A</v>
      </c>
      <c r="AA102" s="20" t="e">
        <f t="shared" si="46"/>
        <v>#N/A</v>
      </c>
      <c r="AB102" s="20" t="e">
        <f t="shared" si="47"/>
        <v>#N/A</v>
      </c>
      <c r="AC102" s="20" t="e">
        <f>T102-VLOOKUP(M102, [1]Beakers!$A$2:$C$151, 3, 0)</f>
        <v>#N/A</v>
      </c>
      <c r="AD102" s="20" t="e">
        <f t="shared" si="48"/>
        <v>#N/A</v>
      </c>
      <c r="AE102" s="20" t="e">
        <f t="shared" si="49"/>
        <v>#N/A</v>
      </c>
      <c r="AF102" s="20" t="e">
        <f t="shared" si="50"/>
        <v>#N/A</v>
      </c>
      <c r="AG102" s="20" t="e">
        <f t="shared" si="51"/>
        <v>#N/A</v>
      </c>
      <c r="AH102" s="20" t="e">
        <f t="shared" si="52"/>
        <v>#N/A</v>
      </c>
      <c r="AI102" s="20" t="e">
        <f t="shared" si="53"/>
        <v>#N/A</v>
      </c>
      <c r="AJ102" s="20" t="e">
        <f t="shared" si="54"/>
        <v>#N/A</v>
      </c>
      <c r="AK102" s="20" t="e">
        <f t="shared" si="55"/>
        <v>#N/A</v>
      </c>
      <c r="AL102" s="20" t="e">
        <f t="shared" si="56"/>
        <v>#N/A</v>
      </c>
    </row>
    <row r="103" spans="9:38" ht="14.4" x14ac:dyDescent="0.3">
      <c r="I103" s="3" t="str">
        <f t="shared" si="38"/>
        <v>---</v>
      </c>
      <c r="J103" s="8" t="str">
        <f t="shared" si="39"/>
        <v>----,-</v>
      </c>
      <c r="K103" s="3" t="e">
        <f>VLOOKUP(I103, '[1]Depth vlookup'!$G$2:$I$997,2,FALSE())+(G103/100)</f>
        <v>#N/A</v>
      </c>
      <c r="L103" s="18" t="e">
        <f t="shared" si="40"/>
        <v>#N/A</v>
      </c>
      <c r="M103" s="2"/>
      <c r="N103" s="4" t="e">
        <f>VLOOKUP(M103,  [1]Beakers!$A$2:$B$151, 2, 0)</f>
        <v>#N/A</v>
      </c>
      <c r="V103" s="20" t="e">
        <f t="shared" si="41"/>
        <v>#N/A</v>
      </c>
      <c r="W103" s="20" t="e">
        <f t="shared" si="42"/>
        <v>#N/A</v>
      </c>
      <c r="X103" s="20" t="e">
        <f t="shared" si="43"/>
        <v>#N/A</v>
      </c>
      <c r="Y103" s="20" t="e">
        <f t="shared" si="44"/>
        <v>#N/A</v>
      </c>
      <c r="Z103" s="20" t="e">
        <f t="shared" si="45"/>
        <v>#N/A</v>
      </c>
      <c r="AA103" s="20" t="e">
        <f t="shared" si="46"/>
        <v>#N/A</v>
      </c>
      <c r="AB103" s="20" t="e">
        <f t="shared" si="47"/>
        <v>#N/A</v>
      </c>
      <c r="AC103" s="20" t="e">
        <f>T103-VLOOKUP(M103, [1]Beakers!$A$2:$C$151, 3, 0)</f>
        <v>#N/A</v>
      </c>
      <c r="AD103" s="20" t="e">
        <f t="shared" si="48"/>
        <v>#N/A</v>
      </c>
      <c r="AE103" s="20" t="e">
        <f t="shared" si="49"/>
        <v>#N/A</v>
      </c>
      <c r="AF103" s="20" t="e">
        <f t="shared" si="50"/>
        <v>#N/A</v>
      </c>
      <c r="AG103" s="20" t="e">
        <f t="shared" si="51"/>
        <v>#N/A</v>
      </c>
      <c r="AH103" s="20" t="e">
        <f t="shared" si="52"/>
        <v>#N/A</v>
      </c>
      <c r="AI103" s="20" t="e">
        <f t="shared" si="53"/>
        <v>#N/A</v>
      </c>
      <c r="AJ103" s="20" t="e">
        <f t="shared" si="54"/>
        <v>#N/A</v>
      </c>
      <c r="AK103" s="20" t="e">
        <f t="shared" si="55"/>
        <v>#N/A</v>
      </c>
      <c r="AL103" s="20" t="e">
        <f t="shared" si="56"/>
        <v>#N/A</v>
      </c>
    </row>
    <row r="104" spans="9:38" ht="14.4" x14ac:dyDescent="0.3">
      <c r="I104" s="3" t="str">
        <f t="shared" si="38"/>
        <v>---</v>
      </c>
      <c r="J104" s="8" t="str">
        <f t="shared" si="39"/>
        <v>----,-</v>
      </c>
      <c r="K104" s="3" t="e">
        <f>VLOOKUP(I104, '[1]Depth vlookup'!$G$2:$I$997,2,FALSE())+(G104/100)</f>
        <v>#N/A</v>
      </c>
      <c r="L104" s="18" t="e">
        <f t="shared" si="40"/>
        <v>#N/A</v>
      </c>
      <c r="M104" s="2"/>
      <c r="N104" s="4" t="e">
        <f>VLOOKUP(M104,  [1]Beakers!$A$2:$B$151, 2, 0)</f>
        <v>#N/A</v>
      </c>
      <c r="V104" s="20" t="e">
        <f t="shared" si="41"/>
        <v>#N/A</v>
      </c>
      <c r="W104" s="20" t="e">
        <f t="shared" si="42"/>
        <v>#N/A</v>
      </c>
      <c r="X104" s="20" t="e">
        <f t="shared" si="43"/>
        <v>#N/A</v>
      </c>
      <c r="Y104" s="20" t="e">
        <f t="shared" si="44"/>
        <v>#N/A</v>
      </c>
      <c r="Z104" s="20" t="e">
        <f t="shared" si="45"/>
        <v>#N/A</v>
      </c>
      <c r="AA104" s="20" t="e">
        <f t="shared" si="46"/>
        <v>#N/A</v>
      </c>
      <c r="AB104" s="20" t="e">
        <f t="shared" si="47"/>
        <v>#N/A</v>
      </c>
      <c r="AC104" s="20" t="e">
        <f>T104-VLOOKUP(M104, [1]Beakers!$A$2:$C$151, 3, 0)</f>
        <v>#N/A</v>
      </c>
      <c r="AD104" s="20" t="e">
        <f t="shared" si="48"/>
        <v>#N/A</v>
      </c>
      <c r="AE104" s="20" t="e">
        <f t="shared" si="49"/>
        <v>#N/A</v>
      </c>
      <c r="AF104" s="20" t="e">
        <f t="shared" si="50"/>
        <v>#N/A</v>
      </c>
      <c r="AG104" s="20" t="e">
        <f t="shared" si="51"/>
        <v>#N/A</v>
      </c>
      <c r="AH104" s="20" t="e">
        <f t="shared" si="52"/>
        <v>#N/A</v>
      </c>
      <c r="AI104" s="20" t="e">
        <f t="shared" si="53"/>
        <v>#N/A</v>
      </c>
      <c r="AJ104" s="20" t="e">
        <f t="shared" si="54"/>
        <v>#N/A</v>
      </c>
      <c r="AK104" s="20" t="e">
        <f t="shared" si="55"/>
        <v>#N/A</v>
      </c>
      <c r="AL104" s="20" t="e">
        <f t="shared" si="56"/>
        <v>#N/A</v>
      </c>
    </row>
    <row r="105" spans="9:38" ht="14.4" x14ac:dyDescent="0.3">
      <c r="I105" s="3" t="str">
        <f t="shared" si="38"/>
        <v>---</v>
      </c>
      <c r="J105" s="8" t="str">
        <f t="shared" si="39"/>
        <v>----,-</v>
      </c>
      <c r="K105" s="3" t="e">
        <f>VLOOKUP(I105, '[1]Depth vlookup'!$G$2:$I$997,2,FALSE())+(G105/100)</f>
        <v>#N/A</v>
      </c>
      <c r="L105" s="18" t="e">
        <f t="shared" si="40"/>
        <v>#N/A</v>
      </c>
      <c r="M105" s="2"/>
      <c r="N105" s="4" t="e">
        <f>VLOOKUP(M105,  [1]Beakers!$A$2:$B$151, 2, 0)</f>
        <v>#N/A</v>
      </c>
      <c r="V105" s="20" t="e">
        <f t="shared" si="41"/>
        <v>#N/A</v>
      </c>
      <c r="W105" s="20" t="e">
        <f t="shared" si="42"/>
        <v>#N/A</v>
      </c>
      <c r="X105" s="20" t="e">
        <f t="shared" si="43"/>
        <v>#N/A</v>
      </c>
      <c r="Y105" s="20" t="e">
        <f t="shared" si="44"/>
        <v>#N/A</v>
      </c>
      <c r="Z105" s="20" t="e">
        <f t="shared" si="45"/>
        <v>#N/A</v>
      </c>
      <c r="AA105" s="20" t="e">
        <f t="shared" si="46"/>
        <v>#N/A</v>
      </c>
      <c r="AB105" s="20" t="e">
        <f t="shared" si="47"/>
        <v>#N/A</v>
      </c>
      <c r="AC105" s="20" t="e">
        <f>T105-VLOOKUP(M105, [1]Beakers!$A$2:$C$151, 3, 0)</f>
        <v>#N/A</v>
      </c>
      <c r="AD105" s="20" t="e">
        <f t="shared" si="48"/>
        <v>#N/A</v>
      </c>
      <c r="AE105" s="20" t="e">
        <f t="shared" si="49"/>
        <v>#N/A</v>
      </c>
      <c r="AF105" s="20" t="e">
        <f t="shared" si="50"/>
        <v>#N/A</v>
      </c>
      <c r="AG105" s="20" t="e">
        <f t="shared" si="51"/>
        <v>#N/A</v>
      </c>
      <c r="AH105" s="20" t="e">
        <f t="shared" si="52"/>
        <v>#N/A</v>
      </c>
      <c r="AI105" s="20" t="e">
        <f t="shared" si="53"/>
        <v>#N/A</v>
      </c>
      <c r="AJ105" s="20" t="e">
        <f t="shared" si="54"/>
        <v>#N/A</v>
      </c>
      <c r="AK105" s="20" t="e">
        <f t="shared" si="55"/>
        <v>#N/A</v>
      </c>
      <c r="AL105" s="20" t="e">
        <f t="shared" si="56"/>
        <v>#N/A</v>
      </c>
    </row>
    <row r="106" spans="9:38" ht="14.4" x14ac:dyDescent="0.3">
      <c r="I106" s="3" t="str">
        <f t="shared" si="38"/>
        <v>---</v>
      </c>
      <c r="J106" s="8" t="str">
        <f t="shared" si="39"/>
        <v>----,-</v>
      </c>
      <c r="K106" s="3" t="e">
        <f>VLOOKUP(I106, '[1]Depth vlookup'!$G$2:$I$997,2,FALSE())+(G106/100)</f>
        <v>#N/A</v>
      </c>
      <c r="L106" s="18" t="e">
        <f t="shared" si="40"/>
        <v>#N/A</v>
      </c>
      <c r="M106" s="2"/>
      <c r="N106" s="4" t="e">
        <f>VLOOKUP(M106,  [1]Beakers!$A$2:$B$151, 2, 0)</f>
        <v>#N/A</v>
      </c>
      <c r="V106" s="20" t="e">
        <f t="shared" si="41"/>
        <v>#N/A</v>
      </c>
      <c r="W106" s="20" t="e">
        <f t="shared" si="42"/>
        <v>#N/A</v>
      </c>
      <c r="X106" s="20" t="e">
        <f t="shared" si="43"/>
        <v>#N/A</v>
      </c>
      <c r="Y106" s="20" t="e">
        <f t="shared" si="44"/>
        <v>#N/A</v>
      </c>
      <c r="Z106" s="20" t="e">
        <f t="shared" si="45"/>
        <v>#N/A</v>
      </c>
      <c r="AA106" s="20" t="e">
        <f t="shared" si="46"/>
        <v>#N/A</v>
      </c>
      <c r="AB106" s="20" t="e">
        <f t="shared" si="47"/>
        <v>#N/A</v>
      </c>
      <c r="AC106" s="20" t="e">
        <f>T106-VLOOKUP(M106, [1]Beakers!$A$2:$C$151, 3, 0)</f>
        <v>#N/A</v>
      </c>
      <c r="AD106" s="20" t="e">
        <f t="shared" si="48"/>
        <v>#N/A</v>
      </c>
      <c r="AE106" s="20" t="e">
        <f t="shared" si="49"/>
        <v>#N/A</v>
      </c>
      <c r="AF106" s="20" t="e">
        <f t="shared" si="50"/>
        <v>#N/A</v>
      </c>
      <c r="AG106" s="20" t="e">
        <f t="shared" si="51"/>
        <v>#N/A</v>
      </c>
      <c r="AH106" s="20" t="e">
        <f t="shared" si="52"/>
        <v>#N/A</v>
      </c>
      <c r="AI106" s="20" t="e">
        <f t="shared" si="53"/>
        <v>#N/A</v>
      </c>
      <c r="AJ106" s="20" t="e">
        <f t="shared" si="54"/>
        <v>#N/A</v>
      </c>
      <c r="AK106" s="20" t="e">
        <f t="shared" si="55"/>
        <v>#N/A</v>
      </c>
      <c r="AL106" s="20" t="e">
        <f t="shared" si="56"/>
        <v>#N/A</v>
      </c>
    </row>
    <row r="107" spans="9:38" ht="14.4" x14ac:dyDescent="0.3">
      <c r="I107" s="3" t="str">
        <f t="shared" si="38"/>
        <v>---</v>
      </c>
      <c r="J107" s="8" t="str">
        <f t="shared" si="39"/>
        <v>----,-</v>
      </c>
      <c r="K107" s="3" t="e">
        <f>VLOOKUP(I107, '[1]Depth vlookup'!$G$2:$I$997,2,FALSE())+(G107/100)</f>
        <v>#N/A</v>
      </c>
      <c r="L107" s="18" t="e">
        <f t="shared" si="40"/>
        <v>#N/A</v>
      </c>
      <c r="M107" s="2"/>
      <c r="N107" s="4" t="e">
        <f>VLOOKUP(M107,  [1]Beakers!$A$2:$B$151, 2, 0)</f>
        <v>#N/A</v>
      </c>
      <c r="V107" s="20" t="e">
        <f t="shared" si="41"/>
        <v>#N/A</v>
      </c>
      <c r="W107" s="20" t="e">
        <f t="shared" si="42"/>
        <v>#N/A</v>
      </c>
      <c r="X107" s="20" t="e">
        <f t="shared" si="43"/>
        <v>#N/A</v>
      </c>
      <c r="Y107" s="20" t="e">
        <f t="shared" si="44"/>
        <v>#N/A</v>
      </c>
      <c r="Z107" s="20" t="e">
        <f t="shared" si="45"/>
        <v>#N/A</v>
      </c>
      <c r="AA107" s="20" t="e">
        <f t="shared" si="46"/>
        <v>#N/A</v>
      </c>
      <c r="AB107" s="20" t="e">
        <f t="shared" si="47"/>
        <v>#N/A</v>
      </c>
      <c r="AC107" s="20" t="e">
        <f>T107-VLOOKUP(M107, [1]Beakers!$A$2:$C$151, 3, 0)</f>
        <v>#N/A</v>
      </c>
      <c r="AD107" s="20" t="e">
        <f t="shared" si="48"/>
        <v>#N/A</v>
      </c>
      <c r="AE107" s="20" t="e">
        <f t="shared" si="49"/>
        <v>#N/A</v>
      </c>
      <c r="AF107" s="20" t="e">
        <f t="shared" si="50"/>
        <v>#N/A</v>
      </c>
      <c r="AG107" s="20" t="e">
        <f t="shared" si="51"/>
        <v>#N/A</v>
      </c>
      <c r="AH107" s="20" t="e">
        <f t="shared" si="52"/>
        <v>#N/A</v>
      </c>
      <c r="AI107" s="20" t="e">
        <f t="shared" si="53"/>
        <v>#N/A</v>
      </c>
      <c r="AJ107" s="20" t="e">
        <f t="shared" si="54"/>
        <v>#N/A</v>
      </c>
      <c r="AK107" s="20" t="e">
        <f t="shared" si="55"/>
        <v>#N/A</v>
      </c>
      <c r="AL107" s="20" t="e">
        <f t="shared" si="56"/>
        <v>#N/A</v>
      </c>
    </row>
    <row r="108" spans="9:38" ht="14.4" x14ac:dyDescent="0.3">
      <c r="I108" s="3" t="str">
        <f t="shared" si="38"/>
        <v>---</v>
      </c>
      <c r="J108" s="8" t="str">
        <f t="shared" si="39"/>
        <v>----,-</v>
      </c>
      <c r="K108" s="3" t="e">
        <f>VLOOKUP(I108, '[1]Depth vlookup'!$G$2:$I$997,2,FALSE())+(G108/100)</f>
        <v>#N/A</v>
      </c>
      <c r="L108" s="18" t="e">
        <f t="shared" si="40"/>
        <v>#N/A</v>
      </c>
      <c r="M108" s="2"/>
      <c r="N108" s="4" t="e">
        <f>VLOOKUP(M108,  [1]Beakers!$A$2:$B$151, 2, 0)</f>
        <v>#N/A</v>
      </c>
      <c r="V108" s="20" t="e">
        <f t="shared" si="41"/>
        <v>#N/A</v>
      </c>
      <c r="W108" s="20" t="e">
        <f t="shared" si="42"/>
        <v>#N/A</v>
      </c>
      <c r="X108" s="20" t="e">
        <f t="shared" si="43"/>
        <v>#N/A</v>
      </c>
      <c r="Y108" s="20" t="e">
        <f t="shared" si="44"/>
        <v>#N/A</v>
      </c>
      <c r="Z108" s="20" t="e">
        <f t="shared" si="45"/>
        <v>#N/A</v>
      </c>
      <c r="AA108" s="20" t="e">
        <f t="shared" si="46"/>
        <v>#N/A</v>
      </c>
      <c r="AB108" s="20" t="e">
        <f t="shared" si="47"/>
        <v>#N/A</v>
      </c>
      <c r="AC108" s="20" t="e">
        <f>T108-VLOOKUP(M108, [1]Beakers!$A$2:$C$151, 3, 0)</f>
        <v>#N/A</v>
      </c>
      <c r="AD108" s="20" t="e">
        <f t="shared" si="48"/>
        <v>#N/A</v>
      </c>
      <c r="AE108" s="20" t="e">
        <f t="shared" si="49"/>
        <v>#N/A</v>
      </c>
      <c r="AF108" s="20" t="e">
        <f t="shared" si="50"/>
        <v>#N/A</v>
      </c>
      <c r="AG108" s="20" t="e">
        <f t="shared" si="51"/>
        <v>#N/A</v>
      </c>
      <c r="AH108" s="20" t="e">
        <f t="shared" si="52"/>
        <v>#N/A</v>
      </c>
      <c r="AI108" s="20" t="e">
        <f t="shared" si="53"/>
        <v>#N/A</v>
      </c>
      <c r="AJ108" s="20" t="e">
        <f t="shared" si="54"/>
        <v>#N/A</v>
      </c>
      <c r="AK108" s="20" t="e">
        <f t="shared" si="55"/>
        <v>#N/A</v>
      </c>
      <c r="AL108" s="20" t="e">
        <f t="shared" si="56"/>
        <v>#N/A</v>
      </c>
    </row>
    <row r="109" spans="9:38" ht="14.4" x14ac:dyDescent="0.3">
      <c r="I109" s="3" t="str">
        <f t="shared" si="38"/>
        <v>---</v>
      </c>
      <c r="J109" s="8" t="str">
        <f t="shared" si="39"/>
        <v>----,-</v>
      </c>
      <c r="K109" s="3" t="e">
        <f>VLOOKUP(I109, '[1]Depth vlookup'!$G$2:$I$997,2,FALSE())+(G109/100)</f>
        <v>#N/A</v>
      </c>
      <c r="L109" s="18" t="e">
        <f t="shared" si="40"/>
        <v>#N/A</v>
      </c>
      <c r="M109" s="2"/>
      <c r="N109" s="4" t="e">
        <f>VLOOKUP(M109,  [1]Beakers!$A$2:$B$151, 2, 0)</f>
        <v>#N/A</v>
      </c>
      <c r="V109" s="20" t="e">
        <f t="shared" si="41"/>
        <v>#N/A</v>
      </c>
      <c r="W109" s="20" t="e">
        <f t="shared" si="42"/>
        <v>#N/A</v>
      </c>
      <c r="X109" s="20" t="e">
        <f t="shared" si="43"/>
        <v>#N/A</v>
      </c>
      <c r="Y109" s="20" t="e">
        <f t="shared" si="44"/>
        <v>#N/A</v>
      </c>
      <c r="Z109" s="20" t="e">
        <f t="shared" si="45"/>
        <v>#N/A</v>
      </c>
      <c r="AA109" s="20" t="e">
        <f t="shared" si="46"/>
        <v>#N/A</v>
      </c>
      <c r="AB109" s="20" t="e">
        <f t="shared" si="47"/>
        <v>#N/A</v>
      </c>
      <c r="AC109" s="20" t="e">
        <f>T109-VLOOKUP(M109, [1]Beakers!$A$2:$C$151, 3, 0)</f>
        <v>#N/A</v>
      </c>
      <c r="AD109" s="20" t="e">
        <f t="shared" si="48"/>
        <v>#N/A</v>
      </c>
      <c r="AE109" s="20" t="e">
        <f t="shared" si="49"/>
        <v>#N/A</v>
      </c>
      <c r="AF109" s="20" t="e">
        <f t="shared" si="50"/>
        <v>#N/A</v>
      </c>
      <c r="AG109" s="20" t="e">
        <f t="shared" si="51"/>
        <v>#N/A</v>
      </c>
      <c r="AH109" s="20" t="e">
        <f t="shared" si="52"/>
        <v>#N/A</v>
      </c>
      <c r="AI109" s="20" t="e">
        <f t="shared" si="53"/>
        <v>#N/A</v>
      </c>
      <c r="AJ109" s="20" t="e">
        <f t="shared" si="54"/>
        <v>#N/A</v>
      </c>
      <c r="AK109" s="20" t="e">
        <f t="shared" si="55"/>
        <v>#N/A</v>
      </c>
      <c r="AL109" s="20" t="e">
        <f t="shared" si="56"/>
        <v>#N/A</v>
      </c>
    </row>
    <row r="110" spans="9:38" ht="14.4" x14ac:dyDescent="0.3">
      <c r="I110" s="3" t="str">
        <f t="shared" si="38"/>
        <v>---</v>
      </c>
      <c r="J110" s="8" t="str">
        <f t="shared" si="39"/>
        <v>----,-</v>
      </c>
      <c r="K110" s="3" t="e">
        <f>VLOOKUP(I110, '[1]Depth vlookup'!$G$2:$I$997,2,FALSE())+(G110/100)</f>
        <v>#N/A</v>
      </c>
      <c r="L110" s="18" t="e">
        <f t="shared" si="40"/>
        <v>#N/A</v>
      </c>
      <c r="M110" s="2"/>
      <c r="N110" s="4" t="e">
        <f>VLOOKUP(M110,  [1]Beakers!$A$2:$B$151, 2, 0)</f>
        <v>#N/A</v>
      </c>
      <c r="V110" s="20" t="e">
        <f t="shared" si="41"/>
        <v>#N/A</v>
      </c>
      <c r="W110" s="20" t="e">
        <f t="shared" si="42"/>
        <v>#N/A</v>
      </c>
      <c r="X110" s="20" t="e">
        <f t="shared" si="43"/>
        <v>#N/A</v>
      </c>
      <c r="Y110" s="20" t="e">
        <f t="shared" si="44"/>
        <v>#N/A</v>
      </c>
      <c r="Z110" s="20" t="e">
        <f t="shared" si="45"/>
        <v>#N/A</v>
      </c>
      <c r="AA110" s="20" t="e">
        <f t="shared" si="46"/>
        <v>#N/A</v>
      </c>
      <c r="AB110" s="20" t="e">
        <f t="shared" si="47"/>
        <v>#N/A</v>
      </c>
      <c r="AC110" s="20" t="e">
        <f>T110-VLOOKUP(M110, [1]Beakers!$A$2:$C$151, 3, 0)</f>
        <v>#N/A</v>
      </c>
      <c r="AD110" s="20" t="e">
        <f t="shared" si="48"/>
        <v>#N/A</v>
      </c>
      <c r="AE110" s="20" t="e">
        <f t="shared" si="49"/>
        <v>#N/A</v>
      </c>
      <c r="AF110" s="20" t="e">
        <f t="shared" si="50"/>
        <v>#N/A</v>
      </c>
      <c r="AG110" s="20" t="e">
        <f t="shared" si="51"/>
        <v>#N/A</v>
      </c>
      <c r="AH110" s="20" t="e">
        <f t="shared" si="52"/>
        <v>#N/A</v>
      </c>
      <c r="AI110" s="20" t="e">
        <f t="shared" si="53"/>
        <v>#N/A</v>
      </c>
      <c r="AJ110" s="20" t="e">
        <f t="shared" si="54"/>
        <v>#N/A</v>
      </c>
      <c r="AK110" s="20" t="e">
        <f t="shared" si="55"/>
        <v>#N/A</v>
      </c>
      <c r="AL110" s="20" t="e">
        <f t="shared" si="56"/>
        <v>#N/A</v>
      </c>
    </row>
    <row r="111" spans="9:38" ht="14.4" x14ac:dyDescent="0.3">
      <c r="I111" s="3" t="str">
        <f t="shared" si="38"/>
        <v>---</v>
      </c>
      <c r="J111" s="8" t="str">
        <f t="shared" si="39"/>
        <v>----,-</v>
      </c>
      <c r="K111" s="3" t="e">
        <f>VLOOKUP(I111, '[1]Depth vlookup'!$G$2:$I$997,2,FALSE())+(G111/100)</f>
        <v>#N/A</v>
      </c>
      <c r="L111" s="18" t="e">
        <f t="shared" si="40"/>
        <v>#N/A</v>
      </c>
      <c r="M111" s="2"/>
      <c r="N111" s="4" t="e">
        <f>VLOOKUP(M111,  [1]Beakers!$A$2:$B$151, 2, 0)</f>
        <v>#N/A</v>
      </c>
      <c r="V111" s="20" t="e">
        <f t="shared" si="41"/>
        <v>#N/A</v>
      </c>
      <c r="W111" s="20" t="e">
        <f t="shared" si="42"/>
        <v>#N/A</v>
      </c>
      <c r="X111" s="20" t="e">
        <f t="shared" si="43"/>
        <v>#N/A</v>
      </c>
      <c r="Y111" s="20" t="e">
        <f t="shared" si="44"/>
        <v>#N/A</v>
      </c>
      <c r="Z111" s="20" t="e">
        <f t="shared" si="45"/>
        <v>#N/A</v>
      </c>
      <c r="AA111" s="20" t="e">
        <f t="shared" si="46"/>
        <v>#N/A</v>
      </c>
      <c r="AB111" s="20" t="e">
        <f t="shared" si="47"/>
        <v>#N/A</v>
      </c>
      <c r="AC111" s="20" t="e">
        <f>T111-VLOOKUP(M111, [1]Beakers!$A$2:$C$151, 3, 0)</f>
        <v>#N/A</v>
      </c>
      <c r="AD111" s="20" t="e">
        <f t="shared" si="48"/>
        <v>#N/A</v>
      </c>
      <c r="AE111" s="20" t="e">
        <f t="shared" si="49"/>
        <v>#N/A</v>
      </c>
      <c r="AF111" s="20" t="e">
        <f t="shared" si="50"/>
        <v>#N/A</v>
      </c>
      <c r="AG111" s="20" t="e">
        <f t="shared" si="51"/>
        <v>#N/A</v>
      </c>
      <c r="AH111" s="20" t="e">
        <f t="shared" si="52"/>
        <v>#N/A</v>
      </c>
      <c r="AI111" s="20" t="e">
        <f t="shared" si="53"/>
        <v>#N/A</v>
      </c>
      <c r="AJ111" s="20" t="e">
        <f t="shared" si="54"/>
        <v>#N/A</v>
      </c>
      <c r="AK111" s="20" t="e">
        <f t="shared" si="55"/>
        <v>#N/A</v>
      </c>
      <c r="AL111" s="20" t="e">
        <f t="shared" si="56"/>
        <v>#N/A</v>
      </c>
    </row>
    <row r="112" spans="9:38" ht="14.4" x14ac:dyDescent="0.3">
      <c r="I112" s="3" t="str">
        <f t="shared" si="38"/>
        <v>---</v>
      </c>
      <c r="J112" s="8" t="str">
        <f t="shared" si="39"/>
        <v>----,-</v>
      </c>
      <c r="K112" s="3" t="e">
        <f>VLOOKUP(I112, '[1]Depth vlookup'!$G$2:$I$997,2,FALSE())+(G112/100)</f>
        <v>#N/A</v>
      </c>
      <c r="L112" s="18" t="e">
        <f t="shared" si="40"/>
        <v>#N/A</v>
      </c>
      <c r="M112" s="2"/>
      <c r="N112" s="4" t="e">
        <f>VLOOKUP(M112,  [1]Beakers!$A$2:$B$151, 2, 0)</f>
        <v>#N/A</v>
      </c>
      <c r="V112" s="20" t="e">
        <f t="shared" si="41"/>
        <v>#N/A</v>
      </c>
      <c r="W112" s="20" t="e">
        <f t="shared" si="42"/>
        <v>#N/A</v>
      </c>
      <c r="X112" s="20" t="e">
        <f t="shared" si="43"/>
        <v>#N/A</v>
      </c>
      <c r="Y112" s="20" t="e">
        <f t="shared" si="44"/>
        <v>#N/A</v>
      </c>
      <c r="Z112" s="20" t="e">
        <f t="shared" si="45"/>
        <v>#N/A</v>
      </c>
      <c r="AA112" s="20" t="e">
        <f t="shared" si="46"/>
        <v>#N/A</v>
      </c>
      <c r="AB112" s="20" t="e">
        <f t="shared" si="47"/>
        <v>#N/A</v>
      </c>
      <c r="AC112" s="20" t="e">
        <f>T112-VLOOKUP(M112, [1]Beakers!$A$2:$C$151, 3, 0)</f>
        <v>#N/A</v>
      </c>
      <c r="AD112" s="20" t="e">
        <f t="shared" si="48"/>
        <v>#N/A</v>
      </c>
      <c r="AE112" s="20" t="e">
        <f t="shared" si="49"/>
        <v>#N/A</v>
      </c>
      <c r="AF112" s="20" t="e">
        <f t="shared" si="50"/>
        <v>#N/A</v>
      </c>
      <c r="AG112" s="20" t="e">
        <f t="shared" si="51"/>
        <v>#N/A</v>
      </c>
      <c r="AH112" s="20" t="e">
        <f t="shared" si="52"/>
        <v>#N/A</v>
      </c>
      <c r="AI112" s="20" t="e">
        <f t="shared" si="53"/>
        <v>#N/A</v>
      </c>
      <c r="AJ112" s="20" t="e">
        <f t="shared" si="54"/>
        <v>#N/A</v>
      </c>
      <c r="AK112" s="20" t="e">
        <f t="shared" si="55"/>
        <v>#N/A</v>
      </c>
      <c r="AL112" s="20" t="e">
        <f t="shared" si="56"/>
        <v>#N/A</v>
      </c>
    </row>
    <row r="113" spans="9:38" ht="14.4" x14ac:dyDescent="0.3">
      <c r="I113" s="3" t="str">
        <f t="shared" si="38"/>
        <v>---</v>
      </c>
      <c r="J113" s="8" t="str">
        <f t="shared" si="39"/>
        <v>----,-</v>
      </c>
      <c r="K113" s="3" t="e">
        <f>VLOOKUP(I113, '[1]Depth vlookup'!$G$2:$I$997,2,FALSE())+(G113/100)</f>
        <v>#N/A</v>
      </c>
      <c r="L113" s="18" t="e">
        <f t="shared" si="40"/>
        <v>#N/A</v>
      </c>
      <c r="M113" s="2"/>
      <c r="N113" s="4" t="e">
        <f>VLOOKUP(M113,  [1]Beakers!$A$2:$B$151, 2, 0)</f>
        <v>#N/A</v>
      </c>
      <c r="V113" s="20" t="e">
        <f t="shared" si="41"/>
        <v>#N/A</v>
      </c>
      <c r="W113" s="20" t="e">
        <f t="shared" si="42"/>
        <v>#N/A</v>
      </c>
      <c r="X113" s="20" t="e">
        <f t="shared" si="43"/>
        <v>#N/A</v>
      </c>
      <c r="Y113" s="20" t="e">
        <f t="shared" si="44"/>
        <v>#N/A</v>
      </c>
      <c r="Z113" s="20" t="e">
        <f t="shared" si="45"/>
        <v>#N/A</v>
      </c>
      <c r="AA113" s="20" t="e">
        <f t="shared" si="46"/>
        <v>#N/A</v>
      </c>
      <c r="AB113" s="20" t="e">
        <f t="shared" si="47"/>
        <v>#N/A</v>
      </c>
      <c r="AC113" s="20" t="e">
        <f>T113-VLOOKUP(M113, [1]Beakers!$A$2:$C$151, 3, 0)</f>
        <v>#N/A</v>
      </c>
      <c r="AD113" s="20" t="e">
        <f t="shared" si="48"/>
        <v>#N/A</v>
      </c>
      <c r="AE113" s="20" t="e">
        <f t="shared" si="49"/>
        <v>#N/A</v>
      </c>
      <c r="AF113" s="20" t="e">
        <f t="shared" si="50"/>
        <v>#N/A</v>
      </c>
      <c r="AG113" s="20" t="e">
        <f t="shared" si="51"/>
        <v>#N/A</v>
      </c>
      <c r="AH113" s="20" t="e">
        <f t="shared" si="52"/>
        <v>#N/A</v>
      </c>
      <c r="AI113" s="20" t="e">
        <f t="shared" si="53"/>
        <v>#N/A</v>
      </c>
      <c r="AJ113" s="20" t="e">
        <f t="shared" si="54"/>
        <v>#N/A</v>
      </c>
      <c r="AK113" s="20" t="e">
        <f t="shared" si="55"/>
        <v>#N/A</v>
      </c>
      <c r="AL113" s="20" t="e">
        <f t="shared" si="56"/>
        <v>#N/A</v>
      </c>
    </row>
    <row r="114" spans="9:38" ht="14.4" x14ac:dyDescent="0.3">
      <c r="I114" s="3" t="str">
        <f t="shared" si="38"/>
        <v>---</v>
      </c>
      <c r="J114" s="8" t="str">
        <f t="shared" si="39"/>
        <v>----,-</v>
      </c>
      <c r="K114" s="3" t="e">
        <f>VLOOKUP(I114, '[1]Depth vlookup'!$G$2:$I$997,2,FALSE())+(G114/100)</f>
        <v>#N/A</v>
      </c>
      <c r="L114" s="18" t="e">
        <f t="shared" si="40"/>
        <v>#N/A</v>
      </c>
      <c r="M114" s="2"/>
      <c r="N114" s="4" t="e">
        <f>VLOOKUP(M114,  [1]Beakers!$A$2:$B$151, 2, 0)</f>
        <v>#N/A</v>
      </c>
      <c r="V114" s="20" t="e">
        <f t="shared" si="41"/>
        <v>#N/A</v>
      </c>
      <c r="W114" s="20" t="e">
        <f t="shared" si="42"/>
        <v>#N/A</v>
      </c>
      <c r="X114" s="20" t="e">
        <f t="shared" si="43"/>
        <v>#N/A</v>
      </c>
      <c r="Y114" s="20" t="e">
        <f t="shared" si="44"/>
        <v>#N/A</v>
      </c>
      <c r="Z114" s="20" t="e">
        <f t="shared" si="45"/>
        <v>#N/A</v>
      </c>
      <c r="AA114" s="20" t="e">
        <f t="shared" si="46"/>
        <v>#N/A</v>
      </c>
      <c r="AB114" s="20" t="e">
        <f t="shared" si="47"/>
        <v>#N/A</v>
      </c>
      <c r="AC114" s="20" t="e">
        <f>T114-VLOOKUP(M114, [1]Beakers!$A$2:$C$151, 3, 0)</f>
        <v>#N/A</v>
      </c>
      <c r="AD114" s="20" t="e">
        <f t="shared" si="48"/>
        <v>#N/A</v>
      </c>
      <c r="AE114" s="20" t="e">
        <f t="shared" si="49"/>
        <v>#N/A</v>
      </c>
      <c r="AF114" s="20" t="e">
        <f t="shared" si="50"/>
        <v>#N/A</v>
      </c>
      <c r="AG114" s="20" t="e">
        <f t="shared" si="51"/>
        <v>#N/A</v>
      </c>
      <c r="AH114" s="20" t="e">
        <f t="shared" si="52"/>
        <v>#N/A</v>
      </c>
      <c r="AI114" s="20" t="e">
        <f t="shared" si="53"/>
        <v>#N/A</v>
      </c>
      <c r="AJ114" s="20" t="e">
        <f t="shared" si="54"/>
        <v>#N/A</v>
      </c>
      <c r="AK114" s="20" t="e">
        <f t="shared" si="55"/>
        <v>#N/A</v>
      </c>
      <c r="AL114" s="20" t="e">
        <f t="shared" si="56"/>
        <v>#N/A</v>
      </c>
    </row>
    <row r="115" spans="9:38" ht="14.4" x14ac:dyDescent="0.3">
      <c r="I115" s="3" t="str">
        <f t="shared" si="38"/>
        <v>---</v>
      </c>
      <c r="J115" s="8" t="str">
        <f t="shared" si="39"/>
        <v>----,-</v>
      </c>
      <c r="K115" s="3" t="e">
        <f>VLOOKUP(I115, '[1]Depth vlookup'!$G$2:$I$997,2,FALSE())+(G115/100)</f>
        <v>#N/A</v>
      </c>
      <c r="L115" s="18" t="e">
        <f t="shared" si="40"/>
        <v>#N/A</v>
      </c>
      <c r="M115" s="2"/>
      <c r="N115" s="4" t="e">
        <f>VLOOKUP(M115,  [1]Beakers!$A$2:$B$151, 2, 0)</f>
        <v>#N/A</v>
      </c>
      <c r="V115" s="20" t="e">
        <f t="shared" si="41"/>
        <v>#N/A</v>
      </c>
      <c r="W115" s="20" t="e">
        <f t="shared" si="42"/>
        <v>#N/A</v>
      </c>
      <c r="X115" s="20" t="e">
        <f t="shared" si="43"/>
        <v>#N/A</v>
      </c>
      <c r="Y115" s="20" t="e">
        <f t="shared" si="44"/>
        <v>#N/A</v>
      </c>
      <c r="Z115" s="20" t="e">
        <f t="shared" si="45"/>
        <v>#N/A</v>
      </c>
      <c r="AA115" s="20" t="e">
        <f t="shared" si="46"/>
        <v>#N/A</v>
      </c>
      <c r="AB115" s="20" t="e">
        <f t="shared" si="47"/>
        <v>#N/A</v>
      </c>
      <c r="AC115" s="20" t="e">
        <f>T115-VLOOKUP(M115, [1]Beakers!$A$2:$C$151, 3, 0)</f>
        <v>#N/A</v>
      </c>
      <c r="AD115" s="20" t="e">
        <f t="shared" si="48"/>
        <v>#N/A</v>
      </c>
      <c r="AE115" s="20" t="e">
        <f t="shared" si="49"/>
        <v>#N/A</v>
      </c>
      <c r="AF115" s="20" t="e">
        <f t="shared" si="50"/>
        <v>#N/A</v>
      </c>
      <c r="AG115" s="20" t="e">
        <f t="shared" si="51"/>
        <v>#N/A</v>
      </c>
      <c r="AH115" s="20" t="e">
        <f t="shared" si="52"/>
        <v>#N/A</v>
      </c>
      <c r="AI115" s="20" t="e">
        <f t="shared" si="53"/>
        <v>#N/A</v>
      </c>
      <c r="AJ115" s="20" t="e">
        <f t="shared" si="54"/>
        <v>#N/A</v>
      </c>
      <c r="AK115" s="20" t="e">
        <f t="shared" si="55"/>
        <v>#N/A</v>
      </c>
      <c r="AL115" s="20" t="e">
        <f t="shared" si="56"/>
        <v>#N/A</v>
      </c>
    </row>
    <row r="116" spans="9:38" ht="14.4" x14ac:dyDescent="0.3">
      <c r="I116" s="3" t="str">
        <f t="shared" si="38"/>
        <v>---</v>
      </c>
      <c r="J116" s="8" t="str">
        <f t="shared" si="39"/>
        <v>----,-</v>
      </c>
      <c r="K116" s="3" t="e">
        <f>VLOOKUP(I116, '[1]Depth vlookup'!$G$2:$I$997,2,FALSE())+(G116/100)</f>
        <v>#N/A</v>
      </c>
      <c r="L116" s="18" t="e">
        <f t="shared" si="40"/>
        <v>#N/A</v>
      </c>
      <c r="M116" s="2"/>
      <c r="N116" s="4" t="e">
        <f>VLOOKUP(M116,  [1]Beakers!$A$2:$B$151, 2, 0)</f>
        <v>#N/A</v>
      </c>
      <c r="V116" s="20" t="e">
        <f t="shared" si="41"/>
        <v>#N/A</v>
      </c>
      <c r="W116" s="20" t="e">
        <f t="shared" si="42"/>
        <v>#N/A</v>
      </c>
      <c r="X116" s="20" t="e">
        <f t="shared" si="43"/>
        <v>#N/A</v>
      </c>
      <c r="Y116" s="20" t="e">
        <f t="shared" si="44"/>
        <v>#N/A</v>
      </c>
      <c r="Z116" s="20" t="e">
        <f t="shared" si="45"/>
        <v>#N/A</v>
      </c>
      <c r="AA116" s="20" t="e">
        <f t="shared" si="46"/>
        <v>#N/A</v>
      </c>
      <c r="AB116" s="20" t="e">
        <f t="shared" si="47"/>
        <v>#N/A</v>
      </c>
      <c r="AC116" s="20" t="e">
        <f>T116-VLOOKUP(M116, [1]Beakers!$A$2:$C$151, 3, 0)</f>
        <v>#N/A</v>
      </c>
      <c r="AD116" s="20" t="e">
        <f t="shared" si="48"/>
        <v>#N/A</v>
      </c>
      <c r="AE116" s="20" t="e">
        <f t="shared" si="49"/>
        <v>#N/A</v>
      </c>
      <c r="AF116" s="20" t="e">
        <f t="shared" si="50"/>
        <v>#N/A</v>
      </c>
      <c r="AG116" s="20" t="e">
        <f t="shared" si="51"/>
        <v>#N/A</v>
      </c>
      <c r="AH116" s="20" t="e">
        <f t="shared" si="52"/>
        <v>#N/A</v>
      </c>
      <c r="AI116" s="20" t="e">
        <f t="shared" si="53"/>
        <v>#N/A</v>
      </c>
      <c r="AJ116" s="20" t="e">
        <f t="shared" si="54"/>
        <v>#N/A</v>
      </c>
      <c r="AK116" s="20" t="e">
        <f t="shared" si="55"/>
        <v>#N/A</v>
      </c>
      <c r="AL116" s="20" t="e">
        <f t="shared" si="56"/>
        <v>#N/A</v>
      </c>
    </row>
    <row r="117" spans="9:38" ht="14.4" x14ac:dyDescent="0.3">
      <c r="I117" s="3" t="str">
        <f t="shared" si="38"/>
        <v>---</v>
      </c>
      <c r="J117" s="8" t="str">
        <f t="shared" si="39"/>
        <v>----,-</v>
      </c>
      <c r="K117" s="3" t="e">
        <f>VLOOKUP(I117, '[1]Depth vlookup'!$G$2:$I$997,2,FALSE())+(G117/100)</f>
        <v>#N/A</v>
      </c>
      <c r="L117" s="18" t="e">
        <f t="shared" si="40"/>
        <v>#N/A</v>
      </c>
      <c r="M117" s="2"/>
      <c r="N117" s="4" t="e">
        <f>VLOOKUP(M117,  [1]Beakers!$A$2:$B$151, 2, 0)</f>
        <v>#N/A</v>
      </c>
      <c r="V117" s="20" t="e">
        <f t="shared" si="41"/>
        <v>#N/A</v>
      </c>
      <c r="W117" s="20" t="e">
        <f t="shared" si="42"/>
        <v>#N/A</v>
      </c>
      <c r="X117" s="20" t="e">
        <f t="shared" si="43"/>
        <v>#N/A</v>
      </c>
      <c r="Y117" s="20" t="e">
        <f t="shared" si="44"/>
        <v>#N/A</v>
      </c>
      <c r="Z117" s="20" t="e">
        <f t="shared" si="45"/>
        <v>#N/A</v>
      </c>
      <c r="AA117" s="20" t="e">
        <f t="shared" si="46"/>
        <v>#N/A</v>
      </c>
      <c r="AB117" s="20" t="e">
        <f t="shared" si="47"/>
        <v>#N/A</v>
      </c>
      <c r="AC117" s="20" t="e">
        <f>T117-VLOOKUP(M117, [1]Beakers!$A$2:$C$151, 3, 0)</f>
        <v>#N/A</v>
      </c>
      <c r="AD117" s="20" t="e">
        <f t="shared" si="48"/>
        <v>#N/A</v>
      </c>
      <c r="AE117" s="20" t="e">
        <f t="shared" si="49"/>
        <v>#N/A</v>
      </c>
      <c r="AF117" s="20" t="e">
        <f t="shared" si="50"/>
        <v>#N/A</v>
      </c>
      <c r="AG117" s="20" t="e">
        <f t="shared" si="51"/>
        <v>#N/A</v>
      </c>
      <c r="AH117" s="20" t="e">
        <f t="shared" si="52"/>
        <v>#N/A</v>
      </c>
      <c r="AI117" s="20" t="e">
        <f t="shared" si="53"/>
        <v>#N/A</v>
      </c>
      <c r="AJ117" s="20" t="e">
        <f t="shared" si="54"/>
        <v>#N/A</v>
      </c>
      <c r="AK117" s="20" t="e">
        <f t="shared" si="55"/>
        <v>#N/A</v>
      </c>
      <c r="AL117" s="20" t="e">
        <f t="shared" si="56"/>
        <v>#N/A</v>
      </c>
    </row>
    <row r="118" spans="9:38" ht="14.4" x14ac:dyDescent="0.3">
      <c r="I118" s="3" t="str">
        <f t="shared" si="38"/>
        <v>---</v>
      </c>
      <c r="J118" s="8" t="str">
        <f t="shared" si="39"/>
        <v>----,-</v>
      </c>
      <c r="K118" s="3" t="e">
        <f>VLOOKUP(I118, '[1]Depth vlookup'!$G$2:$I$997,2,FALSE())+(G118/100)</f>
        <v>#N/A</v>
      </c>
      <c r="L118" s="18" t="e">
        <f t="shared" si="40"/>
        <v>#N/A</v>
      </c>
      <c r="M118" s="2"/>
      <c r="N118" s="4" t="e">
        <f>VLOOKUP(M118,  [1]Beakers!$A$2:$B$151, 2, 0)</f>
        <v>#N/A</v>
      </c>
      <c r="V118" s="20" t="e">
        <f t="shared" si="41"/>
        <v>#N/A</v>
      </c>
      <c r="W118" s="20" t="e">
        <f t="shared" si="42"/>
        <v>#N/A</v>
      </c>
      <c r="X118" s="20" t="e">
        <f t="shared" si="43"/>
        <v>#N/A</v>
      </c>
      <c r="Y118" s="20" t="e">
        <f t="shared" si="44"/>
        <v>#N/A</v>
      </c>
      <c r="Z118" s="20" t="e">
        <f t="shared" si="45"/>
        <v>#N/A</v>
      </c>
      <c r="AA118" s="20" t="e">
        <f t="shared" si="46"/>
        <v>#N/A</v>
      </c>
      <c r="AB118" s="20" t="e">
        <f t="shared" si="47"/>
        <v>#N/A</v>
      </c>
      <c r="AC118" s="20" t="e">
        <f>T118-VLOOKUP(M118, [1]Beakers!$A$2:$C$151, 3, 0)</f>
        <v>#N/A</v>
      </c>
      <c r="AD118" s="20" t="e">
        <f t="shared" si="48"/>
        <v>#N/A</v>
      </c>
      <c r="AE118" s="20" t="e">
        <f t="shared" si="49"/>
        <v>#N/A</v>
      </c>
      <c r="AF118" s="20" t="e">
        <f t="shared" si="50"/>
        <v>#N/A</v>
      </c>
      <c r="AG118" s="20" t="e">
        <f t="shared" si="51"/>
        <v>#N/A</v>
      </c>
      <c r="AH118" s="20" t="e">
        <f t="shared" si="52"/>
        <v>#N/A</v>
      </c>
      <c r="AI118" s="20" t="e">
        <f t="shared" si="53"/>
        <v>#N/A</v>
      </c>
      <c r="AJ118" s="20" t="e">
        <f t="shared" si="54"/>
        <v>#N/A</v>
      </c>
      <c r="AK118" s="20" t="e">
        <f t="shared" si="55"/>
        <v>#N/A</v>
      </c>
      <c r="AL118" s="20" t="e">
        <f t="shared" si="56"/>
        <v>#N/A</v>
      </c>
    </row>
    <row r="119" spans="9:38" ht="14.4" x14ac:dyDescent="0.3">
      <c r="I119" s="3" t="str">
        <f t="shared" si="38"/>
        <v>---</v>
      </c>
      <c r="J119" s="8" t="str">
        <f t="shared" si="39"/>
        <v>----,-</v>
      </c>
      <c r="K119" s="3" t="e">
        <f>VLOOKUP(I119, '[1]Depth vlookup'!$G$2:$I$997,2,FALSE())+(G119/100)</f>
        <v>#N/A</v>
      </c>
      <c r="L119" s="18" t="e">
        <f t="shared" si="40"/>
        <v>#N/A</v>
      </c>
      <c r="M119" s="2"/>
      <c r="N119" s="4" t="e">
        <f>VLOOKUP(M119,  [1]Beakers!$A$2:$B$151, 2, 0)</f>
        <v>#N/A</v>
      </c>
      <c r="V119" s="20" t="e">
        <f t="shared" si="41"/>
        <v>#N/A</v>
      </c>
      <c r="W119" s="20" t="e">
        <f t="shared" si="42"/>
        <v>#N/A</v>
      </c>
      <c r="X119" s="20" t="e">
        <f t="shared" si="43"/>
        <v>#N/A</v>
      </c>
      <c r="Y119" s="20" t="e">
        <f t="shared" si="44"/>
        <v>#N/A</v>
      </c>
      <c r="Z119" s="20" t="e">
        <f t="shared" si="45"/>
        <v>#N/A</v>
      </c>
      <c r="AA119" s="20" t="e">
        <f t="shared" si="46"/>
        <v>#N/A</v>
      </c>
      <c r="AB119" s="20" t="e">
        <f t="shared" si="47"/>
        <v>#N/A</v>
      </c>
      <c r="AC119" s="20" t="e">
        <f>T119-VLOOKUP(M119, [1]Beakers!$A$2:$C$151, 3, 0)</f>
        <v>#N/A</v>
      </c>
      <c r="AD119" s="20" t="e">
        <f t="shared" si="48"/>
        <v>#N/A</v>
      </c>
      <c r="AE119" s="20" t="e">
        <f t="shared" si="49"/>
        <v>#N/A</v>
      </c>
      <c r="AF119" s="20" t="e">
        <f t="shared" si="50"/>
        <v>#N/A</v>
      </c>
      <c r="AG119" s="20" t="e">
        <f t="shared" si="51"/>
        <v>#N/A</v>
      </c>
      <c r="AH119" s="20" t="e">
        <f t="shared" si="52"/>
        <v>#N/A</v>
      </c>
      <c r="AI119" s="20" t="e">
        <f t="shared" si="53"/>
        <v>#N/A</v>
      </c>
      <c r="AJ119" s="20" t="e">
        <f t="shared" si="54"/>
        <v>#N/A</v>
      </c>
      <c r="AK119" s="20" t="e">
        <f t="shared" si="55"/>
        <v>#N/A</v>
      </c>
      <c r="AL119" s="20" t="e">
        <f t="shared" si="56"/>
        <v>#N/A</v>
      </c>
    </row>
    <row r="120" spans="9:38" ht="14.4" x14ac:dyDescent="0.3">
      <c r="I120" s="3" t="str">
        <f t="shared" si="38"/>
        <v>---</v>
      </c>
      <c r="J120" s="8" t="str">
        <f t="shared" si="39"/>
        <v>----,-</v>
      </c>
      <c r="K120" s="3" t="e">
        <f>VLOOKUP(I120, '[1]Depth vlookup'!$G$2:$I$997,2,FALSE())+(G120/100)</f>
        <v>#N/A</v>
      </c>
      <c r="L120" s="18" t="e">
        <f t="shared" si="40"/>
        <v>#N/A</v>
      </c>
      <c r="M120" s="2"/>
      <c r="N120" s="4" t="e">
        <f>VLOOKUP(M120,  [1]Beakers!$A$2:$B$151, 2, 0)</f>
        <v>#N/A</v>
      </c>
      <c r="V120" s="20" t="e">
        <f t="shared" si="41"/>
        <v>#N/A</v>
      </c>
      <c r="W120" s="20" t="e">
        <f t="shared" si="42"/>
        <v>#N/A</v>
      </c>
      <c r="X120" s="20" t="e">
        <f t="shared" si="43"/>
        <v>#N/A</v>
      </c>
      <c r="Y120" s="20" t="e">
        <f t="shared" si="44"/>
        <v>#N/A</v>
      </c>
      <c r="Z120" s="20" t="e">
        <f t="shared" si="45"/>
        <v>#N/A</v>
      </c>
      <c r="AA120" s="20" t="e">
        <f t="shared" si="46"/>
        <v>#N/A</v>
      </c>
      <c r="AB120" s="20" t="e">
        <f t="shared" si="47"/>
        <v>#N/A</v>
      </c>
      <c r="AC120" s="20" t="e">
        <f>T120-VLOOKUP(M120, [1]Beakers!$A$2:$C$151, 3, 0)</f>
        <v>#N/A</v>
      </c>
      <c r="AD120" s="20" t="e">
        <f t="shared" si="48"/>
        <v>#N/A</v>
      </c>
      <c r="AE120" s="20" t="e">
        <f t="shared" si="49"/>
        <v>#N/A</v>
      </c>
      <c r="AF120" s="20" t="e">
        <f t="shared" si="50"/>
        <v>#N/A</v>
      </c>
      <c r="AG120" s="20" t="e">
        <f t="shared" si="51"/>
        <v>#N/A</v>
      </c>
      <c r="AH120" s="20" t="e">
        <f t="shared" si="52"/>
        <v>#N/A</v>
      </c>
      <c r="AI120" s="20" t="e">
        <f t="shared" si="53"/>
        <v>#N/A</v>
      </c>
      <c r="AJ120" s="20" t="e">
        <f t="shared" si="54"/>
        <v>#N/A</v>
      </c>
      <c r="AK120" s="20" t="e">
        <f t="shared" si="55"/>
        <v>#N/A</v>
      </c>
      <c r="AL120" s="20" t="e">
        <f t="shared" si="56"/>
        <v>#N/A</v>
      </c>
    </row>
    <row r="121" spans="9:38" ht="14.4" x14ac:dyDescent="0.3">
      <c r="I121" s="3" t="str">
        <f t="shared" si="38"/>
        <v>---</v>
      </c>
      <c r="J121" s="8" t="str">
        <f t="shared" si="39"/>
        <v>----,-</v>
      </c>
      <c r="K121" s="3" t="e">
        <f>VLOOKUP(I121, '[1]Depth vlookup'!$G$2:$I$997,2,FALSE())+(G121/100)</f>
        <v>#N/A</v>
      </c>
      <c r="L121" s="18" t="e">
        <f t="shared" si="40"/>
        <v>#N/A</v>
      </c>
      <c r="M121" s="2"/>
      <c r="N121" s="4" t="e">
        <f>VLOOKUP(M121,  [1]Beakers!$A$2:$B$151, 2, 0)</f>
        <v>#N/A</v>
      </c>
      <c r="V121" s="20" t="e">
        <f t="shared" si="41"/>
        <v>#N/A</v>
      </c>
      <c r="W121" s="20" t="e">
        <f t="shared" si="42"/>
        <v>#N/A</v>
      </c>
      <c r="X121" s="20" t="e">
        <f t="shared" si="43"/>
        <v>#N/A</v>
      </c>
      <c r="Y121" s="20" t="e">
        <f t="shared" si="44"/>
        <v>#N/A</v>
      </c>
      <c r="Z121" s="20" t="e">
        <f t="shared" si="45"/>
        <v>#N/A</v>
      </c>
      <c r="AA121" s="20" t="e">
        <f t="shared" si="46"/>
        <v>#N/A</v>
      </c>
      <c r="AB121" s="20" t="e">
        <f t="shared" si="47"/>
        <v>#N/A</v>
      </c>
      <c r="AC121" s="20" t="e">
        <f>T121-VLOOKUP(M121, [1]Beakers!$A$2:$C$151, 3, 0)</f>
        <v>#N/A</v>
      </c>
      <c r="AD121" s="20" t="e">
        <f t="shared" si="48"/>
        <v>#N/A</v>
      </c>
      <c r="AE121" s="20" t="e">
        <f t="shared" si="49"/>
        <v>#N/A</v>
      </c>
      <c r="AF121" s="20" t="e">
        <f t="shared" si="50"/>
        <v>#N/A</v>
      </c>
      <c r="AG121" s="20" t="e">
        <f t="shared" si="51"/>
        <v>#N/A</v>
      </c>
      <c r="AH121" s="20" t="e">
        <f t="shared" si="52"/>
        <v>#N/A</v>
      </c>
      <c r="AI121" s="20" t="e">
        <f t="shared" si="53"/>
        <v>#N/A</v>
      </c>
      <c r="AJ121" s="20" t="e">
        <f t="shared" si="54"/>
        <v>#N/A</v>
      </c>
      <c r="AK121" s="20" t="e">
        <f t="shared" si="55"/>
        <v>#N/A</v>
      </c>
      <c r="AL121" s="20" t="e">
        <f t="shared" si="56"/>
        <v>#N/A</v>
      </c>
    </row>
    <row r="122" spans="9:38" ht="14.4" x14ac:dyDescent="0.3">
      <c r="I122" s="3" t="str">
        <f t="shared" si="38"/>
        <v>---</v>
      </c>
      <c r="J122" s="8" t="str">
        <f t="shared" si="39"/>
        <v>----,-</v>
      </c>
      <c r="K122" s="3" t="e">
        <f>VLOOKUP(I122, '[1]Depth vlookup'!$G$2:$I$997,2,FALSE())+(G122/100)</f>
        <v>#N/A</v>
      </c>
      <c r="L122" s="18" t="e">
        <f t="shared" si="40"/>
        <v>#N/A</v>
      </c>
      <c r="M122" s="2"/>
      <c r="N122" s="4" t="e">
        <f>VLOOKUP(M122,  [1]Beakers!$A$2:$B$151, 2, 0)</f>
        <v>#N/A</v>
      </c>
      <c r="V122" s="20" t="e">
        <f t="shared" si="41"/>
        <v>#N/A</v>
      </c>
      <c r="W122" s="20" t="e">
        <f t="shared" si="42"/>
        <v>#N/A</v>
      </c>
      <c r="X122" s="20" t="e">
        <f t="shared" si="43"/>
        <v>#N/A</v>
      </c>
      <c r="Y122" s="20" t="e">
        <f t="shared" si="44"/>
        <v>#N/A</v>
      </c>
      <c r="Z122" s="20" t="e">
        <f t="shared" si="45"/>
        <v>#N/A</v>
      </c>
      <c r="AA122" s="20" t="e">
        <f t="shared" si="46"/>
        <v>#N/A</v>
      </c>
      <c r="AB122" s="20" t="e">
        <f t="shared" si="47"/>
        <v>#N/A</v>
      </c>
      <c r="AC122" s="20" t="e">
        <f>T122-VLOOKUP(M122, [1]Beakers!$A$2:$C$151, 3, 0)</f>
        <v>#N/A</v>
      </c>
      <c r="AD122" s="20" t="e">
        <f t="shared" si="48"/>
        <v>#N/A</v>
      </c>
      <c r="AE122" s="20" t="e">
        <f t="shared" si="49"/>
        <v>#N/A</v>
      </c>
      <c r="AF122" s="20" t="e">
        <f t="shared" si="50"/>
        <v>#N/A</v>
      </c>
      <c r="AG122" s="20" t="e">
        <f t="shared" si="51"/>
        <v>#N/A</v>
      </c>
      <c r="AH122" s="20" t="e">
        <f t="shared" si="52"/>
        <v>#N/A</v>
      </c>
      <c r="AI122" s="20" t="e">
        <f t="shared" si="53"/>
        <v>#N/A</v>
      </c>
      <c r="AJ122" s="20" t="e">
        <f t="shared" si="54"/>
        <v>#N/A</v>
      </c>
      <c r="AK122" s="20" t="e">
        <f t="shared" si="55"/>
        <v>#N/A</v>
      </c>
      <c r="AL122" s="20" t="e">
        <f t="shared" si="56"/>
        <v>#N/A</v>
      </c>
    </row>
    <row r="123" spans="9:38" ht="14.4" x14ac:dyDescent="0.3">
      <c r="I123" s="3" t="str">
        <f t="shared" si="38"/>
        <v>---</v>
      </c>
      <c r="J123" s="8" t="str">
        <f t="shared" si="39"/>
        <v>----,-</v>
      </c>
      <c r="K123" s="3" t="e">
        <f>VLOOKUP(I123, '[1]Depth vlookup'!$G$2:$I$997,2,FALSE())+(G123/100)</f>
        <v>#N/A</v>
      </c>
      <c r="L123" s="18" t="e">
        <f t="shared" si="40"/>
        <v>#N/A</v>
      </c>
      <c r="M123" s="2"/>
      <c r="N123" s="4" t="e">
        <f>VLOOKUP(M123,  [1]Beakers!$A$2:$B$151, 2, 0)</f>
        <v>#N/A</v>
      </c>
      <c r="V123" s="20" t="e">
        <f t="shared" si="41"/>
        <v>#N/A</v>
      </c>
      <c r="W123" s="20" t="e">
        <f t="shared" si="42"/>
        <v>#N/A</v>
      </c>
      <c r="X123" s="20" t="e">
        <f t="shared" si="43"/>
        <v>#N/A</v>
      </c>
      <c r="Y123" s="20" t="e">
        <f t="shared" si="44"/>
        <v>#N/A</v>
      </c>
      <c r="Z123" s="20" t="e">
        <f t="shared" si="45"/>
        <v>#N/A</v>
      </c>
      <c r="AA123" s="20" t="e">
        <f t="shared" si="46"/>
        <v>#N/A</v>
      </c>
      <c r="AB123" s="20" t="e">
        <f t="shared" si="47"/>
        <v>#N/A</v>
      </c>
      <c r="AC123" s="20" t="e">
        <f>T123-VLOOKUP(M123, [1]Beakers!$A$2:$C$151, 3, 0)</f>
        <v>#N/A</v>
      </c>
      <c r="AD123" s="20" t="e">
        <f t="shared" si="48"/>
        <v>#N/A</v>
      </c>
      <c r="AE123" s="20" t="e">
        <f t="shared" si="49"/>
        <v>#N/A</v>
      </c>
      <c r="AF123" s="20" t="e">
        <f t="shared" si="50"/>
        <v>#N/A</v>
      </c>
      <c r="AG123" s="20" t="e">
        <f t="shared" si="51"/>
        <v>#N/A</v>
      </c>
      <c r="AH123" s="20" t="e">
        <f t="shared" si="52"/>
        <v>#N/A</v>
      </c>
      <c r="AI123" s="20" t="e">
        <f t="shared" si="53"/>
        <v>#N/A</v>
      </c>
      <c r="AJ123" s="20" t="e">
        <f t="shared" si="54"/>
        <v>#N/A</v>
      </c>
      <c r="AK123" s="20" t="e">
        <f t="shared" si="55"/>
        <v>#N/A</v>
      </c>
      <c r="AL123" s="20" t="e">
        <f t="shared" si="56"/>
        <v>#N/A</v>
      </c>
    </row>
    <row r="124" spans="9:38" ht="14.4" x14ac:dyDescent="0.3">
      <c r="I124" s="3" t="str">
        <f t="shared" si="38"/>
        <v>---</v>
      </c>
      <c r="J124" s="8" t="str">
        <f t="shared" si="39"/>
        <v>----,-</v>
      </c>
      <c r="K124" s="3" t="e">
        <f>VLOOKUP(I124, '[1]Depth vlookup'!$G$2:$I$997,2,FALSE())+(G124/100)</f>
        <v>#N/A</v>
      </c>
      <c r="L124" s="18" t="e">
        <f t="shared" si="40"/>
        <v>#N/A</v>
      </c>
      <c r="M124" s="2"/>
      <c r="N124" s="4" t="e">
        <f>VLOOKUP(M124,  [1]Beakers!$A$2:$B$151, 2, 0)</f>
        <v>#N/A</v>
      </c>
      <c r="V124" s="20" t="e">
        <f t="shared" si="41"/>
        <v>#N/A</v>
      </c>
      <c r="W124" s="20" t="e">
        <f t="shared" si="42"/>
        <v>#N/A</v>
      </c>
      <c r="X124" s="20" t="e">
        <f t="shared" si="43"/>
        <v>#N/A</v>
      </c>
      <c r="Y124" s="20" t="e">
        <f t="shared" si="44"/>
        <v>#N/A</v>
      </c>
      <c r="Z124" s="20" t="e">
        <f t="shared" si="45"/>
        <v>#N/A</v>
      </c>
      <c r="AA124" s="20" t="e">
        <f t="shared" si="46"/>
        <v>#N/A</v>
      </c>
      <c r="AB124" s="20" t="e">
        <f t="shared" si="47"/>
        <v>#N/A</v>
      </c>
      <c r="AC124" s="20" t="e">
        <f>T124-VLOOKUP(M124, [1]Beakers!$A$2:$C$151, 3, 0)</f>
        <v>#N/A</v>
      </c>
      <c r="AD124" s="20" t="e">
        <f t="shared" si="48"/>
        <v>#N/A</v>
      </c>
      <c r="AE124" s="20" t="e">
        <f t="shared" si="49"/>
        <v>#N/A</v>
      </c>
      <c r="AF124" s="20" t="e">
        <f t="shared" si="50"/>
        <v>#N/A</v>
      </c>
      <c r="AG124" s="20" t="e">
        <f t="shared" si="51"/>
        <v>#N/A</v>
      </c>
      <c r="AH124" s="20" t="e">
        <f t="shared" si="52"/>
        <v>#N/A</v>
      </c>
      <c r="AI124" s="20" t="e">
        <f t="shared" si="53"/>
        <v>#N/A</v>
      </c>
      <c r="AJ124" s="20" t="e">
        <f t="shared" si="54"/>
        <v>#N/A</v>
      </c>
      <c r="AK124" s="20" t="e">
        <f t="shared" si="55"/>
        <v>#N/A</v>
      </c>
      <c r="AL124" s="20" t="e">
        <f t="shared" si="56"/>
        <v>#N/A</v>
      </c>
    </row>
    <row r="125" spans="9:38" ht="14.4" x14ac:dyDescent="0.3">
      <c r="I125" s="3" t="str">
        <f t="shared" si="38"/>
        <v>---</v>
      </c>
      <c r="J125" s="8" t="str">
        <f t="shared" si="39"/>
        <v>----,-</v>
      </c>
      <c r="K125" s="3" t="e">
        <f>VLOOKUP(I125, '[1]Depth vlookup'!$G$2:$I$997,2,FALSE())+(G125/100)</f>
        <v>#N/A</v>
      </c>
      <c r="L125" s="18" t="e">
        <f t="shared" si="40"/>
        <v>#N/A</v>
      </c>
      <c r="M125" s="2"/>
      <c r="N125" s="4" t="e">
        <f>VLOOKUP(M125,  [1]Beakers!$A$2:$B$151, 2, 0)</f>
        <v>#N/A</v>
      </c>
      <c r="V125" s="20" t="e">
        <f t="shared" si="41"/>
        <v>#N/A</v>
      </c>
      <c r="W125" s="20" t="e">
        <f t="shared" si="42"/>
        <v>#N/A</v>
      </c>
      <c r="X125" s="20" t="e">
        <f t="shared" si="43"/>
        <v>#N/A</v>
      </c>
      <c r="Y125" s="20" t="e">
        <f t="shared" si="44"/>
        <v>#N/A</v>
      </c>
      <c r="Z125" s="20" t="e">
        <f t="shared" si="45"/>
        <v>#N/A</v>
      </c>
      <c r="AA125" s="20" t="e">
        <f t="shared" si="46"/>
        <v>#N/A</v>
      </c>
      <c r="AB125" s="20" t="e">
        <f t="shared" si="47"/>
        <v>#N/A</v>
      </c>
      <c r="AC125" s="20" t="e">
        <f>T125-VLOOKUP(M125, [1]Beakers!$A$2:$C$151, 3, 0)</f>
        <v>#N/A</v>
      </c>
      <c r="AD125" s="20" t="e">
        <f t="shared" si="48"/>
        <v>#N/A</v>
      </c>
      <c r="AE125" s="20" t="e">
        <f t="shared" si="49"/>
        <v>#N/A</v>
      </c>
      <c r="AF125" s="20" t="e">
        <f t="shared" si="50"/>
        <v>#N/A</v>
      </c>
      <c r="AG125" s="20" t="e">
        <f t="shared" si="51"/>
        <v>#N/A</v>
      </c>
      <c r="AH125" s="20" t="e">
        <f t="shared" si="52"/>
        <v>#N/A</v>
      </c>
      <c r="AI125" s="20" t="e">
        <f t="shared" si="53"/>
        <v>#N/A</v>
      </c>
      <c r="AJ125" s="20" t="e">
        <f t="shared" si="54"/>
        <v>#N/A</v>
      </c>
      <c r="AK125" s="20" t="e">
        <f t="shared" si="55"/>
        <v>#N/A</v>
      </c>
      <c r="AL125" s="20" t="e">
        <f t="shared" si="56"/>
        <v>#N/A</v>
      </c>
    </row>
    <row r="126" spans="9:38" ht="14.4" x14ac:dyDescent="0.3">
      <c r="I126" s="3" t="str">
        <f t="shared" si="38"/>
        <v>---</v>
      </c>
      <c r="J126" s="8" t="str">
        <f t="shared" si="39"/>
        <v>----,-</v>
      </c>
      <c r="K126" s="3" t="e">
        <f>VLOOKUP(I126, '[1]Depth vlookup'!$G$2:$I$997,2,FALSE())+(G126/100)</f>
        <v>#N/A</v>
      </c>
      <c r="L126" s="18" t="e">
        <f t="shared" si="40"/>
        <v>#N/A</v>
      </c>
      <c r="M126" s="2"/>
      <c r="N126" s="4" t="e">
        <f>VLOOKUP(M126,  [1]Beakers!$A$2:$B$151, 2, 0)</f>
        <v>#N/A</v>
      </c>
      <c r="V126" s="20" t="e">
        <f t="shared" si="41"/>
        <v>#N/A</v>
      </c>
      <c r="W126" s="20" t="e">
        <f t="shared" si="42"/>
        <v>#N/A</v>
      </c>
      <c r="X126" s="20" t="e">
        <f t="shared" si="43"/>
        <v>#N/A</v>
      </c>
      <c r="Y126" s="20" t="e">
        <f t="shared" si="44"/>
        <v>#N/A</v>
      </c>
      <c r="Z126" s="20" t="e">
        <f t="shared" si="45"/>
        <v>#N/A</v>
      </c>
      <c r="AA126" s="20" t="e">
        <f t="shared" si="46"/>
        <v>#N/A</v>
      </c>
      <c r="AB126" s="20" t="e">
        <f t="shared" si="47"/>
        <v>#N/A</v>
      </c>
      <c r="AC126" s="20" t="e">
        <f>T126-VLOOKUP(M126, [1]Beakers!$A$2:$C$151, 3, 0)</f>
        <v>#N/A</v>
      </c>
      <c r="AD126" s="20" t="e">
        <f t="shared" si="48"/>
        <v>#N/A</v>
      </c>
      <c r="AE126" s="20" t="e">
        <f t="shared" si="49"/>
        <v>#N/A</v>
      </c>
      <c r="AF126" s="20" t="e">
        <f t="shared" si="50"/>
        <v>#N/A</v>
      </c>
      <c r="AG126" s="20" t="e">
        <f t="shared" si="51"/>
        <v>#N/A</v>
      </c>
      <c r="AH126" s="20" t="e">
        <f t="shared" si="52"/>
        <v>#N/A</v>
      </c>
      <c r="AI126" s="20" t="e">
        <f t="shared" si="53"/>
        <v>#N/A</v>
      </c>
      <c r="AJ126" s="20" t="e">
        <f t="shared" si="54"/>
        <v>#N/A</v>
      </c>
      <c r="AK126" s="20" t="e">
        <f t="shared" si="55"/>
        <v>#N/A</v>
      </c>
      <c r="AL126" s="20" t="e">
        <f t="shared" si="56"/>
        <v>#N/A</v>
      </c>
    </row>
    <row r="127" spans="9:38" ht="14.4" x14ac:dyDescent="0.3">
      <c r="I127" s="3" t="str">
        <f t="shared" si="38"/>
        <v>---</v>
      </c>
      <c r="J127" s="8" t="str">
        <f t="shared" si="39"/>
        <v>----,-</v>
      </c>
      <c r="K127" s="3" t="e">
        <f>VLOOKUP(I127, '[1]Depth vlookup'!$G$2:$I$997,2,FALSE())+(G127/100)</f>
        <v>#N/A</v>
      </c>
      <c r="L127" s="18" t="e">
        <f t="shared" si="40"/>
        <v>#N/A</v>
      </c>
      <c r="M127" s="2"/>
      <c r="N127" s="4" t="e">
        <f>VLOOKUP(M127,  [1]Beakers!$A$2:$B$151, 2, 0)</f>
        <v>#N/A</v>
      </c>
      <c r="V127" s="20" t="e">
        <f t="shared" si="41"/>
        <v>#N/A</v>
      </c>
      <c r="W127" s="20" t="e">
        <f t="shared" si="42"/>
        <v>#N/A</v>
      </c>
      <c r="X127" s="20" t="e">
        <f t="shared" si="43"/>
        <v>#N/A</v>
      </c>
      <c r="Y127" s="20" t="e">
        <f t="shared" si="44"/>
        <v>#N/A</v>
      </c>
      <c r="Z127" s="20" t="e">
        <f t="shared" si="45"/>
        <v>#N/A</v>
      </c>
      <c r="AA127" s="20" t="e">
        <f t="shared" si="46"/>
        <v>#N/A</v>
      </c>
      <c r="AB127" s="20" t="e">
        <f t="shared" si="47"/>
        <v>#N/A</v>
      </c>
      <c r="AC127" s="20" t="e">
        <f>T127-VLOOKUP(M127, [1]Beakers!$A$2:$C$151, 3, 0)</f>
        <v>#N/A</v>
      </c>
      <c r="AD127" s="20" t="e">
        <f t="shared" si="48"/>
        <v>#N/A</v>
      </c>
      <c r="AE127" s="20" t="e">
        <f t="shared" si="49"/>
        <v>#N/A</v>
      </c>
      <c r="AF127" s="20" t="e">
        <f t="shared" si="50"/>
        <v>#N/A</v>
      </c>
      <c r="AG127" s="20" t="e">
        <f t="shared" si="51"/>
        <v>#N/A</v>
      </c>
      <c r="AH127" s="20" t="e">
        <f t="shared" si="52"/>
        <v>#N/A</v>
      </c>
      <c r="AI127" s="20" t="e">
        <f t="shared" si="53"/>
        <v>#N/A</v>
      </c>
      <c r="AJ127" s="20" t="e">
        <f t="shared" si="54"/>
        <v>#N/A</v>
      </c>
      <c r="AK127" s="20" t="e">
        <f t="shared" si="55"/>
        <v>#N/A</v>
      </c>
      <c r="AL127" s="20" t="e">
        <f t="shared" si="56"/>
        <v>#N/A</v>
      </c>
    </row>
    <row r="128" spans="9:38" ht="14.4" x14ac:dyDescent="0.3">
      <c r="I128" s="3" t="str">
        <f t="shared" si="38"/>
        <v>---</v>
      </c>
      <c r="J128" s="8" t="str">
        <f t="shared" si="39"/>
        <v>----,-</v>
      </c>
      <c r="K128" s="3" t="e">
        <f>VLOOKUP(I128, '[1]Depth vlookup'!$G$2:$I$997,2,FALSE())+(G128/100)</f>
        <v>#N/A</v>
      </c>
      <c r="L128" s="18" t="e">
        <f t="shared" si="40"/>
        <v>#N/A</v>
      </c>
      <c r="M128" s="2"/>
      <c r="N128" s="4" t="e">
        <f>VLOOKUP(M128,  [1]Beakers!$A$2:$B$151, 2, 0)</f>
        <v>#N/A</v>
      </c>
      <c r="V128" s="20" t="e">
        <f t="shared" si="41"/>
        <v>#N/A</v>
      </c>
      <c r="W128" s="20" t="e">
        <f t="shared" si="42"/>
        <v>#N/A</v>
      </c>
      <c r="X128" s="20" t="e">
        <f t="shared" si="43"/>
        <v>#N/A</v>
      </c>
      <c r="Y128" s="20" t="e">
        <f t="shared" si="44"/>
        <v>#N/A</v>
      </c>
      <c r="Z128" s="20" t="e">
        <f t="shared" si="45"/>
        <v>#N/A</v>
      </c>
      <c r="AA128" s="20" t="e">
        <f t="shared" si="46"/>
        <v>#N/A</v>
      </c>
      <c r="AB128" s="20" t="e">
        <f t="shared" si="47"/>
        <v>#N/A</v>
      </c>
      <c r="AC128" s="20" t="e">
        <f>T128-VLOOKUP(M128, [1]Beakers!$A$2:$C$151, 3, 0)</f>
        <v>#N/A</v>
      </c>
      <c r="AD128" s="20" t="e">
        <f t="shared" si="48"/>
        <v>#N/A</v>
      </c>
      <c r="AE128" s="20" t="e">
        <f t="shared" si="49"/>
        <v>#N/A</v>
      </c>
      <c r="AF128" s="20" t="e">
        <f t="shared" si="50"/>
        <v>#N/A</v>
      </c>
      <c r="AG128" s="20" t="e">
        <f t="shared" si="51"/>
        <v>#N/A</v>
      </c>
      <c r="AH128" s="20" t="e">
        <f t="shared" si="52"/>
        <v>#N/A</v>
      </c>
      <c r="AI128" s="20" t="e">
        <f t="shared" si="53"/>
        <v>#N/A</v>
      </c>
      <c r="AJ128" s="20" t="e">
        <f t="shared" si="54"/>
        <v>#N/A</v>
      </c>
      <c r="AK128" s="20" t="e">
        <f t="shared" si="55"/>
        <v>#N/A</v>
      </c>
      <c r="AL128" s="20" t="e">
        <f t="shared" si="56"/>
        <v>#N/A</v>
      </c>
    </row>
    <row r="129" spans="9:38" ht="14.4" x14ac:dyDescent="0.3">
      <c r="I129" s="3" t="str">
        <f t="shared" si="38"/>
        <v>---</v>
      </c>
      <c r="J129" s="8" t="str">
        <f t="shared" si="39"/>
        <v>----,-</v>
      </c>
      <c r="K129" s="3" t="e">
        <f>VLOOKUP(I129, '[1]Depth vlookup'!$G$2:$I$997,2,FALSE())+(G129/100)</f>
        <v>#N/A</v>
      </c>
      <c r="L129" s="18" t="e">
        <f t="shared" si="40"/>
        <v>#N/A</v>
      </c>
      <c r="M129" s="2"/>
      <c r="N129" s="4" t="e">
        <f>VLOOKUP(M129,  [1]Beakers!$A$2:$B$151, 2, 0)</f>
        <v>#N/A</v>
      </c>
      <c r="V129" s="20" t="e">
        <f t="shared" si="41"/>
        <v>#N/A</v>
      </c>
      <c r="W129" s="20" t="e">
        <f t="shared" si="42"/>
        <v>#N/A</v>
      </c>
      <c r="X129" s="20" t="e">
        <f t="shared" si="43"/>
        <v>#N/A</v>
      </c>
      <c r="Y129" s="20" t="e">
        <f t="shared" si="44"/>
        <v>#N/A</v>
      </c>
      <c r="Z129" s="20" t="e">
        <f t="shared" si="45"/>
        <v>#N/A</v>
      </c>
      <c r="AA129" s="20" t="e">
        <f t="shared" si="46"/>
        <v>#N/A</v>
      </c>
      <c r="AB129" s="20" t="e">
        <f t="shared" si="47"/>
        <v>#N/A</v>
      </c>
      <c r="AC129" s="20" t="e">
        <f>T129-VLOOKUP(M129, [1]Beakers!$A$2:$C$151, 3, 0)</f>
        <v>#N/A</v>
      </c>
      <c r="AD129" s="20" t="e">
        <f t="shared" si="48"/>
        <v>#N/A</v>
      </c>
      <c r="AE129" s="20" t="e">
        <f t="shared" si="49"/>
        <v>#N/A</v>
      </c>
      <c r="AF129" s="20" t="e">
        <f t="shared" si="50"/>
        <v>#N/A</v>
      </c>
      <c r="AG129" s="20" t="e">
        <f t="shared" si="51"/>
        <v>#N/A</v>
      </c>
      <c r="AH129" s="20" t="e">
        <f t="shared" si="52"/>
        <v>#N/A</v>
      </c>
      <c r="AI129" s="20" t="e">
        <f t="shared" si="53"/>
        <v>#N/A</v>
      </c>
      <c r="AJ129" s="20" t="e">
        <f t="shared" si="54"/>
        <v>#N/A</v>
      </c>
      <c r="AK129" s="20" t="e">
        <f t="shared" si="55"/>
        <v>#N/A</v>
      </c>
      <c r="AL129" s="20" t="e">
        <f t="shared" si="56"/>
        <v>#N/A</v>
      </c>
    </row>
    <row r="130" spans="9:38" ht="14.4" x14ac:dyDescent="0.3">
      <c r="I130" s="3" t="str">
        <f t="shared" si="38"/>
        <v>---</v>
      </c>
      <c r="J130" s="8" t="str">
        <f t="shared" si="39"/>
        <v>----,-</v>
      </c>
      <c r="K130" s="3" t="e">
        <f>VLOOKUP(I130, '[1]Depth vlookup'!$G$2:$I$997,2,FALSE())+(G130/100)</f>
        <v>#N/A</v>
      </c>
      <c r="L130" s="18" t="e">
        <f t="shared" si="40"/>
        <v>#N/A</v>
      </c>
      <c r="M130" s="2"/>
      <c r="N130" s="4" t="e">
        <f>VLOOKUP(M130,  [1]Beakers!$A$2:$B$151, 2, 0)</f>
        <v>#N/A</v>
      </c>
      <c r="V130" s="20" t="e">
        <f t="shared" si="41"/>
        <v>#N/A</v>
      </c>
      <c r="W130" s="20" t="e">
        <f t="shared" si="42"/>
        <v>#N/A</v>
      </c>
      <c r="X130" s="20" t="e">
        <f t="shared" si="43"/>
        <v>#N/A</v>
      </c>
      <c r="Y130" s="20" t="e">
        <f t="shared" si="44"/>
        <v>#N/A</v>
      </c>
      <c r="Z130" s="20" t="e">
        <f t="shared" si="45"/>
        <v>#N/A</v>
      </c>
      <c r="AA130" s="20" t="e">
        <f t="shared" si="46"/>
        <v>#N/A</v>
      </c>
      <c r="AB130" s="20" t="e">
        <f t="shared" si="47"/>
        <v>#N/A</v>
      </c>
      <c r="AC130" s="20" t="e">
        <f>T130-VLOOKUP(M130, [1]Beakers!$A$2:$C$151, 3, 0)</f>
        <v>#N/A</v>
      </c>
      <c r="AD130" s="20" t="e">
        <f t="shared" si="48"/>
        <v>#N/A</v>
      </c>
      <c r="AE130" s="20" t="e">
        <f t="shared" si="49"/>
        <v>#N/A</v>
      </c>
      <c r="AF130" s="20" t="e">
        <f t="shared" si="50"/>
        <v>#N/A</v>
      </c>
      <c r="AG130" s="20" t="e">
        <f t="shared" si="51"/>
        <v>#N/A</v>
      </c>
      <c r="AH130" s="20" t="e">
        <f t="shared" si="52"/>
        <v>#N/A</v>
      </c>
      <c r="AI130" s="20" t="e">
        <f t="shared" si="53"/>
        <v>#N/A</v>
      </c>
      <c r="AJ130" s="20" t="e">
        <f t="shared" si="54"/>
        <v>#N/A</v>
      </c>
      <c r="AK130" s="20" t="e">
        <f t="shared" si="55"/>
        <v>#N/A</v>
      </c>
      <c r="AL130" s="20" t="e">
        <f t="shared" si="56"/>
        <v>#N/A</v>
      </c>
    </row>
    <row r="131" spans="9:38" ht="14.4" x14ac:dyDescent="0.3">
      <c r="I131" s="3" t="str">
        <f t="shared" si="38"/>
        <v>---</v>
      </c>
      <c r="J131" s="8" t="str">
        <f t="shared" si="39"/>
        <v>----,-</v>
      </c>
      <c r="K131" s="3" t="e">
        <f>VLOOKUP(I131, '[1]Depth vlookup'!$G$2:$I$997,2,FALSE())+(G131/100)</f>
        <v>#N/A</v>
      </c>
      <c r="L131" s="18" t="e">
        <f t="shared" si="40"/>
        <v>#N/A</v>
      </c>
      <c r="M131" s="2"/>
      <c r="N131" s="4" t="e">
        <f>VLOOKUP(M131,  [1]Beakers!$A$2:$B$151, 2, 0)</f>
        <v>#N/A</v>
      </c>
      <c r="V131" s="20" t="e">
        <f t="shared" si="41"/>
        <v>#N/A</v>
      </c>
      <c r="W131" s="20" t="e">
        <f t="shared" si="42"/>
        <v>#N/A</v>
      </c>
      <c r="X131" s="20" t="e">
        <f t="shared" si="43"/>
        <v>#N/A</v>
      </c>
      <c r="Y131" s="20" t="e">
        <f t="shared" si="44"/>
        <v>#N/A</v>
      </c>
      <c r="Z131" s="20" t="e">
        <f t="shared" si="45"/>
        <v>#N/A</v>
      </c>
      <c r="AA131" s="20" t="e">
        <f t="shared" si="46"/>
        <v>#N/A</v>
      </c>
      <c r="AB131" s="20" t="e">
        <f t="shared" si="47"/>
        <v>#N/A</v>
      </c>
      <c r="AC131" s="20" t="e">
        <f>T131-VLOOKUP(M131, [1]Beakers!$A$2:$C$151, 3, 0)</f>
        <v>#N/A</v>
      </c>
      <c r="AD131" s="20" t="e">
        <f t="shared" si="48"/>
        <v>#N/A</v>
      </c>
      <c r="AE131" s="20" t="e">
        <f t="shared" si="49"/>
        <v>#N/A</v>
      </c>
      <c r="AF131" s="20" t="e">
        <f t="shared" si="50"/>
        <v>#N/A</v>
      </c>
      <c r="AG131" s="20" t="e">
        <f t="shared" si="51"/>
        <v>#N/A</v>
      </c>
      <c r="AH131" s="20" t="e">
        <f t="shared" si="52"/>
        <v>#N/A</v>
      </c>
      <c r="AI131" s="20" t="e">
        <f t="shared" si="53"/>
        <v>#N/A</v>
      </c>
      <c r="AJ131" s="20" t="e">
        <f t="shared" si="54"/>
        <v>#N/A</v>
      </c>
      <c r="AK131" s="20" t="e">
        <f t="shared" si="55"/>
        <v>#N/A</v>
      </c>
      <c r="AL131" s="20" t="e">
        <f t="shared" si="56"/>
        <v>#N/A</v>
      </c>
    </row>
    <row r="132" spans="9:38" ht="14.4" x14ac:dyDescent="0.3">
      <c r="I132" s="3" t="str">
        <f t="shared" ref="I132:I163" si="57">_xlfn.CONCAT(B132, "-", C132,"-", D132,"-", F132)</f>
        <v>---</v>
      </c>
      <c r="J132" s="8" t="str">
        <f t="shared" ref="J132:J163" si="58">_xlfn.CONCAT(A132, "-", I132, ",",G132, "-",H132)</f>
        <v>----,-</v>
      </c>
      <c r="K132" s="3" t="e">
        <f>VLOOKUP(I132, '[1]Depth vlookup'!$G$2:$I$997,2,FALSE())+(G132/100)</f>
        <v>#N/A</v>
      </c>
      <c r="L132" s="18" t="e">
        <f t="shared" ref="L132:L163" si="59">K132+2/100</f>
        <v>#N/A</v>
      </c>
      <c r="M132" s="2"/>
      <c r="N132" s="4" t="e">
        <f>VLOOKUP(M132,  [1]Beakers!$A$2:$B$151, 2, 0)</f>
        <v>#N/A</v>
      </c>
      <c r="V132" s="20" t="e">
        <f t="shared" ref="V132:V163" si="60">O132-N132</f>
        <v>#N/A</v>
      </c>
      <c r="W132" s="20" t="e">
        <f t="shared" ref="W132:W163" si="61">Q132-N132</f>
        <v>#N/A</v>
      </c>
      <c r="X132" s="20" t="e">
        <f t="shared" ref="X132:X163" si="62">(V132-W132)/(1-35/1000)</f>
        <v>#N/A</v>
      </c>
      <c r="Y132" s="20" t="e">
        <f t="shared" ref="Y132:Y163" si="63">X132-(V132-W132)</f>
        <v>#N/A</v>
      </c>
      <c r="Z132" s="20" t="e">
        <f t="shared" ref="Z132:Z163" si="64">W132-Y132</f>
        <v>#N/A</v>
      </c>
      <c r="AA132" s="20" t="e">
        <f t="shared" ref="AA132:AA163" si="65">X132/1.024</f>
        <v>#N/A</v>
      </c>
      <c r="AB132" s="20" t="e">
        <f t="shared" ref="AB132:AB163" si="66">Y132/2.22</f>
        <v>#N/A</v>
      </c>
      <c r="AC132" s="20" t="e">
        <f>T132-VLOOKUP(M132, [1]Beakers!$A$2:$C$151, 3, 0)</f>
        <v>#N/A</v>
      </c>
      <c r="AD132" s="20" t="e">
        <f t="shared" ref="AD132:AD163" si="67">AC132-AB132+AA132</f>
        <v>#N/A</v>
      </c>
      <c r="AE132" s="20" t="e">
        <f t="shared" ref="AE132:AE163" si="68">AC132-AB132</f>
        <v>#N/A</v>
      </c>
      <c r="AF132" s="20" t="e">
        <f t="shared" ref="AF132:AF163" si="69">X132/V132</f>
        <v>#N/A</v>
      </c>
      <c r="AG132" s="20" t="e">
        <f t="shared" ref="AG132:AG163" si="70">X132/Z132</f>
        <v>#N/A</v>
      </c>
      <c r="AH132" s="20" t="e">
        <f t="shared" ref="AH132:AH163" si="71">V132/AD132</f>
        <v>#N/A</v>
      </c>
      <c r="AI132" s="20" t="e">
        <f t="shared" ref="AI132:AI163" si="72">Z132/AD132</f>
        <v>#N/A</v>
      </c>
      <c r="AJ132" s="20" t="e">
        <f t="shared" ref="AJ132:AJ163" si="73">Z132/AE132</f>
        <v>#N/A</v>
      </c>
      <c r="AK132" s="20" t="e">
        <f t="shared" ref="AK132:AK163" si="74">AA132/AD132</f>
        <v>#N/A</v>
      </c>
      <c r="AL132" s="20" t="e">
        <f t="shared" ref="AL132:AL163" si="75">AA132/AE132</f>
        <v>#N/A</v>
      </c>
    </row>
    <row r="133" spans="9:38" ht="14.4" x14ac:dyDescent="0.3">
      <c r="I133" s="3" t="str">
        <f t="shared" si="57"/>
        <v>---</v>
      </c>
      <c r="J133" s="8" t="str">
        <f t="shared" si="58"/>
        <v>----,-</v>
      </c>
      <c r="K133" s="3" t="e">
        <f>VLOOKUP(I133, '[1]Depth vlookup'!$G$2:$I$997,2,FALSE())+(G133/100)</f>
        <v>#N/A</v>
      </c>
      <c r="L133" s="18" t="e">
        <f t="shared" si="59"/>
        <v>#N/A</v>
      </c>
      <c r="M133" s="2"/>
      <c r="N133" s="4" t="e">
        <f>VLOOKUP(M133,  [1]Beakers!$A$2:$B$151, 2, 0)</f>
        <v>#N/A</v>
      </c>
      <c r="V133" s="20" t="e">
        <f t="shared" si="60"/>
        <v>#N/A</v>
      </c>
      <c r="W133" s="20" t="e">
        <f t="shared" si="61"/>
        <v>#N/A</v>
      </c>
      <c r="X133" s="20" t="e">
        <f t="shared" si="62"/>
        <v>#N/A</v>
      </c>
      <c r="Y133" s="20" t="e">
        <f t="shared" si="63"/>
        <v>#N/A</v>
      </c>
      <c r="Z133" s="20" t="e">
        <f t="shared" si="64"/>
        <v>#N/A</v>
      </c>
      <c r="AA133" s="20" t="e">
        <f t="shared" si="65"/>
        <v>#N/A</v>
      </c>
      <c r="AB133" s="20" t="e">
        <f t="shared" si="66"/>
        <v>#N/A</v>
      </c>
      <c r="AC133" s="20" t="e">
        <f>T133-VLOOKUP(M133, [1]Beakers!$A$2:$C$151, 3, 0)</f>
        <v>#N/A</v>
      </c>
      <c r="AD133" s="20" t="e">
        <f t="shared" si="67"/>
        <v>#N/A</v>
      </c>
      <c r="AE133" s="20" t="e">
        <f t="shared" si="68"/>
        <v>#N/A</v>
      </c>
      <c r="AF133" s="20" t="e">
        <f t="shared" si="69"/>
        <v>#N/A</v>
      </c>
      <c r="AG133" s="20" t="e">
        <f t="shared" si="70"/>
        <v>#N/A</v>
      </c>
      <c r="AH133" s="20" t="e">
        <f t="shared" si="71"/>
        <v>#N/A</v>
      </c>
      <c r="AI133" s="20" t="e">
        <f t="shared" si="72"/>
        <v>#N/A</v>
      </c>
      <c r="AJ133" s="20" t="e">
        <f t="shared" si="73"/>
        <v>#N/A</v>
      </c>
      <c r="AK133" s="20" t="e">
        <f t="shared" si="74"/>
        <v>#N/A</v>
      </c>
      <c r="AL133" s="20" t="e">
        <f t="shared" si="75"/>
        <v>#N/A</v>
      </c>
    </row>
    <row r="134" spans="9:38" ht="14.4" x14ac:dyDescent="0.3">
      <c r="I134" s="3" t="str">
        <f t="shared" si="57"/>
        <v>---</v>
      </c>
      <c r="J134" s="8" t="str">
        <f t="shared" si="58"/>
        <v>----,-</v>
      </c>
      <c r="K134" s="3" t="e">
        <f>VLOOKUP(I134, '[1]Depth vlookup'!$G$2:$I$997,2,FALSE())+(G134/100)</f>
        <v>#N/A</v>
      </c>
      <c r="L134" s="18" t="e">
        <f t="shared" si="59"/>
        <v>#N/A</v>
      </c>
      <c r="M134" s="2"/>
      <c r="N134" s="4" t="e">
        <f>VLOOKUP(M134,  [1]Beakers!$A$2:$B$151, 2, 0)</f>
        <v>#N/A</v>
      </c>
      <c r="V134" s="20" t="e">
        <f t="shared" si="60"/>
        <v>#N/A</v>
      </c>
      <c r="W134" s="20" t="e">
        <f t="shared" si="61"/>
        <v>#N/A</v>
      </c>
      <c r="X134" s="20" t="e">
        <f t="shared" si="62"/>
        <v>#N/A</v>
      </c>
      <c r="Y134" s="20" t="e">
        <f t="shared" si="63"/>
        <v>#N/A</v>
      </c>
      <c r="Z134" s="20" t="e">
        <f t="shared" si="64"/>
        <v>#N/A</v>
      </c>
      <c r="AA134" s="20" t="e">
        <f t="shared" si="65"/>
        <v>#N/A</v>
      </c>
      <c r="AB134" s="20" t="e">
        <f t="shared" si="66"/>
        <v>#N/A</v>
      </c>
      <c r="AC134" s="20" t="e">
        <f>T134-VLOOKUP(M134, [1]Beakers!$A$2:$C$151, 3, 0)</f>
        <v>#N/A</v>
      </c>
      <c r="AD134" s="20" t="e">
        <f t="shared" si="67"/>
        <v>#N/A</v>
      </c>
      <c r="AE134" s="20" t="e">
        <f t="shared" si="68"/>
        <v>#N/A</v>
      </c>
      <c r="AF134" s="20" t="e">
        <f t="shared" si="69"/>
        <v>#N/A</v>
      </c>
      <c r="AG134" s="20" t="e">
        <f t="shared" si="70"/>
        <v>#N/A</v>
      </c>
      <c r="AH134" s="20" t="e">
        <f t="shared" si="71"/>
        <v>#N/A</v>
      </c>
      <c r="AI134" s="20" t="e">
        <f t="shared" si="72"/>
        <v>#N/A</v>
      </c>
      <c r="AJ134" s="20" t="e">
        <f t="shared" si="73"/>
        <v>#N/A</v>
      </c>
      <c r="AK134" s="20" t="e">
        <f t="shared" si="74"/>
        <v>#N/A</v>
      </c>
      <c r="AL134" s="20" t="e">
        <f t="shared" si="75"/>
        <v>#N/A</v>
      </c>
    </row>
    <row r="135" spans="9:38" ht="14.4" x14ac:dyDescent="0.3">
      <c r="I135" s="3" t="str">
        <f t="shared" si="57"/>
        <v>---</v>
      </c>
      <c r="J135" s="8" t="str">
        <f t="shared" si="58"/>
        <v>----,-</v>
      </c>
      <c r="K135" s="3" t="e">
        <f>VLOOKUP(I135, '[1]Depth vlookup'!$G$2:$I$997,2,FALSE())+(G135/100)</f>
        <v>#N/A</v>
      </c>
      <c r="L135" s="18" t="e">
        <f t="shared" si="59"/>
        <v>#N/A</v>
      </c>
      <c r="M135" s="2"/>
      <c r="N135" s="4" t="e">
        <f>VLOOKUP(M135,  [1]Beakers!$A$2:$B$151, 2, 0)</f>
        <v>#N/A</v>
      </c>
      <c r="V135" s="20" t="e">
        <f t="shared" si="60"/>
        <v>#N/A</v>
      </c>
      <c r="W135" s="20" t="e">
        <f t="shared" si="61"/>
        <v>#N/A</v>
      </c>
      <c r="X135" s="20" t="e">
        <f t="shared" si="62"/>
        <v>#N/A</v>
      </c>
      <c r="Y135" s="20" t="e">
        <f t="shared" si="63"/>
        <v>#N/A</v>
      </c>
      <c r="Z135" s="20" t="e">
        <f t="shared" si="64"/>
        <v>#N/A</v>
      </c>
      <c r="AA135" s="20" t="e">
        <f t="shared" si="65"/>
        <v>#N/A</v>
      </c>
      <c r="AB135" s="20" t="e">
        <f t="shared" si="66"/>
        <v>#N/A</v>
      </c>
      <c r="AC135" s="20" t="e">
        <f>T135-VLOOKUP(M135, [1]Beakers!$A$2:$C$151, 3, 0)</f>
        <v>#N/A</v>
      </c>
      <c r="AD135" s="20" t="e">
        <f t="shared" si="67"/>
        <v>#N/A</v>
      </c>
      <c r="AE135" s="20" t="e">
        <f t="shared" si="68"/>
        <v>#N/A</v>
      </c>
      <c r="AF135" s="20" t="e">
        <f t="shared" si="69"/>
        <v>#N/A</v>
      </c>
      <c r="AG135" s="20" t="e">
        <f t="shared" si="70"/>
        <v>#N/A</v>
      </c>
      <c r="AH135" s="20" t="e">
        <f t="shared" si="71"/>
        <v>#N/A</v>
      </c>
      <c r="AI135" s="20" t="e">
        <f t="shared" si="72"/>
        <v>#N/A</v>
      </c>
      <c r="AJ135" s="20" t="e">
        <f t="shared" si="73"/>
        <v>#N/A</v>
      </c>
      <c r="AK135" s="20" t="e">
        <f t="shared" si="74"/>
        <v>#N/A</v>
      </c>
      <c r="AL135" s="20" t="e">
        <f t="shared" si="75"/>
        <v>#N/A</v>
      </c>
    </row>
    <row r="136" spans="9:38" ht="14.4" x14ac:dyDescent="0.3">
      <c r="I136" s="3" t="str">
        <f t="shared" si="57"/>
        <v>---</v>
      </c>
      <c r="J136" s="8" t="str">
        <f t="shared" si="58"/>
        <v>----,-</v>
      </c>
      <c r="K136" s="3" t="e">
        <f>VLOOKUP(I136, '[1]Depth vlookup'!$G$2:$I$997,2,FALSE())+(G136/100)</f>
        <v>#N/A</v>
      </c>
      <c r="L136" s="18" t="e">
        <f t="shared" si="59"/>
        <v>#N/A</v>
      </c>
      <c r="M136" s="2"/>
      <c r="N136" s="4" t="e">
        <f>VLOOKUP(M136,  [1]Beakers!$A$2:$B$151, 2, 0)</f>
        <v>#N/A</v>
      </c>
      <c r="V136" s="20" t="e">
        <f t="shared" si="60"/>
        <v>#N/A</v>
      </c>
      <c r="W136" s="20" t="e">
        <f t="shared" si="61"/>
        <v>#N/A</v>
      </c>
      <c r="X136" s="20" t="e">
        <f t="shared" si="62"/>
        <v>#N/A</v>
      </c>
      <c r="Y136" s="20" t="e">
        <f t="shared" si="63"/>
        <v>#N/A</v>
      </c>
      <c r="Z136" s="20" t="e">
        <f t="shared" si="64"/>
        <v>#N/A</v>
      </c>
      <c r="AA136" s="20" t="e">
        <f t="shared" si="65"/>
        <v>#N/A</v>
      </c>
      <c r="AB136" s="20" t="e">
        <f t="shared" si="66"/>
        <v>#N/A</v>
      </c>
      <c r="AC136" s="20" t="e">
        <f>T136-VLOOKUP(M136, [1]Beakers!$A$2:$C$151, 3, 0)</f>
        <v>#N/A</v>
      </c>
      <c r="AD136" s="20" t="e">
        <f t="shared" si="67"/>
        <v>#N/A</v>
      </c>
      <c r="AE136" s="20" t="e">
        <f t="shared" si="68"/>
        <v>#N/A</v>
      </c>
      <c r="AF136" s="20" t="e">
        <f t="shared" si="69"/>
        <v>#N/A</v>
      </c>
      <c r="AG136" s="20" t="e">
        <f t="shared" si="70"/>
        <v>#N/A</v>
      </c>
      <c r="AH136" s="20" t="e">
        <f t="shared" si="71"/>
        <v>#N/A</v>
      </c>
      <c r="AI136" s="20" t="e">
        <f t="shared" si="72"/>
        <v>#N/A</v>
      </c>
      <c r="AJ136" s="20" t="e">
        <f t="shared" si="73"/>
        <v>#N/A</v>
      </c>
      <c r="AK136" s="20" t="e">
        <f t="shared" si="74"/>
        <v>#N/A</v>
      </c>
      <c r="AL136" s="20" t="e">
        <f t="shared" si="75"/>
        <v>#N/A</v>
      </c>
    </row>
    <row r="137" spans="9:38" ht="14.4" x14ac:dyDescent="0.3">
      <c r="I137" s="3" t="str">
        <f t="shared" si="57"/>
        <v>---</v>
      </c>
      <c r="J137" s="8" t="str">
        <f t="shared" si="58"/>
        <v>----,-</v>
      </c>
      <c r="K137" s="3" t="e">
        <f>VLOOKUP(I137, '[1]Depth vlookup'!$G$2:$I$997,2,FALSE())+(G137/100)</f>
        <v>#N/A</v>
      </c>
      <c r="L137" s="18" t="e">
        <f t="shared" si="59"/>
        <v>#N/A</v>
      </c>
      <c r="M137" s="2"/>
      <c r="N137" s="4" t="e">
        <f>VLOOKUP(M137,  [1]Beakers!$A$2:$B$151, 2, 0)</f>
        <v>#N/A</v>
      </c>
      <c r="V137" s="20" t="e">
        <f t="shared" si="60"/>
        <v>#N/A</v>
      </c>
      <c r="W137" s="20" t="e">
        <f t="shared" si="61"/>
        <v>#N/A</v>
      </c>
      <c r="X137" s="20" t="e">
        <f t="shared" si="62"/>
        <v>#N/A</v>
      </c>
      <c r="Y137" s="20" t="e">
        <f t="shared" si="63"/>
        <v>#N/A</v>
      </c>
      <c r="Z137" s="20" t="e">
        <f t="shared" si="64"/>
        <v>#N/A</v>
      </c>
      <c r="AA137" s="20" t="e">
        <f t="shared" si="65"/>
        <v>#N/A</v>
      </c>
      <c r="AB137" s="20" t="e">
        <f t="shared" si="66"/>
        <v>#N/A</v>
      </c>
      <c r="AC137" s="20" t="e">
        <f>T137-VLOOKUP(M137, [1]Beakers!$A$2:$C$151, 3, 0)</f>
        <v>#N/A</v>
      </c>
      <c r="AD137" s="20" t="e">
        <f t="shared" si="67"/>
        <v>#N/A</v>
      </c>
      <c r="AE137" s="20" t="e">
        <f t="shared" si="68"/>
        <v>#N/A</v>
      </c>
      <c r="AF137" s="20" t="e">
        <f t="shared" si="69"/>
        <v>#N/A</v>
      </c>
      <c r="AG137" s="20" t="e">
        <f t="shared" si="70"/>
        <v>#N/A</v>
      </c>
      <c r="AH137" s="20" t="e">
        <f t="shared" si="71"/>
        <v>#N/A</v>
      </c>
      <c r="AI137" s="20" t="e">
        <f t="shared" si="72"/>
        <v>#N/A</v>
      </c>
      <c r="AJ137" s="20" t="e">
        <f t="shared" si="73"/>
        <v>#N/A</v>
      </c>
      <c r="AK137" s="20" t="e">
        <f t="shared" si="74"/>
        <v>#N/A</v>
      </c>
      <c r="AL137" s="20" t="e">
        <f t="shared" si="75"/>
        <v>#N/A</v>
      </c>
    </row>
    <row r="138" spans="9:38" ht="14.4" x14ac:dyDescent="0.3">
      <c r="I138" s="3" t="str">
        <f t="shared" si="57"/>
        <v>---</v>
      </c>
      <c r="J138" s="8" t="str">
        <f t="shared" si="58"/>
        <v>----,-</v>
      </c>
      <c r="K138" s="3" t="e">
        <f>VLOOKUP(I138, '[1]Depth vlookup'!$G$2:$I$997,2,FALSE())+(G138/100)</f>
        <v>#N/A</v>
      </c>
      <c r="L138" s="18" t="e">
        <f t="shared" si="59"/>
        <v>#N/A</v>
      </c>
      <c r="M138" s="2"/>
      <c r="N138" s="4" t="e">
        <f>VLOOKUP(M138,  [1]Beakers!$A$2:$B$151, 2, 0)</f>
        <v>#N/A</v>
      </c>
      <c r="V138" s="20" t="e">
        <f t="shared" si="60"/>
        <v>#N/A</v>
      </c>
      <c r="W138" s="20" t="e">
        <f t="shared" si="61"/>
        <v>#N/A</v>
      </c>
      <c r="X138" s="20" t="e">
        <f t="shared" si="62"/>
        <v>#N/A</v>
      </c>
      <c r="Y138" s="20" t="e">
        <f t="shared" si="63"/>
        <v>#N/A</v>
      </c>
      <c r="Z138" s="20" t="e">
        <f t="shared" si="64"/>
        <v>#N/A</v>
      </c>
      <c r="AA138" s="20" t="e">
        <f t="shared" si="65"/>
        <v>#N/A</v>
      </c>
      <c r="AB138" s="20" t="e">
        <f t="shared" si="66"/>
        <v>#N/A</v>
      </c>
      <c r="AC138" s="20" t="e">
        <f>T138-VLOOKUP(M138, [1]Beakers!$A$2:$C$151, 3, 0)</f>
        <v>#N/A</v>
      </c>
      <c r="AD138" s="20" t="e">
        <f t="shared" si="67"/>
        <v>#N/A</v>
      </c>
      <c r="AE138" s="20" t="e">
        <f t="shared" si="68"/>
        <v>#N/A</v>
      </c>
      <c r="AF138" s="20" t="e">
        <f t="shared" si="69"/>
        <v>#N/A</v>
      </c>
      <c r="AG138" s="20" t="e">
        <f t="shared" si="70"/>
        <v>#N/A</v>
      </c>
      <c r="AH138" s="20" t="e">
        <f t="shared" si="71"/>
        <v>#N/A</v>
      </c>
      <c r="AI138" s="20" t="e">
        <f t="shared" si="72"/>
        <v>#N/A</v>
      </c>
      <c r="AJ138" s="20" t="e">
        <f t="shared" si="73"/>
        <v>#N/A</v>
      </c>
      <c r="AK138" s="20" t="e">
        <f t="shared" si="74"/>
        <v>#N/A</v>
      </c>
      <c r="AL138" s="20" t="e">
        <f t="shared" si="75"/>
        <v>#N/A</v>
      </c>
    </row>
    <row r="139" spans="9:38" ht="14.4" x14ac:dyDescent="0.3">
      <c r="I139" s="3" t="str">
        <f t="shared" si="57"/>
        <v>---</v>
      </c>
      <c r="J139" s="8" t="str">
        <f t="shared" si="58"/>
        <v>----,-</v>
      </c>
      <c r="K139" s="3" t="e">
        <f>VLOOKUP(I139, '[1]Depth vlookup'!$G$2:$I$997,2,FALSE())+(G139/100)</f>
        <v>#N/A</v>
      </c>
      <c r="L139" s="18" t="e">
        <f t="shared" si="59"/>
        <v>#N/A</v>
      </c>
      <c r="M139" s="2"/>
      <c r="N139" s="4" t="e">
        <f>VLOOKUP(M139,  [1]Beakers!$A$2:$B$151, 2, 0)</f>
        <v>#N/A</v>
      </c>
      <c r="V139" s="20" t="e">
        <f t="shared" si="60"/>
        <v>#N/A</v>
      </c>
      <c r="W139" s="20" t="e">
        <f t="shared" si="61"/>
        <v>#N/A</v>
      </c>
      <c r="X139" s="20" t="e">
        <f t="shared" si="62"/>
        <v>#N/A</v>
      </c>
      <c r="Y139" s="20" t="e">
        <f t="shared" si="63"/>
        <v>#N/A</v>
      </c>
      <c r="Z139" s="20" t="e">
        <f t="shared" si="64"/>
        <v>#N/A</v>
      </c>
      <c r="AA139" s="20" t="e">
        <f t="shared" si="65"/>
        <v>#N/A</v>
      </c>
      <c r="AB139" s="20" t="e">
        <f t="shared" si="66"/>
        <v>#N/A</v>
      </c>
      <c r="AC139" s="20" t="e">
        <f>T139-VLOOKUP(M139, [1]Beakers!$A$2:$C$151, 3, 0)</f>
        <v>#N/A</v>
      </c>
      <c r="AD139" s="20" t="e">
        <f t="shared" si="67"/>
        <v>#N/A</v>
      </c>
      <c r="AE139" s="20" t="e">
        <f t="shared" si="68"/>
        <v>#N/A</v>
      </c>
      <c r="AF139" s="20" t="e">
        <f t="shared" si="69"/>
        <v>#N/A</v>
      </c>
      <c r="AG139" s="20" t="e">
        <f t="shared" si="70"/>
        <v>#N/A</v>
      </c>
      <c r="AH139" s="20" t="e">
        <f t="shared" si="71"/>
        <v>#N/A</v>
      </c>
      <c r="AI139" s="20" t="e">
        <f t="shared" si="72"/>
        <v>#N/A</v>
      </c>
      <c r="AJ139" s="20" t="e">
        <f t="shared" si="73"/>
        <v>#N/A</v>
      </c>
      <c r="AK139" s="20" t="e">
        <f t="shared" si="74"/>
        <v>#N/A</v>
      </c>
      <c r="AL139" s="20" t="e">
        <f t="shared" si="75"/>
        <v>#N/A</v>
      </c>
    </row>
    <row r="140" spans="9:38" ht="14.4" x14ac:dyDescent="0.3">
      <c r="I140" s="3" t="str">
        <f t="shared" si="57"/>
        <v>---</v>
      </c>
      <c r="J140" s="8" t="str">
        <f t="shared" si="58"/>
        <v>----,-</v>
      </c>
      <c r="K140" s="3" t="e">
        <f>VLOOKUP(I140, '[1]Depth vlookup'!$G$2:$I$997,2,FALSE())+(G140/100)</f>
        <v>#N/A</v>
      </c>
      <c r="L140" s="18" t="e">
        <f t="shared" si="59"/>
        <v>#N/A</v>
      </c>
      <c r="M140" s="2"/>
      <c r="N140" s="4" t="e">
        <f>VLOOKUP(M140,  [1]Beakers!$A$2:$B$151, 2, 0)</f>
        <v>#N/A</v>
      </c>
      <c r="V140" s="20" t="e">
        <f t="shared" si="60"/>
        <v>#N/A</v>
      </c>
      <c r="W140" s="20" t="e">
        <f t="shared" si="61"/>
        <v>#N/A</v>
      </c>
      <c r="X140" s="20" t="e">
        <f t="shared" si="62"/>
        <v>#N/A</v>
      </c>
      <c r="Y140" s="20" t="e">
        <f t="shared" si="63"/>
        <v>#N/A</v>
      </c>
      <c r="Z140" s="20" t="e">
        <f t="shared" si="64"/>
        <v>#N/A</v>
      </c>
      <c r="AA140" s="20" t="e">
        <f t="shared" si="65"/>
        <v>#N/A</v>
      </c>
      <c r="AB140" s="20" t="e">
        <f t="shared" si="66"/>
        <v>#N/A</v>
      </c>
      <c r="AC140" s="20" t="e">
        <f>T140-VLOOKUP(M140, [1]Beakers!$A$2:$C$151, 3, 0)</f>
        <v>#N/A</v>
      </c>
      <c r="AD140" s="20" t="e">
        <f t="shared" si="67"/>
        <v>#N/A</v>
      </c>
      <c r="AE140" s="20" t="e">
        <f t="shared" si="68"/>
        <v>#N/A</v>
      </c>
      <c r="AF140" s="20" t="e">
        <f t="shared" si="69"/>
        <v>#N/A</v>
      </c>
      <c r="AG140" s="20" t="e">
        <f t="shared" si="70"/>
        <v>#N/A</v>
      </c>
      <c r="AH140" s="20" t="e">
        <f t="shared" si="71"/>
        <v>#N/A</v>
      </c>
      <c r="AI140" s="20" t="e">
        <f t="shared" si="72"/>
        <v>#N/A</v>
      </c>
      <c r="AJ140" s="20" t="e">
        <f t="shared" si="73"/>
        <v>#N/A</v>
      </c>
      <c r="AK140" s="20" t="e">
        <f t="shared" si="74"/>
        <v>#N/A</v>
      </c>
      <c r="AL140" s="20" t="e">
        <f t="shared" si="75"/>
        <v>#N/A</v>
      </c>
    </row>
    <row r="141" spans="9:38" ht="14.4" x14ac:dyDescent="0.3">
      <c r="I141" s="3" t="str">
        <f t="shared" si="57"/>
        <v>---</v>
      </c>
      <c r="J141" s="8" t="str">
        <f t="shared" si="58"/>
        <v>----,-</v>
      </c>
      <c r="K141" s="3" t="e">
        <f>VLOOKUP(I141, '[1]Depth vlookup'!$G$2:$I$997,2,FALSE())+(G141/100)</f>
        <v>#N/A</v>
      </c>
      <c r="L141" s="18" t="e">
        <f t="shared" si="59"/>
        <v>#N/A</v>
      </c>
      <c r="M141" s="2"/>
      <c r="N141" s="4" t="e">
        <f>VLOOKUP(M141,  [1]Beakers!$A$2:$B$151, 2, 0)</f>
        <v>#N/A</v>
      </c>
      <c r="V141" s="20" t="e">
        <f t="shared" si="60"/>
        <v>#N/A</v>
      </c>
      <c r="W141" s="20" t="e">
        <f t="shared" si="61"/>
        <v>#N/A</v>
      </c>
      <c r="X141" s="20" t="e">
        <f t="shared" si="62"/>
        <v>#N/A</v>
      </c>
      <c r="Y141" s="20" t="e">
        <f t="shared" si="63"/>
        <v>#N/A</v>
      </c>
      <c r="Z141" s="20" t="e">
        <f t="shared" si="64"/>
        <v>#N/A</v>
      </c>
      <c r="AA141" s="20" t="e">
        <f t="shared" si="65"/>
        <v>#N/A</v>
      </c>
      <c r="AB141" s="20" t="e">
        <f t="shared" si="66"/>
        <v>#N/A</v>
      </c>
      <c r="AC141" s="20" t="e">
        <f>T141-VLOOKUP(M141, [1]Beakers!$A$2:$C$151, 3, 0)</f>
        <v>#N/A</v>
      </c>
      <c r="AD141" s="20" t="e">
        <f t="shared" si="67"/>
        <v>#N/A</v>
      </c>
      <c r="AE141" s="20" t="e">
        <f t="shared" si="68"/>
        <v>#N/A</v>
      </c>
      <c r="AF141" s="20" t="e">
        <f t="shared" si="69"/>
        <v>#N/A</v>
      </c>
      <c r="AG141" s="20" t="e">
        <f t="shared" si="70"/>
        <v>#N/A</v>
      </c>
      <c r="AH141" s="20" t="e">
        <f t="shared" si="71"/>
        <v>#N/A</v>
      </c>
      <c r="AI141" s="20" t="e">
        <f t="shared" si="72"/>
        <v>#N/A</v>
      </c>
      <c r="AJ141" s="20" t="e">
        <f t="shared" si="73"/>
        <v>#N/A</v>
      </c>
      <c r="AK141" s="20" t="e">
        <f t="shared" si="74"/>
        <v>#N/A</v>
      </c>
      <c r="AL141" s="20" t="e">
        <f t="shared" si="75"/>
        <v>#N/A</v>
      </c>
    </row>
    <row r="142" spans="9:38" ht="14.4" x14ac:dyDescent="0.3">
      <c r="I142" s="3" t="str">
        <f t="shared" si="57"/>
        <v>---</v>
      </c>
      <c r="J142" s="8" t="str">
        <f t="shared" si="58"/>
        <v>----,-</v>
      </c>
      <c r="K142" s="3" t="e">
        <f>VLOOKUP(I142, '[1]Depth vlookup'!$G$2:$I$997,2,FALSE())+(G142/100)</f>
        <v>#N/A</v>
      </c>
      <c r="L142" s="18" t="e">
        <f t="shared" si="59"/>
        <v>#N/A</v>
      </c>
      <c r="M142" s="2"/>
      <c r="N142" s="4" t="e">
        <f>VLOOKUP(M142,  [1]Beakers!$A$2:$B$151, 2, 0)</f>
        <v>#N/A</v>
      </c>
      <c r="V142" s="20" t="e">
        <f t="shared" si="60"/>
        <v>#N/A</v>
      </c>
      <c r="W142" s="20" t="e">
        <f t="shared" si="61"/>
        <v>#N/A</v>
      </c>
      <c r="X142" s="20" t="e">
        <f t="shared" si="62"/>
        <v>#N/A</v>
      </c>
      <c r="Y142" s="20" t="e">
        <f t="shared" si="63"/>
        <v>#N/A</v>
      </c>
      <c r="Z142" s="20" t="e">
        <f t="shared" si="64"/>
        <v>#N/A</v>
      </c>
      <c r="AA142" s="20" t="e">
        <f t="shared" si="65"/>
        <v>#N/A</v>
      </c>
      <c r="AB142" s="20" t="e">
        <f t="shared" si="66"/>
        <v>#N/A</v>
      </c>
      <c r="AC142" s="20" t="e">
        <f>T142-VLOOKUP(M142, [1]Beakers!$A$2:$C$151, 3, 0)</f>
        <v>#N/A</v>
      </c>
      <c r="AD142" s="20" t="e">
        <f t="shared" si="67"/>
        <v>#N/A</v>
      </c>
      <c r="AE142" s="20" t="e">
        <f t="shared" si="68"/>
        <v>#N/A</v>
      </c>
      <c r="AF142" s="20" t="e">
        <f t="shared" si="69"/>
        <v>#N/A</v>
      </c>
      <c r="AG142" s="20" t="e">
        <f t="shared" si="70"/>
        <v>#N/A</v>
      </c>
      <c r="AH142" s="20" t="e">
        <f t="shared" si="71"/>
        <v>#N/A</v>
      </c>
      <c r="AI142" s="20" t="e">
        <f t="shared" si="72"/>
        <v>#N/A</v>
      </c>
      <c r="AJ142" s="20" t="e">
        <f t="shared" si="73"/>
        <v>#N/A</v>
      </c>
      <c r="AK142" s="20" t="e">
        <f t="shared" si="74"/>
        <v>#N/A</v>
      </c>
      <c r="AL142" s="20" t="e">
        <f t="shared" si="75"/>
        <v>#N/A</v>
      </c>
    </row>
    <row r="143" spans="9:38" ht="14.4" x14ac:dyDescent="0.3">
      <c r="I143" s="3" t="str">
        <f t="shared" si="57"/>
        <v>---</v>
      </c>
      <c r="J143" s="8" t="str">
        <f t="shared" si="58"/>
        <v>----,-</v>
      </c>
      <c r="K143" s="3" t="e">
        <f>VLOOKUP(I143, '[1]Depth vlookup'!$G$2:$I$997,2,FALSE())+(G143/100)</f>
        <v>#N/A</v>
      </c>
      <c r="L143" s="18" t="e">
        <f t="shared" si="59"/>
        <v>#N/A</v>
      </c>
      <c r="M143" s="2"/>
      <c r="N143" s="4" t="e">
        <f>VLOOKUP(M143,  [1]Beakers!$A$2:$B$151, 2, 0)</f>
        <v>#N/A</v>
      </c>
      <c r="V143" s="20" t="e">
        <f t="shared" si="60"/>
        <v>#N/A</v>
      </c>
      <c r="W143" s="20" t="e">
        <f t="shared" si="61"/>
        <v>#N/A</v>
      </c>
      <c r="X143" s="20" t="e">
        <f t="shared" si="62"/>
        <v>#N/A</v>
      </c>
      <c r="Y143" s="20" t="e">
        <f t="shared" si="63"/>
        <v>#N/A</v>
      </c>
      <c r="Z143" s="20" t="e">
        <f t="shared" si="64"/>
        <v>#N/A</v>
      </c>
      <c r="AA143" s="20" t="e">
        <f t="shared" si="65"/>
        <v>#N/A</v>
      </c>
      <c r="AB143" s="20" t="e">
        <f t="shared" si="66"/>
        <v>#N/A</v>
      </c>
      <c r="AC143" s="20" t="e">
        <f>T143-VLOOKUP(M143, [1]Beakers!$A$2:$C$151, 3, 0)</f>
        <v>#N/A</v>
      </c>
      <c r="AD143" s="20" t="e">
        <f t="shared" si="67"/>
        <v>#N/A</v>
      </c>
      <c r="AE143" s="20" t="e">
        <f t="shared" si="68"/>
        <v>#N/A</v>
      </c>
      <c r="AF143" s="20" t="e">
        <f t="shared" si="69"/>
        <v>#N/A</v>
      </c>
      <c r="AG143" s="20" t="e">
        <f t="shared" si="70"/>
        <v>#N/A</v>
      </c>
      <c r="AH143" s="20" t="e">
        <f t="shared" si="71"/>
        <v>#N/A</v>
      </c>
      <c r="AI143" s="20" t="e">
        <f t="shared" si="72"/>
        <v>#N/A</v>
      </c>
      <c r="AJ143" s="20" t="e">
        <f t="shared" si="73"/>
        <v>#N/A</v>
      </c>
      <c r="AK143" s="20" t="e">
        <f t="shared" si="74"/>
        <v>#N/A</v>
      </c>
      <c r="AL143" s="20" t="e">
        <f t="shared" si="75"/>
        <v>#N/A</v>
      </c>
    </row>
    <row r="144" spans="9:38" ht="14.4" x14ac:dyDescent="0.3">
      <c r="I144" s="3" t="str">
        <f t="shared" si="57"/>
        <v>---</v>
      </c>
      <c r="J144" s="8" t="str">
        <f t="shared" si="58"/>
        <v>----,-</v>
      </c>
      <c r="K144" s="3" t="e">
        <f>VLOOKUP(I144, '[1]Depth vlookup'!$G$2:$I$997,2,FALSE())+(G144/100)</f>
        <v>#N/A</v>
      </c>
      <c r="L144" s="18" t="e">
        <f t="shared" si="59"/>
        <v>#N/A</v>
      </c>
      <c r="M144" s="2"/>
      <c r="N144" s="4" t="e">
        <f>VLOOKUP(M144,  [1]Beakers!$A$2:$B$151, 2, 0)</f>
        <v>#N/A</v>
      </c>
      <c r="V144" s="20" t="e">
        <f t="shared" si="60"/>
        <v>#N/A</v>
      </c>
      <c r="W144" s="20" t="e">
        <f t="shared" si="61"/>
        <v>#N/A</v>
      </c>
      <c r="X144" s="20" t="e">
        <f t="shared" si="62"/>
        <v>#N/A</v>
      </c>
      <c r="Y144" s="20" t="e">
        <f t="shared" si="63"/>
        <v>#N/A</v>
      </c>
      <c r="Z144" s="20" t="e">
        <f t="shared" si="64"/>
        <v>#N/A</v>
      </c>
      <c r="AA144" s="20" t="e">
        <f t="shared" si="65"/>
        <v>#N/A</v>
      </c>
      <c r="AB144" s="20" t="e">
        <f t="shared" si="66"/>
        <v>#N/A</v>
      </c>
      <c r="AC144" s="20" t="e">
        <f>T144-VLOOKUP(M144, [1]Beakers!$A$2:$C$151, 3, 0)</f>
        <v>#N/A</v>
      </c>
      <c r="AD144" s="20" t="e">
        <f t="shared" si="67"/>
        <v>#N/A</v>
      </c>
      <c r="AE144" s="20" t="e">
        <f t="shared" si="68"/>
        <v>#N/A</v>
      </c>
      <c r="AF144" s="20" t="e">
        <f t="shared" si="69"/>
        <v>#N/A</v>
      </c>
      <c r="AG144" s="20" t="e">
        <f t="shared" si="70"/>
        <v>#N/A</v>
      </c>
      <c r="AH144" s="20" t="e">
        <f t="shared" si="71"/>
        <v>#N/A</v>
      </c>
      <c r="AI144" s="20" t="e">
        <f t="shared" si="72"/>
        <v>#N/A</v>
      </c>
      <c r="AJ144" s="20" t="e">
        <f t="shared" si="73"/>
        <v>#N/A</v>
      </c>
      <c r="AK144" s="20" t="e">
        <f t="shared" si="74"/>
        <v>#N/A</v>
      </c>
      <c r="AL144" s="20" t="e">
        <f t="shared" si="75"/>
        <v>#N/A</v>
      </c>
    </row>
    <row r="145" spans="9:38" ht="14.4" x14ac:dyDescent="0.3">
      <c r="I145" s="3" t="str">
        <f t="shared" si="57"/>
        <v>---</v>
      </c>
      <c r="J145" s="8" t="str">
        <f t="shared" si="58"/>
        <v>----,-</v>
      </c>
      <c r="K145" s="3" t="e">
        <f>VLOOKUP(I145, '[1]Depth vlookup'!$G$2:$I$997,2,FALSE())+(G145/100)</f>
        <v>#N/A</v>
      </c>
      <c r="L145" s="18" t="e">
        <f t="shared" si="59"/>
        <v>#N/A</v>
      </c>
      <c r="M145" s="2"/>
      <c r="N145" s="4" t="e">
        <f>VLOOKUP(M145,  [1]Beakers!$A$2:$B$151, 2, 0)</f>
        <v>#N/A</v>
      </c>
      <c r="V145" s="20" t="e">
        <f t="shared" si="60"/>
        <v>#N/A</v>
      </c>
      <c r="W145" s="20" t="e">
        <f t="shared" si="61"/>
        <v>#N/A</v>
      </c>
      <c r="X145" s="20" t="e">
        <f t="shared" si="62"/>
        <v>#N/A</v>
      </c>
      <c r="Y145" s="20" t="e">
        <f t="shared" si="63"/>
        <v>#N/A</v>
      </c>
      <c r="Z145" s="20" t="e">
        <f t="shared" si="64"/>
        <v>#N/A</v>
      </c>
      <c r="AA145" s="20" t="e">
        <f t="shared" si="65"/>
        <v>#N/A</v>
      </c>
      <c r="AB145" s="20" t="e">
        <f t="shared" si="66"/>
        <v>#N/A</v>
      </c>
      <c r="AC145" s="20" t="e">
        <f>T145-VLOOKUP(M145, [1]Beakers!$A$2:$C$151, 3, 0)</f>
        <v>#N/A</v>
      </c>
      <c r="AD145" s="20" t="e">
        <f t="shared" si="67"/>
        <v>#N/A</v>
      </c>
      <c r="AE145" s="20" t="e">
        <f t="shared" si="68"/>
        <v>#N/A</v>
      </c>
      <c r="AF145" s="20" t="e">
        <f t="shared" si="69"/>
        <v>#N/A</v>
      </c>
      <c r="AG145" s="20" t="e">
        <f t="shared" si="70"/>
        <v>#N/A</v>
      </c>
      <c r="AH145" s="20" t="e">
        <f t="shared" si="71"/>
        <v>#N/A</v>
      </c>
      <c r="AI145" s="20" t="e">
        <f t="shared" si="72"/>
        <v>#N/A</v>
      </c>
      <c r="AJ145" s="20" t="e">
        <f t="shared" si="73"/>
        <v>#N/A</v>
      </c>
      <c r="AK145" s="20" t="e">
        <f t="shared" si="74"/>
        <v>#N/A</v>
      </c>
      <c r="AL145" s="20" t="e">
        <f t="shared" si="75"/>
        <v>#N/A</v>
      </c>
    </row>
    <row r="146" spans="9:38" ht="14.4" x14ac:dyDescent="0.3">
      <c r="I146" s="3" t="str">
        <f t="shared" si="57"/>
        <v>---</v>
      </c>
      <c r="J146" s="8" t="str">
        <f t="shared" si="58"/>
        <v>----,-</v>
      </c>
      <c r="K146" s="3" t="e">
        <f>VLOOKUP(I146, '[1]Depth vlookup'!$G$2:$I$997,2,FALSE())+(G146/100)</f>
        <v>#N/A</v>
      </c>
      <c r="L146" s="18" t="e">
        <f t="shared" si="59"/>
        <v>#N/A</v>
      </c>
      <c r="M146" s="2"/>
      <c r="N146" s="4" t="e">
        <f>VLOOKUP(M146,  [1]Beakers!$A$2:$B$151, 2, 0)</f>
        <v>#N/A</v>
      </c>
      <c r="V146" s="20" t="e">
        <f t="shared" si="60"/>
        <v>#N/A</v>
      </c>
      <c r="W146" s="20" t="e">
        <f t="shared" si="61"/>
        <v>#N/A</v>
      </c>
      <c r="X146" s="20" t="e">
        <f t="shared" si="62"/>
        <v>#N/A</v>
      </c>
      <c r="Y146" s="20" t="e">
        <f t="shared" si="63"/>
        <v>#N/A</v>
      </c>
      <c r="Z146" s="20" t="e">
        <f t="shared" si="64"/>
        <v>#N/A</v>
      </c>
      <c r="AA146" s="20" t="e">
        <f t="shared" si="65"/>
        <v>#N/A</v>
      </c>
      <c r="AB146" s="20" t="e">
        <f t="shared" si="66"/>
        <v>#N/A</v>
      </c>
      <c r="AC146" s="20" t="e">
        <f>T146-VLOOKUP(M146, [1]Beakers!$A$2:$C$151, 3, 0)</f>
        <v>#N/A</v>
      </c>
      <c r="AD146" s="20" t="e">
        <f t="shared" si="67"/>
        <v>#N/A</v>
      </c>
      <c r="AE146" s="20" t="e">
        <f t="shared" si="68"/>
        <v>#N/A</v>
      </c>
      <c r="AF146" s="20" t="e">
        <f t="shared" si="69"/>
        <v>#N/A</v>
      </c>
      <c r="AG146" s="20" t="e">
        <f t="shared" si="70"/>
        <v>#N/A</v>
      </c>
      <c r="AH146" s="20" t="e">
        <f t="shared" si="71"/>
        <v>#N/A</v>
      </c>
      <c r="AI146" s="20" t="e">
        <f t="shared" si="72"/>
        <v>#N/A</v>
      </c>
      <c r="AJ146" s="20" t="e">
        <f t="shared" si="73"/>
        <v>#N/A</v>
      </c>
      <c r="AK146" s="20" t="e">
        <f t="shared" si="74"/>
        <v>#N/A</v>
      </c>
      <c r="AL146" s="20" t="e">
        <f t="shared" si="75"/>
        <v>#N/A</v>
      </c>
    </row>
    <row r="147" spans="9:38" ht="14.4" x14ac:dyDescent="0.3">
      <c r="I147" s="3" t="str">
        <f t="shared" si="57"/>
        <v>---</v>
      </c>
      <c r="J147" s="8" t="str">
        <f t="shared" si="58"/>
        <v>----,-</v>
      </c>
      <c r="K147" s="3" t="e">
        <f>VLOOKUP(I147, '[1]Depth vlookup'!$G$2:$I$997,2,FALSE())+(G147/100)</f>
        <v>#N/A</v>
      </c>
      <c r="L147" s="18" t="e">
        <f t="shared" si="59"/>
        <v>#N/A</v>
      </c>
      <c r="M147" s="2"/>
      <c r="N147" s="4" t="e">
        <f>VLOOKUP(M147,  [1]Beakers!$A$2:$B$151, 2, 0)</f>
        <v>#N/A</v>
      </c>
      <c r="V147" s="20" t="e">
        <f t="shared" si="60"/>
        <v>#N/A</v>
      </c>
      <c r="W147" s="20" t="e">
        <f t="shared" si="61"/>
        <v>#N/A</v>
      </c>
      <c r="X147" s="20" t="e">
        <f t="shared" si="62"/>
        <v>#N/A</v>
      </c>
      <c r="Y147" s="20" t="e">
        <f t="shared" si="63"/>
        <v>#N/A</v>
      </c>
      <c r="Z147" s="20" t="e">
        <f t="shared" si="64"/>
        <v>#N/A</v>
      </c>
      <c r="AA147" s="20" t="e">
        <f t="shared" si="65"/>
        <v>#N/A</v>
      </c>
      <c r="AB147" s="20" t="e">
        <f t="shared" si="66"/>
        <v>#N/A</v>
      </c>
      <c r="AC147" s="20" t="e">
        <f>T147-VLOOKUP(M147, [1]Beakers!$A$2:$C$151, 3, 0)</f>
        <v>#N/A</v>
      </c>
      <c r="AD147" s="20" t="e">
        <f t="shared" si="67"/>
        <v>#N/A</v>
      </c>
      <c r="AE147" s="20" t="e">
        <f t="shared" si="68"/>
        <v>#N/A</v>
      </c>
      <c r="AF147" s="20" t="e">
        <f t="shared" si="69"/>
        <v>#N/A</v>
      </c>
      <c r="AG147" s="20" t="e">
        <f t="shared" si="70"/>
        <v>#N/A</v>
      </c>
      <c r="AH147" s="20" t="e">
        <f t="shared" si="71"/>
        <v>#N/A</v>
      </c>
      <c r="AI147" s="20" t="e">
        <f t="shared" si="72"/>
        <v>#N/A</v>
      </c>
      <c r="AJ147" s="20" t="e">
        <f t="shared" si="73"/>
        <v>#N/A</v>
      </c>
      <c r="AK147" s="20" t="e">
        <f t="shared" si="74"/>
        <v>#N/A</v>
      </c>
      <c r="AL147" s="20" t="e">
        <f t="shared" si="75"/>
        <v>#N/A</v>
      </c>
    </row>
    <row r="148" spans="9:38" ht="14.4" x14ac:dyDescent="0.3">
      <c r="I148" s="3" t="str">
        <f t="shared" si="57"/>
        <v>---</v>
      </c>
      <c r="J148" s="8" t="str">
        <f t="shared" si="58"/>
        <v>----,-</v>
      </c>
      <c r="K148" s="3" t="e">
        <f>VLOOKUP(I148, '[1]Depth vlookup'!$G$2:$I$997,2,FALSE())+(G148/100)</f>
        <v>#N/A</v>
      </c>
      <c r="L148" s="18" t="e">
        <f t="shared" si="59"/>
        <v>#N/A</v>
      </c>
      <c r="N148" s="4" t="e">
        <f>VLOOKUP(M148,  [1]Beakers!$A$2:$B$151, 2, 0)</f>
        <v>#N/A</v>
      </c>
      <c r="V148" s="20" t="e">
        <f t="shared" si="60"/>
        <v>#N/A</v>
      </c>
      <c r="W148" s="20" t="e">
        <f t="shared" si="61"/>
        <v>#N/A</v>
      </c>
      <c r="X148" s="20" t="e">
        <f t="shared" si="62"/>
        <v>#N/A</v>
      </c>
      <c r="Y148" s="20" t="e">
        <f t="shared" si="63"/>
        <v>#N/A</v>
      </c>
      <c r="Z148" s="20" t="e">
        <f t="shared" si="64"/>
        <v>#N/A</v>
      </c>
      <c r="AA148" s="20" t="e">
        <f t="shared" si="65"/>
        <v>#N/A</v>
      </c>
      <c r="AB148" s="20" t="e">
        <f t="shared" si="66"/>
        <v>#N/A</v>
      </c>
      <c r="AC148" s="20" t="e">
        <f>T148-VLOOKUP(M148, [1]Beakers!$A$2:$C$151, 3, 0)</f>
        <v>#N/A</v>
      </c>
      <c r="AD148" s="20" t="e">
        <f t="shared" si="67"/>
        <v>#N/A</v>
      </c>
      <c r="AE148" s="20" t="e">
        <f t="shared" si="68"/>
        <v>#N/A</v>
      </c>
      <c r="AF148" s="20" t="e">
        <f t="shared" si="69"/>
        <v>#N/A</v>
      </c>
      <c r="AG148" s="20" t="e">
        <f t="shared" si="70"/>
        <v>#N/A</v>
      </c>
      <c r="AH148" s="20" t="e">
        <f t="shared" si="71"/>
        <v>#N/A</v>
      </c>
      <c r="AI148" s="20" t="e">
        <f t="shared" si="72"/>
        <v>#N/A</v>
      </c>
      <c r="AJ148" s="20" t="e">
        <f t="shared" si="73"/>
        <v>#N/A</v>
      </c>
      <c r="AK148" s="20" t="e">
        <f t="shared" si="74"/>
        <v>#N/A</v>
      </c>
      <c r="AL148" s="20" t="e">
        <f t="shared" si="75"/>
        <v>#N/A</v>
      </c>
    </row>
    <row r="149" spans="9:38" ht="14.4" x14ac:dyDescent="0.3">
      <c r="I149" s="3" t="str">
        <f t="shared" si="57"/>
        <v>---</v>
      </c>
      <c r="J149" s="8" t="str">
        <f t="shared" si="58"/>
        <v>----,-</v>
      </c>
      <c r="K149" s="3" t="e">
        <f>VLOOKUP(I149, '[1]Depth vlookup'!$G$2:$I$997,2,FALSE())+(G149/100)</f>
        <v>#N/A</v>
      </c>
      <c r="L149" s="18" t="e">
        <f t="shared" si="59"/>
        <v>#N/A</v>
      </c>
      <c r="N149" s="4" t="e">
        <f>VLOOKUP(M149,  [1]Beakers!$A$2:$B$151, 2, 0)</f>
        <v>#N/A</v>
      </c>
      <c r="V149" s="20" t="e">
        <f t="shared" si="60"/>
        <v>#N/A</v>
      </c>
      <c r="W149" s="20" t="e">
        <f t="shared" si="61"/>
        <v>#N/A</v>
      </c>
      <c r="X149" s="20" t="e">
        <f t="shared" si="62"/>
        <v>#N/A</v>
      </c>
      <c r="Y149" s="20" t="e">
        <f t="shared" si="63"/>
        <v>#N/A</v>
      </c>
      <c r="Z149" s="20" t="e">
        <f t="shared" si="64"/>
        <v>#N/A</v>
      </c>
      <c r="AA149" s="20" t="e">
        <f t="shared" si="65"/>
        <v>#N/A</v>
      </c>
      <c r="AB149" s="20" t="e">
        <f t="shared" si="66"/>
        <v>#N/A</v>
      </c>
      <c r="AC149" s="20" t="e">
        <f>T149-VLOOKUP(M149, [1]Beakers!$A$2:$C$151, 3, 0)</f>
        <v>#N/A</v>
      </c>
      <c r="AD149" s="20" t="e">
        <f t="shared" si="67"/>
        <v>#N/A</v>
      </c>
      <c r="AE149" s="20" t="e">
        <f t="shared" si="68"/>
        <v>#N/A</v>
      </c>
      <c r="AF149" s="20" t="e">
        <f t="shared" si="69"/>
        <v>#N/A</v>
      </c>
      <c r="AG149" s="20" t="e">
        <f t="shared" si="70"/>
        <v>#N/A</v>
      </c>
      <c r="AH149" s="20" t="e">
        <f t="shared" si="71"/>
        <v>#N/A</v>
      </c>
      <c r="AI149" s="20" t="e">
        <f t="shared" si="72"/>
        <v>#N/A</v>
      </c>
      <c r="AJ149" s="20" t="e">
        <f t="shared" si="73"/>
        <v>#N/A</v>
      </c>
      <c r="AK149" s="20" t="e">
        <f t="shared" si="74"/>
        <v>#N/A</v>
      </c>
      <c r="AL149" s="20" t="e">
        <f t="shared" si="75"/>
        <v>#N/A</v>
      </c>
    </row>
    <row r="150" spans="9:38" ht="14.4" x14ac:dyDescent="0.3">
      <c r="I150" s="3" t="str">
        <f t="shared" si="57"/>
        <v>---</v>
      </c>
      <c r="J150" s="8" t="str">
        <f t="shared" si="58"/>
        <v>----,-</v>
      </c>
      <c r="K150" s="3" t="e">
        <f>VLOOKUP(I150, '[1]Depth vlookup'!$G$2:$I$997,2,FALSE())+(G150/100)</f>
        <v>#N/A</v>
      </c>
      <c r="L150" s="18" t="e">
        <f t="shared" si="59"/>
        <v>#N/A</v>
      </c>
      <c r="N150" s="4" t="e">
        <f>VLOOKUP(M150,  [1]Beakers!$A$2:$B$151, 2, 0)</f>
        <v>#N/A</v>
      </c>
      <c r="V150" s="20" t="e">
        <f t="shared" si="60"/>
        <v>#N/A</v>
      </c>
      <c r="W150" s="20" t="e">
        <f t="shared" si="61"/>
        <v>#N/A</v>
      </c>
      <c r="X150" s="20" t="e">
        <f t="shared" si="62"/>
        <v>#N/A</v>
      </c>
      <c r="Y150" s="20" t="e">
        <f t="shared" si="63"/>
        <v>#N/A</v>
      </c>
      <c r="Z150" s="20" t="e">
        <f t="shared" si="64"/>
        <v>#N/A</v>
      </c>
      <c r="AA150" s="20" t="e">
        <f t="shared" si="65"/>
        <v>#N/A</v>
      </c>
      <c r="AB150" s="20" t="e">
        <f t="shared" si="66"/>
        <v>#N/A</v>
      </c>
      <c r="AC150" s="20" t="e">
        <f>T150-VLOOKUP(M150, [1]Beakers!$A$2:$C$151, 3, 0)</f>
        <v>#N/A</v>
      </c>
      <c r="AD150" s="20" t="e">
        <f t="shared" si="67"/>
        <v>#N/A</v>
      </c>
      <c r="AE150" s="20" t="e">
        <f t="shared" si="68"/>
        <v>#N/A</v>
      </c>
      <c r="AF150" s="20" t="e">
        <f t="shared" si="69"/>
        <v>#N/A</v>
      </c>
      <c r="AG150" s="20" t="e">
        <f t="shared" si="70"/>
        <v>#N/A</v>
      </c>
      <c r="AH150" s="20" t="e">
        <f t="shared" si="71"/>
        <v>#N/A</v>
      </c>
      <c r="AI150" s="20" t="e">
        <f t="shared" si="72"/>
        <v>#N/A</v>
      </c>
      <c r="AJ150" s="20" t="e">
        <f t="shared" si="73"/>
        <v>#N/A</v>
      </c>
      <c r="AK150" s="20" t="e">
        <f t="shared" si="74"/>
        <v>#N/A</v>
      </c>
      <c r="AL150" s="20" t="e">
        <f t="shared" si="75"/>
        <v>#N/A</v>
      </c>
    </row>
    <row r="151" spans="9:38" ht="14.4" x14ac:dyDescent="0.3">
      <c r="I151" s="3" t="str">
        <f t="shared" si="57"/>
        <v>---</v>
      </c>
      <c r="J151" s="8" t="str">
        <f t="shared" si="58"/>
        <v>----,-</v>
      </c>
      <c r="K151" s="3" t="e">
        <f>VLOOKUP(I151, '[1]Depth vlookup'!$G$2:$I$997,2,FALSE())+(G151/100)</f>
        <v>#N/A</v>
      </c>
      <c r="L151" s="18" t="e">
        <f t="shared" si="59"/>
        <v>#N/A</v>
      </c>
      <c r="N151" s="4" t="e">
        <f>VLOOKUP(M151,  [1]Beakers!$A$2:$B$151, 2, 0)</f>
        <v>#N/A</v>
      </c>
      <c r="V151" s="20" t="e">
        <f t="shared" si="60"/>
        <v>#N/A</v>
      </c>
      <c r="W151" s="20" t="e">
        <f t="shared" si="61"/>
        <v>#N/A</v>
      </c>
      <c r="X151" s="20" t="e">
        <f t="shared" si="62"/>
        <v>#N/A</v>
      </c>
      <c r="Y151" s="20" t="e">
        <f t="shared" si="63"/>
        <v>#N/A</v>
      </c>
      <c r="Z151" s="20" t="e">
        <f t="shared" si="64"/>
        <v>#N/A</v>
      </c>
      <c r="AA151" s="20" t="e">
        <f t="shared" si="65"/>
        <v>#N/A</v>
      </c>
      <c r="AB151" s="20" t="e">
        <f t="shared" si="66"/>
        <v>#N/A</v>
      </c>
      <c r="AC151" s="20" t="e">
        <f>T151-VLOOKUP(M151, [1]Beakers!$A$2:$C$151, 3, 0)</f>
        <v>#N/A</v>
      </c>
      <c r="AD151" s="20" t="e">
        <f t="shared" si="67"/>
        <v>#N/A</v>
      </c>
      <c r="AE151" s="20" t="e">
        <f t="shared" si="68"/>
        <v>#N/A</v>
      </c>
      <c r="AF151" s="20" t="e">
        <f t="shared" si="69"/>
        <v>#N/A</v>
      </c>
      <c r="AG151" s="20" t="e">
        <f t="shared" si="70"/>
        <v>#N/A</v>
      </c>
      <c r="AH151" s="20" t="e">
        <f t="shared" si="71"/>
        <v>#N/A</v>
      </c>
      <c r="AI151" s="20" t="e">
        <f t="shared" si="72"/>
        <v>#N/A</v>
      </c>
      <c r="AJ151" s="20" t="e">
        <f t="shared" si="73"/>
        <v>#N/A</v>
      </c>
      <c r="AK151" s="20" t="e">
        <f t="shared" si="74"/>
        <v>#N/A</v>
      </c>
      <c r="AL151" s="20" t="e">
        <f t="shared" si="75"/>
        <v>#N/A</v>
      </c>
    </row>
    <row r="152" spans="9:38" ht="14.4" x14ac:dyDescent="0.3">
      <c r="I152" s="3" t="str">
        <f t="shared" si="57"/>
        <v>---</v>
      </c>
      <c r="J152" s="8" t="str">
        <f t="shared" si="58"/>
        <v>----,-</v>
      </c>
      <c r="K152" s="3" t="e">
        <f>VLOOKUP(I152, '[1]Depth vlookup'!$G$2:$I$997,2,FALSE())+(G152/100)</f>
        <v>#N/A</v>
      </c>
      <c r="L152" s="18" t="e">
        <f t="shared" si="59"/>
        <v>#N/A</v>
      </c>
      <c r="N152" s="4" t="e">
        <f>VLOOKUP(M152,  [1]Beakers!$A$2:$B$151, 2, 0)</f>
        <v>#N/A</v>
      </c>
      <c r="V152" s="20" t="e">
        <f t="shared" si="60"/>
        <v>#N/A</v>
      </c>
      <c r="W152" s="20" t="e">
        <f t="shared" si="61"/>
        <v>#N/A</v>
      </c>
      <c r="X152" s="20" t="e">
        <f t="shared" si="62"/>
        <v>#N/A</v>
      </c>
      <c r="Y152" s="20" t="e">
        <f t="shared" si="63"/>
        <v>#N/A</v>
      </c>
      <c r="Z152" s="20" t="e">
        <f t="shared" si="64"/>
        <v>#N/A</v>
      </c>
      <c r="AA152" s="20" t="e">
        <f t="shared" si="65"/>
        <v>#N/A</v>
      </c>
      <c r="AB152" s="20" t="e">
        <f t="shared" si="66"/>
        <v>#N/A</v>
      </c>
      <c r="AC152" s="20" t="e">
        <f>T152-VLOOKUP(M152, [1]Beakers!$A$2:$C$151, 3, 0)</f>
        <v>#N/A</v>
      </c>
      <c r="AD152" s="20" t="e">
        <f t="shared" si="67"/>
        <v>#N/A</v>
      </c>
      <c r="AE152" s="20" t="e">
        <f t="shared" si="68"/>
        <v>#N/A</v>
      </c>
      <c r="AF152" s="20" t="e">
        <f t="shared" si="69"/>
        <v>#N/A</v>
      </c>
      <c r="AG152" s="20" t="e">
        <f t="shared" si="70"/>
        <v>#N/A</v>
      </c>
      <c r="AH152" s="20" t="e">
        <f t="shared" si="71"/>
        <v>#N/A</v>
      </c>
      <c r="AI152" s="20" t="e">
        <f t="shared" si="72"/>
        <v>#N/A</v>
      </c>
      <c r="AJ152" s="20" t="e">
        <f t="shared" si="73"/>
        <v>#N/A</v>
      </c>
      <c r="AK152" s="20" t="e">
        <f t="shared" si="74"/>
        <v>#N/A</v>
      </c>
      <c r="AL152" s="20" t="e">
        <f t="shared" si="75"/>
        <v>#N/A</v>
      </c>
    </row>
    <row r="153" spans="9:38" ht="14.4" x14ac:dyDescent="0.3">
      <c r="I153" s="3" t="str">
        <f t="shared" si="57"/>
        <v>---</v>
      </c>
      <c r="J153" s="8" t="str">
        <f t="shared" si="58"/>
        <v>----,-</v>
      </c>
      <c r="K153" s="3" t="e">
        <f>VLOOKUP(I153, '[1]Depth vlookup'!$G$2:$I$997,2,FALSE())+(G153/100)</f>
        <v>#N/A</v>
      </c>
      <c r="L153" s="18" t="e">
        <f t="shared" si="59"/>
        <v>#N/A</v>
      </c>
      <c r="N153" s="4" t="e">
        <f>VLOOKUP(M153,  [1]Beakers!$A$2:$B$151, 2, 0)</f>
        <v>#N/A</v>
      </c>
      <c r="V153" s="20" t="e">
        <f t="shared" si="60"/>
        <v>#N/A</v>
      </c>
      <c r="W153" s="20" t="e">
        <f t="shared" si="61"/>
        <v>#N/A</v>
      </c>
      <c r="X153" s="20" t="e">
        <f t="shared" si="62"/>
        <v>#N/A</v>
      </c>
      <c r="Y153" s="20" t="e">
        <f t="shared" si="63"/>
        <v>#N/A</v>
      </c>
      <c r="Z153" s="20" t="e">
        <f t="shared" si="64"/>
        <v>#N/A</v>
      </c>
      <c r="AA153" s="20" t="e">
        <f t="shared" si="65"/>
        <v>#N/A</v>
      </c>
      <c r="AB153" s="20" t="e">
        <f t="shared" si="66"/>
        <v>#N/A</v>
      </c>
      <c r="AC153" s="20" t="e">
        <f>T153-VLOOKUP(M153, [1]Beakers!$A$2:$C$151, 3, 0)</f>
        <v>#N/A</v>
      </c>
      <c r="AD153" s="20" t="e">
        <f t="shared" si="67"/>
        <v>#N/A</v>
      </c>
      <c r="AE153" s="20" t="e">
        <f t="shared" si="68"/>
        <v>#N/A</v>
      </c>
      <c r="AF153" s="20" t="e">
        <f t="shared" si="69"/>
        <v>#N/A</v>
      </c>
      <c r="AG153" s="20" t="e">
        <f t="shared" si="70"/>
        <v>#N/A</v>
      </c>
      <c r="AH153" s="20" t="e">
        <f t="shared" si="71"/>
        <v>#N/A</v>
      </c>
      <c r="AI153" s="20" t="e">
        <f t="shared" si="72"/>
        <v>#N/A</v>
      </c>
      <c r="AJ153" s="20" t="e">
        <f t="shared" si="73"/>
        <v>#N/A</v>
      </c>
      <c r="AK153" s="20" t="e">
        <f t="shared" si="74"/>
        <v>#N/A</v>
      </c>
      <c r="AL153" s="20" t="e">
        <f t="shared" si="75"/>
        <v>#N/A</v>
      </c>
    </row>
    <row r="154" spans="9:38" ht="14.4" x14ac:dyDescent="0.3">
      <c r="I154" s="3" t="str">
        <f t="shared" si="57"/>
        <v>---</v>
      </c>
      <c r="J154" s="8" t="str">
        <f t="shared" si="58"/>
        <v>----,-</v>
      </c>
      <c r="K154" s="3" t="e">
        <f>VLOOKUP(I154, '[1]Depth vlookup'!$G$2:$I$997,2,FALSE())+(G154/100)</f>
        <v>#N/A</v>
      </c>
      <c r="L154" s="18" t="e">
        <f t="shared" si="59"/>
        <v>#N/A</v>
      </c>
      <c r="N154" s="4" t="e">
        <f>VLOOKUP(M154,  [1]Beakers!$A$2:$B$151, 2, 0)</f>
        <v>#N/A</v>
      </c>
      <c r="V154" s="20" t="e">
        <f t="shared" si="60"/>
        <v>#N/A</v>
      </c>
      <c r="W154" s="20" t="e">
        <f t="shared" si="61"/>
        <v>#N/A</v>
      </c>
      <c r="X154" s="20" t="e">
        <f t="shared" si="62"/>
        <v>#N/A</v>
      </c>
      <c r="Y154" s="20" t="e">
        <f t="shared" si="63"/>
        <v>#N/A</v>
      </c>
      <c r="Z154" s="20" t="e">
        <f t="shared" si="64"/>
        <v>#N/A</v>
      </c>
      <c r="AA154" s="20" t="e">
        <f t="shared" si="65"/>
        <v>#N/A</v>
      </c>
      <c r="AB154" s="20" t="e">
        <f t="shared" si="66"/>
        <v>#N/A</v>
      </c>
      <c r="AC154" s="20" t="e">
        <f>T154-VLOOKUP(M154, [1]Beakers!$A$2:$C$151, 3, 0)</f>
        <v>#N/A</v>
      </c>
      <c r="AD154" s="20" t="e">
        <f t="shared" si="67"/>
        <v>#N/A</v>
      </c>
      <c r="AE154" s="20" t="e">
        <f t="shared" si="68"/>
        <v>#N/A</v>
      </c>
      <c r="AF154" s="20" t="e">
        <f t="shared" si="69"/>
        <v>#N/A</v>
      </c>
      <c r="AG154" s="20" t="e">
        <f t="shared" si="70"/>
        <v>#N/A</v>
      </c>
      <c r="AH154" s="20" t="e">
        <f t="shared" si="71"/>
        <v>#N/A</v>
      </c>
      <c r="AI154" s="20" t="e">
        <f t="shared" si="72"/>
        <v>#N/A</v>
      </c>
      <c r="AJ154" s="20" t="e">
        <f t="shared" si="73"/>
        <v>#N/A</v>
      </c>
      <c r="AK154" s="20" t="e">
        <f t="shared" si="74"/>
        <v>#N/A</v>
      </c>
      <c r="AL154" s="20" t="e">
        <f t="shared" si="75"/>
        <v>#N/A</v>
      </c>
    </row>
    <row r="155" spans="9:38" ht="14.4" x14ac:dyDescent="0.3">
      <c r="I155" s="3" t="str">
        <f t="shared" si="57"/>
        <v>---</v>
      </c>
      <c r="J155" s="8" t="str">
        <f t="shared" si="58"/>
        <v>----,-</v>
      </c>
      <c r="K155" s="3" t="e">
        <f>VLOOKUP(I155, '[1]Depth vlookup'!$G$2:$I$997,2,FALSE())+(G155/100)</f>
        <v>#N/A</v>
      </c>
      <c r="L155" s="18" t="e">
        <f t="shared" si="59"/>
        <v>#N/A</v>
      </c>
      <c r="N155" s="4" t="e">
        <f>VLOOKUP(M155,  [1]Beakers!$A$2:$B$151, 2, 0)</f>
        <v>#N/A</v>
      </c>
      <c r="V155" s="20" t="e">
        <f t="shared" si="60"/>
        <v>#N/A</v>
      </c>
      <c r="W155" s="20" t="e">
        <f t="shared" si="61"/>
        <v>#N/A</v>
      </c>
      <c r="X155" s="20" t="e">
        <f t="shared" si="62"/>
        <v>#N/A</v>
      </c>
      <c r="Y155" s="20" t="e">
        <f t="shared" si="63"/>
        <v>#N/A</v>
      </c>
      <c r="Z155" s="20" t="e">
        <f t="shared" si="64"/>
        <v>#N/A</v>
      </c>
      <c r="AA155" s="20" t="e">
        <f t="shared" si="65"/>
        <v>#N/A</v>
      </c>
      <c r="AB155" s="20" t="e">
        <f t="shared" si="66"/>
        <v>#N/A</v>
      </c>
      <c r="AC155" s="20" t="e">
        <f>T155-VLOOKUP(M155, [1]Beakers!$A$2:$C$151, 3, 0)</f>
        <v>#N/A</v>
      </c>
      <c r="AD155" s="20" t="e">
        <f t="shared" si="67"/>
        <v>#N/A</v>
      </c>
      <c r="AE155" s="20" t="e">
        <f t="shared" si="68"/>
        <v>#N/A</v>
      </c>
      <c r="AF155" s="20" t="e">
        <f t="shared" si="69"/>
        <v>#N/A</v>
      </c>
      <c r="AG155" s="20" t="e">
        <f t="shared" si="70"/>
        <v>#N/A</v>
      </c>
      <c r="AH155" s="20" t="e">
        <f t="shared" si="71"/>
        <v>#N/A</v>
      </c>
      <c r="AI155" s="20" t="e">
        <f t="shared" si="72"/>
        <v>#N/A</v>
      </c>
      <c r="AJ155" s="20" t="e">
        <f t="shared" si="73"/>
        <v>#N/A</v>
      </c>
      <c r="AK155" s="20" t="e">
        <f t="shared" si="74"/>
        <v>#N/A</v>
      </c>
      <c r="AL155" s="20" t="e">
        <f t="shared" si="75"/>
        <v>#N/A</v>
      </c>
    </row>
    <row r="156" spans="9:38" ht="14.4" x14ac:dyDescent="0.3">
      <c r="I156" s="3" t="str">
        <f t="shared" si="57"/>
        <v>---</v>
      </c>
      <c r="J156" s="8" t="str">
        <f t="shared" si="58"/>
        <v>----,-</v>
      </c>
      <c r="K156" s="3" t="e">
        <f>VLOOKUP(I156, '[1]Depth vlookup'!$G$2:$I$997,2,FALSE())+(G156/100)</f>
        <v>#N/A</v>
      </c>
      <c r="L156" s="18" t="e">
        <f t="shared" si="59"/>
        <v>#N/A</v>
      </c>
      <c r="N156" s="4" t="e">
        <f>VLOOKUP(M156,  [1]Beakers!$A$2:$B$151, 2, 0)</f>
        <v>#N/A</v>
      </c>
      <c r="V156" s="20" t="e">
        <f t="shared" si="60"/>
        <v>#N/A</v>
      </c>
      <c r="W156" s="20" t="e">
        <f t="shared" si="61"/>
        <v>#N/A</v>
      </c>
      <c r="X156" s="20" t="e">
        <f t="shared" si="62"/>
        <v>#N/A</v>
      </c>
      <c r="Y156" s="20" t="e">
        <f t="shared" si="63"/>
        <v>#N/A</v>
      </c>
      <c r="Z156" s="20" t="e">
        <f t="shared" si="64"/>
        <v>#N/A</v>
      </c>
      <c r="AA156" s="20" t="e">
        <f t="shared" si="65"/>
        <v>#N/A</v>
      </c>
      <c r="AB156" s="20" t="e">
        <f t="shared" si="66"/>
        <v>#N/A</v>
      </c>
      <c r="AC156" s="20" t="e">
        <f>T156-VLOOKUP(M156, [1]Beakers!$A$2:$C$151, 3, 0)</f>
        <v>#N/A</v>
      </c>
      <c r="AD156" s="20" t="e">
        <f t="shared" si="67"/>
        <v>#N/A</v>
      </c>
      <c r="AE156" s="20" t="e">
        <f t="shared" si="68"/>
        <v>#N/A</v>
      </c>
      <c r="AF156" s="20" t="e">
        <f t="shared" si="69"/>
        <v>#N/A</v>
      </c>
      <c r="AG156" s="20" t="e">
        <f t="shared" si="70"/>
        <v>#N/A</v>
      </c>
      <c r="AH156" s="20" t="e">
        <f t="shared" si="71"/>
        <v>#N/A</v>
      </c>
      <c r="AI156" s="20" t="e">
        <f t="shared" si="72"/>
        <v>#N/A</v>
      </c>
      <c r="AJ156" s="20" t="e">
        <f t="shared" si="73"/>
        <v>#N/A</v>
      </c>
      <c r="AK156" s="20" t="e">
        <f t="shared" si="74"/>
        <v>#N/A</v>
      </c>
      <c r="AL156" s="20" t="e">
        <f t="shared" si="75"/>
        <v>#N/A</v>
      </c>
    </row>
    <row r="157" spans="9:38" ht="14.4" x14ac:dyDescent="0.3">
      <c r="I157" s="3" t="str">
        <f t="shared" si="57"/>
        <v>---</v>
      </c>
      <c r="J157" s="8" t="str">
        <f t="shared" si="58"/>
        <v>----,-</v>
      </c>
      <c r="K157" s="3" t="e">
        <f>VLOOKUP(I157, '[1]Depth vlookup'!$G$2:$I$997,2,FALSE())+(G157/100)</f>
        <v>#N/A</v>
      </c>
      <c r="L157" s="18" t="e">
        <f t="shared" si="59"/>
        <v>#N/A</v>
      </c>
      <c r="N157" s="4" t="e">
        <f>VLOOKUP(M157,  [1]Beakers!$A$2:$B$151, 2, 0)</f>
        <v>#N/A</v>
      </c>
      <c r="V157" s="20" t="e">
        <f t="shared" si="60"/>
        <v>#N/A</v>
      </c>
      <c r="W157" s="20" t="e">
        <f t="shared" si="61"/>
        <v>#N/A</v>
      </c>
      <c r="X157" s="20" t="e">
        <f t="shared" si="62"/>
        <v>#N/A</v>
      </c>
      <c r="Y157" s="20" t="e">
        <f t="shared" si="63"/>
        <v>#N/A</v>
      </c>
      <c r="Z157" s="20" t="e">
        <f t="shared" si="64"/>
        <v>#N/A</v>
      </c>
      <c r="AA157" s="20" t="e">
        <f t="shared" si="65"/>
        <v>#N/A</v>
      </c>
      <c r="AB157" s="20" t="e">
        <f t="shared" si="66"/>
        <v>#N/A</v>
      </c>
      <c r="AC157" s="20" t="e">
        <f>T157-VLOOKUP(M157, [1]Beakers!$A$2:$C$151, 3, 0)</f>
        <v>#N/A</v>
      </c>
      <c r="AD157" s="20" t="e">
        <f t="shared" si="67"/>
        <v>#N/A</v>
      </c>
      <c r="AE157" s="20" t="e">
        <f t="shared" si="68"/>
        <v>#N/A</v>
      </c>
      <c r="AF157" s="20" t="e">
        <f t="shared" si="69"/>
        <v>#N/A</v>
      </c>
      <c r="AG157" s="20" t="e">
        <f t="shared" si="70"/>
        <v>#N/A</v>
      </c>
      <c r="AH157" s="20" t="e">
        <f t="shared" si="71"/>
        <v>#N/A</v>
      </c>
      <c r="AI157" s="20" t="e">
        <f t="shared" si="72"/>
        <v>#N/A</v>
      </c>
      <c r="AJ157" s="20" t="e">
        <f t="shared" si="73"/>
        <v>#N/A</v>
      </c>
      <c r="AK157" s="20" t="e">
        <f t="shared" si="74"/>
        <v>#N/A</v>
      </c>
      <c r="AL157" s="20" t="e">
        <f t="shared" si="75"/>
        <v>#N/A</v>
      </c>
    </row>
    <row r="158" spans="9:38" ht="14.4" x14ac:dyDescent="0.3">
      <c r="I158" s="3" t="str">
        <f t="shared" si="57"/>
        <v>---</v>
      </c>
      <c r="J158" s="8" t="str">
        <f t="shared" si="58"/>
        <v>----,-</v>
      </c>
      <c r="K158" s="3" t="e">
        <f>VLOOKUP(I158, '[1]Depth vlookup'!$G$2:$I$997,2,FALSE())+(G158/100)</f>
        <v>#N/A</v>
      </c>
      <c r="L158" s="18" t="e">
        <f t="shared" si="59"/>
        <v>#N/A</v>
      </c>
      <c r="N158" s="4" t="e">
        <f>VLOOKUP(M158,  [1]Beakers!$A$2:$B$151, 2, 0)</f>
        <v>#N/A</v>
      </c>
      <c r="V158" s="20" t="e">
        <f t="shared" si="60"/>
        <v>#N/A</v>
      </c>
      <c r="W158" s="20" t="e">
        <f t="shared" si="61"/>
        <v>#N/A</v>
      </c>
      <c r="X158" s="20" t="e">
        <f t="shared" si="62"/>
        <v>#N/A</v>
      </c>
      <c r="Y158" s="20" t="e">
        <f t="shared" si="63"/>
        <v>#N/A</v>
      </c>
      <c r="Z158" s="20" t="e">
        <f t="shared" si="64"/>
        <v>#N/A</v>
      </c>
      <c r="AA158" s="20" t="e">
        <f t="shared" si="65"/>
        <v>#N/A</v>
      </c>
      <c r="AB158" s="20" t="e">
        <f t="shared" si="66"/>
        <v>#N/A</v>
      </c>
      <c r="AC158" s="20" t="e">
        <f>T158-VLOOKUP(M158, [1]Beakers!$A$2:$C$151, 3, 0)</f>
        <v>#N/A</v>
      </c>
      <c r="AD158" s="20" t="e">
        <f t="shared" si="67"/>
        <v>#N/A</v>
      </c>
      <c r="AE158" s="20" t="e">
        <f t="shared" si="68"/>
        <v>#N/A</v>
      </c>
      <c r="AF158" s="20" t="e">
        <f t="shared" si="69"/>
        <v>#N/A</v>
      </c>
      <c r="AG158" s="20" t="e">
        <f t="shared" si="70"/>
        <v>#N/A</v>
      </c>
      <c r="AH158" s="20" t="e">
        <f t="shared" si="71"/>
        <v>#N/A</v>
      </c>
      <c r="AI158" s="20" t="e">
        <f t="shared" si="72"/>
        <v>#N/A</v>
      </c>
      <c r="AJ158" s="20" t="e">
        <f t="shared" si="73"/>
        <v>#N/A</v>
      </c>
      <c r="AK158" s="20" t="e">
        <f t="shared" si="74"/>
        <v>#N/A</v>
      </c>
      <c r="AL158" s="20" t="e">
        <f t="shared" si="75"/>
        <v>#N/A</v>
      </c>
    </row>
    <row r="159" spans="9:38" ht="14.4" x14ac:dyDescent="0.3">
      <c r="I159" s="3" t="str">
        <f t="shared" si="57"/>
        <v>---</v>
      </c>
      <c r="J159" s="8" t="str">
        <f t="shared" si="58"/>
        <v>----,-</v>
      </c>
      <c r="K159" s="3" t="e">
        <f>VLOOKUP(I159, '[1]Depth vlookup'!$G$2:$I$997,2,FALSE())+(G159/100)</f>
        <v>#N/A</v>
      </c>
      <c r="L159" s="18" t="e">
        <f t="shared" si="59"/>
        <v>#N/A</v>
      </c>
      <c r="N159" s="4" t="e">
        <f>VLOOKUP(M159,  [1]Beakers!$A$2:$B$151, 2, 0)</f>
        <v>#N/A</v>
      </c>
      <c r="V159" s="20" t="e">
        <f t="shared" si="60"/>
        <v>#N/A</v>
      </c>
      <c r="W159" s="20" t="e">
        <f t="shared" si="61"/>
        <v>#N/A</v>
      </c>
      <c r="X159" s="20" t="e">
        <f t="shared" si="62"/>
        <v>#N/A</v>
      </c>
      <c r="Y159" s="20" t="e">
        <f t="shared" si="63"/>
        <v>#N/A</v>
      </c>
      <c r="Z159" s="20" t="e">
        <f t="shared" si="64"/>
        <v>#N/A</v>
      </c>
      <c r="AA159" s="20" t="e">
        <f t="shared" si="65"/>
        <v>#N/A</v>
      </c>
      <c r="AB159" s="20" t="e">
        <f t="shared" si="66"/>
        <v>#N/A</v>
      </c>
      <c r="AC159" s="20" t="e">
        <f>T159-VLOOKUP(M159, [1]Beakers!$A$2:$C$151, 3, 0)</f>
        <v>#N/A</v>
      </c>
      <c r="AD159" s="20" t="e">
        <f t="shared" si="67"/>
        <v>#N/A</v>
      </c>
      <c r="AE159" s="20" t="e">
        <f t="shared" si="68"/>
        <v>#N/A</v>
      </c>
      <c r="AF159" s="20" t="e">
        <f t="shared" si="69"/>
        <v>#N/A</v>
      </c>
      <c r="AG159" s="20" t="e">
        <f t="shared" si="70"/>
        <v>#N/A</v>
      </c>
      <c r="AH159" s="20" t="e">
        <f t="shared" si="71"/>
        <v>#N/A</v>
      </c>
      <c r="AI159" s="20" t="e">
        <f t="shared" si="72"/>
        <v>#N/A</v>
      </c>
      <c r="AJ159" s="20" t="e">
        <f t="shared" si="73"/>
        <v>#N/A</v>
      </c>
      <c r="AK159" s="20" t="e">
        <f t="shared" si="74"/>
        <v>#N/A</v>
      </c>
      <c r="AL159" s="20" t="e">
        <f t="shared" si="75"/>
        <v>#N/A</v>
      </c>
    </row>
    <row r="160" spans="9:38" ht="14.4" x14ac:dyDescent="0.3">
      <c r="I160" s="3" t="str">
        <f t="shared" si="57"/>
        <v>---</v>
      </c>
      <c r="J160" s="8" t="str">
        <f t="shared" si="58"/>
        <v>----,-</v>
      </c>
      <c r="K160" s="3" t="e">
        <f>VLOOKUP(I160, '[1]Depth vlookup'!$G$2:$I$997,2,FALSE())+(G160/100)</f>
        <v>#N/A</v>
      </c>
      <c r="L160" s="18" t="e">
        <f t="shared" si="59"/>
        <v>#N/A</v>
      </c>
      <c r="N160" s="4" t="e">
        <f>VLOOKUP(M160,  [1]Beakers!$A$2:$B$151, 2, 0)</f>
        <v>#N/A</v>
      </c>
      <c r="V160" s="20" t="e">
        <f t="shared" si="60"/>
        <v>#N/A</v>
      </c>
      <c r="W160" s="20" t="e">
        <f t="shared" si="61"/>
        <v>#N/A</v>
      </c>
      <c r="X160" s="20" t="e">
        <f t="shared" si="62"/>
        <v>#N/A</v>
      </c>
      <c r="Y160" s="20" t="e">
        <f t="shared" si="63"/>
        <v>#N/A</v>
      </c>
      <c r="Z160" s="20" t="e">
        <f t="shared" si="64"/>
        <v>#N/A</v>
      </c>
      <c r="AA160" s="20" t="e">
        <f t="shared" si="65"/>
        <v>#N/A</v>
      </c>
      <c r="AB160" s="20" t="e">
        <f t="shared" si="66"/>
        <v>#N/A</v>
      </c>
      <c r="AC160" s="20" t="e">
        <f>T160-VLOOKUP(M160, [1]Beakers!$A$2:$C$151, 3, 0)</f>
        <v>#N/A</v>
      </c>
      <c r="AD160" s="20" t="e">
        <f t="shared" si="67"/>
        <v>#N/A</v>
      </c>
      <c r="AE160" s="20" t="e">
        <f t="shared" si="68"/>
        <v>#N/A</v>
      </c>
      <c r="AF160" s="20" t="e">
        <f t="shared" si="69"/>
        <v>#N/A</v>
      </c>
      <c r="AG160" s="20" t="e">
        <f t="shared" si="70"/>
        <v>#N/A</v>
      </c>
      <c r="AH160" s="20" t="e">
        <f t="shared" si="71"/>
        <v>#N/A</v>
      </c>
      <c r="AI160" s="20" t="e">
        <f t="shared" si="72"/>
        <v>#N/A</v>
      </c>
      <c r="AJ160" s="20" t="e">
        <f t="shared" si="73"/>
        <v>#N/A</v>
      </c>
      <c r="AK160" s="20" t="e">
        <f t="shared" si="74"/>
        <v>#N/A</v>
      </c>
      <c r="AL160" s="20" t="e">
        <f t="shared" si="75"/>
        <v>#N/A</v>
      </c>
    </row>
    <row r="161" spans="9:38" ht="14.4" x14ac:dyDescent="0.3">
      <c r="I161" s="3" t="str">
        <f t="shared" si="57"/>
        <v>---</v>
      </c>
      <c r="J161" s="8" t="str">
        <f t="shared" si="58"/>
        <v>----,-</v>
      </c>
      <c r="K161" s="3" t="e">
        <f>VLOOKUP(I161, '[1]Depth vlookup'!$G$2:$I$997,2,FALSE())+(G161/100)</f>
        <v>#N/A</v>
      </c>
      <c r="L161" s="18" t="e">
        <f t="shared" si="59"/>
        <v>#N/A</v>
      </c>
      <c r="N161" s="4" t="e">
        <f>VLOOKUP(M161,  [1]Beakers!$A$2:$B$151, 2, 0)</f>
        <v>#N/A</v>
      </c>
      <c r="V161" s="20" t="e">
        <f t="shared" si="60"/>
        <v>#N/A</v>
      </c>
      <c r="W161" s="20" t="e">
        <f t="shared" si="61"/>
        <v>#N/A</v>
      </c>
      <c r="X161" s="20" t="e">
        <f t="shared" si="62"/>
        <v>#N/A</v>
      </c>
      <c r="Y161" s="20" t="e">
        <f t="shared" si="63"/>
        <v>#N/A</v>
      </c>
      <c r="Z161" s="20" t="e">
        <f t="shared" si="64"/>
        <v>#N/A</v>
      </c>
      <c r="AA161" s="20" t="e">
        <f t="shared" si="65"/>
        <v>#N/A</v>
      </c>
      <c r="AB161" s="20" t="e">
        <f t="shared" si="66"/>
        <v>#N/A</v>
      </c>
      <c r="AC161" s="20" t="e">
        <f>T161-VLOOKUP(M161, [1]Beakers!$A$2:$C$151, 3, 0)</f>
        <v>#N/A</v>
      </c>
      <c r="AD161" s="20" t="e">
        <f t="shared" si="67"/>
        <v>#N/A</v>
      </c>
      <c r="AE161" s="20" t="e">
        <f t="shared" si="68"/>
        <v>#N/A</v>
      </c>
      <c r="AF161" s="20" t="e">
        <f t="shared" si="69"/>
        <v>#N/A</v>
      </c>
      <c r="AG161" s="20" t="e">
        <f t="shared" si="70"/>
        <v>#N/A</v>
      </c>
      <c r="AH161" s="20" t="e">
        <f t="shared" si="71"/>
        <v>#N/A</v>
      </c>
      <c r="AI161" s="20" t="e">
        <f t="shared" si="72"/>
        <v>#N/A</v>
      </c>
      <c r="AJ161" s="20" t="e">
        <f t="shared" si="73"/>
        <v>#N/A</v>
      </c>
      <c r="AK161" s="20" t="e">
        <f t="shared" si="74"/>
        <v>#N/A</v>
      </c>
      <c r="AL161" s="20" t="e">
        <f t="shared" si="75"/>
        <v>#N/A</v>
      </c>
    </row>
    <row r="162" spans="9:38" ht="14.4" x14ac:dyDescent="0.3">
      <c r="I162" s="3" t="str">
        <f t="shared" si="57"/>
        <v>---</v>
      </c>
      <c r="J162" s="8" t="str">
        <f t="shared" si="58"/>
        <v>----,-</v>
      </c>
      <c r="K162" s="3" t="e">
        <f>VLOOKUP(I162, '[1]Depth vlookup'!$G$2:$I$997,2,FALSE())+(G162/100)</f>
        <v>#N/A</v>
      </c>
      <c r="L162" s="18" t="e">
        <f t="shared" si="59"/>
        <v>#N/A</v>
      </c>
      <c r="N162" s="4" t="e">
        <f>VLOOKUP(M162,  [1]Beakers!$A$2:$B$151, 2, 0)</f>
        <v>#N/A</v>
      </c>
      <c r="V162" s="20" t="e">
        <f t="shared" si="60"/>
        <v>#N/A</v>
      </c>
      <c r="W162" s="20" t="e">
        <f t="shared" si="61"/>
        <v>#N/A</v>
      </c>
      <c r="X162" s="20" t="e">
        <f t="shared" si="62"/>
        <v>#N/A</v>
      </c>
      <c r="Y162" s="20" t="e">
        <f t="shared" si="63"/>
        <v>#N/A</v>
      </c>
      <c r="Z162" s="20" t="e">
        <f t="shared" si="64"/>
        <v>#N/A</v>
      </c>
      <c r="AA162" s="20" t="e">
        <f t="shared" si="65"/>
        <v>#N/A</v>
      </c>
      <c r="AB162" s="20" t="e">
        <f t="shared" si="66"/>
        <v>#N/A</v>
      </c>
      <c r="AC162" s="20" t="e">
        <f>T162-VLOOKUP(M162, [1]Beakers!$A$2:$C$151, 3, 0)</f>
        <v>#N/A</v>
      </c>
      <c r="AD162" s="20" t="e">
        <f t="shared" si="67"/>
        <v>#N/A</v>
      </c>
      <c r="AE162" s="20" t="e">
        <f t="shared" si="68"/>
        <v>#N/A</v>
      </c>
      <c r="AF162" s="20" t="e">
        <f t="shared" si="69"/>
        <v>#N/A</v>
      </c>
      <c r="AG162" s="20" t="e">
        <f t="shared" si="70"/>
        <v>#N/A</v>
      </c>
      <c r="AH162" s="20" t="e">
        <f t="shared" si="71"/>
        <v>#N/A</v>
      </c>
      <c r="AI162" s="20" t="e">
        <f t="shared" si="72"/>
        <v>#N/A</v>
      </c>
      <c r="AJ162" s="20" t="e">
        <f t="shared" si="73"/>
        <v>#N/A</v>
      </c>
      <c r="AK162" s="20" t="e">
        <f t="shared" si="74"/>
        <v>#N/A</v>
      </c>
      <c r="AL162" s="20" t="e">
        <f t="shared" si="75"/>
        <v>#N/A</v>
      </c>
    </row>
    <row r="163" spans="9:38" ht="14.4" x14ac:dyDescent="0.3">
      <c r="I163" s="3" t="str">
        <f t="shared" si="57"/>
        <v>---</v>
      </c>
      <c r="J163" s="8" t="str">
        <f t="shared" si="58"/>
        <v>----,-</v>
      </c>
      <c r="K163" s="3" t="e">
        <f>VLOOKUP(I163, '[1]Depth vlookup'!$G$2:$I$997,2,FALSE())+(G163/100)</f>
        <v>#N/A</v>
      </c>
      <c r="L163" s="18" t="e">
        <f t="shared" si="59"/>
        <v>#N/A</v>
      </c>
      <c r="N163" s="4" t="e">
        <f>VLOOKUP(M163,  [1]Beakers!$A$2:$B$151, 2, 0)</f>
        <v>#N/A</v>
      </c>
      <c r="V163" s="20" t="e">
        <f t="shared" si="60"/>
        <v>#N/A</v>
      </c>
      <c r="W163" s="20" t="e">
        <f t="shared" si="61"/>
        <v>#N/A</v>
      </c>
      <c r="X163" s="20" t="e">
        <f t="shared" si="62"/>
        <v>#N/A</v>
      </c>
      <c r="Y163" s="20" t="e">
        <f t="shared" si="63"/>
        <v>#N/A</v>
      </c>
      <c r="Z163" s="20" t="e">
        <f t="shared" si="64"/>
        <v>#N/A</v>
      </c>
      <c r="AA163" s="20" t="e">
        <f t="shared" si="65"/>
        <v>#N/A</v>
      </c>
      <c r="AB163" s="20" t="e">
        <f t="shared" si="66"/>
        <v>#N/A</v>
      </c>
      <c r="AC163" s="20" t="e">
        <f>T163-VLOOKUP(M163, [1]Beakers!$A$2:$C$151, 3, 0)</f>
        <v>#N/A</v>
      </c>
      <c r="AD163" s="20" t="e">
        <f t="shared" si="67"/>
        <v>#N/A</v>
      </c>
      <c r="AE163" s="20" t="e">
        <f t="shared" si="68"/>
        <v>#N/A</v>
      </c>
      <c r="AF163" s="20" t="e">
        <f t="shared" si="69"/>
        <v>#N/A</v>
      </c>
      <c r="AG163" s="20" t="e">
        <f t="shared" si="70"/>
        <v>#N/A</v>
      </c>
      <c r="AH163" s="20" t="e">
        <f t="shared" si="71"/>
        <v>#N/A</v>
      </c>
      <c r="AI163" s="20" t="e">
        <f t="shared" si="72"/>
        <v>#N/A</v>
      </c>
      <c r="AJ163" s="20" t="e">
        <f t="shared" si="73"/>
        <v>#N/A</v>
      </c>
      <c r="AK163" s="20" t="e">
        <f t="shared" si="74"/>
        <v>#N/A</v>
      </c>
      <c r="AL163" s="20" t="e">
        <f t="shared" si="75"/>
        <v>#N/A</v>
      </c>
    </row>
    <row r="164" spans="9:38" ht="14.4" x14ac:dyDescent="0.3">
      <c r="I164" s="3" t="str">
        <f t="shared" ref="I164:I195" si="76">_xlfn.CONCAT(B164, "-", C164,"-", D164,"-", F164)</f>
        <v>---</v>
      </c>
      <c r="J164" s="8" t="str">
        <f t="shared" ref="J164:J195" si="77">_xlfn.CONCAT(A164, "-", I164, ",",G164, "-",H164)</f>
        <v>----,-</v>
      </c>
      <c r="K164" s="3" t="e">
        <f>VLOOKUP(I164, '[1]Depth vlookup'!$G$2:$I$997,2,FALSE())+(G164/100)</f>
        <v>#N/A</v>
      </c>
      <c r="L164" s="18" t="e">
        <f t="shared" ref="L164:L195" si="78">K164+2/100</f>
        <v>#N/A</v>
      </c>
      <c r="N164" s="4" t="e">
        <f>VLOOKUP(M164,  [1]Beakers!$A$2:$B$151, 2, 0)</f>
        <v>#N/A</v>
      </c>
      <c r="V164" s="20" t="e">
        <f t="shared" ref="V164:V195" si="79">O164-N164</f>
        <v>#N/A</v>
      </c>
      <c r="W164" s="20" t="e">
        <f t="shared" ref="W164:W195" si="80">Q164-N164</f>
        <v>#N/A</v>
      </c>
      <c r="X164" s="20" t="e">
        <f t="shared" ref="X164:X195" si="81">(V164-W164)/(1-35/1000)</f>
        <v>#N/A</v>
      </c>
      <c r="Y164" s="20" t="e">
        <f t="shared" ref="Y164:Y195" si="82">X164-(V164-W164)</f>
        <v>#N/A</v>
      </c>
      <c r="Z164" s="20" t="e">
        <f t="shared" ref="Z164:Z195" si="83">W164-Y164</f>
        <v>#N/A</v>
      </c>
      <c r="AA164" s="20" t="e">
        <f t="shared" ref="AA164:AA195" si="84">X164/1.024</f>
        <v>#N/A</v>
      </c>
      <c r="AB164" s="20" t="e">
        <f t="shared" ref="AB164:AB195" si="85">Y164/2.22</f>
        <v>#N/A</v>
      </c>
      <c r="AC164" s="20" t="e">
        <f>T164-VLOOKUP(M164, [1]Beakers!$A$2:$C$151, 3, 0)</f>
        <v>#N/A</v>
      </c>
      <c r="AD164" s="20" t="e">
        <f t="shared" ref="AD164:AD195" si="86">AC164-AB164+AA164</f>
        <v>#N/A</v>
      </c>
      <c r="AE164" s="20" t="e">
        <f t="shared" ref="AE164:AE195" si="87">AC164-AB164</f>
        <v>#N/A</v>
      </c>
      <c r="AF164" s="20" t="e">
        <f t="shared" ref="AF164:AF195" si="88">X164/V164</f>
        <v>#N/A</v>
      </c>
      <c r="AG164" s="20" t="e">
        <f t="shared" ref="AG164:AG195" si="89">X164/Z164</f>
        <v>#N/A</v>
      </c>
      <c r="AH164" s="20" t="e">
        <f t="shared" ref="AH164:AH195" si="90">V164/AD164</f>
        <v>#N/A</v>
      </c>
      <c r="AI164" s="20" t="e">
        <f t="shared" ref="AI164:AI195" si="91">Z164/AD164</f>
        <v>#N/A</v>
      </c>
      <c r="AJ164" s="20" t="e">
        <f t="shared" ref="AJ164:AJ195" si="92">Z164/AE164</f>
        <v>#N/A</v>
      </c>
      <c r="AK164" s="20" t="e">
        <f t="shared" ref="AK164:AK195" si="93">AA164/AD164</f>
        <v>#N/A</v>
      </c>
      <c r="AL164" s="20" t="e">
        <f t="shared" ref="AL164:AL195" si="94">AA164/AE164</f>
        <v>#N/A</v>
      </c>
    </row>
    <row r="165" spans="9:38" ht="14.4" x14ac:dyDescent="0.3">
      <c r="I165" s="3" t="str">
        <f t="shared" si="76"/>
        <v>---</v>
      </c>
      <c r="J165" s="8" t="str">
        <f t="shared" si="77"/>
        <v>----,-</v>
      </c>
      <c r="K165" s="3" t="e">
        <f>VLOOKUP(I165, '[1]Depth vlookup'!$G$2:$I$997,2,FALSE())+(G165/100)</f>
        <v>#N/A</v>
      </c>
      <c r="L165" s="18" t="e">
        <f t="shared" si="78"/>
        <v>#N/A</v>
      </c>
      <c r="N165" s="4" t="e">
        <f>VLOOKUP(M165,  [1]Beakers!$A$2:$B$151, 2, 0)</f>
        <v>#N/A</v>
      </c>
      <c r="V165" s="20" t="e">
        <f t="shared" si="79"/>
        <v>#N/A</v>
      </c>
      <c r="W165" s="20" t="e">
        <f t="shared" si="80"/>
        <v>#N/A</v>
      </c>
      <c r="X165" s="20" t="e">
        <f t="shared" si="81"/>
        <v>#N/A</v>
      </c>
      <c r="Y165" s="20" t="e">
        <f t="shared" si="82"/>
        <v>#N/A</v>
      </c>
      <c r="Z165" s="20" t="e">
        <f t="shared" si="83"/>
        <v>#N/A</v>
      </c>
      <c r="AA165" s="20" t="e">
        <f t="shared" si="84"/>
        <v>#N/A</v>
      </c>
      <c r="AB165" s="20" t="e">
        <f t="shared" si="85"/>
        <v>#N/A</v>
      </c>
      <c r="AC165" s="20" t="e">
        <f>T165-VLOOKUP(M165, [1]Beakers!$A$2:$C$151, 3, 0)</f>
        <v>#N/A</v>
      </c>
      <c r="AD165" s="20" t="e">
        <f t="shared" si="86"/>
        <v>#N/A</v>
      </c>
      <c r="AE165" s="20" t="e">
        <f t="shared" si="87"/>
        <v>#N/A</v>
      </c>
      <c r="AF165" s="20" t="e">
        <f t="shared" si="88"/>
        <v>#N/A</v>
      </c>
      <c r="AG165" s="20" t="e">
        <f t="shared" si="89"/>
        <v>#N/A</v>
      </c>
      <c r="AH165" s="20" t="e">
        <f t="shared" si="90"/>
        <v>#N/A</v>
      </c>
      <c r="AI165" s="20" t="e">
        <f t="shared" si="91"/>
        <v>#N/A</v>
      </c>
      <c r="AJ165" s="20" t="e">
        <f t="shared" si="92"/>
        <v>#N/A</v>
      </c>
      <c r="AK165" s="20" t="e">
        <f t="shared" si="93"/>
        <v>#N/A</v>
      </c>
      <c r="AL165" s="20" t="e">
        <f t="shared" si="94"/>
        <v>#N/A</v>
      </c>
    </row>
    <row r="166" spans="9:38" ht="14.4" x14ac:dyDescent="0.3">
      <c r="I166" s="3" t="str">
        <f t="shared" si="76"/>
        <v>---</v>
      </c>
      <c r="J166" s="8" t="str">
        <f t="shared" si="77"/>
        <v>----,-</v>
      </c>
      <c r="K166" s="3" t="e">
        <f>VLOOKUP(I166, '[1]Depth vlookup'!$G$2:$I$997,2,FALSE())+(G166/100)</f>
        <v>#N/A</v>
      </c>
      <c r="L166" s="18" t="e">
        <f t="shared" si="78"/>
        <v>#N/A</v>
      </c>
      <c r="N166" s="4" t="e">
        <f>VLOOKUP(M166,  [1]Beakers!$A$2:$B$151, 2, 0)</f>
        <v>#N/A</v>
      </c>
      <c r="V166" s="20" t="e">
        <f t="shared" si="79"/>
        <v>#N/A</v>
      </c>
      <c r="W166" s="20" t="e">
        <f t="shared" si="80"/>
        <v>#N/A</v>
      </c>
      <c r="X166" s="20" t="e">
        <f t="shared" si="81"/>
        <v>#N/A</v>
      </c>
      <c r="Y166" s="20" t="e">
        <f t="shared" si="82"/>
        <v>#N/A</v>
      </c>
      <c r="Z166" s="20" t="e">
        <f t="shared" si="83"/>
        <v>#N/A</v>
      </c>
      <c r="AA166" s="20" t="e">
        <f t="shared" si="84"/>
        <v>#N/A</v>
      </c>
      <c r="AB166" s="20" t="e">
        <f t="shared" si="85"/>
        <v>#N/A</v>
      </c>
      <c r="AC166" s="20" t="e">
        <f>T166-VLOOKUP(M166, [1]Beakers!$A$2:$C$151, 3, 0)</f>
        <v>#N/A</v>
      </c>
      <c r="AD166" s="20" t="e">
        <f t="shared" si="86"/>
        <v>#N/A</v>
      </c>
      <c r="AE166" s="20" t="e">
        <f t="shared" si="87"/>
        <v>#N/A</v>
      </c>
      <c r="AF166" s="20" t="e">
        <f t="shared" si="88"/>
        <v>#N/A</v>
      </c>
      <c r="AG166" s="20" t="e">
        <f t="shared" si="89"/>
        <v>#N/A</v>
      </c>
      <c r="AH166" s="20" t="e">
        <f t="shared" si="90"/>
        <v>#N/A</v>
      </c>
      <c r="AI166" s="20" t="e">
        <f t="shared" si="91"/>
        <v>#N/A</v>
      </c>
      <c r="AJ166" s="20" t="e">
        <f t="shared" si="92"/>
        <v>#N/A</v>
      </c>
      <c r="AK166" s="20" t="e">
        <f t="shared" si="93"/>
        <v>#N/A</v>
      </c>
      <c r="AL166" s="20" t="e">
        <f t="shared" si="94"/>
        <v>#N/A</v>
      </c>
    </row>
    <row r="167" spans="9:38" ht="14.4" x14ac:dyDescent="0.3">
      <c r="I167" s="3" t="str">
        <f t="shared" si="76"/>
        <v>---</v>
      </c>
      <c r="J167" s="8" t="str">
        <f t="shared" si="77"/>
        <v>----,-</v>
      </c>
      <c r="K167" s="3" t="e">
        <f>VLOOKUP(I167, '[1]Depth vlookup'!$G$2:$I$997,2,FALSE())+(G167/100)</f>
        <v>#N/A</v>
      </c>
      <c r="L167" s="18" t="e">
        <f t="shared" si="78"/>
        <v>#N/A</v>
      </c>
      <c r="N167" s="4" t="e">
        <f>VLOOKUP(M167,  [1]Beakers!$A$2:$B$151, 2, 0)</f>
        <v>#N/A</v>
      </c>
      <c r="V167" s="20" t="e">
        <f t="shared" si="79"/>
        <v>#N/A</v>
      </c>
      <c r="W167" s="20" t="e">
        <f t="shared" si="80"/>
        <v>#N/A</v>
      </c>
      <c r="X167" s="20" t="e">
        <f t="shared" si="81"/>
        <v>#N/A</v>
      </c>
      <c r="Y167" s="20" t="e">
        <f t="shared" si="82"/>
        <v>#N/A</v>
      </c>
      <c r="Z167" s="20" t="e">
        <f t="shared" si="83"/>
        <v>#N/A</v>
      </c>
      <c r="AA167" s="20" t="e">
        <f t="shared" si="84"/>
        <v>#N/A</v>
      </c>
      <c r="AB167" s="20" t="e">
        <f t="shared" si="85"/>
        <v>#N/A</v>
      </c>
      <c r="AC167" s="20" t="e">
        <f>T167-VLOOKUP(M167, [1]Beakers!$A$2:$C$151, 3, 0)</f>
        <v>#N/A</v>
      </c>
      <c r="AD167" s="20" t="e">
        <f t="shared" si="86"/>
        <v>#N/A</v>
      </c>
      <c r="AE167" s="20" t="e">
        <f t="shared" si="87"/>
        <v>#N/A</v>
      </c>
      <c r="AF167" s="20" t="e">
        <f t="shared" si="88"/>
        <v>#N/A</v>
      </c>
      <c r="AG167" s="20" t="e">
        <f t="shared" si="89"/>
        <v>#N/A</v>
      </c>
      <c r="AH167" s="20" t="e">
        <f t="shared" si="90"/>
        <v>#N/A</v>
      </c>
      <c r="AI167" s="20" t="e">
        <f t="shared" si="91"/>
        <v>#N/A</v>
      </c>
      <c r="AJ167" s="20" t="e">
        <f t="shared" si="92"/>
        <v>#N/A</v>
      </c>
      <c r="AK167" s="20" t="e">
        <f t="shared" si="93"/>
        <v>#N/A</v>
      </c>
      <c r="AL167" s="20" t="e">
        <f t="shared" si="94"/>
        <v>#N/A</v>
      </c>
    </row>
    <row r="168" spans="9:38" ht="14.4" x14ac:dyDescent="0.3">
      <c r="I168" s="3" t="str">
        <f t="shared" si="76"/>
        <v>---</v>
      </c>
      <c r="J168" s="8" t="str">
        <f t="shared" si="77"/>
        <v>----,-</v>
      </c>
      <c r="K168" s="3" t="e">
        <f>VLOOKUP(I168, '[1]Depth vlookup'!$G$2:$I$997,2,FALSE())+(G168/100)</f>
        <v>#N/A</v>
      </c>
      <c r="L168" s="18" t="e">
        <f t="shared" si="78"/>
        <v>#N/A</v>
      </c>
      <c r="N168" s="4" t="e">
        <f>VLOOKUP(M168,  [1]Beakers!$A$2:$B$151, 2, 0)</f>
        <v>#N/A</v>
      </c>
      <c r="V168" s="20" t="e">
        <f t="shared" si="79"/>
        <v>#N/A</v>
      </c>
      <c r="W168" s="20" t="e">
        <f t="shared" si="80"/>
        <v>#N/A</v>
      </c>
      <c r="X168" s="20" t="e">
        <f t="shared" si="81"/>
        <v>#N/A</v>
      </c>
      <c r="Y168" s="20" t="e">
        <f t="shared" si="82"/>
        <v>#N/A</v>
      </c>
      <c r="Z168" s="20" t="e">
        <f t="shared" si="83"/>
        <v>#N/A</v>
      </c>
      <c r="AA168" s="20" t="e">
        <f t="shared" si="84"/>
        <v>#N/A</v>
      </c>
      <c r="AB168" s="20" t="e">
        <f t="shared" si="85"/>
        <v>#N/A</v>
      </c>
      <c r="AC168" s="20" t="e">
        <f>T168-VLOOKUP(M168, [1]Beakers!$A$2:$C$151, 3, 0)</f>
        <v>#N/A</v>
      </c>
      <c r="AD168" s="20" t="e">
        <f t="shared" si="86"/>
        <v>#N/A</v>
      </c>
      <c r="AE168" s="20" t="e">
        <f t="shared" si="87"/>
        <v>#N/A</v>
      </c>
      <c r="AF168" s="20" t="e">
        <f t="shared" si="88"/>
        <v>#N/A</v>
      </c>
      <c r="AG168" s="20" t="e">
        <f t="shared" si="89"/>
        <v>#N/A</v>
      </c>
      <c r="AH168" s="20" t="e">
        <f t="shared" si="90"/>
        <v>#N/A</v>
      </c>
      <c r="AI168" s="20" t="e">
        <f t="shared" si="91"/>
        <v>#N/A</v>
      </c>
      <c r="AJ168" s="20" t="e">
        <f t="shared" si="92"/>
        <v>#N/A</v>
      </c>
      <c r="AK168" s="20" t="e">
        <f t="shared" si="93"/>
        <v>#N/A</v>
      </c>
      <c r="AL168" s="20" t="e">
        <f t="shared" si="94"/>
        <v>#N/A</v>
      </c>
    </row>
    <row r="169" spans="9:38" ht="14.4" x14ac:dyDescent="0.3">
      <c r="I169" s="3" t="str">
        <f t="shared" si="76"/>
        <v>---</v>
      </c>
      <c r="J169" s="8" t="str">
        <f t="shared" si="77"/>
        <v>----,-</v>
      </c>
      <c r="K169" s="3" t="e">
        <f>VLOOKUP(I169, '[1]Depth vlookup'!$G$2:$I$997,2,FALSE())+(G169/100)</f>
        <v>#N/A</v>
      </c>
      <c r="L169" s="18" t="e">
        <f t="shared" si="78"/>
        <v>#N/A</v>
      </c>
      <c r="N169" s="4" t="e">
        <f>VLOOKUP(M169,  [1]Beakers!$A$2:$B$151, 2, 0)</f>
        <v>#N/A</v>
      </c>
      <c r="V169" s="20" t="e">
        <f t="shared" si="79"/>
        <v>#N/A</v>
      </c>
      <c r="W169" s="20" t="e">
        <f t="shared" si="80"/>
        <v>#N/A</v>
      </c>
      <c r="X169" s="20" t="e">
        <f t="shared" si="81"/>
        <v>#N/A</v>
      </c>
      <c r="Y169" s="20" t="e">
        <f t="shared" si="82"/>
        <v>#N/A</v>
      </c>
      <c r="Z169" s="20" t="e">
        <f t="shared" si="83"/>
        <v>#N/A</v>
      </c>
      <c r="AA169" s="20" t="e">
        <f t="shared" si="84"/>
        <v>#N/A</v>
      </c>
      <c r="AB169" s="20" t="e">
        <f t="shared" si="85"/>
        <v>#N/A</v>
      </c>
      <c r="AC169" s="20" t="e">
        <f>T169-VLOOKUP(M169, [1]Beakers!$A$2:$C$151, 3, 0)</f>
        <v>#N/A</v>
      </c>
      <c r="AD169" s="20" t="e">
        <f t="shared" si="86"/>
        <v>#N/A</v>
      </c>
      <c r="AE169" s="20" t="e">
        <f t="shared" si="87"/>
        <v>#N/A</v>
      </c>
      <c r="AF169" s="20" t="e">
        <f t="shared" si="88"/>
        <v>#N/A</v>
      </c>
      <c r="AG169" s="20" t="e">
        <f t="shared" si="89"/>
        <v>#N/A</v>
      </c>
      <c r="AH169" s="20" t="e">
        <f t="shared" si="90"/>
        <v>#N/A</v>
      </c>
      <c r="AI169" s="20" t="e">
        <f t="shared" si="91"/>
        <v>#N/A</v>
      </c>
      <c r="AJ169" s="20" t="e">
        <f t="shared" si="92"/>
        <v>#N/A</v>
      </c>
      <c r="AK169" s="20" t="e">
        <f t="shared" si="93"/>
        <v>#N/A</v>
      </c>
      <c r="AL169" s="20" t="e">
        <f t="shared" si="94"/>
        <v>#N/A</v>
      </c>
    </row>
    <row r="170" spans="9:38" ht="14.4" x14ac:dyDescent="0.3">
      <c r="I170" s="3" t="str">
        <f t="shared" si="76"/>
        <v>---</v>
      </c>
      <c r="J170" s="8" t="str">
        <f t="shared" si="77"/>
        <v>----,-</v>
      </c>
      <c r="K170" s="3" t="e">
        <f>VLOOKUP(I170, '[1]Depth vlookup'!$G$2:$I$997,2,FALSE())+(G170/100)</f>
        <v>#N/A</v>
      </c>
      <c r="L170" s="18" t="e">
        <f t="shared" si="78"/>
        <v>#N/A</v>
      </c>
      <c r="N170" s="4" t="e">
        <f>VLOOKUP(M170,  [1]Beakers!$A$2:$B$151, 2, 0)</f>
        <v>#N/A</v>
      </c>
      <c r="V170" s="20" t="e">
        <f t="shared" si="79"/>
        <v>#N/A</v>
      </c>
      <c r="W170" s="20" t="e">
        <f t="shared" si="80"/>
        <v>#N/A</v>
      </c>
      <c r="X170" s="20" t="e">
        <f t="shared" si="81"/>
        <v>#N/A</v>
      </c>
      <c r="Y170" s="20" t="e">
        <f t="shared" si="82"/>
        <v>#N/A</v>
      </c>
      <c r="Z170" s="20" t="e">
        <f t="shared" si="83"/>
        <v>#N/A</v>
      </c>
      <c r="AA170" s="20" t="e">
        <f t="shared" si="84"/>
        <v>#N/A</v>
      </c>
      <c r="AB170" s="20" t="e">
        <f t="shared" si="85"/>
        <v>#N/A</v>
      </c>
      <c r="AC170" s="20" t="e">
        <f>T170-VLOOKUP(M170, [1]Beakers!$A$2:$C$151, 3, 0)</f>
        <v>#N/A</v>
      </c>
      <c r="AD170" s="20" t="e">
        <f t="shared" si="86"/>
        <v>#N/A</v>
      </c>
      <c r="AE170" s="20" t="e">
        <f t="shared" si="87"/>
        <v>#N/A</v>
      </c>
      <c r="AF170" s="20" t="e">
        <f t="shared" si="88"/>
        <v>#N/A</v>
      </c>
      <c r="AG170" s="20" t="e">
        <f t="shared" si="89"/>
        <v>#N/A</v>
      </c>
      <c r="AH170" s="20" t="e">
        <f t="shared" si="90"/>
        <v>#N/A</v>
      </c>
      <c r="AI170" s="20" t="e">
        <f t="shared" si="91"/>
        <v>#N/A</v>
      </c>
      <c r="AJ170" s="20" t="e">
        <f t="shared" si="92"/>
        <v>#N/A</v>
      </c>
      <c r="AK170" s="20" t="e">
        <f t="shared" si="93"/>
        <v>#N/A</v>
      </c>
      <c r="AL170" s="20" t="e">
        <f t="shared" si="94"/>
        <v>#N/A</v>
      </c>
    </row>
    <row r="171" spans="9:38" ht="14.4" x14ac:dyDescent="0.3">
      <c r="I171" s="3" t="str">
        <f t="shared" si="76"/>
        <v>---</v>
      </c>
      <c r="J171" s="8" t="str">
        <f t="shared" si="77"/>
        <v>----,-</v>
      </c>
      <c r="K171" s="3" t="e">
        <f>VLOOKUP(I171, '[1]Depth vlookup'!$G$2:$I$997,2,FALSE())+(G171/100)</f>
        <v>#N/A</v>
      </c>
      <c r="L171" s="18" t="e">
        <f t="shared" si="78"/>
        <v>#N/A</v>
      </c>
      <c r="N171" s="4" t="e">
        <f>VLOOKUP(M171,  [1]Beakers!$A$2:$B$151, 2, 0)</f>
        <v>#N/A</v>
      </c>
      <c r="V171" s="20" t="e">
        <f t="shared" si="79"/>
        <v>#N/A</v>
      </c>
      <c r="W171" s="20" t="e">
        <f t="shared" si="80"/>
        <v>#N/A</v>
      </c>
      <c r="X171" s="20" t="e">
        <f t="shared" si="81"/>
        <v>#N/A</v>
      </c>
      <c r="Y171" s="20" t="e">
        <f t="shared" si="82"/>
        <v>#N/A</v>
      </c>
      <c r="Z171" s="20" t="e">
        <f t="shared" si="83"/>
        <v>#N/A</v>
      </c>
      <c r="AA171" s="20" t="e">
        <f t="shared" si="84"/>
        <v>#N/A</v>
      </c>
      <c r="AB171" s="20" t="e">
        <f t="shared" si="85"/>
        <v>#N/A</v>
      </c>
      <c r="AC171" s="20" t="e">
        <f>T171-VLOOKUP(M171, [1]Beakers!$A$2:$C$151, 3, 0)</f>
        <v>#N/A</v>
      </c>
      <c r="AD171" s="20" t="e">
        <f t="shared" si="86"/>
        <v>#N/A</v>
      </c>
      <c r="AE171" s="20" t="e">
        <f t="shared" si="87"/>
        <v>#N/A</v>
      </c>
      <c r="AF171" s="20" t="e">
        <f t="shared" si="88"/>
        <v>#N/A</v>
      </c>
      <c r="AG171" s="20" t="e">
        <f t="shared" si="89"/>
        <v>#N/A</v>
      </c>
      <c r="AH171" s="20" t="e">
        <f t="shared" si="90"/>
        <v>#N/A</v>
      </c>
      <c r="AI171" s="20" t="e">
        <f t="shared" si="91"/>
        <v>#N/A</v>
      </c>
      <c r="AJ171" s="20" t="e">
        <f t="shared" si="92"/>
        <v>#N/A</v>
      </c>
      <c r="AK171" s="20" t="e">
        <f t="shared" si="93"/>
        <v>#N/A</v>
      </c>
      <c r="AL171" s="20" t="e">
        <f t="shared" si="94"/>
        <v>#N/A</v>
      </c>
    </row>
    <row r="172" spans="9:38" ht="14.4" x14ac:dyDescent="0.3">
      <c r="I172" s="3" t="str">
        <f t="shared" si="76"/>
        <v>---</v>
      </c>
      <c r="J172" s="8" t="str">
        <f t="shared" si="77"/>
        <v>----,-</v>
      </c>
      <c r="K172" s="3" t="e">
        <f>VLOOKUP(I172, '[1]Depth vlookup'!$G$2:$I$997,2,FALSE())+(G172/100)</f>
        <v>#N/A</v>
      </c>
      <c r="L172" s="18" t="e">
        <f t="shared" si="78"/>
        <v>#N/A</v>
      </c>
      <c r="N172" s="4" t="e">
        <f>VLOOKUP(M172,  [1]Beakers!$A$2:$B$151, 2, 0)</f>
        <v>#N/A</v>
      </c>
      <c r="V172" s="20" t="e">
        <f t="shared" si="79"/>
        <v>#N/A</v>
      </c>
      <c r="W172" s="20" t="e">
        <f t="shared" si="80"/>
        <v>#N/A</v>
      </c>
      <c r="X172" s="20" t="e">
        <f t="shared" si="81"/>
        <v>#N/A</v>
      </c>
      <c r="Y172" s="20" t="e">
        <f t="shared" si="82"/>
        <v>#N/A</v>
      </c>
      <c r="Z172" s="20" t="e">
        <f t="shared" si="83"/>
        <v>#N/A</v>
      </c>
      <c r="AA172" s="20" t="e">
        <f t="shared" si="84"/>
        <v>#N/A</v>
      </c>
      <c r="AB172" s="20" t="e">
        <f t="shared" si="85"/>
        <v>#N/A</v>
      </c>
      <c r="AC172" s="20" t="e">
        <f>T172-VLOOKUP(M172, [1]Beakers!$A$2:$C$151, 3, 0)</f>
        <v>#N/A</v>
      </c>
      <c r="AD172" s="20" t="e">
        <f t="shared" si="86"/>
        <v>#N/A</v>
      </c>
      <c r="AE172" s="20" t="e">
        <f t="shared" si="87"/>
        <v>#N/A</v>
      </c>
      <c r="AF172" s="20" t="e">
        <f t="shared" si="88"/>
        <v>#N/A</v>
      </c>
      <c r="AG172" s="20" t="e">
        <f t="shared" si="89"/>
        <v>#N/A</v>
      </c>
      <c r="AH172" s="20" t="e">
        <f t="shared" si="90"/>
        <v>#N/A</v>
      </c>
      <c r="AI172" s="20" t="e">
        <f t="shared" si="91"/>
        <v>#N/A</v>
      </c>
      <c r="AJ172" s="20" t="e">
        <f t="shared" si="92"/>
        <v>#N/A</v>
      </c>
      <c r="AK172" s="20" t="e">
        <f t="shared" si="93"/>
        <v>#N/A</v>
      </c>
      <c r="AL172" s="20" t="e">
        <f t="shared" si="94"/>
        <v>#N/A</v>
      </c>
    </row>
    <row r="173" spans="9:38" ht="14.4" x14ac:dyDescent="0.3">
      <c r="I173" s="3" t="str">
        <f t="shared" si="76"/>
        <v>---</v>
      </c>
      <c r="J173" s="8" t="str">
        <f t="shared" si="77"/>
        <v>----,-</v>
      </c>
      <c r="K173" s="3" t="e">
        <f>VLOOKUP(I173, '[1]Depth vlookup'!$G$2:$I$997,2,FALSE())+(G173/100)</f>
        <v>#N/A</v>
      </c>
      <c r="L173" s="18" t="e">
        <f t="shared" si="78"/>
        <v>#N/A</v>
      </c>
      <c r="N173" s="4" t="e">
        <f>VLOOKUP(M173,  [1]Beakers!$A$2:$B$151, 2, 0)</f>
        <v>#N/A</v>
      </c>
      <c r="V173" s="20" t="e">
        <f t="shared" si="79"/>
        <v>#N/A</v>
      </c>
      <c r="W173" s="20" t="e">
        <f t="shared" si="80"/>
        <v>#N/A</v>
      </c>
      <c r="X173" s="20" t="e">
        <f t="shared" si="81"/>
        <v>#N/A</v>
      </c>
      <c r="Y173" s="20" t="e">
        <f t="shared" si="82"/>
        <v>#N/A</v>
      </c>
      <c r="Z173" s="20" t="e">
        <f t="shared" si="83"/>
        <v>#N/A</v>
      </c>
      <c r="AA173" s="20" t="e">
        <f t="shared" si="84"/>
        <v>#N/A</v>
      </c>
      <c r="AB173" s="20" t="e">
        <f t="shared" si="85"/>
        <v>#N/A</v>
      </c>
      <c r="AC173" s="20" t="e">
        <f>T173-VLOOKUP(M173, [1]Beakers!$A$2:$C$151, 3, 0)</f>
        <v>#N/A</v>
      </c>
      <c r="AD173" s="20" t="e">
        <f t="shared" si="86"/>
        <v>#N/A</v>
      </c>
      <c r="AE173" s="20" t="e">
        <f t="shared" si="87"/>
        <v>#N/A</v>
      </c>
      <c r="AF173" s="20" t="e">
        <f t="shared" si="88"/>
        <v>#N/A</v>
      </c>
      <c r="AG173" s="20" t="e">
        <f t="shared" si="89"/>
        <v>#N/A</v>
      </c>
      <c r="AH173" s="20" t="e">
        <f t="shared" si="90"/>
        <v>#N/A</v>
      </c>
      <c r="AI173" s="20" t="e">
        <f t="shared" si="91"/>
        <v>#N/A</v>
      </c>
      <c r="AJ173" s="20" t="e">
        <f t="shared" si="92"/>
        <v>#N/A</v>
      </c>
      <c r="AK173" s="20" t="e">
        <f t="shared" si="93"/>
        <v>#N/A</v>
      </c>
      <c r="AL173" s="20" t="e">
        <f t="shared" si="94"/>
        <v>#N/A</v>
      </c>
    </row>
    <row r="174" spans="9:38" ht="14.4" x14ac:dyDescent="0.3">
      <c r="I174" s="3" t="str">
        <f t="shared" si="76"/>
        <v>---</v>
      </c>
      <c r="J174" s="8" t="str">
        <f t="shared" si="77"/>
        <v>----,-</v>
      </c>
      <c r="K174" s="3" t="e">
        <f>VLOOKUP(I174, '[1]Depth vlookup'!$G$2:$I$997,2,FALSE())+(G174/100)</f>
        <v>#N/A</v>
      </c>
      <c r="L174" s="18" t="e">
        <f t="shared" si="78"/>
        <v>#N/A</v>
      </c>
      <c r="N174" s="4" t="e">
        <f>VLOOKUP(M174,  [1]Beakers!$A$2:$B$151, 2, 0)</f>
        <v>#N/A</v>
      </c>
      <c r="V174" s="20" t="e">
        <f t="shared" si="79"/>
        <v>#N/A</v>
      </c>
      <c r="W174" s="20" t="e">
        <f t="shared" si="80"/>
        <v>#N/A</v>
      </c>
      <c r="X174" s="20" t="e">
        <f t="shared" si="81"/>
        <v>#N/A</v>
      </c>
      <c r="Y174" s="20" t="e">
        <f t="shared" si="82"/>
        <v>#N/A</v>
      </c>
      <c r="Z174" s="20" t="e">
        <f t="shared" si="83"/>
        <v>#N/A</v>
      </c>
      <c r="AA174" s="20" t="e">
        <f t="shared" si="84"/>
        <v>#N/A</v>
      </c>
      <c r="AB174" s="20" t="e">
        <f t="shared" si="85"/>
        <v>#N/A</v>
      </c>
      <c r="AC174" s="20" t="e">
        <f>T174-VLOOKUP(M174, [1]Beakers!$A$2:$C$151, 3, 0)</f>
        <v>#N/A</v>
      </c>
      <c r="AD174" s="20" t="e">
        <f t="shared" si="86"/>
        <v>#N/A</v>
      </c>
      <c r="AE174" s="20" t="e">
        <f t="shared" si="87"/>
        <v>#N/A</v>
      </c>
      <c r="AF174" s="20" t="e">
        <f t="shared" si="88"/>
        <v>#N/A</v>
      </c>
      <c r="AG174" s="20" t="e">
        <f t="shared" si="89"/>
        <v>#N/A</v>
      </c>
      <c r="AH174" s="20" t="e">
        <f t="shared" si="90"/>
        <v>#N/A</v>
      </c>
      <c r="AI174" s="20" t="e">
        <f t="shared" si="91"/>
        <v>#N/A</v>
      </c>
      <c r="AJ174" s="20" t="e">
        <f t="shared" si="92"/>
        <v>#N/A</v>
      </c>
      <c r="AK174" s="20" t="e">
        <f t="shared" si="93"/>
        <v>#N/A</v>
      </c>
      <c r="AL174" s="20" t="e">
        <f t="shared" si="94"/>
        <v>#N/A</v>
      </c>
    </row>
    <row r="175" spans="9:38" ht="14.4" x14ac:dyDescent="0.3">
      <c r="I175" s="3" t="str">
        <f t="shared" si="76"/>
        <v>---</v>
      </c>
      <c r="J175" s="8" t="str">
        <f t="shared" si="77"/>
        <v>----,-</v>
      </c>
      <c r="K175" s="3" t="e">
        <f>VLOOKUP(I175, '[1]Depth vlookup'!$G$2:$I$997,2,FALSE())+(G175/100)</f>
        <v>#N/A</v>
      </c>
      <c r="L175" s="18" t="e">
        <f t="shared" si="78"/>
        <v>#N/A</v>
      </c>
      <c r="N175" s="4" t="e">
        <f>VLOOKUP(M175,  [1]Beakers!$A$2:$B$151, 2, 0)</f>
        <v>#N/A</v>
      </c>
      <c r="V175" s="20" t="e">
        <f t="shared" si="79"/>
        <v>#N/A</v>
      </c>
      <c r="W175" s="20" t="e">
        <f t="shared" si="80"/>
        <v>#N/A</v>
      </c>
      <c r="X175" s="20" t="e">
        <f t="shared" si="81"/>
        <v>#N/A</v>
      </c>
      <c r="Y175" s="20" t="e">
        <f t="shared" si="82"/>
        <v>#N/A</v>
      </c>
      <c r="Z175" s="20" t="e">
        <f t="shared" si="83"/>
        <v>#N/A</v>
      </c>
      <c r="AA175" s="20" t="e">
        <f t="shared" si="84"/>
        <v>#N/A</v>
      </c>
      <c r="AB175" s="20" t="e">
        <f t="shared" si="85"/>
        <v>#N/A</v>
      </c>
      <c r="AC175" s="20" t="e">
        <f>T175-VLOOKUP(M175, [1]Beakers!$A$2:$C$151, 3, 0)</f>
        <v>#N/A</v>
      </c>
      <c r="AD175" s="20" t="e">
        <f t="shared" si="86"/>
        <v>#N/A</v>
      </c>
      <c r="AE175" s="20" t="e">
        <f t="shared" si="87"/>
        <v>#N/A</v>
      </c>
      <c r="AF175" s="20" t="e">
        <f t="shared" si="88"/>
        <v>#N/A</v>
      </c>
      <c r="AG175" s="20" t="e">
        <f t="shared" si="89"/>
        <v>#N/A</v>
      </c>
      <c r="AH175" s="20" t="e">
        <f t="shared" si="90"/>
        <v>#N/A</v>
      </c>
      <c r="AI175" s="20" t="e">
        <f t="shared" si="91"/>
        <v>#N/A</v>
      </c>
      <c r="AJ175" s="20" t="e">
        <f t="shared" si="92"/>
        <v>#N/A</v>
      </c>
      <c r="AK175" s="20" t="e">
        <f t="shared" si="93"/>
        <v>#N/A</v>
      </c>
      <c r="AL175" s="20" t="e">
        <f t="shared" si="94"/>
        <v>#N/A</v>
      </c>
    </row>
    <row r="176" spans="9:38" ht="14.4" x14ac:dyDescent="0.3">
      <c r="I176" s="3" t="str">
        <f t="shared" si="76"/>
        <v>---</v>
      </c>
      <c r="J176" s="8" t="str">
        <f t="shared" si="77"/>
        <v>----,-</v>
      </c>
      <c r="K176" s="3" t="e">
        <f>VLOOKUP(I176, '[1]Depth vlookup'!$G$2:$I$997,2,FALSE())+(G176/100)</f>
        <v>#N/A</v>
      </c>
      <c r="L176" s="18" t="e">
        <f t="shared" si="78"/>
        <v>#N/A</v>
      </c>
      <c r="N176" s="4" t="e">
        <f>VLOOKUP(M176,  [1]Beakers!$A$2:$B$151, 2, 0)</f>
        <v>#N/A</v>
      </c>
      <c r="V176" s="20" t="e">
        <f t="shared" si="79"/>
        <v>#N/A</v>
      </c>
      <c r="W176" s="20" t="e">
        <f t="shared" si="80"/>
        <v>#N/A</v>
      </c>
      <c r="X176" s="20" t="e">
        <f t="shared" si="81"/>
        <v>#N/A</v>
      </c>
      <c r="Y176" s="20" t="e">
        <f t="shared" si="82"/>
        <v>#N/A</v>
      </c>
      <c r="Z176" s="20" t="e">
        <f t="shared" si="83"/>
        <v>#N/A</v>
      </c>
      <c r="AA176" s="20" t="e">
        <f t="shared" si="84"/>
        <v>#N/A</v>
      </c>
      <c r="AB176" s="20" t="e">
        <f t="shared" si="85"/>
        <v>#N/A</v>
      </c>
      <c r="AC176" s="20" t="e">
        <f>T176-VLOOKUP(M176, [1]Beakers!$A$2:$C$151, 3, 0)</f>
        <v>#N/A</v>
      </c>
      <c r="AD176" s="20" t="e">
        <f t="shared" si="86"/>
        <v>#N/A</v>
      </c>
      <c r="AE176" s="20" t="e">
        <f t="shared" si="87"/>
        <v>#N/A</v>
      </c>
      <c r="AF176" s="20" t="e">
        <f t="shared" si="88"/>
        <v>#N/A</v>
      </c>
      <c r="AG176" s="20" t="e">
        <f t="shared" si="89"/>
        <v>#N/A</v>
      </c>
      <c r="AH176" s="20" t="e">
        <f t="shared" si="90"/>
        <v>#N/A</v>
      </c>
      <c r="AI176" s="20" t="e">
        <f t="shared" si="91"/>
        <v>#N/A</v>
      </c>
      <c r="AJ176" s="20" t="e">
        <f t="shared" si="92"/>
        <v>#N/A</v>
      </c>
      <c r="AK176" s="20" t="e">
        <f t="shared" si="93"/>
        <v>#N/A</v>
      </c>
      <c r="AL176" s="20" t="e">
        <f t="shared" si="94"/>
        <v>#N/A</v>
      </c>
    </row>
    <row r="177" spans="9:38" ht="14.4" x14ac:dyDescent="0.3">
      <c r="I177" s="3" t="str">
        <f t="shared" si="76"/>
        <v>---</v>
      </c>
      <c r="J177" s="8" t="str">
        <f t="shared" si="77"/>
        <v>----,-</v>
      </c>
      <c r="K177" s="3" t="e">
        <f>VLOOKUP(I177, '[1]Depth vlookup'!$G$2:$I$997,2,FALSE())+(G177/100)</f>
        <v>#N/A</v>
      </c>
      <c r="L177" s="18" t="e">
        <f t="shared" si="78"/>
        <v>#N/A</v>
      </c>
      <c r="N177" s="4" t="e">
        <f>VLOOKUP(M177,  [1]Beakers!$A$2:$B$151, 2, 0)</f>
        <v>#N/A</v>
      </c>
      <c r="V177" s="20" t="e">
        <f t="shared" si="79"/>
        <v>#N/A</v>
      </c>
      <c r="W177" s="20" t="e">
        <f t="shared" si="80"/>
        <v>#N/A</v>
      </c>
      <c r="X177" s="20" t="e">
        <f t="shared" si="81"/>
        <v>#N/A</v>
      </c>
      <c r="Y177" s="20" t="e">
        <f t="shared" si="82"/>
        <v>#N/A</v>
      </c>
      <c r="Z177" s="20" t="e">
        <f t="shared" si="83"/>
        <v>#N/A</v>
      </c>
      <c r="AA177" s="20" t="e">
        <f t="shared" si="84"/>
        <v>#N/A</v>
      </c>
      <c r="AB177" s="20" t="e">
        <f t="shared" si="85"/>
        <v>#N/A</v>
      </c>
      <c r="AC177" s="20" t="e">
        <f>T177-VLOOKUP(M177, [1]Beakers!$A$2:$C$151, 3, 0)</f>
        <v>#N/A</v>
      </c>
      <c r="AD177" s="20" t="e">
        <f t="shared" si="86"/>
        <v>#N/A</v>
      </c>
      <c r="AE177" s="20" t="e">
        <f t="shared" si="87"/>
        <v>#N/A</v>
      </c>
      <c r="AF177" s="20" t="e">
        <f t="shared" si="88"/>
        <v>#N/A</v>
      </c>
      <c r="AG177" s="20" t="e">
        <f t="shared" si="89"/>
        <v>#N/A</v>
      </c>
      <c r="AH177" s="20" t="e">
        <f t="shared" si="90"/>
        <v>#N/A</v>
      </c>
      <c r="AI177" s="20" t="e">
        <f t="shared" si="91"/>
        <v>#N/A</v>
      </c>
      <c r="AJ177" s="20" t="e">
        <f t="shared" si="92"/>
        <v>#N/A</v>
      </c>
      <c r="AK177" s="20" t="e">
        <f t="shared" si="93"/>
        <v>#N/A</v>
      </c>
      <c r="AL177" s="20" t="e">
        <f t="shared" si="94"/>
        <v>#N/A</v>
      </c>
    </row>
    <row r="178" spans="9:38" ht="14.4" x14ac:dyDescent="0.3">
      <c r="I178" s="3" t="str">
        <f t="shared" si="76"/>
        <v>---</v>
      </c>
      <c r="J178" s="8" t="str">
        <f t="shared" si="77"/>
        <v>----,-</v>
      </c>
      <c r="K178" s="3" t="e">
        <f>VLOOKUP(I178, '[1]Depth vlookup'!$G$2:$I$997,2,FALSE())+(G178/100)</f>
        <v>#N/A</v>
      </c>
      <c r="L178" s="18" t="e">
        <f t="shared" si="78"/>
        <v>#N/A</v>
      </c>
      <c r="N178" s="4" t="e">
        <f>VLOOKUP(M178,  [1]Beakers!$A$2:$B$151, 2, 0)</f>
        <v>#N/A</v>
      </c>
      <c r="V178" s="20" t="e">
        <f t="shared" si="79"/>
        <v>#N/A</v>
      </c>
      <c r="W178" s="20" t="e">
        <f t="shared" si="80"/>
        <v>#N/A</v>
      </c>
      <c r="X178" s="20" t="e">
        <f t="shared" si="81"/>
        <v>#N/A</v>
      </c>
      <c r="Y178" s="20" t="e">
        <f t="shared" si="82"/>
        <v>#N/A</v>
      </c>
      <c r="Z178" s="20" t="e">
        <f t="shared" si="83"/>
        <v>#N/A</v>
      </c>
      <c r="AA178" s="20" t="e">
        <f t="shared" si="84"/>
        <v>#N/A</v>
      </c>
      <c r="AB178" s="20" t="e">
        <f t="shared" si="85"/>
        <v>#N/A</v>
      </c>
      <c r="AC178" s="20" t="e">
        <f>T178-VLOOKUP(M178, [1]Beakers!$A$2:$C$151, 3, 0)</f>
        <v>#N/A</v>
      </c>
      <c r="AD178" s="20" t="e">
        <f t="shared" si="86"/>
        <v>#N/A</v>
      </c>
      <c r="AE178" s="20" t="e">
        <f t="shared" si="87"/>
        <v>#N/A</v>
      </c>
      <c r="AF178" s="20" t="e">
        <f t="shared" si="88"/>
        <v>#N/A</v>
      </c>
      <c r="AG178" s="20" t="e">
        <f t="shared" si="89"/>
        <v>#N/A</v>
      </c>
      <c r="AH178" s="20" t="e">
        <f t="shared" si="90"/>
        <v>#N/A</v>
      </c>
      <c r="AI178" s="20" t="e">
        <f t="shared" si="91"/>
        <v>#N/A</v>
      </c>
      <c r="AJ178" s="20" t="e">
        <f t="shared" si="92"/>
        <v>#N/A</v>
      </c>
      <c r="AK178" s="20" t="e">
        <f t="shared" si="93"/>
        <v>#N/A</v>
      </c>
      <c r="AL178" s="20" t="e">
        <f t="shared" si="94"/>
        <v>#N/A</v>
      </c>
    </row>
    <row r="179" spans="9:38" ht="14.4" x14ac:dyDescent="0.3">
      <c r="I179" s="3" t="str">
        <f t="shared" si="76"/>
        <v>---</v>
      </c>
      <c r="J179" s="8" t="str">
        <f t="shared" si="77"/>
        <v>----,-</v>
      </c>
      <c r="K179" s="3" t="e">
        <f>VLOOKUP(I179, '[1]Depth vlookup'!$G$2:$I$997,2,FALSE())+(G179/100)</f>
        <v>#N/A</v>
      </c>
      <c r="L179" s="18" t="e">
        <f t="shared" si="78"/>
        <v>#N/A</v>
      </c>
      <c r="N179" s="4" t="e">
        <f>VLOOKUP(M179,  [1]Beakers!$A$2:$B$151, 2, 0)</f>
        <v>#N/A</v>
      </c>
      <c r="V179" s="20" t="e">
        <f t="shared" si="79"/>
        <v>#N/A</v>
      </c>
      <c r="W179" s="20" t="e">
        <f t="shared" si="80"/>
        <v>#N/A</v>
      </c>
      <c r="X179" s="20" t="e">
        <f t="shared" si="81"/>
        <v>#N/A</v>
      </c>
      <c r="Y179" s="20" t="e">
        <f t="shared" si="82"/>
        <v>#N/A</v>
      </c>
      <c r="Z179" s="20" t="e">
        <f t="shared" si="83"/>
        <v>#N/A</v>
      </c>
      <c r="AA179" s="20" t="e">
        <f t="shared" si="84"/>
        <v>#N/A</v>
      </c>
      <c r="AB179" s="20" t="e">
        <f t="shared" si="85"/>
        <v>#N/A</v>
      </c>
      <c r="AC179" s="20" t="e">
        <f>T179-VLOOKUP(M179, [1]Beakers!$A$2:$C$151, 3, 0)</f>
        <v>#N/A</v>
      </c>
      <c r="AD179" s="20" t="e">
        <f t="shared" si="86"/>
        <v>#N/A</v>
      </c>
      <c r="AE179" s="20" t="e">
        <f t="shared" si="87"/>
        <v>#N/A</v>
      </c>
      <c r="AF179" s="20" t="e">
        <f t="shared" si="88"/>
        <v>#N/A</v>
      </c>
      <c r="AG179" s="20" t="e">
        <f t="shared" si="89"/>
        <v>#N/A</v>
      </c>
      <c r="AH179" s="20" t="e">
        <f t="shared" si="90"/>
        <v>#N/A</v>
      </c>
      <c r="AI179" s="20" t="e">
        <f t="shared" si="91"/>
        <v>#N/A</v>
      </c>
      <c r="AJ179" s="20" t="e">
        <f t="shared" si="92"/>
        <v>#N/A</v>
      </c>
      <c r="AK179" s="20" t="e">
        <f t="shared" si="93"/>
        <v>#N/A</v>
      </c>
      <c r="AL179" s="20" t="e">
        <f t="shared" si="94"/>
        <v>#N/A</v>
      </c>
    </row>
    <row r="180" spans="9:38" ht="14.4" x14ac:dyDescent="0.3">
      <c r="I180" s="3" t="str">
        <f t="shared" si="76"/>
        <v>---</v>
      </c>
      <c r="J180" s="8" t="str">
        <f t="shared" si="77"/>
        <v>----,-</v>
      </c>
      <c r="K180" s="3" t="e">
        <f>VLOOKUP(I180, '[1]Depth vlookup'!$G$2:$I$997,2,FALSE())+(G180/100)</f>
        <v>#N/A</v>
      </c>
      <c r="L180" s="18" t="e">
        <f t="shared" si="78"/>
        <v>#N/A</v>
      </c>
      <c r="N180" s="4" t="e">
        <f>VLOOKUP(M180,  [1]Beakers!$A$2:$B$151, 2, 0)</f>
        <v>#N/A</v>
      </c>
      <c r="V180" s="20" t="e">
        <f t="shared" si="79"/>
        <v>#N/A</v>
      </c>
      <c r="W180" s="20" t="e">
        <f t="shared" si="80"/>
        <v>#N/A</v>
      </c>
      <c r="X180" s="20" t="e">
        <f t="shared" si="81"/>
        <v>#N/A</v>
      </c>
      <c r="Y180" s="20" t="e">
        <f t="shared" si="82"/>
        <v>#N/A</v>
      </c>
      <c r="Z180" s="20" t="e">
        <f t="shared" si="83"/>
        <v>#N/A</v>
      </c>
      <c r="AA180" s="20" t="e">
        <f t="shared" si="84"/>
        <v>#N/A</v>
      </c>
      <c r="AB180" s="20" t="e">
        <f t="shared" si="85"/>
        <v>#N/A</v>
      </c>
      <c r="AC180" s="20" t="e">
        <f>T180-VLOOKUP(M180, [1]Beakers!$A$2:$C$151, 3, 0)</f>
        <v>#N/A</v>
      </c>
      <c r="AD180" s="20" t="e">
        <f t="shared" si="86"/>
        <v>#N/A</v>
      </c>
      <c r="AE180" s="20" t="e">
        <f t="shared" si="87"/>
        <v>#N/A</v>
      </c>
      <c r="AF180" s="20" t="e">
        <f t="shared" si="88"/>
        <v>#N/A</v>
      </c>
      <c r="AG180" s="20" t="e">
        <f t="shared" si="89"/>
        <v>#N/A</v>
      </c>
      <c r="AH180" s="20" t="e">
        <f t="shared" si="90"/>
        <v>#N/A</v>
      </c>
      <c r="AI180" s="20" t="e">
        <f t="shared" si="91"/>
        <v>#N/A</v>
      </c>
      <c r="AJ180" s="20" t="e">
        <f t="shared" si="92"/>
        <v>#N/A</v>
      </c>
      <c r="AK180" s="20" t="e">
        <f t="shared" si="93"/>
        <v>#N/A</v>
      </c>
      <c r="AL180" s="20" t="e">
        <f t="shared" si="94"/>
        <v>#N/A</v>
      </c>
    </row>
    <row r="181" spans="9:38" ht="14.4" x14ac:dyDescent="0.3">
      <c r="I181" s="3" t="str">
        <f t="shared" si="76"/>
        <v>---</v>
      </c>
      <c r="J181" s="8" t="str">
        <f t="shared" si="77"/>
        <v>----,-</v>
      </c>
      <c r="K181" s="3" t="e">
        <f>VLOOKUP(I181, '[1]Depth vlookup'!$G$2:$I$997,2,FALSE())+(G181/100)</f>
        <v>#N/A</v>
      </c>
      <c r="L181" s="18" t="e">
        <f t="shared" si="78"/>
        <v>#N/A</v>
      </c>
      <c r="N181" s="4" t="e">
        <f>VLOOKUP(M181,  [1]Beakers!$A$2:$B$151, 2, 0)</f>
        <v>#N/A</v>
      </c>
      <c r="V181" s="20" t="e">
        <f t="shared" si="79"/>
        <v>#N/A</v>
      </c>
      <c r="W181" s="20" t="e">
        <f t="shared" si="80"/>
        <v>#N/A</v>
      </c>
      <c r="X181" s="20" t="e">
        <f t="shared" si="81"/>
        <v>#N/A</v>
      </c>
      <c r="Y181" s="20" t="e">
        <f t="shared" si="82"/>
        <v>#N/A</v>
      </c>
      <c r="Z181" s="20" t="e">
        <f t="shared" si="83"/>
        <v>#N/A</v>
      </c>
      <c r="AA181" s="20" t="e">
        <f t="shared" si="84"/>
        <v>#N/A</v>
      </c>
      <c r="AB181" s="20" t="e">
        <f t="shared" si="85"/>
        <v>#N/A</v>
      </c>
      <c r="AC181" s="20" t="e">
        <f>T181-VLOOKUP(M181, [1]Beakers!$A$2:$C$151, 3, 0)</f>
        <v>#N/A</v>
      </c>
      <c r="AD181" s="20" t="e">
        <f t="shared" si="86"/>
        <v>#N/A</v>
      </c>
      <c r="AE181" s="20" t="e">
        <f t="shared" si="87"/>
        <v>#N/A</v>
      </c>
      <c r="AF181" s="20" t="e">
        <f t="shared" si="88"/>
        <v>#N/A</v>
      </c>
      <c r="AG181" s="20" t="e">
        <f t="shared" si="89"/>
        <v>#N/A</v>
      </c>
      <c r="AH181" s="20" t="e">
        <f t="shared" si="90"/>
        <v>#N/A</v>
      </c>
      <c r="AI181" s="20" t="e">
        <f t="shared" si="91"/>
        <v>#N/A</v>
      </c>
      <c r="AJ181" s="20" t="e">
        <f t="shared" si="92"/>
        <v>#N/A</v>
      </c>
      <c r="AK181" s="20" t="e">
        <f t="shared" si="93"/>
        <v>#N/A</v>
      </c>
      <c r="AL181" s="20" t="e">
        <f t="shared" si="94"/>
        <v>#N/A</v>
      </c>
    </row>
    <row r="182" spans="9:38" ht="14.4" x14ac:dyDescent="0.3">
      <c r="I182" s="3" t="str">
        <f t="shared" si="76"/>
        <v>---</v>
      </c>
      <c r="J182" s="8" t="str">
        <f t="shared" si="77"/>
        <v>----,-</v>
      </c>
      <c r="K182" s="3" t="e">
        <f>VLOOKUP(I182, '[1]Depth vlookup'!$G$2:$I$997,2,FALSE())+(G182/100)</f>
        <v>#N/A</v>
      </c>
      <c r="L182" s="18" t="e">
        <f t="shared" si="78"/>
        <v>#N/A</v>
      </c>
      <c r="N182" s="4" t="e">
        <f>VLOOKUP(M182,  [1]Beakers!$A$2:$B$151, 2, 0)</f>
        <v>#N/A</v>
      </c>
      <c r="V182" s="20" t="e">
        <f t="shared" si="79"/>
        <v>#N/A</v>
      </c>
      <c r="W182" s="20" t="e">
        <f t="shared" si="80"/>
        <v>#N/A</v>
      </c>
      <c r="X182" s="20" t="e">
        <f t="shared" si="81"/>
        <v>#N/A</v>
      </c>
      <c r="Y182" s="20" t="e">
        <f t="shared" si="82"/>
        <v>#N/A</v>
      </c>
      <c r="Z182" s="20" t="e">
        <f t="shared" si="83"/>
        <v>#N/A</v>
      </c>
      <c r="AA182" s="20" t="e">
        <f t="shared" si="84"/>
        <v>#N/A</v>
      </c>
      <c r="AB182" s="20" t="e">
        <f t="shared" si="85"/>
        <v>#N/A</v>
      </c>
      <c r="AC182" s="20" t="e">
        <f>T182-VLOOKUP(M182, [1]Beakers!$A$2:$C$151, 3, 0)</f>
        <v>#N/A</v>
      </c>
      <c r="AD182" s="20" t="e">
        <f t="shared" si="86"/>
        <v>#N/A</v>
      </c>
      <c r="AE182" s="20" t="e">
        <f t="shared" si="87"/>
        <v>#N/A</v>
      </c>
      <c r="AF182" s="20" t="e">
        <f t="shared" si="88"/>
        <v>#N/A</v>
      </c>
      <c r="AG182" s="20" t="e">
        <f t="shared" si="89"/>
        <v>#N/A</v>
      </c>
      <c r="AH182" s="20" t="e">
        <f t="shared" si="90"/>
        <v>#N/A</v>
      </c>
      <c r="AI182" s="20" t="e">
        <f t="shared" si="91"/>
        <v>#N/A</v>
      </c>
      <c r="AJ182" s="20" t="e">
        <f t="shared" si="92"/>
        <v>#N/A</v>
      </c>
      <c r="AK182" s="20" t="e">
        <f t="shared" si="93"/>
        <v>#N/A</v>
      </c>
      <c r="AL182" s="20" t="e">
        <f t="shared" si="94"/>
        <v>#N/A</v>
      </c>
    </row>
    <row r="183" spans="9:38" ht="14.4" x14ac:dyDescent="0.3">
      <c r="I183" s="3" t="str">
        <f t="shared" si="76"/>
        <v>---</v>
      </c>
      <c r="J183" s="8" t="str">
        <f t="shared" si="77"/>
        <v>----,-</v>
      </c>
      <c r="K183" s="3" t="e">
        <f>VLOOKUP(I183, '[1]Depth vlookup'!$G$2:$I$997,2,FALSE())+(G183/100)</f>
        <v>#N/A</v>
      </c>
      <c r="L183" s="18" t="e">
        <f t="shared" si="78"/>
        <v>#N/A</v>
      </c>
      <c r="N183" s="4" t="e">
        <f>VLOOKUP(M183,  [1]Beakers!$A$2:$B$151, 2, 0)</f>
        <v>#N/A</v>
      </c>
      <c r="V183" s="20" t="e">
        <f t="shared" si="79"/>
        <v>#N/A</v>
      </c>
      <c r="W183" s="20" t="e">
        <f t="shared" si="80"/>
        <v>#N/A</v>
      </c>
      <c r="X183" s="20" t="e">
        <f t="shared" si="81"/>
        <v>#N/A</v>
      </c>
      <c r="Y183" s="20" t="e">
        <f t="shared" si="82"/>
        <v>#N/A</v>
      </c>
      <c r="Z183" s="20" t="e">
        <f t="shared" si="83"/>
        <v>#N/A</v>
      </c>
      <c r="AA183" s="20" t="e">
        <f t="shared" si="84"/>
        <v>#N/A</v>
      </c>
      <c r="AB183" s="20" t="e">
        <f t="shared" si="85"/>
        <v>#N/A</v>
      </c>
      <c r="AC183" s="20" t="e">
        <f>T183-VLOOKUP(M183, [1]Beakers!$A$2:$C$151, 3, 0)</f>
        <v>#N/A</v>
      </c>
      <c r="AD183" s="20" t="e">
        <f t="shared" si="86"/>
        <v>#N/A</v>
      </c>
      <c r="AE183" s="20" t="e">
        <f t="shared" si="87"/>
        <v>#N/A</v>
      </c>
      <c r="AF183" s="20" t="e">
        <f t="shared" si="88"/>
        <v>#N/A</v>
      </c>
      <c r="AG183" s="20" t="e">
        <f t="shared" si="89"/>
        <v>#N/A</v>
      </c>
      <c r="AH183" s="20" t="e">
        <f t="shared" si="90"/>
        <v>#N/A</v>
      </c>
      <c r="AI183" s="20" t="e">
        <f t="shared" si="91"/>
        <v>#N/A</v>
      </c>
      <c r="AJ183" s="20" t="e">
        <f t="shared" si="92"/>
        <v>#N/A</v>
      </c>
      <c r="AK183" s="20" t="e">
        <f t="shared" si="93"/>
        <v>#N/A</v>
      </c>
      <c r="AL183" s="20" t="e">
        <f t="shared" si="94"/>
        <v>#N/A</v>
      </c>
    </row>
    <row r="184" spans="9:38" ht="14.4" x14ac:dyDescent="0.3">
      <c r="I184" s="3" t="str">
        <f t="shared" si="76"/>
        <v>---</v>
      </c>
      <c r="J184" s="8" t="str">
        <f t="shared" si="77"/>
        <v>----,-</v>
      </c>
      <c r="K184" s="3" t="e">
        <f>VLOOKUP(I184, '[1]Depth vlookup'!$G$2:$I$997,2,FALSE())+(G184/100)</f>
        <v>#N/A</v>
      </c>
      <c r="L184" s="18" t="e">
        <f t="shared" si="78"/>
        <v>#N/A</v>
      </c>
      <c r="N184" s="4" t="e">
        <f>VLOOKUP(M184,  [1]Beakers!$A$2:$B$151, 2, 0)</f>
        <v>#N/A</v>
      </c>
      <c r="V184" s="20" t="e">
        <f t="shared" si="79"/>
        <v>#N/A</v>
      </c>
      <c r="W184" s="20" t="e">
        <f t="shared" si="80"/>
        <v>#N/A</v>
      </c>
      <c r="X184" s="20" t="e">
        <f t="shared" si="81"/>
        <v>#N/A</v>
      </c>
      <c r="Y184" s="20" t="e">
        <f t="shared" si="82"/>
        <v>#N/A</v>
      </c>
      <c r="Z184" s="20" t="e">
        <f t="shared" si="83"/>
        <v>#N/A</v>
      </c>
      <c r="AA184" s="20" t="e">
        <f t="shared" si="84"/>
        <v>#N/A</v>
      </c>
      <c r="AB184" s="20" t="e">
        <f t="shared" si="85"/>
        <v>#N/A</v>
      </c>
      <c r="AC184" s="20" t="e">
        <f>T184-VLOOKUP(M184, [1]Beakers!$A$2:$C$151, 3, 0)</f>
        <v>#N/A</v>
      </c>
      <c r="AD184" s="20" t="e">
        <f t="shared" si="86"/>
        <v>#N/A</v>
      </c>
      <c r="AE184" s="20" t="e">
        <f t="shared" si="87"/>
        <v>#N/A</v>
      </c>
      <c r="AF184" s="20" t="e">
        <f t="shared" si="88"/>
        <v>#N/A</v>
      </c>
      <c r="AG184" s="20" t="e">
        <f t="shared" si="89"/>
        <v>#N/A</v>
      </c>
      <c r="AH184" s="20" t="e">
        <f t="shared" si="90"/>
        <v>#N/A</v>
      </c>
      <c r="AI184" s="20" t="e">
        <f t="shared" si="91"/>
        <v>#N/A</v>
      </c>
      <c r="AJ184" s="20" t="e">
        <f t="shared" si="92"/>
        <v>#N/A</v>
      </c>
      <c r="AK184" s="20" t="e">
        <f t="shared" si="93"/>
        <v>#N/A</v>
      </c>
      <c r="AL184" s="20" t="e">
        <f t="shared" si="94"/>
        <v>#N/A</v>
      </c>
    </row>
    <row r="185" spans="9:38" ht="14.4" x14ac:dyDescent="0.3">
      <c r="I185" s="3" t="str">
        <f t="shared" si="76"/>
        <v>---</v>
      </c>
      <c r="J185" s="8" t="str">
        <f t="shared" si="77"/>
        <v>----,-</v>
      </c>
      <c r="K185" s="3" t="e">
        <f>VLOOKUP(I185, '[1]Depth vlookup'!$G$2:$I$997,2,FALSE())+(G185/100)</f>
        <v>#N/A</v>
      </c>
      <c r="L185" s="18" t="e">
        <f t="shared" si="78"/>
        <v>#N/A</v>
      </c>
      <c r="N185" s="4" t="e">
        <f>VLOOKUP(M185,  [1]Beakers!$A$2:$B$151, 2, 0)</f>
        <v>#N/A</v>
      </c>
      <c r="V185" s="20" t="e">
        <f t="shared" si="79"/>
        <v>#N/A</v>
      </c>
      <c r="W185" s="20" t="e">
        <f t="shared" si="80"/>
        <v>#N/A</v>
      </c>
      <c r="X185" s="20" t="e">
        <f t="shared" si="81"/>
        <v>#N/A</v>
      </c>
      <c r="Y185" s="20" t="e">
        <f t="shared" si="82"/>
        <v>#N/A</v>
      </c>
      <c r="Z185" s="20" t="e">
        <f t="shared" si="83"/>
        <v>#N/A</v>
      </c>
      <c r="AA185" s="20" t="e">
        <f t="shared" si="84"/>
        <v>#N/A</v>
      </c>
      <c r="AB185" s="20" t="e">
        <f t="shared" si="85"/>
        <v>#N/A</v>
      </c>
      <c r="AC185" s="20" t="e">
        <f>T185-VLOOKUP(M185, [1]Beakers!$A$2:$C$151, 3, 0)</f>
        <v>#N/A</v>
      </c>
      <c r="AD185" s="20" t="e">
        <f t="shared" si="86"/>
        <v>#N/A</v>
      </c>
      <c r="AE185" s="20" t="e">
        <f t="shared" si="87"/>
        <v>#N/A</v>
      </c>
      <c r="AF185" s="20" t="e">
        <f t="shared" si="88"/>
        <v>#N/A</v>
      </c>
      <c r="AG185" s="20" t="e">
        <f t="shared" si="89"/>
        <v>#N/A</v>
      </c>
      <c r="AH185" s="20" t="e">
        <f t="shared" si="90"/>
        <v>#N/A</v>
      </c>
      <c r="AI185" s="20" t="e">
        <f t="shared" si="91"/>
        <v>#N/A</v>
      </c>
      <c r="AJ185" s="20" t="e">
        <f t="shared" si="92"/>
        <v>#N/A</v>
      </c>
      <c r="AK185" s="20" t="e">
        <f t="shared" si="93"/>
        <v>#N/A</v>
      </c>
      <c r="AL185" s="20" t="e">
        <f t="shared" si="94"/>
        <v>#N/A</v>
      </c>
    </row>
    <row r="186" spans="9:38" ht="14.4" x14ac:dyDescent="0.3">
      <c r="I186" s="3" t="str">
        <f t="shared" si="76"/>
        <v>---</v>
      </c>
      <c r="J186" s="8" t="str">
        <f t="shared" si="77"/>
        <v>----,-</v>
      </c>
      <c r="K186" s="3" t="e">
        <f>VLOOKUP(I186, '[1]Depth vlookup'!$G$2:$I$997,2,FALSE())+(G186/100)</f>
        <v>#N/A</v>
      </c>
      <c r="L186" s="18" t="e">
        <f t="shared" si="78"/>
        <v>#N/A</v>
      </c>
      <c r="N186" s="4" t="e">
        <f>VLOOKUP(M186,  [1]Beakers!$A$2:$B$151, 2, 0)</f>
        <v>#N/A</v>
      </c>
      <c r="V186" s="20" t="e">
        <f t="shared" si="79"/>
        <v>#N/A</v>
      </c>
      <c r="W186" s="20" t="e">
        <f t="shared" si="80"/>
        <v>#N/A</v>
      </c>
      <c r="X186" s="20" t="e">
        <f t="shared" si="81"/>
        <v>#N/A</v>
      </c>
      <c r="Y186" s="20" t="e">
        <f t="shared" si="82"/>
        <v>#N/A</v>
      </c>
      <c r="Z186" s="20" t="e">
        <f t="shared" si="83"/>
        <v>#N/A</v>
      </c>
      <c r="AA186" s="20" t="e">
        <f t="shared" si="84"/>
        <v>#N/A</v>
      </c>
      <c r="AB186" s="20" t="e">
        <f t="shared" si="85"/>
        <v>#N/A</v>
      </c>
      <c r="AC186" s="20" t="e">
        <f>T186-VLOOKUP(M186, [1]Beakers!$A$2:$C$151, 3, 0)</f>
        <v>#N/A</v>
      </c>
      <c r="AD186" s="20" t="e">
        <f t="shared" si="86"/>
        <v>#N/A</v>
      </c>
      <c r="AE186" s="20" t="e">
        <f t="shared" si="87"/>
        <v>#N/A</v>
      </c>
      <c r="AF186" s="20" t="e">
        <f t="shared" si="88"/>
        <v>#N/A</v>
      </c>
      <c r="AG186" s="20" t="e">
        <f t="shared" si="89"/>
        <v>#N/A</v>
      </c>
      <c r="AH186" s="20" t="e">
        <f t="shared" si="90"/>
        <v>#N/A</v>
      </c>
      <c r="AI186" s="20" t="e">
        <f t="shared" si="91"/>
        <v>#N/A</v>
      </c>
      <c r="AJ186" s="20" t="e">
        <f t="shared" si="92"/>
        <v>#N/A</v>
      </c>
      <c r="AK186" s="20" t="e">
        <f t="shared" si="93"/>
        <v>#N/A</v>
      </c>
      <c r="AL186" s="20" t="e">
        <f t="shared" si="94"/>
        <v>#N/A</v>
      </c>
    </row>
    <row r="187" spans="9:38" ht="14.4" x14ac:dyDescent="0.3">
      <c r="I187" s="3" t="str">
        <f t="shared" si="76"/>
        <v>---</v>
      </c>
      <c r="J187" s="8" t="str">
        <f t="shared" si="77"/>
        <v>----,-</v>
      </c>
      <c r="K187" s="3" t="e">
        <f>VLOOKUP(I187, '[1]Depth vlookup'!$G$2:$I$997,2,FALSE())+(G187/100)</f>
        <v>#N/A</v>
      </c>
      <c r="L187" s="18" t="e">
        <f t="shared" si="78"/>
        <v>#N/A</v>
      </c>
      <c r="N187" s="4" t="e">
        <f>VLOOKUP(M187,  [1]Beakers!$A$2:$B$151, 2, 0)</f>
        <v>#N/A</v>
      </c>
      <c r="V187" s="20" t="e">
        <f t="shared" si="79"/>
        <v>#N/A</v>
      </c>
      <c r="W187" s="20" t="e">
        <f t="shared" si="80"/>
        <v>#N/A</v>
      </c>
      <c r="X187" s="20" t="e">
        <f t="shared" si="81"/>
        <v>#N/A</v>
      </c>
      <c r="Y187" s="20" t="e">
        <f t="shared" si="82"/>
        <v>#N/A</v>
      </c>
      <c r="Z187" s="20" t="e">
        <f t="shared" si="83"/>
        <v>#N/A</v>
      </c>
      <c r="AA187" s="20" t="e">
        <f t="shared" si="84"/>
        <v>#N/A</v>
      </c>
      <c r="AB187" s="20" t="e">
        <f t="shared" si="85"/>
        <v>#N/A</v>
      </c>
      <c r="AC187" s="20" t="e">
        <f>T187-VLOOKUP(M187, [1]Beakers!$A$2:$C$151, 3, 0)</f>
        <v>#N/A</v>
      </c>
      <c r="AD187" s="20" t="e">
        <f t="shared" si="86"/>
        <v>#N/A</v>
      </c>
      <c r="AE187" s="20" t="e">
        <f t="shared" si="87"/>
        <v>#N/A</v>
      </c>
      <c r="AF187" s="20" t="e">
        <f t="shared" si="88"/>
        <v>#N/A</v>
      </c>
      <c r="AG187" s="20" t="e">
        <f t="shared" si="89"/>
        <v>#N/A</v>
      </c>
      <c r="AH187" s="20" t="e">
        <f t="shared" si="90"/>
        <v>#N/A</v>
      </c>
      <c r="AI187" s="20" t="e">
        <f t="shared" si="91"/>
        <v>#N/A</v>
      </c>
      <c r="AJ187" s="20" t="e">
        <f t="shared" si="92"/>
        <v>#N/A</v>
      </c>
      <c r="AK187" s="20" t="e">
        <f t="shared" si="93"/>
        <v>#N/A</v>
      </c>
      <c r="AL187" s="20" t="e">
        <f t="shared" si="94"/>
        <v>#N/A</v>
      </c>
    </row>
    <row r="188" spans="9:38" ht="14.4" x14ac:dyDescent="0.3">
      <c r="I188" s="3" t="str">
        <f t="shared" si="76"/>
        <v>---</v>
      </c>
      <c r="J188" s="8" t="str">
        <f t="shared" si="77"/>
        <v>----,-</v>
      </c>
      <c r="K188" s="3" t="e">
        <f>VLOOKUP(I188, '[1]Depth vlookup'!$G$2:$I$997,2,FALSE())+(G188/100)</f>
        <v>#N/A</v>
      </c>
      <c r="L188" s="18" t="e">
        <f t="shared" si="78"/>
        <v>#N/A</v>
      </c>
      <c r="N188" s="4" t="e">
        <f>VLOOKUP(M188,  [1]Beakers!$A$2:$B$151, 2, 0)</f>
        <v>#N/A</v>
      </c>
      <c r="V188" s="20" t="e">
        <f t="shared" si="79"/>
        <v>#N/A</v>
      </c>
      <c r="W188" s="20" t="e">
        <f t="shared" si="80"/>
        <v>#N/A</v>
      </c>
      <c r="X188" s="20" t="e">
        <f t="shared" si="81"/>
        <v>#N/A</v>
      </c>
      <c r="Y188" s="20" t="e">
        <f t="shared" si="82"/>
        <v>#N/A</v>
      </c>
      <c r="Z188" s="20" t="e">
        <f t="shared" si="83"/>
        <v>#N/A</v>
      </c>
      <c r="AA188" s="20" t="e">
        <f t="shared" si="84"/>
        <v>#N/A</v>
      </c>
      <c r="AB188" s="20" t="e">
        <f t="shared" si="85"/>
        <v>#N/A</v>
      </c>
      <c r="AC188" s="20" t="e">
        <f>T188-VLOOKUP(M188, [1]Beakers!$A$2:$C$151, 3, 0)</f>
        <v>#N/A</v>
      </c>
      <c r="AD188" s="20" t="e">
        <f t="shared" si="86"/>
        <v>#N/A</v>
      </c>
      <c r="AE188" s="20" t="e">
        <f t="shared" si="87"/>
        <v>#N/A</v>
      </c>
      <c r="AF188" s="20" t="e">
        <f t="shared" si="88"/>
        <v>#N/A</v>
      </c>
      <c r="AG188" s="20" t="e">
        <f t="shared" si="89"/>
        <v>#N/A</v>
      </c>
      <c r="AH188" s="20" t="e">
        <f t="shared" si="90"/>
        <v>#N/A</v>
      </c>
      <c r="AI188" s="20" t="e">
        <f t="shared" si="91"/>
        <v>#N/A</v>
      </c>
      <c r="AJ188" s="20" t="e">
        <f t="shared" si="92"/>
        <v>#N/A</v>
      </c>
      <c r="AK188" s="20" t="e">
        <f t="shared" si="93"/>
        <v>#N/A</v>
      </c>
      <c r="AL188" s="20" t="e">
        <f t="shared" si="94"/>
        <v>#N/A</v>
      </c>
    </row>
    <row r="189" spans="9:38" ht="14.4" x14ac:dyDescent="0.3">
      <c r="I189" s="3" t="str">
        <f t="shared" si="76"/>
        <v>---</v>
      </c>
      <c r="J189" s="8" t="str">
        <f t="shared" si="77"/>
        <v>----,-</v>
      </c>
      <c r="K189" s="3" t="e">
        <f>VLOOKUP(I189, '[1]Depth vlookup'!$G$2:$I$997,2,FALSE())+(G189/100)</f>
        <v>#N/A</v>
      </c>
      <c r="L189" s="18" t="e">
        <f t="shared" si="78"/>
        <v>#N/A</v>
      </c>
      <c r="N189" s="4" t="e">
        <f>VLOOKUP(M189,  [1]Beakers!$A$2:$B$151, 2, 0)</f>
        <v>#N/A</v>
      </c>
      <c r="V189" s="20" t="e">
        <f t="shared" si="79"/>
        <v>#N/A</v>
      </c>
      <c r="W189" s="20" t="e">
        <f t="shared" si="80"/>
        <v>#N/A</v>
      </c>
      <c r="X189" s="20" t="e">
        <f t="shared" si="81"/>
        <v>#N/A</v>
      </c>
      <c r="Y189" s="20" t="e">
        <f t="shared" si="82"/>
        <v>#N/A</v>
      </c>
      <c r="Z189" s="20" t="e">
        <f t="shared" si="83"/>
        <v>#N/A</v>
      </c>
      <c r="AA189" s="20" t="e">
        <f t="shared" si="84"/>
        <v>#N/A</v>
      </c>
      <c r="AB189" s="20" t="e">
        <f t="shared" si="85"/>
        <v>#N/A</v>
      </c>
      <c r="AC189" s="20" t="e">
        <f>T189-VLOOKUP(M189, [1]Beakers!$A$2:$C$151, 3, 0)</f>
        <v>#N/A</v>
      </c>
      <c r="AD189" s="20" t="e">
        <f t="shared" si="86"/>
        <v>#N/A</v>
      </c>
      <c r="AE189" s="20" t="e">
        <f t="shared" si="87"/>
        <v>#N/A</v>
      </c>
      <c r="AF189" s="20" t="e">
        <f t="shared" si="88"/>
        <v>#N/A</v>
      </c>
      <c r="AG189" s="20" t="e">
        <f t="shared" si="89"/>
        <v>#N/A</v>
      </c>
      <c r="AH189" s="20" t="e">
        <f t="shared" si="90"/>
        <v>#N/A</v>
      </c>
      <c r="AI189" s="20" t="e">
        <f t="shared" si="91"/>
        <v>#N/A</v>
      </c>
      <c r="AJ189" s="20" t="e">
        <f t="shared" si="92"/>
        <v>#N/A</v>
      </c>
      <c r="AK189" s="20" t="e">
        <f t="shared" si="93"/>
        <v>#N/A</v>
      </c>
      <c r="AL189" s="20" t="e">
        <f t="shared" si="94"/>
        <v>#N/A</v>
      </c>
    </row>
    <row r="190" spans="9:38" ht="14.4" x14ac:dyDescent="0.3">
      <c r="I190" s="3" t="str">
        <f t="shared" si="76"/>
        <v>---</v>
      </c>
      <c r="J190" s="8" t="str">
        <f t="shared" si="77"/>
        <v>----,-</v>
      </c>
      <c r="K190" s="3" t="e">
        <f>VLOOKUP(I190, '[1]Depth vlookup'!$G$2:$I$997,2,FALSE())+(G190/100)</f>
        <v>#N/A</v>
      </c>
      <c r="L190" s="18" t="e">
        <f t="shared" si="78"/>
        <v>#N/A</v>
      </c>
      <c r="N190" s="4" t="e">
        <f>VLOOKUP(M190,  [1]Beakers!$A$2:$B$151, 2, 0)</f>
        <v>#N/A</v>
      </c>
      <c r="V190" s="20" t="e">
        <f t="shared" si="79"/>
        <v>#N/A</v>
      </c>
      <c r="W190" s="20" t="e">
        <f t="shared" si="80"/>
        <v>#N/A</v>
      </c>
      <c r="X190" s="20" t="e">
        <f t="shared" si="81"/>
        <v>#N/A</v>
      </c>
      <c r="Y190" s="20" t="e">
        <f t="shared" si="82"/>
        <v>#N/A</v>
      </c>
      <c r="Z190" s="20" t="e">
        <f t="shared" si="83"/>
        <v>#N/A</v>
      </c>
      <c r="AA190" s="20" t="e">
        <f t="shared" si="84"/>
        <v>#N/A</v>
      </c>
      <c r="AB190" s="20" t="e">
        <f t="shared" si="85"/>
        <v>#N/A</v>
      </c>
      <c r="AC190" s="20" t="e">
        <f>T190-VLOOKUP(M190, [1]Beakers!$A$2:$C$151, 3, 0)</f>
        <v>#N/A</v>
      </c>
      <c r="AD190" s="20" t="e">
        <f t="shared" si="86"/>
        <v>#N/A</v>
      </c>
      <c r="AE190" s="20" t="e">
        <f t="shared" si="87"/>
        <v>#N/A</v>
      </c>
      <c r="AF190" s="20" t="e">
        <f t="shared" si="88"/>
        <v>#N/A</v>
      </c>
      <c r="AG190" s="20" t="e">
        <f t="shared" si="89"/>
        <v>#N/A</v>
      </c>
      <c r="AH190" s="20" t="e">
        <f t="shared" si="90"/>
        <v>#N/A</v>
      </c>
      <c r="AI190" s="20" t="e">
        <f t="shared" si="91"/>
        <v>#N/A</v>
      </c>
      <c r="AJ190" s="20" t="e">
        <f t="shared" si="92"/>
        <v>#N/A</v>
      </c>
      <c r="AK190" s="20" t="e">
        <f t="shared" si="93"/>
        <v>#N/A</v>
      </c>
      <c r="AL190" s="20" t="e">
        <f t="shared" si="94"/>
        <v>#N/A</v>
      </c>
    </row>
    <row r="191" spans="9:38" ht="14.4" x14ac:dyDescent="0.3">
      <c r="I191" s="3" t="str">
        <f t="shared" si="76"/>
        <v>---</v>
      </c>
      <c r="J191" s="8" t="str">
        <f t="shared" si="77"/>
        <v>----,-</v>
      </c>
      <c r="K191" s="3" t="e">
        <f>VLOOKUP(I191, '[1]Depth vlookup'!$G$2:$I$997,2,FALSE())+(G191/100)</f>
        <v>#N/A</v>
      </c>
      <c r="L191" s="18" t="e">
        <f t="shared" si="78"/>
        <v>#N/A</v>
      </c>
      <c r="N191" s="4" t="e">
        <f>VLOOKUP(M191,  [1]Beakers!$A$2:$B$151, 2, 0)</f>
        <v>#N/A</v>
      </c>
      <c r="V191" s="20" t="e">
        <f t="shared" si="79"/>
        <v>#N/A</v>
      </c>
      <c r="W191" s="20" t="e">
        <f t="shared" si="80"/>
        <v>#N/A</v>
      </c>
      <c r="X191" s="20" t="e">
        <f t="shared" si="81"/>
        <v>#N/A</v>
      </c>
      <c r="Y191" s="20" t="e">
        <f t="shared" si="82"/>
        <v>#N/A</v>
      </c>
      <c r="Z191" s="20" t="e">
        <f t="shared" si="83"/>
        <v>#N/A</v>
      </c>
      <c r="AA191" s="20" t="e">
        <f t="shared" si="84"/>
        <v>#N/A</v>
      </c>
      <c r="AB191" s="20" t="e">
        <f t="shared" si="85"/>
        <v>#N/A</v>
      </c>
      <c r="AC191" s="20" t="e">
        <f>T191-VLOOKUP(M191, [1]Beakers!$A$2:$C$151, 3, 0)</f>
        <v>#N/A</v>
      </c>
      <c r="AD191" s="20" t="e">
        <f t="shared" si="86"/>
        <v>#N/A</v>
      </c>
      <c r="AE191" s="20" t="e">
        <f t="shared" si="87"/>
        <v>#N/A</v>
      </c>
      <c r="AF191" s="20" t="e">
        <f t="shared" si="88"/>
        <v>#N/A</v>
      </c>
      <c r="AG191" s="20" t="e">
        <f t="shared" si="89"/>
        <v>#N/A</v>
      </c>
      <c r="AH191" s="20" t="e">
        <f t="shared" si="90"/>
        <v>#N/A</v>
      </c>
      <c r="AI191" s="20" t="e">
        <f t="shared" si="91"/>
        <v>#N/A</v>
      </c>
      <c r="AJ191" s="20" t="e">
        <f t="shared" si="92"/>
        <v>#N/A</v>
      </c>
      <c r="AK191" s="20" t="e">
        <f t="shared" si="93"/>
        <v>#N/A</v>
      </c>
      <c r="AL191" s="20" t="e">
        <f t="shared" si="94"/>
        <v>#N/A</v>
      </c>
    </row>
    <row r="192" spans="9:38" ht="14.4" x14ac:dyDescent="0.3">
      <c r="I192" s="3" t="str">
        <f t="shared" si="76"/>
        <v>---</v>
      </c>
      <c r="J192" s="8" t="str">
        <f t="shared" si="77"/>
        <v>----,-</v>
      </c>
      <c r="K192" s="3" t="e">
        <f>VLOOKUP(I192, '[1]Depth vlookup'!$G$2:$I$997,2,FALSE())+(G192/100)</f>
        <v>#N/A</v>
      </c>
      <c r="L192" s="18" t="e">
        <f t="shared" si="78"/>
        <v>#N/A</v>
      </c>
      <c r="N192" s="4" t="e">
        <f>VLOOKUP(M192,  [1]Beakers!$A$2:$B$151, 2, 0)</f>
        <v>#N/A</v>
      </c>
      <c r="V192" s="20" t="e">
        <f t="shared" si="79"/>
        <v>#N/A</v>
      </c>
      <c r="W192" s="20" t="e">
        <f t="shared" si="80"/>
        <v>#N/A</v>
      </c>
      <c r="X192" s="20" t="e">
        <f t="shared" si="81"/>
        <v>#N/A</v>
      </c>
      <c r="Y192" s="20" t="e">
        <f t="shared" si="82"/>
        <v>#N/A</v>
      </c>
      <c r="Z192" s="20" t="e">
        <f t="shared" si="83"/>
        <v>#N/A</v>
      </c>
      <c r="AA192" s="20" t="e">
        <f t="shared" si="84"/>
        <v>#N/A</v>
      </c>
      <c r="AB192" s="20" t="e">
        <f t="shared" si="85"/>
        <v>#N/A</v>
      </c>
      <c r="AC192" s="20" t="e">
        <f>T192-VLOOKUP(M192, [1]Beakers!$A$2:$C$151, 3, 0)</f>
        <v>#N/A</v>
      </c>
      <c r="AD192" s="20" t="e">
        <f t="shared" si="86"/>
        <v>#N/A</v>
      </c>
      <c r="AE192" s="20" t="e">
        <f t="shared" si="87"/>
        <v>#N/A</v>
      </c>
      <c r="AF192" s="20" t="e">
        <f t="shared" si="88"/>
        <v>#N/A</v>
      </c>
      <c r="AG192" s="20" t="e">
        <f t="shared" si="89"/>
        <v>#N/A</v>
      </c>
      <c r="AH192" s="20" t="e">
        <f t="shared" si="90"/>
        <v>#N/A</v>
      </c>
      <c r="AI192" s="20" t="e">
        <f t="shared" si="91"/>
        <v>#N/A</v>
      </c>
      <c r="AJ192" s="20" t="e">
        <f t="shared" si="92"/>
        <v>#N/A</v>
      </c>
      <c r="AK192" s="20" t="e">
        <f t="shared" si="93"/>
        <v>#N/A</v>
      </c>
      <c r="AL192" s="20" t="e">
        <f t="shared" si="94"/>
        <v>#N/A</v>
      </c>
    </row>
    <row r="193" spans="9:38" ht="14.4" x14ac:dyDescent="0.3">
      <c r="I193" s="3" t="str">
        <f t="shared" si="76"/>
        <v>---</v>
      </c>
      <c r="J193" s="8" t="str">
        <f t="shared" si="77"/>
        <v>----,-</v>
      </c>
      <c r="K193" s="3" t="e">
        <f>VLOOKUP(I193, '[1]Depth vlookup'!$G$2:$I$997,2,FALSE())+(G193/100)</f>
        <v>#N/A</v>
      </c>
      <c r="L193" s="18" t="e">
        <f t="shared" si="78"/>
        <v>#N/A</v>
      </c>
      <c r="N193" s="4" t="e">
        <f>VLOOKUP(M193,  [1]Beakers!$A$2:$B$151, 2, 0)</f>
        <v>#N/A</v>
      </c>
      <c r="V193" s="20" t="e">
        <f t="shared" si="79"/>
        <v>#N/A</v>
      </c>
      <c r="W193" s="20" t="e">
        <f t="shared" si="80"/>
        <v>#N/A</v>
      </c>
      <c r="X193" s="20" t="e">
        <f t="shared" si="81"/>
        <v>#N/A</v>
      </c>
      <c r="Y193" s="20" t="e">
        <f t="shared" si="82"/>
        <v>#N/A</v>
      </c>
      <c r="Z193" s="20" t="e">
        <f t="shared" si="83"/>
        <v>#N/A</v>
      </c>
      <c r="AA193" s="20" t="e">
        <f t="shared" si="84"/>
        <v>#N/A</v>
      </c>
      <c r="AB193" s="20" t="e">
        <f t="shared" si="85"/>
        <v>#N/A</v>
      </c>
      <c r="AC193" s="20" t="e">
        <f>T193-VLOOKUP(M193, [1]Beakers!$A$2:$C$151, 3, 0)</f>
        <v>#N/A</v>
      </c>
      <c r="AD193" s="20" t="e">
        <f t="shared" si="86"/>
        <v>#N/A</v>
      </c>
      <c r="AE193" s="20" t="e">
        <f t="shared" si="87"/>
        <v>#N/A</v>
      </c>
      <c r="AF193" s="20" t="e">
        <f t="shared" si="88"/>
        <v>#N/A</v>
      </c>
      <c r="AG193" s="20" t="e">
        <f t="shared" si="89"/>
        <v>#N/A</v>
      </c>
      <c r="AH193" s="20" t="e">
        <f t="shared" si="90"/>
        <v>#N/A</v>
      </c>
      <c r="AI193" s="20" t="e">
        <f t="shared" si="91"/>
        <v>#N/A</v>
      </c>
      <c r="AJ193" s="20" t="e">
        <f t="shared" si="92"/>
        <v>#N/A</v>
      </c>
      <c r="AK193" s="20" t="e">
        <f t="shared" si="93"/>
        <v>#N/A</v>
      </c>
      <c r="AL193" s="20" t="e">
        <f t="shared" si="94"/>
        <v>#N/A</v>
      </c>
    </row>
    <row r="194" spans="9:38" ht="14.4" x14ac:dyDescent="0.3">
      <c r="I194" s="3" t="str">
        <f t="shared" si="76"/>
        <v>---</v>
      </c>
      <c r="J194" s="8" t="str">
        <f t="shared" si="77"/>
        <v>----,-</v>
      </c>
      <c r="K194" s="3" t="e">
        <f>VLOOKUP(I194, '[1]Depth vlookup'!$G$2:$I$997,2,FALSE())+(G194/100)</f>
        <v>#N/A</v>
      </c>
      <c r="L194" s="18" t="e">
        <f t="shared" si="78"/>
        <v>#N/A</v>
      </c>
      <c r="N194" s="4" t="e">
        <f>VLOOKUP(M194,  [1]Beakers!$A$2:$B$151, 2, 0)</f>
        <v>#N/A</v>
      </c>
      <c r="V194" s="20" t="e">
        <f t="shared" si="79"/>
        <v>#N/A</v>
      </c>
      <c r="W194" s="20" t="e">
        <f t="shared" si="80"/>
        <v>#N/A</v>
      </c>
      <c r="X194" s="20" t="e">
        <f t="shared" si="81"/>
        <v>#N/A</v>
      </c>
      <c r="Y194" s="20" t="e">
        <f t="shared" si="82"/>
        <v>#N/A</v>
      </c>
      <c r="Z194" s="20" t="e">
        <f t="shared" si="83"/>
        <v>#N/A</v>
      </c>
      <c r="AA194" s="20" t="e">
        <f t="shared" si="84"/>
        <v>#N/A</v>
      </c>
      <c r="AB194" s="20" t="e">
        <f t="shared" si="85"/>
        <v>#N/A</v>
      </c>
      <c r="AC194" s="20" t="e">
        <f>T194-VLOOKUP(M194, [1]Beakers!$A$2:$C$151, 3, 0)</f>
        <v>#N/A</v>
      </c>
      <c r="AD194" s="20" t="e">
        <f t="shared" si="86"/>
        <v>#N/A</v>
      </c>
      <c r="AE194" s="20" t="e">
        <f t="shared" si="87"/>
        <v>#N/A</v>
      </c>
      <c r="AF194" s="20" t="e">
        <f t="shared" si="88"/>
        <v>#N/A</v>
      </c>
      <c r="AG194" s="20" t="e">
        <f t="shared" si="89"/>
        <v>#N/A</v>
      </c>
      <c r="AH194" s="20" t="e">
        <f t="shared" si="90"/>
        <v>#N/A</v>
      </c>
      <c r="AI194" s="20" t="e">
        <f t="shared" si="91"/>
        <v>#N/A</v>
      </c>
      <c r="AJ194" s="20" t="e">
        <f t="shared" si="92"/>
        <v>#N/A</v>
      </c>
      <c r="AK194" s="20" t="e">
        <f t="shared" si="93"/>
        <v>#N/A</v>
      </c>
      <c r="AL194" s="20" t="e">
        <f t="shared" si="94"/>
        <v>#N/A</v>
      </c>
    </row>
    <row r="195" spans="9:38" ht="14.4" x14ac:dyDescent="0.3">
      <c r="I195" s="3" t="str">
        <f t="shared" si="76"/>
        <v>---</v>
      </c>
      <c r="J195" s="8" t="str">
        <f t="shared" si="77"/>
        <v>----,-</v>
      </c>
      <c r="K195" s="3" t="e">
        <f>VLOOKUP(I195, '[1]Depth vlookup'!$G$2:$I$997,2,FALSE())+(G195/100)</f>
        <v>#N/A</v>
      </c>
      <c r="L195" s="18" t="e">
        <f t="shared" si="78"/>
        <v>#N/A</v>
      </c>
      <c r="N195" s="4" t="e">
        <f>VLOOKUP(M195,  [1]Beakers!$A$2:$B$151, 2, 0)</f>
        <v>#N/A</v>
      </c>
      <c r="V195" s="20" t="e">
        <f t="shared" si="79"/>
        <v>#N/A</v>
      </c>
      <c r="W195" s="20" t="e">
        <f t="shared" si="80"/>
        <v>#N/A</v>
      </c>
      <c r="X195" s="20" t="e">
        <f t="shared" si="81"/>
        <v>#N/A</v>
      </c>
      <c r="Y195" s="20" t="e">
        <f t="shared" si="82"/>
        <v>#N/A</v>
      </c>
      <c r="Z195" s="20" t="e">
        <f t="shared" si="83"/>
        <v>#N/A</v>
      </c>
      <c r="AA195" s="20" t="e">
        <f t="shared" si="84"/>
        <v>#N/A</v>
      </c>
      <c r="AB195" s="20" t="e">
        <f t="shared" si="85"/>
        <v>#N/A</v>
      </c>
      <c r="AC195" s="20" t="e">
        <f>T195-VLOOKUP(M195, [1]Beakers!$A$2:$C$151, 3, 0)</f>
        <v>#N/A</v>
      </c>
      <c r="AD195" s="20" t="e">
        <f t="shared" si="86"/>
        <v>#N/A</v>
      </c>
      <c r="AE195" s="20" t="e">
        <f t="shared" si="87"/>
        <v>#N/A</v>
      </c>
      <c r="AF195" s="20" t="e">
        <f t="shared" si="88"/>
        <v>#N/A</v>
      </c>
      <c r="AG195" s="20" t="e">
        <f t="shared" si="89"/>
        <v>#N/A</v>
      </c>
      <c r="AH195" s="20" t="e">
        <f t="shared" si="90"/>
        <v>#N/A</v>
      </c>
      <c r="AI195" s="20" t="e">
        <f t="shared" si="91"/>
        <v>#N/A</v>
      </c>
      <c r="AJ195" s="20" t="e">
        <f t="shared" si="92"/>
        <v>#N/A</v>
      </c>
      <c r="AK195" s="20" t="e">
        <f t="shared" si="93"/>
        <v>#N/A</v>
      </c>
      <c r="AL195" s="20" t="e">
        <f t="shared" si="94"/>
        <v>#N/A</v>
      </c>
    </row>
    <row r="196" spans="9:38" ht="14.4" x14ac:dyDescent="0.3">
      <c r="I196" s="3" t="str">
        <f t="shared" ref="I196:I227" si="95">_xlfn.CONCAT(B196, "-", C196,"-", D196,"-", F196)</f>
        <v>---</v>
      </c>
      <c r="J196" s="8" t="str">
        <f t="shared" ref="J196:J227" si="96">_xlfn.CONCAT(A196, "-", I196, ",",G196, "-",H196)</f>
        <v>----,-</v>
      </c>
      <c r="K196" s="3" t="e">
        <f>VLOOKUP(I196, '[1]Depth vlookup'!$G$2:$I$997,2,FALSE())+(G196/100)</f>
        <v>#N/A</v>
      </c>
      <c r="L196" s="18" t="e">
        <f t="shared" ref="L196:L227" si="97">K196+2/100</f>
        <v>#N/A</v>
      </c>
      <c r="N196" s="4" t="e">
        <f>VLOOKUP(M196,  [1]Beakers!$A$2:$B$151, 2, 0)</f>
        <v>#N/A</v>
      </c>
      <c r="V196" s="20" t="e">
        <f t="shared" ref="V196:V227" si="98">O196-N196</f>
        <v>#N/A</v>
      </c>
      <c r="W196" s="20" t="e">
        <f t="shared" ref="W196:W227" si="99">Q196-N196</f>
        <v>#N/A</v>
      </c>
      <c r="X196" s="20" t="e">
        <f t="shared" ref="X196:X227" si="100">(V196-W196)/(1-35/1000)</f>
        <v>#N/A</v>
      </c>
      <c r="Y196" s="20" t="e">
        <f t="shared" ref="Y196:Y227" si="101">X196-(V196-W196)</f>
        <v>#N/A</v>
      </c>
      <c r="Z196" s="20" t="e">
        <f t="shared" ref="Z196:Z227" si="102">W196-Y196</f>
        <v>#N/A</v>
      </c>
      <c r="AA196" s="20" t="e">
        <f t="shared" ref="AA196:AA227" si="103">X196/1.024</f>
        <v>#N/A</v>
      </c>
      <c r="AB196" s="20" t="e">
        <f t="shared" ref="AB196:AB227" si="104">Y196/2.22</f>
        <v>#N/A</v>
      </c>
      <c r="AC196" s="20" t="e">
        <f>T196-VLOOKUP(M196, [1]Beakers!$A$2:$C$151, 3, 0)</f>
        <v>#N/A</v>
      </c>
      <c r="AD196" s="20" t="e">
        <f t="shared" ref="AD196:AD227" si="105">AC196-AB196+AA196</f>
        <v>#N/A</v>
      </c>
      <c r="AE196" s="20" t="e">
        <f t="shared" ref="AE196:AE227" si="106">AC196-AB196</f>
        <v>#N/A</v>
      </c>
      <c r="AF196" s="20" t="e">
        <f t="shared" ref="AF196:AF227" si="107">X196/V196</f>
        <v>#N/A</v>
      </c>
      <c r="AG196" s="20" t="e">
        <f t="shared" ref="AG196:AG227" si="108">X196/Z196</f>
        <v>#N/A</v>
      </c>
      <c r="AH196" s="20" t="e">
        <f t="shared" ref="AH196:AH227" si="109">V196/AD196</f>
        <v>#N/A</v>
      </c>
      <c r="AI196" s="20" t="e">
        <f t="shared" ref="AI196:AI227" si="110">Z196/AD196</f>
        <v>#N/A</v>
      </c>
      <c r="AJ196" s="20" t="e">
        <f t="shared" ref="AJ196:AJ227" si="111">Z196/AE196</f>
        <v>#N/A</v>
      </c>
      <c r="AK196" s="20" t="e">
        <f t="shared" ref="AK196:AK227" si="112">AA196/AD196</f>
        <v>#N/A</v>
      </c>
      <c r="AL196" s="20" t="e">
        <f t="shared" ref="AL196:AL227" si="113">AA196/AE196</f>
        <v>#N/A</v>
      </c>
    </row>
    <row r="197" spans="9:38" ht="14.4" x14ac:dyDescent="0.3">
      <c r="I197" s="3" t="str">
        <f t="shared" si="95"/>
        <v>---</v>
      </c>
      <c r="J197" s="8" t="str">
        <f t="shared" si="96"/>
        <v>----,-</v>
      </c>
      <c r="K197" s="3" t="e">
        <f>VLOOKUP(I197, '[1]Depth vlookup'!$G$2:$I$997,2,FALSE())+(G197/100)</f>
        <v>#N/A</v>
      </c>
      <c r="L197" s="18" t="e">
        <f t="shared" si="97"/>
        <v>#N/A</v>
      </c>
      <c r="N197" s="4" t="e">
        <f>VLOOKUP(M197,  [1]Beakers!$A$2:$B$151, 2, 0)</f>
        <v>#N/A</v>
      </c>
      <c r="V197" s="20" t="e">
        <f t="shared" si="98"/>
        <v>#N/A</v>
      </c>
      <c r="W197" s="20" t="e">
        <f t="shared" si="99"/>
        <v>#N/A</v>
      </c>
      <c r="X197" s="20" t="e">
        <f t="shared" si="100"/>
        <v>#N/A</v>
      </c>
      <c r="Y197" s="20" t="e">
        <f t="shared" si="101"/>
        <v>#N/A</v>
      </c>
      <c r="Z197" s="20" t="e">
        <f t="shared" si="102"/>
        <v>#N/A</v>
      </c>
      <c r="AA197" s="20" t="e">
        <f t="shared" si="103"/>
        <v>#N/A</v>
      </c>
      <c r="AB197" s="20" t="e">
        <f t="shared" si="104"/>
        <v>#N/A</v>
      </c>
      <c r="AC197" s="20" t="e">
        <f>T197-VLOOKUP(M197, [1]Beakers!$A$2:$C$151, 3, 0)</f>
        <v>#N/A</v>
      </c>
      <c r="AD197" s="20" t="e">
        <f t="shared" si="105"/>
        <v>#N/A</v>
      </c>
      <c r="AE197" s="20" t="e">
        <f t="shared" si="106"/>
        <v>#N/A</v>
      </c>
      <c r="AF197" s="20" t="e">
        <f t="shared" si="107"/>
        <v>#N/A</v>
      </c>
      <c r="AG197" s="20" t="e">
        <f t="shared" si="108"/>
        <v>#N/A</v>
      </c>
      <c r="AH197" s="20" t="e">
        <f t="shared" si="109"/>
        <v>#N/A</v>
      </c>
      <c r="AI197" s="20" t="e">
        <f t="shared" si="110"/>
        <v>#N/A</v>
      </c>
      <c r="AJ197" s="20" t="e">
        <f t="shared" si="111"/>
        <v>#N/A</v>
      </c>
      <c r="AK197" s="20" t="e">
        <f t="shared" si="112"/>
        <v>#N/A</v>
      </c>
      <c r="AL197" s="20" t="e">
        <f t="shared" si="113"/>
        <v>#N/A</v>
      </c>
    </row>
    <row r="198" spans="9:38" ht="14.4" x14ac:dyDescent="0.3">
      <c r="I198" s="3" t="str">
        <f t="shared" si="95"/>
        <v>---</v>
      </c>
      <c r="J198" s="8" t="str">
        <f t="shared" si="96"/>
        <v>----,-</v>
      </c>
      <c r="K198" s="3" t="e">
        <f>VLOOKUP(I198, '[1]Depth vlookup'!$G$2:$I$997,2,FALSE())+(G198/100)</f>
        <v>#N/A</v>
      </c>
      <c r="L198" s="18" t="e">
        <f t="shared" si="97"/>
        <v>#N/A</v>
      </c>
      <c r="N198" s="4" t="e">
        <f>VLOOKUP(M198,  [1]Beakers!$A$2:$B$151, 2, 0)</f>
        <v>#N/A</v>
      </c>
      <c r="V198" s="20" t="e">
        <f t="shared" si="98"/>
        <v>#N/A</v>
      </c>
      <c r="W198" s="20" t="e">
        <f t="shared" si="99"/>
        <v>#N/A</v>
      </c>
      <c r="X198" s="20" t="e">
        <f t="shared" si="100"/>
        <v>#N/A</v>
      </c>
      <c r="Y198" s="20" t="e">
        <f t="shared" si="101"/>
        <v>#N/A</v>
      </c>
      <c r="Z198" s="20" t="e">
        <f t="shared" si="102"/>
        <v>#N/A</v>
      </c>
      <c r="AA198" s="20" t="e">
        <f t="shared" si="103"/>
        <v>#N/A</v>
      </c>
      <c r="AB198" s="20" t="e">
        <f t="shared" si="104"/>
        <v>#N/A</v>
      </c>
      <c r="AC198" s="20" t="e">
        <f>T198-VLOOKUP(M198, [1]Beakers!$A$2:$C$151, 3, 0)</f>
        <v>#N/A</v>
      </c>
      <c r="AD198" s="20" t="e">
        <f t="shared" si="105"/>
        <v>#N/A</v>
      </c>
      <c r="AE198" s="20" t="e">
        <f t="shared" si="106"/>
        <v>#N/A</v>
      </c>
      <c r="AF198" s="20" t="e">
        <f t="shared" si="107"/>
        <v>#N/A</v>
      </c>
      <c r="AG198" s="20" t="e">
        <f t="shared" si="108"/>
        <v>#N/A</v>
      </c>
      <c r="AH198" s="20" t="e">
        <f t="shared" si="109"/>
        <v>#N/A</v>
      </c>
      <c r="AI198" s="20" t="e">
        <f t="shared" si="110"/>
        <v>#N/A</v>
      </c>
      <c r="AJ198" s="20" t="e">
        <f t="shared" si="111"/>
        <v>#N/A</v>
      </c>
      <c r="AK198" s="20" t="e">
        <f t="shared" si="112"/>
        <v>#N/A</v>
      </c>
      <c r="AL198" s="20" t="e">
        <f t="shared" si="113"/>
        <v>#N/A</v>
      </c>
    </row>
    <row r="199" spans="9:38" ht="14.4" x14ac:dyDescent="0.3">
      <c r="I199" s="3" t="str">
        <f t="shared" si="95"/>
        <v>---</v>
      </c>
      <c r="J199" s="8" t="str">
        <f t="shared" si="96"/>
        <v>----,-</v>
      </c>
      <c r="K199" s="3" t="e">
        <f>VLOOKUP(I199, '[1]Depth vlookup'!$G$2:$I$997,2,FALSE())+(G199/100)</f>
        <v>#N/A</v>
      </c>
      <c r="L199" s="18" t="e">
        <f t="shared" si="97"/>
        <v>#N/A</v>
      </c>
      <c r="N199" s="4" t="e">
        <f>VLOOKUP(M199,  [1]Beakers!$A$2:$B$151, 2, 0)</f>
        <v>#N/A</v>
      </c>
      <c r="V199" s="20" t="e">
        <f t="shared" si="98"/>
        <v>#N/A</v>
      </c>
      <c r="W199" s="20" t="e">
        <f t="shared" si="99"/>
        <v>#N/A</v>
      </c>
      <c r="X199" s="20" t="e">
        <f t="shared" si="100"/>
        <v>#N/A</v>
      </c>
      <c r="Y199" s="20" t="e">
        <f t="shared" si="101"/>
        <v>#N/A</v>
      </c>
      <c r="Z199" s="20" t="e">
        <f t="shared" si="102"/>
        <v>#N/A</v>
      </c>
      <c r="AA199" s="20" t="e">
        <f t="shared" si="103"/>
        <v>#N/A</v>
      </c>
      <c r="AB199" s="20" t="e">
        <f t="shared" si="104"/>
        <v>#N/A</v>
      </c>
      <c r="AC199" s="20" t="e">
        <f>T199-VLOOKUP(M199, [1]Beakers!$A$2:$C$151, 3, 0)</f>
        <v>#N/A</v>
      </c>
      <c r="AD199" s="20" t="e">
        <f t="shared" si="105"/>
        <v>#N/A</v>
      </c>
      <c r="AE199" s="20" t="e">
        <f t="shared" si="106"/>
        <v>#N/A</v>
      </c>
      <c r="AF199" s="20" t="e">
        <f t="shared" si="107"/>
        <v>#N/A</v>
      </c>
      <c r="AG199" s="20" t="e">
        <f t="shared" si="108"/>
        <v>#N/A</v>
      </c>
      <c r="AH199" s="20" t="e">
        <f t="shared" si="109"/>
        <v>#N/A</v>
      </c>
      <c r="AI199" s="20" t="e">
        <f t="shared" si="110"/>
        <v>#N/A</v>
      </c>
      <c r="AJ199" s="20" t="e">
        <f t="shared" si="111"/>
        <v>#N/A</v>
      </c>
      <c r="AK199" s="20" t="e">
        <f t="shared" si="112"/>
        <v>#N/A</v>
      </c>
      <c r="AL199" s="20" t="e">
        <f t="shared" si="113"/>
        <v>#N/A</v>
      </c>
    </row>
    <row r="200" spans="9:38" ht="14.4" x14ac:dyDescent="0.3">
      <c r="I200" s="3" t="str">
        <f t="shared" si="95"/>
        <v>---</v>
      </c>
      <c r="J200" s="8" t="str">
        <f t="shared" si="96"/>
        <v>----,-</v>
      </c>
      <c r="K200" s="3" t="e">
        <f>VLOOKUP(I200, '[1]Depth vlookup'!$G$2:$I$997,2,FALSE())+(G200/100)</f>
        <v>#N/A</v>
      </c>
      <c r="L200" s="18" t="e">
        <f t="shared" si="97"/>
        <v>#N/A</v>
      </c>
      <c r="N200" s="4" t="e">
        <f>VLOOKUP(M200,  [1]Beakers!$A$2:$B$151, 2, 0)</f>
        <v>#N/A</v>
      </c>
      <c r="V200" s="20" t="e">
        <f t="shared" si="98"/>
        <v>#N/A</v>
      </c>
      <c r="W200" s="20" t="e">
        <f t="shared" si="99"/>
        <v>#N/A</v>
      </c>
      <c r="X200" s="20" t="e">
        <f t="shared" si="100"/>
        <v>#N/A</v>
      </c>
      <c r="Y200" s="20" t="e">
        <f t="shared" si="101"/>
        <v>#N/A</v>
      </c>
      <c r="Z200" s="20" t="e">
        <f t="shared" si="102"/>
        <v>#N/A</v>
      </c>
      <c r="AA200" s="20" t="e">
        <f t="shared" si="103"/>
        <v>#N/A</v>
      </c>
      <c r="AB200" s="20" t="e">
        <f t="shared" si="104"/>
        <v>#N/A</v>
      </c>
      <c r="AC200" s="20" t="e">
        <f>T200-VLOOKUP(M200, [1]Beakers!$A$2:$C$151, 3, 0)</f>
        <v>#N/A</v>
      </c>
      <c r="AD200" s="20" t="e">
        <f t="shared" si="105"/>
        <v>#N/A</v>
      </c>
      <c r="AE200" s="20" t="e">
        <f t="shared" si="106"/>
        <v>#N/A</v>
      </c>
      <c r="AF200" s="20" t="e">
        <f t="shared" si="107"/>
        <v>#N/A</v>
      </c>
      <c r="AG200" s="20" t="e">
        <f t="shared" si="108"/>
        <v>#N/A</v>
      </c>
      <c r="AH200" s="20" t="e">
        <f t="shared" si="109"/>
        <v>#N/A</v>
      </c>
      <c r="AI200" s="20" t="e">
        <f t="shared" si="110"/>
        <v>#N/A</v>
      </c>
      <c r="AJ200" s="20" t="e">
        <f t="shared" si="111"/>
        <v>#N/A</v>
      </c>
      <c r="AK200" s="20" t="e">
        <f t="shared" si="112"/>
        <v>#N/A</v>
      </c>
      <c r="AL200" s="20" t="e">
        <f t="shared" si="113"/>
        <v>#N/A</v>
      </c>
    </row>
    <row r="201" spans="9:38" ht="14.4" x14ac:dyDescent="0.3">
      <c r="I201" s="3" t="str">
        <f t="shared" si="95"/>
        <v>---</v>
      </c>
      <c r="J201" s="8" t="str">
        <f t="shared" si="96"/>
        <v>----,-</v>
      </c>
      <c r="K201" s="3" t="e">
        <f>VLOOKUP(I201, '[1]Depth vlookup'!$G$2:$I$997,2,FALSE())+(G201/100)</f>
        <v>#N/A</v>
      </c>
      <c r="L201" s="18" t="e">
        <f t="shared" si="97"/>
        <v>#N/A</v>
      </c>
      <c r="N201" s="4" t="e">
        <f>VLOOKUP(M201,  [1]Beakers!$A$2:$B$151, 2, 0)</f>
        <v>#N/A</v>
      </c>
      <c r="V201" s="20" t="e">
        <f t="shared" si="98"/>
        <v>#N/A</v>
      </c>
      <c r="W201" s="20" t="e">
        <f t="shared" si="99"/>
        <v>#N/A</v>
      </c>
      <c r="X201" s="20" t="e">
        <f t="shared" si="100"/>
        <v>#N/A</v>
      </c>
      <c r="Y201" s="20" t="e">
        <f t="shared" si="101"/>
        <v>#N/A</v>
      </c>
      <c r="Z201" s="20" t="e">
        <f t="shared" si="102"/>
        <v>#N/A</v>
      </c>
      <c r="AA201" s="20" t="e">
        <f t="shared" si="103"/>
        <v>#N/A</v>
      </c>
      <c r="AB201" s="20" t="e">
        <f t="shared" si="104"/>
        <v>#N/A</v>
      </c>
      <c r="AC201" s="20" t="e">
        <f>T201-VLOOKUP(M201, [1]Beakers!$A$2:$C$151, 3, 0)</f>
        <v>#N/A</v>
      </c>
      <c r="AD201" s="20" t="e">
        <f t="shared" si="105"/>
        <v>#N/A</v>
      </c>
      <c r="AE201" s="20" t="e">
        <f t="shared" si="106"/>
        <v>#N/A</v>
      </c>
      <c r="AF201" s="20" t="e">
        <f t="shared" si="107"/>
        <v>#N/A</v>
      </c>
      <c r="AG201" s="20" t="e">
        <f t="shared" si="108"/>
        <v>#N/A</v>
      </c>
      <c r="AH201" s="20" t="e">
        <f t="shared" si="109"/>
        <v>#N/A</v>
      </c>
      <c r="AI201" s="20" t="e">
        <f t="shared" si="110"/>
        <v>#N/A</v>
      </c>
      <c r="AJ201" s="20" t="e">
        <f t="shared" si="111"/>
        <v>#N/A</v>
      </c>
      <c r="AK201" s="20" t="e">
        <f t="shared" si="112"/>
        <v>#N/A</v>
      </c>
      <c r="AL201" s="20" t="e">
        <f t="shared" si="113"/>
        <v>#N/A</v>
      </c>
    </row>
    <row r="202" spans="9:38" ht="14.4" x14ac:dyDescent="0.3">
      <c r="I202" s="3" t="str">
        <f t="shared" si="95"/>
        <v>---</v>
      </c>
      <c r="J202" s="8" t="str">
        <f t="shared" si="96"/>
        <v>----,-</v>
      </c>
      <c r="K202" s="3" t="e">
        <f>VLOOKUP(I202, '[1]Depth vlookup'!$G$2:$I$997,2,FALSE())+(G202/100)</f>
        <v>#N/A</v>
      </c>
      <c r="L202" s="18" t="e">
        <f t="shared" si="97"/>
        <v>#N/A</v>
      </c>
      <c r="N202" s="4" t="e">
        <f>VLOOKUP(M202,  [1]Beakers!$A$2:$B$151, 2, 0)</f>
        <v>#N/A</v>
      </c>
      <c r="V202" s="20" t="e">
        <f t="shared" si="98"/>
        <v>#N/A</v>
      </c>
      <c r="W202" s="20" t="e">
        <f t="shared" si="99"/>
        <v>#N/A</v>
      </c>
      <c r="X202" s="20" t="e">
        <f t="shared" si="100"/>
        <v>#N/A</v>
      </c>
      <c r="Y202" s="20" t="e">
        <f t="shared" si="101"/>
        <v>#N/A</v>
      </c>
      <c r="Z202" s="20" t="e">
        <f t="shared" si="102"/>
        <v>#N/A</v>
      </c>
      <c r="AA202" s="20" t="e">
        <f t="shared" si="103"/>
        <v>#N/A</v>
      </c>
      <c r="AB202" s="20" t="e">
        <f t="shared" si="104"/>
        <v>#N/A</v>
      </c>
      <c r="AC202" s="20" t="e">
        <f>T202-VLOOKUP(M202, [1]Beakers!$A$2:$C$151, 3, 0)</f>
        <v>#N/A</v>
      </c>
      <c r="AD202" s="20" t="e">
        <f t="shared" si="105"/>
        <v>#N/A</v>
      </c>
      <c r="AE202" s="20" t="e">
        <f t="shared" si="106"/>
        <v>#N/A</v>
      </c>
      <c r="AF202" s="20" t="e">
        <f t="shared" si="107"/>
        <v>#N/A</v>
      </c>
      <c r="AG202" s="20" t="e">
        <f t="shared" si="108"/>
        <v>#N/A</v>
      </c>
      <c r="AH202" s="20" t="e">
        <f t="shared" si="109"/>
        <v>#N/A</v>
      </c>
      <c r="AI202" s="20" t="e">
        <f t="shared" si="110"/>
        <v>#N/A</v>
      </c>
      <c r="AJ202" s="20" t="e">
        <f t="shared" si="111"/>
        <v>#N/A</v>
      </c>
      <c r="AK202" s="20" t="e">
        <f t="shared" si="112"/>
        <v>#N/A</v>
      </c>
      <c r="AL202" s="20" t="e">
        <f t="shared" si="113"/>
        <v>#N/A</v>
      </c>
    </row>
    <row r="203" spans="9:38" ht="14.4" x14ac:dyDescent="0.3">
      <c r="I203" s="3" t="str">
        <f t="shared" si="95"/>
        <v>---</v>
      </c>
      <c r="J203" s="8" t="str">
        <f t="shared" si="96"/>
        <v>----,-</v>
      </c>
      <c r="K203" s="3" t="e">
        <f>VLOOKUP(I203, '[1]Depth vlookup'!$G$2:$I$997,2,FALSE())+(G203/100)</f>
        <v>#N/A</v>
      </c>
      <c r="L203" s="18" t="e">
        <f t="shared" si="97"/>
        <v>#N/A</v>
      </c>
      <c r="N203" s="4" t="e">
        <f>VLOOKUP(M203,  [1]Beakers!$A$2:$B$151, 2, 0)</f>
        <v>#N/A</v>
      </c>
      <c r="V203" s="20" t="e">
        <f t="shared" si="98"/>
        <v>#N/A</v>
      </c>
      <c r="W203" s="20" t="e">
        <f t="shared" si="99"/>
        <v>#N/A</v>
      </c>
      <c r="X203" s="20" t="e">
        <f t="shared" si="100"/>
        <v>#N/A</v>
      </c>
      <c r="Y203" s="20" t="e">
        <f t="shared" si="101"/>
        <v>#N/A</v>
      </c>
      <c r="Z203" s="20" t="e">
        <f t="shared" si="102"/>
        <v>#N/A</v>
      </c>
      <c r="AA203" s="20" t="e">
        <f t="shared" si="103"/>
        <v>#N/A</v>
      </c>
      <c r="AB203" s="20" t="e">
        <f t="shared" si="104"/>
        <v>#N/A</v>
      </c>
      <c r="AC203" s="20" t="e">
        <f>T203-VLOOKUP(M203, [1]Beakers!$A$2:$C$151, 3, 0)</f>
        <v>#N/A</v>
      </c>
      <c r="AD203" s="20" t="e">
        <f t="shared" si="105"/>
        <v>#N/A</v>
      </c>
      <c r="AE203" s="20" t="e">
        <f t="shared" si="106"/>
        <v>#N/A</v>
      </c>
      <c r="AF203" s="20" t="e">
        <f t="shared" si="107"/>
        <v>#N/A</v>
      </c>
      <c r="AG203" s="20" t="e">
        <f t="shared" si="108"/>
        <v>#N/A</v>
      </c>
      <c r="AH203" s="20" t="e">
        <f t="shared" si="109"/>
        <v>#N/A</v>
      </c>
      <c r="AI203" s="20" t="e">
        <f t="shared" si="110"/>
        <v>#N/A</v>
      </c>
      <c r="AJ203" s="20" t="e">
        <f t="shared" si="111"/>
        <v>#N/A</v>
      </c>
      <c r="AK203" s="20" t="e">
        <f t="shared" si="112"/>
        <v>#N/A</v>
      </c>
      <c r="AL203" s="20" t="e">
        <f t="shared" si="113"/>
        <v>#N/A</v>
      </c>
    </row>
    <row r="204" spans="9:38" ht="14.4" x14ac:dyDescent="0.3">
      <c r="I204" s="3" t="str">
        <f t="shared" si="95"/>
        <v>---</v>
      </c>
      <c r="J204" s="8" t="str">
        <f t="shared" si="96"/>
        <v>----,-</v>
      </c>
      <c r="K204" s="3" t="e">
        <f>VLOOKUP(I204, '[1]Depth vlookup'!$G$2:$I$997,2,FALSE())+(G204/100)</f>
        <v>#N/A</v>
      </c>
      <c r="L204" s="18" t="e">
        <f t="shared" si="97"/>
        <v>#N/A</v>
      </c>
      <c r="N204" s="4" t="e">
        <f>VLOOKUP(M204,  [1]Beakers!$A$2:$B$151, 2, 0)</f>
        <v>#N/A</v>
      </c>
      <c r="V204" s="20" t="e">
        <f t="shared" si="98"/>
        <v>#N/A</v>
      </c>
      <c r="W204" s="20" t="e">
        <f t="shared" si="99"/>
        <v>#N/A</v>
      </c>
      <c r="X204" s="20" t="e">
        <f t="shared" si="100"/>
        <v>#N/A</v>
      </c>
      <c r="Y204" s="20" t="e">
        <f t="shared" si="101"/>
        <v>#N/A</v>
      </c>
      <c r="Z204" s="20" t="e">
        <f t="shared" si="102"/>
        <v>#N/A</v>
      </c>
      <c r="AA204" s="20" t="e">
        <f t="shared" si="103"/>
        <v>#N/A</v>
      </c>
      <c r="AB204" s="20" t="e">
        <f t="shared" si="104"/>
        <v>#N/A</v>
      </c>
      <c r="AC204" s="20" t="e">
        <f>T204-VLOOKUP(M204, [1]Beakers!$A$2:$C$151, 3, 0)</f>
        <v>#N/A</v>
      </c>
      <c r="AD204" s="20" t="e">
        <f t="shared" si="105"/>
        <v>#N/A</v>
      </c>
      <c r="AE204" s="20" t="e">
        <f t="shared" si="106"/>
        <v>#N/A</v>
      </c>
      <c r="AF204" s="20" t="e">
        <f t="shared" si="107"/>
        <v>#N/A</v>
      </c>
      <c r="AG204" s="20" t="e">
        <f t="shared" si="108"/>
        <v>#N/A</v>
      </c>
      <c r="AH204" s="20" t="e">
        <f t="shared" si="109"/>
        <v>#N/A</v>
      </c>
      <c r="AI204" s="20" t="e">
        <f t="shared" si="110"/>
        <v>#N/A</v>
      </c>
      <c r="AJ204" s="20" t="e">
        <f t="shared" si="111"/>
        <v>#N/A</v>
      </c>
      <c r="AK204" s="20" t="e">
        <f t="shared" si="112"/>
        <v>#N/A</v>
      </c>
      <c r="AL204" s="20" t="e">
        <f t="shared" si="113"/>
        <v>#N/A</v>
      </c>
    </row>
    <row r="205" spans="9:38" ht="14.4" x14ac:dyDescent="0.3">
      <c r="I205" s="3" t="str">
        <f t="shared" si="95"/>
        <v>---</v>
      </c>
      <c r="J205" s="8" t="str">
        <f t="shared" si="96"/>
        <v>----,-</v>
      </c>
      <c r="K205" s="3" t="e">
        <f>VLOOKUP(I205, '[1]Depth vlookup'!$G$2:$I$997,2,FALSE())+(G205/100)</f>
        <v>#N/A</v>
      </c>
      <c r="L205" s="18" t="e">
        <f t="shared" si="97"/>
        <v>#N/A</v>
      </c>
      <c r="N205" s="4" t="e">
        <f>VLOOKUP(M205,  [1]Beakers!$A$2:$B$151, 2, 0)</f>
        <v>#N/A</v>
      </c>
      <c r="V205" s="20" t="e">
        <f t="shared" si="98"/>
        <v>#N/A</v>
      </c>
      <c r="W205" s="20" t="e">
        <f t="shared" si="99"/>
        <v>#N/A</v>
      </c>
      <c r="X205" s="20" t="e">
        <f t="shared" si="100"/>
        <v>#N/A</v>
      </c>
      <c r="Y205" s="20" t="e">
        <f t="shared" si="101"/>
        <v>#N/A</v>
      </c>
      <c r="Z205" s="20" t="e">
        <f t="shared" si="102"/>
        <v>#N/A</v>
      </c>
      <c r="AA205" s="20" t="e">
        <f t="shared" si="103"/>
        <v>#N/A</v>
      </c>
      <c r="AB205" s="20" t="e">
        <f t="shared" si="104"/>
        <v>#N/A</v>
      </c>
      <c r="AC205" s="20" t="e">
        <f>T205-VLOOKUP(M205, [1]Beakers!$A$2:$C$151, 3, 0)</f>
        <v>#N/A</v>
      </c>
      <c r="AD205" s="20" t="e">
        <f t="shared" si="105"/>
        <v>#N/A</v>
      </c>
      <c r="AE205" s="20" t="e">
        <f t="shared" si="106"/>
        <v>#N/A</v>
      </c>
      <c r="AF205" s="20" t="e">
        <f t="shared" si="107"/>
        <v>#N/A</v>
      </c>
      <c r="AG205" s="20" t="e">
        <f t="shared" si="108"/>
        <v>#N/A</v>
      </c>
      <c r="AH205" s="20" t="e">
        <f t="shared" si="109"/>
        <v>#N/A</v>
      </c>
      <c r="AI205" s="20" t="e">
        <f t="shared" si="110"/>
        <v>#N/A</v>
      </c>
      <c r="AJ205" s="20" t="e">
        <f t="shared" si="111"/>
        <v>#N/A</v>
      </c>
      <c r="AK205" s="20" t="e">
        <f t="shared" si="112"/>
        <v>#N/A</v>
      </c>
      <c r="AL205" s="20" t="e">
        <f t="shared" si="113"/>
        <v>#N/A</v>
      </c>
    </row>
    <row r="206" spans="9:38" ht="14.4" x14ac:dyDescent="0.3">
      <c r="I206" s="3" t="str">
        <f t="shared" si="95"/>
        <v>---</v>
      </c>
      <c r="J206" s="8" t="str">
        <f t="shared" si="96"/>
        <v>----,-</v>
      </c>
      <c r="K206" s="3" t="e">
        <f>VLOOKUP(I206, '[1]Depth vlookup'!$G$2:$I$997,2,FALSE())+(G206/100)</f>
        <v>#N/A</v>
      </c>
      <c r="L206" s="18" t="e">
        <f t="shared" si="97"/>
        <v>#N/A</v>
      </c>
      <c r="N206" s="4" t="e">
        <f>VLOOKUP(M206,  [1]Beakers!$A$2:$B$151, 2, 0)</f>
        <v>#N/A</v>
      </c>
      <c r="V206" s="20" t="e">
        <f t="shared" si="98"/>
        <v>#N/A</v>
      </c>
      <c r="W206" s="20" t="e">
        <f t="shared" si="99"/>
        <v>#N/A</v>
      </c>
      <c r="X206" s="20" t="e">
        <f t="shared" si="100"/>
        <v>#N/A</v>
      </c>
      <c r="Y206" s="20" t="e">
        <f t="shared" si="101"/>
        <v>#N/A</v>
      </c>
      <c r="Z206" s="20" t="e">
        <f t="shared" si="102"/>
        <v>#N/A</v>
      </c>
      <c r="AA206" s="20" t="e">
        <f t="shared" si="103"/>
        <v>#N/A</v>
      </c>
      <c r="AB206" s="20" t="e">
        <f t="shared" si="104"/>
        <v>#N/A</v>
      </c>
      <c r="AC206" s="20" t="e">
        <f>T206-VLOOKUP(M206, [1]Beakers!$A$2:$C$151, 3, 0)</f>
        <v>#N/A</v>
      </c>
      <c r="AD206" s="20" t="e">
        <f t="shared" si="105"/>
        <v>#N/A</v>
      </c>
      <c r="AE206" s="20" t="e">
        <f t="shared" si="106"/>
        <v>#N/A</v>
      </c>
      <c r="AF206" s="20" t="e">
        <f t="shared" si="107"/>
        <v>#N/A</v>
      </c>
      <c r="AG206" s="20" t="e">
        <f t="shared" si="108"/>
        <v>#N/A</v>
      </c>
      <c r="AH206" s="20" t="e">
        <f t="shared" si="109"/>
        <v>#N/A</v>
      </c>
      <c r="AI206" s="20" t="e">
        <f t="shared" si="110"/>
        <v>#N/A</v>
      </c>
      <c r="AJ206" s="20" t="e">
        <f t="shared" si="111"/>
        <v>#N/A</v>
      </c>
      <c r="AK206" s="20" t="e">
        <f t="shared" si="112"/>
        <v>#N/A</v>
      </c>
      <c r="AL206" s="20" t="e">
        <f t="shared" si="113"/>
        <v>#N/A</v>
      </c>
    </row>
    <row r="207" spans="9:38" ht="14.4" x14ac:dyDescent="0.3">
      <c r="I207" s="3" t="str">
        <f t="shared" si="95"/>
        <v>---</v>
      </c>
      <c r="J207" s="8" t="str">
        <f t="shared" si="96"/>
        <v>----,-</v>
      </c>
      <c r="K207" s="3" t="e">
        <f>VLOOKUP(I207, '[1]Depth vlookup'!$G$2:$I$997,2,FALSE())+(G207/100)</f>
        <v>#N/A</v>
      </c>
      <c r="L207" s="18" t="e">
        <f t="shared" si="97"/>
        <v>#N/A</v>
      </c>
      <c r="N207" s="4" t="e">
        <f>VLOOKUP(M207,  [1]Beakers!$A$2:$B$151, 2, 0)</f>
        <v>#N/A</v>
      </c>
      <c r="V207" s="20" t="e">
        <f t="shared" si="98"/>
        <v>#N/A</v>
      </c>
      <c r="W207" s="20" t="e">
        <f t="shared" si="99"/>
        <v>#N/A</v>
      </c>
      <c r="X207" s="20" t="e">
        <f t="shared" si="100"/>
        <v>#N/A</v>
      </c>
      <c r="Y207" s="20" t="e">
        <f t="shared" si="101"/>
        <v>#N/A</v>
      </c>
      <c r="Z207" s="20" t="e">
        <f t="shared" si="102"/>
        <v>#N/A</v>
      </c>
      <c r="AA207" s="20" t="e">
        <f t="shared" si="103"/>
        <v>#N/A</v>
      </c>
      <c r="AB207" s="20" t="e">
        <f t="shared" si="104"/>
        <v>#N/A</v>
      </c>
      <c r="AC207" s="20" t="e">
        <f>T207-VLOOKUP(M207, [1]Beakers!$A$2:$C$151, 3, 0)</f>
        <v>#N/A</v>
      </c>
      <c r="AD207" s="20" t="e">
        <f t="shared" si="105"/>
        <v>#N/A</v>
      </c>
      <c r="AE207" s="20" t="e">
        <f t="shared" si="106"/>
        <v>#N/A</v>
      </c>
      <c r="AF207" s="20" t="e">
        <f t="shared" si="107"/>
        <v>#N/A</v>
      </c>
      <c r="AG207" s="20" t="e">
        <f t="shared" si="108"/>
        <v>#N/A</v>
      </c>
      <c r="AH207" s="20" t="e">
        <f t="shared" si="109"/>
        <v>#N/A</v>
      </c>
      <c r="AI207" s="20" t="e">
        <f t="shared" si="110"/>
        <v>#N/A</v>
      </c>
      <c r="AJ207" s="20" t="e">
        <f t="shared" si="111"/>
        <v>#N/A</v>
      </c>
      <c r="AK207" s="20" t="e">
        <f t="shared" si="112"/>
        <v>#N/A</v>
      </c>
      <c r="AL207" s="20" t="e">
        <f t="shared" si="113"/>
        <v>#N/A</v>
      </c>
    </row>
    <row r="208" spans="9:38" ht="14.4" x14ac:dyDescent="0.3">
      <c r="I208" s="3" t="str">
        <f t="shared" si="95"/>
        <v>---</v>
      </c>
      <c r="J208" s="8" t="str">
        <f t="shared" si="96"/>
        <v>----,-</v>
      </c>
      <c r="K208" s="3" t="e">
        <f>VLOOKUP(I208, '[1]Depth vlookup'!$G$2:$I$997,2,FALSE())+(G208/100)</f>
        <v>#N/A</v>
      </c>
      <c r="L208" s="18" t="e">
        <f t="shared" si="97"/>
        <v>#N/A</v>
      </c>
      <c r="N208" s="4" t="e">
        <f>VLOOKUP(M208,  [1]Beakers!$A$2:$B$151, 2, 0)</f>
        <v>#N/A</v>
      </c>
      <c r="V208" s="20" t="e">
        <f t="shared" si="98"/>
        <v>#N/A</v>
      </c>
      <c r="W208" s="20" t="e">
        <f t="shared" si="99"/>
        <v>#N/A</v>
      </c>
      <c r="X208" s="20" t="e">
        <f t="shared" si="100"/>
        <v>#N/A</v>
      </c>
      <c r="Y208" s="20" t="e">
        <f t="shared" si="101"/>
        <v>#N/A</v>
      </c>
      <c r="Z208" s="20" t="e">
        <f t="shared" si="102"/>
        <v>#N/A</v>
      </c>
      <c r="AA208" s="20" t="e">
        <f t="shared" si="103"/>
        <v>#N/A</v>
      </c>
      <c r="AB208" s="20" t="e">
        <f t="shared" si="104"/>
        <v>#N/A</v>
      </c>
      <c r="AC208" s="20" t="e">
        <f>T208-VLOOKUP(M208, [1]Beakers!$A$2:$C$151, 3, 0)</f>
        <v>#N/A</v>
      </c>
      <c r="AD208" s="20" t="e">
        <f t="shared" si="105"/>
        <v>#N/A</v>
      </c>
      <c r="AE208" s="20" t="e">
        <f t="shared" si="106"/>
        <v>#N/A</v>
      </c>
      <c r="AF208" s="20" t="e">
        <f t="shared" si="107"/>
        <v>#N/A</v>
      </c>
      <c r="AG208" s="20" t="e">
        <f t="shared" si="108"/>
        <v>#N/A</v>
      </c>
      <c r="AH208" s="20" t="e">
        <f t="shared" si="109"/>
        <v>#N/A</v>
      </c>
      <c r="AI208" s="20" t="e">
        <f t="shared" si="110"/>
        <v>#N/A</v>
      </c>
      <c r="AJ208" s="20" t="e">
        <f t="shared" si="111"/>
        <v>#N/A</v>
      </c>
      <c r="AK208" s="20" t="e">
        <f t="shared" si="112"/>
        <v>#N/A</v>
      </c>
      <c r="AL208" s="20" t="e">
        <f t="shared" si="113"/>
        <v>#N/A</v>
      </c>
    </row>
    <row r="209" spans="9:38" ht="14.4" x14ac:dyDescent="0.3">
      <c r="I209" s="3" t="str">
        <f t="shared" si="95"/>
        <v>---</v>
      </c>
      <c r="J209" s="8" t="str">
        <f t="shared" si="96"/>
        <v>----,-</v>
      </c>
      <c r="K209" s="3" t="e">
        <f>VLOOKUP(I209, '[1]Depth vlookup'!$G$2:$I$997,2,FALSE())+(G209/100)</f>
        <v>#N/A</v>
      </c>
      <c r="L209" s="18" t="e">
        <f t="shared" si="97"/>
        <v>#N/A</v>
      </c>
      <c r="N209" s="4" t="e">
        <f>VLOOKUP(M209,  [1]Beakers!$A$2:$B$151, 2, 0)</f>
        <v>#N/A</v>
      </c>
      <c r="V209" s="20" t="e">
        <f t="shared" si="98"/>
        <v>#N/A</v>
      </c>
      <c r="W209" s="20" t="e">
        <f t="shared" si="99"/>
        <v>#N/A</v>
      </c>
      <c r="X209" s="20" t="e">
        <f t="shared" si="100"/>
        <v>#N/A</v>
      </c>
      <c r="Y209" s="20" t="e">
        <f t="shared" si="101"/>
        <v>#N/A</v>
      </c>
      <c r="Z209" s="20" t="e">
        <f t="shared" si="102"/>
        <v>#N/A</v>
      </c>
      <c r="AA209" s="20" t="e">
        <f t="shared" si="103"/>
        <v>#N/A</v>
      </c>
      <c r="AB209" s="20" t="e">
        <f t="shared" si="104"/>
        <v>#N/A</v>
      </c>
      <c r="AC209" s="20" t="e">
        <f>T209-VLOOKUP(M209, [1]Beakers!$A$2:$C$151, 3, 0)</f>
        <v>#N/A</v>
      </c>
      <c r="AD209" s="20" t="e">
        <f t="shared" si="105"/>
        <v>#N/A</v>
      </c>
      <c r="AE209" s="20" t="e">
        <f t="shared" si="106"/>
        <v>#N/A</v>
      </c>
      <c r="AF209" s="20" t="e">
        <f t="shared" si="107"/>
        <v>#N/A</v>
      </c>
      <c r="AG209" s="20" t="e">
        <f t="shared" si="108"/>
        <v>#N/A</v>
      </c>
      <c r="AH209" s="20" t="e">
        <f t="shared" si="109"/>
        <v>#N/A</v>
      </c>
      <c r="AI209" s="20" t="e">
        <f t="shared" si="110"/>
        <v>#N/A</v>
      </c>
      <c r="AJ209" s="20" t="e">
        <f t="shared" si="111"/>
        <v>#N/A</v>
      </c>
      <c r="AK209" s="20" t="e">
        <f t="shared" si="112"/>
        <v>#N/A</v>
      </c>
      <c r="AL209" s="20" t="e">
        <f t="shared" si="113"/>
        <v>#N/A</v>
      </c>
    </row>
    <row r="210" spans="9:38" ht="14.4" x14ac:dyDescent="0.3">
      <c r="I210" s="3" t="str">
        <f t="shared" si="95"/>
        <v>---</v>
      </c>
      <c r="J210" s="8" t="str">
        <f t="shared" si="96"/>
        <v>----,-</v>
      </c>
      <c r="K210" s="3" t="e">
        <f>VLOOKUP(I210, '[1]Depth vlookup'!$G$2:$I$997,2,FALSE())+(G210/100)</f>
        <v>#N/A</v>
      </c>
      <c r="L210" s="18" t="e">
        <f t="shared" si="97"/>
        <v>#N/A</v>
      </c>
      <c r="N210" s="4" t="e">
        <f>VLOOKUP(M210,  [1]Beakers!$A$2:$B$151, 2, 0)</f>
        <v>#N/A</v>
      </c>
      <c r="V210" s="20" t="e">
        <f t="shared" si="98"/>
        <v>#N/A</v>
      </c>
      <c r="W210" s="20" t="e">
        <f t="shared" si="99"/>
        <v>#N/A</v>
      </c>
      <c r="X210" s="20" t="e">
        <f t="shared" si="100"/>
        <v>#N/A</v>
      </c>
      <c r="Y210" s="20" t="e">
        <f t="shared" si="101"/>
        <v>#N/A</v>
      </c>
      <c r="Z210" s="20" t="e">
        <f t="shared" si="102"/>
        <v>#N/A</v>
      </c>
      <c r="AA210" s="20" t="e">
        <f t="shared" si="103"/>
        <v>#N/A</v>
      </c>
      <c r="AB210" s="20" t="e">
        <f t="shared" si="104"/>
        <v>#N/A</v>
      </c>
      <c r="AC210" s="20" t="e">
        <f>T210-VLOOKUP(M210, [1]Beakers!$A$2:$C$151, 3, 0)</f>
        <v>#N/A</v>
      </c>
      <c r="AD210" s="20" t="e">
        <f t="shared" si="105"/>
        <v>#N/A</v>
      </c>
      <c r="AE210" s="20" t="e">
        <f t="shared" si="106"/>
        <v>#N/A</v>
      </c>
      <c r="AF210" s="20" t="e">
        <f t="shared" si="107"/>
        <v>#N/A</v>
      </c>
      <c r="AG210" s="20" t="e">
        <f t="shared" si="108"/>
        <v>#N/A</v>
      </c>
      <c r="AH210" s="20" t="e">
        <f t="shared" si="109"/>
        <v>#N/A</v>
      </c>
      <c r="AI210" s="20" t="e">
        <f t="shared" si="110"/>
        <v>#N/A</v>
      </c>
      <c r="AJ210" s="20" t="e">
        <f t="shared" si="111"/>
        <v>#N/A</v>
      </c>
      <c r="AK210" s="20" t="e">
        <f t="shared" si="112"/>
        <v>#N/A</v>
      </c>
      <c r="AL210" s="20" t="e">
        <f t="shared" si="113"/>
        <v>#N/A</v>
      </c>
    </row>
    <row r="211" spans="9:38" ht="14.4" x14ac:dyDescent="0.3">
      <c r="I211" s="3" t="str">
        <f t="shared" si="95"/>
        <v>---</v>
      </c>
      <c r="J211" s="8" t="str">
        <f t="shared" si="96"/>
        <v>----,-</v>
      </c>
      <c r="K211" s="3" t="e">
        <f>VLOOKUP(I211, '[1]Depth vlookup'!$G$2:$I$997,2,FALSE())+(G211/100)</f>
        <v>#N/A</v>
      </c>
      <c r="L211" s="18" t="e">
        <f t="shared" si="97"/>
        <v>#N/A</v>
      </c>
      <c r="N211" s="4" t="e">
        <f>VLOOKUP(M211,  [1]Beakers!$A$2:$B$151, 2, 0)</f>
        <v>#N/A</v>
      </c>
      <c r="V211" s="20" t="e">
        <f t="shared" si="98"/>
        <v>#N/A</v>
      </c>
      <c r="W211" s="20" t="e">
        <f t="shared" si="99"/>
        <v>#N/A</v>
      </c>
      <c r="X211" s="20" t="e">
        <f t="shared" si="100"/>
        <v>#N/A</v>
      </c>
      <c r="Y211" s="20" t="e">
        <f t="shared" si="101"/>
        <v>#N/A</v>
      </c>
      <c r="Z211" s="20" t="e">
        <f t="shared" si="102"/>
        <v>#N/A</v>
      </c>
      <c r="AA211" s="20" t="e">
        <f t="shared" si="103"/>
        <v>#N/A</v>
      </c>
      <c r="AB211" s="20" t="e">
        <f t="shared" si="104"/>
        <v>#N/A</v>
      </c>
      <c r="AC211" s="20" t="e">
        <f>T211-VLOOKUP(M211, [1]Beakers!$A$2:$C$151, 3, 0)</f>
        <v>#N/A</v>
      </c>
      <c r="AD211" s="20" t="e">
        <f t="shared" si="105"/>
        <v>#N/A</v>
      </c>
      <c r="AE211" s="20" t="e">
        <f t="shared" si="106"/>
        <v>#N/A</v>
      </c>
      <c r="AF211" s="20" t="e">
        <f t="shared" si="107"/>
        <v>#N/A</v>
      </c>
      <c r="AG211" s="20" t="e">
        <f t="shared" si="108"/>
        <v>#N/A</v>
      </c>
      <c r="AH211" s="20" t="e">
        <f t="shared" si="109"/>
        <v>#N/A</v>
      </c>
      <c r="AI211" s="20" t="e">
        <f t="shared" si="110"/>
        <v>#N/A</v>
      </c>
      <c r="AJ211" s="20" t="e">
        <f t="shared" si="111"/>
        <v>#N/A</v>
      </c>
      <c r="AK211" s="20" t="e">
        <f t="shared" si="112"/>
        <v>#N/A</v>
      </c>
      <c r="AL211" s="20" t="e">
        <f t="shared" si="113"/>
        <v>#N/A</v>
      </c>
    </row>
    <row r="212" spans="9:38" ht="14.4" x14ac:dyDescent="0.3">
      <c r="I212" s="3" t="str">
        <f t="shared" si="95"/>
        <v>---</v>
      </c>
      <c r="J212" s="8" t="str">
        <f t="shared" si="96"/>
        <v>----,-</v>
      </c>
      <c r="K212" s="3" t="e">
        <f>VLOOKUP(I212, '[1]Depth vlookup'!$G$2:$I$997,2,FALSE())+(G212/100)</f>
        <v>#N/A</v>
      </c>
      <c r="L212" s="18" t="e">
        <f t="shared" si="97"/>
        <v>#N/A</v>
      </c>
      <c r="N212" s="4" t="e">
        <f>VLOOKUP(M212,  [1]Beakers!$A$2:$B$151, 2, 0)</f>
        <v>#N/A</v>
      </c>
      <c r="V212" s="20" t="e">
        <f t="shared" si="98"/>
        <v>#N/A</v>
      </c>
      <c r="W212" s="20" t="e">
        <f t="shared" si="99"/>
        <v>#N/A</v>
      </c>
      <c r="X212" s="20" t="e">
        <f t="shared" si="100"/>
        <v>#N/A</v>
      </c>
      <c r="Y212" s="20" t="e">
        <f t="shared" si="101"/>
        <v>#N/A</v>
      </c>
      <c r="Z212" s="20" t="e">
        <f t="shared" si="102"/>
        <v>#N/A</v>
      </c>
      <c r="AA212" s="20" t="e">
        <f t="shared" si="103"/>
        <v>#N/A</v>
      </c>
      <c r="AB212" s="20" t="e">
        <f t="shared" si="104"/>
        <v>#N/A</v>
      </c>
      <c r="AC212" s="20" t="e">
        <f>T212-VLOOKUP(M212, [1]Beakers!$A$2:$C$151, 3, 0)</f>
        <v>#N/A</v>
      </c>
      <c r="AD212" s="20" t="e">
        <f t="shared" si="105"/>
        <v>#N/A</v>
      </c>
      <c r="AE212" s="20" t="e">
        <f t="shared" si="106"/>
        <v>#N/A</v>
      </c>
      <c r="AF212" s="20" t="e">
        <f t="shared" si="107"/>
        <v>#N/A</v>
      </c>
      <c r="AG212" s="20" t="e">
        <f t="shared" si="108"/>
        <v>#N/A</v>
      </c>
      <c r="AH212" s="20" t="e">
        <f t="shared" si="109"/>
        <v>#N/A</v>
      </c>
      <c r="AI212" s="20" t="e">
        <f t="shared" si="110"/>
        <v>#N/A</v>
      </c>
      <c r="AJ212" s="20" t="e">
        <f t="shared" si="111"/>
        <v>#N/A</v>
      </c>
      <c r="AK212" s="20" t="e">
        <f t="shared" si="112"/>
        <v>#N/A</v>
      </c>
      <c r="AL212" s="20" t="e">
        <f t="shared" si="113"/>
        <v>#N/A</v>
      </c>
    </row>
    <row r="213" spans="9:38" ht="14.4" x14ac:dyDescent="0.3">
      <c r="I213" s="3" t="str">
        <f t="shared" si="95"/>
        <v>---</v>
      </c>
      <c r="J213" s="8" t="str">
        <f t="shared" si="96"/>
        <v>----,-</v>
      </c>
      <c r="K213" s="3" t="e">
        <f>VLOOKUP(I213, '[1]Depth vlookup'!$G$2:$I$997,2,FALSE())+(G213/100)</f>
        <v>#N/A</v>
      </c>
      <c r="L213" s="18" t="e">
        <f t="shared" si="97"/>
        <v>#N/A</v>
      </c>
      <c r="N213" s="4" t="e">
        <f>VLOOKUP(M213,  [1]Beakers!$A$2:$B$151, 2, 0)</f>
        <v>#N/A</v>
      </c>
      <c r="V213" s="20" t="e">
        <f t="shared" si="98"/>
        <v>#N/A</v>
      </c>
      <c r="W213" s="20" t="e">
        <f t="shared" si="99"/>
        <v>#N/A</v>
      </c>
      <c r="X213" s="20" t="e">
        <f t="shared" si="100"/>
        <v>#N/A</v>
      </c>
      <c r="Y213" s="20" t="e">
        <f t="shared" si="101"/>
        <v>#N/A</v>
      </c>
      <c r="Z213" s="20" t="e">
        <f t="shared" si="102"/>
        <v>#N/A</v>
      </c>
      <c r="AA213" s="20" t="e">
        <f t="shared" si="103"/>
        <v>#N/A</v>
      </c>
      <c r="AB213" s="20" t="e">
        <f t="shared" si="104"/>
        <v>#N/A</v>
      </c>
      <c r="AC213" s="20" t="e">
        <f>T213-VLOOKUP(M213, [1]Beakers!$A$2:$C$151, 3, 0)</f>
        <v>#N/A</v>
      </c>
      <c r="AD213" s="20" t="e">
        <f t="shared" si="105"/>
        <v>#N/A</v>
      </c>
      <c r="AE213" s="20" t="e">
        <f t="shared" si="106"/>
        <v>#N/A</v>
      </c>
      <c r="AF213" s="20" t="e">
        <f t="shared" si="107"/>
        <v>#N/A</v>
      </c>
      <c r="AG213" s="20" t="e">
        <f t="shared" si="108"/>
        <v>#N/A</v>
      </c>
      <c r="AH213" s="20" t="e">
        <f t="shared" si="109"/>
        <v>#N/A</v>
      </c>
      <c r="AI213" s="20" t="e">
        <f t="shared" si="110"/>
        <v>#N/A</v>
      </c>
      <c r="AJ213" s="20" t="e">
        <f t="shared" si="111"/>
        <v>#N/A</v>
      </c>
      <c r="AK213" s="20" t="e">
        <f t="shared" si="112"/>
        <v>#N/A</v>
      </c>
      <c r="AL213" s="20" t="e">
        <f t="shared" si="113"/>
        <v>#N/A</v>
      </c>
    </row>
    <row r="214" spans="9:38" ht="14.4" x14ac:dyDescent="0.3">
      <c r="I214" s="3" t="str">
        <f t="shared" si="95"/>
        <v>---</v>
      </c>
      <c r="J214" s="8" t="str">
        <f t="shared" si="96"/>
        <v>----,-</v>
      </c>
      <c r="K214" s="3" t="e">
        <f>VLOOKUP(I214, '[1]Depth vlookup'!$G$2:$I$997,2,FALSE())+(G214/100)</f>
        <v>#N/A</v>
      </c>
      <c r="L214" s="18" t="e">
        <f t="shared" si="97"/>
        <v>#N/A</v>
      </c>
      <c r="N214" s="4" t="e">
        <f>VLOOKUP(M214,  [1]Beakers!$A$2:$B$151, 2, 0)</f>
        <v>#N/A</v>
      </c>
      <c r="V214" s="20" t="e">
        <f t="shared" si="98"/>
        <v>#N/A</v>
      </c>
      <c r="W214" s="20" t="e">
        <f t="shared" si="99"/>
        <v>#N/A</v>
      </c>
      <c r="X214" s="20" t="e">
        <f t="shared" si="100"/>
        <v>#N/A</v>
      </c>
      <c r="Y214" s="20" t="e">
        <f t="shared" si="101"/>
        <v>#N/A</v>
      </c>
      <c r="Z214" s="20" t="e">
        <f t="shared" si="102"/>
        <v>#N/A</v>
      </c>
      <c r="AA214" s="20" t="e">
        <f t="shared" si="103"/>
        <v>#N/A</v>
      </c>
      <c r="AB214" s="20" t="e">
        <f t="shared" si="104"/>
        <v>#N/A</v>
      </c>
      <c r="AC214" s="20" t="e">
        <f>T214-VLOOKUP(M214, [1]Beakers!$A$2:$C$151, 3, 0)</f>
        <v>#N/A</v>
      </c>
      <c r="AD214" s="20" t="e">
        <f t="shared" si="105"/>
        <v>#N/A</v>
      </c>
      <c r="AE214" s="20" t="e">
        <f t="shared" si="106"/>
        <v>#N/A</v>
      </c>
      <c r="AF214" s="20" t="e">
        <f t="shared" si="107"/>
        <v>#N/A</v>
      </c>
      <c r="AG214" s="20" t="e">
        <f t="shared" si="108"/>
        <v>#N/A</v>
      </c>
      <c r="AH214" s="20" t="e">
        <f t="shared" si="109"/>
        <v>#N/A</v>
      </c>
      <c r="AI214" s="20" t="e">
        <f t="shared" si="110"/>
        <v>#N/A</v>
      </c>
      <c r="AJ214" s="20" t="e">
        <f t="shared" si="111"/>
        <v>#N/A</v>
      </c>
      <c r="AK214" s="20" t="e">
        <f t="shared" si="112"/>
        <v>#N/A</v>
      </c>
      <c r="AL214" s="20" t="e">
        <f t="shared" si="113"/>
        <v>#N/A</v>
      </c>
    </row>
    <row r="215" spans="9:38" ht="14.4" x14ac:dyDescent="0.3">
      <c r="I215" s="3" t="str">
        <f t="shared" si="95"/>
        <v>---</v>
      </c>
      <c r="J215" s="8" t="str">
        <f t="shared" si="96"/>
        <v>----,-</v>
      </c>
      <c r="K215" s="3" t="e">
        <f>VLOOKUP(I215, '[1]Depth vlookup'!$G$2:$I$997,2,FALSE())+(G215/100)</f>
        <v>#N/A</v>
      </c>
      <c r="L215" s="18" t="e">
        <f t="shared" si="97"/>
        <v>#N/A</v>
      </c>
      <c r="N215" s="4" t="e">
        <f>VLOOKUP(M215,  [1]Beakers!$A$2:$B$151, 2, 0)</f>
        <v>#N/A</v>
      </c>
      <c r="V215" s="20" t="e">
        <f t="shared" si="98"/>
        <v>#N/A</v>
      </c>
      <c r="W215" s="20" t="e">
        <f t="shared" si="99"/>
        <v>#N/A</v>
      </c>
      <c r="X215" s="20" t="e">
        <f t="shared" si="100"/>
        <v>#N/A</v>
      </c>
      <c r="Y215" s="20" t="e">
        <f t="shared" si="101"/>
        <v>#N/A</v>
      </c>
      <c r="Z215" s="20" t="e">
        <f t="shared" si="102"/>
        <v>#N/A</v>
      </c>
      <c r="AA215" s="20" t="e">
        <f t="shared" si="103"/>
        <v>#N/A</v>
      </c>
      <c r="AB215" s="20" t="e">
        <f t="shared" si="104"/>
        <v>#N/A</v>
      </c>
      <c r="AC215" s="20" t="e">
        <f>T215-VLOOKUP(M215, [1]Beakers!$A$2:$C$151, 3, 0)</f>
        <v>#N/A</v>
      </c>
      <c r="AD215" s="20" t="e">
        <f t="shared" si="105"/>
        <v>#N/A</v>
      </c>
      <c r="AE215" s="20" t="e">
        <f t="shared" si="106"/>
        <v>#N/A</v>
      </c>
      <c r="AF215" s="20" t="e">
        <f t="shared" si="107"/>
        <v>#N/A</v>
      </c>
      <c r="AG215" s="20" t="e">
        <f t="shared" si="108"/>
        <v>#N/A</v>
      </c>
      <c r="AH215" s="20" t="e">
        <f t="shared" si="109"/>
        <v>#N/A</v>
      </c>
      <c r="AI215" s="20" t="e">
        <f t="shared" si="110"/>
        <v>#N/A</v>
      </c>
      <c r="AJ215" s="20" t="e">
        <f t="shared" si="111"/>
        <v>#N/A</v>
      </c>
      <c r="AK215" s="20" t="e">
        <f t="shared" si="112"/>
        <v>#N/A</v>
      </c>
      <c r="AL215" s="20" t="e">
        <f t="shared" si="113"/>
        <v>#N/A</v>
      </c>
    </row>
    <row r="216" spans="9:38" ht="14.4" x14ac:dyDescent="0.3">
      <c r="I216" s="3" t="str">
        <f t="shared" si="95"/>
        <v>---</v>
      </c>
      <c r="J216" s="8" t="str">
        <f t="shared" si="96"/>
        <v>----,-</v>
      </c>
      <c r="K216" s="3" t="e">
        <f>VLOOKUP(I216, '[1]Depth vlookup'!$G$2:$I$997,2,FALSE())+(G216/100)</f>
        <v>#N/A</v>
      </c>
      <c r="L216" s="18" t="e">
        <f t="shared" si="97"/>
        <v>#N/A</v>
      </c>
      <c r="N216" s="4" t="e">
        <f>VLOOKUP(M216,  [1]Beakers!$A$2:$B$151, 2, 0)</f>
        <v>#N/A</v>
      </c>
      <c r="V216" s="20" t="e">
        <f t="shared" si="98"/>
        <v>#N/A</v>
      </c>
      <c r="W216" s="20" t="e">
        <f t="shared" si="99"/>
        <v>#N/A</v>
      </c>
      <c r="X216" s="20" t="e">
        <f t="shared" si="100"/>
        <v>#N/A</v>
      </c>
      <c r="Y216" s="20" t="e">
        <f t="shared" si="101"/>
        <v>#N/A</v>
      </c>
      <c r="Z216" s="20" t="e">
        <f t="shared" si="102"/>
        <v>#N/A</v>
      </c>
      <c r="AA216" s="20" t="e">
        <f t="shared" si="103"/>
        <v>#N/A</v>
      </c>
      <c r="AB216" s="20" t="e">
        <f t="shared" si="104"/>
        <v>#N/A</v>
      </c>
      <c r="AC216" s="20" t="e">
        <f>T216-VLOOKUP(M216, [1]Beakers!$A$2:$C$151, 3, 0)</f>
        <v>#N/A</v>
      </c>
      <c r="AD216" s="20" t="e">
        <f t="shared" si="105"/>
        <v>#N/A</v>
      </c>
      <c r="AE216" s="20" t="e">
        <f t="shared" si="106"/>
        <v>#N/A</v>
      </c>
      <c r="AF216" s="20" t="e">
        <f t="shared" si="107"/>
        <v>#N/A</v>
      </c>
      <c r="AG216" s="20" t="e">
        <f t="shared" si="108"/>
        <v>#N/A</v>
      </c>
      <c r="AH216" s="20" t="e">
        <f t="shared" si="109"/>
        <v>#N/A</v>
      </c>
      <c r="AI216" s="20" t="e">
        <f t="shared" si="110"/>
        <v>#N/A</v>
      </c>
      <c r="AJ216" s="20" t="e">
        <f t="shared" si="111"/>
        <v>#N/A</v>
      </c>
      <c r="AK216" s="20" t="e">
        <f t="shared" si="112"/>
        <v>#N/A</v>
      </c>
      <c r="AL216" s="20" t="e">
        <f t="shared" si="113"/>
        <v>#N/A</v>
      </c>
    </row>
    <row r="217" spans="9:38" ht="14.4" x14ac:dyDescent="0.3">
      <c r="I217" s="3" t="str">
        <f t="shared" si="95"/>
        <v>---</v>
      </c>
      <c r="J217" s="8" t="str">
        <f t="shared" si="96"/>
        <v>----,-</v>
      </c>
      <c r="K217" s="3" t="e">
        <f>VLOOKUP(I217, '[1]Depth vlookup'!$G$2:$I$997,2,FALSE())+(G217/100)</f>
        <v>#N/A</v>
      </c>
      <c r="L217" s="18" t="e">
        <f t="shared" si="97"/>
        <v>#N/A</v>
      </c>
      <c r="N217" s="4" t="e">
        <f>VLOOKUP(M217,  [1]Beakers!$A$2:$B$151, 2, 0)</f>
        <v>#N/A</v>
      </c>
      <c r="V217" s="20" t="e">
        <f t="shared" si="98"/>
        <v>#N/A</v>
      </c>
      <c r="W217" s="20" t="e">
        <f t="shared" si="99"/>
        <v>#N/A</v>
      </c>
      <c r="X217" s="20" t="e">
        <f t="shared" si="100"/>
        <v>#N/A</v>
      </c>
      <c r="Y217" s="20" t="e">
        <f t="shared" si="101"/>
        <v>#N/A</v>
      </c>
      <c r="Z217" s="20" t="e">
        <f t="shared" si="102"/>
        <v>#N/A</v>
      </c>
      <c r="AA217" s="20" t="e">
        <f t="shared" si="103"/>
        <v>#N/A</v>
      </c>
      <c r="AB217" s="20" t="e">
        <f t="shared" si="104"/>
        <v>#N/A</v>
      </c>
      <c r="AC217" s="20" t="e">
        <f>T217-VLOOKUP(M217, [1]Beakers!$A$2:$C$151, 3, 0)</f>
        <v>#N/A</v>
      </c>
      <c r="AD217" s="20" t="e">
        <f t="shared" si="105"/>
        <v>#N/A</v>
      </c>
      <c r="AE217" s="20" t="e">
        <f t="shared" si="106"/>
        <v>#N/A</v>
      </c>
      <c r="AF217" s="20" t="e">
        <f t="shared" si="107"/>
        <v>#N/A</v>
      </c>
      <c r="AG217" s="20" t="e">
        <f t="shared" si="108"/>
        <v>#N/A</v>
      </c>
      <c r="AH217" s="20" t="e">
        <f t="shared" si="109"/>
        <v>#N/A</v>
      </c>
      <c r="AI217" s="20" t="e">
        <f t="shared" si="110"/>
        <v>#N/A</v>
      </c>
      <c r="AJ217" s="20" t="e">
        <f t="shared" si="111"/>
        <v>#N/A</v>
      </c>
      <c r="AK217" s="20" t="e">
        <f t="shared" si="112"/>
        <v>#N/A</v>
      </c>
      <c r="AL217" s="20" t="e">
        <f t="shared" si="113"/>
        <v>#N/A</v>
      </c>
    </row>
    <row r="218" spans="9:38" ht="14.4" x14ac:dyDescent="0.3">
      <c r="I218" s="3" t="str">
        <f t="shared" si="95"/>
        <v>---</v>
      </c>
      <c r="J218" s="8" t="str">
        <f t="shared" si="96"/>
        <v>----,-</v>
      </c>
      <c r="K218" s="3" t="e">
        <f>VLOOKUP(I218, '[1]Depth vlookup'!$G$2:$I$997,2,FALSE())+(G218/100)</f>
        <v>#N/A</v>
      </c>
      <c r="L218" s="18" t="e">
        <f t="shared" si="97"/>
        <v>#N/A</v>
      </c>
      <c r="N218" s="4" t="e">
        <f>VLOOKUP(M218,  [1]Beakers!$A$2:$B$151, 2, 0)</f>
        <v>#N/A</v>
      </c>
      <c r="V218" s="20" t="e">
        <f t="shared" si="98"/>
        <v>#N/A</v>
      </c>
      <c r="W218" s="20" t="e">
        <f t="shared" si="99"/>
        <v>#N/A</v>
      </c>
      <c r="X218" s="20" t="e">
        <f t="shared" si="100"/>
        <v>#N/A</v>
      </c>
      <c r="Y218" s="20" t="e">
        <f t="shared" si="101"/>
        <v>#N/A</v>
      </c>
      <c r="Z218" s="20" t="e">
        <f t="shared" si="102"/>
        <v>#N/A</v>
      </c>
      <c r="AA218" s="20" t="e">
        <f t="shared" si="103"/>
        <v>#N/A</v>
      </c>
      <c r="AB218" s="20" t="e">
        <f t="shared" si="104"/>
        <v>#N/A</v>
      </c>
      <c r="AC218" s="20" t="e">
        <f>T218-VLOOKUP(M218, [1]Beakers!$A$2:$C$151, 3, 0)</f>
        <v>#N/A</v>
      </c>
      <c r="AD218" s="20" t="e">
        <f t="shared" si="105"/>
        <v>#N/A</v>
      </c>
      <c r="AE218" s="20" t="e">
        <f t="shared" si="106"/>
        <v>#N/A</v>
      </c>
      <c r="AF218" s="20" t="e">
        <f t="shared" si="107"/>
        <v>#N/A</v>
      </c>
      <c r="AG218" s="20" t="e">
        <f t="shared" si="108"/>
        <v>#N/A</v>
      </c>
      <c r="AH218" s="20" t="e">
        <f t="shared" si="109"/>
        <v>#N/A</v>
      </c>
      <c r="AI218" s="20" t="e">
        <f t="shared" si="110"/>
        <v>#N/A</v>
      </c>
      <c r="AJ218" s="20" t="e">
        <f t="shared" si="111"/>
        <v>#N/A</v>
      </c>
      <c r="AK218" s="20" t="e">
        <f t="shared" si="112"/>
        <v>#N/A</v>
      </c>
      <c r="AL218" s="20" t="e">
        <f t="shared" si="113"/>
        <v>#N/A</v>
      </c>
    </row>
    <row r="219" spans="9:38" ht="14.4" x14ac:dyDescent="0.3">
      <c r="I219" s="3" t="str">
        <f t="shared" si="95"/>
        <v>---</v>
      </c>
      <c r="J219" s="8" t="str">
        <f t="shared" si="96"/>
        <v>----,-</v>
      </c>
      <c r="K219" s="3" t="e">
        <f>VLOOKUP(I219, '[1]Depth vlookup'!$G$2:$I$997,2,FALSE())+(G219/100)</f>
        <v>#N/A</v>
      </c>
      <c r="L219" s="18" t="e">
        <f t="shared" si="97"/>
        <v>#N/A</v>
      </c>
      <c r="N219" s="4" t="e">
        <f>VLOOKUP(M219,  [1]Beakers!$A$2:$B$151, 2, 0)</f>
        <v>#N/A</v>
      </c>
      <c r="V219" s="20" t="e">
        <f t="shared" si="98"/>
        <v>#N/A</v>
      </c>
      <c r="W219" s="20" t="e">
        <f t="shared" si="99"/>
        <v>#N/A</v>
      </c>
      <c r="X219" s="20" t="e">
        <f t="shared" si="100"/>
        <v>#N/A</v>
      </c>
      <c r="Y219" s="20" t="e">
        <f t="shared" si="101"/>
        <v>#N/A</v>
      </c>
      <c r="Z219" s="20" t="e">
        <f t="shared" si="102"/>
        <v>#N/A</v>
      </c>
      <c r="AA219" s="20" t="e">
        <f t="shared" si="103"/>
        <v>#N/A</v>
      </c>
      <c r="AB219" s="20" t="e">
        <f t="shared" si="104"/>
        <v>#N/A</v>
      </c>
      <c r="AC219" s="20" t="e">
        <f>T219-VLOOKUP(M219, [1]Beakers!$A$2:$C$151, 3, 0)</f>
        <v>#N/A</v>
      </c>
      <c r="AD219" s="20" t="e">
        <f t="shared" si="105"/>
        <v>#N/A</v>
      </c>
      <c r="AE219" s="20" t="e">
        <f t="shared" si="106"/>
        <v>#N/A</v>
      </c>
      <c r="AF219" s="20" t="e">
        <f t="shared" si="107"/>
        <v>#N/A</v>
      </c>
      <c r="AG219" s="20" t="e">
        <f t="shared" si="108"/>
        <v>#N/A</v>
      </c>
      <c r="AH219" s="20" t="e">
        <f t="shared" si="109"/>
        <v>#N/A</v>
      </c>
      <c r="AI219" s="20" t="e">
        <f t="shared" si="110"/>
        <v>#N/A</v>
      </c>
      <c r="AJ219" s="20" t="e">
        <f t="shared" si="111"/>
        <v>#N/A</v>
      </c>
      <c r="AK219" s="20" t="e">
        <f t="shared" si="112"/>
        <v>#N/A</v>
      </c>
      <c r="AL219" s="20" t="e">
        <f t="shared" si="113"/>
        <v>#N/A</v>
      </c>
    </row>
    <row r="220" spans="9:38" ht="14.4" x14ac:dyDescent="0.3">
      <c r="I220" s="3" t="str">
        <f t="shared" si="95"/>
        <v>---</v>
      </c>
      <c r="J220" s="8" t="str">
        <f t="shared" si="96"/>
        <v>----,-</v>
      </c>
      <c r="K220" s="3" t="e">
        <f>VLOOKUP(I220, '[1]Depth vlookup'!$G$2:$I$997,2,FALSE())+(G220/100)</f>
        <v>#N/A</v>
      </c>
      <c r="L220" s="18" t="e">
        <f t="shared" si="97"/>
        <v>#N/A</v>
      </c>
      <c r="N220" s="4" t="e">
        <f>VLOOKUP(M220,  [1]Beakers!$A$2:$B$151, 2, 0)</f>
        <v>#N/A</v>
      </c>
      <c r="V220" s="20" t="e">
        <f t="shared" si="98"/>
        <v>#N/A</v>
      </c>
      <c r="W220" s="20" t="e">
        <f t="shared" si="99"/>
        <v>#N/A</v>
      </c>
      <c r="X220" s="20" t="e">
        <f t="shared" si="100"/>
        <v>#N/A</v>
      </c>
      <c r="Y220" s="20" t="e">
        <f t="shared" si="101"/>
        <v>#N/A</v>
      </c>
      <c r="Z220" s="20" t="e">
        <f t="shared" si="102"/>
        <v>#N/A</v>
      </c>
      <c r="AA220" s="20" t="e">
        <f t="shared" si="103"/>
        <v>#N/A</v>
      </c>
      <c r="AB220" s="20" t="e">
        <f t="shared" si="104"/>
        <v>#N/A</v>
      </c>
      <c r="AC220" s="20" t="e">
        <f>T220-VLOOKUP(M220, [1]Beakers!$A$2:$C$151, 3, 0)</f>
        <v>#N/A</v>
      </c>
      <c r="AD220" s="20" t="e">
        <f t="shared" si="105"/>
        <v>#N/A</v>
      </c>
      <c r="AE220" s="20" t="e">
        <f t="shared" si="106"/>
        <v>#N/A</v>
      </c>
      <c r="AF220" s="20" t="e">
        <f t="shared" si="107"/>
        <v>#N/A</v>
      </c>
      <c r="AG220" s="20" t="e">
        <f t="shared" si="108"/>
        <v>#N/A</v>
      </c>
      <c r="AH220" s="20" t="e">
        <f t="shared" si="109"/>
        <v>#N/A</v>
      </c>
      <c r="AI220" s="20" t="e">
        <f t="shared" si="110"/>
        <v>#N/A</v>
      </c>
      <c r="AJ220" s="20" t="e">
        <f t="shared" si="111"/>
        <v>#N/A</v>
      </c>
      <c r="AK220" s="20" t="e">
        <f t="shared" si="112"/>
        <v>#N/A</v>
      </c>
      <c r="AL220" s="20" t="e">
        <f t="shared" si="113"/>
        <v>#N/A</v>
      </c>
    </row>
    <row r="221" spans="9:38" ht="14.4" x14ac:dyDescent="0.3">
      <c r="I221" s="3" t="str">
        <f t="shared" si="95"/>
        <v>---</v>
      </c>
      <c r="J221" s="8" t="str">
        <f t="shared" si="96"/>
        <v>----,-</v>
      </c>
      <c r="K221" s="3" t="e">
        <f>VLOOKUP(I221, '[1]Depth vlookup'!$G$2:$I$997,2,FALSE())+(G221/100)</f>
        <v>#N/A</v>
      </c>
      <c r="L221" s="18" t="e">
        <f t="shared" si="97"/>
        <v>#N/A</v>
      </c>
      <c r="N221" s="4" t="e">
        <f>VLOOKUP(M221,  [1]Beakers!$A$2:$B$151, 2, 0)</f>
        <v>#N/A</v>
      </c>
      <c r="V221" s="20" t="e">
        <f t="shared" si="98"/>
        <v>#N/A</v>
      </c>
      <c r="W221" s="20" t="e">
        <f t="shared" si="99"/>
        <v>#N/A</v>
      </c>
      <c r="X221" s="20" t="e">
        <f t="shared" si="100"/>
        <v>#N/A</v>
      </c>
      <c r="Y221" s="20" t="e">
        <f t="shared" si="101"/>
        <v>#N/A</v>
      </c>
      <c r="Z221" s="20" t="e">
        <f t="shared" si="102"/>
        <v>#N/A</v>
      </c>
      <c r="AA221" s="20" t="e">
        <f t="shared" si="103"/>
        <v>#N/A</v>
      </c>
      <c r="AB221" s="20" t="e">
        <f t="shared" si="104"/>
        <v>#N/A</v>
      </c>
      <c r="AC221" s="20" t="e">
        <f>T221-VLOOKUP(M221, [1]Beakers!$A$2:$C$151, 3, 0)</f>
        <v>#N/A</v>
      </c>
      <c r="AD221" s="20" t="e">
        <f t="shared" si="105"/>
        <v>#N/A</v>
      </c>
      <c r="AE221" s="20" t="e">
        <f t="shared" si="106"/>
        <v>#N/A</v>
      </c>
      <c r="AF221" s="20" t="e">
        <f t="shared" si="107"/>
        <v>#N/A</v>
      </c>
      <c r="AG221" s="20" t="e">
        <f t="shared" si="108"/>
        <v>#N/A</v>
      </c>
      <c r="AH221" s="20" t="e">
        <f t="shared" si="109"/>
        <v>#N/A</v>
      </c>
      <c r="AI221" s="20" t="e">
        <f t="shared" si="110"/>
        <v>#N/A</v>
      </c>
      <c r="AJ221" s="20" t="e">
        <f t="shared" si="111"/>
        <v>#N/A</v>
      </c>
      <c r="AK221" s="20" t="e">
        <f t="shared" si="112"/>
        <v>#N/A</v>
      </c>
      <c r="AL221" s="20" t="e">
        <f t="shared" si="113"/>
        <v>#N/A</v>
      </c>
    </row>
    <row r="222" spans="9:38" ht="14.4" x14ac:dyDescent="0.3">
      <c r="I222" s="3" t="str">
        <f t="shared" si="95"/>
        <v>---</v>
      </c>
      <c r="J222" s="8" t="str">
        <f t="shared" si="96"/>
        <v>----,-</v>
      </c>
      <c r="K222" s="3" t="e">
        <f>VLOOKUP(I222, '[1]Depth vlookup'!$G$2:$I$997,2,FALSE())+(G222/100)</f>
        <v>#N/A</v>
      </c>
      <c r="L222" s="18" t="e">
        <f t="shared" si="97"/>
        <v>#N/A</v>
      </c>
      <c r="N222" s="4" t="e">
        <f>VLOOKUP(M222,  [1]Beakers!$A$2:$B$151, 2, 0)</f>
        <v>#N/A</v>
      </c>
      <c r="V222" s="20" t="e">
        <f t="shared" si="98"/>
        <v>#N/A</v>
      </c>
      <c r="W222" s="20" t="e">
        <f t="shared" si="99"/>
        <v>#N/A</v>
      </c>
      <c r="X222" s="20" t="e">
        <f t="shared" si="100"/>
        <v>#N/A</v>
      </c>
      <c r="Y222" s="20" t="e">
        <f t="shared" si="101"/>
        <v>#N/A</v>
      </c>
      <c r="Z222" s="20" t="e">
        <f t="shared" si="102"/>
        <v>#N/A</v>
      </c>
      <c r="AA222" s="20" t="e">
        <f t="shared" si="103"/>
        <v>#N/A</v>
      </c>
      <c r="AB222" s="20" t="e">
        <f t="shared" si="104"/>
        <v>#N/A</v>
      </c>
      <c r="AC222" s="20" t="e">
        <f>T222-VLOOKUP(M222, [1]Beakers!$A$2:$C$151, 3, 0)</f>
        <v>#N/A</v>
      </c>
      <c r="AD222" s="20" t="e">
        <f t="shared" si="105"/>
        <v>#N/A</v>
      </c>
      <c r="AE222" s="20" t="e">
        <f t="shared" si="106"/>
        <v>#N/A</v>
      </c>
      <c r="AF222" s="20" t="e">
        <f t="shared" si="107"/>
        <v>#N/A</v>
      </c>
      <c r="AG222" s="20" t="e">
        <f t="shared" si="108"/>
        <v>#N/A</v>
      </c>
      <c r="AH222" s="20" t="e">
        <f t="shared" si="109"/>
        <v>#N/A</v>
      </c>
      <c r="AI222" s="20" t="e">
        <f t="shared" si="110"/>
        <v>#N/A</v>
      </c>
      <c r="AJ222" s="20" t="e">
        <f t="shared" si="111"/>
        <v>#N/A</v>
      </c>
      <c r="AK222" s="20" t="e">
        <f t="shared" si="112"/>
        <v>#N/A</v>
      </c>
      <c r="AL222" s="20" t="e">
        <f t="shared" si="113"/>
        <v>#N/A</v>
      </c>
    </row>
    <row r="223" spans="9:38" ht="14.4" x14ac:dyDescent="0.3">
      <c r="I223" s="3" t="str">
        <f t="shared" si="95"/>
        <v>---</v>
      </c>
      <c r="J223" s="8" t="str">
        <f t="shared" si="96"/>
        <v>----,-</v>
      </c>
      <c r="K223" s="3" t="e">
        <f>VLOOKUP(I223, '[1]Depth vlookup'!$G$2:$I$997,2,FALSE())+(G223/100)</f>
        <v>#N/A</v>
      </c>
      <c r="L223" s="18" t="e">
        <f t="shared" si="97"/>
        <v>#N/A</v>
      </c>
      <c r="N223" s="4" t="e">
        <f>VLOOKUP(M223,  [1]Beakers!$A$2:$B$151, 2, 0)</f>
        <v>#N/A</v>
      </c>
      <c r="V223" s="20" t="e">
        <f t="shared" si="98"/>
        <v>#N/A</v>
      </c>
      <c r="W223" s="20" t="e">
        <f t="shared" si="99"/>
        <v>#N/A</v>
      </c>
      <c r="X223" s="20" t="e">
        <f t="shared" si="100"/>
        <v>#N/A</v>
      </c>
      <c r="Y223" s="20" t="e">
        <f t="shared" si="101"/>
        <v>#N/A</v>
      </c>
      <c r="Z223" s="20" t="e">
        <f t="shared" si="102"/>
        <v>#N/A</v>
      </c>
      <c r="AA223" s="20" t="e">
        <f t="shared" si="103"/>
        <v>#N/A</v>
      </c>
      <c r="AB223" s="20" t="e">
        <f t="shared" si="104"/>
        <v>#N/A</v>
      </c>
      <c r="AC223" s="20" t="e">
        <f>T223-VLOOKUP(M223, [1]Beakers!$A$2:$C$151, 3, 0)</f>
        <v>#N/A</v>
      </c>
      <c r="AD223" s="20" t="e">
        <f t="shared" si="105"/>
        <v>#N/A</v>
      </c>
      <c r="AE223" s="20" t="e">
        <f t="shared" si="106"/>
        <v>#N/A</v>
      </c>
      <c r="AF223" s="20" t="e">
        <f t="shared" si="107"/>
        <v>#N/A</v>
      </c>
      <c r="AG223" s="20" t="e">
        <f t="shared" si="108"/>
        <v>#N/A</v>
      </c>
      <c r="AH223" s="20" t="e">
        <f t="shared" si="109"/>
        <v>#N/A</v>
      </c>
      <c r="AI223" s="20" t="e">
        <f t="shared" si="110"/>
        <v>#N/A</v>
      </c>
      <c r="AJ223" s="20" t="e">
        <f t="shared" si="111"/>
        <v>#N/A</v>
      </c>
      <c r="AK223" s="20" t="e">
        <f t="shared" si="112"/>
        <v>#N/A</v>
      </c>
      <c r="AL223" s="20" t="e">
        <f t="shared" si="113"/>
        <v>#N/A</v>
      </c>
    </row>
    <row r="224" spans="9:38" ht="14.4" x14ac:dyDescent="0.3">
      <c r="I224" s="3" t="str">
        <f t="shared" si="95"/>
        <v>---</v>
      </c>
      <c r="J224" s="8" t="str">
        <f t="shared" si="96"/>
        <v>----,-</v>
      </c>
      <c r="K224" s="3" t="e">
        <f>VLOOKUP(I224, '[1]Depth vlookup'!$G$2:$I$997,2,FALSE())+(G224/100)</f>
        <v>#N/A</v>
      </c>
      <c r="L224" s="18" t="e">
        <f t="shared" si="97"/>
        <v>#N/A</v>
      </c>
      <c r="N224" s="4" t="e">
        <f>VLOOKUP(M224,  [1]Beakers!$A$2:$B$151, 2, 0)</f>
        <v>#N/A</v>
      </c>
      <c r="V224" s="20" t="e">
        <f t="shared" si="98"/>
        <v>#N/A</v>
      </c>
      <c r="W224" s="20" t="e">
        <f t="shared" si="99"/>
        <v>#N/A</v>
      </c>
      <c r="X224" s="20" t="e">
        <f t="shared" si="100"/>
        <v>#N/A</v>
      </c>
      <c r="Y224" s="20" t="e">
        <f t="shared" si="101"/>
        <v>#N/A</v>
      </c>
      <c r="Z224" s="20" t="e">
        <f t="shared" si="102"/>
        <v>#N/A</v>
      </c>
      <c r="AA224" s="20" t="e">
        <f t="shared" si="103"/>
        <v>#N/A</v>
      </c>
      <c r="AB224" s="20" t="e">
        <f t="shared" si="104"/>
        <v>#N/A</v>
      </c>
      <c r="AC224" s="20" t="e">
        <f>T224-VLOOKUP(M224, [1]Beakers!$A$2:$C$151, 3, 0)</f>
        <v>#N/A</v>
      </c>
      <c r="AD224" s="20" t="e">
        <f t="shared" si="105"/>
        <v>#N/A</v>
      </c>
      <c r="AE224" s="20" t="e">
        <f t="shared" si="106"/>
        <v>#N/A</v>
      </c>
      <c r="AF224" s="20" t="e">
        <f t="shared" si="107"/>
        <v>#N/A</v>
      </c>
      <c r="AG224" s="20" t="e">
        <f t="shared" si="108"/>
        <v>#N/A</v>
      </c>
      <c r="AH224" s="20" t="e">
        <f t="shared" si="109"/>
        <v>#N/A</v>
      </c>
      <c r="AI224" s="20" t="e">
        <f t="shared" si="110"/>
        <v>#N/A</v>
      </c>
      <c r="AJ224" s="20" t="e">
        <f t="shared" si="111"/>
        <v>#N/A</v>
      </c>
      <c r="AK224" s="20" t="e">
        <f t="shared" si="112"/>
        <v>#N/A</v>
      </c>
      <c r="AL224" s="20" t="e">
        <f t="shared" si="113"/>
        <v>#N/A</v>
      </c>
    </row>
    <row r="225" spans="9:38" ht="14.4" x14ac:dyDescent="0.3">
      <c r="I225" s="3" t="str">
        <f t="shared" si="95"/>
        <v>---</v>
      </c>
      <c r="J225" s="8" t="str">
        <f t="shared" si="96"/>
        <v>----,-</v>
      </c>
      <c r="K225" s="3" t="e">
        <f>VLOOKUP(I225, '[1]Depth vlookup'!$G$2:$I$997,2,FALSE())+(G225/100)</f>
        <v>#N/A</v>
      </c>
      <c r="L225" s="18" t="e">
        <f t="shared" si="97"/>
        <v>#N/A</v>
      </c>
      <c r="N225" s="4" t="e">
        <f>VLOOKUP(M225,  [1]Beakers!$A$2:$B$151, 2, 0)</f>
        <v>#N/A</v>
      </c>
      <c r="V225" s="20" t="e">
        <f t="shared" si="98"/>
        <v>#N/A</v>
      </c>
      <c r="W225" s="20" t="e">
        <f t="shared" si="99"/>
        <v>#N/A</v>
      </c>
      <c r="X225" s="20" t="e">
        <f t="shared" si="100"/>
        <v>#N/A</v>
      </c>
      <c r="Y225" s="20" t="e">
        <f t="shared" si="101"/>
        <v>#N/A</v>
      </c>
      <c r="Z225" s="20" t="e">
        <f t="shared" si="102"/>
        <v>#N/A</v>
      </c>
      <c r="AA225" s="20" t="e">
        <f t="shared" si="103"/>
        <v>#N/A</v>
      </c>
      <c r="AB225" s="20" t="e">
        <f t="shared" si="104"/>
        <v>#N/A</v>
      </c>
      <c r="AC225" s="20" t="e">
        <f>T225-VLOOKUP(M225, [1]Beakers!$A$2:$C$151, 3, 0)</f>
        <v>#N/A</v>
      </c>
      <c r="AD225" s="20" t="e">
        <f t="shared" si="105"/>
        <v>#N/A</v>
      </c>
      <c r="AE225" s="20" t="e">
        <f t="shared" si="106"/>
        <v>#N/A</v>
      </c>
      <c r="AF225" s="20" t="e">
        <f t="shared" si="107"/>
        <v>#N/A</v>
      </c>
      <c r="AG225" s="20" t="e">
        <f t="shared" si="108"/>
        <v>#N/A</v>
      </c>
      <c r="AH225" s="20" t="e">
        <f t="shared" si="109"/>
        <v>#N/A</v>
      </c>
      <c r="AI225" s="20" t="e">
        <f t="shared" si="110"/>
        <v>#N/A</v>
      </c>
      <c r="AJ225" s="20" t="e">
        <f t="shared" si="111"/>
        <v>#N/A</v>
      </c>
      <c r="AK225" s="20" t="e">
        <f t="shared" si="112"/>
        <v>#N/A</v>
      </c>
      <c r="AL225" s="20" t="e">
        <f t="shared" si="113"/>
        <v>#N/A</v>
      </c>
    </row>
    <row r="226" spans="9:38" ht="14.4" x14ac:dyDescent="0.3">
      <c r="I226" s="3" t="str">
        <f t="shared" si="95"/>
        <v>---</v>
      </c>
      <c r="J226" s="8" t="str">
        <f t="shared" si="96"/>
        <v>----,-</v>
      </c>
      <c r="K226" s="3" t="e">
        <f>VLOOKUP(I226, '[1]Depth vlookup'!$G$2:$I$997,2,FALSE())+(G226/100)</f>
        <v>#N/A</v>
      </c>
      <c r="L226" s="18" t="e">
        <f t="shared" si="97"/>
        <v>#N/A</v>
      </c>
      <c r="N226" s="4" t="e">
        <f>VLOOKUP(M226,  [1]Beakers!$A$2:$B$151, 2, 0)</f>
        <v>#N/A</v>
      </c>
      <c r="V226" s="20" t="e">
        <f t="shared" si="98"/>
        <v>#N/A</v>
      </c>
      <c r="W226" s="20" t="e">
        <f t="shared" si="99"/>
        <v>#N/A</v>
      </c>
      <c r="X226" s="20" t="e">
        <f t="shared" si="100"/>
        <v>#N/A</v>
      </c>
      <c r="Y226" s="20" t="e">
        <f t="shared" si="101"/>
        <v>#N/A</v>
      </c>
      <c r="Z226" s="20" t="e">
        <f t="shared" si="102"/>
        <v>#N/A</v>
      </c>
      <c r="AA226" s="20" t="e">
        <f t="shared" si="103"/>
        <v>#N/A</v>
      </c>
      <c r="AB226" s="20" t="e">
        <f t="shared" si="104"/>
        <v>#N/A</v>
      </c>
      <c r="AC226" s="20" t="e">
        <f>T226-VLOOKUP(M226, [1]Beakers!$A$2:$C$151, 3, 0)</f>
        <v>#N/A</v>
      </c>
      <c r="AD226" s="20" t="e">
        <f t="shared" si="105"/>
        <v>#N/A</v>
      </c>
      <c r="AE226" s="20" t="e">
        <f t="shared" si="106"/>
        <v>#N/A</v>
      </c>
      <c r="AF226" s="20" t="e">
        <f t="shared" si="107"/>
        <v>#N/A</v>
      </c>
      <c r="AG226" s="20" t="e">
        <f t="shared" si="108"/>
        <v>#N/A</v>
      </c>
      <c r="AH226" s="20" t="e">
        <f t="shared" si="109"/>
        <v>#N/A</v>
      </c>
      <c r="AI226" s="20" t="e">
        <f t="shared" si="110"/>
        <v>#N/A</v>
      </c>
      <c r="AJ226" s="20" t="e">
        <f t="shared" si="111"/>
        <v>#N/A</v>
      </c>
      <c r="AK226" s="20" t="e">
        <f t="shared" si="112"/>
        <v>#N/A</v>
      </c>
      <c r="AL226" s="20" t="e">
        <f t="shared" si="113"/>
        <v>#N/A</v>
      </c>
    </row>
    <row r="227" spans="9:38" ht="14.4" x14ac:dyDescent="0.3">
      <c r="I227" s="3" t="str">
        <f t="shared" si="95"/>
        <v>---</v>
      </c>
      <c r="J227" s="8" t="str">
        <f t="shared" si="96"/>
        <v>----,-</v>
      </c>
      <c r="K227" s="3" t="e">
        <f>VLOOKUP(I227, '[1]Depth vlookup'!$G$2:$I$997,2,FALSE())+(G227/100)</f>
        <v>#N/A</v>
      </c>
      <c r="L227" s="18" t="e">
        <f t="shared" si="97"/>
        <v>#N/A</v>
      </c>
      <c r="N227" s="4" t="e">
        <f>VLOOKUP(M227,  [1]Beakers!$A$2:$B$151, 2, 0)</f>
        <v>#N/A</v>
      </c>
      <c r="V227" s="20" t="e">
        <f t="shared" si="98"/>
        <v>#N/A</v>
      </c>
      <c r="W227" s="20" t="e">
        <f t="shared" si="99"/>
        <v>#N/A</v>
      </c>
      <c r="X227" s="20" t="e">
        <f t="shared" si="100"/>
        <v>#N/A</v>
      </c>
      <c r="Y227" s="20" t="e">
        <f t="shared" si="101"/>
        <v>#N/A</v>
      </c>
      <c r="Z227" s="20" t="e">
        <f t="shared" si="102"/>
        <v>#N/A</v>
      </c>
      <c r="AA227" s="20" t="e">
        <f t="shared" si="103"/>
        <v>#N/A</v>
      </c>
      <c r="AB227" s="20" t="e">
        <f t="shared" si="104"/>
        <v>#N/A</v>
      </c>
      <c r="AC227" s="20" t="e">
        <f>T227-VLOOKUP(M227, [1]Beakers!$A$2:$C$151, 3, 0)</f>
        <v>#N/A</v>
      </c>
      <c r="AD227" s="20" t="e">
        <f t="shared" si="105"/>
        <v>#N/A</v>
      </c>
      <c r="AE227" s="20" t="e">
        <f t="shared" si="106"/>
        <v>#N/A</v>
      </c>
      <c r="AF227" s="20" t="e">
        <f t="shared" si="107"/>
        <v>#N/A</v>
      </c>
      <c r="AG227" s="20" t="e">
        <f t="shared" si="108"/>
        <v>#N/A</v>
      </c>
      <c r="AH227" s="20" t="e">
        <f t="shared" si="109"/>
        <v>#N/A</v>
      </c>
      <c r="AI227" s="20" t="e">
        <f t="shared" si="110"/>
        <v>#N/A</v>
      </c>
      <c r="AJ227" s="20" t="e">
        <f t="shared" si="111"/>
        <v>#N/A</v>
      </c>
      <c r="AK227" s="20" t="e">
        <f t="shared" si="112"/>
        <v>#N/A</v>
      </c>
      <c r="AL227" s="20" t="e">
        <f t="shared" si="113"/>
        <v>#N/A</v>
      </c>
    </row>
    <row r="228" spans="9:38" ht="14.4" x14ac:dyDescent="0.3">
      <c r="I228" s="3" t="str">
        <f t="shared" ref="I228:I241" si="114">_xlfn.CONCAT(B228, "-", C228,"-", D228,"-", F228)</f>
        <v>---</v>
      </c>
      <c r="J228" s="8" t="str">
        <f t="shared" ref="J228:J241" si="115">_xlfn.CONCAT(A228, "-", I228, ",",G228, "-",H228)</f>
        <v>----,-</v>
      </c>
      <c r="K228" s="3" t="e">
        <f>VLOOKUP(I228, '[1]Depth vlookup'!$G$2:$I$997,2,FALSE())+(G228/100)</f>
        <v>#N/A</v>
      </c>
      <c r="L228" s="18" t="e">
        <f t="shared" ref="L228:L241" si="116">K228+2/100</f>
        <v>#N/A</v>
      </c>
      <c r="N228" s="4" t="e">
        <f>VLOOKUP(M228,  [1]Beakers!$A$2:$B$151, 2, 0)</f>
        <v>#N/A</v>
      </c>
      <c r="V228" s="20" t="e">
        <f t="shared" ref="V228:V241" si="117">O228-N228</f>
        <v>#N/A</v>
      </c>
      <c r="W228" s="20" t="e">
        <f t="shared" ref="W228:W241" si="118">Q228-N228</f>
        <v>#N/A</v>
      </c>
      <c r="X228" s="20" t="e">
        <f t="shared" ref="X228:X241" si="119">(V228-W228)/(1-35/1000)</f>
        <v>#N/A</v>
      </c>
      <c r="Y228" s="20" t="e">
        <f t="shared" ref="Y228:Y241" si="120">X228-(V228-W228)</f>
        <v>#N/A</v>
      </c>
      <c r="Z228" s="20" t="e">
        <f t="shared" ref="Z228:Z241" si="121">W228-Y228</f>
        <v>#N/A</v>
      </c>
      <c r="AA228" s="20" t="e">
        <f t="shared" ref="AA228:AA241" si="122">X228/1.024</f>
        <v>#N/A</v>
      </c>
      <c r="AB228" s="20" t="e">
        <f t="shared" ref="AB228:AB241" si="123">Y228/2.22</f>
        <v>#N/A</v>
      </c>
      <c r="AC228" s="20" t="e">
        <f>T228-VLOOKUP(M228, [1]Beakers!$A$2:$C$151, 3, 0)</f>
        <v>#N/A</v>
      </c>
      <c r="AD228" s="20" t="e">
        <f t="shared" ref="AD228:AD241" si="124">AC228-AB228+AA228</f>
        <v>#N/A</v>
      </c>
      <c r="AE228" s="20" t="e">
        <f t="shared" ref="AE228:AE241" si="125">AC228-AB228</f>
        <v>#N/A</v>
      </c>
      <c r="AF228" s="20" t="e">
        <f t="shared" ref="AF228:AF241" si="126">X228/V228</f>
        <v>#N/A</v>
      </c>
      <c r="AG228" s="20" t="e">
        <f t="shared" ref="AG228:AG241" si="127">X228/Z228</f>
        <v>#N/A</v>
      </c>
      <c r="AH228" s="20" t="e">
        <f t="shared" ref="AH228:AH241" si="128">V228/AD228</f>
        <v>#N/A</v>
      </c>
      <c r="AI228" s="20" t="e">
        <f t="shared" ref="AI228:AI241" si="129">Z228/AD228</f>
        <v>#N/A</v>
      </c>
      <c r="AJ228" s="20" t="e">
        <f t="shared" ref="AJ228:AJ241" si="130">Z228/AE228</f>
        <v>#N/A</v>
      </c>
      <c r="AK228" s="20" t="e">
        <f t="shared" ref="AK228:AK241" si="131">AA228/AD228</f>
        <v>#N/A</v>
      </c>
      <c r="AL228" s="20" t="e">
        <f t="shared" ref="AL228:AL241" si="132">AA228/AE228</f>
        <v>#N/A</v>
      </c>
    </row>
    <row r="229" spans="9:38" ht="14.4" x14ac:dyDescent="0.3">
      <c r="I229" s="3" t="str">
        <f t="shared" si="114"/>
        <v>---</v>
      </c>
      <c r="J229" s="8" t="str">
        <f t="shared" si="115"/>
        <v>----,-</v>
      </c>
      <c r="K229" s="3" t="e">
        <f>VLOOKUP(I229, '[1]Depth vlookup'!$G$2:$I$997,2,FALSE())+(G229/100)</f>
        <v>#N/A</v>
      </c>
      <c r="L229" s="18" t="e">
        <f t="shared" si="116"/>
        <v>#N/A</v>
      </c>
      <c r="N229" s="4" t="e">
        <f>VLOOKUP(M229,  [1]Beakers!$A$2:$B$151, 2, 0)</f>
        <v>#N/A</v>
      </c>
      <c r="V229" s="20" t="e">
        <f t="shared" si="117"/>
        <v>#N/A</v>
      </c>
      <c r="W229" s="20" t="e">
        <f t="shared" si="118"/>
        <v>#N/A</v>
      </c>
      <c r="X229" s="20" t="e">
        <f t="shared" si="119"/>
        <v>#N/A</v>
      </c>
      <c r="Y229" s="20" t="e">
        <f t="shared" si="120"/>
        <v>#N/A</v>
      </c>
      <c r="Z229" s="20" t="e">
        <f t="shared" si="121"/>
        <v>#N/A</v>
      </c>
      <c r="AA229" s="20" t="e">
        <f t="shared" si="122"/>
        <v>#N/A</v>
      </c>
      <c r="AB229" s="20" t="e">
        <f t="shared" si="123"/>
        <v>#N/A</v>
      </c>
      <c r="AC229" s="20" t="e">
        <f>T229-VLOOKUP(M229, [1]Beakers!$A$2:$C$151, 3, 0)</f>
        <v>#N/A</v>
      </c>
      <c r="AD229" s="20" t="e">
        <f t="shared" si="124"/>
        <v>#N/A</v>
      </c>
      <c r="AE229" s="20" t="e">
        <f t="shared" si="125"/>
        <v>#N/A</v>
      </c>
      <c r="AF229" s="20" t="e">
        <f t="shared" si="126"/>
        <v>#N/A</v>
      </c>
      <c r="AG229" s="20" t="e">
        <f t="shared" si="127"/>
        <v>#N/A</v>
      </c>
      <c r="AH229" s="20" t="e">
        <f t="shared" si="128"/>
        <v>#N/A</v>
      </c>
      <c r="AI229" s="20" t="e">
        <f t="shared" si="129"/>
        <v>#N/A</v>
      </c>
      <c r="AJ229" s="20" t="e">
        <f t="shared" si="130"/>
        <v>#N/A</v>
      </c>
      <c r="AK229" s="20" t="e">
        <f t="shared" si="131"/>
        <v>#N/A</v>
      </c>
      <c r="AL229" s="20" t="e">
        <f t="shared" si="132"/>
        <v>#N/A</v>
      </c>
    </row>
    <row r="230" spans="9:38" ht="14.4" x14ac:dyDescent="0.3">
      <c r="I230" s="3" t="str">
        <f t="shared" si="114"/>
        <v>---</v>
      </c>
      <c r="J230" s="8" t="str">
        <f t="shared" si="115"/>
        <v>----,-</v>
      </c>
      <c r="K230" s="3" t="e">
        <f>VLOOKUP(I230, '[1]Depth vlookup'!$G$2:$I$997,2,FALSE())+(G230/100)</f>
        <v>#N/A</v>
      </c>
      <c r="L230" s="18" t="e">
        <f t="shared" si="116"/>
        <v>#N/A</v>
      </c>
      <c r="N230" s="4" t="e">
        <f>VLOOKUP(M230,  [1]Beakers!$A$2:$B$151, 2, 0)</f>
        <v>#N/A</v>
      </c>
      <c r="V230" s="20" t="e">
        <f t="shared" si="117"/>
        <v>#N/A</v>
      </c>
      <c r="W230" s="20" t="e">
        <f t="shared" si="118"/>
        <v>#N/A</v>
      </c>
      <c r="X230" s="20" t="e">
        <f t="shared" si="119"/>
        <v>#N/A</v>
      </c>
      <c r="Y230" s="20" t="e">
        <f t="shared" si="120"/>
        <v>#N/A</v>
      </c>
      <c r="Z230" s="20" t="e">
        <f t="shared" si="121"/>
        <v>#N/A</v>
      </c>
      <c r="AA230" s="20" t="e">
        <f t="shared" si="122"/>
        <v>#N/A</v>
      </c>
      <c r="AB230" s="20" t="e">
        <f t="shared" si="123"/>
        <v>#N/A</v>
      </c>
      <c r="AC230" s="20" t="e">
        <f>T230-VLOOKUP(M230, [1]Beakers!$A$2:$C$151, 3, 0)</f>
        <v>#N/A</v>
      </c>
      <c r="AD230" s="20" t="e">
        <f t="shared" si="124"/>
        <v>#N/A</v>
      </c>
      <c r="AE230" s="20" t="e">
        <f t="shared" si="125"/>
        <v>#N/A</v>
      </c>
      <c r="AF230" s="20" t="e">
        <f t="shared" si="126"/>
        <v>#N/A</v>
      </c>
      <c r="AG230" s="20" t="e">
        <f t="shared" si="127"/>
        <v>#N/A</v>
      </c>
      <c r="AH230" s="20" t="e">
        <f t="shared" si="128"/>
        <v>#N/A</v>
      </c>
      <c r="AI230" s="20" t="e">
        <f t="shared" si="129"/>
        <v>#N/A</v>
      </c>
      <c r="AJ230" s="20" t="e">
        <f t="shared" si="130"/>
        <v>#N/A</v>
      </c>
      <c r="AK230" s="20" t="e">
        <f t="shared" si="131"/>
        <v>#N/A</v>
      </c>
      <c r="AL230" s="20" t="e">
        <f t="shared" si="132"/>
        <v>#N/A</v>
      </c>
    </row>
    <row r="231" spans="9:38" ht="14.4" x14ac:dyDescent="0.3">
      <c r="I231" s="3" t="str">
        <f t="shared" si="114"/>
        <v>---</v>
      </c>
      <c r="J231" s="8" t="str">
        <f t="shared" si="115"/>
        <v>----,-</v>
      </c>
      <c r="K231" s="3" t="e">
        <f>VLOOKUP(I231, '[1]Depth vlookup'!$G$2:$I$997,2,FALSE())+(G231/100)</f>
        <v>#N/A</v>
      </c>
      <c r="L231" s="18" t="e">
        <f t="shared" si="116"/>
        <v>#N/A</v>
      </c>
      <c r="N231" s="4" t="e">
        <f>VLOOKUP(M231,  [1]Beakers!$A$2:$B$151, 2, 0)</f>
        <v>#N/A</v>
      </c>
      <c r="V231" s="20" t="e">
        <f t="shared" si="117"/>
        <v>#N/A</v>
      </c>
      <c r="W231" s="20" t="e">
        <f t="shared" si="118"/>
        <v>#N/A</v>
      </c>
      <c r="X231" s="20" t="e">
        <f t="shared" si="119"/>
        <v>#N/A</v>
      </c>
      <c r="Y231" s="20" t="e">
        <f t="shared" si="120"/>
        <v>#N/A</v>
      </c>
      <c r="Z231" s="20" t="e">
        <f t="shared" si="121"/>
        <v>#N/A</v>
      </c>
      <c r="AA231" s="20" t="e">
        <f t="shared" si="122"/>
        <v>#N/A</v>
      </c>
      <c r="AB231" s="20" t="e">
        <f t="shared" si="123"/>
        <v>#N/A</v>
      </c>
      <c r="AC231" s="20" t="e">
        <f>T231-VLOOKUP(M231, [1]Beakers!$A$2:$C$151, 3, 0)</f>
        <v>#N/A</v>
      </c>
      <c r="AD231" s="20" t="e">
        <f t="shared" si="124"/>
        <v>#N/A</v>
      </c>
      <c r="AE231" s="20" t="e">
        <f t="shared" si="125"/>
        <v>#N/A</v>
      </c>
      <c r="AF231" s="20" t="e">
        <f t="shared" si="126"/>
        <v>#N/A</v>
      </c>
      <c r="AG231" s="20" t="e">
        <f t="shared" si="127"/>
        <v>#N/A</v>
      </c>
      <c r="AH231" s="20" t="e">
        <f t="shared" si="128"/>
        <v>#N/A</v>
      </c>
      <c r="AI231" s="20" t="e">
        <f t="shared" si="129"/>
        <v>#N/A</v>
      </c>
      <c r="AJ231" s="20" t="e">
        <f t="shared" si="130"/>
        <v>#N/A</v>
      </c>
      <c r="AK231" s="20" t="e">
        <f t="shared" si="131"/>
        <v>#N/A</v>
      </c>
      <c r="AL231" s="20" t="e">
        <f t="shared" si="132"/>
        <v>#N/A</v>
      </c>
    </row>
    <row r="232" spans="9:38" ht="14.4" x14ac:dyDescent="0.3">
      <c r="I232" s="3" t="str">
        <f t="shared" si="114"/>
        <v>---</v>
      </c>
      <c r="J232" s="8" t="str">
        <f t="shared" si="115"/>
        <v>----,-</v>
      </c>
      <c r="K232" s="3" t="e">
        <f>VLOOKUP(I232, '[1]Depth vlookup'!$G$2:$I$997,2,FALSE())+(G232/100)</f>
        <v>#N/A</v>
      </c>
      <c r="L232" s="18" t="e">
        <f t="shared" si="116"/>
        <v>#N/A</v>
      </c>
      <c r="N232" s="4" t="e">
        <f>VLOOKUP(M232,  [1]Beakers!$A$2:$B$151, 2, 0)</f>
        <v>#N/A</v>
      </c>
      <c r="V232" s="20" t="e">
        <f t="shared" si="117"/>
        <v>#N/A</v>
      </c>
      <c r="W232" s="20" t="e">
        <f t="shared" si="118"/>
        <v>#N/A</v>
      </c>
      <c r="X232" s="20" t="e">
        <f t="shared" si="119"/>
        <v>#N/A</v>
      </c>
      <c r="Y232" s="20" t="e">
        <f t="shared" si="120"/>
        <v>#N/A</v>
      </c>
      <c r="Z232" s="20" t="e">
        <f t="shared" si="121"/>
        <v>#N/A</v>
      </c>
      <c r="AA232" s="20" t="e">
        <f t="shared" si="122"/>
        <v>#N/A</v>
      </c>
      <c r="AB232" s="20" t="e">
        <f t="shared" si="123"/>
        <v>#N/A</v>
      </c>
      <c r="AC232" s="20" t="e">
        <f>T232-VLOOKUP(M232, [1]Beakers!$A$2:$C$151, 3, 0)</f>
        <v>#N/A</v>
      </c>
      <c r="AD232" s="20" t="e">
        <f t="shared" si="124"/>
        <v>#N/A</v>
      </c>
      <c r="AE232" s="20" t="e">
        <f t="shared" si="125"/>
        <v>#N/A</v>
      </c>
      <c r="AF232" s="20" t="e">
        <f t="shared" si="126"/>
        <v>#N/A</v>
      </c>
      <c r="AG232" s="20" t="e">
        <f t="shared" si="127"/>
        <v>#N/A</v>
      </c>
      <c r="AH232" s="20" t="e">
        <f t="shared" si="128"/>
        <v>#N/A</v>
      </c>
      <c r="AI232" s="20" t="e">
        <f t="shared" si="129"/>
        <v>#N/A</v>
      </c>
      <c r="AJ232" s="20" t="e">
        <f t="shared" si="130"/>
        <v>#N/A</v>
      </c>
      <c r="AK232" s="20" t="e">
        <f t="shared" si="131"/>
        <v>#N/A</v>
      </c>
      <c r="AL232" s="20" t="e">
        <f t="shared" si="132"/>
        <v>#N/A</v>
      </c>
    </row>
    <row r="233" spans="9:38" ht="14.4" x14ac:dyDescent="0.3">
      <c r="I233" s="3" t="str">
        <f t="shared" si="114"/>
        <v>---</v>
      </c>
      <c r="J233" s="8" t="str">
        <f t="shared" si="115"/>
        <v>----,-</v>
      </c>
      <c r="K233" s="3" t="e">
        <f>VLOOKUP(I233, '[1]Depth vlookup'!$G$2:$I$997,2,FALSE())+(G233/100)</f>
        <v>#N/A</v>
      </c>
      <c r="L233" s="18" t="e">
        <f t="shared" si="116"/>
        <v>#N/A</v>
      </c>
      <c r="N233" s="4" t="e">
        <f>VLOOKUP(M233,  [1]Beakers!$A$2:$B$151, 2, 0)</f>
        <v>#N/A</v>
      </c>
      <c r="V233" s="20" t="e">
        <f t="shared" si="117"/>
        <v>#N/A</v>
      </c>
      <c r="W233" s="20" t="e">
        <f t="shared" si="118"/>
        <v>#N/A</v>
      </c>
      <c r="X233" s="20" t="e">
        <f t="shared" si="119"/>
        <v>#N/A</v>
      </c>
      <c r="Y233" s="20" t="e">
        <f t="shared" si="120"/>
        <v>#N/A</v>
      </c>
      <c r="Z233" s="20" t="e">
        <f t="shared" si="121"/>
        <v>#N/A</v>
      </c>
      <c r="AA233" s="20" t="e">
        <f t="shared" si="122"/>
        <v>#N/A</v>
      </c>
      <c r="AB233" s="20" t="e">
        <f t="shared" si="123"/>
        <v>#N/A</v>
      </c>
      <c r="AC233" s="20" t="e">
        <f>T233-VLOOKUP(M233, [1]Beakers!$A$2:$C$151, 3, 0)</f>
        <v>#N/A</v>
      </c>
      <c r="AD233" s="20" t="e">
        <f t="shared" si="124"/>
        <v>#N/A</v>
      </c>
      <c r="AE233" s="20" t="e">
        <f t="shared" si="125"/>
        <v>#N/A</v>
      </c>
      <c r="AF233" s="20" t="e">
        <f t="shared" si="126"/>
        <v>#N/A</v>
      </c>
      <c r="AG233" s="20" t="e">
        <f t="shared" si="127"/>
        <v>#N/A</v>
      </c>
      <c r="AH233" s="20" t="e">
        <f t="shared" si="128"/>
        <v>#N/A</v>
      </c>
      <c r="AI233" s="20" t="e">
        <f t="shared" si="129"/>
        <v>#N/A</v>
      </c>
      <c r="AJ233" s="20" t="e">
        <f t="shared" si="130"/>
        <v>#N/A</v>
      </c>
      <c r="AK233" s="20" t="e">
        <f t="shared" si="131"/>
        <v>#N/A</v>
      </c>
      <c r="AL233" s="20" t="e">
        <f t="shared" si="132"/>
        <v>#N/A</v>
      </c>
    </row>
    <row r="234" spans="9:38" ht="14.4" x14ac:dyDescent="0.3">
      <c r="I234" s="3" t="str">
        <f t="shared" si="114"/>
        <v>---</v>
      </c>
      <c r="J234" s="8" t="str">
        <f t="shared" si="115"/>
        <v>----,-</v>
      </c>
      <c r="K234" s="3" t="e">
        <f>VLOOKUP(I234, '[1]Depth vlookup'!$G$2:$I$997,2,FALSE())+(G234/100)</f>
        <v>#N/A</v>
      </c>
      <c r="L234" s="18" t="e">
        <f t="shared" si="116"/>
        <v>#N/A</v>
      </c>
      <c r="N234" s="4" t="e">
        <f>VLOOKUP(M234,  [1]Beakers!$A$2:$B$151, 2, 0)</f>
        <v>#N/A</v>
      </c>
      <c r="V234" s="20" t="e">
        <f t="shared" si="117"/>
        <v>#N/A</v>
      </c>
      <c r="W234" s="20" t="e">
        <f t="shared" si="118"/>
        <v>#N/A</v>
      </c>
      <c r="X234" s="20" t="e">
        <f t="shared" si="119"/>
        <v>#N/A</v>
      </c>
      <c r="Y234" s="20" t="e">
        <f t="shared" si="120"/>
        <v>#N/A</v>
      </c>
      <c r="Z234" s="20" t="e">
        <f t="shared" si="121"/>
        <v>#N/A</v>
      </c>
      <c r="AA234" s="20" t="e">
        <f t="shared" si="122"/>
        <v>#N/A</v>
      </c>
      <c r="AB234" s="20" t="e">
        <f t="shared" si="123"/>
        <v>#N/A</v>
      </c>
      <c r="AC234" s="20" t="e">
        <f>T234-VLOOKUP(M234, [1]Beakers!$A$2:$C$151, 3, 0)</f>
        <v>#N/A</v>
      </c>
      <c r="AD234" s="20" t="e">
        <f t="shared" si="124"/>
        <v>#N/A</v>
      </c>
      <c r="AE234" s="20" t="e">
        <f t="shared" si="125"/>
        <v>#N/A</v>
      </c>
      <c r="AF234" s="20" t="e">
        <f t="shared" si="126"/>
        <v>#N/A</v>
      </c>
      <c r="AG234" s="20" t="e">
        <f t="shared" si="127"/>
        <v>#N/A</v>
      </c>
      <c r="AH234" s="20" t="e">
        <f t="shared" si="128"/>
        <v>#N/A</v>
      </c>
      <c r="AI234" s="20" t="e">
        <f t="shared" si="129"/>
        <v>#N/A</v>
      </c>
      <c r="AJ234" s="20" t="e">
        <f t="shared" si="130"/>
        <v>#N/A</v>
      </c>
      <c r="AK234" s="20" t="e">
        <f t="shared" si="131"/>
        <v>#N/A</v>
      </c>
      <c r="AL234" s="20" t="e">
        <f t="shared" si="132"/>
        <v>#N/A</v>
      </c>
    </row>
    <row r="235" spans="9:38" ht="14.4" x14ac:dyDescent="0.3">
      <c r="I235" s="3" t="str">
        <f t="shared" si="114"/>
        <v>---</v>
      </c>
      <c r="J235" s="8" t="str">
        <f t="shared" si="115"/>
        <v>----,-</v>
      </c>
      <c r="K235" s="3" t="e">
        <f>VLOOKUP(I235, '[1]Depth vlookup'!$G$2:$I$997,2,FALSE())+(G235/100)</f>
        <v>#N/A</v>
      </c>
      <c r="L235" s="18" t="e">
        <f t="shared" si="116"/>
        <v>#N/A</v>
      </c>
      <c r="N235" s="4" t="e">
        <f>VLOOKUP(M235,  [1]Beakers!$A$2:$B$151, 2, 0)</f>
        <v>#N/A</v>
      </c>
      <c r="V235" s="20" t="e">
        <f t="shared" si="117"/>
        <v>#N/A</v>
      </c>
      <c r="W235" s="20" t="e">
        <f t="shared" si="118"/>
        <v>#N/A</v>
      </c>
      <c r="X235" s="20" t="e">
        <f t="shared" si="119"/>
        <v>#N/A</v>
      </c>
      <c r="Y235" s="20" t="e">
        <f t="shared" si="120"/>
        <v>#N/A</v>
      </c>
      <c r="Z235" s="20" t="e">
        <f t="shared" si="121"/>
        <v>#N/A</v>
      </c>
      <c r="AA235" s="20" t="e">
        <f t="shared" si="122"/>
        <v>#N/A</v>
      </c>
      <c r="AB235" s="20" t="e">
        <f t="shared" si="123"/>
        <v>#N/A</v>
      </c>
      <c r="AC235" s="20" t="e">
        <f>T235-VLOOKUP(M235, [1]Beakers!$A$2:$C$151, 3, 0)</f>
        <v>#N/A</v>
      </c>
      <c r="AD235" s="20" t="e">
        <f t="shared" si="124"/>
        <v>#N/A</v>
      </c>
      <c r="AE235" s="20" t="e">
        <f t="shared" si="125"/>
        <v>#N/A</v>
      </c>
      <c r="AF235" s="20" t="e">
        <f t="shared" si="126"/>
        <v>#N/A</v>
      </c>
      <c r="AG235" s="20" t="e">
        <f t="shared" si="127"/>
        <v>#N/A</v>
      </c>
      <c r="AH235" s="20" t="e">
        <f t="shared" si="128"/>
        <v>#N/A</v>
      </c>
      <c r="AI235" s="20" t="e">
        <f t="shared" si="129"/>
        <v>#N/A</v>
      </c>
      <c r="AJ235" s="20" t="e">
        <f t="shared" si="130"/>
        <v>#N/A</v>
      </c>
      <c r="AK235" s="20" t="e">
        <f t="shared" si="131"/>
        <v>#N/A</v>
      </c>
      <c r="AL235" s="20" t="e">
        <f t="shared" si="132"/>
        <v>#N/A</v>
      </c>
    </row>
    <row r="236" spans="9:38" ht="14.4" x14ac:dyDescent="0.3">
      <c r="I236" s="3" t="str">
        <f t="shared" si="114"/>
        <v>---</v>
      </c>
      <c r="J236" s="8" t="str">
        <f t="shared" si="115"/>
        <v>----,-</v>
      </c>
      <c r="K236" s="3" t="e">
        <f>VLOOKUP(I236, '[1]Depth vlookup'!$G$2:$I$997,2,FALSE())+(G236/100)</f>
        <v>#N/A</v>
      </c>
      <c r="L236" s="18" t="e">
        <f t="shared" si="116"/>
        <v>#N/A</v>
      </c>
      <c r="N236" s="4" t="e">
        <f>VLOOKUP(M236,  [1]Beakers!$A$2:$B$151, 2, 0)</f>
        <v>#N/A</v>
      </c>
      <c r="V236" s="20" t="e">
        <f t="shared" si="117"/>
        <v>#N/A</v>
      </c>
      <c r="W236" s="20" t="e">
        <f t="shared" si="118"/>
        <v>#N/A</v>
      </c>
      <c r="X236" s="20" t="e">
        <f t="shared" si="119"/>
        <v>#N/A</v>
      </c>
      <c r="Y236" s="20" t="e">
        <f t="shared" si="120"/>
        <v>#N/A</v>
      </c>
      <c r="Z236" s="20" t="e">
        <f t="shared" si="121"/>
        <v>#N/A</v>
      </c>
      <c r="AA236" s="20" t="e">
        <f t="shared" si="122"/>
        <v>#N/A</v>
      </c>
      <c r="AB236" s="20" t="e">
        <f t="shared" si="123"/>
        <v>#N/A</v>
      </c>
      <c r="AC236" s="20" t="e">
        <f>T236-VLOOKUP(M236, [1]Beakers!$A$2:$C$151, 3, 0)</f>
        <v>#N/A</v>
      </c>
      <c r="AD236" s="20" t="e">
        <f t="shared" si="124"/>
        <v>#N/A</v>
      </c>
      <c r="AE236" s="20" t="e">
        <f t="shared" si="125"/>
        <v>#N/A</v>
      </c>
      <c r="AF236" s="20" t="e">
        <f t="shared" si="126"/>
        <v>#N/A</v>
      </c>
      <c r="AG236" s="20" t="e">
        <f t="shared" si="127"/>
        <v>#N/A</v>
      </c>
      <c r="AH236" s="20" t="e">
        <f t="shared" si="128"/>
        <v>#N/A</v>
      </c>
      <c r="AI236" s="20" t="e">
        <f t="shared" si="129"/>
        <v>#N/A</v>
      </c>
      <c r="AJ236" s="20" t="e">
        <f t="shared" si="130"/>
        <v>#N/A</v>
      </c>
      <c r="AK236" s="20" t="e">
        <f t="shared" si="131"/>
        <v>#N/A</v>
      </c>
      <c r="AL236" s="20" t="e">
        <f t="shared" si="132"/>
        <v>#N/A</v>
      </c>
    </row>
    <row r="237" spans="9:38" ht="14.4" x14ac:dyDescent="0.3">
      <c r="I237" s="3" t="str">
        <f t="shared" si="114"/>
        <v>---</v>
      </c>
      <c r="J237" s="8" t="str">
        <f t="shared" si="115"/>
        <v>----,-</v>
      </c>
      <c r="K237" s="3" t="e">
        <f>VLOOKUP(I237, '[1]Depth vlookup'!$G$2:$I$997,2,FALSE())+(G237/100)</f>
        <v>#N/A</v>
      </c>
      <c r="L237" s="18" t="e">
        <f t="shared" si="116"/>
        <v>#N/A</v>
      </c>
      <c r="N237" s="4" t="e">
        <f>VLOOKUP(M237,  [1]Beakers!$A$2:$B$151, 2, 0)</f>
        <v>#N/A</v>
      </c>
      <c r="V237" s="20" t="e">
        <f t="shared" si="117"/>
        <v>#N/A</v>
      </c>
      <c r="W237" s="20" t="e">
        <f t="shared" si="118"/>
        <v>#N/A</v>
      </c>
      <c r="X237" s="20" t="e">
        <f t="shared" si="119"/>
        <v>#N/A</v>
      </c>
      <c r="Y237" s="20" t="e">
        <f t="shared" si="120"/>
        <v>#N/A</v>
      </c>
      <c r="Z237" s="20" t="e">
        <f t="shared" si="121"/>
        <v>#N/A</v>
      </c>
      <c r="AA237" s="20" t="e">
        <f t="shared" si="122"/>
        <v>#N/A</v>
      </c>
      <c r="AB237" s="20" t="e">
        <f t="shared" si="123"/>
        <v>#N/A</v>
      </c>
      <c r="AC237" s="20" t="e">
        <f>T237-VLOOKUP(M237, [1]Beakers!$A$2:$C$151, 3, 0)</f>
        <v>#N/A</v>
      </c>
      <c r="AD237" s="20" t="e">
        <f t="shared" si="124"/>
        <v>#N/A</v>
      </c>
      <c r="AE237" s="20" t="e">
        <f t="shared" si="125"/>
        <v>#N/A</v>
      </c>
      <c r="AF237" s="20" t="e">
        <f t="shared" si="126"/>
        <v>#N/A</v>
      </c>
      <c r="AG237" s="20" t="e">
        <f t="shared" si="127"/>
        <v>#N/A</v>
      </c>
      <c r="AH237" s="20" t="e">
        <f t="shared" si="128"/>
        <v>#N/A</v>
      </c>
      <c r="AI237" s="20" t="e">
        <f t="shared" si="129"/>
        <v>#N/A</v>
      </c>
      <c r="AJ237" s="20" t="e">
        <f t="shared" si="130"/>
        <v>#N/A</v>
      </c>
      <c r="AK237" s="20" t="e">
        <f t="shared" si="131"/>
        <v>#N/A</v>
      </c>
      <c r="AL237" s="20" t="e">
        <f t="shared" si="132"/>
        <v>#N/A</v>
      </c>
    </row>
    <row r="238" spans="9:38" ht="14.4" x14ac:dyDescent="0.3">
      <c r="I238" s="3" t="str">
        <f t="shared" si="114"/>
        <v>---</v>
      </c>
      <c r="J238" s="8" t="str">
        <f t="shared" si="115"/>
        <v>----,-</v>
      </c>
      <c r="K238" s="3" t="e">
        <f>VLOOKUP(I238, '[1]Depth vlookup'!$G$2:$I$997,2,FALSE())+(G238/100)</f>
        <v>#N/A</v>
      </c>
      <c r="L238" s="18" t="e">
        <f t="shared" si="116"/>
        <v>#N/A</v>
      </c>
      <c r="N238" s="4" t="e">
        <f>VLOOKUP(M238,  [1]Beakers!$A$2:$B$151, 2, 0)</f>
        <v>#N/A</v>
      </c>
      <c r="V238" s="20" t="e">
        <f t="shared" si="117"/>
        <v>#N/A</v>
      </c>
      <c r="W238" s="20" t="e">
        <f t="shared" si="118"/>
        <v>#N/A</v>
      </c>
      <c r="X238" s="20" t="e">
        <f t="shared" si="119"/>
        <v>#N/A</v>
      </c>
      <c r="Y238" s="20" t="e">
        <f t="shared" si="120"/>
        <v>#N/A</v>
      </c>
      <c r="Z238" s="20" t="e">
        <f t="shared" si="121"/>
        <v>#N/A</v>
      </c>
      <c r="AA238" s="20" t="e">
        <f t="shared" si="122"/>
        <v>#N/A</v>
      </c>
      <c r="AB238" s="20" t="e">
        <f t="shared" si="123"/>
        <v>#N/A</v>
      </c>
      <c r="AC238" s="20" t="e">
        <f>T238-VLOOKUP(M238, [1]Beakers!$A$2:$C$151, 3, 0)</f>
        <v>#N/A</v>
      </c>
      <c r="AD238" s="20" t="e">
        <f t="shared" si="124"/>
        <v>#N/A</v>
      </c>
      <c r="AE238" s="20" t="e">
        <f t="shared" si="125"/>
        <v>#N/A</v>
      </c>
      <c r="AF238" s="20" t="e">
        <f t="shared" si="126"/>
        <v>#N/A</v>
      </c>
      <c r="AG238" s="20" t="e">
        <f t="shared" si="127"/>
        <v>#N/A</v>
      </c>
      <c r="AH238" s="20" t="e">
        <f t="shared" si="128"/>
        <v>#N/A</v>
      </c>
      <c r="AI238" s="20" t="e">
        <f t="shared" si="129"/>
        <v>#N/A</v>
      </c>
      <c r="AJ238" s="20" t="e">
        <f t="shared" si="130"/>
        <v>#N/A</v>
      </c>
      <c r="AK238" s="20" t="e">
        <f t="shared" si="131"/>
        <v>#N/A</v>
      </c>
      <c r="AL238" s="20" t="e">
        <f t="shared" si="132"/>
        <v>#N/A</v>
      </c>
    </row>
    <row r="239" spans="9:38" ht="14.4" x14ac:dyDescent="0.3">
      <c r="I239" s="3" t="str">
        <f t="shared" si="114"/>
        <v>---</v>
      </c>
      <c r="J239" s="8" t="str">
        <f t="shared" si="115"/>
        <v>----,-</v>
      </c>
      <c r="K239" s="3" t="e">
        <f>VLOOKUP(I239, '[1]Depth vlookup'!$G$2:$I$997,2,FALSE())+(G239/100)</f>
        <v>#N/A</v>
      </c>
      <c r="L239" s="18" t="e">
        <f t="shared" si="116"/>
        <v>#N/A</v>
      </c>
      <c r="N239" s="4" t="e">
        <f>VLOOKUP(M239,  [1]Beakers!$A$2:$B$151, 2, 0)</f>
        <v>#N/A</v>
      </c>
      <c r="V239" s="20" t="e">
        <f t="shared" si="117"/>
        <v>#N/A</v>
      </c>
      <c r="W239" s="20" t="e">
        <f t="shared" si="118"/>
        <v>#N/A</v>
      </c>
      <c r="X239" s="20" t="e">
        <f t="shared" si="119"/>
        <v>#N/A</v>
      </c>
      <c r="Y239" s="20" t="e">
        <f t="shared" si="120"/>
        <v>#N/A</v>
      </c>
      <c r="Z239" s="20" t="e">
        <f t="shared" si="121"/>
        <v>#N/A</v>
      </c>
      <c r="AA239" s="20" t="e">
        <f t="shared" si="122"/>
        <v>#N/A</v>
      </c>
      <c r="AB239" s="20" t="e">
        <f t="shared" si="123"/>
        <v>#N/A</v>
      </c>
      <c r="AC239" s="20" t="e">
        <f>T239-VLOOKUP(M239, [1]Beakers!$A$2:$C$151, 3, 0)</f>
        <v>#N/A</v>
      </c>
      <c r="AD239" s="20" t="e">
        <f t="shared" si="124"/>
        <v>#N/A</v>
      </c>
      <c r="AE239" s="20" t="e">
        <f t="shared" si="125"/>
        <v>#N/A</v>
      </c>
      <c r="AF239" s="20" t="e">
        <f t="shared" si="126"/>
        <v>#N/A</v>
      </c>
      <c r="AG239" s="20" t="e">
        <f t="shared" si="127"/>
        <v>#N/A</v>
      </c>
      <c r="AH239" s="20" t="e">
        <f t="shared" si="128"/>
        <v>#N/A</v>
      </c>
      <c r="AI239" s="20" t="e">
        <f t="shared" si="129"/>
        <v>#N/A</v>
      </c>
      <c r="AJ239" s="20" t="e">
        <f t="shared" si="130"/>
        <v>#N/A</v>
      </c>
      <c r="AK239" s="20" t="e">
        <f t="shared" si="131"/>
        <v>#N/A</v>
      </c>
      <c r="AL239" s="20" t="e">
        <f t="shared" si="132"/>
        <v>#N/A</v>
      </c>
    </row>
    <row r="240" spans="9:38" ht="14.4" x14ac:dyDescent="0.3">
      <c r="I240" s="3" t="str">
        <f t="shared" si="114"/>
        <v>---</v>
      </c>
      <c r="J240" s="8" t="str">
        <f t="shared" si="115"/>
        <v>----,-</v>
      </c>
      <c r="K240" s="3" t="e">
        <f>VLOOKUP(I240, '[1]Depth vlookup'!$G$2:$I$997,2,FALSE())+(G240/100)</f>
        <v>#N/A</v>
      </c>
      <c r="L240" s="18" t="e">
        <f t="shared" si="116"/>
        <v>#N/A</v>
      </c>
      <c r="N240" s="4" t="e">
        <f>VLOOKUP(M240,  [1]Beakers!$A$2:$B$151, 2, 0)</f>
        <v>#N/A</v>
      </c>
      <c r="V240" s="20" t="e">
        <f t="shared" si="117"/>
        <v>#N/A</v>
      </c>
      <c r="W240" s="20" t="e">
        <f t="shared" si="118"/>
        <v>#N/A</v>
      </c>
      <c r="X240" s="20" t="e">
        <f t="shared" si="119"/>
        <v>#N/A</v>
      </c>
      <c r="Y240" s="20" t="e">
        <f t="shared" si="120"/>
        <v>#N/A</v>
      </c>
      <c r="Z240" s="20" t="e">
        <f t="shared" si="121"/>
        <v>#N/A</v>
      </c>
      <c r="AA240" s="20" t="e">
        <f t="shared" si="122"/>
        <v>#N/A</v>
      </c>
      <c r="AB240" s="20" t="e">
        <f t="shared" si="123"/>
        <v>#N/A</v>
      </c>
      <c r="AC240" s="20" t="e">
        <f>T240-VLOOKUP(M240, [1]Beakers!$A$2:$C$151, 3, 0)</f>
        <v>#N/A</v>
      </c>
      <c r="AD240" s="20" t="e">
        <f t="shared" si="124"/>
        <v>#N/A</v>
      </c>
      <c r="AE240" s="20" t="e">
        <f t="shared" si="125"/>
        <v>#N/A</v>
      </c>
      <c r="AF240" s="20" t="e">
        <f t="shared" si="126"/>
        <v>#N/A</v>
      </c>
      <c r="AG240" s="20" t="e">
        <f t="shared" si="127"/>
        <v>#N/A</v>
      </c>
      <c r="AH240" s="20" t="e">
        <f t="shared" si="128"/>
        <v>#N/A</v>
      </c>
      <c r="AI240" s="20" t="e">
        <f t="shared" si="129"/>
        <v>#N/A</v>
      </c>
      <c r="AJ240" s="20" t="e">
        <f t="shared" si="130"/>
        <v>#N/A</v>
      </c>
      <c r="AK240" s="20" t="e">
        <f t="shared" si="131"/>
        <v>#N/A</v>
      </c>
      <c r="AL240" s="20" t="e">
        <f t="shared" si="132"/>
        <v>#N/A</v>
      </c>
    </row>
    <row r="241" spans="9:38" ht="14.4" x14ac:dyDescent="0.3">
      <c r="I241" s="3" t="str">
        <f t="shared" si="114"/>
        <v>---</v>
      </c>
      <c r="J241" s="8" t="str">
        <f t="shared" si="115"/>
        <v>----,-</v>
      </c>
      <c r="K241" s="3" t="e">
        <f>VLOOKUP(I241, '[1]Depth vlookup'!$G$2:$I$997,2,FALSE())+(G241/100)</f>
        <v>#N/A</v>
      </c>
      <c r="L241" s="18" t="e">
        <f t="shared" si="116"/>
        <v>#N/A</v>
      </c>
      <c r="N241" s="4" t="e">
        <f>VLOOKUP(M241,  [1]Beakers!$A$2:$B$151, 2, 0)</f>
        <v>#N/A</v>
      </c>
      <c r="V241" s="20" t="e">
        <f t="shared" si="117"/>
        <v>#N/A</v>
      </c>
      <c r="W241" s="20" t="e">
        <f t="shared" si="118"/>
        <v>#N/A</v>
      </c>
      <c r="X241" s="20" t="e">
        <f t="shared" si="119"/>
        <v>#N/A</v>
      </c>
      <c r="Y241" s="20" t="e">
        <f t="shared" si="120"/>
        <v>#N/A</v>
      </c>
      <c r="Z241" s="20" t="e">
        <f t="shared" si="121"/>
        <v>#N/A</v>
      </c>
      <c r="AA241" s="20" t="e">
        <f t="shared" si="122"/>
        <v>#N/A</v>
      </c>
      <c r="AB241" s="20" t="e">
        <f t="shared" si="123"/>
        <v>#N/A</v>
      </c>
      <c r="AC241" s="20" t="e">
        <f>T241-VLOOKUP(M241, [1]Beakers!$A$2:$C$151, 3, 0)</f>
        <v>#N/A</v>
      </c>
      <c r="AD241" s="20" t="e">
        <f t="shared" si="124"/>
        <v>#N/A</v>
      </c>
      <c r="AE241" s="20" t="e">
        <f t="shared" si="125"/>
        <v>#N/A</v>
      </c>
      <c r="AF241" s="20" t="e">
        <f t="shared" si="126"/>
        <v>#N/A</v>
      </c>
      <c r="AG241" s="20" t="e">
        <f t="shared" si="127"/>
        <v>#N/A</v>
      </c>
      <c r="AH241" s="20" t="e">
        <f t="shared" si="128"/>
        <v>#N/A</v>
      </c>
      <c r="AI241" s="20" t="e">
        <f t="shared" si="129"/>
        <v>#N/A</v>
      </c>
      <c r="AJ241" s="20" t="e">
        <f t="shared" si="130"/>
        <v>#N/A</v>
      </c>
      <c r="AK241" s="20" t="e">
        <f t="shared" si="131"/>
        <v>#N/A</v>
      </c>
      <c r="AL241" s="20" t="e">
        <f t="shared" si="132"/>
        <v>#N/A</v>
      </c>
    </row>
    <row r="242" spans="9:38" ht="14.4" x14ac:dyDescent="0.3"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9:38" ht="14.4" x14ac:dyDescent="0.3"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9:38" ht="14.4" x14ac:dyDescent="0.3"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9:38" ht="14.4" x14ac:dyDescent="0.3"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9:38" ht="14.4" x14ac:dyDescent="0.3"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9:38" ht="14.4" x14ac:dyDescent="0.3"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9:38" ht="14.4" x14ac:dyDescent="0.3"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9:38" ht="14.4" x14ac:dyDescent="0.3"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9:38" ht="14.4" x14ac:dyDescent="0.3"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9:38" ht="14.4" x14ac:dyDescent="0.3"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9:38" ht="14.4" x14ac:dyDescent="0.3"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9:38" ht="14.4" x14ac:dyDescent="0.3"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9:38" ht="14.4" x14ac:dyDescent="0.3"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9:38" ht="14.4" x14ac:dyDescent="0.3"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9:38" ht="14.4" x14ac:dyDescent="0.3"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22:38" ht="14.4" x14ac:dyDescent="0.3"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22:38" ht="14.4" x14ac:dyDescent="0.3"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22:38" ht="14.4" x14ac:dyDescent="0.3"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22:38" ht="14.4" x14ac:dyDescent="0.3"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22:38" ht="14.4" x14ac:dyDescent="0.3"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22:38" ht="14.4" x14ac:dyDescent="0.3"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22:38" ht="14.4" x14ac:dyDescent="0.3"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22:38" ht="14.4" x14ac:dyDescent="0.3"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22:38" ht="14.4" x14ac:dyDescent="0.3"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22:38" ht="14.4" x14ac:dyDescent="0.3"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22:38" ht="14.4" x14ac:dyDescent="0.3"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22:38" ht="14.4" x14ac:dyDescent="0.3"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22:38" ht="14.4" x14ac:dyDescent="0.3"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22:38" ht="14.4" x14ac:dyDescent="0.3"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22:38" ht="14.4" x14ac:dyDescent="0.3"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22:38" ht="14.4" x14ac:dyDescent="0.3"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22:38" ht="14.4" x14ac:dyDescent="0.3"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22:38" ht="14.4" x14ac:dyDescent="0.3"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22:38" ht="14.4" x14ac:dyDescent="0.3"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22:38" ht="14.4" x14ac:dyDescent="0.3"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22:38" ht="14.4" x14ac:dyDescent="0.3"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22:38" ht="14.4" x14ac:dyDescent="0.3"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22:38" ht="14.4" x14ac:dyDescent="0.3"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22:38" ht="14.4" x14ac:dyDescent="0.3"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22:38" ht="14.4" x14ac:dyDescent="0.3"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22:38" ht="14.4" x14ac:dyDescent="0.3"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22:38" ht="14.4" x14ac:dyDescent="0.3"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22:38" ht="14.4" x14ac:dyDescent="0.3"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22:38" ht="14.4" x14ac:dyDescent="0.3"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22:38" ht="14.4" x14ac:dyDescent="0.3"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22:38" ht="14.4" x14ac:dyDescent="0.3"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22:38" ht="14.4" x14ac:dyDescent="0.3"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22:38" ht="14.4" x14ac:dyDescent="0.3"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22:38" ht="14.4" x14ac:dyDescent="0.3"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22:38" ht="14.4" x14ac:dyDescent="0.3"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22:38" ht="14.4" x14ac:dyDescent="0.3"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22:38" ht="14.4" x14ac:dyDescent="0.3"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22:38" ht="14.4" x14ac:dyDescent="0.3"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22:38" ht="14.4" x14ac:dyDescent="0.3"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22:38" ht="14.4" x14ac:dyDescent="0.3"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22:38" ht="14.4" x14ac:dyDescent="0.3"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22:38" ht="14.4" x14ac:dyDescent="0.3"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22:38" ht="14.4" x14ac:dyDescent="0.3"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22:38" ht="14.4" x14ac:dyDescent="0.3"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22:38" ht="14.4" x14ac:dyDescent="0.3"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22:38" ht="14.4" x14ac:dyDescent="0.3"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22:38" ht="14.4" x14ac:dyDescent="0.3"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22:38" ht="14.4" x14ac:dyDescent="0.3"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22:38" ht="14.4" x14ac:dyDescent="0.3"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22:38" ht="14.4" x14ac:dyDescent="0.3"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22:38" ht="14.4" x14ac:dyDescent="0.3"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22:38" ht="14.4" x14ac:dyDescent="0.3"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22:38" ht="14.4" x14ac:dyDescent="0.3"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22:38" ht="14.4" x14ac:dyDescent="0.3"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22:38" ht="14.4" x14ac:dyDescent="0.3"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22:38" ht="14.4" x14ac:dyDescent="0.3"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22:38" ht="14.4" x14ac:dyDescent="0.3"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22:38" ht="14.4" x14ac:dyDescent="0.3"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22:38" ht="14.4" x14ac:dyDescent="0.3"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22:38" ht="14.4" x14ac:dyDescent="0.3"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22:38" ht="14.4" x14ac:dyDescent="0.3"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22:38" ht="14.4" x14ac:dyDescent="0.3"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22:38" ht="14.4" x14ac:dyDescent="0.3"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22:38" ht="14.4" x14ac:dyDescent="0.3"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22:38" ht="14.4" x14ac:dyDescent="0.3"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22:38" ht="14.4" x14ac:dyDescent="0.3"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22:38" ht="14.4" x14ac:dyDescent="0.3"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22:38" ht="14.4" x14ac:dyDescent="0.3"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22:38" ht="14.4" x14ac:dyDescent="0.3"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22:38" ht="14.4" x14ac:dyDescent="0.3"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22:38" ht="14.4" x14ac:dyDescent="0.3"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22:38" ht="14.4" x14ac:dyDescent="0.3"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22:38" ht="14.4" x14ac:dyDescent="0.3"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22:38" ht="14.4" x14ac:dyDescent="0.3"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22:38" ht="14.4" x14ac:dyDescent="0.3"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22:38" ht="14.4" x14ac:dyDescent="0.3"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22:38" ht="14.4" x14ac:dyDescent="0.3"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22:38" ht="14.4" x14ac:dyDescent="0.3"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22:38" ht="14.4" x14ac:dyDescent="0.3"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22:38" ht="14.4" x14ac:dyDescent="0.3"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22:38" ht="14.4" x14ac:dyDescent="0.3"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22:38" ht="14.4" x14ac:dyDescent="0.3"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22:38" ht="14.4" x14ac:dyDescent="0.3"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22:38" ht="14.4" x14ac:dyDescent="0.3"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22:38" ht="14.4" x14ac:dyDescent="0.3"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22:38" ht="14.4" x14ac:dyDescent="0.3"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22:38" ht="14.4" x14ac:dyDescent="0.3"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22:38" ht="14.4" x14ac:dyDescent="0.3"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22:38" ht="14.4" x14ac:dyDescent="0.3"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22:38" ht="14.4" x14ac:dyDescent="0.3"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22:38" ht="14.4" x14ac:dyDescent="0.3"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22:38" ht="14.4" x14ac:dyDescent="0.3"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22:38" ht="14.4" x14ac:dyDescent="0.3"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22:38" ht="14.4" x14ac:dyDescent="0.3"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22:38" ht="14.4" x14ac:dyDescent="0.3"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22:38" ht="14.4" x14ac:dyDescent="0.3"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22:38" ht="14.4" x14ac:dyDescent="0.3"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22:38" ht="14.4" x14ac:dyDescent="0.3"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22:38" ht="14.4" x14ac:dyDescent="0.3"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22:38" ht="14.4" x14ac:dyDescent="0.3"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22:38" ht="14.4" x14ac:dyDescent="0.3"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22:38" ht="14.4" x14ac:dyDescent="0.3"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22:38" ht="14.4" x14ac:dyDescent="0.3"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22:38" ht="14.4" x14ac:dyDescent="0.3"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22:38" ht="14.4" x14ac:dyDescent="0.3"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22:38" ht="14.4" x14ac:dyDescent="0.3"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22:38" ht="14.4" x14ac:dyDescent="0.3"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22:38" ht="14.4" x14ac:dyDescent="0.3"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22:38" ht="14.4" x14ac:dyDescent="0.3"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22:38" ht="14.4" x14ac:dyDescent="0.3"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22:38" ht="14.4" x14ac:dyDescent="0.3"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22:38" ht="14.4" x14ac:dyDescent="0.3"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22:38" ht="14.4" x14ac:dyDescent="0.3"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22:38" ht="14.4" x14ac:dyDescent="0.3"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22:38" ht="14.4" x14ac:dyDescent="0.3"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22:38" ht="14.4" x14ac:dyDescent="0.3"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22:38" ht="14.4" x14ac:dyDescent="0.3"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22:38" ht="14.4" x14ac:dyDescent="0.3"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22:38" ht="14.4" x14ac:dyDescent="0.3"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22:38" ht="14.4" x14ac:dyDescent="0.3"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22:38" ht="14.4" x14ac:dyDescent="0.3"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22:38" ht="14.4" x14ac:dyDescent="0.3"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22:38" ht="14.4" x14ac:dyDescent="0.3"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22:38" ht="14.4" x14ac:dyDescent="0.3"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22:38" ht="14.4" x14ac:dyDescent="0.3"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22:38" ht="14.4" x14ac:dyDescent="0.3"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22:38" ht="14.4" x14ac:dyDescent="0.3"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22:38" ht="14.4" x14ac:dyDescent="0.3"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22:38" ht="14.4" x14ac:dyDescent="0.3"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22:38" ht="14.4" x14ac:dyDescent="0.3"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22:38" ht="14.4" x14ac:dyDescent="0.3"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22:38" ht="14.4" x14ac:dyDescent="0.3"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22:38" ht="14.4" x14ac:dyDescent="0.3"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22:38" ht="14.4" x14ac:dyDescent="0.3"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22:38" ht="14.4" x14ac:dyDescent="0.3"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22:38" ht="14.4" x14ac:dyDescent="0.3"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22:38" ht="14.4" x14ac:dyDescent="0.3"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22:38" ht="14.4" x14ac:dyDescent="0.3"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22:38" ht="14.4" x14ac:dyDescent="0.3"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22:38" ht="14.4" x14ac:dyDescent="0.3"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22:38" ht="14.4" x14ac:dyDescent="0.3"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22:38" ht="14.4" x14ac:dyDescent="0.3"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22:38" ht="14.4" x14ac:dyDescent="0.3"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22:38" ht="14.4" x14ac:dyDescent="0.3"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22:38" ht="14.4" x14ac:dyDescent="0.3"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22:38" ht="14.4" x14ac:dyDescent="0.3"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22:38" ht="14.4" x14ac:dyDescent="0.3"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22:38" ht="14.4" x14ac:dyDescent="0.3"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22:38" ht="14.4" x14ac:dyDescent="0.3"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22:38" ht="14.4" x14ac:dyDescent="0.3"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22:38" ht="14.4" x14ac:dyDescent="0.3"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22:38" ht="14.4" x14ac:dyDescent="0.3"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22:38" ht="14.4" x14ac:dyDescent="0.3"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22:38" ht="14.4" x14ac:dyDescent="0.3"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22:38" ht="14.4" x14ac:dyDescent="0.3"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22:38" ht="14.4" x14ac:dyDescent="0.3"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22:38" ht="14.4" x14ac:dyDescent="0.3"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22:38" ht="14.4" x14ac:dyDescent="0.3"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22:38" ht="14.4" x14ac:dyDescent="0.3"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22:38" ht="14.4" x14ac:dyDescent="0.3"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22:38" ht="14.4" x14ac:dyDescent="0.3"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22:38" ht="14.4" x14ac:dyDescent="0.3"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22:38" ht="14.4" x14ac:dyDescent="0.3"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22:38" ht="14.4" x14ac:dyDescent="0.3"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22:38" ht="14.4" x14ac:dyDescent="0.3"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22:38" ht="14.4" x14ac:dyDescent="0.3"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22:38" ht="14.4" x14ac:dyDescent="0.3"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22:38" ht="14.4" x14ac:dyDescent="0.3"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22:38" ht="14.4" x14ac:dyDescent="0.3"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22:38" ht="14.4" x14ac:dyDescent="0.3"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22:38" ht="14.4" x14ac:dyDescent="0.3"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22:38" ht="14.4" x14ac:dyDescent="0.3"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22:38" ht="14.4" x14ac:dyDescent="0.3"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22:38" ht="14.4" x14ac:dyDescent="0.3"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22:38" ht="14.4" x14ac:dyDescent="0.3"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22:38" ht="14.4" x14ac:dyDescent="0.3"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22:38" ht="14.4" x14ac:dyDescent="0.3"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22:38" ht="14.4" x14ac:dyDescent="0.3"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22:38" ht="14.4" x14ac:dyDescent="0.3"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22:38" ht="14.4" x14ac:dyDescent="0.3"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22:38" ht="14.4" x14ac:dyDescent="0.3"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22:38" ht="14.4" x14ac:dyDescent="0.3"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22:38" ht="14.4" x14ac:dyDescent="0.3"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22:38" ht="14.4" x14ac:dyDescent="0.3"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</row>
    <row r="441" spans="22:38" ht="14.4" x14ac:dyDescent="0.3"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</row>
    <row r="442" spans="22:38" ht="14.4" x14ac:dyDescent="0.3"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</row>
    <row r="443" spans="22:38" ht="14.4" x14ac:dyDescent="0.3"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</row>
    <row r="444" spans="22:38" ht="14.4" x14ac:dyDescent="0.3"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</row>
    <row r="445" spans="22:38" ht="14.4" x14ac:dyDescent="0.3"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</row>
    <row r="446" spans="22:38" ht="14.4" x14ac:dyDescent="0.3"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</row>
    <row r="447" spans="22:38" ht="14.4" x14ac:dyDescent="0.3"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</row>
    <row r="448" spans="22:38" ht="14.4" x14ac:dyDescent="0.3"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</row>
    <row r="449" spans="22:38" ht="14.4" x14ac:dyDescent="0.3"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</row>
    <row r="450" spans="22:38" ht="14.4" x14ac:dyDescent="0.3"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</row>
    <row r="451" spans="22:38" ht="14.4" x14ac:dyDescent="0.3"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</row>
    <row r="452" spans="22:38" ht="14.4" x14ac:dyDescent="0.3"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</row>
    <row r="453" spans="22:38" ht="14.4" x14ac:dyDescent="0.3"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</row>
    <row r="454" spans="22:38" ht="14.4" x14ac:dyDescent="0.3"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</row>
    <row r="455" spans="22:38" ht="14.4" x14ac:dyDescent="0.3"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</row>
    <row r="456" spans="22:38" ht="14.4" x14ac:dyDescent="0.3"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</row>
    <row r="457" spans="22:38" ht="14.4" x14ac:dyDescent="0.3"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</row>
    <row r="458" spans="22:38" ht="14.4" x14ac:dyDescent="0.3"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</row>
    <row r="459" spans="22:38" ht="14.4" x14ac:dyDescent="0.3"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</row>
    <row r="460" spans="22:38" ht="14.4" x14ac:dyDescent="0.3"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</row>
    <row r="461" spans="22:38" ht="14.4" x14ac:dyDescent="0.3"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</row>
    <row r="462" spans="22:38" ht="14.4" x14ac:dyDescent="0.3"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</row>
    <row r="463" spans="22:38" ht="14.4" x14ac:dyDescent="0.3"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</row>
    <row r="464" spans="22:38" ht="14.4" x14ac:dyDescent="0.3"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</row>
    <row r="465" spans="22:38" ht="14.4" x14ac:dyDescent="0.3"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</row>
    <row r="466" spans="22:38" ht="14.4" x14ac:dyDescent="0.3"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</row>
    <row r="467" spans="22:38" ht="14.4" x14ac:dyDescent="0.3"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</row>
    <row r="468" spans="22:38" ht="14.4" x14ac:dyDescent="0.3"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</row>
    <row r="469" spans="22:38" ht="14.4" x14ac:dyDescent="0.3"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</row>
    <row r="470" spans="22:38" ht="14.4" x14ac:dyDescent="0.3"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</row>
    <row r="471" spans="22:38" ht="14.4" x14ac:dyDescent="0.3"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</row>
    <row r="472" spans="22:38" ht="14.4" x14ac:dyDescent="0.3"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</row>
    <row r="473" spans="22:38" ht="14.4" x14ac:dyDescent="0.3"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</row>
    <row r="474" spans="22:38" ht="14.4" x14ac:dyDescent="0.3"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</row>
    <row r="475" spans="22:38" ht="14.4" x14ac:dyDescent="0.3"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</row>
    <row r="476" spans="22:38" ht="14.4" x14ac:dyDescent="0.3"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</row>
    <row r="477" spans="22:38" ht="14.4" x14ac:dyDescent="0.3"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</row>
    <row r="478" spans="22:38" ht="14.4" x14ac:dyDescent="0.3"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</row>
    <row r="479" spans="22:38" ht="14.4" x14ac:dyDescent="0.3"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</row>
    <row r="480" spans="22:38" ht="14.4" x14ac:dyDescent="0.3"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</row>
    <row r="481" spans="22:38" ht="14.4" x14ac:dyDescent="0.3"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</row>
    <row r="482" spans="22:38" ht="14.4" x14ac:dyDescent="0.3"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</row>
    <row r="483" spans="22:38" ht="14.4" x14ac:dyDescent="0.3"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</row>
    <row r="484" spans="22:38" ht="14.4" x14ac:dyDescent="0.3"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</row>
    <row r="485" spans="22:38" ht="14.4" x14ac:dyDescent="0.3"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</row>
    <row r="486" spans="22:38" ht="14.4" x14ac:dyDescent="0.3"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</row>
    <row r="487" spans="22:38" ht="14.4" x14ac:dyDescent="0.3"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</row>
    <row r="488" spans="22:38" ht="14.4" x14ac:dyDescent="0.3"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</row>
    <row r="489" spans="22:38" ht="14.4" x14ac:dyDescent="0.3"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</row>
    <row r="490" spans="22:38" ht="14.4" x14ac:dyDescent="0.3"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</row>
    <row r="491" spans="22:38" ht="14.4" x14ac:dyDescent="0.3"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</row>
    <row r="492" spans="22:38" ht="14.4" x14ac:dyDescent="0.3"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</row>
    <row r="493" spans="22:38" ht="14.4" x14ac:dyDescent="0.3"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</row>
    <row r="494" spans="22:38" ht="14.4" x14ac:dyDescent="0.3"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</row>
    <row r="495" spans="22:38" ht="14.4" x14ac:dyDescent="0.3"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</row>
    <row r="496" spans="22:38" ht="14.4" x14ac:dyDescent="0.3"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</row>
    <row r="497" spans="22:38" ht="14.4" x14ac:dyDescent="0.3"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</row>
    <row r="498" spans="22:38" ht="14.4" x14ac:dyDescent="0.3"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</row>
    <row r="499" spans="22:38" ht="14.4" x14ac:dyDescent="0.3"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</row>
    <row r="500" spans="22:38" ht="14.4" x14ac:dyDescent="0.3"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</row>
    <row r="501" spans="22:38" ht="14.4" x14ac:dyDescent="0.3"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</row>
    <row r="502" spans="22:38" ht="14.4" x14ac:dyDescent="0.3"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</row>
    <row r="503" spans="22:38" ht="14.4" x14ac:dyDescent="0.3"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</row>
    <row r="504" spans="22:38" ht="14.4" x14ac:dyDescent="0.3"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</row>
    <row r="505" spans="22:38" ht="14.4" x14ac:dyDescent="0.3"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</row>
    <row r="506" spans="22:38" ht="14.4" x14ac:dyDescent="0.3"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</row>
    <row r="507" spans="22:38" ht="14.4" x14ac:dyDescent="0.3"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</row>
    <row r="508" spans="22:38" ht="14.4" x14ac:dyDescent="0.3"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</row>
    <row r="509" spans="22:38" ht="14.4" x14ac:dyDescent="0.3"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</row>
    <row r="510" spans="22:38" ht="14.4" x14ac:dyDescent="0.3"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</row>
    <row r="511" spans="22:38" ht="14.4" x14ac:dyDescent="0.3"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</row>
    <row r="512" spans="22:38" ht="14.4" x14ac:dyDescent="0.3"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</row>
    <row r="513" spans="22:38" ht="14.4" x14ac:dyDescent="0.3"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</row>
    <row r="514" spans="22:38" ht="14.4" x14ac:dyDescent="0.3"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</row>
    <row r="515" spans="22:38" ht="14.4" x14ac:dyDescent="0.3"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</row>
    <row r="516" spans="22:38" ht="14.4" x14ac:dyDescent="0.3"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</row>
    <row r="517" spans="22:38" ht="14.4" x14ac:dyDescent="0.3"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</row>
    <row r="518" spans="22:38" ht="14.4" x14ac:dyDescent="0.3"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</row>
    <row r="519" spans="22:38" ht="14.4" x14ac:dyDescent="0.3"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</row>
    <row r="520" spans="22:38" ht="14.4" x14ac:dyDescent="0.3"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</row>
    <row r="521" spans="22:38" ht="14.4" x14ac:dyDescent="0.3"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</row>
    <row r="522" spans="22:38" ht="14.4" x14ac:dyDescent="0.3"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</row>
    <row r="523" spans="22:38" ht="14.4" x14ac:dyDescent="0.3"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</row>
    <row r="524" spans="22:38" ht="14.4" x14ac:dyDescent="0.3"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</row>
    <row r="525" spans="22:38" ht="14.4" x14ac:dyDescent="0.3"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</row>
    <row r="526" spans="22:38" ht="14.4" x14ac:dyDescent="0.3"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</row>
    <row r="527" spans="22:38" ht="14.4" x14ac:dyDescent="0.3"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</row>
    <row r="528" spans="22:38" ht="14.4" x14ac:dyDescent="0.3"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</row>
    <row r="529" spans="22:38" ht="14.4" x14ac:dyDescent="0.3"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</row>
    <row r="530" spans="22:38" ht="14.4" x14ac:dyDescent="0.3"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</row>
    <row r="531" spans="22:38" ht="14.4" x14ac:dyDescent="0.3"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</row>
    <row r="532" spans="22:38" ht="14.4" x14ac:dyDescent="0.3"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</row>
    <row r="533" spans="22:38" ht="14.4" x14ac:dyDescent="0.3"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</row>
    <row r="534" spans="22:38" ht="14.4" x14ac:dyDescent="0.3"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</row>
    <row r="535" spans="22:38" ht="14.4" x14ac:dyDescent="0.3"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</row>
    <row r="536" spans="22:38" ht="14.4" x14ac:dyDescent="0.3"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</row>
    <row r="537" spans="22:38" ht="14.4" x14ac:dyDescent="0.3"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</row>
    <row r="538" spans="22:38" ht="14.4" x14ac:dyDescent="0.3"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</row>
    <row r="539" spans="22:38" ht="14.4" x14ac:dyDescent="0.3"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</row>
    <row r="540" spans="22:38" ht="14.4" x14ac:dyDescent="0.3"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</row>
    <row r="541" spans="22:38" ht="14.4" x14ac:dyDescent="0.3"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</row>
    <row r="542" spans="22:38" ht="14.4" x14ac:dyDescent="0.3"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</row>
    <row r="543" spans="22:38" ht="14.4" x14ac:dyDescent="0.3"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</row>
    <row r="544" spans="22:38" ht="14.4" x14ac:dyDescent="0.3"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</row>
    <row r="545" spans="22:38" ht="14.4" x14ac:dyDescent="0.3"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</row>
    <row r="546" spans="22:38" ht="14.4" x14ac:dyDescent="0.3"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</row>
    <row r="547" spans="22:38" ht="14.4" x14ac:dyDescent="0.3"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</row>
    <row r="548" spans="22:38" ht="14.4" x14ac:dyDescent="0.3"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</row>
    <row r="549" spans="22:38" ht="14.4" x14ac:dyDescent="0.3"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</row>
    <row r="550" spans="22:38" ht="14.4" x14ac:dyDescent="0.3"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</row>
    <row r="551" spans="22:38" ht="14.4" x14ac:dyDescent="0.3"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</row>
    <row r="552" spans="22:38" ht="14.4" x14ac:dyDescent="0.3"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</row>
    <row r="553" spans="22:38" ht="14.4" x14ac:dyDescent="0.3"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</row>
    <row r="554" spans="22:38" ht="14.4" x14ac:dyDescent="0.3"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</row>
    <row r="555" spans="22:38" ht="14.4" x14ac:dyDescent="0.3"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</row>
    <row r="556" spans="22:38" ht="14.4" x14ac:dyDescent="0.3"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</row>
    <row r="557" spans="22:38" ht="14.4" x14ac:dyDescent="0.3"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</row>
    <row r="558" spans="22:38" ht="14.4" x14ac:dyDescent="0.3"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</row>
    <row r="559" spans="22:38" ht="14.4" x14ac:dyDescent="0.3"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</row>
    <row r="560" spans="22:38" ht="14.4" x14ac:dyDescent="0.3"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</row>
    <row r="561" spans="22:38" ht="14.4" x14ac:dyDescent="0.3"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</row>
    <row r="562" spans="22:38" ht="14.4" x14ac:dyDescent="0.3"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</row>
    <row r="563" spans="22:38" ht="14.4" x14ac:dyDescent="0.3"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</row>
    <row r="564" spans="22:38" ht="14.4" x14ac:dyDescent="0.3"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</row>
    <row r="565" spans="22:38" ht="14.4" x14ac:dyDescent="0.3"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</row>
    <row r="566" spans="22:38" ht="14.4" x14ac:dyDescent="0.3"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</row>
    <row r="567" spans="22:38" ht="14.4" x14ac:dyDescent="0.3"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</row>
    <row r="568" spans="22:38" ht="14.4" x14ac:dyDescent="0.3"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</row>
    <row r="569" spans="22:38" ht="14.4" x14ac:dyDescent="0.3"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</row>
    <row r="570" spans="22:38" ht="14.4" x14ac:dyDescent="0.3"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</row>
    <row r="571" spans="22:38" ht="14.4" x14ac:dyDescent="0.3"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</row>
    <row r="572" spans="22:38" ht="14.4" x14ac:dyDescent="0.3"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</row>
    <row r="573" spans="22:38" ht="14.4" x14ac:dyDescent="0.3"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</row>
    <row r="574" spans="22:38" ht="14.4" x14ac:dyDescent="0.3"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</row>
    <row r="575" spans="22:38" ht="14.4" x14ac:dyDescent="0.3"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</row>
    <row r="576" spans="22:38" ht="14.4" x14ac:dyDescent="0.3"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</row>
    <row r="577" spans="22:38" ht="14.4" x14ac:dyDescent="0.3"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</row>
    <row r="578" spans="22:38" ht="14.4" x14ac:dyDescent="0.3"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</row>
    <row r="579" spans="22:38" ht="14.4" x14ac:dyDescent="0.3"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</row>
    <row r="580" spans="22:38" ht="14.4" x14ac:dyDescent="0.3"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</row>
    <row r="581" spans="22:38" ht="14.4" x14ac:dyDescent="0.3"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</row>
    <row r="582" spans="22:38" ht="14.4" x14ac:dyDescent="0.3"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</row>
    <row r="583" spans="22:38" ht="14.4" x14ac:dyDescent="0.3"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</row>
    <row r="584" spans="22:38" ht="14.4" x14ac:dyDescent="0.3"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</row>
    <row r="585" spans="22:38" ht="14.4" x14ac:dyDescent="0.3"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</row>
    <row r="586" spans="22:38" ht="14.4" x14ac:dyDescent="0.3"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</row>
    <row r="587" spans="22:38" ht="14.4" x14ac:dyDescent="0.3"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</row>
    <row r="588" spans="22:38" ht="14.4" x14ac:dyDescent="0.3"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</row>
    <row r="589" spans="22:38" ht="14.4" x14ac:dyDescent="0.3"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</row>
    <row r="590" spans="22:38" ht="14.4" x14ac:dyDescent="0.3"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</row>
    <row r="591" spans="22:38" ht="14.4" x14ac:dyDescent="0.3"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</row>
    <row r="592" spans="22:38" ht="14.4" x14ac:dyDescent="0.3"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</row>
    <row r="593" spans="22:38" ht="14.4" x14ac:dyDescent="0.3"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</row>
    <row r="594" spans="22:38" ht="14.4" x14ac:dyDescent="0.3"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</row>
    <row r="595" spans="22:38" ht="14.4" x14ac:dyDescent="0.3"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</row>
    <row r="596" spans="22:38" ht="14.4" x14ac:dyDescent="0.3"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</row>
    <row r="597" spans="22:38" ht="14.4" x14ac:dyDescent="0.3"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</row>
    <row r="598" spans="22:38" ht="14.4" x14ac:dyDescent="0.3"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</row>
    <row r="599" spans="22:38" ht="14.4" x14ac:dyDescent="0.3"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</row>
    <row r="600" spans="22:38" ht="14.4" x14ac:dyDescent="0.3"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</row>
    <row r="601" spans="22:38" ht="14.4" x14ac:dyDescent="0.3"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</row>
    <row r="602" spans="22:38" ht="14.4" x14ac:dyDescent="0.3"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</row>
    <row r="603" spans="22:38" ht="14.4" x14ac:dyDescent="0.3"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McIntyre, Andrew (Dr.)</dc:creator>
  <dc:description/>
  <cp:lastModifiedBy>Maddox Chastain</cp:lastModifiedBy>
  <cp:revision>1</cp:revision>
  <dcterms:created xsi:type="dcterms:W3CDTF">2026-01-20T15:00:35Z</dcterms:created>
  <dcterms:modified xsi:type="dcterms:W3CDTF">2026-07-13T22:59:52Z</dcterms:modified>
  <dc:language>en-US</dc:language>
</cp:coreProperties>
</file>