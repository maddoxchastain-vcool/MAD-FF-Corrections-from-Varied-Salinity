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M0112B/"/>
    </mc:Choice>
  </mc:AlternateContent>
  <xr:revisionPtr revIDLastSave="0" documentId="13_ncr:1_{DFFDEB92-6404-4B62-933D-3792DEAF34F6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MAD" sheetId="2" r:id="rId1"/>
    <sheet name="STD" sheetId="9" r:id="rId2"/>
    <sheet name="Depth vlookup" sheetId="6" r:id="rId3"/>
    <sheet name="Beakers" sheetId="1" r:id="rId4"/>
    <sheet name="Sample List" sheetId="8" r:id="rId5"/>
    <sheet name="PRINT" sheetId="3" r:id="rId6"/>
    <sheet name="Plots_M0111" sheetId="10" r:id="rId7"/>
    <sheet name="Plots_M0112" sheetId="11" r:id="rId8"/>
  </sheets>
  <externalReferences>
    <externalReference r:id="rId9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/>
  <c r="L2" i="2" s="1"/>
  <c r="L10" i="2"/>
  <c r="K10" i="2"/>
  <c r="K7" i="2"/>
  <c r="L8" i="2"/>
  <c r="L9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8" i="2"/>
  <c r="K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L3" i="2"/>
  <c r="L4" i="2"/>
  <c r="L5" i="2"/>
  <c r="L6" i="2"/>
  <c r="K3" i="2"/>
  <c r="K4" i="2"/>
  <c r="K5" i="2"/>
  <c r="K6" i="2"/>
  <c r="AC51" i="2"/>
  <c r="D150" i="9"/>
  <c r="D149" i="9"/>
  <c r="D148" i="9"/>
  <c r="AC48" i="2"/>
  <c r="AC49" i="2"/>
  <c r="AC50" i="2"/>
  <c r="AC45" i="2"/>
  <c r="AC46" i="2"/>
  <c r="AC47" i="2"/>
  <c r="D147" i="9"/>
  <c r="AC42" i="2"/>
  <c r="AC43" i="2"/>
  <c r="AC44" i="2"/>
  <c r="D146" i="9"/>
  <c r="W42" i="2"/>
  <c r="D145" i="9"/>
  <c r="AC39" i="2"/>
  <c r="AC40" i="2"/>
  <c r="AC41" i="2"/>
  <c r="AC37" i="2"/>
  <c r="AC38" i="2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N51" i="2"/>
  <c r="W51" i="2" s="1"/>
  <c r="N50" i="2"/>
  <c r="V50" i="2" s="1"/>
  <c r="N49" i="2"/>
  <c r="V49" i="2" s="1"/>
  <c r="N48" i="2"/>
  <c r="V48" i="2" s="1"/>
  <c r="N47" i="2"/>
  <c r="V47" i="2" s="1"/>
  <c r="N46" i="2"/>
  <c r="V46" i="2" s="1"/>
  <c r="N45" i="2"/>
  <c r="V45" i="2" s="1"/>
  <c r="N44" i="2"/>
  <c r="V44" i="2" s="1"/>
  <c r="N43" i="2"/>
  <c r="V43" i="2" s="1"/>
  <c r="N42" i="2"/>
  <c r="V42" i="2" s="1"/>
  <c r="N41" i="2"/>
  <c r="V41" i="2" s="1"/>
  <c r="N40" i="2"/>
  <c r="V40" i="2" s="1"/>
  <c r="N39" i="2"/>
  <c r="V39" i="2" s="1"/>
  <c r="N38" i="2"/>
  <c r="V38" i="2" s="1"/>
  <c r="N37" i="2"/>
  <c r="V37" i="2" s="1"/>
  <c r="N36" i="2"/>
  <c r="V36" i="2" s="1"/>
  <c r="N35" i="2"/>
  <c r="V35" i="2" s="1"/>
  <c r="N34" i="2"/>
  <c r="V34" i="2" s="1"/>
  <c r="N33" i="2"/>
  <c r="I51" i="2"/>
  <c r="I50" i="2"/>
  <c r="I49" i="2"/>
  <c r="I48" i="2"/>
  <c r="I47" i="2"/>
  <c r="I46" i="2"/>
  <c r="I45" i="2"/>
  <c r="I44" i="2"/>
  <c r="J44" i="2" s="1"/>
  <c r="I43" i="2"/>
  <c r="I42" i="2"/>
  <c r="I41" i="2"/>
  <c r="I40" i="2"/>
  <c r="J40" i="2" s="1"/>
  <c r="I39" i="2"/>
  <c r="I38" i="2"/>
  <c r="I37" i="2"/>
  <c r="I36" i="2"/>
  <c r="I35" i="2"/>
  <c r="I34" i="2"/>
  <c r="I33" i="2"/>
  <c r="N30" i="2"/>
  <c r="W30" i="2" s="1"/>
  <c r="N31" i="2"/>
  <c r="N32" i="2"/>
  <c r="V32" i="2" s="1"/>
  <c r="I30" i="2"/>
  <c r="I31" i="2"/>
  <c r="J31" i="2" s="1"/>
  <c r="I32" i="2"/>
  <c r="N27" i="2"/>
  <c r="V27" i="2" s="1"/>
  <c r="N28" i="2"/>
  <c r="V28" i="2" s="1"/>
  <c r="N29" i="2"/>
  <c r="W29" i="2" s="1"/>
  <c r="I27" i="2"/>
  <c r="J27" i="2" s="1"/>
  <c r="I28" i="2"/>
  <c r="J28" i="2" s="1"/>
  <c r="I29" i="2"/>
  <c r="N24" i="2"/>
  <c r="V24" i="2" s="1"/>
  <c r="N25" i="2"/>
  <c r="V25" i="2" s="1"/>
  <c r="N26" i="2"/>
  <c r="V26" i="2" s="1"/>
  <c r="I24" i="2"/>
  <c r="I25" i="2"/>
  <c r="J25" i="2" s="1"/>
  <c r="I26" i="2"/>
  <c r="J26" i="2" s="1"/>
  <c r="N21" i="2"/>
  <c r="V21" i="2" s="1"/>
  <c r="N22" i="2"/>
  <c r="V22" i="2" s="1"/>
  <c r="N23" i="2"/>
  <c r="V23" i="2" s="1"/>
  <c r="I21" i="2"/>
  <c r="I22" i="2"/>
  <c r="J22" i="2" s="1"/>
  <c r="I23" i="2"/>
  <c r="J23" i="2" s="1"/>
  <c r="D127" i="9"/>
  <c r="N18" i="2"/>
  <c r="V18" i="2" s="1"/>
  <c r="N19" i="2"/>
  <c r="W19" i="2" s="1"/>
  <c r="N20" i="2"/>
  <c r="I18" i="2"/>
  <c r="J18" i="2" s="1"/>
  <c r="I19" i="2"/>
  <c r="J19" i="2" s="1"/>
  <c r="I20" i="2"/>
  <c r="J20" i="2" s="1"/>
  <c r="D126" i="9"/>
  <c r="D125" i="9"/>
  <c r="N16" i="2"/>
  <c r="V16" i="2" s="1"/>
  <c r="N17" i="2"/>
  <c r="V17" i="2" s="1"/>
  <c r="I16" i="2"/>
  <c r="J16" i="2" s="1"/>
  <c r="I17" i="2"/>
  <c r="J17" i="2" s="1"/>
  <c r="D124" i="9"/>
  <c r="D123" i="9"/>
  <c r="D122" i="9"/>
  <c r="D121" i="9"/>
  <c r="D120" i="9"/>
  <c r="D119" i="9"/>
  <c r="N15" i="2"/>
  <c r="N14" i="2"/>
  <c r="V14" i="2" s="1"/>
  <c r="N13" i="2"/>
  <c r="V13" i="2" s="1"/>
  <c r="N12" i="2"/>
  <c r="W12" i="2" s="1"/>
  <c r="N11" i="2"/>
  <c r="W11" i="2" s="1"/>
  <c r="N10" i="2"/>
  <c r="V10" i="2" s="1"/>
  <c r="N9" i="2"/>
  <c r="V9" i="2" s="1"/>
  <c r="N8" i="2"/>
  <c r="W8" i="2" s="1"/>
  <c r="N7" i="2"/>
  <c r="V7" i="2" s="1"/>
  <c r="N6" i="2"/>
  <c r="V6" i="2" s="1"/>
  <c r="I15" i="2"/>
  <c r="I14" i="2"/>
  <c r="I13" i="2"/>
  <c r="I12" i="2"/>
  <c r="I11" i="2"/>
  <c r="I10" i="2"/>
  <c r="I9" i="2"/>
  <c r="I8" i="2"/>
  <c r="I7" i="2"/>
  <c r="I6" i="2"/>
  <c r="D118" i="9"/>
  <c r="N2" i="2"/>
  <c r="W2" i="2" s="1"/>
  <c r="N3" i="2"/>
  <c r="V3" i="2" s="1"/>
  <c r="N4" i="2"/>
  <c r="V4" i="2" s="1"/>
  <c r="N5" i="2"/>
  <c r="V5" i="2" s="1"/>
  <c r="I2" i="2"/>
  <c r="I3" i="2"/>
  <c r="J3" i="2" s="1"/>
  <c r="I4" i="2"/>
  <c r="J4" i="2" s="1"/>
  <c r="I5" i="2"/>
  <c r="J5" i="2" s="1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AC27" i="2"/>
  <c r="AC28" i="2"/>
  <c r="AC29" i="2"/>
  <c r="AC30" i="2"/>
  <c r="AC31" i="2"/>
  <c r="AC32" i="2"/>
  <c r="AC33" i="2"/>
  <c r="AC34" i="2"/>
  <c r="AC35" i="2"/>
  <c r="AC36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V2" i="2"/>
  <c r="W5" i="2"/>
  <c r="W6" i="2"/>
  <c r="W7" i="2"/>
  <c r="V8" i="2"/>
  <c r="V11" i="2"/>
  <c r="V15" i="2"/>
  <c r="W15" i="2"/>
  <c r="V20" i="2"/>
  <c r="W20" i="2"/>
  <c r="W28" i="2"/>
  <c r="V29" i="2"/>
  <c r="V31" i="2"/>
  <c r="W31" i="2"/>
  <c r="V33" i="2"/>
  <c r="W33" i="2"/>
  <c r="W34" i="2"/>
  <c r="D75" i="9"/>
  <c r="D74" i="9"/>
  <c r="D73" i="9"/>
  <c r="D72" i="9"/>
  <c r="D71" i="9"/>
  <c r="D70" i="9"/>
  <c r="D69" i="9"/>
  <c r="M34" i="9"/>
  <c r="M33" i="9"/>
  <c r="M32" i="9"/>
  <c r="M31" i="9"/>
  <c r="M30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M27" i="9"/>
  <c r="M26" i="9"/>
  <c r="M25" i="9"/>
  <c r="M24" i="9"/>
  <c r="M23" i="9"/>
  <c r="D15" i="9"/>
  <c r="D14" i="9"/>
  <c r="D13" i="9"/>
  <c r="M21" i="9"/>
  <c r="M20" i="9"/>
  <c r="M19" i="9"/>
  <c r="M18" i="9"/>
  <c r="M17" i="9"/>
  <c r="D12" i="9"/>
  <c r="D11" i="9"/>
  <c r="M12" i="9"/>
  <c r="M13" i="9"/>
  <c r="M14" i="9"/>
  <c r="M11" i="9"/>
  <c r="D8" i="9"/>
  <c r="D7" i="9"/>
  <c r="D6" i="9"/>
  <c r="D5" i="9"/>
  <c r="D4" i="9"/>
  <c r="D3" i="9"/>
  <c r="D2" i="9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5" i="1"/>
  <c r="C17" i="1"/>
  <c r="C16" i="1"/>
  <c r="C14" i="1"/>
  <c r="C13" i="1"/>
  <c r="C12" i="1"/>
  <c r="C11" i="1"/>
  <c r="C10" i="1"/>
  <c r="C9" i="1"/>
  <c r="C8" i="1"/>
  <c r="C7" i="1"/>
  <c r="C2" i="1"/>
  <c r="C3" i="1"/>
  <c r="L7" i="2" l="1"/>
  <c r="V19" i="2"/>
  <c r="W41" i="2"/>
  <c r="X41" i="2" s="1"/>
  <c r="X42" i="2"/>
  <c r="AF42" i="2" s="1"/>
  <c r="W4" i="2"/>
  <c r="X4" i="2" s="1"/>
  <c r="Y4" i="2" s="1"/>
  <c r="X51" i="2"/>
  <c r="Y51" i="2" s="1"/>
  <c r="AB51" i="2" s="1"/>
  <c r="AD51" i="2" s="1"/>
  <c r="AH51" i="2" s="1"/>
  <c r="V51" i="2"/>
  <c r="W48" i="2"/>
  <c r="X48" i="2" s="1"/>
  <c r="W43" i="2"/>
  <c r="J2" i="2"/>
  <c r="J21" i="2"/>
  <c r="W44" i="2"/>
  <c r="Z44" i="2" s="1"/>
  <c r="X39" i="2"/>
  <c r="Y39" i="2" s="1"/>
  <c r="Z39" i="2" s="1"/>
  <c r="AG39" i="2" s="1"/>
  <c r="AA42" i="2"/>
  <c r="W37" i="2"/>
  <c r="X43" i="2"/>
  <c r="X44" i="2"/>
  <c r="Y44" i="2" s="1"/>
  <c r="AB44" i="2" s="1"/>
  <c r="AE44" i="2" s="1"/>
  <c r="W38" i="2"/>
  <c r="X38" i="2" s="1"/>
  <c r="AA38" i="2" s="1"/>
  <c r="W40" i="2"/>
  <c r="X40" i="2" s="1"/>
  <c r="W45" i="2"/>
  <c r="X45" i="2" s="1"/>
  <c r="AF45" i="2" s="1"/>
  <c r="W49" i="2"/>
  <c r="X49" i="2" s="1"/>
  <c r="W32" i="2"/>
  <c r="W27" i="2"/>
  <c r="W14" i="2"/>
  <c r="W46" i="2"/>
  <c r="W50" i="2"/>
  <c r="X50" i="2" s="1"/>
  <c r="W39" i="2"/>
  <c r="X37" i="2"/>
  <c r="Y37" i="2" s="1"/>
  <c r="Z37" i="2" s="1"/>
  <c r="W47" i="2"/>
  <c r="X47" i="2" s="1"/>
  <c r="AA51" i="2"/>
  <c r="AF51" i="2"/>
  <c r="AA45" i="2"/>
  <c r="AA44" i="2"/>
  <c r="Y41" i="2"/>
  <c r="AB41" i="2" s="1"/>
  <c r="AA41" i="2"/>
  <c r="AF41" i="2"/>
  <c r="AF40" i="2"/>
  <c r="Y40" i="2"/>
  <c r="AB40" i="2" s="1"/>
  <c r="AA40" i="2"/>
  <c r="Y38" i="2"/>
  <c r="J7" i="2"/>
  <c r="J24" i="2"/>
  <c r="W16" i="2"/>
  <c r="W18" i="2"/>
  <c r="X18" i="2" s="1"/>
  <c r="Y18" i="2" s="1"/>
  <c r="J32" i="2"/>
  <c r="W3" i="2"/>
  <c r="X3" i="2" s="1"/>
  <c r="AA3" i="2" s="1"/>
  <c r="J30" i="2"/>
  <c r="V30" i="2"/>
  <c r="X30" i="2" s="1"/>
  <c r="J43" i="2"/>
  <c r="J6" i="2"/>
  <c r="W9" i="2"/>
  <c r="X9" i="2" s="1"/>
  <c r="Y9" i="2" s="1"/>
  <c r="J29" i="2"/>
  <c r="J35" i="2"/>
  <c r="J51" i="2"/>
  <c r="X31" i="2"/>
  <c r="AF31" i="2" s="1"/>
  <c r="X16" i="2"/>
  <c r="Y16" i="2" s="1"/>
  <c r="J47" i="2"/>
  <c r="J39" i="2"/>
  <c r="W36" i="2"/>
  <c r="X36" i="2" s="1"/>
  <c r="Y36" i="2" s="1"/>
  <c r="X34" i="2"/>
  <c r="AF34" i="2" s="1"/>
  <c r="W35" i="2"/>
  <c r="X35" i="2" s="1"/>
  <c r="AA35" i="2" s="1"/>
  <c r="X33" i="2"/>
  <c r="AF33" i="2" s="1"/>
  <c r="J36" i="2"/>
  <c r="J48" i="2"/>
  <c r="J33" i="2"/>
  <c r="J37" i="2"/>
  <c r="J41" i="2"/>
  <c r="J45" i="2"/>
  <c r="J49" i="2"/>
  <c r="J34" i="2"/>
  <c r="J38" i="2"/>
  <c r="J42" i="2"/>
  <c r="J46" i="2"/>
  <c r="J50" i="2"/>
  <c r="X28" i="2"/>
  <c r="Y28" i="2" s="1"/>
  <c r="X27" i="2"/>
  <c r="AF27" i="2" s="1"/>
  <c r="X29" i="2"/>
  <c r="Y29" i="2" s="1"/>
  <c r="W26" i="2"/>
  <c r="X26" i="2" s="1"/>
  <c r="W25" i="2"/>
  <c r="W24" i="2"/>
  <c r="X24" i="2" s="1"/>
  <c r="Y24" i="2" s="1"/>
  <c r="W23" i="2"/>
  <c r="X23" i="2" s="1"/>
  <c r="AF23" i="2" s="1"/>
  <c r="W22" i="2"/>
  <c r="X22" i="2" s="1"/>
  <c r="W21" i="2"/>
  <c r="X21" i="2" s="1"/>
  <c r="X20" i="2"/>
  <c r="AF20" i="2" s="1"/>
  <c r="X19" i="2"/>
  <c r="AF19" i="2" s="1"/>
  <c r="W17" i="2"/>
  <c r="X17" i="2" s="1"/>
  <c r="X14" i="2"/>
  <c r="Y14" i="2" s="1"/>
  <c r="Z14" i="2" s="1"/>
  <c r="V12" i="2"/>
  <c r="X12" i="2" s="1"/>
  <c r="AF12" i="2" s="1"/>
  <c r="W10" i="2"/>
  <c r="X10" i="2" s="1"/>
  <c r="J11" i="2"/>
  <c r="J15" i="2"/>
  <c r="J14" i="2"/>
  <c r="J10" i="2"/>
  <c r="X8" i="2"/>
  <c r="AF8" i="2" s="1"/>
  <c r="W13" i="2"/>
  <c r="X13" i="2" s="1"/>
  <c r="J8" i="2"/>
  <c r="J12" i="2"/>
  <c r="J9" i="2"/>
  <c r="J13" i="2"/>
  <c r="X5" i="2"/>
  <c r="AF5" i="2" s="1"/>
  <c r="X2" i="2"/>
  <c r="AF2" i="2" s="1"/>
  <c r="AB16" i="2"/>
  <c r="AE16" i="2" s="1"/>
  <c r="Z16" i="2"/>
  <c r="AG16" i="2" s="1"/>
  <c r="X15" i="2"/>
  <c r="AA15" i="2" s="1"/>
  <c r="X32" i="2"/>
  <c r="X7" i="2"/>
  <c r="AA7" i="2" s="1"/>
  <c r="X6" i="2"/>
  <c r="AA6" i="2" s="1"/>
  <c r="AF16" i="2"/>
  <c r="X11" i="2"/>
  <c r="AA11" i="2" s="1"/>
  <c r="Y5" i="2"/>
  <c r="AA2" i="2"/>
  <c r="I604" i="8"/>
  <c r="I603" i="8"/>
  <c r="I602" i="8"/>
  <c r="I601" i="8"/>
  <c r="I600" i="8"/>
  <c r="I599" i="8"/>
  <c r="I598" i="8"/>
  <c r="J598" i="8" s="1"/>
  <c r="I597" i="8"/>
  <c r="I596" i="8"/>
  <c r="I595" i="8"/>
  <c r="I594" i="8"/>
  <c r="J594" i="8" s="1"/>
  <c r="I593" i="8"/>
  <c r="I592" i="8"/>
  <c r="I591" i="8"/>
  <c r="J591" i="8" s="1"/>
  <c r="I590" i="8"/>
  <c r="I589" i="8"/>
  <c r="I588" i="8"/>
  <c r="I587" i="8"/>
  <c r="M587" i="8" s="1"/>
  <c r="I586" i="8"/>
  <c r="M586" i="8" s="1"/>
  <c r="I585" i="8"/>
  <c r="I584" i="8"/>
  <c r="I583" i="8"/>
  <c r="I582" i="8"/>
  <c r="I581" i="8"/>
  <c r="J581" i="8" s="1"/>
  <c r="I580" i="8"/>
  <c r="I579" i="8"/>
  <c r="J579" i="8" s="1"/>
  <c r="I578" i="8"/>
  <c r="I577" i="8"/>
  <c r="I576" i="8"/>
  <c r="I575" i="8"/>
  <c r="I574" i="8"/>
  <c r="I573" i="8"/>
  <c r="J573" i="8" s="1"/>
  <c r="I572" i="8"/>
  <c r="J572" i="8" s="1"/>
  <c r="I571" i="8"/>
  <c r="J571" i="8" s="1"/>
  <c r="I570" i="8"/>
  <c r="I569" i="8"/>
  <c r="J569" i="8" s="1"/>
  <c r="I568" i="8"/>
  <c r="I567" i="8"/>
  <c r="I566" i="8"/>
  <c r="I565" i="8"/>
  <c r="I564" i="8"/>
  <c r="I563" i="8"/>
  <c r="I562" i="8"/>
  <c r="I561" i="8"/>
  <c r="I560" i="8"/>
  <c r="I559" i="8"/>
  <c r="I558" i="8"/>
  <c r="J558" i="8" s="1"/>
  <c r="I557" i="8"/>
  <c r="I556" i="8"/>
  <c r="I555" i="8"/>
  <c r="I554" i="8"/>
  <c r="J554" i="8" s="1"/>
  <c r="I553" i="8"/>
  <c r="J553" i="8" s="1"/>
  <c r="I552" i="8"/>
  <c r="I551" i="8"/>
  <c r="J551" i="8" s="1"/>
  <c r="I550" i="8"/>
  <c r="I549" i="8"/>
  <c r="I548" i="8"/>
  <c r="J548" i="8" s="1"/>
  <c r="I547" i="8"/>
  <c r="I546" i="8"/>
  <c r="M546" i="8" s="1"/>
  <c r="I545" i="8"/>
  <c r="I544" i="8"/>
  <c r="I543" i="8"/>
  <c r="J543" i="8" s="1"/>
  <c r="I542" i="8"/>
  <c r="I541" i="8"/>
  <c r="I540" i="8"/>
  <c r="I539" i="8"/>
  <c r="J539" i="8" s="1"/>
  <c r="I538" i="8"/>
  <c r="J538" i="8" s="1"/>
  <c r="I537" i="8"/>
  <c r="I536" i="8"/>
  <c r="I535" i="8"/>
  <c r="I534" i="8"/>
  <c r="M534" i="8" s="1"/>
  <c r="I533" i="8"/>
  <c r="I532" i="8"/>
  <c r="I531" i="8"/>
  <c r="J531" i="8" s="1"/>
  <c r="I530" i="8"/>
  <c r="I529" i="8"/>
  <c r="I528" i="8"/>
  <c r="I527" i="8"/>
  <c r="I526" i="8"/>
  <c r="J526" i="8" s="1"/>
  <c r="I525" i="8"/>
  <c r="I524" i="8"/>
  <c r="M524" i="8" s="1"/>
  <c r="I523" i="8"/>
  <c r="J523" i="8" s="1"/>
  <c r="I522" i="8"/>
  <c r="M523" i="8" s="1"/>
  <c r="I521" i="8"/>
  <c r="I520" i="8"/>
  <c r="I519" i="8"/>
  <c r="I518" i="8"/>
  <c r="J518" i="8" s="1"/>
  <c r="I517" i="8"/>
  <c r="I516" i="8"/>
  <c r="M516" i="8" s="1"/>
  <c r="I515" i="8"/>
  <c r="I514" i="8"/>
  <c r="I513" i="8"/>
  <c r="J513" i="8" s="1"/>
  <c r="I512" i="8"/>
  <c r="J512" i="8" s="1"/>
  <c r="I511" i="8"/>
  <c r="I510" i="8"/>
  <c r="I509" i="8"/>
  <c r="J509" i="8" s="1"/>
  <c r="I508" i="8"/>
  <c r="I507" i="8"/>
  <c r="I506" i="8"/>
  <c r="I505" i="8"/>
  <c r="I504" i="8"/>
  <c r="I503" i="8"/>
  <c r="I502" i="8"/>
  <c r="M502" i="8" s="1"/>
  <c r="I501" i="8"/>
  <c r="M501" i="8" s="1"/>
  <c r="I500" i="8"/>
  <c r="I499" i="8"/>
  <c r="I498" i="8"/>
  <c r="J498" i="8" s="1"/>
  <c r="I497" i="8"/>
  <c r="I496" i="8"/>
  <c r="J496" i="8" s="1"/>
  <c r="I495" i="8"/>
  <c r="I494" i="8"/>
  <c r="I493" i="8"/>
  <c r="I492" i="8"/>
  <c r="I491" i="8"/>
  <c r="J491" i="8" s="1"/>
  <c r="I490" i="8"/>
  <c r="I489" i="8"/>
  <c r="J489" i="8" s="1"/>
  <c r="I488" i="8"/>
  <c r="I487" i="8"/>
  <c r="I486" i="8"/>
  <c r="I485" i="8"/>
  <c r="I484" i="8"/>
  <c r="I483" i="8"/>
  <c r="M483" i="8" s="1"/>
  <c r="I482" i="8"/>
  <c r="J482" i="8" s="1"/>
  <c r="I481" i="8"/>
  <c r="M482" i="8" s="1"/>
  <c r="I480" i="8"/>
  <c r="I479" i="8"/>
  <c r="J479" i="8" s="1"/>
  <c r="I478" i="8"/>
  <c r="M479" i="8" s="1"/>
  <c r="I477" i="8"/>
  <c r="I476" i="8"/>
  <c r="I475" i="8"/>
  <c r="M475" i="8" s="1"/>
  <c r="I474" i="8"/>
  <c r="I473" i="8"/>
  <c r="I472" i="8"/>
  <c r="J472" i="8" s="1"/>
  <c r="I471" i="8"/>
  <c r="J471" i="8" s="1"/>
  <c r="I470" i="8"/>
  <c r="I469" i="8"/>
  <c r="J469" i="8" s="1"/>
  <c r="I468" i="8"/>
  <c r="I467" i="8"/>
  <c r="J467" i="8" s="1"/>
  <c r="I466" i="8"/>
  <c r="I465" i="8"/>
  <c r="I464" i="8"/>
  <c r="I463" i="8"/>
  <c r="I462" i="8"/>
  <c r="J462" i="8" s="1"/>
  <c r="I461" i="8"/>
  <c r="J461" i="8" s="1"/>
  <c r="I460" i="8"/>
  <c r="I459" i="8"/>
  <c r="J459" i="8" s="1"/>
  <c r="I458" i="8"/>
  <c r="J458" i="8" s="1"/>
  <c r="I457" i="8"/>
  <c r="I456" i="8"/>
  <c r="I455" i="8"/>
  <c r="I454" i="8"/>
  <c r="I453" i="8"/>
  <c r="I452" i="8"/>
  <c r="I451" i="8"/>
  <c r="J451" i="8" s="1"/>
  <c r="I450" i="8"/>
  <c r="I449" i="8"/>
  <c r="I448" i="8"/>
  <c r="I447" i="8"/>
  <c r="J447" i="8" s="1"/>
  <c r="I446" i="8"/>
  <c r="I445" i="8"/>
  <c r="I444" i="8"/>
  <c r="I443" i="8"/>
  <c r="I442" i="8"/>
  <c r="I441" i="8"/>
  <c r="J441" i="8" s="1"/>
  <c r="I440" i="8"/>
  <c r="J440" i="8" s="1"/>
  <c r="I439" i="8"/>
  <c r="I438" i="8"/>
  <c r="J438" i="8" s="1"/>
  <c r="I437" i="8"/>
  <c r="I436" i="8"/>
  <c r="J436" i="8" s="1"/>
  <c r="I435" i="8"/>
  <c r="I434" i="8"/>
  <c r="I433" i="8"/>
  <c r="I432" i="8"/>
  <c r="I431" i="8"/>
  <c r="J431" i="8" s="1"/>
  <c r="I430" i="8"/>
  <c r="I429" i="8"/>
  <c r="I428" i="8"/>
  <c r="I427" i="8"/>
  <c r="M427" i="8" s="1"/>
  <c r="I426" i="8"/>
  <c r="J426" i="8" s="1"/>
  <c r="I425" i="8"/>
  <c r="J425" i="8" s="1"/>
  <c r="I424" i="8"/>
  <c r="I423" i="8"/>
  <c r="J423" i="8" s="1"/>
  <c r="I422" i="8"/>
  <c r="I421" i="8"/>
  <c r="I420" i="8"/>
  <c r="I419" i="8"/>
  <c r="J419" i="8" s="1"/>
  <c r="I417" i="8"/>
  <c r="I416" i="8"/>
  <c r="I415" i="8"/>
  <c r="J415" i="8" s="1"/>
  <c r="I414" i="8"/>
  <c r="J414" i="8" s="1"/>
  <c r="J413" i="8"/>
  <c r="I413" i="8"/>
  <c r="I412" i="8"/>
  <c r="I411" i="8"/>
  <c r="J411" i="8" s="1"/>
  <c r="I410" i="8"/>
  <c r="J410" i="8" s="1"/>
  <c r="I409" i="8"/>
  <c r="I408" i="8"/>
  <c r="I407" i="8"/>
  <c r="J407" i="8" s="1"/>
  <c r="I406" i="8"/>
  <c r="I405" i="8"/>
  <c r="J405" i="8" s="1"/>
  <c r="I404" i="8"/>
  <c r="I403" i="8"/>
  <c r="J403" i="8" s="1"/>
  <c r="I402" i="8"/>
  <c r="I401" i="8"/>
  <c r="I400" i="8"/>
  <c r="J400" i="8" s="1"/>
  <c r="I399" i="8"/>
  <c r="I398" i="8"/>
  <c r="J398" i="8" s="1"/>
  <c r="I397" i="8"/>
  <c r="J397" i="8" s="1"/>
  <c r="I396" i="8"/>
  <c r="I395" i="8"/>
  <c r="I394" i="8"/>
  <c r="J394" i="8" s="1"/>
  <c r="I393" i="8"/>
  <c r="J393" i="8" s="1"/>
  <c r="I392" i="8"/>
  <c r="I391" i="8"/>
  <c r="I390" i="8"/>
  <c r="I389" i="8"/>
  <c r="J389" i="8" s="1"/>
  <c r="I388" i="8"/>
  <c r="I387" i="8"/>
  <c r="I386" i="8"/>
  <c r="I385" i="8"/>
  <c r="J385" i="8" s="1"/>
  <c r="I384" i="8"/>
  <c r="I383" i="8"/>
  <c r="I382" i="8"/>
  <c r="J382" i="8" s="1"/>
  <c r="I381" i="8"/>
  <c r="I380" i="8"/>
  <c r="J380" i="8" s="1"/>
  <c r="I379" i="8"/>
  <c r="J379" i="8" s="1"/>
  <c r="I378" i="8"/>
  <c r="J378" i="8" s="1"/>
  <c r="I377" i="8"/>
  <c r="J377" i="8" s="1"/>
  <c r="I376" i="8"/>
  <c r="I375" i="8"/>
  <c r="J375" i="8" s="1"/>
  <c r="I374" i="8"/>
  <c r="I373" i="8"/>
  <c r="I372" i="8"/>
  <c r="M372" i="8" s="1"/>
  <c r="I371" i="8"/>
  <c r="J371" i="8" s="1"/>
  <c r="I370" i="8"/>
  <c r="I369" i="8"/>
  <c r="J369" i="8" s="1"/>
  <c r="I367" i="8"/>
  <c r="I366" i="8"/>
  <c r="I365" i="8"/>
  <c r="I364" i="8"/>
  <c r="J364" i="8" s="1"/>
  <c r="I363" i="8"/>
  <c r="M363" i="8" s="1"/>
  <c r="I362" i="8"/>
  <c r="I361" i="8"/>
  <c r="I360" i="8"/>
  <c r="I359" i="8"/>
  <c r="I358" i="8"/>
  <c r="J358" i="8" s="1"/>
  <c r="I357" i="8"/>
  <c r="I356" i="8"/>
  <c r="J356" i="8" s="1"/>
  <c r="I355" i="8"/>
  <c r="J355" i="8" s="1"/>
  <c r="I354" i="8"/>
  <c r="I353" i="8"/>
  <c r="J353" i="8" s="1"/>
  <c r="I352" i="8"/>
  <c r="I351" i="8"/>
  <c r="J351" i="8" s="1"/>
  <c r="I350" i="8"/>
  <c r="M351" i="8" s="1"/>
  <c r="I349" i="8"/>
  <c r="J349" i="8" s="1"/>
  <c r="I348" i="8"/>
  <c r="J348" i="8" s="1"/>
  <c r="I347" i="8"/>
  <c r="I346" i="8"/>
  <c r="I345" i="8"/>
  <c r="I344" i="8"/>
  <c r="J344" i="8" s="1"/>
  <c r="I343" i="8"/>
  <c r="J343" i="8" s="1"/>
  <c r="I342" i="8"/>
  <c r="I341" i="8"/>
  <c r="I340" i="8"/>
  <c r="J340" i="8" s="1"/>
  <c r="I339" i="8"/>
  <c r="I338" i="8"/>
  <c r="I337" i="8"/>
  <c r="I336" i="8"/>
  <c r="I335" i="8"/>
  <c r="I334" i="8"/>
  <c r="I333" i="8"/>
  <c r="J333" i="8" s="1"/>
  <c r="I332" i="8"/>
  <c r="J332" i="8" s="1"/>
  <c r="I331" i="8"/>
  <c r="I330" i="8"/>
  <c r="I329" i="8"/>
  <c r="I328" i="8"/>
  <c r="I327" i="8"/>
  <c r="I326" i="8"/>
  <c r="I325" i="8"/>
  <c r="I324" i="8"/>
  <c r="I323" i="8"/>
  <c r="I322" i="8"/>
  <c r="J322" i="8" s="1"/>
  <c r="I321" i="8"/>
  <c r="J321" i="8" s="1"/>
  <c r="I320" i="8"/>
  <c r="I319" i="8"/>
  <c r="I318" i="8"/>
  <c r="I317" i="8"/>
  <c r="I316" i="8"/>
  <c r="I315" i="8"/>
  <c r="I314" i="8"/>
  <c r="J314" i="8" s="1"/>
  <c r="I313" i="8"/>
  <c r="M313" i="8" s="1"/>
  <c r="I312" i="8"/>
  <c r="J312" i="8" s="1"/>
  <c r="I311" i="8"/>
  <c r="I310" i="8"/>
  <c r="I309" i="8"/>
  <c r="I308" i="8"/>
  <c r="J308" i="8" s="1"/>
  <c r="I307" i="8"/>
  <c r="I306" i="8"/>
  <c r="I305" i="8"/>
  <c r="I304" i="8"/>
  <c r="J304" i="8" s="1"/>
  <c r="I303" i="8"/>
  <c r="I302" i="8"/>
  <c r="I301" i="8"/>
  <c r="M301" i="8" s="1"/>
  <c r="I300" i="8"/>
  <c r="J300" i="8" s="1"/>
  <c r="I299" i="8"/>
  <c r="I298" i="8"/>
  <c r="I297" i="8"/>
  <c r="I296" i="8"/>
  <c r="I295" i="8"/>
  <c r="I294" i="8"/>
  <c r="J294" i="8" s="1"/>
  <c r="I293" i="8"/>
  <c r="J293" i="8" s="1"/>
  <c r="I292" i="8"/>
  <c r="I291" i="8"/>
  <c r="I290" i="8"/>
  <c r="I289" i="8"/>
  <c r="I288" i="8"/>
  <c r="J288" i="8" s="1"/>
  <c r="I287" i="8"/>
  <c r="J287" i="8" s="1"/>
  <c r="I286" i="8"/>
  <c r="I285" i="8"/>
  <c r="I284" i="8"/>
  <c r="I283" i="8"/>
  <c r="J283" i="8" s="1"/>
  <c r="I282" i="8"/>
  <c r="I281" i="8"/>
  <c r="I280" i="8"/>
  <c r="J280" i="8" s="1"/>
  <c r="I279" i="8"/>
  <c r="I278" i="8"/>
  <c r="I277" i="8"/>
  <c r="M277" i="8" s="1"/>
  <c r="I276" i="8"/>
  <c r="M276" i="8" s="1"/>
  <c r="I275" i="8"/>
  <c r="J275" i="8" s="1"/>
  <c r="I274" i="8"/>
  <c r="I273" i="8"/>
  <c r="J273" i="8" s="1"/>
  <c r="I272" i="8"/>
  <c r="I271" i="8"/>
  <c r="I270" i="8"/>
  <c r="J270" i="8" s="1"/>
  <c r="I269" i="8"/>
  <c r="I268" i="8"/>
  <c r="I267" i="8"/>
  <c r="I266" i="8"/>
  <c r="I265" i="8"/>
  <c r="J265" i="8" s="1"/>
  <c r="I264" i="8"/>
  <c r="I263" i="8"/>
  <c r="J263" i="8" s="1"/>
  <c r="I262" i="8"/>
  <c r="J262" i="8" s="1"/>
  <c r="I261" i="8"/>
  <c r="I260" i="8"/>
  <c r="J260" i="8" s="1"/>
  <c r="I259" i="8"/>
  <c r="I258" i="8"/>
  <c r="I257" i="8"/>
  <c r="J257" i="8" s="1"/>
  <c r="I256" i="8"/>
  <c r="I255" i="8"/>
  <c r="I254" i="8"/>
  <c r="I253" i="8"/>
  <c r="J253" i="8" s="1"/>
  <c r="I252" i="8"/>
  <c r="I251" i="8"/>
  <c r="J251" i="8" s="1"/>
  <c r="I250" i="8"/>
  <c r="I249" i="8"/>
  <c r="I248" i="8"/>
  <c r="I247" i="8"/>
  <c r="I246" i="8"/>
  <c r="I245" i="8"/>
  <c r="J245" i="8" s="1"/>
  <c r="I244" i="8"/>
  <c r="J244" i="8" s="1"/>
  <c r="I243" i="8"/>
  <c r="I242" i="8"/>
  <c r="J242" i="8" s="1"/>
  <c r="I241" i="8"/>
  <c r="J241" i="8" s="1"/>
  <c r="I240" i="8"/>
  <c r="J240" i="8" s="1"/>
  <c r="I239" i="8"/>
  <c r="I238" i="8"/>
  <c r="I237" i="8"/>
  <c r="I236" i="8"/>
  <c r="M236" i="8" s="1"/>
  <c r="J235" i="8"/>
  <c r="I234" i="8"/>
  <c r="I233" i="8"/>
  <c r="I232" i="8"/>
  <c r="I231" i="8"/>
  <c r="J231" i="8" s="1"/>
  <c r="I230" i="8"/>
  <c r="I229" i="8"/>
  <c r="J229" i="8" s="1"/>
  <c r="I228" i="8"/>
  <c r="M228" i="8" s="1"/>
  <c r="I227" i="8"/>
  <c r="I226" i="8"/>
  <c r="J226" i="8" s="1"/>
  <c r="I225" i="8"/>
  <c r="J225" i="8" s="1"/>
  <c r="I224" i="8"/>
  <c r="J224" i="8" s="1"/>
  <c r="I223" i="8"/>
  <c r="I222" i="8"/>
  <c r="I221" i="8"/>
  <c r="M221" i="8" s="1"/>
  <c r="I220" i="8"/>
  <c r="M220" i="8" s="1"/>
  <c r="I219" i="8"/>
  <c r="I218" i="8"/>
  <c r="J218" i="8" s="1"/>
  <c r="I217" i="8"/>
  <c r="I216" i="8"/>
  <c r="I215" i="8"/>
  <c r="I214" i="8"/>
  <c r="J214" i="8" s="1"/>
  <c r="I213" i="8"/>
  <c r="J213" i="8" s="1"/>
  <c r="I212" i="8"/>
  <c r="I211" i="8"/>
  <c r="I210" i="8"/>
  <c r="I209" i="8"/>
  <c r="J209" i="8" s="1"/>
  <c r="I208" i="8"/>
  <c r="I207" i="8"/>
  <c r="I206" i="8"/>
  <c r="J206" i="8" s="1"/>
  <c r="I205" i="8"/>
  <c r="M206" i="8" s="1"/>
  <c r="I204" i="8"/>
  <c r="I203" i="8"/>
  <c r="I202" i="8"/>
  <c r="J202" i="8" s="1"/>
  <c r="I201" i="8"/>
  <c r="J201" i="8" s="1"/>
  <c r="I200" i="8"/>
  <c r="I199" i="8"/>
  <c r="I198" i="8"/>
  <c r="J198" i="8" s="1"/>
  <c r="I197" i="8"/>
  <c r="I196" i="8"/>
  <c r="J196" i="8" s="1"/>
  <c r="I194" i="8"/>
  <c r="J194" i="8" s="1"/>
  <c r="I193" i="8"/>
  <c r="J193" i="8" s="1"/>
  <c r="I192" i="8"/>
  <c r="M193" i="8" s="1"/>
  <c r="I191" i="8"/>
  <c r="I190" i="8"/>
  <c r="J190" i="8" s="1"/>
  <c r="I189" i="8"/>
  <c r="I188" i="8"/>
  <c r="J188" i="8" s="1"/>
  <c r="I187" i="8"/>
  <c r="I186" i="8"/>
  <c r="J186" i="8" s="1"/>
  <c r="I185" i="8"/>
  <c r="I184" i="8"/>
  <c r="I183" i="8"/>
  <c r="I182" i="8"/>
  <c r="I181" i="8"/>
  <c r="J181" i="8" s="1"/>
  <c r="I180" i="8"/>
  <c r="I179" i="8"/>
  <c r="J179" i="8" s="1"/>
  <c r="I178" i="8"/>
  <c r="J178" i="8" s="1"/>
  <c r="I177" i="8"/>
  <c r="I176" i="8"/>
  <c r="I175" i="8"/>
  <c r="I174" i="8"/>
  <c r="I173" i="8"/>
  <c r="I172" i="8"/>
  <c r="M172" i="8" s="1"/>
  <c r="I171" i="8"/>
  <c r="I170" i="8"/>
  <c r="I169" i="8"/>
  <c r="J169" i="8" s="1"/>
  <c r="I168" i="8"/>
  <c r="J168" i="8" s="1"/>
  <c r="I167" i="8"/>
  <c r="I166" i="8"/>
  <c r="J166" i="8" s="1"/>
  <c r="I165" i="8"/>
  <c r="I164" i="8"/>
  <c r="J164" i="8" s="1"/>
  <c r="I163" i="8"/>
  <c r="I162" i="8"/>
  <c r="J162" i="8" s="1"/>
  <c r="I161" i="8"/>
  <c r="J161" i="8" s="1"/>
  <c r="I159" i="8"/>
  <c r="J159" i="8" s="1"/>
  <c r="I158" i="8"/>
  <c r="J158" i="8" s="1"/>
  <c r="I157" i="8"/>
  <c r="I156" i="8"/>
  <c r="I155" i="8"/>
  <c r="I154" i="8"/>
  <c r="M154" i="8" s="1"/>
  <c r="I153" i="8"/>
  <c r="I152" i="8"/>
  <c r="I151" i="8"/>
  <c r="I150" i="8"/>
  <c r="I149" i="8"/>
  <c r="J149" i="8" s="1"/>
  <c r="I148" i="8"/>
  <c r="I147" i="8"/>
  <c r="I146" i="8"/>
  <c r="J146" i="8" s="1"/>
  <c r="I145" i="8"/>
  <c r="I144" i="8"/>
  <c r="I143" i="8"/>
  <c r="I142" i="8"/>
  <c r="J142" i="8" s="1"/>
  <c r="I141" i="8"/>
  <c r="I140" i="8"/>
  <c r="I139" i="8"/>
  <c r="I138" i="8"/>
  <c r="I137" i="8"/>
  <c r="I136" i="8"/>
  <c r="I135" i="8"/>
  <c r="I134" i="8"/>
  <c r="I133" i="8"/>
  <c r="J133" i="8" s="1"/>
  <c r="I132" i="8"/>
  <c r="M133" i="8" s="1"/>
  <c r="I131" i="8"/>
  <c r="I130" i="8"/>
  <c r="I129" i="8"/>
  <c r="J129" i="8" s="1"/>
  <c r="I128" i="8"/>
  <c r="I127" i="8"/>
  <c r="I126" i="8"/>
  <c r="J126" i="8" s="1"/>
  <c r="I125" i="8"/>
  <c r="J125" i="8" s="1"/>
  <c r="I124" i="8"/>
  <c r="J124" i="8" s="1"/>
  <c r="I123" i="8"/>
  <c r="I122" i="8"/>
  <c r="J122" i="8" s="1"/>
  <c r="I121" i="8"/>
  <c r="M122" i="8" s="1"/>
  <c r="I120" i="8"/>
  <c r="J120" i="8" s="1"/>
  <c r="I119" i="8"/>
  <c r="I118" i="8"/>
  <c r="I117" i="8"/>
  <c r="J117" i="8" s="1"/>
  <c r="I116" i="8"/>
  <c r="I115" i="8"/>
  <c r="I114" i="8"/>
  <c r="I113" i="8"/>
  <c r="I112" i="8"/>
  <c r="I111" i="8"/>
  <c r="I110" i="8"/>
  <c r="I109" i="8"/>
  <c r="J109" i="8" s="1"/>
  <c r="I108" i="8"/>
  <c r="I107" i="8"/>
  <c r="I106" i="8"/>
  <c r="I105" i="8"/>
  <c r="J105" i="8" s="1"/>
  <c r="I104" i="8"/>
  <c r="I103" i="8"/>
  <c r="I102" i="8"/>
  <c r="J102" i="8" s="1"/>
  <c r="I101" i="8"/>
  <c r="J101" i="8" s="1"/>
  <c r="I100" i="8"/>
  <c r="I99" i="8"/>
  <c r="I98" i="8"/>
  <c r="J98" i="8" s="1"/>
  <c r="I97" i="8"/>
  <c r="I96" i="8"/>
  <c r="J96" i="8" s="1"/>
  <c r="I95" i="8"/>
  <c r="M96" i="8" s="1"/>
  <c r="I94" i="8"/>
  <c r="I93" i="8"/>
  <c r="I92" i="8"/>
  <c r="I91" i="8"/>
  <c r="I90" i="8"/>
  <c r="J90" i="8" s="1"/>
  <c r="I89" i="8"/>
  <c r="J89" i="8" s="1"/>
  <c r="I88" i="8"/>
  <c r="J88" i="8" s="1"/>
  <c r="I87" i="8"/>
  <c r="I86" i="8"/>
  <c r="J86" i="8" s="1"/>
  <c r="I85" i="8"/>
  <c r="J85" i="8" s="1"/>
  <c r="I84" i="8"/>
  <c r="M85" i="8" s="1"/>
  <c r="I83" i="8"/>
  <c r="J83" i="8" s="1"/>
  <c r="I82" i="8"/>
  <c r="J82" i="8" s="1"/>
  <c r="I81" i="8"/>
  <c r="J81" i="8" s="1"/>
  <c r="I80" i="8"/>
  <c r="I79" i="8"/>
  <c r="I78" i="8"/>
  <c r="J78" i="8" s="1"/>
  <c r="I77" i="8"/>
  <c r="I76" i="8"/>
  <c r="I75" i="8"/>
  <c r="I74" i="8"/>
  <c r="I73" i="8"/>
  <c r="J73" i="8" s="1"/>
  <c r="I72" i="8"/>
  <c r="J72" i="8" s="1"/>
  <c r="I71" i="8"/>
  <c r="J71" i="8" s="1"/>
  <c r="I70" i="8"/>
  <c r="J70" i="8" s="1"/>
  <c r="I69" i="8"/>
  <c r="J69" i="8" s="1"/>
  <c r="I68" i="8"/>
  <c r="I67" i="8"/>
  <c r="I66" i="8"/>
  <c r="I65" i="8"/>
  <c r="I64" i="8"/>
  <c r="I63" i="8"/>
  <c r="M63" i="8" s="1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I27" i="8"/>
  <c r="I26" i="8"/>
  <c r="J26" i="8" s="1"/>
  <c r="I25" i="8"/>
  <c r="M25" i="8" s="1"/>
  <c r="I24" i="8"/>
  <c r="I23" i="8"/>
  <c r="I22" i="8"/>
  <c r="I21" i="8"/>
  <c r="M21" i="8" s="1"/>
  <c r="J20" i="8"/>
  <c r="I19" i="8"/>
  <c r="M20" i="8" s="1"/>
  <c r="I18" i="8"/>
  <c r="J18" i="8" s="1"/>
  <c r="I17" i="8"/>
  <c r="I16" i="8"/>
  <c r="I15" i="8"/>
  <c r="J15" i="8" s="1"/>
  <c r="I14" i="8"/>
  <c r="I13" i="8"/>
  <c r="I12" i="8"/>
  <c r="J12" i="8" s="1"/>
  <c r="I11" i="8"/>
  <c r="J11" i="8" s="1"/>
  <c r="I10" i="8"/>
  <c r="I9" i="8"/>
  <c r="I8" i="8"/>
  <c r="J8" i="8" s="1"/>
  <c r="I7" i="8"/>
  <c r="I6" i="8"/>
  <c r="J6" i="8" s="1"/>
  <c r="I5" i="8"/>
  <c r="I4" i="8"/>
  <c r="M4" i="8" s="1"/>
  <c r="J3" i="8"/>
  <c r="I2" i="8"/>
  <c r="M3" i="8" s="1"/>
  <c r="M543" i="8" l="1"/>
  <c r="M488" i="8"/>
  <c r="M345" i="8"/>
  <c r="M156" i="8"/>
  <c r="M203" i="8"/>
  <c r="M244" i="8"/>
  <c r="M396" i="8"/>
  <c r="M468" i="8"/>
  <c r="M189" i="8"/>
  <c r="M342" i="8"/>
  <c r="M271" i="8"/>
  <c r="M582" i="8"/>
  <c r="M526" i="8"/>
  <c r="Y48" i="2"/>
  <c r="AB48" i="2" s="1"/>
  <c r="AE48" i="2" s="1"/>
  <c r="AA48" i="2"/>
  <c r="AD48" i="2" s="1"/>
  <c r="AF48" i="2"/>
  <c r="Y30" i="2"/>
  <c r="AF30" i="2"/>
  <c r="AB39" i="2"/>
  <c r="AE39" i="2" s="1"/>
  <c r="AJ39" i="2" s="1"/>
  <c r="Y42" i="2"/>
  <c r="AB42" i="2" s="1"/>
  <c r="AA37" i="2"/>
  <c r="AK37" i="2" s="1"/>
  <c r="Z48" i="2"/>
  <c r="AG48" i="2" s="1"/>
  <c r="AF37" i="2"/>
  <c r="X46" i="2"/>
  <c r="AB37" i="2"/>
  <c r="AD37" i="2" s="1"/>
  <c r="AH37" i="2" s="1"/>
  <c r="AF38" i="2"/>
  <c r="AH48" i="2"/>
  <c r="AI48" i="2"/>
  <c r="Y50" i="2"/>
  <c r="AF50" i="2"/>
  <c r="AA50" i="2"/>
  <c r="Y49" i="2"/>
  <c r="AA49" i="2"/>
  <c r="AF49" i="2"/>
  <c r="Y47" i="2"/>
  <c r="AA47" i="2"/>
  <c r="AF47" i="2"/>
  <c r="AK44" i="2"/>
  <c r="AL44" i="2"/>
  <c r="AF44" i="2"/>
  <c r="Y45" i="2"/>
  <c r="AB45" i="2" s="1"/>
  <c r="AK48" i="2"/>
  <c r="AG44" i="2"/>
  <c r="AI44" i="2"/>
  <c r="AJ44" i="2"/>
  <c r="AK51" i="2"/>
  <c r="AD44" i="2"/>
  <c r="AH44" i="2" s="1"/>
  <c r="AA16" i="2"/>
  <c r="AL16" i="2" s="1"/>
  <c r="AG37" i="2"/>
  <c r="AE51" i="2"/>
  <c r="AL51" i="2" s="1"/>
  <c r="Y43" i="2"/>
  <c r="AA43" i="2"/>
  <c r="AF43" i="2"/>
  <c r="AA39" i="2"/>
  <c r="Z42" i="2"/>
  <c r="AF39" i="2"/>
  <c r="M383" i="8"/>
  <c r="J582" i="8"/>
  <c r="M104" i="8"/>
  <c r="M186" i="8"/>
  <c r="J313" i="8"/>
  <c r="M320" i="8"/>
  <c r="M328" i="8"/>
  <c r="M343" i="8"/>
  <c r="M408" i="8"/>
  <c r="M439" i="8"/>
  <c r="M327" i="8"/>
  <c r="M74" i="8"/>
  <c r="M89" i="8"/>
  <c r="M291" i="8"/>
  <c r="M360" i="8"/>
  <c r="J501" i="8"/>
  <c r="M583" i="8"/>
  <c r="M163" i="8"/>
  <c r="M171" i="8"/>
  <c r="M204" i="8"/>
  <c r="M338" i="8"/>
  <c r="M425" i="8"/>
  <c r="M103" i="8"/>
  <c r="M305" i="8"/>
  <c r="M18" i="8"/>
  <c r="M139" i="8"/>
  <c r="M261" i="8"/>
  <c r="M354" i="8"/>
  <c r="M472" i="8"/>
  <c r="M233" i="8"/>
  <c r="M278" i="8"/>
  <c r="M473" i="8"/>
  <c r="M542" i="8"/>
  <c r="M575" i="8"/>
  <c r="M158" i="8"/>
  <c r="Z51" i="2"/>
  <c r="AJ48" i="2"/>
  <c r="AL48" i="2"/>
  <c r="Z45" i="2"/>
  <c r="AD41" i="2"/>
  <c r="AH41" i="2" s="1"/>
  <c r="Z40" i="2"/>
  <c r="AD39" i="2"/>
  <c r="AH39" i="2" s="1"/>
  <c r="AE41" i="2"/>
  <c r="AL41" i="2" s="1"/>
  <c r="AD40" i="2"/>
  <c r="AH40" i="2" s="1"/>
  <c r="AE40" i="2"/>
  <c r="AL40" i="2" s="1"/>
  <c r="AL39" i="2"/>
  <c r="Z41" i="2"/>
  <c r="Z38" i="2"/>
  <c r="AB38" i="2"/>
  <c r="AA29" i="2"/>
  <c r="Y15" i="2"/>
  <c r="Z15" i="2" s="1"/>
  <c r="AG15" i="2" s="1"/>
  <c r="AA34" i="2"/>
  <c r="AF29" i="2"/>
  <c r="AA28" i="2"/>
  <c r="Y6" i="2"/>
  <c r="Z6" i="2" s="1"/>
  <c r="AG6" i="2" s="1"/>
  <c r="Y27" i="2"/>
  <c r="AB27" i="2" s="1"/>
  <c r="AE27" i="2" s="1"/>
  <c r="AF28" i="2"/>
  <c r="Y20" i="2"/>
  <c r="Z20" i="2" s="1"/>
  <c r="AA27" i="2"/>
  <c r="AA30" i="2"/>
  <c r="AA31" i="2"/>
  <c r="Y31" i="2"/>
  <c r="Z31" i="2" s="1"/>
  <c r="AA20" i="2"/>
  <c r="AA18" i="2"/>
  <c r="AG14" i="2"/>
  <c r="AF14" i="2"/>
  <c r="Y2" i="2"/>
  <c r="AB2" i="2" s="1"/>
  <c r="AE2" i="2" s="1"/>
  <c r="AL2" i="2" s="1"/>
  <c r="Y34" i="2"/>
  <c r="AB34" i="2" s="1"/>
  <c r="Y35" i="2"/>
  <c r="AB35" i="2" s="1"/>
  <c r="Y33" i="2"/>
  <c r="AB33" i="2" s="1"/>
  <c r="AA33" i="2"/>
  <c r="Y26" i="2"/>
  <c r="AA26" i="2"/>
  <c r="AF26" i="2"/>
  <c r="AA24" i="2"/>
  <c r="X25" i="2"/>
  <c r="AF25" i="2" s="1"/>
  <c r="Y23" i="2"/>
  <c r="AB23" i="2" s="1"/>
  <c r="AE23" i="2" s="1"/>
  <c r="AF21" i="2"/>
  <c r="AA21" i="2"/>
  <c r="Y21" i="2"/>
  <c r="AB21" i="2" s="1"/>
  <c r="AE21" i="2" s="1"/>
  <c r="AF22" i="2"/>
  <c r="AA22" i="2"/>
  <c r="Y22" i="2"/>
  <c r="Z22" i="2" s="1"/>
  <c r="AA23" i="2"/>
  <c r="Y19" i="2"/>
  <c r="Z19" i="2" s="1"/>
  <c r="AA19" i="2"/>
  <c r="AB14" i="2"/>
  <c r="AE14" i="2" s="1"/>
  <c r="AJ14" i="2" s="1"/>
  <c r="Y12" i="2"/>
  <c r="Z12" i="2" s="1"/>
  <c r="AF17" i="2"/>
  <c r="AA17" i="2"/>
  <c r="Y17" i="2"/>
  <c r="Z17" i="2" s="1"/>
  <c r="AD16" i="2"/>
  <c r="AH16" i="2" s="1"/>
  <c r="AJ16" i="2"/>
  <c r="AA14" i="2"/>
  <c r="AA12" i="2"/>
  <c r="Y11" i="2"/>
  <c r="AB11" i="2" s="1"/>
  <c r="AE11" i="2" s="1"/>
  <c r="AL11" i="2" s="1"/>
  <c r="AA10" i="2"/>
  <c r="Y10" i="2"/>
  <c r="Z10" i="2" s="1"/>
  <c r="AF10" i="2"/>
  <c r="AA13" i="2"/>
  <c r="AF13" i="2"/>
  <c r="Y13" i="2"/>
  <c r="AB13" i="2" s="1"/>
  <c r="AA8" i="2"/>
  <c r="Y8" i="2"/>
  <c r="Z8" i="2" s="1"/>
  <c r="AA9" i="2"/>
  <c r="AA5" i="2"/>
  <c r="Y3" i="2"/>
  <c r="AB3" i="2" s="1"/>
  <c r="AA4" i="2"/>
  <c r="Z36" i="2"/>
  <c r="AG36" i="2" s="1"/>
  <c r="AB36" i="2"/>
  <c r="Z9" i="2"/>
  <c r="AG9" i="2" s="1"/>
  <c r="AB9" i="2"/>
  <c r="Z24" i="2"/>
  <c r="AG24" i="2" s="1"/>
  <c r="AB24" i="2"/>
  <c r="Z4" i="2"/>
  <c r="AG4" i="2" s="1"/>
  <c r="AB4" i="2"/>
  <c r="Z28" i="2"/>
  <c r="AB28" i="2"/>
  <c r="Z18" i="2"/>
  <c r="AG18" i="2" s="1"/>
  <c r="AB18" i="2"/>
  <c r="AF6" i="2"/>
  <c r="AF7" i="2"/>
  <c r="Y7" i="2"/>
  <c r="AF4" i="2"/>
  <c r="AF18" i="2"/>
  <c r="Z13" i="2"/>
  <c r="AA36" i="2"/>
  <c r="AF11" i="2"/>
  <c r="AF32" i="2"/>
  <c r="Y32" i="2"/>
  <c r="AA32" i="2"/>
  <c r="AB6" i="2"/>
  <c r="AF24" i="2"/>
  <c r="AF36" i="2"/>
  <c r="AF9" i="2"/>
  <c r="AF15" i="2"/>
  <c r="AF3" i="2"/>
  <c r="Z29" i="2"/>
  <c r="AB29" i="2"/>
  <c r="AF35" i="2"/>
  <c r="Z5" i="2"/>
  <c r="AB5" i="2"/>
  <c r="AB8" i="2"/>
  <c r="M93" i="8"/>
  <c r="M173" i="8"/>
  <c r="M254" i="8"/>
  <c r="M329" i="8"/>
  <c r="M77" i="8"/>
  <c r="M330" i="8"/>
  <c r="M256" i="8"/>
  <c r="M331" i="8"/>
  <c r="M442" i="8"/>
  <c r="M460" i="8"/>
  <c r="J331" i="8"/>
  <c r="J442" i="8"/>
  <c r="J427" i="8"/>
  <c r="J575" i="8"/>
  <c r="M315" i="8"/>
  <c r="M222" i="8"/>
  <c r="M412" i="8"/>
  <c r="M124" i="8"/>
  <c r="M142" i="8"/>
  <c r="M223" i="8"/>
  <c r="M413" i="8"/>
  <c r="M303" i="8"/>
  <c r="J303" i="8"/>
  <c r="M527" i="8"/>
  <c r="M9" i="8"/>
  <c r="M380" i="8"/>
  <c r="M302" i="8"/>
  <c r="J396" i="8"/>
  <c r="M207" i="8"/>
  <c r="M78" i="8"/>
  <c r="M8" i="8"/>
  <c r="M284" i="8"/>
  <c r="M110" i="8"/>
  <c r="J511" i="8"/>
  <c r="M511" i="8"/>
  <c r="M561" i="8"/>
  <c r="J561" i="8"/>
  <c r="M285" i="8"/>
  <c r="M474" i="8"/>
  <c r="M494" i="8"/>
  <c r="M23" i="8"/>
  <c r="M428" i="8"/>
  <c r="M443" i="8"/>
  <c r="M64" i="8"/>
  <c r="M593" i="8"/>
  <c r="J9" i="8"/>
  <c r="M65" i="8"/>
  <c r="J110" i="8"/>
  <c r="M127" i="8"/>
  <c r="M194" i="8"/>
  <c r="M210" i="8"/>
  <c r="M367" i="8"/>
  <c r="J546" i="8"/>
  <c r="M562" i="8"/>
  <c r="M578" i="8"/>
  <c r="J25" i="8"/>
  <c r="J163" i="8"/>
  <c r="M211" i="8"/>
  <c r="J228" i="8"/>
  <c r="M334" i="8"/>
  <c r="M399" i="8"/>
  <c r="M10" i="8"/>
  <c r="M67" i="8"/>
  <c r="M97" i="8"/>
  <c r="M111" i="8"/>
  <c r="J305" i="8"/>
  <c r="J320" i="8"/>
  <c r="M335" i="8"/>
  <c r="M352" i="8"/>
  <c r="J383" i="8"/>
  <c r="M499" i="8"/>
  <c r="M531" i="8"/>
  <c r="M547" i="8"/>
  <c r="M112" i="8"/>
  <c r="M147" i="8"/>
  <c r="J261" i="8"/>
  <c r="J276" i="8"/>
  <c r="J291" i="8"/>
  <c r="M370" i="8"/>
  <c r="J516" i="8"/>
  <c r="M532" i="8"/>
  <c r="M27" i="8"/>
  <c r="M113" i="8"/>
  <c r="M130" i="8"/>
  <c r="M149" i="8"/>
  <c r="M306" i="8"/>
  <c r="M337" i="8"/>
  <c r="M420" i="8"/>
  <c r="M449" i="8"/>
  <c r="M598" i="8"/>
  <c r="J372" i="8"/>
  <c r="J468" i="8"/>
  <c r="M247" i="8"/>
  <c r="M262" i="8"/>
  <c r="J278" i="8"/>
  <c r="M134" i="8"/>
  <c r="M16" i="8"/>
  <c r="M202" i="8"/>
  <c r="M249" i="8"/>
  <c r="M341" i="8"/>
  <c r="M356" i="8"/>
  <c r="M423" i="8"/>
  <c r="M471" i="8"/>
  <c r="M487" i="8"/>
  <c r="M520" i="8"/>
  <c r="M570" i="8"/>
  <c r="M585" i="8"/>
  <c r="M528" i="8"/>
  <c r="M79" i="8"/>
  <c r="M231" i="8"/>
  <c r="M599" i="8"/>
  <c r="M248" i="8"/>
  <c r="M503" i="8"/>
  <c r="J103" i="8"/>
  <c r="M118" i="8"/>
  <c r="M187" i="8"/>
  <c r="J233" i="8"/>
  <c r="M424" i="8"/>
  <c r="M555" i="8"/>
  <c r="M272" i="8"/>
  <c r="M545" i="8"/>
  <c r="M144" i="8"/>
  <c r="M274" i="8"/>
  <c r="M535" i="8"/>
  <c r="M217" i="8"/>
  <c r="M452" i="8"/>
  <c r="M151" i="8"/>
  <c r="M373" i="8"/>
  <c r="J74" i="8"/>
  <c r="J171" i="8"/>
  <c r="J203" i="8"/>
  <c r="J220" i="8"/>
  <c r="M281" i="8"/>
  <c r="M298" i="8"/>
  <c r="J327" i="8"/>
  <c r="J586" i="8"/>
  <c r="M143" i="8"/>
  <c r="M576" i="8"/>
  <c r="M568" i="8"/>
  <c r="M150" i="8"/>
  <c r="M387" i="8"/>
  <c r="M453" i="8"/>
  <c r="M519" i="8"/>
  <c r="M234" i="8"/>
  <c r="M119" i="8"/>
  <c r="M264" i="8"/>
  <c r="J67" i="8"/>
  <c r="M347" i="8"/>
  <c r="J520" i="8"/>
  <c r="J535" i="8"/>
  <c r="J93" i="8"/>
  <c r="M197" i="8"/>
  <c r="J211" i="8"/>
  <c r="M224" i="8"/>
  <c r="J236" i="8"/>
  <c r="J334" i="8"/>
  <c r="M361" i="8"/>
  <c r="M388" i="8"/>
  <c r="M565" i="8"/>
  <c r="M68" i="8"/>
  <c r="M106" i="8"/>
  <c r="M167" i="8"/>
  <c r="M465" i="8"/>
  <c r="M521" i="8"/>
  <c r="J578" i="8"/>
  <c r="J4" i="8"/>
  <c r="M322" i="8"/>
  <c r="M390" i="8"/>
  <c r="M405" i="8"/>
  <c r="M435" i="8"/>
  <c r="M466" i="8"/>
  <c r="M200" i="8"/>
  <c r="M269" i="8"/>
  <c r="M310" i="8"/>
  <c r="J335" i="8"/>
  <c r="M349" i="8"/>
  <c r="J363" i="8"/>
  <c r="M406" i="8"/>
  <c r="J449" i="8"/>
  <c r="M509" i="8"/>
  <c r="M255" i="8"/>
  <c r="M510" i="8"/>
  <c r="M83" i="8"/>
  <c r="M213" i="8"/>
  <c r="M467" i="8"/>
  <c r="M553" i="8"/>
  <c r="M70" i="8"/>
  <c r="M270" i="8"/>
  <c r="M125" i="8"/>
  <c r="M180" i="8"/>
  <c r="J360" i="8"/>
  <c r="J387" i="8"/>
  <c r="M445" i="8"/>
  <c r="M505" i="8"/>
  <c r="M590" i="8"/>
  <c r="J27" i="8"/>
  <c r="M136" i="8"/>
  <c r="J150" i="8"/>
  <c r="M432" i="8"/>
  <c r="M492" i="8"/>
  <c r="M137" i="8"/>
  <c r="M182" i="8"/>
  <c r="M307" i="8"/>
  <c r="M376" i="8"/>
  <c r="J420" i="8"/>
  <c r="M476" i="8"/>
  <c r="J492" i="8"/>
  <c r="M267" i="8"/>
  <c r="M493" i="8"/>
  <c r="M536" i="8"/>
  <c r="M592" i="8"/>
  <c r="J16" i="8"/>
  <c r="J151" i="8"/>
  <c r="M237" i="8"/>
  <c r="J254" i="8"/>
  <c r="M294" i="8"/>
  <c r="M421" i="8"/>
  <c r="M552" i="8"/>
  <c r="J139" i="8"/>
  <c r="M295" i="8"/>
  <c r="M391" i="8"/>
  <c r="M422" i="8"/>
  <c r="J478" i="8"/>
  <c r="J494" i="8"/>
  <c r="M5" i="8"/>
  <c r="M152" i="8"/>
  <c r="J185" i="8"/>
  <c r="M227" i="8"/>
  <c r="M580" i="8"/>
  <c r="M436" i="8"/>
  <c r="M495" i="8"/>
  <c r="M594" i="8"/>
  <c r="M569" i="8"/>
  <c r="J104" i="8"/>
  <c r="J475" i="8"/>
  <c r="M563" i="8"/>
  <c r="M404" i="8"/>
  <c r="J281" i="8"/>
  <c r="M323" i="8"/>
  <c r="M17" i="8"/>
  <c r="M82" i="8"/>
  <c r="J568" i="8"/>
  <c r="M140" i="8"/>
  <c r="M336" i="8"/>
  <c r="M450" i="8"/>
  <c r="J339" i="8"/>
  <c r="M339" i="8"/>
  <c r="M340" i="8"/>
  <c r="M175" i="8"/>
  <c r="J204" i="8"/>
  <c r="M292" i="8"/>
  <c r="J292" i="8"/>
  <c r="M293" i="8"/>
  <c r="J361" i="8"/>
  <c r="J152" i="8"/>
  <c r="M282" i="8"/>
  <c r="J282" i="8"/>
  <c r="J323" i="8"/>
  <c r="M572" i="8"/>
  <c r="J19" i="8"/>
  <c r="M75" i="8"/>
  <c r="J75" i="8"/>
  <c r="M105" i="8"/>
  <c r="J134" i="8"/>
  <c r="M153" i="8"/>
  <c r="M263" i="8"/>
  <c r="M414" i="8"/>
  <c r="M459" i="8"/>
  <c r="M512" i="8"/>
  <c r="J521" i="8"/>
  <c r="J532" i="8"/>
  <c r="M554" i="8"/>
  <c r="M564" i="8"/>
  <c r="M86" i="8"/>
  <c r="J205" i="8"/>
  <c r="M314" i="8"/>
  <c r="J352" i="8"/>
  <c r="M469" i="8"/>
  <c r="M87" i="8"/>
  <c r="J87" i="8"/>
  <c r="J106" i="8"/>
  <c r="J154" i="8"/>
  <c r="J197" i="8"/>
  <c r="J256" i="8"/>
  <c r="J264" i="8"/>
  <c r="M283" i="8"/>
  <c r="M522" i="8"/>
  <c r="J565" i="8"/>
  <c r="J2" i="8"/>
  <c r="M513" i="8"/>
  <c r="M107" i="8"/>
  <c r="M353" i="8"/>
  <c r="J428" i="8"/>
  <c r="M556" i="8"/>
  <c r="M316" i="8"/>
  <c r="J316" i="8"/>
  <c r="M13" i="8"/>
  <c r="M98" i="8"/>
  <c r="J118" i="8"/>
  <c r="M126" i="8"/>
  <c r="M198" i="8"/>
  <c r="J237" i="8"/>
  <c r="M257" i="8"/>
  <c r="M317" i="8"/>
  <c r="J354" i="8"/>
  <c r="M407" i="8"/>
  <c r="M461" i="8"/>
  <c r="J13" i="8"/>
  <c r="J79" i="8"/>
  <c r="M344" i="8"/>
  <c r="J399" i="8"/>
  <c r="J408" i="8"/>
  <c r="J336" i="8"/>
  <c r="J432" i="8"/>
  <c r="M174" i="8"/>
  <c r="J174" i="8"/>
  <c r="J65" i="8"/>
  <c r="J113" i="8"/>
  <c r="J143" i="8"/>
  <c r="J563" i="8"/>
  <c r="J373" i="8"/>
  <c r="M437" i="8"/>
  <c r="J437" i="8"/>
  <c r="M438" i="8"/>
  <c r="M66" i="8"/>
  <c r="J114" i="8"/>
  <c r="M114" i="8"/>
  <c r="M165" i="8"/>
  <c r="M214" i="8"/>
  <c r="M273" i="8"/>
  <c r="J502" i="8"/>
  <c r="M19" i="8"/>
  <c r="J144" i="8"/>
  <c r="M215" i="8"/>
  <c r="M324" i="8"/>
  <c r="J324" i="8"/>
  <c r="M374" i="8"/>
  <c r="J374" i="8"/>
  <c r="M375" i="8"/>
  <c r="M533" i="8"/>
  <c r="J97" i="8"/>
  <c r="J187" i="8"/>
  <c r="J215" i="8"/>
  <c r="J247" i="8"/>
  <c r="J274" i="8"/>
  <c r="J406" i="8"/>
  <c r="J460" i="8"/>
  <c r="J555" i="8"/>
  <c r="M574" i="8"/>
  <c r="M11" i="8"/>
  <c r="M145" i="8"/>
  <c r="J145" i="8"/>
  <c r="M415" i="8"/>
  <c r="J450" i="8"/>
  <c r="J503" i="8"/>
  <c r="J136" i="8"/>
  <c r="J295" i="8"/>
  <c r="M514" i="8"/>
  <c r="J207" i="8"/>
  <c r="J248" i="8"/>
  <c r="M417" i="8"/>
  <c r="J417" i="8"/>
  <c r="M504" i="8"/>
  <c r="J514" i="8"/>
  <c r="J556" i="8"/>
  <c r="J156" i="8"/>
  <c r="J180" i="8"/>
  <c r="M188" i="8"/>
  <c r="M265" i="8"/>
  <c r="M364" i="8"/>
  <c r="M398" i="8"/>
  <c r="J495" i="8"/>
  <c r="M208" i="8"/>
  <c r="J208" i="8"/>
  <c r="M209" i="8"/>
  <c r="M238" i="8"/>
  <c r="M266" i="8"/>
  <c r="J307" i="8"/>
  <c r="M365" i="8"/>
  <c r="J365" i="8"/>
  <c r="M462" i="8"/>
  <c r="M484" i="8"/>
  <c r="J505" i="8"/>
  <c r="J536" i="8"/>
  <c r="J547" i="8"/>
  <c r="M100" i="8"/>
  <c r="J127" i="8"/>
  <c r="J239" i="8"/>
  <c r="M239" i="8"/>
  <c r="J249" i="8"/>
  <c r="M287" i="8"/>
  <c r="M297" i="8"/>
  <c r="J328" i="8"/>
  <c r="M485" i="8"/>
  <c r="J485" i="8"/>
  <c r="J587" i="8"/>
  <c r="M80" i="8"/>
  <c r="J80" i="8"/>
  <c r="J345" i="8"/>
  <c r="M486" i="8"/>
  <c r="M506" i="8"/>
  <c r="J599" i="8"/>
  <c r="J5" i="8"/>
  <c r="M90" i="8"/>
  <c r="M128" i="8"/>
  <c r="J128" i="8"/>
  <c r="M181" i="8"/>
  <c r="M250" i="8"/>
  <c r="J298" i="8"/>
  <c r="J453" i="8"/>
  <c r="M496" i="8"/>
  <c r="J527" i="8"/>
  <c r="M91" i="8"/>
  <c r="J91" i="8"/>
  <c r="M159" i="8"/>
  <c r="M229" i="8"/>
  <c r="J250" i="8"/>
  <c r="M288" i="8"/>
  <c r="M309" i="8"/>
  <c r="J329" i="8"/>
  <c r="M357" i="8"/>
  <c r="J357" i="8"/>
  <c r="M433" i="8"/>
  <c r="J433" i="8"/>
  <c r="J487" i="8"/>
  <c r="M589" i="8"/>
  <c r="J63" i="8"/>
  <c r="M71" i="8"/>
  <c r="M92" i="8"/>
  <c r="J111" i="8"/>
  <c r="J182" i="8"/>
  <c r="J221" i="8"/>
  <c r="M230" i="8"/>
  <c r="M279" i="8"/>
  <c r="J279" i="8"/>
  <c r="J299" i="8"/>
  <c r="M299" i="8"/>
  <c r="J337" i="8"/>
  <c r="M381" i="8"/>
  <c r="J381" i="8"/>
  <c r="M400" i="8"/>
  <c r="M444" i="8"/>
  <c r="M120" i="8"/>
  <c r="M401" i="8"/>
  <c r="J401" i="8"/>
  <c r="J476" i="8"/>
  <c r="J528" i="8"/>
  <c r="M539" i="8"/>
  <c r="J570" i="8"/>
  <c r="M579" i="8"/>
  <c r="M601" i="8"/>
  <c r="M26" i="8"/>
  <c r="M183" i="8"/>
  <c r="M241" i="8"/>
  <c r="M290" i="8"/>
  <c r="M321" i="8"/>
  <c r="J330" i="8"/>
  <c r="M392" i="8"/>
  <c r="J435" i="8"/>
  <c r="J445" i="8"/>
  <c r="J488" i="8"/>
  <c r="J519" i="8"/>
  <c r="M540" i="8"/>
  <c r="J17" i="8"/>
  <c r="J64" i="8"/>
  <c r="M72" i="8"/>
  <c r="J112" i="8"/>
  <c r="J121" i="8"/>
  <c r="J130" i="8"/>
  <c r="J173" i="8"/>
  <c r="J222" i="8"/>
  <c r="M242" i="8"/>
  <c r="J271" i="8"/>
  <c r="M280" i="8"/>
  <c r="M300" i="8"/>
  <c r="J338" i="8"/>
  <c r="M382" i="8"/>
  <c r="J392" i="8"/>
  <c r="M477" i="8"/>
  <c r="J477" i="8"/>
  <c r="M478" i="8"/>
  <c r="J510" i="8"/>
  <c r="M529" i="8"/>
  <c r="J529" i="8"/>
  <c r="J540" i="8"/>
  <c r="J562" i="8"/>
  <c r="J580" i="8"/>
  <c r="J272" i="8"/>
  <c r="J255" i="8"/>
  <c r="M384" i="8"/>
  <c r="J384" i="8"/>
  <c r="J10" i="8"/>
  <c r="M205" i="8"/>
  <c r="M362" i="8"/>
  <c r="M573" i="8"/>
  <c r="M76" i="8"/>
  <c r="J165" i="8"/>
  <c r="M225" i="8"/>
  <c r="M226" i="8"/>
  <c r="J480" i="8"/>
  <c r="M480" i="8"/>
  <c r="M135" i="8"/>
  <c r="M595" i="8"/>
  <c r="J595" i="8"/>
  <c r="M216" i="8"/>
  <c r="J315" i="8"/>
  <c r="M596" i="8"/>
  <c r="M155" i="8"/>
  <c r="M416" i="8"/>
  <c r="J597" i="8"/>
  <c r="M597" i="8"/>
  <c r="J21" i="8"/>
  <c r="J217" i="8"/>
  <c r="M429" i="8"/>
  <c r="M451" i="8"/>
  <c r="J483" i="8"/>
  <c r="M146" i="8"/>
  <c r="M296" i="8"/>
  <c r="J99" i="8"/>
  <c r="M99" i="8"/>
  <c r="J137" i="8"/>
  <c r="M199" i="8"/>
  <c r="M258" i="8"/>
  <c r="J296" i="8"/>
  <c r="J452" i="8"/>
  <c r="J147" i="8"/>
  <c r="J189" i="8"/>
  <c r="J258" i="8"/>
  <c r="J119" i="8"/>
  <c r="M138" i="8"/>
  <c r="J200" i="8"/>
  <c r="M308" i="8"/>
  <c r="J390" i="8"/>
  <c r="M463" i="8"/>
  <c r="M548" i="8"/>
  <c r="M190" i="8"/>
  <c r="J443" i="8"/>
  <c r="M588" i="8"/>
  <c r="J588" i="8"/>
  <c r="M240" i="8"/>
  <c r="M346" i="8"/>
  <c r="J497" i="8"/>
  <c r="M497" i="8"/>
  <c r="M498" i="8"/>
  <c r="M549" i="8"/>
  <c r="M600" i="8"/>
  <c r="M81" i="8"/>
  <c r="J172" i="8"/>
  <c r="M289" i="8"/>
  <c r="J391" i="8"/>
  <c r="M434" i="8"/>
  <c r="M454" i="8"/>
  <c r="J454" i="8"/>
  <c r="J600" i="8"/>
  <c r="M129" i="8"/>
  <c r="J289" i="8"/>
  <c r="J347" i="8"/>
  <c r="J370" i="8"/>
  <c r="J590" i="8"/>
  <c r="M212" i="8"/>
  <c r="J212" i="8"/>
  <c r="M94" i="8"/>
  <c r="J94" i="8"/>
  <c r="M121" i="8"/>
  <c r="J232" i="8"/>
  <c r="M232" i="8"/>
  <c r="M446" i="8"/>
  <c r="J446" i="8"/>
  <c r="M541" i="8"/>
  <c r="M571" i="8"/>
  <c r="M591" i="8"/>
  <c r="M515" i="8"/>
  <c r="M566" i="8"/>
  <c r="J506" i="8"/>
  <c r="M557" i="8"/>
  <c r="J557" i="8"/>
  <c r="J566" i="8"/>
  <c r="J583" i="8"/>
  <c r="J592" i="8"/>
  <c r="M14" i="8"/>
  <c r="J14" i="8"/>
  <c r="J107" i="8"/>
  <c r="J183" i="8"/>
  <c r="J259" i="8"/>
  <c r="M259" i="8"/>
  <c r="M260" i="8"/>
  <c r="J267" i="8"/>
  <c r="J284" i="8"/>
  <c r="J309" i="8"/>
  <c r="M325" i="8"/>
  <c r="M366" i="8"/>
  <c r="J376" i="8"/>
  <c r="J429" i="8"/>
  <c r="M489" i="8"/>
  <c r="J541" i="8"/>
  <c r="M567" i="8"/>
  <c r="M115" i="8"/>
  <c r="J115" i="8"/>
  <c r="J132" i="8"/>
  <c r="J140" i="8"/>
  <c r="J157" i="8"/>
  <c r="J243" i="8"/>
  <c r="J317" i="8"/>
  <c r="M490" i="8"/>
  <c r="J507" i="8"/>
  <c r="M507" i="8"/>
  <c r="J525" i="8"/>
  <c r="M6" i="8"/>
  <c r="M84" i="8"/>
  <c r="J92" i="8"/>
  <c r="J100" i="8"/>
  <c r="M108" i="8"/>
  <c r="M109" i="8"/>
  <c r="M116" i="8"/>
  <c r="J116" i="8"/>
  <c r="M132" i="8"/>
  <c r="M157" i="8"/>
  <c r="J175" i="8"/>
  <c r="M184" i="8"/>
  <c r="J184" i="8"/>
  <c r="M185" i="8"/>
  <c r="J210" i="8"/>
  <c r="M218" i="8"/>
  <c r="M243" i="8"/>
  <c r="M251" i="8"/>
  <c r="J342" i="8"/>
  <c r="M350" i="8"/>
  <c r="M358" i="8"/>
  <c r="J367" i="8"/>
  <c r="M385" i="8"/>
  <c r="J412" i="8"/>
  <c r="M430" i="8"/>
  <c r="J439" i="8"/>
  <c r="M447" i="8"/>
  <c r="J457" i="8"/>
  <c r="M457" i="8"/>
  <c r="M481" i="8"/>
  <c r="J490" i="8"/>
  <c r="J499" i="8"/>
  <c r="M508" i="8"/>
  <c r="M517" i="8"/>
  <c r="J517" i="8"/>
  <c r="M525" i="8"/>
  <c r="M550" i="8"/>
  <c r="M558" i="8"/>
  <c r="J576" i="8"/>
  <c r="J593" i="8"/>
  <c r="M602" i="8"/>
  <c r="M7" i="8"/>
  <c r="M15" i="8"/>
  <c r="M24" i="8"/>
  <c r="J77" i="8"/>
  <c r="J108" i="8"/>
  <c r="M141" i="8"/>
  <c r="J167" i="8"/>
  <c r="M219" i="8"/>
  <c r="J227" i="8"/>
  <c r="M235" i="8"/>
  <c r="M252" i="8"/>
  <c r="J252" i="8"/>
  <c r="M253" i="8"/>
  <c r="J269" i="8"/>
  <c r="J277" i="8"/>
  <c r="J285" i="8"/>
  <c r="J302" i="8"/>
  <c r="J310" i="8"/>
  <c r="M318" i="8"/>
  <c r="J318" i="8"/>
  <c r="M359" i="8"/>
  <c r="J359" i="8"/>
  <c r="M386" i="8"/>
  <c r="J404" i="8"/>
  <c r="J422" i="8"/>
  <c r="J430" i="8"/>
  <c r="M448" i="8"/>
  <c r="J466" i="8"/>
  <c r="J474" i="8"/>
  <c r="J534" i="8"/>
  <c r="J542" i="8"/>
  <c r="J550" i="8"/>
  <c r="M559" i="8"/>
  <c r="J559" i="8"/>
  <c r="J585" i="8"/>
  <c r="J602" i="8"/>
  <c r="J24" i="8"/>
  <c r="M69" i="8"/>
  <c r="M102" i="8"/>
  <c r="M101" i="8"/>
  <c r="J141" i="8"/>
  <c r="J176" i="8"/>
  <c r="M176" i="8"/>
  <c r="M378" i="8"/>
  <c r="M440" i="8"/>
  <c r="M491" i="8"/>
  <c r="M500" i="8"/>
  <c r="M560" i="8"/>
  <c r="J577" i="8"/>
  <c r="M577" i="8"/>
  <c r="M603" i="8"/>
  <c r="M332" i="8"/>
  <c r="M333" i="8"/>
  <c r="M22" i="8"/>
  <c r="M131" i="8"/>
  <c r="M393" i="8"/>
  <c r="J76" i="8"/>
  <c r="M123" i="8"/>
  <c r="J123" i="8"/>
  <c r="M148" i="8"/>
  <c r="J148" i="8"/>
  <c r="M191" i="8"/>
  <c r="J234" i="8"/>
  <c r="J301" i="8"/>
  <c r="J421" i="8"/>
  <c r="J455" i="8"/>
  <c r="M455" i="8"/>
  <c r="J465" i="8"/>
  <c r="J473" i="8"/>
  <c r="J533" i="8"/>
  <c r="J549" i="8"/>
  <c r="J601" i="8"/>
  <c r="J23" i="8"/>
  <c r="J68" i="8"/>
  <c r="J84" i="8"/>
  <c r="M192" i="8"/>
  <c r="J192" i="8"/>
  <c r="M268" i="8"/>
  <c r="J325" i="8"/>
  <c r="J350" i="8"/>
  <c r="M456" i="8"/>
  <c r="J481" i="8"/>
  <c r="M584" i="8"/>
  <c r="M117" i="8"/>
  <c r="M168" i="8"/>
  <c r="M286" i="8"/>
  <c r="M311" i="8"/>
  <c r="J311" i="8"/>
  <c r="M431" i="8"/>
  <c r="M458" i="8"/>
  <c r="M518" i="8"/>
  <c r="M551" i="8"/>
  <c r="J386" i="8"/>
  <c r="J402" i="8"/>
  <c r="M402" i="8"/>
  <c r="J448" i="8"/>
  <c r="J470" i="8"/>
  <c r="J500" i="8"/>
  <c r="J522" i="8"/>
  <c r="J537" i="8"/>
  <c r="M537" i="8"/>
  <c r="J552" i="8"/>
  <c r="J7" i="8"/>
  <c r="J66" i="8"/>
  <c r="J138" i="8"/>
  <c r="J223" i="8"/>
  <c r="J230" i="8"/>
  <c r="M426" i="8"/>
  <c r="J463" i="8"/>
  <c r="J493" i="8"/>
  <c r="J515" i="8"/>
  <c r="M530" i="8"/>
  <c r="J545" i="8"/>
  <c r="J567" i="8"/>
  <c r="J574" i="8"/>
  <c r="M581" i="8"/>
  <c r="J603" i="8"/>
  <c r="J22" i="8"/>
  <c r="M73" i="8"/>
  <c r="M88" i="8"/>
  <c r="M95" i="8"/>
  <c r="J95" i="8"/>
  <c r="J131" i="8"/>
  <c r="J153" i="8"/>
  <c r="M177" i="8"/>
  <c r="M201" i="8"/>
  <c r="J216" i="8"/>
  <c r="J238" i="8"/>
  <c r="M245" i="8"/>
  <c r="J268" i="8"/>
  <c r="M275" i="8"/>
  <c r="J290" i="8"/>
  <c r="J297" i="8"/>
  <c r="M304" i="8"/>
  <c r="M312" i="8"/>
  <c r="M319" i="8"/>
  <c r="J319" i="8"/>
  <c r="J341" i="8"/>
  <c r="M348" i="8"/>
  <c r="M355" i="8"/>
  <c r="M379" i="8"/>
  <c r="J395" i="8"/>
  <c r="M395" i="8"/>
  <c r="M410" i="8"/>
  <c r="J434" i="8"/>
  <c r="M441" i="8"/>
  <c r="J456" i="8"/>
  <c r="J486" i="8"/>
  <c r="J508" i="8"/>
  <c r="J530" i="8"/>
  <c r="J560" i="8"/>
  <c r="J589" i="8"/>
  <c r="J596" i="8"/>
  <c r="M409" i="8"/>
  <c r="M470" i="8"/>
  <c r="M544" i="8"/>
  <c r="J362" i="8"/>
  <c r="M326" i="8"/>
  <c r="M162" i="8"/>
  <c r="J170" i="8"/>
  <c r="M170" i="8"/>
  <c r="M246" i="8"/>
  <c r="M403" i="8"/>
  <c r="M464" i="8"/>
  <c r="M538" i="8"/>
  <c r="M604" i="8"/>
  <c r="J135" i="8"/>
  <c r="J155" i="8"/>
  <c r="J177" i="8"/>
  <c r="J191" i="8"/>
  <c r="J199" i="8"/>
  <c r="J219" i="8"/>
  <c r="J246" i="8"/>
  <c r="J266" i="8"/>
  <c r="J286" i="8"/>
  <c r="J306" i="8"/>
  <c r="J326" i="8"/>
  <c r="J346" i="8"/>
  <c r="J366" i="8"/>
  <c r="J388" i="8"/>
  <c r="J409" i="8"/>
  <c r="J416" i="8"/>
  <c r="J424" i="8"/>
  <c r="J444" i="8"/>
  <c r="J464" i="8"/>
  <c r="J484" i="8"/>
  <c r="J504" i="8"/>
  <c r="J524" i="8"/>
  <c r="J544" i="8"/>
  <c r="J564" i="8"/>
  <c r="J584" i="8"/>
  <c r="J604" i="8"/>
  <c r="AD42" i="2" l="1"/>
  <c r="AE42" i="2"/>
  <c r="AL42" i="2" s="1"/>
  <c r="AD30" i="2"/>
  <c r="AH30" i="2" s="1"/>
  <c r="AE37" i="2"/>
  <c r="AL37" i="2" s="1"/>
  <c r="Z30" i="2"/>
  <c r="AB30" i="2"/>
  <c r="AE30" i="2" s="1"/>
  <c r="AL30" i="2"/>
  <c r="AK41" i="2"/>
  <c r="Y46" i="2"/>
  <c r="AF46" i="2"/>
  <c r="AA46" i="2"/>
  <c r="AI37" i="2"/>
  <c r="AG51" i="2"/>
  <c r="AI51" i="2"/>
  <c r="AJ51" i="2"/>
  <c r="AG45" i="2"/>
  <c r="Z47" i="2"/>
  <c r="AB47" i="2"/>
  <c r="Z50" i="2"/>
  <c r="AB50" i="2"/>
  <c r="AB43" i="2"/>
  <c r="Z43" i="2"/>
  <c r="AE45" i="2"/>
  <c r="AL45" i="2" s="1"/>
  <c r="AD45" i="2"/>
  <c r="AI45" i="2" s="1"/>
  <c r="AB15" i="2"/>
  <c r="AD15" i="2" s="1"/>
  <c r="AI15" i="2" s="1"/>
  <c r="AE38" i="2"/>
  <c r="AL38" i="2" s="1"/>
  <c r="AD38" i="2"/>
  <c r="AG42" i="2"/>
  <c r="AI42" i="2"/>
  <c r="AG38" i="2"/>
  <c r="AI38" i="2"/>
  <c r="AJ37" i="2"/>
  <c r="Z49" i="2"/>
  <c r="AB49" i="2"/>
  <c r="AK40" i="2"/>
  <c r="AI40" i="2"/>
  <c r="AG40" i="2"/>
  <c r="AJ40" i="2"/>
  <c r="AK39" i="2"/>
  <c r="AI39" i="2"/>
  <c r="AI41" i="2"/>
  <c r="AJ41" i="2"/>
  <c r="AG41" i="2"/>
  <c r="Z35" i="2"/>
  <c r="AG35" i="2" s="1"/>
  <c r="AK30" i="2"/>
  <c r="AL21" i="2"/>
  <c r="AD34" i="2"/>
  <c r="AD2" i="2"/>
  <c r="AH2" i="2" s="1"/>
  <c r="AB20" i="2"/>
  <c r="AD20" i="2" s="1"/>
  <c r="AI20" i="2" s="1"/>
  <c r="Z3" i="2"/>
  <c r="AG3" i="2" s="1"/>
  <c r="AL27" i="2"/>
  <c r="AD27" i="2"/>
  <c r="Z27" i="2"/>
  <c r="AB31" i="2"/>
  <c r="AE31" i="2" s="1"/>
  <c r="AL31" i="2" s="1"/>
  <c r="AI16" i="2"/>
  <c r="AD14" i="2"/>
  <c r="AH14" i="2" s="1"/>
  <c r="AB12" i="2"/>
  <c r="AE12" i="2" s="1"/>
  <c r="AL12" i="2" s="1"/>
  <c r="AB10" i="2"/>
  <c r="AD10" i="2" s="1"/>
  <c r="AI10" i="2" s="1"/>
  <c r="Z2" i="2"/>
  <c r="Z34" i="2"/>
  <c r="AE34" i="2"/>
  <c r="AL34" i="2" s="1"/>
  <c r="Z33" i="2"/>
  <c r="AG33" i="2" s="1"/>
  <c r="Z26" i="2"/>
  <c r="AB26" i="2"/>
  <c r="AA25" i="2"/>
  <c r="Y25" i="2"/>
  <c r="Z23" i="2"/>
  <c r="AG23" i="2" s="1"/>
  <c r="Z21" i="2"/>
  <c r="AJ21" i="2" s="1"/>
  <c r="AB22" i="2"/>
  <c r="AD22" i="2" s="1"/>
  <c r="AI22" i="2" s="1"/>
  <c r="AL23" i="2"/>
  <c r="AD23" i="2"/>
  <c r="AH23" i="2" s="1"/>
  <c r="AD21" i="2"/>
  <c r="AH21" i="2" s="1"/>
  <c r="AB19" i="2"/>
  <c r="AD19" i="2" s="1"/>
  <c r="AI19" i="2" s="1"/>
  <c r="AB17" i="2"/>
  <c r="AE17" i="2" s="1"/>
  <c r="AL14" i="2"/>
  <c r="AK16" i="2"/>
  <c r="AD11" i="2"/>
  <c r="Z11" i="2"/>
  <c r="Z7" i="2"/>
  <c r="AB7" i="2"/>
  <c r="AD33" i="2"/>
  <c r="AE33" i="2"/>
  <c r="AL33" i="2" s="1"/>
  <c r="AG22" i="2"/>
  <c r="AG12" i="2"/>
  <c r="AG31" i="2"/>
  <c r="AG20" i="2"/>
  <c r="AE6" i="2"/>
  <c r="AD6" i="2"/>
  <c r="AI6" i="2" s="1"/>
  <c r="AD13" i="2"/>
  <c r="AI13" i="2" s="1"/>
  <c r="AE13" i="2"/>
  <c r="AD4" i="2"/>
  <c r="AI4" i="2" s="1"/>
  <c r="AE4" i="2"/>
  <c r="AG13" i="2"/>
  <c r="AG10" i="2"/>
  <c r="AD29" i="2"/>
  <c r="AI29" i="2" s="1"/>
  <c r="AE29" i="2"/>
  <c r="AG17" i="2"/>
  <c r="AD24" i="2"/>
  <c r="AI24" i="2" s="1"/>
  <c r="AE24" i="2"/>
  <c r="AG29" i="2"/>
  <c r="AD28" i="2"/>
  <c r="AI28" i="2" s="1"/>
  <c r="AE28" i="2"/>
  <c r="AL28" i="2" s="1"/>
  <c r="AB32" i="2"/>
  <c r="Z32" i="2"/>
  <c r="AG28" i="2"/>
  <c r="AD8" i="2"/>
  <c r="AI8" i="2" s="1"/>
  <c r="AE8" i="2"/>
  <c r="AE9" i="2"/>
  <c r="AD9" i="2"/>
  <c r="AI9" i="2" s="1"/>
  <c r="AG8" i="2"/>
  <c r="AE5" i="2"/>
  <c r="AD5" i="2"/>
  <c r="AI5" i="2" s="1"/>
  <c r="AG19" i="2"/>
  <c r="AD36" i="2"/>
  <c r="AH36" i="2" s="1"/>
  <c r="AE36" i="2"/>
  <c r="AL36" i="2" s="1"/>
  <c r="AG5" i="2"/>
  <c r="AE35" i="2"/>
  <c r="AD35" i="2"/>
  <c r="AI35" i="2" s="1"/>
  <c r="AE3" i="2"/>
  <c r="AD3" i="2"/>
  <c r="AD18" i="2"/>
  <c r="AI18" i="2" s="1"/>
  <c r="AE18" i="2"/>
  <c r="C113" i="1"/>
  <c r="C112" i="1"/>
  <c r="C111" i="1"/>
  <c r="C4" i="1"/>
  <c r="C5" i="1"/>
  <c r="C6" i="1"/>
  <c r="AJ30" i="2" l="1"/>
  <c r="AG30" i="2"/>
  <c r="AE15" i="2"/>
  <c r="AJ38" i="2"/>
  <c r="AB46" i="2"/>
  <c r="Z46" i="2"/>
  <c r="AH42" i="2"/>
  <c r="AK42" i="2"/>
  <c r="AI30" i="2"/>
  <c r="AJ42" i="2"/>
  <c r="AG49" i="2"/>
  <c r="AD50" i="2"/>
  <c r="AE50" i="2"/>
  <c r="AL50" i="2" s="1"/>
  <c r="AH45" i="2"/>
  <c r="AK45" i="2"/>
  <c r="AG50" i="2"/>
  <c r="AE43" i="2"/>
  <c r="AL43" i="2" s="1"/>
  <c r="AD43" i="2"/>
  <c r="AE47" i="2"/>
  <c r="AL47" i="2" s="1"/>
  <c r="AD47" i="2"/>
  <c r="AI47" i="2" s="1"/>
  <c r="AH38" i="2"/>
  <c r="AK38" i="2"/>
  <c r="AJ47" i="2"/>
  <c r="AG47" i="2"/>
  <c r="AI43" i="2"/>
  <c r="AG43" i="2"/>
  <c r="AE49" i="2"/>
  <c r="AL49" i="2" s="1"/>
  <c r="AD49" i="2"/>
  <c r="AJ45" i="2"/>
  <c r="AI34" i="2"/>
  <c r="AD12" i="2"/>
  <c r="AI12" i="2" s="1"/>
  <c r="AK34" i="2"/>
  <c r="AH34" i="2"/>
  <c r="AK2" i="2"/>
  <c r="AE20" i="2"/>
  <c r="AL20" i="2" s="1"/>
  <c r="AG34" i="2"/>
  <c r="AG21" i="2"/>
  <c r="AI2" i="2"/>
  <c r="AE10" i="2"/>
  <c r="AL10" i="2" s="1"/>
  <c r="AD31" i="2"/>
  <c r="AI31" i="2" s="1"/>
  <c r="AJ28" i="2"/>
  <c r="AG2" i="2"/>
  <c r="AJ23" i="2"/>
  <c r="AG27" i="2"/>
  <c r="AJ27" i="2"/>
  <c r="AI27" i="2"/>
  <c r="AH27" i="2"/>
  <c r="AK27" i="2"/>
  <c r="AE19" i="2"/>
  <c r="AL19" i="2" s="1"/>
  <c r="AI14" i="2"/>
  <c r="AK14" i="2"/>
  <c r="AJ2" i="2"/>
  <c r="AJ34" i="2"/>
  <c r="AI33" i="2"/>
  <c r="AJ33" i="2"/>
  <c r="AJ31" i="2"/>
  <c r="AE26" i="2"/>
  <c r="AL26" i="2" s="1"/>
  <c r="AD26" i="2"/>
  <c r="AI26" i="2" s="1"/>
  <c r="AG26" i="2"/>
  <c r="AB25" i="2"/>
  <c r="Z25" i="2"/>
  <c r="AI23" i="2"/>
  <c r="AK23" i="2"/>
  <c r="AE22" i="2"/>
  <c r="AJ22" i="2" s="1"/>
  <c r="AI21" i="2"/>
  <c r="AK21" i="2"/>
  <c r="AD17" i="2"/>
  <c r="AI17" i="2" s="1"/>
  <c r="AJ12" i="2"/>
  <c r="AH11" i="2"/>
  <c r="AK11" i="2"/>
  <c r="AI11" i="2"/>
  <c r="AJ11" i="2"/>
  <c r="AG11" i="2"/>
  <c r="AJ18" i="2"/>
  <c r="AL18" i="2"/>
  <c r="AK13" i="2"/>
  <c r="AH13" i="2"/>
  <c r="AH6" i="2"/>
  <c r="AK6" i="2"/>
  <c r="AI36" i="2"/>
  <c r="AJ36" i="2"/>
  <c r="AJ10" i="2"/>
  <c r="AH18" i="2"/>
  <c r="AK18" i="2"/>
  <c r="AH20" i="2"/>
  <c r="AK20" i="2"/>
  <c r="AH22" i="2"/>
  <c r="AK22" i="2"/>
  <c r="AH19" i="2"/>
  <c r="AK19" i="2"/>
  <c r="AJ6" i="2"/>
  <c r="AL6" i="2"/>
  <c r="AH10" i="2"/>
  <c r="AK10" i="2"/>
  <c r="AH33" i="2"/>
  <c r="AK33" i="2"/>
  <c r="AH3" i="2"/>
  <c r="AK3" i="2"/>
  <c r="AJ3" i="2"/>
  <c r="AL3" i="2"/>
  <c r="AH9" i="2"/>
  <c r="AK9" i="2"/>
  <c r="AJ24" i="2"/>
  <c r="AL24" i="2"/>
  <c r="AE7" i="2"/>
  <c r="AL7" i="2" s="1"/>
  <c r="AD7" i="2"/>
  <c r="AI7" i="2" s="1"/>
  <c r="AH35" i="2"/>
  <c r="AK35" i="2"/>
  <c r="AJ9" i="2"/>
  <c r="AL9" i="2"/>
  <c r="AG32" i="2"/>
  <c r="AH24" i="2"/>
  <c r="AK24" i="2"/>
  <c r="AG7" i="2"/>
  <c r="AJ35" i="2"/>
  <c r="AL35" i="2"/>
  <c r="AD32" i="2"/>
  <c r="AE32" i="2"/>
  <c r="AL32" i="2" s="1"/>
  <c r="AJ17" i="2"/>
  <c r="AL17" i="2"/>
  <c r="AJ4" i="2"/>
  <c r="AL4" i="2"/>
  <c r="AK36" i="2"/>
  <c r="AJ15" i="2"/>
  <c r="AL15" i="2"/>
  <c r="AH4" i="2"/>
  <c r="AK4" i="2"/>
  <c r="AH15" i="2"/>
  <c r="AK15" i="2"/>
  <c r="AL29" i="2"/>
  <c r="AJ29" i="2"/>
  <c r="AH29" i="2"/>
  <c r="AK29" i="2"/>
  <c r="AI3" i="2"/>
  <c r="AH5" i="2"/>
  <c r="AK5" i="2"/>
  <c r="AJ8" i="2"/>
  <c r="AL8" i="2"/>
  <c r="AJ5" i="2"/>
  <c r="AL5" i="2"/>
  <c r="AH8" i="2"/>
  <c r="AK8" i="2"/>
  <c r="AH28" i="2"/>
  <c r="AK28" i="2"/>
  <c r="AJ13" i="2"/>
  <c r="AL13" i="2"/>
  <c r="AK12" i="2"/>
  <c r="AG46" i="2" l="1"/>
  <c r="AD46" i="2"/>
  <c r="AE46" i="2"/>
  <c r="AJ43" i="2"/>
  <c r="AH43" i="2"/>
  <c r="AK43" i="2"/>
  <c r="AH50" i="2"/>
  <c r="AK50" i="2"/>
  <c r="AH47" i="2"/>
  <c r="AK47" i="2"/>
  <c r="AJ50" i="2"/>
  <c r="AJ20" i="2"/>
  <c r="AH49" i="2"/>
  <c r="AK49" i="2"/>
  <c r="AI50" i="2"/>
  <c r="AJ49" i="2"/>
  <c r="AI49" i="2"/>
  <c r="AJ7" i="2"/>
  <c r="AH12" i="2"/>
  <c r="AH31" i="2"/>
  <c r="AK31" i="2"/>
  <c r="AJ19" i="2"/>
  <c r="AK26" i="2"/>
  <c r="AH26" i="2"/>
  <c r="AJ26" i="2"/>
  <c r="AG25" i="2"/>
  <c r="AE25" i="2"/>
  <c r="AL25" i="2" s="1"/>
  <c r="AD25" i="2"/>
  <c r="AL22" i="2"/>
  <c r="AK17" i="2"/>
  <c r="AH17" i="2"/>
  <c r="AH32" i="2"/>
  <c r="AK32" i="2"/>
  <c r="AJ32" i="2"/>
  <c r="AI32" i="2"/>
  <c r="AH7" i="2"/>
  <c r="AK7" i="2"/>
  <c r="AJ46" i="2" l="1"/>
  <c r="AL46" i="2"/>
  <c r="AH46" i="2"/>
  <c r="AK46" i="2"/>
  <c r="AI46" i="2"/>
  <c r="AH25" i="2"/>
  <c r="AK25" i="2"/>
  <c r="AI25" i="2"/>
  <c r="AJ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CoreSection_ELB" description="Verbindung mit der Abfrage 'CoreSection_ELB' in der Arbeitsmappe." type="5" refreshedVersion="7" background="1" saveData="1">
    <dbPr connection="Provider=Microsoft.Mashup.OleDb.1;Data Source=$Workbook$;Location=CoreSection_ELB;Extended Properties=&quot;&quot;" command="SELECT * FROM [CoreSection_ELB]"/>
  </connection>
</connections>
</file>

<file path=xl/sharedStrings.xml><?xml version="1.0" encoding="utf-8"?>
<sst xmlns="http://schemas.openxmlformats.org/spreadsheetml/2006/main" count="7628" uniqueCount="431">
  <si>
    <t>Number</t>
  </si>
  <si>
    <t>Weight, g</t>
  </si>
  <si>
    <t>Volume, cc</t>
  </si>
  <si>
    <t>Section</t>
  </si>
  <si>
    <t>Sample Top, cm</t>
  </si>
  <si>
    <t>Sample Bottom, cm</t>
  </si>
  <si>
    <t>Beaker Number</t>
  </si>
  <si>
    <t>Scientist</t>
  </si>
  <si>
    <t>Pycnometer Cell</t>
  </si>
  <si>
    <r>
      <rPr>
        <b/>
        <sz val="9"/>
        <color theme="1"/>
        <rFont val="Calibri"/>
        <family val="2"/>
        <scheme val="minor"/>
      </rPr>
      <t>WET</t>
    </r>
    <r>
      <rPr>
        <sz val="9"/>
        <color theme="1"/>
        <rFont val="Calibri"/>
        <family val="2"/>
        <scheme val="minor"/>
      </rPr>
      <t xml:space="preserve"> Weight (Sample + Beaker), g </t>
    </r>
  </si>
  <si>
    <r>
      <rPr>
        <b/>
        <sz val="9"/>
        <color theme="1"/>
        <rFont val="Calibri"/>
        <family val="2"/>
        <scheme val="minor"/>
      </rPr>
      <t>DRY</t>
    </r>
    <r>
      <rPr>
        <sz val="9"/>
        <color theme="1"/>
        <rFont val="Calibri"/>
        <family val="2"/>
        <scheme val="minor"/>
      </rPr>
      <t xml:space="preserve"> Weight (Sample + Beaker), g</t>
    </r>
  </si>
  <si>
    <r>
      <t xml:space="preserve">OVEN             Date/Time                    </t>
    </r>
    <r>
      <rPr>
        <b/>
        <sz val="9"/>
        <color theme="1"/>
        <rFont val="Calibri"/>
        <family val="2"/>
        <scheme val="minor"/>
      </rPr>
      <t>IN</t>
    </r>
  </si>
  <si>
    <t>Beaker Weight,         g</t>
  </si>
  <si>
    <t>WEIGHT   WET Sample, g</t>
  </si>
  <si>
    <t>WEIGHT     DRY Sample,  g</t>
  </si>
  <si>
    <t>WEIGHT Salt,                g</t>
  </si>
  <si>
    <t xml:space="preserve">WEIGHT Grains,               g </t>
  </si>
  <si>
    <t>WEIGHT Pore Water, g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</si>
  <si>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</si>
  <si>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</si>
  <si>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</si>
  <si>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</si>
  <si>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</si>
  <si>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</si>
  <si>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</si>
  <si>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</si>
  <si>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</si>
  <si>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</si>
  <si>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</si>
  <si>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Site</t>
  </si>
  <si>
    <t>Hole</t>
  </si>
  <si>
    <t>A</t>
  </si>
  <si>
    <t>Core</t>
  </si>
  <si>
    <t>Type</t>
  </si>
  <si>
    <t>R</t>
  </si>
  <si>
    <t>Void Ratio, v/v</t>
  </si>
  <si>
    <t>Sample Base, cm</t>
  </si>
  <si>
    <t>OUT OF OVEN                      (date/time)</t>
  </si>
  <si>
    <t>IN OVEN (date/time)</t>
  </si>
  <si>
    <t>PYCNOMTR (date/time)</t>
  </si>
  <si>
    <t>P Cell</t>
  </si>
  <si>
    <t>MOISTURE and DENSITY (MAD)</t>
  </si>
  <si>
    <t>DRY VOLUME (Sample + Beaker), cc</t>
  </si>
  <si>
    <t>DRY WEIGHT (Sample + Beaker), g</t>
  </si>
  <si>
    <t xml:space="preserve">WET WEIGHT (Sample + Beaker), g </t>
  </si>
  <si>
    <t>IN DSCTR (time/date)</t>
  </si>
  <si>
    <t>OUT OF DSCTR (time/date)</t>
  </si>
  <si>
    <t>B</t>
  </si>
  <si>
    <t>C</t>
  </si>
  <si>
    <t>top_depth</t>
  </si>
  <si>
    <t>Combined id</t>
  </si>
  <si>
    <t>DRY Volume, cc</t>
  </si>
  <si>
    <t>Expedition</t>
  </si>
  <si>
    <t xml:space="preserve">Core </t>
  </si>
  <si>
    <t>Combined</t>
  </si>
  <si>
    <t>bottom_depth</t>
  </si>
  <si>
    <t>M0111</t>
  </si>
  <si>
    <t>H</t>
  </si>
  <si>
    <t>X</t>
  </si>
  <si>
    <t>O</t>
  </si>
  <si>
    <t>M0112</t>
  </si>
  <si>
    <t>M0113</t>
  </si>
  <si>
    <t>Sample Bot Depth, mbsf</t>
  </si>
  <si>
    <t>Sample Top Depth, mbsf</t>
  </si>
  <si>
    <t>Exp</t>
  </si>
  <si>
    <t>Need editing with values for X501</t>
  </si>
  <si>
    <t xml:space="preserve">Site </t>
  </si>
  <si>
    <t>Half</t>
  </si>
  <si>
    <t xml:space="preserve">Top Interval </t>
  </si>
  <si>
    <t>Bot Interval</t>
  </si>
  <si>
    <t>Curators Top Depth (mbsf)</t>
  </si>
  <si>
    <t>Curators Bot Depth (mbsf)</t>
  </si>
  <si>
    <t>Lithology Comments</t>
  </si>
  <si>
    <t>Suggested depth flexibility</t>
  </si>
  <si>
    <t>Res (m)</t>
  </si>
  <si>
    <t>W</t>
  </si>
  <si>
    <t>sand with shells</t>
  </si>
  <si>
    <t>± 10 cm</t>
  </si>
  <si>
    <t>n/a</t>
  </si>
  <si>
    <t>shells in sand</t>
  </si>
  <si>
    <t>Sand</t>
  </si>
  <si>
    <t>slushy sand</t>
  </si>
  <si>
    <t>± 5 cm</t>
  </si>
  <si>
    <t>sand</t>
  </si>
  <si>
    <t>very fine slushy sand</t>
  </si>
  <si>
    <t>Light grey mix of medium coarse to fine sand</t>
  </si>
  <si>
    <t>light grey coarse sand</t>
  </si>
  <si>
    <t>light grey medium coarse sand</t>
  </si>
  <si>
    <t>Coarse to medium corase sand</t>
  </si>
  <si>
    <t>medium coarse sand</t>
  </si>
  <si>
    <t>Coarse to medium coarse sand,</t>
  </si>
  <si>
    <t>very fine dark grey sand</t>
  </si>
  <si>
    <t>very fine sand</t>
  </si>
  <si>
    <t>fine grain dark gray sand</t>
  </si>
  <si>
    <t>fine grain dark sand</t>
  </si>
  <si>
    <t>medium to fine dark grey sand</t>
  </si>
  <si>
    <t>lightish gray medium grain sand</t>
  </si>
  <si>
    <t>soupy dark-ish gray sand</t>
  </si>
  <si>
    <t>medium coarse light grey sand</t>
  </si>
  <si>
    <t>dark grey coarse to medium coarse sand</t>
  </si>
  <si>
    <t xml:space="preserve">light grey medium coarse sand </t>
  </si>
  <si>
    <t>medium grain dark sand with shells inside</t>
  </si>
  <si>
    <t>coarse sand with shells</t>
  </si>
  <si>
    <t>sand and clay mix, silty clay, grey</t>
  </si>
  <si>
    <t>silty clay</t>
  </si>
  <si>
    <t>silty mud</t>
  </si>
  <si>
    <t>silty mud?</t>
  </si>
  <si>
    <t>sand glauconitic</t>
  </si>
  <si>
    <t>coarse sand</t>
  </si>
  <si>
    <t>dark grey mud</t>
  </si>
  <si>
    <t>light grey mud</t>
  </si>
  <si>
    <t xml:space="preserve">light grey mud </t>
  </si>
  <si>
    <t>mud-silt?</t>
  </si>
  <si>
    <t>mud</t>
  </si>
  <si>
    <t>grey mud, disturbed</t>
  </si>
  <si>
    <t xml:space="preserve">mud </t>
  </si>
  <si>
    <t>grey mud</t>
  </si>
  <si>
    <t>sand mixed with clay</t>
  </si>
  <si>
    <t>semi lithified sand and clay</t>
  </si>
  <si>
    <t>compacted sand and clay</t>
  </si>
  <si>
    <t>compacted sand after 35</t>
  </si>
  <si>
    <t>dark gray fine grain sand</t>
  </si>
  <si>
    <t>dark gray sand</t>
  </si>
  <si>
    <t>coarse sandy mud</t>
  </si>
  <si>
    <t>dark gray fine grain sand- clay</t>
  </si>
  <si>
    <t>dark clay</t>
  </si>
  <si>
    <t>dark grey clay</t>
  </si>
  <si>
    <t>dark gray mud</t>
  </si>
  <si>
    <t>dark gray-green mud</t>
  </si>
  <si>
    <t>dark grey competant mud</t>
  </si>
  <si>
    <t>dark grey sand</t>
  </si>
  <si>
    <t>grey sand</t>
  </si>
  <si>
    <t>dark sandy clay</t>
  </si>
  <si>
    <t>brown sand</t>
  </si>
  <si>
    <t>grey clay</t>
  </si>
  <si>
    <t>sand/clay mixture</t>
  </si>
  <si>
    <t>stiff mud</t>
  </si>
  <si>
    <t>competant light grey mud</t>
  </si>
  <si>
    <t>slushy mud and sand mixed</t>
  </si>
  <si>
    <t>grey sand and mud</t>
  </si>
  <si>
    <t>light grey slushy mud and sand mix</t>
  </si>
  <si>
    <t>light grey mud with sand</t>
  </si>
  <si>
    <t>semi lithified sand and mud</t>
  </si>
  <si>
    <t>light grey clay</t>
  </si>
  <si>
    <t>redish clay</t>
  </si>
  <si>
    <t>light coloured sand</t>
  </si>
  <si>
    <t>sand and mud mix</t>
  </si>
  <si>
    <t>light grey fine grain sand</t>
  </si>
  <si>
    <t>grey sand, unconsolidated</t>
  </si>
  <si>
    <t>lightgray clay</t>
  </si>
  <si>
    <t>red clay</t>
  </si>
  <si>
    <t>sandy</t>
  </si>
  <si>
    <t>Dark sands with some light colored sand</t>
  </si>
  <si>
    <t>Sandy</t>
  </si>
  <si>
    <t>likegray clay</t>
  </si>
  <si>
    <t>clay column with coarse sand</t>
  </si>
  <si>
    <t>grey competant clay</t>
  </si>
  <si>
    <t>light grey competant mud</t>
  </si>
  <si>
    <t>slushy sand and clay mix</t>
  </si>
  <si>
    <t>Light grey clay and sand mix</t>
  </si>
  <si>
    <t>semi lithified sand</t>
  </si>
  <si>
    <t>very fine grain sand (slushy mix)</t>
  </si>
  <si>
    <t>very fine grain slushy sand mix</t>
  </si>
  <si>
    <t>very fine garin sand (slushy mix)</t>
  </si>
  <si>
    <t>fine grain sand</t>
  </si>
  <si>
    <t>fine grain grey sand.</t>
  </si>
  <si>
    <t>dark sand and mud</t>
  </si>
  <si>
    <t>fine grain slushy sand</t>
  </si>
  <si>
    <t>slushy lightgrey sand</t>
  </si>
  <si>
    <t>slushy light grey sand</t>
  </si>
  <si>
    <t>light grey clay (orange staining)</t>
  </si>
  <si>
    <t>bright orange clay</t>
  </si>
  <si>
    <t>semi lithified sands/clay mix</t>
  </si>
  <si>
    <t>semi lithified sands</t>
  </si>
  <si>
    <t xml:space="preserve">-10 cm </t>
  </si>
  <si>
    <t>semi lithified sand and some clay</t>
  </si>
  <si>
    <t>coarse and fine combined sand</t>
  </si>
  <si>
    <t>light orange sandy clay</t>
  </si>
  <si>
    <t>dark grey green clay</t>
  </si>
  <si>
    <t>Dark grey geen clay</t>
  </si>
  <si>
    <t>Dark colored mud</t>
  </si>
  <si>
    <t>Dark coloured mud</t>
  </si>
  <si>
    <t>Sandy mud, disturbed</t>
  </si>
  <si>
    <t>dark grey intact clay</t>
  </si>
  <si>
    <t>dark  sandy mud</t>
  </si>
  <si>
    <t>dark coloured mud</t>
  </si>
  <si>
    <t>dark sandy mud</t>
  </si>
  <si>
    <t>dark coloured sand</t>
  </si>
  <si>
    <t>watery fine grain sand</t>
  </si>
  <si>
    <t>Slushy dark grey sand</t>
  </si>
  <si>
    <t>Dark grey coarse grain sand</t>
  </si>
  <si>
    <t>Dark grey clay</t>
  </si>
  <si>
    <t>dark green clay</t>
  </si>
  <si>
    <t>dark greenish mud and sands interbedded</t>
  </si>
  <si>
    <t>Dark coloured mud and sand</t>
  </si>
  <si>
    <t xml:space="preserve">black sandy material </t>
  </si>
  <si>
    <t>dark coloured mud.</t>
  </si>
  <si>
    <t xml:space="preserve">light grey sand </t>
  </si>
  <si>
    <t xml:space="preserve"> light grey sand and clay</t>
  </si>
  <si>
    <t>very fine grain light grey sand with some clay</t>
  </si>
  <si>
    <t xml:space="preserve">Light grey sand  </t>
  </si>
  <si>
    <t>Light grey coarse sand</t>
  </si>
  <si>
    <t>dark sand into lighter sand, disturbed</t>
  </si>
  <si>
    <t>Light grey clay</t>
  </si>
  <si>
    <t>Grey silty mud</t>
  </si>
  <si>
    <t>Greenish sand</t>
  </si>
  <si>
    <t xml:space="preserve">Fine grain sandy mud </t>
  </si>
  <si>
    <t>Fine grain sand</t>
  </si>
  <si>
    <t>fine grain sandy mud</t>
  </si>
  <si>
    <t>fine grain sand, very watery</t>
  </si>
  <si>
    <t>Fine grain sand, watery</t>
  </si>
  <si>
    <t>very fine grain sandy mud</t>
  </si>
  <si>
    <t>sandy mud</t>
  </si>
  <si>
    <t xml:space="preserve">Mud </t>
  </si>
  <si>
    <t>Fine grain sand.</t>
  </si>
  <si>
    <t>coarse to medium grain sand</t>
  </si>
  <si>
    <t>coarse to medium grain light grey sand</t>
  </si>
  <si>
    <t>medium to fine grain loose sand</t>
  </si>
  <si>
    <t>light grey clay and fine sand mixture</t>
  </si>
  <si>
    <t>Grey watery loose sand</t>
  </si>
  <si>
    <t>dark colored sand suspended in fluid</t>
  </si>
  <si>
    <t>Very dark watery coarse sand.</t>
  </si>
  <si>
    <t>dark colored sand</t>
  </si>
  <si>
    <t>Mud</t>
  </si>
  <si>
    <t>Mud, disturbed.</t>
  </si>
  <si>
    <t>Dense mud</t>
  </si>
  <si>
    <t>Mud.</t>
  </si>
  <si>
    <t>Mud. Disturbed</t>
  </si>
  <si>
    <t>Watery mud.</t>
  </si>
  <si>
    <t>Compact mud</t>
  </si>
  <si>
    <t>Mud, disturbance at top</t>
  </si>
  <si>
    <t>Muddy sediment. Somewhat competent.</t>
  </si>
  <si>
    <t>Muddy sediment, watery</t>
  </si>
  <si>
    <t>Muddy sediment</t>
  </si>
  <si>
    <t>Sandy mud.</t>
  </si>
  <si>
    <t>Coarse grain sand.</t>
  </si>
  <si>
    <t>± 4 cm</t>
  </si>
  <si>
    <t>Competent sandy material</t>
  </si>
  <si>
    <t>Granular material, disturbed</t>
  </si>
  <si>
    <t>Coarse-grained sediment</t>
  </si>
  <si>
    <t>Coarse-grained unconsolidated sediment</t>
  </si>
  <si>
    <t>Coarse-grained sludge</t>
  </si>
  <si>
    <t>Coarse unconsolidated sand</t>
  </si>
  <si>
    <t xml:space="preserve">Coarse unconsolidated sand. </t>
  </si>
  <si>
    <t>Unconsolided sand</t>
  </si>
  <si>
    <t>Unconsolidated sand</t>
  </si>
  <si>
    <t>dense clay</t>
  </si>
  <si>
    <t>Muddy clay</t>
  </si>
  <si>
    <t>dark coloured fine grain sand</t>
  </si>
  <si>
    <t>Dark coloured fine grain sand.</t>
  </si>
  <si>
    <t>Dark fine grained sand suspension</t>
  </si>
  <si>
    <t>Dark fine grained sand</t>
  </si>
  <si>
    <t>Dark fine-grained material</t>
  </si>
  <si>
    <t>Mudstone, disturbed top</t>
  </si>
  <si>
    <t>Mud/mudstone &gt; significant disturbance</t>
  </si>
  <si>
    <t>Coarse grain sand</t>
  </si>
  <si>
    <t>Greylish brown with clay</t>
  </si>
  <si>
    <t>Light grey coarse sand.</t>
  </si>
  <si>
    <t>Light grey sand</t>
  </si>
  <si>
    <t>Light grey fine grain sand mixed with clay.</t>
  </si>
  <si>
    <t>Beige sand - slushy</t>
  </si>
  <si>
    <t>Grey sand - slushy</t>
  </si>
  <si>
    <t>Grey compact mud</t>
  </si>
  <si>
    <t>Grey mud mixed with black clay layers</t>
  </si>
  <si>
    <t>sand and clay</t>
  </si>
  <si>
    <t>Grey muddy material</t>
  </si>
  <si>
    <t>Grey mud</t>
  </si>
  <si>
    <t>Light grey sandy mud</t>
  </si>
  <si>
    <t>Dark mud.</t>
  </si>
  <si>
    <t>Gravels and coarse sand</t>
  </si>
  <si>
    <t>Light grey sandy mud.</t>
  </si>
  <si>
    <t>Grey sand mixed mud.</t>
  </si>
  <si>
    <t>Grey sandy mud.</t>
  </si>
  <si>
    <t>Light grey dense clay.</t>
  </si>
  <si>
    <t>Greyish white clay</t>
  </si>
  <si>
    <t>Dense clay</t>
  </si>
  <si>
    <t>Grey clay</t>
  </si>
  <si>
    <t>Mixture of clay and sand</t>
  </si>
  <si>
    <t>Compacted fine-grained clay-ish material</t>
  </si>
  <si>
    <t>Compact fine-grained clay</t>
  </si>
  <si>
    <t>Muddy</t>
  </si>
  <si>
    <t>Grey clay.</t>
  </si>
  <si>
    <t>Grey clay with wood</t>
  </si>
  <si>
    <t>Grey compact clay.</t>
  </si>
  <si>
    <t>Clay</t>
  </si>
  <si>
    <t>Sandy clay</t>
  </si>
  <si>
    <t>Sandy clay.</t>
  </si>
  <si>
    <t>Clay.</t>
  </si>
  <si>
    <t>Sand mud.</t>
  </si>
  <si>
    <t>Unconsolidated sand slushy</t>
  </si>
  <si>
    <t>Unconsolidate sand slushy</t>
  </si>
  <si>
    <t>grey sandy/mud</t>
  </si>
  <si>
    <t>Compacted mud</t>
  </si>
  <si>
    <t>Sand slushy</t>
  </si>
  <si>
    <t>Light grey sand.</t>
  </si>
  <si>
    <t>Light grey, fine grain sand.</t>
  </si>
  <si>
    <t>± 2 cm</t>
  </si>
  <si>
    <t>-4 cm</t>
  </si>
  <si>
    <t xml:space="preserve">Grey clay. Mixed with some red material </t>
  </si>
  <si>
    <t>Sandy clay, disturbed</t>
  </si>
  <si>
    <t>Red clay</t>
  </si>
  <si>
    <t>red to grey clay and sand</t>
  </si>
  <si>
    <t>Grains in light pink clay matrix</t>
  </si>
  <si>
    <t>Grains in red clay matrix</t>
  </si>
  <si>
    <t>Pink sand sludge</t>
  </si>
  <si>
    <t>Sand embedded in red clay</t>
  </si>
  <si>
    <t>Grey-ish sand</t>
  </si>
  <si>
    <t>Brown-red clay</t>
  </si>
  <si>
    <t>Dark yellow to brown coloured clay.</t>
  </si>
  <si>
    <t xml:space="preserve">Compact clay. </t>
  </si>
  <si>
    <t>Clay and foamy water</t>
  </si>
  <si>
    <t>granular material</t>
  </si>
  <si>
    <t>sandy, disturbed</t>
  </si>
  <si>
    <t>gradually finer sand</t>
  </si>
  <si>
    <t>gravel to sand to mud</t>
  </si>
  <si>
    <t>Dark coarse sand with shell fragments</t>
  </si>
  <si>
    <t>Coarse sand</t>
  </si>
  <si>
    <t>- 10 cm</t>
  </si>
  <si>
    <t>Sand with gravel.</t>
  </si>
  <si>
    <t>- 5 cm</t>
  </si>
  <si>
    <t>Muddy sand.</t>
  </si>
  <si>
    <t>Reddish brown mud</t>
  </si>
  <si>
    <t>Light-grey mud</t>
  </si>
  <si>
    <t>red-grey mud</t>
  </si>
  <si>
    <t>Sandy rubble</t>
  </si>
  <si>
    <t>Red sand</t>
  </si>
  <si>
    <t>Red and grey sand</t>
  </si>
  <si>
    <t>Gray fine sand</t>
  </si>
  <si>
    <t>Light gray sand</t>
  </si>
  <si>
    <t>Coarse grey sand</t>
  </si>
  <si>
    <t>Medium grey sand</t>
  </si>
  <si>
    <t>Grey fine sand</t>
  </si>
  <si>
    <t>silty mud with shell fragments</t>
  </si>
  <si>
    <t>Grey silt</t>
  </si>
  <si>
    <t>Grey silt and mud</t>
  </si>
  <si>
    <t xml:space="preserve">Grey silt and mud </t>
  </si>
  <si>
    <t>Grey sand and silt</t>
  </si>
  <si>
    <t>Grey sand</t>
  </si>
  <si>
    <t>Grey coarse sand</t>
  </si>
  <si>
    <t>Gray sand with shells</t>
  </si>
  <si>
    <t>Gray clay</t>
  </si>
  <si>
    <t>Gray sand</t>
  </si>
  <si>
    <t>Gray Clay</t>
  </si>
  <si>
    <t>Silty clay</t>
  </si>
  <si>
    <t>green-grey silt</t>
  </si>
  <si>
    <t>black-speckled greenish-grey sand</t>
  </si>
  <si>
    <t>coarse-grained sand with shell fragments</t>
  </si>
  <si>
    <t>Grey silt-clay</t>
  </si>
  <si>
    <t>Grey sand and clay</t>
  </si>
  <si>
    <t>no lithology</t>
  </si>
  <si>
    <t>Loose sand with granite</t>
  </si>
  <si>
    <t>Sand- Clay</t>
  </si>
  <si>
    <t>Grey silt, clay</t>
  </si>
  <si>
    <t>Grey sand-silt-mud mix, rock on bottom</t>
  </si>
  <si>
    <t>Grey sand-silt-mud mix</t>
  </si>
  <si>
    <t>Compact clay</t>
  </si>
  <si>
    <t>Silty mud</t>
  </si>
  <si>
    <t>Sandy clay, more compact</t>
  </si>
  <si>
    <t>Fine sand-silt-clay mixture</t>
  </si>
  <si>
    <t>Sandy mud</t>
  </si>
  <si>
    <t>Dark silty mud</t>
  </si>
  <si>
    <t>Light green sand, cohesive</t>
  </si>
  <si>
    <t>Green sand</t>
  </si>
  <si>
    <t>Dark green cohesive sand</t>
  </si>
  <si>
    <t>Brown sand</t>
  </si>
  <si>
    <t>Brown, coarse-grained sand</t>
  </si>
  <si>
    <t>Brown, coarse-grained sand sludge</t>
  </si>
  <si>
    <t>Grey fine grain sand</t>
  </si>
  <si>
    <t>Dark brown silty sand</t>
  </si>
  <si>
    <t>Grey silty sand</t>
  </si>
  <si>
    <t>Semi-consolidated sand</t>
  </si>
  <si>
    <t>dark dense sand with silver sparkles</t>
  </si>
  <si>
    <t>Fine dark gray silty sand</t>
  </si>
  <si>
    <t>Dark, dense sand with silver sparkles</t>
  </si>
  <si>
    <t>Brown coarse grain sand</t>
  </si>
  <si>
    <t>Brown sand followed by grey fine grain sand</t>
  </si>
  <si>
    <t>Black silty sand</t>
  </si>
  <si>
    <t>Black clay</t>
  </si>
  <si>
    <t>Stiff black clay</t>
  </si>
  <si>
    <t>black sandy clay</t>
  </si>
  <si>
    <t>brown consolidated sandy clay</t>
  </si>
  <si>
    <t>Sample Label</t>
  </si>
  <si>
    <t>Run Number</t>
  </si>
  <si>
    <t>Pyc Cell</t>
  </si>
  <si>
    <t>date and time</t>
  </si>
  <si>
    <t>17.01.2026</t>
  </si>
  <si>
    <t>Volume of Std</t>
  </si>
  <si>
    <t>Offset</t>
  </si>
  <si>
    <t>MS</t>
  </si>
  <si>
    <t>19.01.2026</t>
  </si>
  <si>
    <t>19.01.2025</t>
  </si>
  <si>
    <t>TS</t>
  </si>
  <si>
    <t>Comments</t>
  </si>
  <si>
    <t>Calibration Cell</t>
  </si>
  <si>
    <t>Cell 4 was recalibrated</t>
  </si>
  <si>
    <t>Unstable Pressure</t>
  </si>
  <si>
    <t>Cell 1</t>
  </si>
  <si>
    <t>Cell 2</t>
  </si>
  <si>
    <t>Cell 3</t>
  </si>
  <si>
    <t>Cell 5</t>
  </si>
  <si>
    <t>Recalibration of all cells</t>
  </si>
  <si>
    <t>From 19:17 on 19.01 - the threshold for standard and recalibration is &gt;0.04</t>
  </si>
  <si>
    <t>Cell 4 not to be used - use 3 samples and 1 std</t>
  </si>
  <si>
    <t>Recalibration of Cells</t>
  </si>
  <si>
    <t>20.01.2026</t>
  </si>
  <si>
    <t>Cell1 check</t>
  </si>
  <si>
    <t xml:space="preserve">Calibration after Stefan repaired Cell 4 (maybe gasket), </t>
  </si>
  <si>
    <t>Cell4 check</t>
  </si>
  <si>
    <t>Cell4</t>
  </si>
  <si>
    <t>Cell 1 was recalibrated</t>
  </si>
  <si>
    <t xml:space="preserve"> </t>
  </si>
  <si>
    <t>Lithology</t>
  </si>
  <si>
    <t>clay</t>
  </si>
  <si>
    <t>21.01.2027</t>
  </si>
  <si>
    <t>porosity</t>
  </si>
  <si>
    <t>mbsf</t>
  </si>
  <si>
    <t>mbsf (top)</t>
  </si>
  <si>
    <t>22.01.2026</t>
  </si>
  <si>
    <t>23.01.2026</t>
  </si>
  <si>
    <t>24.01.2026</t>
  </si>
  <si>
    <t>26.01.2026</t>
  </si>
  <si>
    <t>27.01.2026</t>
  </si>
  <si>
    <t>Cell 2 was recalibrated</t>
  </si>
  <si>
    <t>Cell2 check</t>
  </si>
  <si>
    <t>28.01.2026</t>
  </si>
  <si>
    <t>3 runs</t>
  </si>
  <si>
    <t>29.01.2026</t>
  </si>
  <si>
    <t>30.01.2026</t>
  </si>
  <si>
    <t>31.01.2026</t>
  </si>
  <si>
    <t>02.02.2026</t>
  </si>
  <si>
    <t>03.02.2026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</si>
</sst>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 textRotation="90"/>
    </xf>
    <xf numFmtId="0" fontId="4" fillId="0" borderId="1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textRotation="90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textRotation="90"/>
    </xf>
    <xf numFmtId="0" fontId="5" fillId="9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2" fontId="0" fillId="3" borderId="1" xfId="0" applyNumberFormat="1" applyFill="1" applyBorder="1" applyAlignment="1">
      <alignment horizontal="center"/>
    </xf>
    <xf numFmtId="0" fontId="0" fillId="6" borderId="1" xfId="0" applyFill="1" applyBorder="1"/>
    <xf numFmtId="0" fontId="8" fillId="10" borderId="0" xfId="0" applyFont="1" applyFill="1"/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9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6" fillId="0" borderId="0" xfId="0" applyNumberFormat="1" applyFont="1"/>
    <xf numFmtId="0" fontId="6" fillId="0" borderId="0" xfId="0" applyFont="1"/>
    <xf numFmtId="0" fontId="0" fillId="11" borderId="0" xfId="0" applyFill="1" applyAlignment="1">
      <alignment horizontal="center"/>
    </xf>
    <xf numFmtId="0" fontId="0" fillId="11" borderId="0" xfId="0" applyFill="1"/>
    <xf numFmtId="2" fontId="0" fillId="11" borderId="0" xfId="0" applyNumberFormat="1" applyFill="1"/>
    <xf numFmtId="2" fontId="0" fillId="11" borderId="0" xfId="0" applyNumberFormat="1" applyFill="1" applyAlignment="1">
      <alignment horizontal="right"/>
    </xf>
    <xf numFmtId="0" fontId="9" fillId="11" borderId="0" xfId="0" applyFont="1" applyFill="1"/>
    <xf numFmtId="2" fontId="0" fillId="10" borderId="0" xfId="0" applyNumberFormat="1" applyFill="1"/>
    <xf numFmtId="2" fontId="0" fillId="10" borderId="0" xfId="0" applyNumberFormat="1" applyFill="1" applyAlignment="1">
      <alignment horizontal="right"/>
    </xf>
    <xf numFmtId="0" fontId="0" fillId="11" borderId="0" xfId="0" applyFill="1" applyAlignment="1">
      <alignment horizontal="left"/>
    </xf>
    <xf numFmtId="0" fontId="9" fillId="0" borderId="0" xfId="0" quotePrefix="1" applyFont="1"/>
    <xf numFmtId="2" fontId="3" fillId="11" borderId="0" xfId="0" applyNumberFormat="1" applyFont="1" applyFill="1"/>
    <xf numFmtId="164" fontId="0" fillId="0" borderId="0" xfId="0" applyNumberFormat="1"/>
    <xf numFmtId="15" fontId="0" fillId="0" borderId="0" xfId="0" applyNumberFormat="1"/>
    <xf numFmtId="22" fontId="1" fillId="4" borderId="1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165" fontId="0" fillId="0" borderId="0" xfId="0" applyNumberFormat="1"/>
    <xf numFmtId="0" fontId="1" fillId="8" borderId="4" xfId="0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/>
    </xf>
    <xf numFmtId="0" fontId="11" fillId="0" borderId="0" xfId="0" applyFont="1"/>
    <xf numFmtId="2" fontId="10" fillId="0" borderId="0" xfId="0" applyNumberFormat="1" applyFont="1" applyAlignment="1">
      <alignment horizontal="center"/>
    </xf>
    <xf numFmtId="0" fontId="10" fillId="0" borderId="0" xfId="0" applyFont="1"/>
    <xf numFmtId="0" fontId="0" fillId="10" borderId="0" xfId="0" applyFill="1"/>
    <xf numFmtId="2" fontId="6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2" fontId="13" fillId="0" borderId="0" xfId="0" applyNumberFormat="1" applyFont="1" applyAlignment="1">
      <alignment horizontal="center"/>
    </xf>
    <xf numFmtId="0" fontId="13" fillId="0" borderId="0" xfId="0" applyFont="1"/>
    <xf numFmtId="2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Plots_M0111!$F$2:$F$114</c:f>
              <c:numCache>
                <c:formatCode>0.00</c:formatCode>
                <c:ptCount val="113"/>
                <c:pt idx="0">
                  <c:v>0.34086151930200792</c:v>
                </c:pt>
                <c:pt idx="1">
                  <c:v>0.39716197375055701</c:v>
                </c:pt>
                <c:pt idx="2">
                  <c:v>0.39021315112177141</c:v>
                </c:pt>
                <c:pt idx="3">
                  <c:v>0.39333308980937959</c:v>
                </c:pt>
                <c:pt idx="4">
                  <c:v>0.37049993482947408</c:v>
                </c:pt>
                <c:pt idx="5">
                  <c:v>0.4036420959973821</c:v>
                </c:pt>
                <c:pt idx="6">
                  <c:v>0.3850076381768282</c:v>
                </c:pt>
                <c:pt idx="7">
                  <c:v>0.39294953121101284</c:v>
                </c:pt>
                <c:pt idx="8">
                  <c:v>0.35089957071551264</c:v>
                </c:pt>
                <c:pt idx="9">
                  <c:v>0.33345857160379655</c:v>
                </c:pt>
                <c:pt idx="10">
                  <c:v>0.35296851627093923</c:v>
                </c:pt>
                <c:pt idx="11">
                  <c:v>0.42385449719810026</c:v>
                </c:pt>
                <c:pt idx="12">
                  <c:v>0.37954219176152676</c:v>
                </c:pt>
                <c:pt idx="13">
                  <c:v>0.34863609029123843</c:v>
                </c:pt>
                <c:pt idx="14">
                  <c:v>0.38337632598933835</c:v>
                </c:pt>
                <c:pt idx="15">
                  <c:v>0.43956129372996727</c:v>
                </c:pt>
                <c:pt idx="16">
                  <c:v>0.35780856507290215</c:v>
                </c:pt>
                <c:pt idx="17">
                  <c:v>0.34324645863049108</c:v>
                </c:pt>
                <c:pt idx="18">
                  <c:v>0.4181004874501752</c:v>
                </c:pt>
                <c:pt idx="19">
                  <c:v>0.44100833763152081</c:v>
                </c:pt>
                <c:pt idx="20">
                  <c:v>0.36571160442091388</c:v>
                </c:pt>
                <c:pt idx="21">
                  <c:v>0.40453146804726092</c:v>
                </c:pt>
                <c:pt idx="22">
                  <c:v>0.38774970826703431</c:v>
                </c:pt>
                <c:pt idx="23">
                  <c:v>0.3192030299949028</c:v>
                </c:pt>
                <c:pt idx="24">
                  <c:v>0.36432402489601323</c:v>
                </c:pt>
                <c:pt idx="25">
                  <c:v>0.33351631774495416</c:v>
                </c:pt>
                <c:pt idx="26">
                  <c:v>0.38560856696138174</c:v>
                </c:pt>
                <c:pt idx="27">
                  <c:v>0.34891201583834613</c:v>
                </c:pt>
                <c:pt idx="28">
                  <c:v>0.24128172289958727</c:v>
                </c:pt>
                <c:pt idx="29">
                  <c:v>0.40369403602900977</c:v>
                </c:pt>
                <c:pt idx="30">
                  <c:v>0.45427853530289081</c:v>
                </c:pt>
                <c:pt idx="31">
                  <c:v>0.39530312635404402</c:v>
                </c:pt>
                <c:pt idx="32">
                  <c:v>0.28617542368105386</c:v>
                </c:pt>
                <c:pt idx="33">
                  <c:v>0.33206138563253668</c:v>
                </c:pt>
                <c:pt idx="34">
                  <c:v>0.40440718814879134</c:v>
                </c:pt>
                <c:pt idx="35">
                  <c:v>0.2956039995447608</c:v>
                </c:pt>
                <c:pt idx="36">
                  <c:v>0.40306697617231618</c:v>
                </c:pt>
                <c:pt idx="37">
                  <c:v>0.37391490782944486</c:v>
                </c:pt>
                <c:pt idx="38">
                  <c:v>0.48837359012982423</c:v>
                </c:pt>
                <c:pt idx="39">
                  <c:v>0.5627799214171002</c:v>
                </c:pt>
                <c:pt idx="40">
                  <c:v>0.5671442007252443</c:v>
                </c:pt>
                <c:pt idx="41">
                  <c:v>0.56443218616946356</c:v>
                </c:pt>
                <c:pt idx="42">
                  <c:v>0.57789749796846301</c:v>
                </c:pt>
                <c:pt idx="43">
                  <c:v>0.40995847439179711</c:v>
                </c:pt>
                <c:pt idx="44">
                  <c:v>0.39261995810260591</c:v>
                </c:pt>
                <c:pt idx="45">
                  <c:v>0.40429397555798585</c:v>
                </c:pt>
                <c:pt idx="46">
                  <c:v>0.4130408464637762</c:v>
                </c:pt>
                <c:pt idx="47">
                  <c:v>0.42714995065655814</c:v>
                </c:pt>
                <c:pt idx="48">
                  <c:v>0.49145362360630901</c:v>
                </c:pt>
                <c:pt idx="49">
                  <c:v>0.49521679455785128</c:v>
                </c:pt>
                <c:pt idx="50">
                  <c:v>0.44410481141909691</c:v>
                </c:pt>
                <c:pt idx="51">
                  <c:v>0.46672549169153776</c:v>
                </c:pt>
                <c:pt idx="52">
                  <c:v>0.50379909500508857</c:v>
                </c:pt>
                <c:pt idx="53">
                  <c:v>0.41216125619887428</c:v>
                </c:pt>
                <c:pt idx="54">
                  <c:v>0.34840582717294277</c:v>
                </c:pt>
                <c:pt idx="55">
                  <c:v>0.49504503611925926</c:v>
                </c:pt>
                <c:pt idx="56">
                  <c:v>0.42754793877479108</c:v>
                </c:pt>
                <c:pt idx="57">
                  <c:v>0.4234415902230837</c:v>
                </c:pt>
                <c:pt idx="58">
                  <c:v>0.33156256640931386</c:v>
                </c:pt>
                <c:pt idx="59">
                  <c:v>0.43369641330142633</c:v>
                </c:pt>
                <c:pt idx="60">
                  <c:v>0.45097771069327208</c:v>
                </c:pt>
                <c:pt idx="61">
                  <c:v>0.47385960062084204</c:v>
                </c:pt>
                <c:pt idx="62">
                  <c:v>0.45578011719022893</c:v>
                </c:pt>
                <c:pt idx="63">
                  <c:v>0.46161096651282862</c:v>
                </c:pt>
                <c:pt idx="64">
                  <c:v>0.42311014914603262</c:v>
                </c:pt>
                <c:pt idx="65">
                  <c:v>0.50890554140187616</c:v>
                </c:pt>
                <c:pt idx="66">
                  <c:v>0.406062382208773</c:v>
                </c:pt>
                <c:pt idx="67">
                  <c:v>0.37331079366844211</c:v>
                </c:pt>
                <c:pt idx="68">
                  <c:v>0.49196138488144897</c:v>
                </c:pt>
                <c:pt idx="69">
                  <c:v>0.18342745246107925</c:v>
                </c:pt>
                <c:pt idx="70">
                  <c:v>0.32631342031255761</c:v>
                </c:pt>
                <c:pt idx="71">
                  <c:v>0.31187083183809355</c:v>
                </c:pt>
                <c:pt idx="72">
                  <c:v>0.35025683690602227</c:v>
                </c:pt>
                <c:pt idx="73" formatCode="General">
                  <c:v>0.24205216254497783</c:v>
                </c:pt>
                <c:pt idx="74" formatCode="General">
                  <c:v>0.4363612544035485</c:v>
                </c:pt>
                <c:pt idx="75" formatCode="General">
                  <c:v>0.40754122634245832</c:v>
                </c:pt>
                <c:pt idx="76" formatCode="General">
                  <c:v>0.41952951184004345</c:v>
                </c:pt>
                <c:pt idx="77" formatCode="General">
                  <c:v>0.3386176215559118</c:v>
                </c:pt>
                <c:pt idx="78" formatCode="General">
                  <c:v>0.4324202898014915</c:v>
                </c:pt>
                <c:pt idx="79" formatCode="General">
                  <c:v>0.5010937267393063</c:v>
                </c:pt>
                <c:pt idx="80" formatCode="General">
                  <c:v>0.34126229061961527</c:v>
                </c:pt>
                <c:pt idx="81" formatCode="General">
                  <c:v>0.34996316953639589</c:v>
                </c:pt>
                <c:pt idx="82" formatCode="General">
                  <c:v>0.39540207494877688</c:v>
                </c:pt>
                <c:pt idx="83" formatCode="General">
                  <c:v>0.41659262206198161</c:v>
                </c:pt>
                <c:pt idx="84" formatCode="General">
                  <c:v>0.4187632308588235</c:v>
                </c:pt>
                <c:pt idx="85" formatCode="General">
                  <c:v>0.30902750867295548</c:v>
                </c:pt>
                <c:pt idx="86" formatCode="General">
                  <c:v>0.34419563425762012</c:v>
                </c:pt>
                <c:pt idx="87" formatCode="General">
                  <c:v>0.33491309661867336</c:v>
                </c:pt>
                <c:pt idx="88" formatCode="General">
                  <c:v>0.30399511623483033</c:v>
                </c:pt>
                <c:pt idx="89" formatCode="General">
                  <c:v>0.43643007185524613</c:v>
                </c:pt>
                <c:pt idx="90" formatCode="General">
                  <c:v>0.36866880771031219</c:v>
                </c:pt>
                <c:pt idx="91" formatCode="General">
                  <c:v>0.29642500012896211</c:v>
                </c:pt>
                <c:pt idx="92" formatCode="General">
                  <c:v>0.37703266658894596</c:v>
                </c:pt>
                <c:pt idx="93" formatCode="General">
                  <c:v>0.22443659732492943</c:v>
                </c:pt>
                <c:pt idx="94" formatCode="General">
                  <c:v>0.56259670082626489</c:v>
                </c:pt>
                <c:pt idx="95" formatCode="General">
                  <c:v>0.47928114705371644</c:v>
                </c:pt>
                <c:pt idx="96" formatCode="General">
                  <c:v>0.44207656612083207</c:v>
                </c:pt>
                <c:pt idx="97" formatCode="General">
                  <c:v>0.40964604334843779</c:v>
                </c:pt>
                <c:pt idx="98" formatCode="General">
                  <c:v>0.42887596080115897</c:v>
                </c:pt>
                <c:pt idx="99" formatCode="General">
                  <c:v>0.48274915333306073</c:v>
                </c:pt>
                <c:pt idx="100" formatCode="General">
                  <c:v>0.45889654196127694</c:v>
                </c:pt>
                <c:pt idx="101" formatCode="General">
                  <c:v>0.47453448513506369</c:v>
                </c:pt>
                <c:pt idx="102" formatCode="General">
                  <c:v>0.50592730044801748</c:v>
                </c:pt>
                <c:pt idx="103" formatCode="General">
                  <c:v>0.46243801682062846</c:v>
                </c:pt>
                <c:pt idx="104" formatCode="General">
                  <c:v>0.43959249629638059</c:v>
                </c:pt>
                <c:pt idx="105" formatCode="General">
                  <c:v>0.43910038795551204</c:v>
                </c:pt>
                <c:pt idx="106" formatCode="General">
                  <c:v>0.38554564023818899</c:v>
                </c:pt>
                <c:pt idx="107" formatCode="General">
                  <c:v>0.40480673529275157</c:v>
                </c:pt>
                <c:pt idx="108" formatCode="General">
                  <c:v>0.32465611469334743</c:v>
                </c:pt>
                <c:pt idx="109" formatCode="General">
                  <c:v>0.41486213769338065</c:v>
                </c:pt>
                <c:pt idx="110" formatCode="General">
                  <c:v>0.33208884135745315</c:v>
                </c:pt>
                <c:pt idx="111" formatCode="General">
                  <c:v>0.32797229734921052</c:v>
                </c:pt>
                <c:pt idx="112" formatCode="General">
                  <c:v>0.23692211719918735</c:v>
                </c:pt>
              </c:numCache>
            </c:numRef>
          </c:xVal>
          <c:yVal>
            <c:numRef>
              <c:f>Plots_M0111!$E$2:$E$114</c:f>
              <c:numCache>
                <c:formatCode>0.00</c:formatCode>
                <c:ptCount val="113"/>
                <c:pt idx="0">
                  <c:v>0.63500000000000001</c:v>
                </c:pt>
                <c:pt idx="1">
                  <c:v>4.29</c:v>
                </c:pt>
                <c:pt idx="2">
                  <c:v>4.84</c:v>
                </c:pt>
                <c:pt idx="3">
                  <c:v>7.77</c:v>
                </c:pt>
                <c:pt idx="4">
                  <c:v>10.6</c:v>
                </c:pt>
                <c:pt idx="5">
                  <c:v>12.899999999999999</c:v>
                </c:pt>
                <c:pt idx="6">
                  <c:v>14.08</c:v>
                </c:pt>
                <c:pt idx="7">
                  <c:v>14.95</c:v>
                </c:pt>
                <c:pt idx="8">
                  <c:v>15.610000000000001</c:v>
                </c:pt>
                <c:pt idx="9">
                  <c:v>16.739999999999998</c:v>
                </c:pt>
                <c:pt idx="10">
                  <c:v>32.729999999999997</c:v>
                </c:pt>
                <c:pt idx="11">
                  <c:v>34.18</c:v>
                </c:pt>
                <c:pt idx="12">
                  <c:v>38.5</c:v>
                </c:pt>
                <c:pt idx="13">
                  <c:v>40.830000000000005</c:v>
                </c:pt>
                <c:pt idx="14">
                  <c:v>41.57</c:v>
                </c:pt>
                <c:pt idx="15">
                  <c:v>43.39</c:v>
                </c:pt>
                <c:pt idx="16">
                  <c:v>44.21</c:v>
                </c:pt>
                <c:pt idx="17">
                  <c:v>46.580000000000005</c:v>
                </c:pt>
                <c:pt idx="18">
                  <c:v>49.080000000000005</c:v>
                </c:pt>
                <c:pt idx="19">
                  <c:v>51.05</c:v>
                </c:pt>
                <c:pt idx="20">
                  <c:v>55.300000000000004</c:v>
                </c:pt>
                <c:pt idx="21">
                  <c:v>57.04</c:v>
                </c:pt>
                <c:pt idx="22">
                  <c:v>59.78</c:v>
                </c:pt>
                <c:pt idx="23">
                  <c:v>61.900000000000006</c:v>
                </c:pt>
                <c:pt idx="24">
                  <c:v>63.98</c:v>
                </c:pt>
                <c:pt idx="25">
                  <c:v>65.91</c:v>
                </c:pt>
                <c:pt idx="26">
                  <c:v>67.94</c:v>
                </c:pt>
                <c:pt idx="27">
                  <c:v>69.2</c:v>
                </c:pt>
                <c:pt idx="28">
                  <c:v>71.06</c:v>
                </c:pt>
                <c:pt idx="29">
                  <c:v>72.14</c:v>
                </c:pt>
                <c:pt idx="30">
                  <c:v>76.8</c:v>
                </c:pt>
                <c:pt idx="31">
                  <c:v>73.760000000000005</c:v>
                </c:pt>
                <c:pt idx="32">
                  <c:v>94.28</c:v>
                </c:pt>
                <c:pt idx="33">
                  <c:v>96.64</c:v>
                </c:pt>
                <c:pt idx="34">
                  <c:v>98.940000000000012</c:v>
                </c:pt>
                <c:pt idx="35">
                  <c:v>134.82</c:v>
                </c:pt>
                <c:pt idx="36">
                  <c:v>138.15</c:v>
                </c:pt>
                <c:pt idx="37">
                  <c:v>141.19999999999999</c:v>
                </c:pt>
                <c:pt idx="38">
                  <c:v>144.55000000000001</c:v>
                </c:pt>
                <c:pt idx="39">
                  <c:v>146.95500000000001</c:v>
                </c:pt>
                <c:pt idx="40">
                  <c:v>149.69999999999999</c:v>
                </c:pt>
                <c:pt idx="41">
                  <c:v>149.91999999999999</c:v>
                </c:pt>
                <c:pt idx="42">
                  <c:v>152.59</c:v>
                </c:pt>
                <c:pt idx="43">
                  <c:v>155.63999999999999</c:v>
                </c:pt>
                <c:pt idx="44">
                  <c:v>158.39000000000001</c:v>
                </c:pt>
                <c:pt idx="45">
                  <c:v>161.66000000000003</c:v>
                </c:pt>
                <c:pt idx="46">
                  <c:v>168.89</c:v>
                </c:pt>
                <c:pt idx="47">
                  <c:v>169.92999999999998</c:v>
                </c:pt>
                <c:pt idx="48">
                  <c:v>188.22</c:v>
                </c:pt>
                <c:pt idx="49">
                  <c:v>191.27</c:v>
                </c:pt>
                <c:pt idx="50">
                  <c:v>194.35</c:v>
                </c:pt>
                <c:pt idx="51">
                  <c:v>198.35</c:v>
                </c:pt>
                <c:pt idx="52">
                  <c:v>201.23999999999998</c:v>
                </c:pt>
                <c:pt idx="53">
                  <c:v>207.71</c:v>
                </c:pt>
                <c:pt idx="54">
                  <c:v>215.71</c:v>
                </c:pt>
                <c:pt idx="55">
                  <c:v>210.21</c:v>
                </c:pt>
                <c:pt idx="56">
                  <c:v>213.26</c:v>
                </c:pt>
                <c:pt idx="57">
                  <c:v>220.31</c:v>
                </c:pt>
                <c:pt idx="58">
                  <c:v>224.27</c:v>
                </c:pt>
                <c:pt idx="59">
                  <c:v>228.01</c:v>
                </c:pt>
                <c:pt idx="60">
                  <c:v>234.17</c:v>
                </c:pt>
                <c:pt idx="61">
                  <c:v>234.91</c:v>
                </c:pt>
                <c:pt idx="62">
                  <c:v>245.21</c:v>
                </c:pt>
                <c:pt idx="63">
                  <c:v>237.96</c:v>
                </c:pt>
                <c:pt idx="64">
                  <c:v>251.91</c:v>
                </c:pt>
                <c:pt idx="65">
                  <c:v>253.21</c:v>
                </c:pt>
                <c:pt idx="66">
                  <c:v>255.91</c:v>
                </c:pt>
                <c:pt idx="67">
                  <c:v>256.65999999999997</c:v>
                </c:pt>
                <c:pt idx="68" formatCode="General">
                  <c:v>262.36</c:v>
                </c:pt>
                <c:pt idx="69" formatCode="General">
                  <c:v>274.45999999999998</c:v>
                </c:pt>
                <c:pt idx="70" formatCode="General">
                  <c:v>275.56</c:v>
                </c:pt>
                <c:pt idx="71" formatCode="General">
                  <c:v>277.61</c:v>
                </c:pt>
                <c:pt idx="72" formatCode="General">
                  <c:v>278.31</c:v>
                </c:pt>
                <c:pt idx="73" formatCode="General">
                  <c:v>278.76</c:v>
                </c:pt>
                <c:pt idx="74" formatCode="General">
                  <c:v>288.37</c:v>
                </c:pt>
                <c:pt idx="75" formatCode="General">
                  <c:v>293.31</c:v>
                </c:pt>
                <c:pt idx="76" formatCode="General">
                  <c:v>296.01</c:v>
                </c:pt>
                <c:pt idx="77" formatCode="General">
                  <c:v>306.70999999999998</c:v>
                </c:pt>
                <c:pt idx="78" formatCode="General">
                  <c:v>319.64999999999998</c:v>
                </c:pt>
                <c:pt idx="79" formatCode="General">
                  <c:v>326.51</c:v>
                </c:pt>
                <c:pt idx="80" formatCode="General">
                  <c:v>329.28000000000003</c:v>
                </c:pt>
                <c:pt idx="81" formatCode="General">
                  <c:v>331.24</c:v>
                </c:pt>
                <c:pt idx="82" formatCode="General">
                  <c:v>332.96</c:v>
                </c:pt>
                <c:pt idx="83" formatCode="General">
                  <c:v>335.36</c:v>
                </c:pt>
                <c:pt idx="84" formatCode="General">
                  <c:v>336.71</c:v>
                </c:pt>
                <c:pt idx="85" formatCode="General">
                  <c:v>338.38</c:v>
                </c:pt>
                <c:pt idx="86" formatCode="General">
                  <c:v>344.61</c:v>
                </c:pt>
                <c:pt idx="87" formatCode="General">
                  <c:v>346.51</c:v>
                </c:pt>
                <c:pt idx="88" formatCode="General">
                  <c:v>350.53</c:v>
                </c:pt>
                <c:pt idx="89" formatCode="General">
                  <c:v>348.40999999999997</c:v>
                </c:pt>
                <c:pt idx="90" formatCode="General">
                  <c:v>351.55999999999995</c:v>
                </c:pt>
                <c:pt idx="91" formatCode="General">
                  <c:v>353.76</c:v>
                </c:pt>
                <c:pt idx="92" formatCode="General">
                  <c:v>366.46</c:v>
                </c:pt>
                <c:pt idx="93" formatCode="General">
                  <c:v>45.940000000000005</c:v>
                </c:pt>
                <c:pt idx="94" formatCode="General">
                  <c:v>153.49</c:v>
                </c:pt>
                <c:pt idx="95" formatCode="General">
                  <c:v>156.38</c:v>
                </c:pt>
                <c:pt idx="96" formatCode="General">
                  <c:v>159.38</c:v>
                </c:pt>
                <c:pt idx="97" formatCode="General">
                  <c:v>161.54</c:v>
                </c:pt>
                <c:pt idx="98" formatCode="General">
                  <c:v>162.74</c:v>
                </c:pt>
                <c:pt idx="99" formatCode="General">
                  <c:v>166.44000000000003</c:v>
                </c:pt>
                <c:pt idx="100" formatCode="General">
                  <c:v>168.74</c:v>
                </c:pt>
                <c:pt idx="101" formatCode="General">
                  <c:v>191.24</c:v>
                </c:pt>
                <c:pt idx="102" formatCode="General">
                  <c:v>192.74</c:v>
                </c:pt>
                <c:pt idx="103" formatCode="General">
                  <c:v>195.66000000000003</c:v>
                </c:pt>
                <c:pt idx="104" formatCode="General">
                  <c:v>198.74</c:v>
                </c:pt>
                <c:pt idx="105" formatCode="General">
                  <c:v>201.74</c:v>
                </c:pt>
                <c:pt idx="106" formatCode="General">
                  <c:v>204.66000000000003</c:v>
                </c:pt>
                <c:pt idx="107" formatCode="General">
                  <c:v>210.74</c:v>
                </c:pt>
                <c:pt idx="108" formatCode="General">
                  <c:v>213.74</c:v>
                </c:pt>
                <c:pt idx="109" formatCode="General">
                  <c:v>216.74</c:v>
                </c:pt>
                <c:pt idx="110" formatCode="General">
                  <c:v>219.74</c:v>
                </c:pt>
                <c:pt idx="111" formatCode="General">
                  <c:v>222.84</c:v>
                </c:pt>
                <c:pt idx="112" formatCode="General">
                  <c:v>223.535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7E0-BF6C-D91609B1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7151"/>
        <c:axId val="1097773407"/>
      </c:scatterChart>
      <c:valAx>
        <c:axId val="109777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3407"/>
        <c:crosses val="autoZero"/>
        <c:crossBetween val="midCat"/>
      </c:valAx>
      <c:valAx>
        <c:axId val="1097773407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Plots_M0111!$A$1</c:f>
              <c:strCache>
                <c:ptCount val="1"/>
                <c:pt idx="0">
                  <c:v>mbsf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Plots_M0111!$B$2:$B$78</c:f>
              <c:numCache>
                <c:formatCode>0.00</c:formatCode>
                <c:ptCount val="77"/>
                <c:pt idx="0">
                  <c:v>0.40890733392585349</c:v>
                </c:pt>
                <c:pt idx="1">
                  <c:v>0.41858324310745521</c:v>
                </c:pt>
                <c:pt idx="2">
                  <c:v>0.42851343055783864</c:v>
                </c:pt>
                <c:pt idx="3">
                  <c:v>0.47481257027881513</c:v>
                </c:pt>
                <c:pt idx="4">
                  <c:v>0.49347354241574826</c:v>
                </c:pt>
                <c:pt idx="5">
                  <c:v>0.53979173688461646</c:v>
                </c:pt>
                <c:pt idx="6">
                  <c:v>0.48663105242539556</c:v>
                </c:pt>
                <c:pt idx="7">
                  <c:v>0.50234588327541863</c:v>
                </c:pt>
                <c:pt idx="8">
                  <c:v>0.48400682325947247</c:v>
                </c:pt>
                <c:pt idx="9">
                  <c:v>0.43670292617657352</c:v>
                </c:pt>
                <c:pt idx="10">
                  <c:v>0.54841101055370167</c:v>
                </c:pt>
                <c:pt idx="11">
                  <c:v>0.45311272602282521</c:v>
                </c:pt>
                <c:pt idx="12">
                  <c:v>0.46121964646059649</c:v>
                </c:pt>
                <c:pt idx="13">
                  <c:v>0.46005746108542067</c:v>
                </c:pt>
                <c:pt idx="14">
                  <c:v>0.5058792975381563</c:v>
                </c:pt>
                <c:pt idx="15">
                  <c:v>0.44592801900958157</c:v>
                </c:pt>
                <c:pt idx="16">
                  <c:v>0.50130609563009854</c:v>
                </c:pt>
                <c:pt idx="17">
                  <c:v>0.57123734181952501</c:v>
                </c:pt>
                <c:pt idx="18">
                  <c:v>0.42808258556875817</c:v>
                </c:pt>
                <c:pt idx="19">
                  <c:v>0.44508372904809984</c:v>
                </c:pt>
                <c:pt idx="20">
                  <c:v>0.41169764576584916</c:v>
                </c:pt>
                <c:pt idx="21">
                  <c:v>0.37032419777071496</c:v>
                </c:pt>
                <c:pt idx="22">
                  <c:v>0.45054828361072663</c:v>
                </c:pt>
                <c:pt idx="23">
                  <c:v>0.58343856170112207</c:v>
                </c:pt>
                <c:pt idx="24">
                  <c:v>0.49619428795059262</c:v>
                </c:pt>
                <c:pt idx="25">
                  <c:v>0.51929471160676022</c:v>
                </c:pt>
                <c:pt idx="26">
                  <c:v>0.47507782899788681</c:v>
                </c:pt>
                <c:pt idx="27">
                  <c:v>0.51494340645771508</c:v>
                </c:pt>
                <c:pt idx="28">
                  <c:v>0.48231687284753078</c:v>
                </c:pt>
                <c:pt idx="29">
                  <c:v>0.5</c:v>
                </c:pt>
                <c:pt idx="30">
                  <c:v>0.48973509428980344</c:v>
                </c:pt>
                <c:pt idx="31">
                  <c:v>0.43369641330142633</c:v>
                </c:pt>
                <c:pt idx="32">
                  <c:v>0.45097771069327208</c:v>
                </c:pt>
                <c:pt idx="33">
                  <c:v>0.47385960062084204</c:v>
                </c:pt>
                <c:pt idx="34">
                  <c:v>0.68405709654672264</c:v>
                </c:pt>
                <c:pt idx="35">
                  <c:v>0.4566930260592757</c:v>
                </c:pt>
                <c:pt idx="36">
                  <c:v>0.45672949913914829</c:v>
                </c:pt>
                <c:pt idx="37">
                  <c:v>0.40885639931687995</c:v>
                </c:pt>
                <c:pt idx="38">
                  <c:v>0.38998199900187575</c:v>
                </c:pt>
                <c:pt idx="39">
                  <c:v>0.35502148248722326</c:v>
                </c:pt>
                <c:pt idx="40">
                  <c:v>0.36336261049594576</c:v>
                </c:pt>
                <c:pt idx="41">
                  <c:v>0.40885639931687995</c:v>
                </c:pt>
                <c:pt idx="42" formatCode="General">
                  <c:v>0.37367052563282371</c:v>
                </c:pt>
                <c:pt idx="43" formatCode="General">
                  <c:v>0.38572616575107277</c:v>
                </c:pt>
                <c:pt idx="44" formatCode="General">
                  <c:v>0.38735889075555235</c:v>
                </c:pt>
                <c:pt idx="45" formatCode="General">
                  <c:v>0.45627836233271907</c:v>
                </c:pt>
                <c:pt idx="46" formatCode="General">
                  <c:v>0.40333297836712051</c:v>
                </c:pt>
                <c:pt idx="47" formatCode="General">
                  <c:v>0.50053006604363581</c:v>
                </c:pt>
                <c:pt idx="48" formatCode="General">
                  <c:v>0.43747223162946247</c:v>
                </c:pt>
                <c:pt idx="49" formatCode="General">
                  <c:v>0.41026115737446345</c:v>
                </c:pt>
                <c:pt idx="50" formatCode="General">
                  <c:v>0.4183513413560212</c:v>
                </c:pt>
                <c:pt idx="51" formatCode="General">
                  <c:v>0.36889167166524539</c:v>
                </c:pt>
                <c:pt idx="52" formatCode="General">
                  <c:v>0.48210815471155838</c:v>
                </c:pt>
                <c:pt idx="53" formatCode="General">
                  <c:v>0.4002395166837403</c:v>
                </c:pt>
                <c:pt idx="54" formatCode="General">
                  <c:v>0.44076544182997279</c:v>
                </c:pt>
                <c:pt idx="55" formatCode="General">
                  <c:v>0.48355554720638116</c:v>
                </c:pt>
                <c:pt idx="56" formatCode="General">
                  <c:v>0.32490200856560336</c:v>
                </c:pt>
                <c:pt idx="57" formatCode="General">
                  <c:v>0.30794154825010578</c:v>
                </c:pt>
                <c:pt idx="58" formatCode="General">
                  <c:v>0.30794154825010578</c:v>
                </c:pt>
                <c:pt idx="59" formatCode="General">
                  <c:v>0.56782773582003065</c:v>
                </c:pt>
                <c:pt idx="60" formatCode="General">
                  <c:v>0.51570295637507457</c:v>
                </c:pt>
                <c:pt idx="61" formatCode="General">
                  <c:v>0.55080903275544069</c:v>
                </c:pt>
                <c:pt idx="62" formatCode="General">
                  <c:v>0.545706439117847</c:v>
                </c:pt>
                <c:pt idx="63" formatCode="General">
                  <c:v>0.40363909874251214</c:v>
                </c:pt>
                <c:pt idx="64" formatCode="General">
                  <c:v>0.51318370219361154</c:v>
                </c:pt>
                <c:pt idx="65" formatCode="General">
                  <c:v>0.41996876852094261</c:v>
                </c:pt>
                <c:pt idx="66" formatCode="General">
                  <c:v>0.42438633001844184</c:v>
                </c:pt>
                <c:pt idx="67" formatCode="General">
                  <c:v>0.43881899430525534</c:v>
                </c:pt>
                <c:pt idx="68" formatCode="General">
                  <c:v>0.55619993648416166</c:v>
                </c:pt>
                <c:pt idx="69" formatCode="General">
                  <c:v>0.47532019577615797</c:v>
                </c:pt>
                <c:pt idx="70" formatCode="General">
                  <c:v>0.49037009810067039</c:v>
                </c:pt>
                <c:pt idx="71" formatCode="General">
                  <c:v>0.52748827055272007</c:v>
                </c:pt>
                <c:pt idx="72" formatCode="General">
                  <c:v>0.47701737383512521</c:v>
                </c:pt>
                <c:pt idx="73" formatCode="General">
                  <c:v>0.49402356007221643</c:v>
                </c:pt>
                <c:pt idx="74" formatCode="General">
                  <c:v>0.49575119565451259</c:v>
                </c:pt>
                <c:pt idx="75" formatCode="General">
                  <c:v>0.48959671906541025</c:v>
                </c:pt>
                <c:pt idx="76" formatCode="General">
                  <c:v>0.49575119565451259</c:v>
                </c:pt>
              </c:numCache>
            </c:numRef>
          </c:xVal>
          <c:yVal>
            <c:numRef>
              <c:f>Plots_M0111!$A$2:$A$78</c:f>
              <c:numCache>
                <c:formatCode>0.00</c:formatCode>
                <c:ptCount val="77"/>
                <c:pt idx="0">
                  <c:v>52.800000000000004</c:v>
                </c:pt>
                <c:pt idx="1">
                  <c:v>79.78</c:v>
                </c:pt>
                <c:pt idx="2">
                  <c:v>82.8</c:v>
                </c:pt>
                <c:pt idx="3">
                  <c:v>84.97999999999999</c:v>
                </c:pt>
                <c:pt idx="4">
                  <c:v>86.78</c:v>
                </c:pt>
                <c:pt idx="5">
                  <c:v>88.78</c:v>
                </c:pt>
                <c:pt idx="6">
                  <c:v>91.259999999999991</c:v>
                </c:pt>
                <c:pt idx="7">
                  <c:v>100.67</c:v>
                </c:pt>
                <c:pt idx="8">
                  <c:v>106.78999999999999</c:v>
                </c:pt>
                <c:pt idx="9">
                  <c:v>103.78999999999999</c:v>
                </c:pt>
                <c:pt idx="10">
                  <c:v>109.8</c:v>
                </c:pt>
                <c:pt idx="11">
                  <c:v>112.53999999999999</c:v>
                </c:pt>
                <c:pt idx="12">
                  <c:v>115.52</c:v>
                </c:pt>
                <c:pt idx="13">
                  <c:v>118.48</c:v>
                </c:pt>
                <c:pt idx="14">
                  <c:v>121.42999999999999</c:v>
                </c:pt>
                <c:pt idx="15">
                  <c:v>124.48</c:v>
                </c:pt>
                <c:pt idx="16">
                  <c:v>127.39</c:v>
                </c:pt>
                <c:pt idx="17">
                  <c:v>121.7</c:v>
                </c:pt>
                <c:pt idx="18">
                  <c:v>124.2</c:v>
                </c:pt>
                <c:pt idx="19">
                  <c:v>126.75</c:v>
                </c:pt>
                <c:pt idx="20">
                  <c:v>127.82000000000001</c:v>
                </c:pt>
                <c:pt idx="21">
                  <c:v>129.57</c:v>
                </c:pt>
                <c:pt idx="22">
                  <c:v>131.85</c:v>
                </c:pt>
                <c:pt idx="23">
                  <c:v>172.94</c:v>
                </c:pt>
                <c:pt idx="24">
                  <c:v>176.15</c:v>
                </c:pt>
                <c:pt idx="25">
                  <c:v>179.04</c:v>
                </c:pt>
                <c:pt idx="26">
                  <c:v>182.06</c:v>
                </c:pt>
                <c:pt idx="27">
                  <c:v>185.17</c:v>
                </c:pt>
                <c:pt idx="28">
                  <c:v>204.22</c:v>
                </c:pt>
                <c:pt idx="29">
                  <c:v>206.59</c:v>
                </c:pt>
                <c:pt idx="30">
                  <c:v>224.94000000000003</c:v>
                </c:pt>
                <c:pt idx="31">
                  <c:v>228.01</c:v>
                </c:pt>
                <c:pt idx="32">
                  <c:v>234.17</c:v>
                </c:pt>
                <c:pt idx="33">
                  <c:v>234.91</c:v>
                </c:pt>
                <c:pt idx="34">
                  <c:v>245.62</c:v>
                </c:pt>
                <c:pt idx="35">
                  <c:v>247.14999999999998</c:v>
                </c:pt>
                <c:pt idx="36">
                  <c:v>250.45</c:v>
                </c:pt>
                <c:pt idx="37">
                  <c:v>259.31</c:v>
                </c:pt>
                <c:pt idx="38" formatCode="General">
                  <c:v>268.51</c:v>
                </c:pt>
                <c:pt idx="39" formatCode="General">
                  <c:v>265.32</c:v>
                </c:pt>
                <c:pt idx="40" formatCode="General">
                  <c:v>271.31</c:v>
                </c:pt>
                <c:pt idx="41" formatCode="General">
                  <c:v>259.31</c:v>
                </c:pt>
                <c:pt idx="42" formatCode="General">
                  <c:v>281.94</c:v>
                </c:pt>
                <c:pt idx="43" formatCode="General">
                  <c:v>285.16000000000003</c:v>
                </c:pt>
                <c:pt idx="44" formatCode="General">
                  <c:v>289.70999999999998</c:v>
                </c:pt>
                <c:pt idx="45" formatCode="General">
                  <c:v>299.13</c:v>
                </c:pt>
                <c:pt idx="46" formatCode="General">
                  <c:v>301.52</c:v>
                </c:pt>
                <c:pt idx="47" formatCode="General">
                  <c:v>307.40999999999997</c:v>
                </c:pt>
                <c:pt idx="48" formatCode="General">
                  <c:v>310.51</c:v>
                </c:pt>
                <c:pt idx="49" formatCode="General">
                  <c:v>314.70000000000005</c:v>
                </c:pt>
                <c:pt idx="50" formatCode="General">
                  <c:v>316.28999999999996</c:v>
                </c:pt>
                <c:pt idx="51" formatCode="General">
                  <c:v>322.31</c:v>
                </c:pt>
                <c:pt idx="52" formatCode="General">
                  <c:v>323.84999999999997</c:v>
                </c:pt>
                <c:pt idx="53" formatCode="General">
                  <c:v>356.04</c:v>
                </c:pt>
                <c:pt idx="54" formatCode="General">
                  <c:v>361.21</c:v>
                </c:pt>
                <c:pt idx="55" formatCode="General">
                  <c:v>362.16</c:v>
                </c:pt>
                <c:pt idx="56" formatCode="General">
                  <c:v>364.80999999999995</c:v>
                </c:pt>
                <c:pt idx="57" formatCode="General">
                  <c:v>369.21</c:v>
                </c:pt>
                <c:pt idx="58" formatCode="General">
                  <c:v>369.21</c:v>
                </c:pt>
                <c:pt idx="59" formatCode="General">
                  <c:v>378.36</c:v>
                </c:pt>
                <c:pt idx="60" formatCode="General">
                  <c:v>381.45</c:v>
                </c:pt>
                <c:pt idx="61" formatCode="General">
                  <c:v>48.050000000000004</c:v>
                </c:pt>
                <c:pt idx="62" formatCode="General">
                  <c:v>49.790000000000006</c:v>
                </c:pt>
                <c:pt idx="63" formatCode="General">
                  <c:v>111.53</c:v>
                </c:pt>
                <c:pt idx="64" formatCode="General">
                  <c:v>120.74</c:v>
                </c:pt>
                <c:pt idx="65" formatCode="General">
                  <c:v>126.41000000000001</c:v>
                </c:pt>
                <c:pt idx="66" formatCode="General">
                  <c:v>110.41</c:v>
                </c:pt>
                <c:pt idx="67" formatCode="General">
                  <c:v>126.74</c:v>
                </c:pt>
                <c:pt idx="68" formatCode="General">
                  <c:v>150.38</c:v>
                </c:pt>
                <c:pt idx="69" formatCode="General">
                  <c:v>172.01500000000001</c:v>
                </c:pt>
                <c:pt idx="70" formatCode="General">
                  <c:v>177.70000000000002</c:v>
                </c:pt>
                <c:pt idx="71" formatCode="General">
                  <c:v>180.34</c:v>
                </c:pt>
                <c:pt idx="72" formatCode="General">
                  <c:v>185.125</c:v>
                </c:pt>
                <c:pt idx="73" formatCode="General">
                  <c:v>186.77500000000001</c:v>
                </c:pt>
                <c:pt idx="74" formatCode="General">
                  <c:v>207.84</c:v>
                </c:pt>
                <c:pt idx="75" formatCode="General">
                  <c:v>229.66000000000003</c:v>
                </c:pt>
                <c:pt idx="76" formatCode="General">
                  <c:v>207.84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6-4FE5-9FF6-9B7A9876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78655"/>
        <c:axId val="1346379071"/>
      </c:scatterChart>
      <c:valAx>
        <c:axId val="1346378655"/>
        <c:scaling>
          <c:orientation val="minMax"/>
          <c:max val="0.8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9071"/>
        <c:crosses val="autoZero"/>
        <c:crossBetween val="midCat"/>
        <c:majorUnit val="0.2"/>
      </c:valAx>
      <c:valAx>
        <c:axId val="1346379071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Plots_M0111!$T$1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Plots_M0111!$T$2:$T$19</c:f>
              <c:numCache>
                <c:formatCode>General</c:formatCode>
                <c:ptCount val="18"/>
                <c:pt idx="0">
                  <c:v>9.2175999999999991</c:v>
                </c:pt>
                <c:pt idx="1">
                  <c:v>9.1865000000000006</c:v>
                </c:pt>
                <c:pt idx="2">
                  <c:v>9.2187999999999999</c:v>
                </c:pt>
                <c:pt idx="3">
                  <c:v>9.2164000000000001</c:v>
                </c:pt>
                <c:pt idx="4">
                  <c:v>9.2204999999999995</c:v>
                </c:pt>
                <c:pt idx="5">
                  <c:v>9.2044999999999995</c:v>
                </c:pt>
                <c:pt idx="6">
                  <c:v>9.2215000000000007</c:v>
                </c:pt>
                <c:pt idx="7">
                  <c:v>9.2236999999999991</c:v>
                </c:pt>
                <c:pt idx="8">
                  <c:v>9.2303999999999995</c:v>
                </c:pt>
                <c:pt idx="9">
                  <c:v>9.2264999999999997</c:v>
                </c:pt>
                <c:pt idx="10">
                  <c:v>9.2241999999999997</c:v>
                </c:pt>
                <c:pt idx="11">
                  <c:v>9.2089999999999996</c:v>
                </c:pt>
                <c:pt idx="12">
                  <c:v>9.2175999999999991</c:v>
                </c:pt>
                <c:pt idx="13">
                  <c:v>9.2287999999999997</c:v>
                </c:pt>
                <c:pt idx="14">
                  <c:v>9.2271000000000001</c:v>
                </c:pt>
                <c:pt idx="15">
                  <c:v>9.2086000000000006</c:v>
                </c:pt>
                <c:pt idx="16">
                  <c:v>9.2266999999999992</c:v>
                </c:pt>
                <c:pt idx="17">
                  <c:v>9.2367000000000008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7-4C09-BCDB-C7089291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33312"/>
        <c:axId val="186234560"/>
      </c:scatterChart>
      <c:valAx>
        <c:axId val="186233312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4560"/>
        <c:crosses val="autoZero"/>
        <c:crossBetween val="midCat"/>
      </c:valAx>
      <c:valAx>
        <c:axId val="18623456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3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Plots_M0111!$Z$2:$Z$18</c:f>
              <c:numCache>
                <c:formatCode>General</c:formatCode>
                <c:ptCount val="17"/>
                <c:pt idx="0">
                  <c:v>9.2133000000000003</c:v>
                </c:pt>
                <c:pt idx="1">
                  <c:v>9.2396999999999991</c:v>
                </c:pt>
                <c:pt idx="2">
                  <c:v>9.2111000000000001</c:v>
                </c:pt>
                <c:pt idx="3">
                  <c:v>9.2141000000000002</c:v>
                </c:pt>
                <c:pt idx="4">
                  <c:v>9.2030999999999992</c:v>
                </c:pt>
                <c:pt idx="5">
                  <c:v>9.2304999999999993</c:v>
                </c:pt>
                <c:pt idx="6">
                  <c:v>9.2152999999999992</c:v>
                </c:pt>
                <c:pt idx="7">
                  <c:v>9.1928000000000001</c:v>
                </c:pt>
                <c:pt idx="8">
                  <c:v>9.2164000000000001</c:v>
                </c:pt>
                <c:pt idx="9">
                  <c:v>9.2096</c:v>
                </c:pt>
                <c:pt idx="10">
                  <c:v>9.2095000000000002</c:v>
                </c:pt>
                <c:pt idx="11">
                  <c:v>9.1920999999999999</c:v>
                </c:pt>
                <c:pt idx="12">
                  <c:v>9.1940000000000008</c:v>
                </c:pt>
                <c:pt idx="13">
                  <c:v>9.1569000000000003</c:v>
                </c:pt>
                <c:pt idx="14">
                  <c:v>9.2101000000000006</c:v>
                </c:pt>
                <c:pt idx="15">
                  <c:v>9.2249999999999996</c:v>
                </c:pt>
                <c:pt idx="16">
                  <c:v>9.2108000000000008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1-4073-9C88-2F51EA1B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680"/>
        <c:axId val="184955760"/>
      </c:scatterChart>
      <c:valAx>
        <c:axId val="1849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5760"/>
        <c:crosses val="autoZero"/>
        <c:crossBetween val="midCat"/>
      </c:valAx>
      <c:valAx>
        <c:axId val="184955760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Plots_M0111!$AE$2:$AE$16</c:f>
              <c:numCache>
                <c:formatCode>General</c:formatCode>
                <c:ptCount val="15"/>
                <c:pt idx="0">
                  <c:v>9.2299000000000007</c:v>
                </c:pt>
                <c:pt idx="1">
                  <c:v>9.2187000000000001</c:v>
                </c:pt>
                <c:pt idx="2">
                  <c:v>9.1812000000000005</c:v>
                </c:pt>
                <c:pt idx="3">
                  <c:v>9.2131000000000007</c:v>
                </c:pt>
                <c:pt idx="4">
                  <c:v>9.2050999999999998</c:v>
                </c:pt>
                <c:pt idx="5">
                  <c:v>9.2260000000000009</c:v>
                </c:pt>
                <c:pt idx="6">
                  <c:v>9.2201000000000004</c:v>
                </c:pt>
                <c:pt idx="7">
                  <c:v>9.1983999999999995</c:v>
                </c:pt>
                <c:pt idx="8">
                  <c:v>9.2056000000000004</c:v>
                </c:pt>
                <c:pt idx="9">
                  <c:v>9.2077000000000009</c:v>
                </c:pt>
                <c:pt idx="10">
                  <c:v>9.1775000000000002</c:v>
                </c:pt>
                <c:pt idx="11">
                  <c:v>9.2041000000000004</c:v>
                </c:pt>
                <c:pt idx="12">
                  <c:v>9.1979000000000006</c:v>
                </c:pt>
                <c:pt idx="13">
                  <c:v>9.1914999999999996</c:v>
                </c:pt>
                <c:pt idx="14">
                  <c:v>9.1849000000000007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0-48E9-81AE-AD88A63CA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3072"/>
        <c:axId val="2031982240"/>
      </c:scatterChart>
      <c:valAx>
        <c:axId val="20319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2240"/>
        <c:crosses val="autoZero"/>
        <c:crossBetween val="midCat"/>
      </c:valAx>
      <c:valAx>
        <c:axId val="203198224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3072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Plots_M0111!$AJ$2:$AJ$17</c:f>
              <c:numCache>
                <c:formatCode>General</c:formatCode>
                <c:ptCount val="16"/>
                <c:pt idx="0">
                  <c:v>9.2014999999999993</c:v>
                </c:pt>
                <c:pt idx="1">
                  <c:v>9.2126999999999999</c:v>
                </c:pt>
                <c:pt idx="2">
                  <c:v>9.2231000000000005</c:v>
                </c:pt>
                <c:pt idx="3">
                  <c:v>9.2207000000000008</c:v>
                </c:pt>
                <c:pt idx="4">
                  <c:v>9.2149999999999999</c:v>
                </c:pt>
                <c:pt idx="5">
                  <c:v>9.2265999999999995</c:v>
                </c:pt>
                <c:pt idx="6">
                  <c:v>9.2234999999999996</c:v>
                </c:pt>
                <c:pt idx="7">
                  <c:v>9.2217000000000002</c:v>
                </c:pt>
                <c:pt idx="8">
                  <c:v>9.2075999999999993</c:v>
                </c:pt>
                <c:pt idx="9">
                  <c:v>9.2193000000000005</c:v>
                </c:pt>
                <c:pt idx="10">
                  <c:v>9.2250999999999994</c:v>
                </c:pt>
                <c:pt idx="11">
                  <c:v>9.1936999999999998</c:v>
                </c:pt>
                <c:pt idx="12">
                  <c:v>9.2050999999999998</c:v>
                </c:pt>
                <c:pt idx="13">
                  <c:v>9.2134999999999998</c:v>
                </c:pt>
                <c:pt idx="14">
                  <c:v>9.2005999999999997</c:v>
                </c:pt>
                <c:pt idx="15">
                  <c:v>9.2134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2-4AEE-9E2D-A4524B15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13968"/>
        <c:axId val="189821456"/>
      </c:scatterChart>
      <c:valAx>
        <c:axId val="1898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1456"/>
        <c:crosses val="autoZero"/>
        <c:crossBetween val="midCat"/>
      </c:valAx>
      <c:valAx>
        <c:axId val="189821456"/>
        <c:scaling>
          <c:orientation val="minMax"/>
          <c:max val="9.2399999999999984"/>
          <c:min val="9.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Plots_M0111!$U$1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Plots_M0111!$U$2:$U$19</c:f>
              <c:numCache>
                <c:formatCode>General</c:formatCode>
                <c:ptCount val="18"/>
                <c:pt idx="0">
                  <c:v>-2.6999999999990365E-3</c:v>
                </c:pt>
                <c:pt idx="1">
                  <c:v>2.8399999999999537E-2</c:v>
                </c:pt>
                <c:pt idx="2">
                  <c:v>-3.8999999999997925E-3</c:v>
                </c:pt>
                <c:pt idx="3">
                  <c:v>-1.5000000000000568E-3</c:v>
                </c:pt>
                <c:pt idx="4">
                  <c:v>-5.5999999999993832E-3</c:v>
                </c:pt>
                <c:pt idx="5">
                  <c:v>1.0400000000000631E-2</c:v>
                </c:pt>
                <c:pt idx="6">
                  <c:v>-6.6000000000006054E-3</c:v>
                </c:pt>
                <c:pt idx="7">
                  <c:v>-8.7999999999990308E-3</c:v>
                </c:pt>
                <c:pt idx="8">
                  <c:v>-1.5499999999999403E-2</c:v>
                </c:pt>
                <c:pt idx="9">
                  <c:v>-1.1599999999999611E-2</c:v>
                </c:pt>
                <c:pt idx="10">
                  <c:v>-9.2999999999996419E-3</c:v>
                </c:pt>
                <c:pt idx="11">
                  <c:v>5.9000000000004604E-3</c:v>
                </c:pt>
                <c:pt idx="12">
                  <c:v>-2.6999999999990365E-3</c:v>
                </c:pt>
                <c:pt idx="13">
                  <c:v>-1.3899999999999579E-2</c:v>
                </c:pt>
                <c:pt idx="14">
                  <c:v>-1.2199999999999989E-2</c:v>
                </c:pt>
                <c:pt idx="15">
                  <c:v>6.2999999999995282E-3</c:v>
                </c:pt>
                <c:pt idx="16">
                  <c:v>-1.1799999999999145E-2</c:v>
                </c:pt>
                <c:pt idx="17">
                  <c:v>-2.1800000000000708E-2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F-49F1-8E7E-F64D69146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54848"/>
        <c:axId val="107853600"/>
      </c:scatterChart>
      <c:valAx>
        <c:axId val="107854848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3600"/>
        <c:crosses val="autoZero"/>
        <c:crossBetween val="midCat"/>
      </c:valAx>
      <c:valAx>
        <c:axId val="107853600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Plots_M0111!$AA$2:$AA$18</c:f>
              <c:numCache>
                <c:formatCode>General</c:formatCode>
                <c:ptCount val="17"/>
                <c:pt idx="0">
                  <c:v>1.5999999999998238E-3</c:v>
                </c:pt>
                <c:pt idx="1">
                  <c:v>-2.4799999999999045E-2</c:v>
                </c:pt>
                <c:pt idx="2">
                  <c:v>3.8000000000000256E-3</c:v>
                </c:pt>
                <c:pt idx="3">
                  <c:v>7.9999999999991189E-4</c:v>
                </c:pt>
                <c:pt idx="4">
                  <c:v>1.1800000000000921E-2</c:v>
                </c:pt>
                <c:pt idx="5">
                  <c:v>-1.559999999999917E-2</c:v>
                </c:pt>
                <c:pt idx="6">
                  <c:v>-3.9999999999906777E-4</c:v>
                </c:pt>
                <c:pt idx="7">
                  <c:v>2.2100000000000009E-2</c:v>
                </c:pt>
                <c:pt idx="8">
                  <c:v>-1.5000000000000568E-3</c:v>
                </c:pt>
                <c:pt idx="9">
                  <c:v>5.3000000000000824E-3</c:v>
                </c:pt>
                <c:pt idx="10">
                  <c:v>5.3999999999998494E-3</c:v>
                </c:pt>
                <c:pt idx="11">
                  <c:v>2.2800000000000153E-2</c:v>
                </c:pt>
                <c:pt idx="12">
                  <c:v>2.0899999999999253E-2</c:v>
                </c:pt>
                <c:pt idx="13">
                  <c:v>5.7999999999999829E-2</c:v>
                </c:pt>
                <c:pt idx="14">
                  <c:v>4.7999999999994714E-3</c:v>
                </c:pt>
                <c:pt idx="15">
                  <c:v>-1.0099999999999554E-2</c:v>
                </c:pt>
                <c:pt idx="16">
                  <c:v>4.0999999999993264E-3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0-4300-B593-7CA0577AF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4640"/>
        <c:axId val="111355888"/>
      </c:scatterChart>
      <c:valAx>
        <c:axId val="1113546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5888"/>
        <c:crosses val="autoZero"/>
        <c:crossBetween val="midCat"/>
      </c:valAx>
      <c:valAx>
        <c:axId val="1113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Plots_M0111!$AF$2:$AF$16</c:f>
              <c:numCache>
                <c:formatCode>General</c:formatCode>
                <c:ptCount val="15"/>
                <c:pt idx="0">
                  <c:v>-1.5000000000000568E-2</c:v>
                </c:pt>
                <c:pt idx="1">
                  <c:v>-3.8000000000000256E-3</c:v>
                </c:pt>
                <c:pt idx="2">
                  <c:v>3.3699999999999619E-2</c:v>
                </c:pt>
                <c:pt idx="3">
                  <c:v>1.7999999999993577E-3</c:v>
                </c:pt>
                <c:pt idx="4">
                  <c:v>9.800000000000253E-3</c:v>
                </c:pt>
                <c:pt idx="5">
                  <c:v>-1.1100000000000776E-2</c:v>
                </c:pt>
                <c:pt idx="6">
                  <c:v>-5.2000000000003155E-3</c:v>
                </c:pt>
                <c:pt idx="7">
                  <c:v>1.6500000000000625E-2</c:v>
                </c:pt>
                <c:pt idx="8">
                  <c:v>9.2999999999996419E-3</c:v>
                </c:pt>
                <c:pt idx="9">
                  <c:v>7.199999999999207E-3</c:v>
                </c:pt>
                <c:pt idx="10">
                  <c:v>3.7399999999999878E-2</c:v>
                </c:pt>
                <c:pt idx="11">
                  <c:v>1.0799999999999699E-2</c:v>
                </c:pt>
                <c:pt idx="12">
                  <c:v>1.699999999999946E-2</c:v>
                </c:pt>
                <c:pt idx="13">
                  <c:v>2.3400000000000531E-2</c:v>
                </c:pt>
                <c:pt idx="14">
                  <c:v>2.9999999999999361E-2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4-46D8-9478-1ABA22CA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1408"/>
        <c:axId val="2031981824"/>
      </c:scatterChart>
      <c:valAx>
        <c:axId val="203198140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824"/>
        <c:crosses val="autoZero"/>
        <c:crossBetween val="midCat"/>
      </c:valAx>
      <c:valAx>
        <c:axId val="203198182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Plots_M0111!$AK$2:$AK$17</c:f>
              <c:numCache>
                <c:formatCode>General</c:formatCode>
                <c:ptCount val="16"/>
                <c:pt idx="0">
                  <c:v>1.3400000000000745E-2</c:v>
                </c:pt>
                <c:pt idx="1">
                  <c:v>2.2000000000002018E-3</c:v>
                </c:pt>
                <c:pt idx="2">
                  <c:v>-8.2000000000004292E-3</c:v>
                </c:pt>
                <c:pt idx="3">
                  <c:v>-5.8000000000006935E-3</c:v>
                </c:pt>
                <c:pt idx="4">
                  <c:v>-9.9999999999766942E-5</c:v>
                </c:pt>
                <c:pt idx="5">
                  <c:v>-1.1699999999999378E-2</c:v>
                </c:pt>
                <c:pt idx="6">
                  <c:v>-8.5999999999994969E-3</c:v>
                </c:pt>
                <c:pt idx="7">
                  <c:v>-6.8000000000001393E-3</c:v>
                </c:pt>
                <c:pt idx="8">
                  <c:v>7.3000000000007503E-3</c:v>
                </c:pt>
                <c:pt idx="9">
                  <c:v>-4.4000000000004036E-3</c:v>
                </c:pt>
                <c:pt idx="10">
                  <c:v>-1.0199999999999321E-2</c:v>
                </c:pt>
                <c:pt idx="11">
                  <c:v>2.120000000000033E-2</c:v>
                </c:pt>
                <c:pt idx="12">
                  <c:v>9.800000000000253E-3</c:v>
                </c:pt>
                <c:pt idx="13">
                  <c:v>1.4000000000002899E-3</c:v>
                </c:pt>
                <c:pt idx="14">
                  <c:v>1.4300000000000423E-2</c:v>
                </c:pt>
                <c:pt idx="15">
                  <c:v>1.5000000000000568E-3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F-41A2-BA20-D749C3D31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79088"/>
        <c:axId val="122879504"/>
      </c:scatterChart>
      <c:valAx>
        <c:axId val="1228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504"/>
        <c:crosses val="autoZero"/>
        <c:crossBetween val="midCat"/>
      </c:valAx>
      <c:valAx>
        <c:axId val="12287950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Plots_M0112!$F$2:$F$61</c:f>
              <c:numCache>
                <c:formatCode>0.00</c:formatCode>
                <c:ptCount val="60"/>
                <c:pt idx="0">
                  <c:v>0.43649313669309148</c:v>
                </c:pt>
                <c:pt idx="1">
                  <c:v>0.42294288667065483</c:v>
                </c:pt>
                <c:pt idx="2">
                  <c:v>0.35828699576700102</c:v>
                </c:pt>
                <c:pt idx="3">
                  <c:v>0.38102488682085967</c:v>
                </c:pt>
                <c:pt idx="4">
                  <c:v>0.41205251303359225</c:v>
                </c:pt>
                <c:pt idx="5">
                  <c:v>0.37817454414993923</c:v>
                </c:pt>
                <c:pt idx="6">
                  <c:v>0.43157729397936456</c:v>
                </c:pt>
                <c:pt idx="7">
                  <c:v>0.44033747257228173</c:v>
                </c:pt>
                <c:pt idx="8">
                  <c:v>0.40693485363540954</c:v>
                </c:pt>
                <c:pt idx="9">
                  <c:v>0.39069926617873157</c:v>
                </c:pt>
                <c:pt idx="10">
                  <c:v>0.34059234866232591</c:v>
                </c:pt>
                <c:pt idx="11">
                  <c:v>0.30625730418759378</c:v>
                </c:pt>
                <c:pt idx="12">
                  <c:v>0.32071350589980369</c:v>
                </c:pt>
                <c:pt idx="13">
                  <c:v>0.35831973785254312</c:v>
                </c:pt>
                <c:pt idx="14">
                  <c:v>0.36514553392687854</c:v>
                </c:pt>
                <c:pt idx="15">
                  <c:v>0.50165328914320606</c:v>
                </c:pt>
                <c:pt idx="16">
                  <c:v>0.40048447189239095</c:v>
                </c:pt>
                <c:pt idx="17">
                  <c:v>0.41893205997507821</c:v>
                </c:pt>
                <c:pt idx="18">
                  <c:v>0.3365626763012895</c:v>
                </c:pt>
                <c:pt idx="19">
                  <c:v>0.4242458949931559</c:v>
                </c:pt>
                <c:pt idx="20">
                  <c:v>0.384526289511256</c:v>
                </c:pt>
                <c:pt idx="21">
                  <c:v>0.41259142122045367</c:v>
                </c:pt>
                <c:pt idx="22">
                  <c:v>0.42202523640472772</c:v>
                </c:pt>
                <c:pt idx="23">
                  <c:v>0.39198699098103584</c:v>
                </c:pt>
                <c:pt idx="24">
                  <c:v>0.43381185270543748</c:v>
                </c:pt>
                <c:pt idx="25">
                  <c:v>0.46047662360411656</c:v>
                </c:pt>
                <c:pt idx="26">
                  <c:v>0.31398826611728853</c:v>
                </c:pt>
                <c:pt idx="27">
                  <c:v>0.27487396920344587</c:v>
                </c:pt>
                <c:pt idx="28">
                  <c:v>0.28818329304651769</c:v>
                </c:pt>
                <c:pt idx="29">
                  <c:v>0.32296613693818071</c:v>
                </c:pt>
                <c:pt idx="30">
                  <c:v>0.32142582633555628</c:v>
                </c:pt>
                <c:pt idx="31">
                  <c:v>0.34054946685788978</c:v>
                </c:pt>
                <c:pt idx="32">
                  <c:v>0.42643977586103754</c:v>
                </c:pt>
                <c:pt idx="33">
                  <c:v>0.32327396415594173</c:v>
                </c:pt>
                <c:pt idx="34">
                  <c:v>0.38866029959853626</c:v>
                </c:pt>
                <c:pt idx="35">
                  <c:v>0.28190460578666715</c:v>
                </c:pt>
                <c:pt idx="36">
                  <c:v>-0.74918800947098219</c:v>
                </c:pt>
                <c:pt idx="37">
                  <c:v>0.5549424152308795</c:v>
                </c:pt>
                <c:pt idx="38">
                  <c:v>0.3547706909539094</c:v>
                </c:pt>
                <c:pt idx="39">
                  <c:v>0.38399564745462283</c:v>
                </c:pt>
                <c:pt idx="40">
                  <c:v>0.3659759529443341</c:v>
                </c:pt>
                <c:pt idx="41">
                  <c:v>0.82084186664956094</c:v>
                </c:pt>
                <c:pt idx="42">
                  <c:v>0.3309694333969157</c:v>
                </c:pt>
                <c:pt idx="43">
                  <c:v>0.43978099643013169</c:v>
                </c:pt>
                <c:pt idx="44">
                  <c:v>0.53941857494174417</c:v>
                </c:pt>
                <c:pt idx="45">
                  <c:v>0.45499451476974967</c:v>
                </c:pt>
                <c:pt idx="46">
                  <c:v>0.49567609182192063</c:v>
                </c:pt>
                <c:pt idx="47">
                  <c:v>0.51379230220776206</c:v>
                </c:pt>
                <c:pt idx="48">
                  <c:v>0.52195548787511181</c:v>
                </c:pt>
                <c:pt idx="49">
                  <c:v>0.4466775925523509</c:v>
                </c:pt>
                <c:pt idx="50">
                  <c:v>0.50311903736846586</c:v>
                </c:pt>
                <c:pt idx="51">
                  <c:v>0.52624832631363261</c:v>
                </c:pt>
                <c:pt idx="52">
                  <c:v>0.50380162516432081</c:v>
                </c:pt>
                <c:pt idx="53">
                  <c:v>0.43688182944166803</c:v>
                </c:pt>
                <c:pt idx="54">
                  <c:v>0.37752713250738479</c:v>
                </c:pt>
                <c:pt idx="55">
                  <c:v>0.37645895590144623</c:v>
                </c:pt>
                <c:pt idx="56">
                  <c:v>0.34191368188521803</c:v>
                </c:pt>
                <c:pt idx="57">
                  <c:v>0.40138060442266932</c:v>
                </c:pt>
                <c:pt idx="58">
                  <c:v>0.33720417081278514</c:v>
                </c:pt>
                <c:pt idx="59">
                  <c:v>0.3154263028967455</c:v>
                </c:pt>
              </c:numCache>
            </c:numRef>
          </c:xVal>
          <c:yVal>
            <c:numRef>
              <c:f>Plots_M0112!$E$2:$E$61</c:f>
              <c:numCache>
                <c:formatCode>0.00</c:formatCode>
                <c:ptCount val="60"/>
                <c:pt idx="0">
                  <c:v>0.55000000000000004</c:v>
                </c:pt>
                <c:pt idx="1">
                  <c:v>2.59</c:v>
                </c:pt>
                <c:pt idx="2">
                  <c:v>5.45</c:v>
                </c:pt>
                <c:pt idx="3">
                  <c:v>7.53</c:v>
                </c:pt>
                <c:pt idx="4">
                  <c:v>9.65</c:v>
                </c:pt>
                <c:pt idx="5">
                  <c:v>11.83</c:v>
                </c:pt>
                <c:pt idx="6">
                  <c:v>12.590000000000002</c:v>
                </c:pt>
                <c:pt idx="7">
                  <c:v>14.96</c:v>
                </c:pt>
                <c:pt idx="8">
                  <c:v>17.61</c:v>
                </c:pt>
                <c:pt idx="9">
                  <c:v>20.470000000000002</c:v>
                </c:pt>
                <c:pt idx="10">
                  <c:v>21.39</c:v>
                </c:pt>
                <c:pt idx="11">
                  <c:v>24.16</c:v>
                </c:pt>
                <c:pt idx="12">
                  <c:v>24.59</c:v>
                </c:pt>
                <c:pt idx="13">
                  <c:v>26.27</c:v>
                </c:pt>
                <c:pt idx="14">
                  <c:v>28.05</c:v>
                </c:pt>
                <c:pt idx="15">
                  <c:v>33.510000000000005</c:v>
                </c:pt>
                <c:pt idx="16">
                  <c:v>35.190000000000005</c:v>
                </c:pt>
                <c:pt idx="17">
                  <c:v>37.17</c:v>
                </c:pt>
                <c:pt idx="18">
                  <c:v>41.760000000000005</c:v>
                </c:pt>
                <c:pt idx="19">
                  <c:v>47.61</c:v>
                </c:pt>
                <c:pt idx="20">
                  <c:v>50.34</c:v>
                </c:pt>
                <c:pt idx="21">
                  <c:v>51.88</c:v>
                </c:pt>
                <c:pt idx="22">
                  <c:v>53.99</c:v>
                </c:pt>
                <c:pt idx="23">
                  <c:v>59.39</c:v>
                </c:pt>
                <c:pt idx="24">
                  <c:v>70.58</c:v>
                </c:pt>
                <c:pt idx="25">
                  <c:v>72.48</c:v>
                </c:pt>
                <c:pt idx="26">
                  <c:v>97.789999999999992</c:v>
                </c:pt>
                <c:pt idx="27">
                  <c:v>98.94</c:v>
                </c:pt>
                <c:pt idx="28">
                  <c:v>102.71</c:v>
                </c:pt>
                <c:pt idx="29">
                  <c:v>103.32</c:v>
                </c:pt>
                <c:pt idx="30">
                  <c:v>104.66</c:v>
                </c:pt>
                <c:pt idx="31">
                  <c:v>107.33</c:v>
                </c:pt>
                <c:pt idx="32">
                  <c:v>110.39</c:v>
                </c:pt>
                <c:pt idx="33">
                  <c:v>113.28999999999999</c:v>
                </c:pt>
                <c:pt idx="34">
                  <c:v>115.58999999999999</c:v>
                </c:pt>
                <c:pt idx="35">
                  <c:v>117.28</c:v>
                </c:pt>
                <c:pt idx="36">
                  <c:v>119.58999999999999</c:v>
                </c:pt>
                <c:pt idx="37">
                  <c:v>121.94999999999999</c:v>
                </c:pt>
                <c:pt idx="38">
                  <c:v>92.72999999999999</c:v>
                </c:pt>
                <c:pt idx="39">
                  <c:v>120.74</c:v>
                </c:pt>
                <c:pt idx="40">
                  <c:v>122.5</c:v>
                </c:pt>
                <c:pt idx="41">
                  <c:v>124.92</c:v>
                </c:pt>
                <c:pt idx="42">
                  <c:v>124.23</c:v>
                </c:pt>
                <c:pt idx="43">
                  <c:v>126.27</c:v>
                </c:pt>
                <c:pt idx="44">
                  <c:v>126.86</c:v>
                </c:pt>
                <c:pt idx="45">
                  <c:v>128.51000000000002</c:v>
                </c:pt>
                <c:pt idx="46">
                  <c:v>131.10999999999999</c:v>
                </c:pt>
                <c:pt idx="47">
                  <c:v>133.97999999999999</c:v>
                </c:pt>
                <c:pt idx="48">
                  <c:v>136.62</c:v>
                </c:pt>
                <c:pt idx="49">
                  <c:v>138.56</c:v>
                </c:pt>
                <c:pt idx="50">
                  <c:v>141.59</c:v>
                </c:pt>
                <c:pt idx="51">
                  <c:v>148.62</c:v>
                </c:pt>
                <c:pt idx="52">
                  <c:v>155.6</c:v>
                </c:pt>
                <c:pt idx="53">
                  <c:v>155.595</c:v>
                </c:pt>
                <c:pt idx="54">
                  <c:v>157.75</c:v>
                </c:pt>
                <c:pt idx="55">
                  <c:v>158.87</c:v>
                </c:pt>
                <c:pt idx="56">
                  <c:v>160.85999999999999</c:v>
                </c:pt>
                <c:pt idx="57">
                  <c:v>161.16</c:v>
                </c:pt>
                <c:pt idx="58">
                  <c:v>163</c:v>
                </c:pt>
                <c:pt idx="59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1-4312-9E5E-C6DAF0FA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77151"/>
        <c:axId val="1097773407"/>
      </c:scatterChart>
      <c:valAx>
        <c:axId val="109777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3407"/>
        <c:crosses val="autoZero"/>
        <c:crossBetween val="midCat"/>
      </c:valAx>
      <c:valAx>
        <c:axId val="1097773407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7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Plots_M0112!$A$1</c:f>
              <c:strCache>
                <c:ptCount val="1"/>
                <c:pt idx="0">
                  <c:v>mbsf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Plots_M0112!$B$2:$B$28</c:f>
              <c:numCache>
                <c:formatCode>0.00</c:formatCode>
                <c:ptCount val="27"/>
                <c:pt idx="0">
                  <c:v>0.52254781932891525</c:v>
                </c:pt>
                <c:pt idx="1">
                  <c:v>0.43934975901351581</c:v>
                </c:pt>
                <c:pt idx="2">
                  <c:v>0.46691545667025525</c:v>
                </c:pt>
                <c:pt idx="3">
                  <c:v>0.42965403373972222</c:v>
                </c:pt>
                <c:pt idx="4">
                  <c:v>0.50230739839787275</c:v>
                </c:pt>
                <c:pt idx="5">
                  <c:v>0.49606339800044108</c:v>
                </c:pt>
                <c:pt idx="6">
                  <c:v>0.53512813014670868</c:v>
                </c:pt>
                <c:pt idx="7">
                  <c:v>0.48890676410182043</c:v>
                </c:pt>
                <c:pt idx="8">
                  <c:v>0.43252586753047573</c:v>
                </c:pt>
                <c:pt idx="9">
                  <c:v>0.53974804559199607</c:v>
                </c:pt>
                <c:pt idx="10">
                  <c:v>0.51346903710396674</c:v>
                </c:pt>
                <c:pt idx="11">
                  <c:v>0.43658072434594219</c:v>
                </c:pt>
                <c:pt idx="12">
                  <c:v>0.50118955412364807</c:v>
                </c:pt>
                <c:pt idx="13">
                  <c:v>0.51091730465147545</c:v>
                </c:pt>
                <c:pt idx="14">
                  <c:v>0.51109751555192307</c:v>
                </c:pt>
                <c:pt idx="15">
                  <c:v>0.55709779152323002</c:v>
                </c:pt>
                <c:pt idx="16">
                  <c:v>0.50320124612852235</c:v>
                </c:pt>
                <c:pt idx="17">
                  <c:v>0.568423477669729</c:v>
                </c:pt>
                <c:pt idx="18">
                  <c:v>0.56947293793595255</c:v>
                </c:pt>
                <c:pt idx="19">
                  <c:v>0.53969522838161688</c:v>
                </c:pt>
                <c:pt idx="20">
                  <c:v>0.54359887543532204</c:v>
                </c:pt>
                <c:pt idx="21">
                  <c:v>0.38379699048252247</c:v>
                </c:pt>
                <c:pt idx="22">
                  <c:v>0.50402868026417003</c:v>
                </c:pt>
                <c:pt idx="23">
                  <c:v>0.52950415750198399</c:v>
                </c:pt>
                <c:pt idx="24">
                  <c:v>0.55594239038240056</c:v>
                </c:pt>
                <c:pt idx="25">
                  <c:v>0.34721494501152267</c:v>
                </c:pt>
                <c:pt idx="26">
                  <c:v>0.46649001084553526</c:v>
                </c:pt>
              </c:numCache>
            </c:numRef>
          </c:xVal>
          <c:yVal>
            <c:numRef>
              <c:f>Plots_M0112!$A$2:$A$28</c:f>
              <c:numCache>
                <c:formatCode>0.00</c:formatCode>
                <c:ptCount val="27"/>
                <c:pt idx="0">
                  <c:v>39.03</c:v>
                </c:pt>
                <c:pt idx="1">
                  <c:v>55.589999999999996</c:v>
                </c:pt>
                <c:pt idx="2">
                  <c:v>56.68</c:v>
                </c:pt>
                <c:pt idx="3">
                  <c:v>59.89</c:v>
                </c:pt>
                <c:pt idx="4">
                  <c:v>60.89</c:v>
                </c:pt>
                <c:pt idx="5">
                  <c:v>62.59</c:v>
                </c:pt>
                <c:pt idx="6">
                  <c:v>65.844999999999999</c:v>
                </c:pt>
                <c:pt idx="7">
                  <c:v>67.945000000000007</c:v>
                </c:pt>
                <c:pt idx="8">
                  <c:v>68.67</c:v>
                </c:pt>
                <c:pt idx="9">
                  <c:v>69.489999999999995</c:v>
                </c:pt>
                <c:pt idx="10">
                  <c:v>71.510000000000005</c:v>
                </c:pt>
                <c:pt idx="11">
                  <c:v>73.425000000000011</c:v>
                </c:pt>
                <c:pt idx="12">
                  <c:v>75.760000000000005</c:v>
                </c:pt>
                <c:pt idx="13">
                  <c:v>77.649999999999991</c:v>
                </c:pt>
                <c:pt idx="14">
                  <c:v>80.559999999999988</c:v>
                </c:pt>
                <c:pt idx="15">
                  <c:v>83.61</c:v>
                </c:pt>
                <c:pt idx="16">
                  <c:v>86.91</c:v>
                </c:pt>
                <c:pt idx="17">
                  <c:v>88.14</c:v>
                </c:pt>
                <c:pt idx="18">
                  <c:v>89.61999999999999</c:v>
                </c:pt>
                <c:pt idx="19">
                  <c:v>91.11</c:v>
                </c:pt>
                <c:pt idx="20">
                  <c:v>94.089999999999989</c:v>
                </c:pt>
                <c:pt idx="21">
                  <c:v>95.589999999999989</c:v>
                </c:pt>
                <c:pt idx="22">
                  <c:v>142.57000000000002</c:v>
                </c:pt>
                <c:pt idx="23">
                  <c:v>143.59</c:v>
                </c:pt>
                <c:pt idx="24">
                  <c:v>146.74</c:v>
                </c:pt>
                <c:pt idx="25">
                  <c:v>153.77000000000001</c:v>
                </c:pt>
                <c:pt idx="26">
                  <c:v>150.62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D-4106-BF8C-1A81D785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78655"/>
        <c:axId val="1346379071"/>
      </c:scatterChart>
      <c:valAx>
        <c:axId val="1346378655"/>
        <c:scaling>
          <c:orientation val="minMax"/>
          <c:max val="0.8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9071"/>
        <c:crosses val="autoZero"/>
        <c:crossBetween val="midCat"/>
        <c:majorUnit val="0.2"/>
      </c:valAx>
      <c:valAx>
        <c:axId val="1346379071"/>
        <c:scaling>
          <c:orientation val="maxMin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7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Plots_M0112!$Z$2:$Z$6</c:f>
              <c:numCache>
                <c:formatCode>0.00</c:formatCode>
                <c:ptCount val="5"/>
                <c:pt idx="0">
                  <c:v>9.2249999999999996</c:v>
                </c:pt>
                <c:pt idx="1">
                  <c:v>9.2108000000000008</c:v>
                </c:pt>
                <c:pt idx="2">
                  <c:v>9.2103000000000002</c:v>
                </c:pt>
                <c:pt idx="3">
                  <c:v>9.2334999999999994</c:v>
                </c:pt>
                <c:pt idx="4">
                  <c:v>9.2438000000000002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BD-4B19-890F-983900F40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680"/>
        <c:axId val="184955760"/>
      </c:scatterChart>
      <c:valAx>
        <c:axId val="1849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5760"/>
        <c:crosses val="autoZero"/>
        <c:crossBetween val="midCat"/>
      </c:valAx>
      <c:valAx>
        <c:axId val="184955760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Plots_M0112!$AE$2:$AE$6</c:f>
              <c:numCache>
                <c:formatCode>0.00</c:formatCode>
                <c:ptCount val="5"/>
                <c:pt idx="0">
                  <c:v>9.1914999999999996</c:v>
                </c:pt>
                <c:pt idx="1">
                  <c:v>9.1849000000000007</c:v>
                </c:pt>
                <c:pt idx="2">
                  <c:v>9.2396999999999991</c:v>
                </c:pt>
                <c:pt idx="3">
                  <c:v>9.1946999999999992</c:v>
                </c:pt>
                <c:pt idx="4">
                  <c:v>9.2786000000000008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D0-47A1-B607-B261BFA19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3072"/>
        <c:axId val="2031982240"/>
      </c:scatterChart>
      <c:valAx>
        <c:axId val="20319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2240"/>
        <c:crosses val="autoZero"/>
        <c:crossBetween val="midCat"/>
      </c:valAx>
      <c:valAx>
        <c:axId val="2031982240"/>
        <c:scaling>
          <c:orientation val="minMax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3072"/>
        <c:crosses val="autoZero"/>
        <c:crossBetween val="midCat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Plots_M0112!$AJ$2:$AJ$5</c:f>
              <c:numCache>
                <c:formatCode>0.00</c:formatCode>
                <c:ptCount val="4"/>
                <c:pt idx="0">
                  <c:v>9.2005999999999997</c:v>
                </c:pt>
                <c:pt idx="1">
                  <c:v>9.2134</c:v>
                </c:pt>
                <c:pt idx="2">
                  <c:v>9.2072000000000003</c:v>
                </c:pt>
                <c:pt idx="3">
                  <c:v>9.2171000000000003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6-4A33-B93C-D73DAD5C5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13968"/>
        <c:axId val="189821456"/>
      </c:scatterChart>
      <c:valAx>
        <c:axId val="1898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1456"/>
        <c:crosses val="autoZero"/>
        <c:crossBetween val="midCat"/>
      </c:valAx>
      <c:valAx>
        <c:axId val="189821456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Plots_M0112!$AA$2:$AA$6</c:f>
              <c:numCache>
                <c:formatCode>0.00</c:formatCode>
                <c:ptCount val="5"/>
                <c:pt idx="0">
                  <c:v>-1.0099999999999554E-2</c:v>
                </c:pt>
                <c:pt idx="1">
                  <c:v>4.0999999999993264E-3</c:v>
                </c:pt>
                <c:pt idx="2">
                  <c:v>4.5999999999999375E-3</c:v>
                </c:pt>
                <c:pt idx="3">
                  <c:v>-1.8599999999999284E-2</c:v>
                </c:pt>
                <c:pt idx="4">
                  <c:v>-2.8900000000000148E-2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A-4F5B-9580-D33BF1C0A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54640"/>
        <c:axId val="111355888"/>
      </c:scatterChart>
      <c:valAx>
        <c:axId val="111354640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5888"/>
        <c:crosses val="autoZero"/>
        <c:crossBetween val="midCat"/>
      </c:valAx>
      <c:valAx>
        <c:axId val="1113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Plots_M0112!$AF$2:$AF$6</c:f>
              <c:numCache>
                <c:formatCode>0.00</c:formatCode>
                <c:ptCount val="5"/>
                <c:pt idx="0">
                  <c:v>2.3400000000000531E-2</c:v>
                </c:pt>
                <c:pt idx="1">
                  <c:v>2.9999999999999361E-2</c:v>
                </c:pt>
                <c:pt idx="2">
                  <c:v>-2.4799999999999045E-2</c:v>
                </c:pt>
                <c:pt idx="3">
                  <c:v>2.0200000000000884E-2</c:v>
                </c:pt>
                <c:pt idx="4">
                  <c:v>-6.3700000000000756E-2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8-4BDF-BFD8-41CCECAC1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981408"/>
        <c:axId val="2031981824"/>
      </c:scatterChart>
      <c:valAx>
        <c:axId val="203198140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824"/>
        <c:crosses val="autoZero"/>
        <c:crossBetween val="midCat"/>
      </c:valAx>
      <c:valAx>
        <c:axId val="203198182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Offset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Plots_M0112!$AK$2:$AK$5</c:f>
              <c:numCache>
                <c:formatCode>0.00</c:formatCode>
                <c:ptCount val="4"/>
                <c:pt idx="0">
                  <c:v>1.4300000000000423E-2</c:v>
                </c:pt>
                <c:pt idx="1">
                  <c:v>1.5000000000000568E-3</c:v>
                </c:pt>
                <c:pt idx="2">
                  <c:v>7.6999999999998181E-3</c:v>
                </c:pt>
                <c:pt idx="3">
                  <c:v>-2.2000000000002018E-3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5-4AC7-A4D9-5A841D0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79088"/>
        <c:axId val="122879504"/>
      </c:scatterChart>
      <c:valAx>
        <c:axId val="1228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504"/>
        <c:crosses val="autoZero"/>
        <c:crossBetween val="midCat"/>
      </c:valAx>
      <c:valAx>
        <c:axId val="122879504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Plots_M0112!$U$1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Plots_M0112!$U$2:$U$7</c:f>
              <c:numCache>
                <c:formatCode>0.00</c:formatCode>
                <c:ptCount val="6"/>
                <c:pt idx="0">
                  <c:v>9.2266999999999992</c:v>
                </c:pt>
                <c:pt idx="1">
                  <c:v>9.2367000000000008</c:v>
                </c:pt>
                <c:pt idx="2">
                  <c:v>9.2279999999999998</c:v>
                </c:pt>
                <c:pt idx="3">
                  <c:v>9.2116000000000007</c:v>
                </c:pt>
                <c:pt idx="4">
                  <c:v>9.2058999999999997</c:v>
                </c:pt>
                <c:pt idx="5">
                  <c:v>9.2106999999999992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C-410C-9D73-278C757C8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373711"/>
        <c:axId val="908374127"/>
      </c:scatterChart>
      <c:valAx>
        <c:axId val="90837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374127"/>
        <c:crosses val="autoZero"/>
        <c:crossBetween val="midCat"/>
      </c:valAx>
      <c:valAx>
        <c:axId val="908374127"/>
        <c:scaling>
          <c:orientation val="minMax"/>
          <c:max val="9.2399999999999984"/>
          <c:min val="9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37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Offset cell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Plots_M0112!$V$1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Plots_M0112!$V$2:$V$7</c:f>
              <c:numCache>
                <c:formatCode>0.00</c:formatCode>
                <c:ptCount val="6"/>
                <c:pt idx="0">
                  <c:v>-1.1799999999999145E-2</c:v>
                </c:pt>
                <c:pt idx="1">
                  <c:v>-2.1800000000000708E-2</c:v>
                </c:pt>
                <c:pt idx="2">
                  <c:v>-1.3099999999999667E-2</c:v>
                </c:pt>
                <c:pt idx="3">
                  <c:v>3.2999999999994145E-3</c:v>
                </c:pt>
                <c:pt idx="4">
                  <c:v>9.0000000000003411E-3</c:v>
                </c:pt>
                <c:pt idx="5">
                  <c:v>4.2000000000008697E-3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8-40E3-B3DA-431355C1B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195583"/>
        <c:axId val="1021789471"/>
      </c:scatterChart>
      <c:valAx>
        <c:axId val="11211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89471"/>
        <c:crosses val="autoZero"/>
        <c:crossBetween val="midCat"/>
      </c:valAx>
      <c:valAx>
        <c:axId val="1021789471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179070</xdr:rowOff>
    </xdr:from>
    <xdr:to>
      <xdr:col>15</xdr:col>
      <xdr:colOff>594360</xdr:colOff>
      <xdr:row>49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8049A-B7C2-41C8-8A3D-7E1ED9F1A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175260</xdr:rowOff>
    </xdr:from>
    <xdr:to>
      <xdr:col>11</xdr:col>
      <xdr:colOff>0</xdr:colOff>
      <xdr:row>49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971FF-3BC9-4019-9E13-DC31F4EE9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129540</xdr:colOff>
      <xdr:row>19</xdr:row>
      <xdr:rowOff>64770</xdr:rowOff>
    </xdr:from>
    <xdr:to>
      <xdr:col>22</xdr:col>
      <xdr:colOff>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95E45B-CC86-436E-AA67-82244DB03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137160</xdr:colOff>
      <xdr:row>18</xdr:row>
      <xdr:rowOff>140970</xdr:rowOff>
    </xdr:from>
    <xdr:to>
      <xdr:col>27</xdr:col>
      <xdr:colOff>601980</xdr:colOff>
      <xdr:row>28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C6484A-8DD2-4C01-A550-CEFADF323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571500</xdr:colOff>
      <xdr:row>16</xdr:row>
      <xdr:rowOff>167640</xdr:rowOff>
    </xdr:from>
    <xdr:to>
      <xdr:col>33</xdr:col>
      <xdr:colOff>434340</xdr:colOff>
      <xdr:row>27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54DFD9-7D9C-4376-8B0C-F243694B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60960</xdr:colOff>
      <xdr:row>17</xdr:row>
      <xdr:rowOff>160020</xdr:rowOff>
    </xdr:from>
    <xdr:to>
      <xdr:col>39</xdr:col>
      <xdr:colOff>205740</xdr:colOff>
      <xdr:row>25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5710DF-9157-4CF9-B82C-B3759EE89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243840</xdr:colOff>
      <xdr:row>30</xdr:row>
      <xdr:rowOff>22860</xdr:rowOff>
    </xdr:from>
    <xdr:to>
      <xdr:col>21</xdr:col>
      <xdr:colOff>281940</xdr:colOff>
      <xdr:row>36</xdr:row>
      <xdr:rowOff>34290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4EE7D3B-B661-4F9B-9ED3-F2022F4D0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586740</xdr:colOff>
      <xdr:row>27</xdr:row>
      <xdr:rowOff>0</xdr:rowOff>
    </xdr:from>
    <xdr:to>
      <xdr:col>27</xdr:col>
      <xdr:colOff>0</xdr:colOff>
      <xdr:row>33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38552B-7BE4-45F2-9D3D-6EF38968A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419100</xdr:colOff>
      <xdr:row>26</xdr:row>
      <xdr:rowOff>175260</xdr:rowOff>
    </xdr:from>
    <xdr:to>
      <xdr:col>33</xdr:col>
      <xdr:colOff>0</xdr:colOff>
      <xdr:row>33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4DA1377-53CD-4A5E-B9FD-52F77B76E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236220</xdr:colOff>
      <xdr:row>26</xdr:row>
      <xdr:rowOff>30480</xdr:rowOff>
    </xdr:from>
    <xdr:to>
      <xdr:col>38</xdr:col>
      <xdr:colOff>327660</xdr:colOff>
      <xdr:row>32</xdr:row>
      <xdr:rowOff>41910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7679F7E-B3E5-4E60-A0D8-792FF5D4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179070</xdr:rowOff>
    </xdr:from>
    <xdr:to>
      <xdr:col>15</xdr:col>
      <xdr:colOff>594360</xdr:colOff>
      <xdr:row>49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88EA0-5F92-4755-9885-E0086D5C4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0</xdr:row>
      <xdr:rowOff>175260</xdr:rowOff>
    </xdr:from>
    <xdr:to>
      <xdr:col>11</xdr:col>
      <xdr:colOff>0</xdr:colOff>
      <xdr:row>49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581DEB-95D7-4BD5-AB78-404A09CE5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137160</xdr:colOff>
      <xdr:row>18</xdr:row>
      <xdr:rowOff>140970</xdr:rowOff>
    </xdr:from>
    <xdr:to>
      <xdr:col>27</xdr:col>
      <xdr:colOff>601980</xdr:colOff>
      <xdr:row>28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FB52A9-DEBC-4352-91F6-5489F327A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571500</xdr:colOff>
      <xdr:row>16</xdr:row>
      <xdr:rowOff>167640</xdr:rowOff>
    </xdr:from>
    <xdr:to>
      <xdr:col>33</xdr:col>
      <xdr:colOff>434340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2476C6-1CAB-47D4-8256-B54F219BC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60960</xdr:colOff>
      <xdr:row>17</xdr:row>
      <xdr:rowOff>160020</xdr:rowOff>
    </xdr:from>
    <xdr:to>
      <xdr:col>39</xdr:col>
      <xdr:colOff>205740</xdr:colOff>
      <xdr:row>25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E3BBD3-29E4-4FE0-B835-538C461E7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205740</xdr:colOff>
      <xdr:row>30</xdr:row>
      <xdr:rowOff>0</xdr:rowOff>
    </xdr:from>
    <xdr:to>
      <xdr:col>27</xdr:col>
      <xdr:colOff>228600</xdr:colOff>
      <xdr:row>36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BA1916-373A-4A7F-8F68-ABC4271FE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419100</xdr:colOff>
      <xdr:row>26</xdr:row>
      <xdr:rowOff>175260</xdr:rowOff>
    </xdr:from>
    <xdr:to>
      <xdr:col>33</xdr:col>
      <xdr:colOff>0</xdr:colOff>
      <xdr:row>33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C55030-3BD8-4720-93F9-8E68BD9DC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137160</xdr:colOff>
      <xdr:row>27</xdr:row>
      <xdr:rowOff>45720</xdr:rowOff>
    </xdr:from>
    <xdr:to>
      <xdr:col>38</xdr:col>
      <xdr:colOff>228600</xdr:colOff>
      <xdr:row>33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8F9D55-AE7C-49B5-8BE7-F5CC9E456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99060</xdr:colOff>
      <xdr:row>18</xdr:row>
      <xdr:rowOff>152400</xdr:rowOff>
    </xdr:from>
    <xdr:to>
      <xdr:col>22</xdr:col>
      <xdr:colOff>15240</xdr:colOff>
      <xdr:row>28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E0A2F0-B540-47EE-B6BF-AAA2707B6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144780</xdr:colOff>
      <xdr:row>29</xdr:row>
      <xdr:rowOff>137160</xdr:rowOff>
    </xdr:from>
    <xdr:to>
      <xdr:col>21</xdr:col>
      <xdr:colOff>251460</xdr:colOff>
      <xdr:row>36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388AA66-CDA4-49CE-8AB7-85791D78E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taff/home/a/am1422/My%20Documents/ESO%20Files/New%20England%20Hydrogeology/Onshore%20Operations/X501%20ONO%20Phys%20Props%20Core+Sample%20lists.xlsx" TargetMode="External"/><Relationship Id="rId1" Type="http://schemas.openxmlformats.org/officeDocument/2006/relationships/externalLinkPath" Target="/staff/home/a/am1422/My%20Documents/ESO%20Files/New%20England%20Hydrogeology/Onshore%20Operations/X501%20ONO%20Phys%20Props%20Core+Sample%20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C"/>
      <sheetName val="MAD"/>
      <sheetName val="DPW"/>
      <sheetName val="Shear Strength+FF"/>
      <sheetName val="M0111A"/>
      <sheetName val="M0111B"/>
      <sheetName val="M0111C"/>
      <sheetName val="M0112A"/>
      <sheetName val="M0112B"/>
      <sheetName val="M0113A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A</v>
          </cell>
          <cell r="E2" t="str">
            <v>501_M0111_A_001H</v>
          </cell>
          <cell r="F2">
            <v>45798.774305555555</v>
          </cell>
          <cell r="G2" t="str">
            <v>GEPR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A</v>
          </cell>
          <cell r="E3" t="str">
            <v>501_M0111_A_002H</v>
          </cell>
          <cell r="F3">
            <v>45798.875</v>
          </cell>
          <cell r="G3" t="str">
            <v>WINK</v>
          </cell>
          <cell r="H3">
            <v>2.4</v>
          </cell>
          <cell r="I3">
            <v>2.59</v>
          </cell>
          <cell r="J3">
            <v>4.99</v>
          </cell>
          <cell r="K3">
            <v>2</v>
          </cell>
          <cell r="L3">
            <v>2.59</v>
          </cell>
          <cell r="M3">
            <v>100</v>
          </cell>
          <cell r="P3" t="str">
            <v>infall</v>
          </cell>
          <cell r="X3">
            <v>2.4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A</v>
          </cell>
          <cell r="E4" t="str">
            <v>501_M0111_A_003H</v>
          </cell>
          <cell r="F4">
            <v>45799.083333333336</v>
          </cell>
          <cell r="G4" t="str">
            <v>WINK</v>
          </cell>
          <cell r="H4">
            <v>4.46</v>
          </cell>
          <cell r="I4">
            <v>2.64</v>
          </cell>
          <cell r="J4">
            <v>7.1</v>
          </cell>
          <cell r="K4">
            <v>2</v>
          </cell>
          <cell r="L4">
            <v>2.64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4.46</v>
          </cell>
          <cell r="Y4">
            <v>7.1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A</v>
          </cell>
          <cell r="E5" t="str">
            <v>501_M0111_A_004H</v>
          </cell>
          <cell r="F5">
            <v>45799.121527777781</v>
          </cell>
          <cell r="G5" t="str">
            <v>WINK</v>
          </cell>
          <cell r="H5">
            <v>6.89</v>
          </cell>
          <cell r="I5">
            <v>2.71</v>
          </cell>
          <cell r="J5">
            <v>9.6</v>
          </cell>
          <cell r="K5">
            <v>2</v>
          </cell>
          <cell r="L5">
            <v>2.71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6.89</v>
          </cell>
          <cell r="Y5">
            <v>9.6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A</v>
          </cell>
          <cell r="E6" t="str">
            <v>501_M0111_A_005H</v>
          </cell>
          <cell r="F6">
            <v>45799.194444444445</v>
          </cell>
          <cell r="G6" t="str">
            <v>GEPR</v>
          </cell>
          <cell r="H6">
            <v>9.6</v>
          </cell>
          <cell r="I6">
            <v>2.4500000000000002</v>
          </cell>
          <cell r="J6">
            <v>12.05</v>
          </cell>
          <cell r="K6">
            <v>2</v>
          </cell>
          <cell r="L6">
            <v>2.4500000000000002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9.6</v>
          </cell>
          <cell r="Y6">
            <v>12.05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A</v>
          </cell>
          <cell r="E7" t="str">
            <v>501_M0111_A_006H</v>
          </cell>
          <cell r="F7">
            <v>45799.430555555555</v>
          </cell>
          <cell r="G7" t="str">
            <v>GEPR</v>
          </cell>
          <cell r="H7">
            <v>11.7</v>
          </cell>
          <cell r="I7">
            <v>2.2400000000000002</v>
          </cell>
          <cell r="J7">
            <v>13.94</v>
          </cell>
          <cell r="K7">
            <v>2</v>
          </cell>
          <cell r="L7">
            <v>2.2400000000000002</v>
          </cell>
          <cell r="M7">
            <v>100</v>
          </cell>
          <cell r="P7" t="str">
            <v>Infill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11.7</v>
          </cell>
          <cell r="Y7">
            <v>13.94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A</v>
          </cell>
          <cell r="E8" t="str">
            <v>501_M0111_A_007H</v>
          </cell>
          <cell r="F8">
            <v>45799.46875</v>
          </cell>
          <cell r="G8" t="str">
            <v>GEPR</v>
          </cell>
          <cell r="H8">
            <v>13.94</v>
          </cell>
          <cell r="I8">
            <v>0.83</v>
          </cell>
          <cell r="J8">
            <v>14.77</v>
          </cell>
          <cell r="K8">
            <v>1</v>
          </cell>
          <cell r="L8">
            <v>0.23</v>
          </cell>
          <cell r="M8">
            <v>27.71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13.94</v>
          </cell>
          <cell r="Y8">
            <v>14.77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A</v>
          </cell>
          <cell r="E9" t="str">
            <v>501_M0111_A_008H</v>
          </cell>
          <cell r="F9">
            <v>45799.496527777781</v>
          </cell>
          <cell r="G9" t="str">
            <v>GEPR</v>
          </cell>
          <cell r="H9">
            <v>14.77</v>
          </cell>
          <cell r="I9">
            <v>0</v>
          </cell>
          <cell r="J9">
            <v>14.77</v>
          </cell>
          <cell r="K9">
            <v>1</v>
          </cell>
          <cell r="L9">
            <v>0</v>
          </cell>
          <cell r="M9">
            <v>0</v>
          </cell>
          <cell r="P9" t="str">
            <v>zero advance</v>
          </cell>
          <cell r="X9">
            <v>14.77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A</v>
          </cell>
          <cell r="E10" t="str">
            <v>501_M0111_A_009X</v>
          </cell>
          <cell r="F10">
            <v>45799.534722222219</v>
          </cell>
          <cell r="G10" t="str">
            <v>GEPR</v>
          </cell>
          <cell r="H10">
            <v>14.77</v>
          </cell>
          <cell r="I10">
            <v>0.44</v>
          </cell>
          <cell r="J10">
            <v>15.21</v>
          </cell>
          <cell r="K10">
            <v>1</v>
          </cell>
          <cell r="L10">
            <v>0.28000000000000003</v>
          </cell>
          <cell r="M10">
            <v>63.64</v>
          </cell>
          <cell r="Q10" t="str">
            <v>yes</v>
          </cell>
          <cell r="R10" t="str">
            <v>all</v>
          </cell>
          <cell r="S10" t="str">
            <v>X</v>
          </cell>
          <cell r="T10" t="str">
            <v>X (QD-TEC)</v>
          </cell>
          <cell r="V10">
            <v>72</v>
          </cell>
          <cell r="W10">
            <v>0</v>
          </cell>
          <cell r="X10">
            <v>14.77</v>
          </cell>
          <cell r="Y10">
            <v>15.21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A</v>
          </cell>
          <cell r="E11" t="str">
            <v>501_M0111_A_010R</v>
          </cell>
          <cell r="F11">
            <v>45799.576388888891</v>
          </cell>
          <cell r="G11" t="str">
            <v>GEPR</v>
          </cell>
          <cell r="H11">
            <v>15.21</v>
          </cell>
          <cell r="I11">
            <v>1.1499999999999999</v>
          </cell>
          <cell r="J11">
            <v>16.36</v>
          </cell>
          <cell r="K11">
            <v>1</v>
          </cell>
          <cell r="L11">
            <v>1.33</v>
          </cell>
          <cell r="M11">
            <v>115.65</v>
          </cell>
          <cell r="P11" t="str">
            <v>burning in</v>
          </cell>
          <cell r="X11">
            <v>15.21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A</v>
          </cell>
          <cell r="E12" t="str">
            <v>501_M0111_A_011R</v>
          </cell>
          <cell r="F12">
            <v>45799.625</v>
          </cell>
          <cell r="G12" t="str">
            <v>GEPR</v>
          </cell>
          <cell r="H12">
            <v>16.36</v>
          </cell>
          <cell r="I12">
            <v>0.23</v>
          </cell>
          <cell r="J12">
            <v>16.59</v>
          </cell>
          <cell r="K12">
            <v>1</v>
          </cell>
          <cell r="L12">
            <v>0.48</v>
          </cell>
          <cell r="M12">
            <v>208.7</v>
          </cell>
          <cell r="P12" t="str">
            <v>burning in</v>
          </cell>
          <cell r="X12">
            <v>16.36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A</v>
          </cell>
          <cell r="E13" t="str">
            <v>501_M0111_A_012R</v>
          </cell>
          <cell r="F13">
            <v>45800.131944444445</v>
          </cell>
          <cell r="G13" t="str">
            <v>WINK</v>
          </cell>
          <cell r="H13">
            <v>32.25</v>
          </cell>
          <cell r="I13">
            <v>1.55</v>
          </cell>
          <cell r="J13">
            <v>33.799999999999997</v>
          </cell>
          <cell r="K13">
            <v>1</v>
          </cell>
          <cell r="L13">
            <v>0.77</v>
          </cell>
          <cell r="M13">
            <v>49.68</v>
          </cell>
          <cell r="P13" t="str">
            <v>burning in</v>
          </cell>
          <cell r="X13">
            <v>32.25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A</v>
          </cell>
          <cell r="E14" t="str">
            <v>501_M0111_A_013H</v>
          </cell>
          <cell r="F14">
            <v>45800.159722222219</v>
          </cell>
          <cell r="G14" t="str">
            <v>GEPR</v>
          </cell>
          <cell r="H14">
            <v>33.799999999999997</v>
          </cell>
          <cell r="I14">
            <v>1.55</v>
          </cell>
          <cell r="J14">
            <v>35.35</v>
          </cell>
          <cell r="K14">
            <v>2</v>
          </cell>
          <cell r="L14">
            <v>1.55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33.799999999999997</v>
          </cell>
          <cell r="Y14">
            <v>35.35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A</v>
          </cell>
          <cell r="E15" t="str">
            <v>501_M0111_A_014H</v>
          </cell>
          <cell r="F15">
            <v>45800.201388888891</v>
          </cell>
          <cell r="G15" t="str">
            <v>GEPR</v>
          </cell>
          <cell r="H15">
            <v>33.35</v>
          </cell>
          <cell r="I15">
            <v>2.77</v>
          </cell>
          <cell r="J15">
            <v>36.119999999999997</v>
          </cell>
          <cell r="K15">
            <v>2</v>
          </cell>
          <cell r="L15">
            <v>2.77</v>
          </cell>
          <cell r="M15">
            <v>100</v>
          </cell>
          <cell r="P15" t="str">
            <v>MUD FROM TOP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33.35</v>
          </cell>
          <cell r="Y15">
            <v>36.119999999999997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A</v>
          </cell>
          <cell r="E16" t="str">
            <v>501_M0111_A_015H</v>
          </cell>
          <cell r="F16">
            <v>45800.243055555555</v>
          </cell>
          <cell r="G16" t="str">
            <v>GEPR</v>
          </cell>
          <cell r="H16">
            <v>38.119999999999997</v>
          </cell>
          <cell r="I16">
            <v>2.33</v>
          </cell>
          <cell r="J16">
            <v>40.450000000000003</v>
          </cell>
          <cell r="K16">
            <v>2</v>
          </cell>
          <cell r="L16">
            <v>2.33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38.119999999999997</v>
          </cell>
          <cell r="Y16">
            <v>40.450000000000003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A</v>
          </cell>
          <cell r="E17" t="str">
            <v>501_M0111_A_016H</v>
          </cell>
          <cell r="F17">
            <v>45800.28125</v>
          </cell>
          <cell r="G17" t="str">
            <v>GEPR</v>
          </cell>
          <cell r="H17">
            <v>40.450000000000003</v>
          </cell>
          <cell r="I17">
            <v>0.74</v>
          </cell>
          <cell r="J17">
            <v>41.19</v>
          </cell>
          <cell r="K17">
            <v>1</v>
          </cell>
          <cell r="L17">
            <v>0.74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40.450000000000003</v>
          </cell>
          <cell r="Y17">
            <v>41.19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A</v>
          </cell>
          <cell r="E18" t="str">
            <v>501_M0111_A_017H</v>
          </cell>
          <cell r="F18">
            <v>45800.3125</v>
          </cell>
          <cell r="G18" t="str">
            <v>GEPR</v>
          </cell>
          <cell r="H18">
            <v>41.19</v>
          </cell>
          <cell r="I18">
            <v>2.13</v>
          </cell>
          <cell r="J18">
            <v>43.32</v>
          </cell>
          <cell r="K18">
            <v>2</v>
          </cell>
          <cell r="L18">
            <v>2.13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41.19</v>
          </cell>
          <cell r="Y18">
            <v>43.32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A</v>
          </cell>
          <cell r="E19" t="str">
            <v>501_M0111_A_018H</v>
          </cell>
          <cell r="F19">
            <v>45800.340277777781</v>
          </cell>
          <cell r="G19" t="str">
            <v>GEPR</v>
          </cell>
          <cell r="H19">
            <v>43.32</v>
          </cell>
          <cell r="I19">
            <v>0.51</v>
          </cell>
          <cell r="J19">
            <v>43.83</v>
          </cell>
          <cell r="K19">
            <v>1</v>
          </cell>
          <cell r="L19">
            <v>0.51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43.32</v>
          </cell>
          <cell r="Y19">
            <v>43.83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A</v>
          </cell>
          <cell r="E20" t="str">
            <v>501_M0111_A_019H</v>
          </cell>
          <cell r="F20">
            <v>45800.364583333336</v>
          </cell>
          <cell r="G20" t="str">
            <v>GEPR</v>
          </cell>
          <cell r="H20">
            <v>43.83</v>
          </cell>
          <cell r="I20">
            <v>2.37</v>
          </cell>
          <cell r="J20">
            <v>46.2</v>
          </cell>
          <cell r="K20">
            <v>2</v>
          </cell>
          <cell r="L20">
            <v>2.37</v>
          </cell>
          <cell r="M20">
            <v>100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43.83</v>
          </cell>
          <cell r="Y20">
            <v>46.2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A</v>
          </cell>
          <cell r="E21" t="str">
            <v>501_M0111_A_020H</v>
          </cell>
          <cell r="F21">
            <v>45800.416666666664</v>
          </cell>
          <cell r="G21" t="str">
            <v>GEPR</v>
          </cell>
          <cell r="H21">
            <v>46.2</v>
          </cell>
          <cell r="I21">
            <v>2.4700000000000002</v>
          </cell>
          <cell r="J21">
            <v>48.67</v>
          </cell>
          <cell r="K21">
            <v>2</v>
          </cell>
          <cell r="L21">
            <v>2.4700000000000002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46.2</v>
          </cell>
          <cell r="Y21">
            <v>48.67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A</v>
          </cell>
          <cell r="E22" t="str">
            <v>501_M0111_A_021H</v>
          </cell>
          <cell r="F22">
            <v>45800.454861111109</v>
          </cell>
          <cell r="G22" t="str">
            <v>GEPR</v>
          </cell>
          <cell r="H22">
            <v>48.67</v>
          </cell>
          <cell r="I22">
            <v>2.23</v>
          </cell>
          <cell r="J22">
            <v>50.9</v>
          </cell>
          <cell r="K22">
            <v>3</v>
          </cell>
          <cell r="L22">
            <v>2.23</v>
          </cell>
          <cell r="M22">
            <v>100</v>
          </cell>
          <cell r="P22" t="str">
            <v>liner collapsed</v>
          </cell>
          <cell r="X22">
            <v>48.67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A</v>
          </cell>
          <cell r="E23" t="str">
            <v>501_M0111_A_022H</v>
          </cell>
          <cell r="F23">
            <v>45800.513888888891</v>
          </cell>
          <cell r="G23" t="str">
            <v>GEPR</v>
          </cell>
          <cell r="H23">
            <v>50.9</v>
          </cell>
          <cell r="I23">
            <v>1.52</v>
          </cell>
          <cell r="J23">
            <v>52.42</v>
          </cell>
          <cell r="K23">
            <v>2</v>
          </cell>
          <cell r="L23">
            <v>1.52</v>
          </cell>
          <cell r="M23">
            <v>100</v>
          </cell>
          <cell r="P23" t="str">
            <v>liner collapsed</v>
          </cell>
          <cell r="X23">
            <v>50.9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A</v>
          </cell>
          <cell r="E24" t="str">
            <v>501_M0111_A_023H</v>
          </cell>
          <cell r="F24">
            <v>45800.549305555556</v>
          </cell>
          <cell r="G24" t="str">
            <v>GEPR</v>
          </cell>
          <cell r="H24">
            <v>52.42</v>
          </cell>
          <cell r="I24">
            <v>2.5</v>
          </cell>
          <cell r="J24">
            <v>54.92</v>
          </cell>
          <cell r="K24">
            <v>2</v>
          </cell>
          <cell r="L24">
            <v>2.5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52.42</v>
          </cell>
          <cell r="Y24">
            <v>54.92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A</v>
          </cell>
          <cell r="E25" t="str">
            <v>501_M0111_A_024H</v>
          </cell>
          <cell r="F25">
            <v>45800.586805555555</v>
          </cell>
          <cell r="G25" t="str">
            <v>GEPR</v>
          </cell>
          <cell r="H25">
            <v>54.92</v>
          </cell>
          <cell r="I25">
            <v>1.74</v>
          </cell>
          <cell r="J25">
            <v>56.66</v>
          </cell>
          <cell r="K25">
            <v>2</v>
          </cell>
          <cell r="L25">
            <v>1.74</v>
          </cell>
          <cell r="M25">
            <v>100</v>
          </cell>
          <cell r="P25" t="str">
            <v>wood and mica in core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54.92</v>
          </cell>
          <cell r="Y25">
            <v>56.66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A</v>
          </cell>
          <cell r="E26" t="str">
            <v>501_M0111_A_025H</v>
          </cell>
          <cell r="F26">
            <v>45800.628472222219</v>
          </cell>
          <cell r="G26" t="str">
            <v>GEPR</v>
          </cell>
          <cell r="H26">
            <v>56.66</v>
          </cell>
          <cell r="I26">
            <v>2.2200000000000002</v>
          </cell>
          <cell r="J26">
            <v>58.88</v>
          </cell>
          <cell r="K26">
            <v>2</v>
          </cell>
          <cell r="L26">
            <v>2.2200000000000002</v>
          </cell>
          <cell r="M26">
            <v>100</v>
          </cell>
          <cell r="P26" t="str">
            <v>microsphere inserted for this core</v>
          </cell>
          <cell r="X26">
            <v>56.66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A</v>
          </cell>
          <cell r="E27" t="str">
            <v>501_M0111_A_026H</v>
          </cell>
          <cell r="F27">
            <v>45800.708333333336</v>
          </cell>
          <cell r="G27" t="str">
            <v>WINK</v>
          </cell>
          <cell r="H27">
            <v>58.88</v>
          </cell>
          <cell r="I27">
            <v>2.3199999999999998</v>
          </cell>
          <cell r="J27">
            <v>61.2</v>
          </cell>
          <cell r="K27">
            <v>2</v>
          </cell>
          <cell r="L27">
            <v>2.3199999999999998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58.88</v>
          </cell>
          <cell r="Y27">
            <v>61.2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A</v>
          </cell>
          <cell r="E28" t="str">
            <v>501_M0111_A_027H</v>
          </cell>
          <cell r="F28">
            <v>45800.743055555555</v>
          </cell>
          <cell r="G28" t="str">
            <v>WINK</v>
          </cell>
          <cell r="H28">
            <v>61.2</v>
          </cell>
          <cell r="I28">
            <v>2.1800000000000002</v>
          </cell>
          <cell r="J28">
            <v>63.38</v>
          </cell>
          <cell r="K28">
            <v>2</v>
          </cell>
          <cell r="L28">
            <v>2.1800000000000002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61.2</v>
          </cell>
          <cell r="Y28">
            <v>63.38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A</v>
          </cell>
          <cell r="E29" t="str">
            <v>501_M0111_A_028H</v>
          </cell>
          <cell r="F29">
            <v>45800.78125</v>
          </cell>
          <cell r="G29" t="str">
            <v>WINK</v>
          </cell>
          <cell r="H29">
            <v>63.38</v>
          </cell>
          <cell r="I29">
            <v>0</v>
          </cell>
          <cell r="J29">
            <v>63.38</v>
          </cell>
          <cell r="K29">
            <v>1</v>
          </cell>
          <cell r="L29">
            <v>0.38</v>
          </cell>
          <cell r="M29">
            <v>0</v>
          </cell>
          <cell r="P29" t="str">
            <v>infill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63.38</v>
          </cell>
          <cell r="Y29">
            <v>63.38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A</v>
          </cell>
          <cell r="E30" t="str">
            <v>501_M0111_A_029H</v>
          </cell>
          <cell r="F30">
            <v>45800.809027777781</v>
          </cell>
          <cell r="G30" t="str">
            <v>WINK</v>
          </cell>
          <cell r="H30">
            <v>63.38</v>
          </cell>
          <cell r="I30">
            <v>0.27</v>
          </cell>
          <cell r="J30">
            <v>63.65</v>
          </cell>
          <cell r="K30">
            <v>1</v>
          </cell>
          <cell r="L30">
            <v>0.27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63.38</v>
          </cell>
          <cell r="Y30">
            <v>63.65</v>
          </cell>
        </row>
      </sheetData>
      <sheetData sheetId="6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 xml:space="preserve">Additional Information 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B</v>
          </cell>
          <cell r="E2" t="str">
            <v>501_M0111_B_001H</v>
          </cell>
          <cell r="F2">
            <v>45802.413194444445</v>
          </cell>
          <cell r="G2" t="str">
            <v>GEPR</v>
          </cell>
          <cell r="H2">
            <v>62</v>
          </cell>
          <cell r="I2">
            <v>2.14</v>
          </cell>
          <cell r="J2">
            <v>64.14</v>
          </cell>
          <cell r="K2">
            <v>2</v>
          </cell>
          <cell r="L2">
            <v>2.2400000000000002</v>
          </cell>
          <cell r="M2">
            <v>104.67</v>
          </cell>
          <cell r="P2" t="str">
            <v xml:space="preserve">10cm infill 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62</v>
          </cell>
          <cell r="Y2">
            <v>64.14</v>
          </cell>
          <cell r="AA2" t="str">
            <v>IBCR0501EC12Q01</v>
          </cell>
          <cell r="AC2">
            <v>3</v>
          </cell>
          <cell r="AD2" t="str">
            <v>BLY PQ3</v>
          </cell>
          <cell r="AE2" t="str">
            <v>Water-based mud (WBM)</v>
          </cell>
          <cell r="AF2" t="str">
            <v>PureBore by Clear Solutions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B</v>
          </cell>
          <cell r="E3" t="str">
            <v>501_M0111_B_002H</v>
          </cell>
          <cell r="F3">
            <v>45802.444444444445</v>
          </cell>
          <cell r="G3" t="str">
            <v>GEPR</v>
          </cell>
          <cell r="H3">
            <v>64.14</v>
          </cell>
          <cell r="I3">
            <v>1.92</v>
          </cell>
          <cell r="J3">
            <v>66.06</v>
          </cell>
          <cell r="K3">
            <v>2</v>
          </cell>
          <cell r="L3">
            <v>1.92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64.14</v>
          </cell>
          <cell r="Y3">
            <v>66.06</v>
          </cell>
          <cell r="AA3" t="str">
            <v>IBCR0501EC22Q01</v>
          </cell>
          <cell r="AC3">
            <v>3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B</v>
          </cell>
          <cell r="E4" t="str">
            <v>501_M0111_B_003H</v>
          </cell>
          <cell r="F4">
            <v>45802.464583333334</v>
          </cell>
          <cell r="G4" t="str">
            <v>GEPR</v>
          </cell>
          <cell r="H4">
            <v>66.06</v>
          </cell>
          <cell r="I4">
            <v>2.14</v>
          </cell>
          <cell r="J4">
            <v>68.2</v>
          </cell>
          <cell r="K4">
            <v>2</v>
          </cell>
          <cell r="L4">
            <v>2.14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66.06</v>
          </cell>
          <cell r="Y4">
            <v>68.2</v>
          </cell>
          <cell r="AA4" t="str">
            <v>IBCR0501EC32Q01</v>
          </cell>
          <cell r="AC4">
            <v>3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B</v>
          </cell>
          <cell r="E5" t="str">
            <v>501_M0111_B_004H</v>
          </cell>
          <cell r="F5">
            <v>45802.496527777781</v>
          </cell>
          <cell r="G5" t="str">
            <v>GEPR</v>
          </cell>
          <cell r="H5">
            <v>68.2</v>
          </cell>
          <cell r="I5">
            <v>1.45</v>
          </cell>
          <cell r="J5">
            <v>69.650000000000006</v>
          </cell>
          <cell r="K5">
            <v>1</v>
          </cell>
          <cell r="L5">
            <v>1.45</v>
          </cell>
          <cell r="M5">
            <v>100</v>
          </cell>
          <cell r="P5" t="str">
            <v>RH 125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B</v>
          </cell>
          <cell r="E6" t="str">
            <v>501_M0111_B_005H</v>
          </cell>
          <cell r="F6">
            <v>45802.517361111109</v>
          </cell>
          <cell r="G6" t="str">
            <v>GEPR</v>
          </cell>
          <cell r="H6">
            <v>69.650000000000006</v>
          </cell>
          <cell r="I6">
            <v>1.89</v>
          </cell>
          <cell r="J6">
            <v>71.540000000000006</v>
          </cell>
          <cell r="K6">
            <v>2</v>
          </cell>
          <cell r="L6">
            <v>1.89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69.650000000000006</v>
          </cell>
          <cell r="Y6">
            <v>71.540000000000006</v>
          </cell>
          <cell r="AA6" t="str">
            <v>IBCR0501EC52Q01</v>
          </cell>
          <cell r="AC6">
            <v>3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B</v>
          </cell>
          <cell r="E7" t="str">
            <v>501_M0111_B_006H</v>
          </cell>
          <cell r="F7">
            <v>45802.541666666664</v>
          </cell>
          <cell r="G7" t="str">
            <v>GEPR</v>
          </cell>
          <cell r="H7">
            <v>71.540000000000006</v>
          </cell>
          <cell r="I7">
            <v>0.72</v>
          </cell>
          <cell r="J7">
            <v>72.260000000000005</v>
          </cell>
          <cell r="K7">
            <v>1</v>
          </cell>
          <cell r="L7">
            <v>0.72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71.540000000000006</v>
          </cell>
          <cell r="Y7">
            <v>72.260000000000005</v>
          </cell>
          <cell r="AA7" t="str">
            <v>IBCR0501EC62Q01</v>
          </cell>
          <cell r="AC7">
            <v>3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B</v>
          </cell>
          <cell r="E8" t="str">
            <v>501_M0111_B_007H</v>
          </cell>
          <cell r="F8">
            <v>45802.565972222219</v>
          </cell>
          <cell r="G8" t="str">
            <v>GEPR</v>
          </cell>
          <cell r="H8">
            <v>72.260000000000005</v>
          </cell>
          <cell r="I8">
            <v>0.5</v>
          </cell>
          <cell r="J8">
            <v>72.760000000000005</v>
          </cell>
          <cell r="K8">
            <v>1</v>
          </cell>
          <cell r="L8">
            <v>0.5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72.260000000000005</v>
          </cell>
          <cell r="Y8">
            <v>72.760000000000005</v>
          </cell>
          <cell r="AA8" t="str">
            <v>IBCR0501EC72Q01</v>
          </cell>
          <cell r="AC8">
            <v>3</v>
          </cell>
          <cell r="AD8" t="str">
            <v>BLY PQ3</v>
          </cell>
          <cell r="AE8" t="str">
            <v>Water-based mud (WBM)</v>
          </cell>
          <cell r="AF8" t="str">
            <v>PureBore by Clear Solutions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B</v>
          </cell>
          <cell r="E9" t="str">
            <v>501_M0111_B_008X</v>
          </cell>
          <cell r="F9">
            <v>45802.604166666664</v>
          </cell>
          <cell r="G9" t="str">
            <v>GEPR</v>
          </cell>
          <cell r="H9">
            <v>72.760000000000005</v>
          </cell>
          <cell r="I9">
            <v>0</v>
          </cell>
          <cell r="J9">
            <v>72.760000000000005</v>
          </cell>
          <cell r="K9">
            <v>1</v>
          </cell>
          <cell r="L9">
            <v>0</v>
          </cell>
          <cell r="M9">
            <v>0</v>
          </cell>
          <cell r="P9" t="str">
            <v>CC only</v>
          </cell>
          <cell r="Q9" t="str">
            <v>yes</v>
          </cell>
          <cell r="R9" t="str">
            <v>none</v>
          </cell>
          <cell r="S9" t="str">
            <v>X</v>
          </cell>
          <cell r="T9" t="str">
            <v>X (QD-TEC)</v>
          </cell>
          <cell r="V9">
            <v>72</v>
          </cell>
          <cell r="W9">
            <v>0</v>
          </cell>
          <cell r="X9">
            <v>72.760000000000005</v>
          </cell>
          <cell r="Y9">
            <v>72.760000000000005</v>
          </cell>
          <cell r="AA9" t="str">
            <v>IBCR0501EC82Q01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B</v>
          </cell>
          <cell r="E10" t="str">
            <v>501_M0111_B_009R</v>
          </cell>
          <cell r="F10">
            <v>45802.628472222219</v>
          </cell>
          <cell r="G10" t="str">
            <v>GEPR</v>
          </cell>
          <cell r="H10">
            <v>72.760000000000005</v>
          </cell>
          <cell r="I10">
            <v>1.54</v>
          </cell>
          <cell r="J10">
            <v>74.3</v>
          </cell>
          <cell r="K10">
            <v>1</v>
          </cell>
          <cell r="L10">
            <v>1.32</v>
          </cell>
          <cell r="M10">
            <v>85.71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72.760000000000005</v>
          </cell>
          <cell r="Y10">
            <v>74.3</v>
          </cell>
          <cell r="AA10" t="str">
            <v>IBCR0501EC92Q01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B</v>
          </cell>
          <cell r="E11" t="str">
            <v>501_M0111_B_010R</v>
          </cell>
          <cell r="F11">
            <v>45802.659722222219</v>
          </cell>
          <cell r="G11" t="str">
            <v>WINK</v>
          </cell>
          <cell r="H11">
            <v>74.3</v>
          </cell>
          <cell r="I11">
            <v>2.2999999999999998</v>
          </cell>
          <cell r="J11">
            <v>76.599999999999994</v>
          </cell>
          <cell r="K11">
            <v>0</v>
          </cell>
          <cell r="L11">
            <v>0</v>
          </cell>
          <cell r="M11">
            <v>0</v>
          </cell>
          <cell r="P11" t="str">
            <v>no recovery</v>
          </cell>
          <cell r="Q11" t="str">
            <v>no</v>
          </cell>
          <cell r="R11" t="str">
            <v>none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74.3</v>
          </cell>
          <cell r="Y11">
            <v>76.599999999999994</v>
          </cell>
          <cell r="AA11" t="str">
            <v>IBCR0501ECA2Q01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B</v>
          </cell>
          <cell r="E12" t="str">
            <v>501_M0111_B_011H</v>
          </cell>
          <cell r="F12">
            <v>45802.6875</v>
          </cell>
          <cell r="G12" t="str">
            <v>WINK</v>
          </cell>
          <cell r="H12">
            <v>76.400000000000006</v>
          </cell>
          <cell r="I12">
            <v>0.28999999999999998</v>
          </cell>
          <cell r="J12">
            <v>76.69</v>
          </cell>
          <cell r="K12">
            <v>1</v>
          </cell>
          <cell r="L12">
            <v>0.28999999999999998</v>
          </cell>
          <cell r="M12">
            <v>100</v>
          </cell>
          <cell r="P12" t="str">
            <v>likely infill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76.400000000000006</v>
          </cell>
          <cell r="Y12">
            <v>76.69</v>
          </cell>
          <cell r="AA12" t="str">
            <v>IBCR0501ECB2Q01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B</v>
          </cell>
          <cell r="E13" t="str">
            <v>501_M0111_B_012R</v>
          </cell>
          <cell r="F13">
            <v>45802.777777777781</v>
          </cell>
          <cell r="G13" t="str">
            <v>WINK</v>
          </cell>
          <cell r="H13">
            <v>76.69</v>
          </cell>
          <cell r="I13">
            <v>2.91</v>
          </cell>
          <cell r="J13">
            <v>79.599999999999994</v>
          </cell>
          <cell r="K13">
            <v>2</v>
          </cell>
          <cell r="L13">
            <v>0.82</v>
          </cell>
          <cell r="M13">
            <v>28.18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76.69</v>
          </cell>
          <cell r="Y13">
            <v>79.599999999999994</v>
          </cell>
          <cell r="AA13" t="str">
            <v>IBCR0501ECC2Q01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B</v>
          </cell>
          <cell r="E14" t="str">
            <v>501_M0111_B_013R</v>
          </cell>
          <cell r="F14">
            <v>45802.822916666664</v>
          </cell>
          <cell r="G14" t="str">
            <v>WINK</v>
          </cell>
          <cell r="H14">
            <v>79.599999999999994</v>
          </cell>
          <cell r="I14">
            <v>3</v>
          </cell>
          <cell r="J14">
            <v>82.6</v>
          </cell>
          <cell r="K14">
            <v>2</v>
          </cell>
          <cell r="L14">
            <v>1.06</v>
          </cell>
          <cell r="M14">
            <v>35.33</v>
          </cell>
          <cell r="P14" t="str">
            <v>Mud sample taken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79.599999999999994</v>
          </cell>
          <cell r="Y14">
            <v>82.6</v>
          </cell>
          <cell r="AA14" t="str">
            <v>IBCR0501ECD2Q01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B</v>
          </cell>
          <cell r="E15" t="str">
            <v>501_M0111_B_014R</v>
          </cell>
          <cell r="F15">
            <v>45802.861111111109</v>
          </cell>
          <cell r="G15" t="str">
            <v>WINK</v>
          </cell>
          <cell r="H15">
            <v>82.6</v>
          </cell>
          <cell r="I15">
            <v>2</v>
          </cell>
          <cell r="J15">
            <v>84.6</v>
          </cell>
          <cell r="K15">
            <v>1</v>
          </cell>
          <cell r="L15">
            <v>1.48</v>
          </cell>
          <cell r="M15">
            <v>74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82.6</v>
          </cell>
          <cell r="Y15">
            <v>84.6</v>
          </cell>
          <cell r="AA15" t="str">
            <v>IBCR0501ECE2Q01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B</v>
          </cell>
          <cell r="E16" t="str">
            <v>501_M0111_B_015R</v>
          </cell>
          <cell r="F16">
            <v>45802.913194444445</v>
          </cell>
          <cell r="G16" t="str">
            <v>WINK</v>
          </cell>
          <cell r="H16">
            <v>84.6</v>
          </cell>
          <cell r="I16">
            <v>2</v>
          </cell>
          <cell r="J16">
            <v>86.6</v>
          </cell>
          <cell r="K16">
            <v>2</v>
          </cell>
          <cell r="L16">
            <v>2.2200000000000002</v>
          </cell>
          <cell r="M16">
            <v>111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84.6</v>
          </cell>
          <cell r="Y16">
            <v>86.6</v>
          </cell>
          <cell r="AA16" t="str">
            <v>IBCR0501ECF2Q01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B</v>
          </cell>
          <cell r="E17" t="str">
            <v>501_M0111_B_016R</v>
          </cell>
          <cell r="F17">
            <v>45802.954861111109</v>
          </cell>
          <cell r="G17" t="str">
            <v>WINK</v>
          </cell>
          <cell r="H17">
            <v>86.6</v>
          </cell>
          <cell r="I17">
            <v>1.8</v>
          </cell>
          <cell r="J17">
            <v>88.4</v>
          </cell>
          <cell r="K17">
            <v>1</v>
          </cell>
          <cell r="L17">
            <v>1.4</v>
          </cell>
          <cell r="M17">
            <v>77.78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86.6</v>
          </cell>
          <cell r="Y17">
            <v>88.4</v>
          </cell>
          <cell r="AA17" t="str">
            <v>IBCR0501ECG2Q01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B</v>
          </cell>
          <cell r="E18" t="str">
            <v>501_M0111_B_017R</v>
          </cell>
          <cell r="F18">
            <v>45803.020833333336</v>
          </cell>
          <cell r="G18" t="str">
            <v>WINK</v>
          </cell>
          <cell r="H18">
            <v>88.4</v>
          </cell>
          <cell r="I18">
            <v>2.7</v>
          </cell>
          <cell r="J18">
            <v>91.1</v>
          </cell>
          <cell r="K18">
            <v>2</v>
          </cell>
          <cell r="L18">
            <v>1.73</v>
          </cell>
          <cell r="M18">
            <v>64.069999999999993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88.4</v>
          </cell>
          <cell r="Y18">
            <v>91.1</v>
          </cell>
          <cell r="AA18" t="str">
            <v>IBCR0501ECH2Q01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B</v>
          </cell>
          <cell r="E19" t="str">
            <v>501_M0111_B_018R</v>
          </cell>
          <cell r="F19">
            <v>45803.055555555555</v>
          </cell>
          <cell r="G19" t="str">
            <v>WINK</v>
          </cell>
          <cell r="H19">
            <v>91.1</v>
          </cell>
          <cell r="I19">
            <v>3</v>
          </cell>
          <cell r="J19">
            <v>94.1</v>
          </cell>
          <cell r="K19">
            <v>2</v>
          </cell>
          <cell r="L19">
            <v>1.46</v>
          </cell>
          <cell r="M19">
            <v>48.67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91.1</v>
          </cell>
          <cell r="Y19">
            <v>94.1</v>
          </cell>
          <cell r="AA19" t="str">
            <v>IBCR0501ECI2Q01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B</v>
          </cell>
          <cell r="E20" t="str">
            <v>501_M0111_B_019R</v>
          </cell>
          <cell r="F20">
            <v>45803.09375</v>
          </cell>
          <cell r="G20" t="str">
            <v>WINK</v>
          </cell>
          <cell r="H20">
            <v>94.1</v>
          </cell>
          <cell r="I20">
            <v>1.35</v>
          </cell>
          <cell r="J20">
            <v>95.45</v>
          </cell>
          <cell r="K20">
            <v>1</v>
          </cell>
          <cell r="L20">
            <v>0.39</v>
          </cell>
          <cell r="M20">
            <v>28.89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94.1</v>
          </cell>
          <cell r="Y20">
            <v>95.45</v>
          </cell>
          <cell r="AA20" t="str">
            <v>IBCR0501ECJ2Q01</v>
          </cell>
          <cell r="AC20">
            <v>3</v>
          </cell>
          <cell r="AD20" t="str">
            <v>BLY PQ3</v>
          </cell>
          <cell r="AE20" t="str">
            <v>Water-based mud (WBM)</v>
          </cell>
          <cell r="AF20" t="str">
            <v>PureBore by Clear Solutions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B</v>
          </cell>
          <cell r="E21" t="str">
            <v>501_M0111_B_020R</v>
          </cell>
          <cell r="F21">
            <v>45803.111111111109</v>
          </cell>
          <cell r="G21" t="str">
            <v>WINK</v>
          </cell>
          <cell r="H21">
            <v>95.45</v>
          </cell>
          <cell r="I21">
            <v>1</v>
          </cell>
          <cell r="J21">
            <v>96.45</v>
          </cell>
          <cell r="K21">
            <v>0</v>
          </cell>
          <cell r="L21">
            <v>0</v>
          </cell>
          <cell r="M21">
            <v>0</v>
          </cell>
          <cell r="P21" t="str">
            <v>core came up empty</v>
          </cell>
          <cell r="Q21" t="str">
            <v>no</v>
          </cell>
          <cell r="R21" t="str">
            <v>none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95.45</v>
          </cell>
          <cell r="Y21">
            <v>96.45</v>
          </cell>
          <cell r="AA21" t="str">
            <v>IBCR0501ECK2Q01</v>
          </cell>
          <cell r="AC21">
            <v>3</v>
          </cell>
          <cell r="AD21" t="str">
            <v>BLY PQ3</v>
          </cell>
          <cell r="AE21" t="str">
            <v>Water-based mud (WBM)</v>
          </cell>
          <cell r="AF21" t="str">
            <v>PureBore by Clear Solutions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B</v>
          </cell>
          <cell r="E22" t="str">
            <v>501_M0111_B_021H</v>
          </cell>
          <cell r="F22">
            <v>45803.138888888891</v>
          </cell>
          <cell r="G22" t="str">
            <v>WINK</v>
          </cell>
          <cell r="H22">
            <v>96.45</v>
          </cell>
          <cell r="I22">
            <v>2.31</v>
          </cell>
          <cell r="J22">
            <v>98.76</v>
          </cell>
          <cell r="K22">
            <v>2</v>
          </cell>
          <cell r="L22">
            <v>2.31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96.45</v>
          </cell>
          <cell r="Y22">
            <v>98.76</v>
          </cell>
          <cell r="AA22" t="str">
            <v>IBCR0501ECL2Q01</v>
          </cell>
          <cell r="AC22">
            <v>3</v>
          </cell>
          <cell r="AD22" t="str">
            <v>BLY PQ3</v>
          </cell>
          <cell r="AE22" t="str">
            <v>Water-based mud (WBM)</v>
          </cell>
          <cell r="AF22" t="str">
            <v>PureBore by Clear Solutions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B</v>
          </cell>
          <cell r="E23" t="str">
            <v>501_M0111_B_022H</v>
          </cell>
          <cell r="F23">
            <v>45803.166666666664</v>
          </cell>
          <cell r="G23" t="str">
            <v>GEPR</v>
          </cell>
          <cell r="H23">
            <v>98.76</v>
          </cell>
          <cell r="I23">
            <v>1.73</v>
          </cell>
          <cell r="J23">
            <v>100.49</v>
          </cell>
          <cell r="K23">
            <v>2</v>
          </cell>
          <cell r="L23">
            <v>1.78</v>
          </cell>
          <cell r="M23">
            <v>102.89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98.76</v>
          </cell>
          <cell r="Y23">
            <v>100.49</v>
          </cell>
          <cell r="AA23" t="str">
            <v>IBCR0501ECM2Q01</v>
          </cell>
          <cell r="AC23">
            <v>3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B</v>
          </cell>
          <cell r="E24" t="str">
            <v>501_M0111_B_023H</v>
          </cell>
          <cell r="F24">
            <v>45803.194444444445</v>
          </cell>
          <cell r="G24" t="str">
            <v>GEPR</v>
          </cell>
          <cell r="H24">
            <v>100.49</v>
          </cell>
          <cell r="I24">
            <v>1.35</v>
          </cell>
          <cell r="J24">
            <v>101.84</v>
          </cell>
          <cell r="K24">
            <v>2</v>
          </cell>
          <cell r="L24">
            <v>1.35</v>
          </cell>
          <cell r="M24">
            <v>100</v>
          </cell>
          <cell r="P24" t="str">
            <v>liner collapsed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B</v>
          </cell>
          <cell r="E25" t="str">
            <v>501_M0111_B_024R</v>
          </cell>
          <cell r="F25">
            <v>45803.270833333336</v>
          </cell>
          <cell r="G25" t="str">
            <v>GEPR</v>
          </cell>
          <cell r="H25">
            <v>101.84</v>
          </cell>
          <cell r="I25">
            <v>1.76</v>
          </cell>
          <cell r="J25">
            <v>103.6</v>
          </cell>
          <cell r="K25">
            <v>2</v>
          </cell>
          <cell r="L25">
            <v>2.14</v>
          </cell>
          <cell r="M25">
            <v>121.59</v>
          </cell>
          <cell r="P25" t="str">
            <v>core slipped out of liner during lifting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B</v>
          </cell>
          <cell r="E26" t="str">
            <v>501_M0111_B_025R</v>
          </cell>
          <cell r="F26">
            <v>45803.309027777781</v>
          </cell>
          <cell r="G26" t="str">
            <v>GEPR</v>
          </cell>
          <cell r="H26">
            <v>103.6</v>
          </cell>
          <cell r="I26">
            <v>3</v>
          </cell>
          <cell r="J26">
            <v>106.6</v>
          </cell>
          <cell r="K26">
            <v>1</v>
          </cell>
          <cell r="L26">
            <v>0.15</v>
          </cell>
          <cell r="M26">
            <v>5</v>
          </cell>
          <cell r="P26" t="str">
            <v>core slipped out of liner during lifting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B</v>
          </cell>
          <cell r="E27" t="str">
            <v>501_M0111_B_026R</v>
          </cell>
          <cell r="F27">
            <v>45803.364583333336</v>
          </cell>
          <cell r="G27" t="str">
            <v>GEPR</v>
          </cell>
          <cell r="H27">
            <v>106.6</v>
          </cell>
          <cell r="I27">
            <v>3</v>
          </cell>
          <cell r="J27">
            <v>109.6</v>
          </cell>
          <cell r="K27">
            <v>2</v>
          </cell>
          <cell r="L27">
            <v>2.46</v>
          </cell>
          <cell r="M27">
            <v>82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106.6</v>
          </cell>
          <cell r="Y27">
            <v>109.6</v>
          </cell>
          <cell r="AA27" t="str">
            <v>IBCR0501ECQ2Q01</v>
          </cell>
          <cell r="AC27">
            <v>3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B</v>
          </cell>
          <cell r="E28" t="str">
            <v>501_M0111_B_027R</v>
          </cell>
          <cell r="F28">
            <v>45803.395833333336</v>
          </cell>
          <cell r="G28" t="str">
            <v>GEPR</v>
          </cell>
          <cell r="H28">
            <v>109.6</v>
          </cell>
          <cell r="I28">
            <v>2.7</v>
          </cell>
          <cell r="J28">
            <v>112.3</v>
          </cell>
          <cell r="K28">
            <v>2</v>
          </cell>
          <cell r="L28">
            <v>2.79</v>
          </cell>
          <cell r="M28">
            <v>103.33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109.6</v>
          </cell>
          <cell r="Y28">
            <v>112.3</v>
          </cell>
          <cell r="AA28" t="str">
            <v>IBCR0501ECS2Q01</v>
          </cell>
          <cell r="AC28">
            <v>3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B</v>
          </cell>
          <cell r="E29" t="str">
            <v>501_M0111_B_028R</v>
          </cell>
          <cell r="F29">
            <v>45803.434027777781</v>
          </cell>
          <cell r="G29" t="str">
            <v>GEPR</v>
          </cell>
          <cell r="H29">
            <v>112.3</v>
          </cell>
          <cell r="I29">
            <v>3</v>
          </cell>
          <cell r="J29">
            <v>115.3</v>
          </cell>
          <cell r="K29">
            <v>2</v>
          </cell>
          <cell r="L29">
            <v>2.95</v>
          </cell>
          <cell r="M29">
            <v>98.33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112.3</v>
          </cell>
          <cell r="Y29">
            <v>115.3</v>
          </cell>
          <cell r="AA29" t="str">
            <v>IBCR0501ECT2Q01</v>
          </cell>
          <cell r="AC29">
            <v>3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B</v>
          </cell>
          <cell r="E30" t="str">
            <v>501_M0111_B_029R</v>
          </cell>
          <cell r="F30">
            <v>45803.46875</v>
          </cell>
          <cell r="G30" t="str">
            <v>GEPR</v>
          </cell>
          <cell r="H30">
            <v>115.3</v>
          </cell>
          <cell r="I30">
            <v>3</v>
          </cell>
          <cell r="J30">
            <v>118.3</v>
          </cell>
          <cell r="K30">
            <v>3</v>
          </cell>
          <cell r="L30">
            <v>3.23</v>
          </cell>
          <cell r="M30">
            <v>107.67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115.3</v>
          </cell>
          <cell r="Y30">
            <v>118.3</v>
          </cell>
          <cell r="AA30" t="str">
            <v>IBCR0501ECU2Q01</v>
          </cell>
          <cell r="AC30">
            <v>3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B</v>
          </cell>
          <cell r="E31" t="str">
            <v>501_M0111_B_030R</v>
          </cell>
          <cell r="F31">
            <v>45803.520833333336</v>
          </cell>
          <cell r="G31" t="str">
            <v>GEPR</v>
          </cell>
          <cell r="H31">
            <v>118.3</v>
          </cell>
          <cell r="I31">
            <v>3</v>
          </cell>
          <cell r="J31">
            <v>121.3</v>
          </cell>
          <cell r="K31">
            <v>2</v>
          </cell>
          <cell r="L31">
            <v>2.46</v>
          </cell>
          <cell r="M31">
            <v>82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118.3</v>
          </cell>
          <cell r="Y31">
            <v>121.3</v>
          </cell>
          <cell r="AA31" t="str">
            <v>IBCR0501ECV2Q01</v>
          </cell>
          <cell r="AC31">
            <v>3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B</v>
          </cell>
          <cell r="E32" t="str">
            <v>501_M0111_B_031R</v>
          </cell>
          <cell r="F32">
            <v>45803.552083333336</v>
          </cell>
          <cell r="G32" t="str">
            <v>GEPR</v>
          </cell>
          <cell r="H32">
            <v>121.3</v>
          </cell>
          <cell r="I32">
            <v>2.4</v>
          </cell>
          <cell r="J32">
            <v>123.7</v>
          </cell>
          <cell r="K32">
            <v>2</v>
          </cell>
          <cell r="L32">
            <v>2.52</v>
          </cell>
          <cell r="M32">
            <v>105</v>
          </cell>
          <cell r="P32" t="str">
            <v>microsheres inserted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B</v>
          </cell>
          <cell r="E33" t="str">
            <v>501_M0111_B_032R</v>
          </cell>
          <cell r="F33">
            <v>45803.597222222219</v>
          </cell>
          <cell r="G33" t="str">
            <v>GEPR</v>
          </cell>
          <cell r="H33">
            <v>124.3</v>
          </cell>
          <cell r="I33">
            <v>2.4</v>
          </cell>
          <cell r="J33">
            <v>126.7</v>
          </cell>
          <cell r="K33">
            <v>1</v>
          </cell>
          <cell r="L33">
            <v>0.34</v>
          </cell>
          <cell r="M33">
            <v>14.17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124.3</v>
          </cell>
          <cell r="Y33">
            <v>126.7</v>
          </cell>
          <cell r="AA33" t="str">
            <v>IBCR0501ECX2Q01</v>
          </cell>
          <cell r="AC33">
            <v>3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B</v>
          </cell>
          <cell r="E34" t="str">
            <v>501_M0111_B_033R</v>
          </cell>
          <cell r="F34">
            <v>45803.611111111109</v>
          </cell>
          <cell r="G34" t="str">
            <v>GEPR</v>
          </cell>
          <cell r="H34">
            <v>126.7</v>
          </cell>
          <cell r="I34">
            <v>0.34</v>
          </cell>
          <cell r="J34">
            <v>127.04</v>
          </cell>
          <cell r="K34">
            <v>2</v>
          </cell>
          <cell r="L34">
            <v>0.78</v>
          </cell>
          <cell r="M34">
            <v>229.41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126.7</v>
          </cell>
          <cell r="Y34">
            <v>127.04</v>
          </cell>
          <cell r="AA34" t="str">
            <v>IBCR0501ECY2Q01</v>
          </cell>
          <cell r="AC34">
            <v>3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B</v>
          </cell>
          <cell r="E35" t="str">
            <v>501_M0111_B_034R</v>
          </cell>
          <cell r="F35">
            <v>45805.159722222219</v>
          </cell>
          <cell r="G35" t="str">
            <v>GEPR</v>
          </cell>
          <cell r="H35">
            <v>121.52</v>
          </cell>
          <cell r="I35">
            <v>1</v>
          </cell>
          <cell r="J35">
            <v>122.52</v>
          </cell>
          <cell r="K35">
            <v>2</v>
          </cell>
          <cell r="L35">
            <v>1.58</v>
          </cell>
          <cell r="M35">
            <v>158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(BLY-HQ3)</v>
          </cell>
          <cell r="V35">
            <v>61</v>
          </cell>
          <cell r="W35">
            <v>0</v>
          </cell>
          <cell r="X35">
            <v>121.52</v>
          </cell>
          <cell r="Y35">
            <v>122.52</v>
          </cell>
          <cell r="AA35" t="str">
            <v>IBCR0501ECZ2Q01</v>
          </cell>
          <cell r="AC35">
            <v>3</v>
          </cell>
          <cell r="AD35" t="str">
            <v>BLY HQ3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B</v>
          </cell>
          <cell r="E36" t="str">
            <v>501_M0111_B_035R</v>
          </cell>
          <cell r="F36">
            <v>45805.204861111109</v>
          </cell>
          <cell r="G36" t="str">
            <v>GEPR</v>
          </cell>
          <cell r="H36">
            <v>122.52</v>
          </cell>
          <cell r="I36">
            <v>3.05</v>
          </cell>
          <cell r="J36">
            <v>125.57</v>
          </cell>
          <cell r="K36">
            <v>3</v>
          </cell>
          <cell r="L36">
            <v>3.15</v>
          </cell>
          <cell r="M36">
            <v>103.28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(BLY-HQ3)</v>
          </cell>
          <cell r="V36">
            <v>61</v>
          </cell>
          <cell r="W36">
            <v>0</v>
          </cell>
          <cell r="X36">
            <v>122.52</v>
          </cell>
          <cell r="Y36">
            <v>125.57</v>
          </cell>
          <cell r="AA36" t="str">
            <v>IBCR0501EC03Q01</v>
          </cell>
          <cell r="AC36">
            <v>3</v>
          </cell>
          <cell r="AD36" t="str">
            <v>BLY HQ3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B</v>
          </cell>
          <cell r="E37" t="str">
            <v>501_M0111_B_036R</v>
          </cell>
          <cell r="F37">
            <v>45805.274305555555</v>
          </cell>
          <cell r="G37" t="str">
            <v>GEPR</v>
          </cell>
          <cell r="H37">
            <v>125.57</v>
          </cell>
          <cell r="I37">
            <v>2.0699999999999998</v>
          </cell>
          <cell r="J37">
            <v>127.64</v>
          </cell>
          <cell r="K37">
            <v>2</v>
          </cell>
          <cell r="L37">
            <v>1.91</v>
          </cell>
          <cell r="M37">
            <v>92.27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(BLY-HQ3)</v>
          </cell>
          <cell r="V37">
            <v>61</v>
          </cell>
          <cell r="W37">
            <v>0</v>
          </cell>
          <cell r="X37">
            <v>125.57</v>
          </cell>
          <cell r="Y37">
            <v>127.64</v>
          </cell>
          <cell r="AA37" t="str">
            <v>IBCR0501EC13Q01</v>
          </cell>
          <cell r="AC37">
            <v>3</v>
          </cell>
          <cell r="AD37" t="str">
            <v>BLY HQ3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B</v>
          </cell>
          <cell r="E38" t="str">
            <v>501_M0111_B_037R</v>
          </cell>
          <cell r="F38">
            <v>45805.274305555555</v>
          </cell>
          <cell r="G38" t="str">
            <v>GEPR</v>
          </cell>
          <cell r="H38">
            <v>127.64</v>
          </cell>
          <cell r="I38">
            <v>1.75</v>
          </cell>
          <cell r="J38">
            <v>129.38999999999999</v>
          </cell>
          <cell r="K38">
            <v>1</v>
          </cell>
          <cell r="L38">
            <v>1.07</v>
          </cell>
          <cell r="M38">
            <v>61.14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(BLY-HQ3)</v>
          </cell>
          <cell r="V38">
            <v>61</v>
          </cell>
          <cell r="W38">
            <v>0</v>
          </cell>
          <cell r="X38">
            <v>127.64</v>
          </cell>
          <cell r="Y38">
            <v>129.38999999999999</v>
          </cell>
          <cell r="AA38" t="str">
            <v>IBCR0501EC23Q01</v>
          </cell>
          <cell r="AC38">
            <v>3</v>
          </cell>
          <cell r="AD38" t="str">
            <v>BLY HQ3</v>
          </cell>
          <cell r="AE38" t="str">
            <v>Water-based mud (WBM)</v>
          </cell>
          <cell r="AF38" t="str">
            <v>PureBore by Clear Solutions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B</v>
          </cell>
          <cell r="E39" t="str">
            <v>501_M0111_B_038R</v>
          </cell>
          <cell r="F39">
            <v>45805.277777777781</v>
          </cell>
          <cell r="G39" t="str">
            <v>GEPR</v>
          </cell>
          <cell r="H39">
            <v>129.38999999999999</v>
          </cell>
          <cell r="I39">
            <v>2.2799999999999998</v>
          </cell>
          <cell r="J39">
            <v>131.66999999999999</v>
          </cell>
          <cell r="K39">
            <v>2</v>
          </cell>
          <cell r="L39">
            <v>2.1</v>
          </cell>
          <cell r="M39">
            <v>92.11</v>
          </cell>
          <cell r="Q39" t="str">
            <v>yes</v>
          </cell>
          <cell r="R39" t="str">
            <v>all</v>
          </cell>
          <cell r="S39" t="str">
            <v>R</v>
          </cell>
          <cell r="T39" t="str">
            <v>R (BLY-HQ3)</v>
          </cell>
          <cell r="V39">
            <v>61</v>
          </cell>
          <cell r="W39">
            <v>0</v>
          </cell>
          <cell r="X39">
            <v>129.38999999999999</v>
          </cell>
          <cell r="Y39">
            <v>131.66999999999999</v>
          </cell>
          <cell r="AA39" t="str">
            <v>IBCR0501EC33Q01</v>
          </cell>
          <cell r="AC39">
            <v>3</v>
          </cell>
          <cell r="AD39" t="str">
            <v>BLY HQ3</v>
          </cell>
          <cell r="AE39" t="str">
            <v>Water-based mud (WBM)</v>
          </cell>
          <cell r="AF39" t="str">
            <v>PureBore by Clear Solutions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B</v>
          </cell>
          <cell r="E40" t="str">
            <v>501_M0111_B_039R</v>
          </cell>
          <cell r="F40">
            <v>45805.298611111109</v>
          </cell>
          <cell r="G40" t="str">
            <v>GEPR</v>
          </cell>
          <cell r="H40">
            <v>131.66999999999999</v>
          </cell>
          <cell r="I40">
            <v>3.05</v>
          </cell>
          <cell r="J40">
            <v>134.72</v>
          </cell>
          <cell r="K40">
            <v>2</v>
          </cell>
          <cell r="L40">
            <v>2.79</v>
          </cell>
          <cell r="M40">
            <v>91.48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(BLY-HQ3)</v>
          </cell>
          <cell r="V40">
            <v>61</v>
          </cell>
          <cell r="W40">
            <v>0</v>
          </cell>
          <cell r="X40">
            <v>131.66999999999999</v>
          </cell>
          <cell r="Y40">
            <v>134.72</v>
          </cell>
          <cell r="AA40" t="str">
            <v>IBCR0501EC43Q01</v>
          </cell>
          <cell r="AC40">
            <v>3</v>
          </cell>
          <cell r="AD40" t="str">
            <v>BLY HQ3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B</v>
          </cell>
          <cell r="E41" t="str">
            <v>501_M0111_B_040R</v>
          </cell>
          <cell r="F41">
            <v>45805.326388888891</v>
          </cell>
          <cell r="G41" t="str">
            <v>GEPR</v>
          </cell>
          <cell r="H41">
            <v>134.72</v>
          </cell>
          <cell r="I41">
            <v>3.05</v>
          </cell>
          <cell r="J41">
            <v>137.77000000000001</v>
          </cell>
          <cell r="K41">
            <v>1</v>
          </cell>
          <cell r="L41">
            <v>1.1499999999999999</v>
          </cell>
          <cell r="M41">
            <v>37.700000000000003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(BLY-HQ3)</v>
          </cell>
          <cell r="V41">
            <v>61</v>
          </cell>
          <cell r="W41">
            <v>0</v>
          </cell>
          <cell r="X41">
            <v>134.72</v>
          </cell>
          <cell r="Y41">
            <v>137.77000000000001</v>
          </cell>
          <cell r="AA41" t="str">
            <v>IBCR0501EC53Q01</v>
          </cell>
          <cell r="AC41">
            <v>3</v>
          </cell>
          <cell r="AD41" t="str">
            <v>BLY HQ3</v>
          </cell>
          <cell r="AE41" t="str">
            <v>Water-based mud (WBM)</v>
          </cell>
          <cell r="AF41" t="str">
            <v>PureBore by Clear Solutions</v>
          </cell>
        </row>
        <row r="42">
          <cell r="A42">
            <v>41</v>
          </cell>
          <cell r="B42">
            <v>501</v>
          </cell>
          <cell r="C42" t="str">
            <v>M0111</v>
          </cell>
          <cell r="D42" t="str">
            <v>B</v>
          </cell>
          <cell r="E42" t="str">
            <v>501_M0111_B_041R</v>
          </cell>
          <cell r="F42">
            <v>45805.340277777781</v>
          </cell>
          <cell r="G42" t="str">
            <v>GEPR</v>
          </cell>
          <cell r="H42">
            <v>137.77000000000001</v>
          </cell>
          <cell r="I42">
            <v>3.05</v>
          </cell>
          <cell r="J42">
            <v>140.82</v>
          </cell>
          <cell r="K42">
            <v>2</v>
          </cell>
          <cell r="L42">
            <v>2.46</v>
          </cell>
          <cell r="M42">
            <v>80.66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(BLY-HQ3)</v>
          </cell>
          <cell r="V42">
            <v>61</v>
          </cell>
          <cell r="W42">
            <v>0</v>
          </cell>
          <cell r="X42">
            <v>137.77000000000001</v>
          </cell>
          <cell r="Y42">
            <v>140.82</v>
          </cell>
          <cell r="AA42" t="str">
            <v>IBCR0501EC63Q01</v>
          </cell>
          <cell r="AC42">
            <v>3</v>
          </cell>
          <cell r="AD42" t="str">
            <v>BLY HQ3</v>
          </cell>
          <cell r="AE42" t="str">
            <v>Water-based mud (WBM)</v>
          </cell>
          <cell r="AF42" t="str">
            <v>PureBore by Clear Solutions</v>
          </cell>
        </row>
        <row r="43">
          <cell r="A43">
            <v>42</v>
          </cell>
          <cell r="B43">
            <v>501</v>
          </cell>
          <cell r="C43" t="str">
            <v>M0111</v>
          </cell>
          <cell r="D43" t="str">
            <v>B</v>
          </cell>
          <cell r="E43" t="str">
            <v>501_M0111_B_042R</v>
          </cell>
          <cell r="F43">
            <v>45805.371527777781</v>
          </cell>
          <cell r="G43" t="str">
            <v>GEPR</v>
          </cell>
          <cell r="H43">
            <v>140.82</v>
          </cell>
          <cell r="I43">
            <v>3.05</v>
          </cell>
          <cell r="J43">
            <v>143.87</v>
          </cell>
          <cell r="K43">
            <v>1</v>
          </cell>
          <cell r="L43">
            <v>1.05</v>
          </cell>
          <cell r="M43">
            <v>34.43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(BLY-HQ3)</v>
          </cell>
          <cell r="V43">
            <v>61</v>
          </cell>
          <cell r="W43">
            <v>0</v>
          </cell>
          <cell r="X43">
            <v>140.82</v>
          </cell>
          <cell r="Y43">
            <v>143.87</v>
          </cell>
          <cell r="AA43" t="str">
            <v>IBCR0501EC73Q01</v>
          </cell>
          <cell r="AC43">
            <v>3</v>
          </cell>
          <cell r="AD43" t="str">
            <v>BLY HQ3</v>
          </cell>
          <cell r="AE43" t="str">
            <v>Water-based mud (WBM)</v>
          </cell>
          <cell r="AF43" t="str">
            <v>PureBore by Clear Solutions</v>
          </cell>
        </row>
        <row r="44">
          <cell r="A44">
            <v>43</v>
          </cell>
          <cell r="B44">
            <v>501</v>
          </cell>
          <cell r="C44" t="str">
            <v>M0111</v>
          </cell>
          <cell r="D44" t="str">
            <v>B</v>
          </cell>
          <cell r="E44" t="str">
            <v>501_M0111_B_043R</v>
          </cell>
          <cell r="F44">
            <v>45805.388888888891</v>
          </cell>
          <cell r="G44" t="str">
            <v>GEPR</v>
          </cell>
          <cell r="H44">
            <v>143.87</v>
          </cell>
          <cell r="I44">
            <v>2.2400000000000002</v>
          </cell>
          <cell r="J44">
            <v>146.11000000000001</v>
          </cell>
          <cell r="K44">
            <v>2</v>
          </cell>
          <cell r="L44">
            <v>1.39</v>
          </cell>
          <cell r="M44">
            <v>62.05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(BLY-HQ3)</v>
          </cell>
          <cell r="V44">
            <v>61</v>
          </cell>
          <cell r="W44">
            <v>0</v>
          </cell>
          <cell r="X44">
            <v>143.87</v>
          </cell>
          <cell r="Y44">
            <v>146.11000000000001</v>
          </cell>
          <cell r="AA44" t="str">
            <v>IBCR0501EC83Q01</v>
          </cell>
          <cell r="AC44">
            <v>3</v>
          </cell>
          <cell r="AD44" t="str">
            <v>BLY HQ3</v>
          </cell>
          <cell r="AE44" t="str">
            <v>Water-based mud (WBM)</v>
          </cell>
          <cell r="AF44" t="str">
            <v>PureBore by Clear Solutions</v>
          </cell>
        </row>
        <row r="45">
          <cell r="A45">
            <v>44</v>
          </cell>
          <cell r="B45">
            <v>501</v>
          </cell>
          <cell r="C45" t="str">
            <v>M0111</v>
          </cell>
          <cell r="D45" t="str">
            <v>B</v>
          </cell>
          <cell r="E45" t="str">
            <v>501_M0111_B_044R</v>
          </cell>
          <cell r="F45">
            <v>45805.4375</v>
          </cell>
          <cell r="G45" t="str">
            <v>GEPR</v>
          </cell>
          <cell r="H45">
            <v>146.11000000000001</v>
          </cell>
          <cell r="I45">
            <v>3.05</v>
          </cell>
          <cell r="J45">
            <v>149.16</v>
          </cell>
          <cell r="K45">
            <v>2</v>
          </cell>
          <cell r="L45">
            <v>2.29</v>
          </cell>
          <cell r="M45">
            <v>75.08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(BLY-HQ3)</v>
          </cell>
          <cell r="V45">
            <v>61</v>
          </cell>
          <cell r="W45">
            <v>0</v>
          </cell>
          <cell r="X45">
            <v>146.11000000000001</v>
          </cell>
          <cell r="Y45">
            <v>149.16</v>
          </cell>
          <cell r="AA45" t="str">
            <v>IBCR0501EC93Q01</v>
          </cell>
          <cell r="AC45">
            <v>3</v>
          </cell>
          <cell r="AD45" t="str">
            <v>BLY HQ3</v>
          </cell>
          <cell r="AE45" t="str">
            <v>Water-based mud (WBM)</v>
          </cell>
          <cell r="AF45" t="str">
            <v>PureBore by Clear Solutions</v>
          </cell>
        </row>
        <row r="46">
          <cell r="A46">
            <v>45</v>
          </cell>
          <cell r="B46">
            <v>501</v>
          </cell>
          <cell r="C46" t="str">
            <v>M0111</v>
          </cell>
          <cell r="D46" t="str">
            <v>B</v>
          </cell>
          <cell r="E46" t="str">
            <v>501_M0111_B_045R</v>
          </cell>
          <cell r="F46">
            <v>45805.451388888891</v>
          </cell>
          <cell r="G46" t="str">
            <v>GEPR</v>
          </cell>
          <cell r="H46">
            <v>149.16</v>
          </cell>
          <cell r="I46">
            <v>0.38</v>
          </cell>
          <cell r="J46">
            <v>149.54</v>
          </cell>
          <cell r="K46">
            <v>1</v>
          </cell>
          <cell r="L46">
            <v>0.98</v>
          </cell>
          <cell r="M46">
            <v>257.89</v>
          </cell>
          <cell r="P46" t="str">
            <v>Infill at top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(BLY-HQ3)</v>
          </cell>
          <cell r="V46">
            <v>61</v>
          </cell>
          <cell r="W46">
            <v>0</v>
          </cell>
          <cell r="X46">
            <v>149.16</v>
          </cell>
          <cell r="Y46">
            <v>149.54</v>
          </cell>
          <cell r="AA46" t="str">
            <v>IBCR0501ECA3Q01</v>
          </cell>
          <cell r="AC46">
            <v>3</v>
          </cell>
          <cell r="AD46" t="str">
            <v>BLY HQ3</v>
          </cell>
          <cell r="AE46" t="str">
            <v>Water-based mud (WBM)</v>
          </cell>
          <cell r="AF46" t="str">
            <v>PureBore by Clear Solutions</v>
          </cell>
        </row>
        <row r="47">
          <cell r="A47">
            <v>46</v>
          </cell>
          <cell r="B47">
            <v>501</v>
          </cell>
          <cell r="C47" t="str">
            <v>M0111</v>
          </cell>
          <cell r="D47" t="str">
            <v>B</v>
          </cell>
          <cell r="E47" t="str">
            <v>501_M0111_B_046R</v>
          </cell>
          <cell r="F47">
            <v>45805.527777777781</v>
          </cell>
          <cell r="G47" t="str">
            <v>GEPR</v>
          </cell>
          <cell r="H47">
            <v>149.54</v>
          </cell>
          <cell r="I47">
            <v>2.67</v>
          </cell>
          <cell r="J47">
            <v>152.21</v>
          </cell>
          <cell r="K47">
            <v>2</v>
          </cell>
          <cell r="L47">
            <v>2.75</v>
          </cell>
          <cell r="M47">
            <v>103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(BLY-HQ3)</v>
          </cell>
          <cell r="V47">
            <v>61</v>
          </cell>
          <cell r="W47">
            <v>0</v>
          </cell>
          <cell r="X47">
            <v>149.54</v>
          </cell>
          <cell r="Y47">
            <v>152.21</v>
          </cell>
          <cell r="AA47" t="str">
            <v>IBCR0501ECB3Q01</v>
          </cell>
          <cell r="AC47">
            <v>3</v>
          </cell>
          <cell r="AD47" t="str">
            <v>BLY HQ3</v>
          </cell>
          <cell r="AE47" t="str">
            <v>Water-based mud (WBM)</v>
          </cell>
          <cell r="AF47" t="str">
            <v>PureBore by Clear Solutions</v>
          </cell>
        </row>
        <row r="48">
          <cell r="A48">
            <v>47</v>
          </cell>
          <cell r="B48">
            <v>501</v>
          </cell>
          <cell r="C48" t="str">
            <v>M0111</v>
          </cell>
          <cell r="D48" t="str">
            <v>B</v>
          </cell>
          <cell r="E48" t="str">
            <v>501_M0111_B_047R</v>
          </cell>
          <cell r="F48">
            <v>45805.510416666664</v>
          </cell>
          <cell r="G48" t="str">
            <v>GEPR</v>
          </cell>
          <cell r="H48">
            <v>152.21</v>
          </cell>
          <cell r="I48">
            <v>3.05</v>
          </cell>
          <cell r="J48">
            <v>155.26</v>
          </cell>
          <cell r="K48">
            <v>3</v>
          </cell>
          <cell r="L48">
            <v>3.14</v>
          </cell>
          <cell r="M48">
            <v>102.95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(BLY-HQ3)</v>
          </cell>
          <cell r="V48">
            <v>61</v>
          </cell>
          <cell r="W48">
            <v>0</v>
          </cell>
          <cell r="X48">
            <v>152.21</v>
          </cell>
          <cell r="Y48">
            <v>155.26</v>
          </cell>
          <cell r="AA48" t="str">
            <v>IBCR0501ECC3Q01</v>
          </cell>
          <cell r="AC48">
            <v>3</v>
          </cell>
          <cell r="AD48" t="str">
            <v>BLY HQ3</v>
          </cell>
          <cell r="AE48" t="str">
            <v>Water-based mud (WBM)</v>
          </cell>
          <cell r="AF48" t="str">
            <v>PureBore by Clear Solutions</v>
          </cell>
        </row>
        <row r="49">
          <cell r="A49">
            <v>48</v>
          </cell>
          <cell r="B49">
            <v>501</v>
          </cell>
          <cell r="C49" t="str">
            <v>M0111</v>
          </cell>
          <cell r="D49" t="str">
            <v>B</v>
          </cell>
          <cell r="E49" t="str">
            <v>501_M0111_B_048R</v>
          </cell>
          <cell r="F49">
            <v>45805.524305555555</v>
          </cell>
          <cell r="G49" t="str">
            <v>GEPR</v>
          </cell>
          <cell r="H49">
            <v>155.26</v>
          </cell>
          <cell r="I49">
            <v>3.05</v>
          </cell>
          <cell r="J49">
            <v>158.31</v>
          </cell>
          <cell r="K49">
            <v>1</v>
          </cell>
          <cell r="L49">
            <v>0.47</v>
          </cell>
          <cell r="M49">
            <v>15.41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(BLY-HQ3)</v>
          </cell>
          <cell r="V49">
            <v>61</v>
          </cell>
          <cell r="W49">
            <v>0</v>
          </cell>
          <cell r="X49">
            <v>155.26</v>
          </cell>
          <cell r="Y49">
            <v>158.31</v>
          </cell>
          <cell r="AA49" t="str">
            <v>IBCR0501ECD3Q01</v>
          </cell>
          <cell r="AC49">
            <v>3</v>
          </cell>
          <cell r="AD49" t="str">
            <v>BLY HQ3</v>
          </cell>
          <cell r="AE49" t="str">
            <v>Water-based mud (WBM)</v>
          </cell>
          <cell r="AF49" t="str">
            <v>PureBore by Clear Solutions</v>
          </cell>
        </row>
        <row r="50">
          <cell r="A50">
            <v>49</v>
          </cell>
          <cell r="B50">
            <v>501</v>
          </cell>
          <cell r="C50" t="str">
            <v>M0111</v>
          </cell>
          <cell r="D50" t="str">
            <v>B</v>
          </cell>
          <cell r="E50" t="str">
            <v>501_M0111_B_049R</v>
          </cell>
          <cell r="F50">
            <v>45805.579861111109</v>
          </cell>
          <cell r="G50" t="str">
            <v>GEPR</v>
          </cell>
          <cell r="H50">
            <v>158.31</v>
          </cell>
          <cell r="I50">
            <v>0.25</v>
          </cell>
          <cell r="J50">
            <v>158.56</v>
          </cell>
          <cell r="K50">
            <v>1</v>
          </cell>
          <cell r="L50">
            <v>0.19</v>
          </cell>
          <cell r="M50">
            <v>76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(BLY-HQ3)</v>
          </cell>
          <cell r="V50">
            <v>61</v>
          </cell>
          <cell r="W50">
            <v>0</v>
          </cell>
          <cell r="X50">
            <v>158.31</v>
          </cell>
          <cell r="Y50">
            <v>158.56</v>
          </cell>
          <cell r="AA50" t="str">
            <v>IBCR0501ECE3Q01</v>
          </cell>
          <cell r="AC50">
            <v>3</v>
          </cell>
          <cell r="AD50" t="str">
            <v>BLY HQ3</v>
          </cell>
          <cell r="AE50" t="str">
            <v>Water-based mud (WBM)</v>
          </cell>
          <cell r="AF50" t="str">
            <v>PureBore by Clear Solutions</v>
          </cell>
        </row>
        <row r="51">
          <cell r="A51">
            <v>50</v>
          </cell>
          <cell r="B51">
            <v>501</v>
          </cell>
          <cell r="C51" t="str">
            <v>M0111</v>
          </cell>
          <cell r="D51" t="str">
            <v>B</v>
          </cell>
          <cell r="E51" t="str">
            <v>501_M0111_B_050R</v>
          </cell>
          <cell r="F51">
            <v>45805.600694444445</v>
          </cell>
          <cell r="G51" t="str">
            <v>GEPR</v>
          </cell>
          <cell r="H51">
            <v>158.56</v>
          </cell>
          <cell r="I51">
            <v>2.8</v>
          </cell>
          <cell r="J51">
            <v>161.36000000000001</v>
          </cell>
          <cell r="K51">
            <v>1</v>
          </cell>
          <cell r="L51">
            <v>0.19</v>
          </cell>
          <cell r="M51">
            <v>6.79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(BLY-HQ3)</v>
          </cell>
          <cell r="V51">
            <v>61</v>
          </cell>
          <cell r="W51">
            <v>0</v>
          </cell>
          <cell r="X51">
            <v>158.56</v>
          </cell>
          <cell r="Y51">
            <v>161.36000000000001</v>
          </cell>
          <cell r="AA51" t="str">
            <v>IBCR0501ECF3Q01</v>
          </cell>
          <cell r="AC51">
            <v>3</v>
          </cell>
          <cell r="AD51" t="str">
            <v>BLY HQ3</v>
          </cell>
          <cell r="AE51" t="str">
            <v>Water-based mud (WBM)</v>
          </cell>
          <cell r="AF51" t="str">
            <v>PureBore by Clear Solutions</v>
          </cell>
        </row>
        <row r="52">
          <cell r="A52">
            <v>51</v>
          </cell>
          <cell r="B52">
            <v>501</v>
          </cell>
          <cell r="C52" t="str">
            <v>M0111</v>
          </cell>
          <cell r="D52" t="str">
            <v>B</v>
          </cell>
          <cell r="E52" t="str">
            <v>501_M0111_B_051R</v>
          </cell>
          <cell r="F52">
            <v>45805.618055555555</v>
          </cell>
          <cell r="G52" t="str">
            <v>GEPR</v>
          </cell>
          <cell r="H52">
            <v>161.36000000000001</v>
          </cell>
          <cell r="I52">
            <v>0.7</v>
          </cell>
          <cell r="J52">
            <v>162.06</v>
          </cell>
          <cell r="K52">
            <v>1</v>
          </cell>
          <cell r="L52">
            <v>0.6</v>
          </cell>
          <cell r="M52">
            <v>85.71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(BLY-HQ3)</v>
          </cell>
          <cell r="V52">
            <v>61</v>
          </cell>
          <cell r="W52">
            <v>0</v>
          </cell>
          <cell r="X52">
            <v>161.36000000000001</v>
          </cell>
          <cell r="Y52">
            <v>162.06</v>
          </cell>
          <cell r="AA52" t="str">
            <v>IBCR0501ECG3Q01</v>
          </cell>
          <cell r="AC52">
            <v>3</v>
          </cell>
          <cell r="AD52" t="str">
            <v>BLY HQ3</v>
          </cell>
          <cell r="AE52" t="str">
            <v>Water-based mud (WBM)</v>
          </cell>
          <cell r="AF52" t="str">
            <v>PureBore by Clear Solutions</v>
          </cell>
        </row>
        <row r="53">
          <cell r="A53">
            <v>52</v>
          </cell>
          <cell r="B53">
            <v>501</v>
          </cell>
          <cell r="C53" t="str">
            <v>M0111</v>
          </cell>
          <cell r="D53" t="str">
            <v>B</v>
          </cell>
          <cell r="E53" t="str">
            <v>501_M0111_B_052R</v>
          </cell>
          <cell r="F53">
            <v>45805.642361111109</v>
          </cell>
          <cell r="G53" t="str">
            <v>GEPR</v>
          </cell>
          <cell r="H53">
            <v>162.06</v>
          </cell>
          <cell r="I53">
            <v>1.78</v>
          </cell>
          <cell r="J53">
            <v>163.84</v>
          </cell>
          <cell r="K53">
            <v>1</v>
          </cell>
          <cell r="L53">
            <v>0.26</v>
          </cell>
          <cell r="M53">
            <v>14.61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(BLY-HQ3)</v>
          </cell>
          <cell r="V53">
            <v>61</v>
          </cell>
          <cell r="W53">
            <v>0</v>
          </cell>
          <cell r="X53">
            <v>162.06</v>
          </cell>
          <cell r="Y53">
            <v>163.84</v>
          </cell>
          <cell r="AA53" t="str">
            <v>IBCR0501ECH3Q01</v>
          </cell>
          <cell r="AC53">
            <v>3</v>
          </cell>
          <cell r="AD53" t="str">
            <v>BLY HQ3</v>
          </cell>
          <cell r="AE53" t="str">
            <v>Water-based mud (WBM)</v>
          </cell>
          <cell r="AF53" t="str">
            <v>PureBore by Clear Solutions</v>
          </cell>
        </row>
        <row r="54">
          <cell r="A54">
            <v>53</v>
          </cell>
          <cell r="B54">
            <v>501</v>
          </cell>
          <cell r="C54" t="str">
            <v>M0111</v>
          </cell>
          <cell r="D54" t="str">
            <v>B</v>
          </cell>
          <cell r="E54" t="str">
            <v>501_M0111_B_053R</v>
          </cell>
          <cell r="F54">
            <v>45805.701388888891</v>
          </cell>
          <cell r="G54" t="str">
            <v>MOSE</v>
          </cell>
          <cell r="H54">
            <v>163.84</v>
          </cell>
          <cell r="I54">
            <v>1.62</v>
          </cell>
          <cell r="J54">
            <v>165.46</v>
          </cell>
          <cell r="K54">
            <v>1</v>
          </cell>
          <cell r="L54">
            <v>0.26</v>
          </cell>
          <cell r="M54">
            <v>16.05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(BLY-HQ3)</v>
          </cell>
          <cell r="V54">
            <v>61</v>
          </cell>
          <cell r="W54">
            <v>0</v>
          </cell>
          <cell r="X54">
            <v>163.84</v>
          </cell>
          <cell r="Y54">
            <v>165.46</v>
          </cell>
          <cell r="AA54" t="str">
            <v>IBCR0501ECI3Q01</v>
          </cell>
          <cell r="AC54">
            <v>3</v>
          </cell>
          <cell r="AD54" t="str">
            <v>BLY HQ3</v>
          </cell>
          <cell r="AE54" t="str">
            <v>Water-based mud (WBM)</v>
          </cell>
          <cell r="AF54" t="str">
            <v>PureBore by Clear Solutions</v>
          </cell>
        </row>
        <row r="55">
          <cell r="A55">
            <v>54</v>
          </cell>
          <cell r="B55">
            <v>501</v>
          </cell>
          <cell r="C55" t="str">
            <v>M0111</v>
          </cell>
          <cell r="D55" t="str">
            <v>B</v>
          </cell>
          <cell r="E55" t="str">
            <v>501_M0111_B_054R</v>
          </cell>
          <cell r="F55">
            <v>45805.725694444445</v>
          </cell>
          <cell r="G55" t="str">
            <v>MOSE</v>
          </cell>
          <cell r="H55">
            <v>165.46</v>
          </cell>
          <cell r="I55">
            <v>0.35</v>
          </cell>
          <cell r="J55">
            <v>165.81</v>
          </cell>
          <cell r="K55">
            <v>1</v>
          </cell>
          <cell r="L55">
            <v>0.38</v>
          </cell>
          <cell r="M55">
            <v>108.57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(BLY-HQ3)</v>
          </cell>
          <cell r="V55">
            <v>61</v>
          </cell>
          <cell r="W55">
            <v>0</v>
          </cell>
          <cell r="X55">
            <v>165.46</v>
          </cell>
          <cell r="Y55">
            <v>165.81</v>
          </cell>
          <cell r="AA55" t="str">
            <v>IBCR0501ECJ3Q01</v>
          </cell>
          <cell r="AC55">
            <v>3</v>
          </cell>
          <cell r="AD55" t="str">
            <v>BLY HQ3</v>
          </cell>
          <cell r="AE55" t="str">
            <v>Water-based mud (WBM)</v>
          </cell>
          <cell r="AF55" t="str">
            <v>PureBore by Clear Solutions</v>
          </cell>
        </row>
        <row r="56">
          <cell r="A56">
            <v>55</v>
          </cell>
          <cell r="B56">
            <v>501</v>
          </cell>
          <cell r="C56" t="str">
            <v>M0111</v>
          </cell>
          <cell r="D56" t="str">
            <v>B</v>
          </cell>
          <cell r="E56" t="str">
            <v>501_M0111_B_055R</v>
          </cell>
          <cell r="F56">
            <v>45805.75</v>
          </cell>
          <cell r="G56" t="str">
            <v>MOSE</v>
          </cell>
          <cell r="H56">
            <v>165.81</v>
          </cell>
          <cell r="I56">
            <v>0.4</v>
          </cell>
          <cell r="J56">
            <v>166.21</v>
          </cell>
          <cell r="K56">
            <v>1</v>
          </cell>
          <cell r="L56">
            <v>0.5</v>
          </cell>
          <cell r="M56">
            <v>125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(BLY-HQ3)</v>
          </cell>
          <cell r="V56">
            <v>61</v>
          </cell>
          <cell r="W56">
            <v>0</v>
          </cell>
          <cell r="X56">
            <v>165.81</v>
          </cell>
          <cell r="Y56">
            <v>166.21</v>
          </cell>
          <cell r="AA56" t="str">
            <v>IBCR0501ECK3Q01</v>
          </cell>
          <cell r="AC56">
            <v>3</v>
          </cell>
          <cell r="AD56" t="str">
            <v>BLY HQ3</v>
          </cell>
          <cell r="AE56" t="str">
            <v>Water-based mud (WBM)</v>
          </cell>
          <cell r="AF56" t="str">
            <v>PureBore by Clear Solutions</v>
          </cell>
        </row>
        <row r="57">
          <cell r="A57">
            <v>56</v>
          </cell>
          <cell r="B57">
            <v>501</v>
          </cell>
          <cell r="C57" t="str">
            <v>M0111</v>
          </cell>
          <cell r="D57" t="str">
            <v>B</v>
          </cell>
          <cell r="E57" t="str">
            <v>501_M0111_B_056R</v>
          </cell>
          <cell r="F57">
            <v>45805.767361111109</v>
          </cell>
          <cell r="G57" t="str">
            <v>MOSE</v>
          </cell>
          <cell r="H57">
            <v>166.21</v>
          </cell>
          <cell r="I57">
            <v>1.25</v>
          </cell>
          <cell r="J57">
            <v>167.46</v>
          </cell>
          <cell r="K57">
            <v>1</v>
          </cell>
          <cell r="L57">
            <v>0.31</v>
          </cell>
          <cell r="M57">
            <v>24.8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(BLY-HQ3)</v>
          </cell>
          <cell r="V57">
            <v>61</v>
          </cell>
          <cell r="W57">
            <v>0</v>
          </cell>
          <cell r="X57">
            <v>166.21</v>
          </cell>
          <cell r="Y57">
            <v>167.46</v>
          </cell>
          <cell r="AA57" t="str">
            <v>IBCR0501ECL3Q01</v>
          </cell>
          <cell r="AC57">
            <v>3</v>
          </cell>
          <cell r="AD57" t="str">
            <v>BLY HQ3</v>
          </cell>
          <cell r="AE57" t="str">
            <v>Water-based mud (WBM)</v>
          </cell>
          <cell r="AF57" t="str">
            <v>PureBore by Clear Solutions</v>
          </cell>
        </row>
        <row r="58">
          <cell r="A58">
            <v>57</v>
          </cell>
          <cell r="B58">
            <v>501</v>
          </cell>
          <cell r="C58" t="str">
            <v>M0111</v>
          </cell>
          <cell r="D58" t="str">
            <v>B</v>
          </cell>
          <cell r="E58" t="str">
            <v>501_M0111_B_057R</v>
          </cell>
          <cell r="F58">
            <v>45805.788194444445</v>
          </cell>
          <cell r="G58" t="str">
            <v>MOSE</v>
          </cell>
          <cell r="H58">
            <v>167.46</v>
          </cell>
          <cell r="I58">
            <v>1.05</v>
          </cell>
          <cell r="J58">
            <v>168.51</v>
          </cell>
          <cell r="K58">
            <v>1</v>
          </cell>
          <cell r="L58">
            <v>0.7</v>
          </cell>
          <cell r="M58">
            <v>66.67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(BLY-HQ3)</v>
          </cell>
          <cell r="V58">
            <v>61</v>
          </cell>
          <cell r="W58">
            <v>0</v>
          </cell>
          <cell r="X58">
            <v>167.46</v>
          </cell>
          <cell r="Y58">
            <v>168.51</v>
          </cell>
          <cell r="AA58" t="str">
            <v>IBCR0501ECM3Q01</v>
          </cell>
          <cell r="AC58">
            <v>3</v>
          </cell>
          <cell r="AD58" t="str">
            <v>BLY HQ3</v>
          </cell>
          <cell r="AE58" t="str">
            <v>Water-based mud (WBM)</v>
          </cell>
          <cell r="AF58" t="str">
            <v>PureBore by Clear Solutions</v>
          </cell>
        </row>
        <row r="59">
          <cell r="A59">
            <v>58</v>
          </cell>
          <cell r="B59">
            <v>501</v>
          </cell>
          <cell r="C59" t="str">
            <v>M0111</v>
          </cell>
          <cell r="D59" t="str">
            <v>B</v>
          </cell>
          <cell r="E59" t="str">
            <v>501_M0111_B_058R</v>
          </cell>
          <cell r="F59">
            <v>45805.805555555555</v>
          </cell>
          <cell r="G59" t="str">
            <v>MOSE</v>
          </cell>
          <cell r="H59">
            <v>168.51</v>
          </cell>
          <cell r="I59">
            <v>1</v>
          </cell>
          <cell r="J59">
            <v>169.51</v>
          </cell>
          <cell r="K59">
            <v>1</v>
          </cell>
          <cell r="L59">
            <v>0.82</v>
          </cell>
          <cell r="M59">
            <v>82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(BLY-HQ3)</v>
          </cell>
          <cell r="V59">
            <v>61</v>
          </cell>
          <cell r="W59">
            <v>0</v>
          </cell>
          <cell r="X59">
            <v>168.51</v>
          </cell>
          <cell r="Y59">
            <v>169.51</v>
          </cell>
          <cell r="AA59" t="str">
            <v>IBCR0501ECN3Q01</v>
          </cell>
          <cell r="AC59">
            <v>3</v>
          </cell>
          <cell r="AD59" t="str">
            <v>BLY HQ3</v>
          </cell>
          <cell r="AE59" t="str">
            <v>Water-based mud (WBM)</v>
          </cell>
          <cell r="AF59" t="str">
            <v>PureBore by Clear Solutions</v>
          </cell>
        </row>
        <row r="60">
          <cell r="A60">
            <v>59</v>
          </cell>
          <cell r="B60">
            <v>501</v>
          </cell>
          <cell r="C60" t="str">
            <v>M0111</v>
          </cell>
          <cell r="D60" t="str">
            <v>B</v>
          </cell>
          <cell r="E60" t="str">
            <v>501_M0111_B_059R</v>
          </cell>
          <cell r="F60">
            <v>45805.833333333336</v>
          </cell>
          <cell r="G60" t="str">
            <v>MOSE</v>
          </cell>
          <cell r="H60">
            <v>169.51</v>
          </cell>
          <cell r="I60">
            <v>3.05</v>
          </cell>
          <cell r="J60">
            <v>172.56</v>
          </cell>
          <cell r="K60">
            <v>3</v>
          </cell>
          <cell r="L60">
            <v>1.39</v>
          </cell>
          <cell r="M60">
            <v>45.57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(BLY-HQ3)</v>
          </cell>
          <cell r="V60">
            <v>61</v>
          </cell>
          <cell r="W60">
            <v>0</v>
          </cell>
          <cell r="X60">
            <v>169.51</v>
          </cell>
          <cell r="Y60">
            <v>172.56</v>
          </cell>
          <cell r="AA60" t="str">
            <v>IBCR0501ECO3Q01</v>
          </cell>
          <cell r="AC60">
            <v>3</v>
          </cell>
          <cell r="AD60" t="str">
            <v>BLY HQ3</v>
          </cell>
          <cell r="AE60" t="str">
            <v>Water-based mud (WBM)</v>
          </cell>
          <cell r="AF60" t="str">
            <v>PureBore by Clear Solutions</v>
          </cell>
        </row>
        <row r="61">
          <cell r="A61">
            <v>60</v>
          </cell>
          <cell r="B61">
            <v>501</v>
          </cell>
          <cell r="C61" t="str">
            <v>M0111</v>
          </cell>
          <cell r="D61" t="str">
            <v>B</v>
          </cell>
          <cell r="E61" t="str">
            <v>501_M0111_B_060R</v>
          </cell>
          <cell r="F61">
            <v>45805.854166666664</v>
          </cell>
          <cell r="G61" t="str">
            <v>BEND</v>
          </cell>
          <cell r="H61">
            <v>172.56</v>
          </cell>
          <cell r="I61">
            <v>3.05</v>
          </cell>
          <cell r="J61">
            <v>175.61</v>
          </cell>
          <cell r="K61">
            <v>4</v>
          </cell>
          <cell r="L61">
            <v>3.22</v>
          </cell>
          <cell r="M61">
            <v>105.57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(BLY-HQ3)</v>
          </cell>
          <cell r="V61">
            <v>61</v>
          </cell>
          <cell r="W61">
            <v>0</v>
          </cell>
          <cell r="X61">
            <v>172.56</v>
          </cell>
          <cell r="Y61">
            <v>175.61</v>
          </cell>
          <cell r="AA61" t="str">
            <v>IBCR0501ECP3Q01</v>
          </cell>
          <cell r="AC61">
            <v>3</v>
          </cell>
          <cell r="AD61" t="str">
            <v>BLY HQ3</v>
          </cell>
          <cell r="AE61" t="str">
            <v>Water-based mud (WBM)</v>
          </cell>
          <cell r="AF61" t="str">
            <v>PureBore by Clear Solutions</v>
          </cell>
        </row>
        <row r="62">
          <cell r="A62">
            <v>61</v>
          </cell>
          <cell r="B62">
            <v>501</v>
          </cell>
          <cell r="C62" t="str">
            <v>M0111</v>
          </cell>
          <cell r="D62" t="str">
            <v>B</v>
          </cell>
          <cell r="E62" t="str">
            <v>501_M0111_B_061R</v>
          </cell>
          <cell r="F62">
            <v>45805.864583333336</v>
          </cell>
          <cell r="G62" t="str">
            <v>BEND</v>
          </cell>
          <cell r="H62">
            <v>175.61</v>
          </cell>
          <cell r="I62">
            <v>3.05</v>
          </cell>
          <cell r="J62">
            <v>178.66</v>
          </cell>
          <cell r="K62">
            <v>4</v>
          </cell>
          <cell r="L62">
            <v>3.24</v>
          </cell>
          <cell r="M62">
            <v>106.23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(BLY-HQ3)</v>
          </cell>
          <cell r="V62">
            <v>61</v>
          </cell>
          <cell r="W62">
            <v>0</v>
          </cell>
          <cell r="X62">
            <v>175.61</v>
          </cell>
          <cell r="Y62">
            <v>178.66</v>
          </cell>
          <cell r="AA62" t="str">
            <v>IBCR0501ECQ3Q01</v>
          </cell>
          <cell r="AC62">
            <v>3</v>
          </cell>
          <cell r="AD62" t="str">
            <v>BLY HQ3</v>
          </cell>
          <cell r="AE62" t="str">
            <v>Water-based mud (WBM)</v>
          </cell>
          <cell r="AF62" t="str">
            <v>PureBore by Clear Solutions</v>
          </cell>
        </row>
        <row r="63">
          <cell r="A63">
            <v>62</v>
          </cell>
          <cell r="B63">
            <v>501</v>
          </cell>
          <cell r="C63" t="str">
            <v>M0111</v>
          </cell>
          <cell r="D63" t="str">
            <v>B</v>
          </cell>
          <cell r="E63" t="str">
            <v>501_M0111_B_062R</v>
          </cell>
          <cell r="F63">
            <v>45805.895833333336</v>
          </cell>
          <cell r="G63" t="str">
            <v>BEND</v>
          </cell>
          <cell r="H63">
            <v>178.66</v>
          </cell>
          <cell r="I63">
            <v>3.05</v>
          </cell>
          <cell r="J63">
            <v>181.71</v>
          </cell>
          <cell r="K63">
            <v>4</v>
          </cell>
          <cell r="L63">
            <v>2.86</v>
          </cell>
          <cell r="M63">
            <v>93.77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(BLY-HQ3)</v>
          </cell>
          <cell r="V63">
            <v>61</v>
          </cell>
          <cell r="W63">
            <v>0</v>
          </cell>
          <cell r="X63">
            <v>178.66</v>
          </cell>
          <cell r="Y63">
            <v>181.71</v>
          </cell>
          <cell r="AA63" t="str">
            <v>IBCR0501ECR3Q01</v>
          </cell>
          <cell r="AC63">
            <v>3</v>
          </cell>
          <cell r="AD63" t="str">
            <v>BLY HQ3</v>
          </cell>
          <cell r="AE63" t="str">
            <v>Water-based mud (WBM)</v>
          </cell>
          <cell r="AF63" t="str">
            <v>PureBore by Clear Solutions</v>
          </cell>
        </row>
        <row r="64">
          <cell r="A64">
            <v>63</v>
          </cell>
          <cell r="B64">
            <v>501</v>
          </cell>
          <cell r="C64" t="str">
            <v>M0111</v>
          </cell>
          <cell r="D64" t="str">
            <v>B</v>
          </cell>
          <cell r="E64" t="str">
            <v>501_M0111_B_063R</v>
          </cell>
          <cell r="F64">
            <v>45805.934027777781</v>
          </cell>
          <cell r="G64" t="str">
            <v>BEND</v>
          </cell>
          <cell r="H64">
            <v>181.71</v>
          </cell>
          <cell r="I64">
            <v>3.05</v>
          </cell>
          <cell r="J64">
            <v>184.76</v>
          </cell>
          <cell r="K64">
            <v>4</v>
          </cell>
          <cell r="L64">
            <v>3.21</v>
          </cell>
          <cell r="M64">
            <v>105.25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(BLY-HQ3)</v>
          </cell>
          <cell r="V64">
            <v>61</v>
          </cell>
          <cell r="W64">
            <v>0</v>
          </cell>
          <cell r="X64">
            <v>181.71</v>
          </cell>
          <cell r="Y64">
            <v>184.76</v>
          </cell>
          <cell r="AA64" t="str">
            <v>IBCR0501ECS3Q01</v>
          </cell>
          <cell r="AC64">
            <v>3</v>
          </cell>
          <cell r="AD64" t="str">
            <v>BLY HQ3</v>
          </cell>
          <cell r="AE64" t="str">
            <v>Water-based mud (WBM)</v>
          </cell>
          <cell r="AF64" t="str">
            <v>PureBore by Clear Solutions</v>
          </cell>
        </row>
        <row r="65">
          <cell r="A65">
            <v>64</v>
          </cell>
          <cell r="B65">
            <v>501</v>
          </cell>
          <cell r="C65" t="str">
            <v>M0111</v>
          </cell>
          <cell r="D65" t="str">
            <v>B</v>
          </cell>
          <cell r="E65" t="str">
            <v>501_M0111_B_064R</v>
          </cell>
          <cell r="F65">
            <v>45805.989583333336</v>
          </cell>
          <cell r="G65" t="str">
            <v>MOSE</v>
          </cell>
          <cell r="H65">
            <v>184.76</v>
          </cell>
          <cell r="I65">
            <v>3.05</v>
          </cell>
          <cell r="J65">
            <v>187.81</v>
          </cell>
          <cell r="K65">
            <v>2</v>
          </cell>
          <cell r="L65">
            <v>0.9</v>
          </cell>
          <cell r="M65">
            <v>29.51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(BLY-HQ3)</v>
          </cell>
          <cell r="V65">
            <v>61</v>
          </cell>
          <cell r="W65">
            <v>0</v>
          </cell>
          <cell r="X65">
            <v>184.76</v>
          </cell>
          <cell r="Y65">
            <v>187.81</v>
          </cell>
          <cell r="AA65" t="str">
            <v>IBCR0501ECT3Q01</v>
          </cell>
          <cell r="AC65">
            <v>3</v>
          </cell>
          <cell r="AD65" t="str">
            <v>BLY HQ3</v>
          </cell>
          <cell r="AE65" t="str">
            <v>Water-based mud (WBM)</v>
          </cell>
          <cell r="AF65" t="str">
            <v>PureBore by Clear Solutions</v>
          </cell>
        </row>
        <row r="66">
          <cell r="A66">
            <v>65</v>
          </cell>
          <cell r="B66">
            <v>501</v>
          </cell>
          <cell r="C66" t="str">
            <v>M0111</v>
          </cell>
          <cell r="D66" t="str">
            <v>B</v>
          </cell>
          <cell r="E66" t="str">
            <v>501_M0111_B_065R</v>
          </cell>
          <cell r="F66">
            <v>45806.020833333336</v>
          </cell>
          <cell r="G66" t="str">
            <v>MOSE</v>
          </cell>
          <cell r="H66">
            <v>187.81</v>
          </cell>
          <cell r="I66">
            <v>3.05</v>
          </cell>
          <cell r="J66">
            <v>190.86</v>
          </cell>
          <cell r="K66">
            <v>4</v>
          </cell>
          <cell r="L66">
            <v>3.17</v>
          </cell>
          <cell r="M66">
            <v>103.93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(BLY-HQ3)</v>
          </cell>
          <cell r="V66">
            <v>61</v>
          </cell>
          <cell r="W66">
            <v>0</v>
          </cell>
          <cell r="X66">
            <v>187.81</v>
          </cell>
          <cell r="Y66">
            <v>190.86</v>
          </cell>
          <cell r="AA66" t="str">
            <v>IBCR0501ECU3Q01</v>
          </cell>
          <cell r="AC66">
            <v>3</v>
          </cell>
          <cell r="AD66" t="str">
            <v>BLY HQ3</v>
          </cell>
          <cell r="AE66" t="str">
            <v>Water-based mud (WBM)</v>
          </cell>
          <cell r="AF66" t="str">
            <v>PureBore by Clear Solutions</v>
          </cell>
        </row>
        <row r="67">
          <cell r="A67">
            <v>66</v>
          </cell>
          <cell r="B67">
            <v>501</v>
          </cell>
          <cell r="C67" t="str">
            <v>M0111</v>
          </cell>
          <cell r="D67" t="str">
            <v>B</v>
          </cell>
          <cell r="E67" t="str">
            <v>501_M0111_B_066R</v>
          </cell>
          <cell r="F67">
            <v>45806.045138888891</v>
          </cell>
          <cell r="G67" t="str">
            <v>MOSE</v>
          </cell>
          <cell r="H67">
            <v>190.86</v>
          </cell>
          <cell r="I67">
            <v>3.05</v>
          </cell>
          <cell r="J67">
            <v>193.91</v>
          </cell>
          <cell r="K67">
            <v>4</v>
          </cell>
          <cell r="L67">
            <v>3.19</v>
          </cell>
          <cell r="M67">
            <v>104.59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(BLY-HQ3)</v>
          </cell>
          <cell r="V67">
            <v>61</v>
          </cell>
          <cell r="W67">
            <v>0</v>
          </cell>
          <cell r="X67">
            <v>190.86</v>
          </cell>
          <cell r="Y67">
            <v>193.91</v>
          </cell>
          <cell r="AA67" t="str">
            <v>IBCR0501ECV3Q01</v>
          </cell>
          <cell r="AC67">
            <v>3</v>
          </cell>
          <cell r="AD67" t="str">
            <v>BLY HQ3</v>
          </cell>
          <cell r="AE67" t="str">
            <v>Water-based mud (WBM)</v>
          </cell>
          <cell r="AF67" t="str">
            <v>PureBore by Clear Solutions</v>
          </cell>
        </row>
        <row r="68">
          <cell r="A68">
            <v>67</v>
          </cell>
          <cell r="B68">
            <v>501</v>
          </cell>
          <cell r="C68" t="str">
            <v>M0111</v>
          </cell>
          <cell r="D68" t="str">
            <v>B</v>
          </cell>
          <cell r="E68" t="str">
            <v>501_M0111_B_067R</v>
          </cell>
          <cell r="F68">
            <v>45806.072916666664</v>
          </cell>
          <cell r="G68" t="str">
            <v>MOSE</v>
          </cell>
          <cell r="H68">
            <v>193.91</v>
          </cell>
          <cell r="I68">
            <v>3.05</v>
          </cell>
          <cell r="J68">
            <v>196.96</v>
          </cell>
          <cell r="K68">
            <v>3</v>
          </cell>
          <cell r="L68">
            <v>2.42</v>
          </cell>
          <cell r="M68">
            <v>79.34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(BLY-HQ3)</v>
          </cell>
          <cell r="V68">
            <v>61</v>
          </cell>
          <cell r="W68">
            <v>0</v>
          </cell>
          <cell r="X68">
            <v>193.91</v>
          </cell>
          <cell r="Y68">
            <v>196.96</v>
          </cell>
          <cell r="AA68" t="str">
            <v>IBCR0501ECW3Q01</v>
          </cell>
          <cell r="AC68">
            <v>3</v>
          </cell>
          <cell r="AD68" t="str">
            <v>BLY HQ3</v>
          </cell>
          <cell r="AE68" t="str">
            <v>Water-based mud (WBM)</v>
          </cell>
          <cell r="AF68" t="str">
            <v>PureBore by Clear Solutions</v>
          </cell>
        </row>
        <row r="69">
          <cell r="A69">
            <v>68</v>
          </cell>
          <cell r="B69">
            <v>501</v>
          </cell>
          <cell r="C69" t="str">
            <v>M0111</v>
          </cell>
          <cell r="D69" t="str">
            <v>B</v>
          </cell>
          <cell r="E69" t="str">
            <v>501_M0111_B_068R</v>
          </cell>
          <cell r="F69">
            <v>45806.097222222219</v>
          </cell>
          <cell r="G69" t="str">
            <v>MOSE</v>
          </cell>
          <cell r="H69">
            <v>196.96</v>
          </cell>
          <cell r="I69">
            <v>3.05</v>
          </cell>
          <cell r="J69">
            <v>200.01</v>
          </cell>
          <cell r="K69">
            <v>2</v>
          </cell>
          <cell r="L69">
            <v>2.71</v>
          </cell>
          <cell r="M69">
            <v>88.85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(BLY-HQ3)</v>
          </cell>
          <cell r="V69">
            <v>61</v>
          </cell>
          <cell r="W69">
            <v>0</v>
          </cell>
          <cell r="X69">
            <v>196.96</v>
          </cell>
          <cell r="Y69">
            <v>200.01</v>
          </cell>
          <cell r="AA69" t="str">
            <v>IBCR0501ECX3Q01</v>
          </cell>
          <cell r="AC69">
            <v>3</v>
          </cell>
          <cell r="AD69" t="str">
            <v>BLY HQ3</v>
          </cell>
          <cell r="AE69" t="str">
            <v>Water-based mud (WBM)</v>
          </cell>
          <cell r="AF69" t="str">
            <v>PureBore by Clear Solutions</v>
          </cell>
        </row>
        <row r="70">
          <cell r="A70">
            <v>69</v>
          </cell>
          <cell r="B70">
            <v>501</v>
          </cell>
          <cell r="C70" t="str">
            <v>M0111</v>
          </cell>
          <cell r="D70" t="str">
            <v>B</v>
          </cell>
          <cell r="E70" t="str">
            <v>501_M0111_B_069R</v>
          </cell>
          <cell r="F70">
            <v>45806.128472222219</v>
          </cell>
          <cell r="G70" t="str">
            <v>MOSE</v>
          </cell>
          <cell r="H70">
            <v>200.01</v>
          </cell>
          <cell r="I70">
            <v>3.05</v>
          </cell>
          <cell r="J70">
            <v>203.06</v>
          </cell>
          <cell r="K70">
            <v>2</v>
          </cell>
          <cell r="L70">
            <v>2.98</v>
          </cell>
          <cell r="M70">
            <v>97.7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(BLY-HQ3)</v>
          </cell>
          <cell r="V70">
            <v>61</v>
          </cell>
          <cell r="W70">
            <v>0</v>
          </cell>
          <cell r="X70">
            <v>200.01</v>
          </cell>
          <cell r="Y70">
            <v>203.06</v>
          </cell>
          <cell r="AA70" t="str">
            <v>IBCR0501ECY3Q01</v>
          </cell>
          <cell r="AC70">
            <v>3</v>
          </cell>
          <cell r="AD70" t="str">
            <v>BLY HQ3</v>
          </cell>
          <cell r="AE70" t="str">
            <v>Water-based mud (WBM)</v>
          </cell>
          <cell r="AF70" t="str">
            <v>PureBore by Clear Solutions</v>
          </cell>
        </row>
        <row r="71">
          <cell r="A71">
            <v>70</v>
          </cell>
          <cell r="B71">
            <v>501</v>
          </cell>
          <cell r="C71" t="str">
            <v>M0111</v>
          </cell>
          <cell r="D71" t="str">
            <v>B</v>
          </cell>
          <cell r="E71" t="str">
            <v>501_M0111_B_070R</v>
          </cell>
          <cell r="F71">
            <v>45806.177083333336</v>
          </cell>
          <cell r="G71" t="str">
            <v>GEPR</v>
          </cell>
          <cell r="H71">
            <v>203.06</v>
          </cell>
          <cell r="I71">
            <v>3.05</v>
          </cell>
          <cell r="J71">
            <v>206.11</v>
          </cell>
          <cell r="K71">
            <v>2</v>
          </cell>
          <cell r="L71">
            <v>1.44</v>
          </cell>
          <cell r="M71">
            <v>47.21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(BLY-HQ3)</v>
          </cell>
          <cell r="V71">
            <v>61</v>
          </cell>
          <cell r="W71">
            <v>0</v>
          </cell>
          <cell r="X71">
            <v>203.06</v>
          </cell>
          <cell r="Y71">
            <v>206.11</v>
          </cell>
          <cell r="AA71" t="str">
            <v>IBCR0501ECZ3Q01</v>
          </cell>
          <cell r="AC71">
            <v>3</v>
          </cell>
          <cell r="AD71" t="str">
            <v>BLY HQ3</v>
          </cell>
          <cell r="AE71" t="str">
            <v>Water-based mud (WBM)</v>
          </cell>
          <cell r="AF71" t="str">
            <v>PureBore by Clear Solutions</v>
          </cell>
        </row>
        <row r="72">
          <cell r="A72">
            <v>71</v>
          </cell>
          <cell r="B72">
            <v>501</v>
          </cell>
          <cell r="C72" t="str">
            <v>M0111</v>
          </cell>
          <cell r="D72" t="str">
            <v>B</v>
          </cell>
          <cell r="E72" t="str">
            <v>501_M0111_B_071R</v>
          </cell>
          <cell r="F72">
            <v>45806.204861111109</v>
          </cell>
          <cell r="G72" t="str">
            <v>GEPR</v>
          </cell>
          <cell r="H72">
            <v>206.11</v>
          </cell>
          <cell r="I72">
            <v>1.22</v>
          </cell>
          <cell r="J72">
            <v>207.33</v>
          </cell>
          <cell r="K72">
            <v>1</v>
          </cell>
          <cell r="L72">
            <v>1.18</v>
          </cell>
          <cell r="M72">
            <v>96.72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(BLY-HQ3)</v>
          </cell>
          <cell r="V72">
            <v>61</v>
          </cell>
          <cell r="W72">
            <v>0</v>
          </cell>
          <cell r="X72">
            <v>206.11</v>
          </cell>
          <cell r="Y72">
            <v>207.33</v>
          </cell>
          <cell r="AA72" t="str">
            <v>IBCR0501EC04Q01</v>
          </cell>
          <cell r="AC72">
            <v>3</v>
          </cell>
          <cell r="AD72" t="str">
            <v>BLY HQ3</v>
          </cell>
          <cell r="AE72" t="str">
            <v>Water-based mud (WBM)</v>
          </cell>
          <cell r="AF72" t="str">
            <v>PureBore by Clear Solutions</v>
          </cell>
        </row>
        <row r="73">
          <cell r="A73">
            <v>72</v>
          </cell>
          <cell r="B73">
            <v>501</v>
          </cell>
          <cell r="C73" t="str">
            <v>M0111</v>
          </cell>
          <cell r="D73" t="str">
            <v>B</v>
          </cell>
          <cell r="E73" t="str">
            <v>501_M0111_B_072R</v>
          </cell>
          <cell r="F73">
            <v>45806.229166666664</v>
          </cell>
          <cell r="G73" t="str">
            <v>GEPR</v>
          </cell>
          <cell r="H73">
            <v>207.33</v>
          </cell>
          <cell r="I73">
            <v>2.5</v>
          </cell>
          <cell r="J73">
            <v>209.83</v>
          </cell>
          <cell r="K73">
            <v>1</v>
          </cell>
          <cell r="L73">
            <v>1.1299999999999999</v>
          </cell>
          <cell r="M73">
            <v>45.2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(BLY-HQ3)</v>
          </cell>
          <cell r="V73">
            <v>61</v>
          </cell>
          <cell r="W73">
            <v>0</v>
          </cell>
          <cell r="X73">
            <v>207.33</v>
          </cell>
          <cell r="Y73">
            <v>209.83</v>
          </cell>
          <cell r="AA73" t="str">
            <v>IBCR0501EC14Q01</v>
          </cell>
          <cell r="AC73">
            <v>3</v>
          </cell>
          <cell r="AD73" t="str">
            <v>BLY HQ3</v>
          </cell>
          <cell r="AE73" t="str">
            <v>Water-based mud (WBM)</v>
          </cell>
          <cell r="AF73" t="str">
            <v>PureBore by Clear Solutions</v>
          </cell>
        </row>
        <row r="74">
          <cell r="A74">
            <v>73</v>
          </cell>
          <cell r="B74">
            <v>501</v>
          </cell>
          <cell r="C74" t="str">
            <v>M0111</v>
          </cell>
          <cell r="D74" t="str">
            <v>B</v>
          </cell>
          <cell r="E74" t="str">
            <v>501_M0111_B_073R</v>
          </cell>
          <cell r="F74">
            <v>45806.274305555555</v>
          </cell>
          <cell r="G74" t="str">
            <v>GEPR</v>
          </cell>
          <cell r="H74">
            <v>209.83</v>
          </cell>
          <cell r="I74">
            <v>3.05</v>
          </cell>
          <cell r="J74">
            <v>212.88</v>
          </cell>
          <cell r="K74">
            <v>2</v>
          </cell>
          <cell r="L74">
            <v>2.5499999999999998</v>
          </cell>
          <cell r="M74">
            <v>83.61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(BLY-HQ3)</v>
          </cell>
          <cell r="V74">
            <v>61</v>
          </cell>
          <cell r="W74">
            <v>0</v>
          </cell>
          <cell r="X74">
            <v>209.83</v>
          </cell>
          <cell r="Y74">
            <v>212.88</v>
          </cell>
          <cell r="AA74" t="str">
            <v>IBCR0501EC24Q01</v>
          </cell>
          <cell r="AC74">
            <v>3</v>
          </cell>
          <cell r="AD74" t="str">
            <v>BLY HQ3</v>
          </cell>
          <cell r="AE74" t="str">
            <v>Water-based mud (WBM)</v>
          </cell>
          <cell r="AF74" t="str">
            <v>PureBore by Clear Solutions</v>
          </cell>
        </row>
        <row r="75">
          <cell r="A75">
            <v>74</v>
          </cell>
          <cell r="B75">
            <v>501</v>
          </cell>
          <cell r="C75" t="str">
            <v>M0111</v>
          </cell>
          <cell r="D75" t="str">
            <v>B</v>
          </cell>
          <cell r="E75" t="str">
            <v>501_M0111_B_074R</v>
          </cell>
          <cell r="F75">
            <v>45806.309027777781</v>
          </cell>
          <cell r="G75" t="str">
            <v>GEPR</v>
          </cell>
          <cell r="H75">
            <v>212.88</v>
          </cell>
          <cell r="I75">
            <v>2.4500000000000002</v>
          </cell>
          <cell r="J75">
            <v>215.33</v>
          </cell>
          <cell r="K75">
            <v>1</v>
          </cell>
          <cell r="L75">
            <v>0.79</v>
          </cell>
          <cell r="M75">
            <v>32.24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(BLY-HQ3)</v>
          </cell>
          <cell r="V75">
            <v>61</v>
          </cell>
          <cell r="W75">
            <v>0</v>
          </cell>
          <cell r="X75">
            <v>212.88</v>
          </cell>
          <cell r="Y75">
            <v>215.33</v>
          </cell>
          <cell r="AA75" t="str">
            <v>IBCR0501EC34Q01</v>
          </cell>
          <cell r="AC75">
            <v>3</v>
          </cell>
          <cell r="AD75" t="str">
            <v>BLY HQ3</v>
          </cell>
          <cell r="AE75" t="str">
            <v>Water-based mud (WBM)</v>
          </cell>
          <cell r="AF75" t="str">
            <v>PureBore by Clear Solutions</v>
          </cell>
        </row>
        <row r="76">
          <cell r="A76">
            <v>75</v>
          </cell>
          <cell r="B76">
            <v>501</v>
          </cell>
          <cell r="C76" t="str">
            <v>M0111</v>
          </cell>
          <cell r="D76" t="str">
            <v>B</v>
          </cell>
          <cell r="E76" t="str">
            <v>501_M0111_B_075R</v>
          </cell>
          <cell r="F76">
            <v>45806.333333333336</v>
          </cell>
          <cell r="G76" t="str">
            <v>GEPR</v>
          </cell>
          <cell r="H76">
            <v>215.33</v>
          </cell>
          <cell r="I76">
            <v>1.35</v>
          </cell>
          <cell r="J76">
            <v>216.68</v>
          </cell>
          <cell r="K76">
            <v>1</v>
          </cell>
          <cell r="L76">
            <v>0.77</v>
          </cell>
          <cell r="M76">
            <v>57.04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(BLY-HQ3)</v>
          </cell>
          <cell r="V76">
            <v>61</v>
          </cell>
          <cell r="W76">
            <v>0</v>
          </cell>
          <cell r="X76">
            <v>215.33</v>
          </cell>
          <cell r="Y76">
            <v>216.68</v>
          </cell>
          <cell r="AA76" t="str">
            <v>IBCR0501EC44Q01</v>
          </cell>
          <cell r="AC76">
            <v>3</v>
          </cell>
          <cell r="AD76" t="str">
            <v>BLY HQ3</v>
          </cell>
          <cell r="AE76" t="str">
            <v>Water-based mud (WBM)</v>
          </cell>
          <cell r="AF76" t="str">
            <v>PureBore by Clear Solutions</v>
          </cell>
        </row>
        <row r="77">
          <cell r="A77">
            <v>76</v>
          </cell>
          <cell r="B77">
            <v>501</v>
          </cell>
          <cell r="C77" t="str">
            <v>M0111</v>
          </cell>
          <cell r="D77" t="str">
            <v>B</v>
          </cell>
          <cell r="E77" t="str">
            <v>501_M0111_B_076R</v>
          </cell>
          <cell r="F77">
            <v>45806.354166666664</v>
          </cell>
          <cell r="G77" t="str">
            <v>GEPR</v>
          </cell>
          <cell r="H77">
            <v>216.68</v>
          </cell>
          <cell r="I77">
            <v>1.65</v>
          </cell>
          <cell r="J77">
            <v>218.33</v>
          </cell>
          <cell r="K77">
            <v>0</v>
          </cell>
          <cell r="L77">
            <v>0</v>
          </cell>
          <cell r="M77">
            <v>0</v>
          </cell>
          <cell r="P77" t="str">
            <v>no recovery</v>
          </cell>
          <cell r="Q77" t="str">
            <v>no</v>
          </cell>
          <cell r="R77" t="str">
            <v>none</v>
          </cell>
          <cell r="S77" t="str">
            <v>R</v>
          </cell>
          <cell r="T77" t="str">
            <v>R (BLY-HQ3)</v>
          </cell>
          <cell r="V77">
            <v>61</v>
          </cell>
          <cell r="W77">
            <v>0</v>
          </cell>
          <cell r="X77">
            <v>216.68</v>
          </cell>
          <cell r="Y77">
            <v>218.33</v>
          </cell>
          <cell r="AA77" t="str">
            <v>IBCR0501EC54Q01</v>
          </cell>
          <cell r="AC77">
            <v>3</v>
          </cell>
          <cell r="AD77" t="str">
            <v>BLY HQ3</v>
          </cell>
          <cell r="AE77" t="str">
            <v>Water-based mud (WBM)</v>
          </cell>
          <cell r="AF77" t="str">
            <v>PureBore by Clear Solutions</v>
          </cell>
        </row>
        <row r="78">
          <cell r="A78">
            <v>77</v>
          </cell>
          <cell r="B78">
            <v>501</v>
          </cell>
          <cell r="C78" t="str">
            <v>M0111</v>
          </cell>
          <cell r="D78" t="str">
            <v>B</v>
          </cell>
          <cell r="E78" t="str">
            <v>501_M0111_B_077R</v>
          </cell>
          <cell r="F78">
            <v>45806.368055555555</v>
          </cell>
          <cell r="G78" t="str">
            <v>GEPR</v>
          </cell>
          <cell r="H78">
            <v>218.33</v>
          </cell>
          <cell r="I78">
            <v>1.6</v>
          </cell>
          <cell r="J78">
            <v>219.93</v>
          </cell>
          <cell r="K78">
            <v>0</v>
          </cell>
          <cell r="L78">
            <v>0</v>
          </cell>
          <cell r="M78">
            <v>0</v>
          </cell>
          <cell r="P78" t="str">
            <v>no recovery</v>
          </cell>
          <cell r="Q78" t="str">
            <v>no</v>
          </cell>
          <cell r="R78" t="str">
            <v>none</v>
          </cell>
          <cell r="S78" t="str">
            <v>R</v>
          </cell>
          <cell r="T78" t="str">
            <v>R (BLY-HQ3)</v>
          </cell>
          <cell r="V78">
            <v>61</v>
          </cell>
          <cell r="W78">
            <v>0</v>
          </cell>
          <cell r="X78">
            <v>218.33</v>
          </cell>
          <cell r="Y78">
            <v>219.93</v>
          </cell>
          <cell r="AA78" t="str">
            <v>IBCR0501EC64Q01</v>
          </cell>
          <cell r="AC78">
            <v>3</v>
          </cell>
          <cell r="AD78" t="str">
            <v>BLY HQ3</v>
          </cell>
          <cell r="AE78" t="str">
            <v>Water-based mud (WBM)</v>
          </cell>
          <cell r="AF78" t="str">
            <v>PureBore by Clear Solutions</v>
          </cell>
        </row>
        <row r="79">
          <cell r="A79">
            <v>78</v>
          </cell>
          <cell r="B79">
            <v>501</v>
          </cell>
          <cell r="C79" t="str">
            <v>M0111</v>
          </cell>
          <cell r="D79" t="str">
            <v>B</v>
          </cell>
          <cell r="E79" t="str">
            <v>501_M0111_B_078R</v>
          </cell>
          <cell r="F79">
            <v>45806.409722222219</v>
          </cell>
          <cell r="G79" t="str">
            <v>GEPR</v>
          </cell>
          <cell r="H79">
            <v>219.93</v>
          </cell>
          <cell r="I79">
            <v>0.9</v>
          </cell>
          <cell r="J79">
            <v>220.83</v>
          </cell>
          <cell r="K79">
            <v>1</v>
          </cell>
          <cell r="L79">
            <v>0.69</v>
          </cell>
          <cell r="M79">
            <v>76.67</v>
          </cell>
          <cell r="Q79" t="str">
            <v>yes</v>
          </cell>
          <cell r="R79" t="str">
            <v>all</v>
          </cell>
          <cell r="S79" t="str">
            <v>R</v>
          </cell>
          <cell r="T79" t="str">
            <v>R (BLY-HQ3)</v>
          </cell>
          <cell r="V79">
            <v>61</v>
          </cell>
          <cell r="W79">
            <v>0</v>
          </cell>
          <cell r="X79">
            <v>219.93</v>
          </cell>
          <cell r="Y79">
            <v>220.83</v>
          </cell>
          <cell r="AA79" t="str">
            <v>IBCR0501EC74Q01</v>
          </cell>
          <cell r="AC79">
            <v>3</v>
          </cell>
          <cell r="AD79" t="str">
            <v>BLY HQ3</v>
          </cell>
          <cell r="AE79" t="str">
            <v>Water-based mud (WBM)</v>
          </cell>
          <cell r="AF79" t="str">
            <v>PureBore by Clear Solutions</v>
          </cell>
        </row>
        <row r="80">
          <cell r="A80">
            <v>79</v>
          </cell>
          <cell r="B80">
            <v>501</v>
          </cell>
          <cell r="C80" t="str">
            <v>M0111</v>
          </cell>
          <cell r="D80" t="str">
            <v>B</v>
          </cell>
          <cell r="E80" t="str">
            <v>501_M0111_B_079R</v>
          </cell>
          <cell r="F80">
            <v>45806.444444444445</v>
          </cell>
          <cell r="G80" t="str">
            <v>GEPR</v>
          </cell>
          <cell r="H80">
            <v>220.83</v>
          </cell>
          <cell r="I80">
            <v>1.3</v>
          </cell>
          <cell r="J80">
            <v>222.13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R</v>
          </cell>
          <cell r="T80" t="str">
            <v>R (BLY-HQ3)</v>
          </cell>
          <cell r="V80">
            <v>61</v>
          </cell>
          <cell r="W80">
            <v>0</v>
          </cell>
          <cell r="X80">
            <v>220.83</v>
          </cell>
          <cell r="Y80">
            <v>222.13</v>
          </cell>
          <cell r="AA80" t="str">
            <v>IBCR0501EC84Q01</v>
          </cell>
          <cell r="AC80">
            <v>3</v>
          </cell>
          <cell r="AD80" t="str">
            <v>BLY HQ3</v>
          </cell>
          <cell r="AE80" t="str">
            <v>Water-based mud (WBM)</v>
          </cell>
          <cell r="AF80" t="str">
            <v>PureBore by Clear Solutions</v>
          </cell>
        </row>
        <row r="81">
          <cell r="A81">
            <v>80</v>
          </cell>
          <cell r="B81">
            <v>501</v>
          </cell>
          <cell r="C81" t="str">
            <v>M0111</v>
          </cell>
          <cell r="D81" t="str">
            <v>B</v>
          </cell>
          <cell r="E81" t="str">
            <v>501_M0111_B_080R</v>
          </cell>
          <cell r="F81">
            <v>45806.479166666664</v>
          </cell>
          <cell r="G81" t="str">
            <v>GEPR</v>
          </cell>
          <cell r="H81">
            <v>222.13</v>
          </cell>
          <cell r="I81">
            <v>1.96</v>
          </cell>
          <cell r="J81">
            <v>224.09</v>
          </cell>
          <cell r="K81">
            <v>0</v>
          </cell>
          <cell r="L81">
            <v>0</v>
          </cell>
          <cell r="M81">
            <v>0</v>
          </cell>
          <cell r="P81" t="str">
            <v>no recovery</v>
          </cell>
          <cell r="Q81" t="str">
            <v>no</v>
          </cell>
          <cell r="R81" t="str">
            <v>none</v>
          </cell>
          <cell r="S81" t="str">
            <v>R</v>
          </cell>
          <cell r="T81" t="str">
            <v>R (BLY-HQ3)</v>
          </cell>
          <cell r="V81">
            <v>61</v>
          </cell>
          <cell r="W81">
            <v>0</v>
          </cell>
          <cell r="X81">
            <v>222.13</v>
          </cell>
          <cell r="Y81">
            <v>224.09</v>
          </cell>
          <cell r="AA81" t="str">
            <v>IBCR0501EC94Q01</v>
          </cell>
          <cell r="AC81">
            <v>3</v>
          </cell>
          <cell r="AD81" t="str">
            <v>BLY HQ3</v>
          </cell>
          <cell r="AE81" t="str">
            <v>Water-based mud (WBM)</v>
          </cell>
          <cell r="AF81" t="str">
            <v>PureBore by Clear Solutions</v>
          </cell>
        </row>
        <row r="82">
          <cell r="A82">
            <v>81</v>
          </cell>
          <cell r="B82">
            <v>501</v>
          </cell>
          <cell r="C82" t="str">
            <v>M0111</v>
          </cell>
          <cell r="D82" t="str">
            <v>B</v>
          </cell>
          <cell r="E82" t="str">
            <v>501_M0111_B_081R</v>
          </cell>
          <cell r="F82">
            <v>45806.5</v>
          </cell>
          <cell r="G82" t="str">
            <v>GEPR</v>
          </cell>
          <cell r="H82">
            <v>224.09</v>
          </cell>
          <cell r="I82">
            <v>0.49</v>
          </cell>
          <cell r="J82">
            <v>224.58</v>
          </cell>
          <cell r="K82">
            <v>1</v>
          </cell>
          <cell r="L82">
            <v>0.33</v>
          </cell>
          <cell r="M82">
            <v>67.349999999999994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(BLY-HQ3)</v>
          </cell>
          <cell r="V82">
            <v>61</v>
          </cell>
          <cell r="W82">
            <v>0</v>
          </cell>
          <cell r="X82">
            <v>224.09</v>
          </cell>
          <cell r="Y82">
            <v>224.58</v>
          </cell>
          <cell r="AA82" t="str">
            <v>IBCR0501ECA4Q01</v>
          </cell>
          <cell r="AC82">
            <v>3</v>
          </cell>
          <cell r="AD82" t="str">
            <v>BLY HQ3</v>
          </cell>
          <cell r="AE82" t="str">
            <v>Water-based mud (WBM)</v>
          </cell>
          <cell r="AF82" t="str">
            <v>PureBore by Clear Solutions</v>
          </cell>
        </row>
        <row r="83">
          <cell r="A83">
            <v>82</v>
          </cell>
          <cell r="B83">
            <v>501</v>
          </cell>
          <cell r="C83" t="str">
            <v>M0111</v>
          </cell>
          <cell r="D83" t="str">
            <v>B</v>
          </cell>
          <cell r="E83" t="str">
            <v>501_M0111_B_082R</v>
          </cell>
          <cell r="F83">
            <v>45806.517361111109</v>
          </cell>
          <cell r="G83" t="str">
            <v>GEPR</v>
          </cell>
          <cell r="H83">
            <v>224.58</v>
          </cell>
          <cell r="I83">
            <v>0</v>
          </cell>
          <cell r="J83">
            <v>224.58</v>
          </cell>
          <cell r="K83">
            <v>1</v>
          </cell>
          <cell r="L83">
            <v>0.84</v>
          </cell>
          <cell r="M83">
            <v>0</v>
          </cell>
          <cell r="P83" t="str">
            <v>infill only</v>
          </cell>
        </row>
        <row r="84">
          <cell r="A84">
            <v>83</v>
          </cell>
          <cell r="B84">
            <v>501</v>
          </cell>
          <cell r="C84" t="str">
            <v>M0111</v>
          </cell>
          <cell r="D84" t="str">
            <v>B</v>
          </cell>
          <cell r="E84" t="str">
            <v>501_M0111_B_083R</v>
          </cell>
          <cell r="F84">
            <v>45806.791666666664</v>
          </cell>
          <cell r="G84" t="str">
            <v>MOSE</v>
          </cell>
          <cell r="H84">
            <v>224.58</v>
          </cell>
          <cell r="I84">
            <v>3.05</v>
          </cell>
          <cell r="J84">
            <v>227.63</v>
          </cell>
          <cell r="K84">
            <v>1</v>
          </cell>
          <cell r="L84">
            <v>0.46</v>
          </cell>
          <cell r="M84">
            <v>15.08</v>
          </cell>
          <cell r="Q84" t="str">
            <v>yes</v>
          </cell>
          <cell r="R84" t="str">
            <v>all</v>
          </cell>
          <cell r="S84" t="str">
            <v>R</v>
          </cell>
          <cell r="T84" t="str">
            <v>R (BLY-HQ3)</v>
          </cell>
          <cell r="V84">
            <v>61</v>
          </cell>
          <cell r="W84">
            <v>0</v>
          </cell>
          <cell r="X84">
            <v>224.58</v>
          </cell>
          <cell r="Y84">
            <v>227.63</v>
          </cell>
          <cell r="AA84" t="str">
            <v>IBCR0501ECC4Q01</v>
          </cell>
          <cell r="AC84">
            <v>3</v>
          </cell>
          <cell r="AD84" t="str">
            <v>BLY HQ3</v>
          </cell>
          <cell r="AE84" t="str">
            <v>Water-based mud (WBM)</v>
          </cell>
          <cell r="AF84" t="str">
            <v>PureBore by Clear Solutions</v>
          </cell>
        </row>
        <row r="85">
          <cell r="A85">
            <v>84</v>
          </cell>
          <cell r="B85">
            <v>501</v>
          </cell>
          <cell r="C85" t="str">
            <v>M0111</v>
          </cell>
          <cell r="D85" t="str">
            <v>B</v>
          </cell>
          <cell r="E85" t="str">
            <v>501_M0111_B_084R</v>
          </cell>
          <cell r="F85">
            <v>45806.850694444445</v>
          </cell>
          <cell r="G85" t="str">
            <v>BEND</v>
          </cell>
          <cell r="H85">
            <v>227.63</v>
          </cell>
          <cell r="I85">
            <v>3.05</v>
          </cell>
          <cell r="J85">
            <v>230.68</v>
          </cell>
          <cell r="K85">
            <v>2</v>
          </cell>
          <cell r="L85">
            <v>1.61</v>
          </cell>
          <cell r="M85">
            <v>52.79</v>
          </cell>
          <cell r="Q85" t="str">
            <v>yes</v>
          </cell>
          <cell r="R85" t="str">
            <v>all</v>
          </cell>
          <cell r="S85" t="str">
            <v>R</v>
          </cell>
          <cell r="T85" t="str">
            <v>R (BLY-HQ3)</v>
          </cell>
          <cell r="V85">
            <v>61</v>
          </cell>
          <cell r="W85">
            <v>0</v>
          </cell>
          <cell r="X85">
            <v>227.63</v>
          </cell>
          <cell r="Y85">
            <v>230.68</v>
          </cell>
          <cell r="AA85" t="str">
            <v>IBCR0501ECD4Q01</v>
          </cell>
          <cell r="AC85">
            <v>3</v>
          </cell>
          <cell r="AD85" t="str">
            <v>BLY HQ3</v>
          </cell>
          <cell r="AE85" t="str">
            <v>Water-based mud (WBM)</v>
          </cell>
          <cell r="AF85" t="str">
            <v>PureBore by Clear Solutions</v>
          </cell>
        </row>
        <row r="86">
          <cell r="A86">
            <v>85</v>
          </cell>
          <cell r="B86">
            <v>501</v>
          </cell>
          <cell r="C86" t="str">
            <v>M0111</v>
          </cell>
          <cell r="D86" t="str">
            <v>B</v>
          </cell>
          <cell r="E86" t="str">
            <v>501_M0111_B_085R</v>
          </cell>
          <cell r="F86">
            <v>45807.319444444445</v>
          </cell>
          <cell r="G86" t="str">
            <v>GEPR</v>
          </cell>
          <cell r="H86">
            <v>230.68</v>
          </cell>
          <cell r="I86">
            <v>0</v>
          </cell>
          <cell r="J86">
            <v>230.68</v>
          </cell>
          <cell r="K86">
            <v>1</v>
          </cell>
          <cell r="L86">
            <v>0.4</v>
          </cell>
          <cell r="M86">
            <v>0</v>
          </cell>
          <cell r="P86" t="str">
            <v>infill only</v>
          </cell>
        </row>
        <row r="87">
          <cell r="A87">
            <v>86</v>
          </cell>
          <cell r="B87">
            <v>501</v>
          </cell>
          <cell r="C87" t="str">
            <v>M0111</v>
          </cell>
          <cell r="D87" t="str">
            <v>B</v>
          </cell>
          <cell r="E87" t="str">
            <v>501_M0111_B_086R</v>
          </cell>
          <cell r="F87">
            <v>45807.350694444445</v>
          </cell>
          <cell r="G87" t="str">
            <v>GEPR</v>
          </cell>
          <cell r="H87">
            <v>230.68</v>
          </cell>
          <cell r="I87">
            <v>3.05</v>
          </cell>
          <cell r="J87">
            <v>233.73</v>
          </cell>
          <cell r="K87">
            <v>2</v>
          </cell>
          <cell r="L87">
            <v>2.81</v>
          </cell>
          <cell r="M87">
            <v>92.13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(BLY-HQ3)</v>
          </cell>
          <cell r="V87">
            <v>61</v>
          </cell>
          <cell r="W87">
            <v>0</v>
          </cell>
          <cell r="X87">
            <v>230.68</v>
          </cell>
          <cell r="Y87">
            <v>233.73</v>
          </cell>
          <cell r="AA87" t="str">
            <v>IBCR0501ECF4Q01</v>
          </cell>
          <cell r="AC87">
            <v>3</v>
          </cell>
          <cell r="AD87" t="str">
            <v>BLY HQ3</v>
          </cell>
          <cell r="AE87" t="str">
            <v>Water-based mud (WBM)</v>
          </cell>
          <cell r="AF87" t="str">
            <v>PureBore by Clear Solutions</v>
          </cell>
        </row>
        <row r="88">
          <cell r="A88">
            <v>87</v>
          </cell>
          <cell r="B88">
            <v>501</v>
          </cell>
          <cell r="C88" t="str">
            <v>M0111</v>
          </cell>
          <cell r="D88" t="str">
            <v>B</v>
          </cell>
          <cell r="E88" t="str">
            <v>501_M0111_B_087R</v>
          </cell>
          <cell r="F88">
            <v>45808.086805555555</v>
          </cell>
          <cell r="G88" t="str">
            <v>MOSE</v>
          </cell>
          <cell r="H88">
            <v>233.73</v>
          </cell>
          <cell r="I88">
            <v>0.8</v>
          </cell>
          <cell r="J88">
            <v>234.53</v>
          </cell>
          <cell r="K88">
            <v>1</v>
          </cell>
          <cell r="L88">
            <v>0.94</v>
          </cell>
          <cell r="M88">
            <v>117.5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(BLY-HQ3)</v>
          </cell>
          <cell r="V88">
            <v>61</v>
          </cell>
          <cell r="W88">
            <v>0</v>
          </cell>
          <cell r="X88">
            <v>233.73</v>
          </cell>
          <cell r="Y88">
            <v>234.53</v>
          </cell>
          <cell r="AA88" t="str">
            <v>IBCR0501ECH4Q01</v>
          </cell>
          <cell r="AC88">
            <v>3</v>
          </cell>
          <cell r="AD88" t="str">
            <v>BLY HQ3</v>
          </cell>
          <cell r="AE88" t="str">
            <v>Water-based mud (WBM)</v>
          </cell>
          <cell r="AF88" t="str">
            <v>PureBore by Clear Solutions</v>
          </cell>
        </row>
        <row r="89">
          <cell r="A89">
            <v>88</v>
          </cell>
          <cell r="B89">
            <v>501</v>
          </cell>
          <cell r="C89" t="str">
            <v>M0111</v>
          </cell>
          <cell r="D89" t="str">
            <v>B</v>
          </cell>
          <cell r="E89" t="str">
            <v>501_M0111_B_088R</v>
          </cell>
          <cell r="F89">
            <v>45808.125</v>
          </cell>
          <cell r="G89" t="str">
            <v>MOSE</v>
          </cell>
          <cell r="H89">
            <v>234.53</v>
          </cell>
          <cell r="I89">
            <v>3.05</v>
          </cell>
          <cell r="J89">
            <v>237.58</v>
          </cell>
          <cell r="K89">
            <v>2</v>
          </cell>
          <cell r="L89">
            <v>1.99</v>
          </cell>
          <cell r="M89">
            <v>65.25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(BLY-HQ3)</v>
          </cell>
          <cell r="V89">
            <v>61</v>
          </cell>
          <cell r="W89">
            <v>0</v>
          </cell>
          <cell r="X89">
            <v>234.53</v>
          </cell>
          <cell r="Y89">
            <v>237.58</v>
          </cell>
          <cell r="AA89" t="str">
            <v>IBCR0501ECI4Q01</v>
          </cell>
          <cell r="AC89">
            <v>3</v>
          </cell>
          <cell r="AD89" t="str">
            <v>BLY HQ3</v>
          </cell>
          <cell r="AE89" t="str">
            <v>Water-based mud (WBM)</v>
          </cell>
          <cell r="AF89" t="str">
            <v>PureBore by Clear Solutions</v>
          </cell>
        </row>
        <row r="90">
          <cell r="A90">
            <v>89</v>
          </cell>
          <cell r="B90">
            <v>501</v>
          </cell>
          <cell r="C90" t="str">
            <v>M0111</v>
          </cell>
          <cell r="D90" t="str">
            <v>B</v>
          </cell>
          <cell r="E90" t="str">
            <v>501_M0111_B_089R</v>
          </cell>
          <cell r="F90">
            <v>45808.152777777781</v>
          </cell>
          <cell r="G90" t="str">
            <v>WINK</v>
          </cell>
          <cell r="H90">
            <v>237.58</v>
          </cell>
          <cell r="I90">
            <v>3.05</v>
          </cell>
          <cell r="J90">
            <v>240.63</v>
          </cell>
          <cell r="K90">
            <v>2</v>
          </cell>
          <cell r="L90">
            <v>2.44</v>
          </cell>
          <cell r="M90">
            <v>80</v>
          </cell>
          <cell r="Q90" t="str">
            <v>yes</v>
          </cell>
          <cell r="R90" t="str">
            <v>all</v>
          </cell>
          <cell r="S90" t="str">
            <v>R</v>
          </cell>
          <cell r="T90" t="str">
            <v>R (BLY-HQ3)</v>
          </cell>
          <cell r="V90">
            <v>61</v>
          </cell>
          <cell r="W90">
            <v>0</v>
          </cell>
          <cell r="X90">
            <v>237.58</v>
          </cell>
          <cell r="Y90">
            <v>240.63</v>
          </cell>
          <cell r="AA90" t="str">
            <v>IBCR0501ECJ4Q01</v>
          </cell>
          <cell r="AC90">
            <v>3</v>
          </cell>
          <cell r="AD90" t="str">
            <v>BLY HQ3</v>
          </cell>
          <cell r="AE90" t="str">
            <v>Water-based mud (WBM)</v>
          </cell>
          <cell r="AF90" t="str">
            <v>PureBore by Clear Solutions</v>
          </cell>
        </row>
        <row r="91">
          <cell r="A91">
            <v>90</v>
          </cell>
          <cell r="B91">
            <v>501</v>
          </cell>
          <cell r="C91" t="str">
            <v>M0111</v>
          </cell>
          <cell r="D91" t="str">
            <v>B</v>
          </cell>
          <cell r="E91" t="str">
            <v>501_M0111_B_090R</v>
          </cell>
          <cell r="F91">
            <v>45808.190972222219</v>
          </cell>
          <cell r="G91" t="str">
            <v>GEPR</v>
          </cell>
          <cell r="H91">
            <v>240.63</v>
          </cell>
          <cell r="I91">
            <v>3.05</v>
          </cell>
          <cell r="J91">
            <v>243.68</v>
          </cell>
          <cell r="K91">
            <v>0</v>
          </cell>
          <cell r="L91">
            <v>0</v>
          </cell>
          <cell r="M91">
            <v>0</v>
          </cell>
          <cell r="P91" t="str">
            <v>no recovery</v>
          </cell>
          <cell r="Q91" t="str">
            <v>no</v>
          </cell>
          <cell r="R91" t="str">
            <v>none</v>
          </cell>
          <cell r="S91" t="str">
            <v>R</v>
          </cell>
          <cell r="T91" t="str">
            <v>R (BLY-HQ3)</v>
          </cell>
          <cell r="V91">
            <v>61</v>
          </cell>
          <cell r="W91">
            <v>0</v>
          </cell>
          <cell r="X91">
            <v>240.63</v>
          </cell>
          <cell r="Y91">
            <v>243.68</v>
          </cell>
          <cell r="AA91" t="str">
            <v>IBCR0501ECK4Q01</v>
          </cell>
          <cell r="AC91">
            <v>3</v>
          </cell>
          <cell r="AD91" t="str">
            <v>BLY HQ3</v>
          </cell>
          <cell r="AE91" t="str">
            <v>Water-based mud (WBM)</v>
          </cell>
          <cell r="AF91" t="str">
            <v>PureBore by Clear Solutions</v>
          </cell>
        </row>
        <row r="92">
          <cell r="A92">
            <v>91</v>
          </cell>
          <cell r="B92">
            <v>501</v>
          </cell>
          <cell r="C92" t="str">
            <v>M0111</v>
          </cell>
          <cell r="D92" t="str">
            <v>B</v>
          </cell>
          <cell r="E92" t="str">
            <v>501_M0111_B_091R</v>
          </cell>
          <cell r="F92">
            <v>45808.208333333336</v>
          </cell>
          <cell r="G92" t="str">
            <v>GEPR</v>
          </cell>
          <cell r="H92">
            <v>243.68</v>
          </cell>
          <cell r="I92">
            <v>1.25</v>
          </cell>
          <cell r="J92">
            <v>244.93</v>
          </cell>
          <cell r="K92">
            <v>0</v>
          </cell>
          <cell r="L92">
            <v>0</v>
          </cell>
          <cell r="M92">
            <v>0</v>
          </cell>
          <cell r="P92" t="str">
            <v>no recovery</v>
          </cell>
          <cell r="Q92" t="str">
            <v>no</v>
          </cell>
          <cell r="R92" t="str">
            <v>none</v>
          </cell>
          <cell r="S92" t="str">
            <v>R</v>
          </cell>
          <cell r="T92" t="str">
            <v>R (BLY-HQ3)</v>
          </cell>
          <cell r="V92">
            <v>61</v>
          </cell>
          <cell r="W92">
            <v>0</v>
          </cell>
          <cell r="X92">
            <v>243.68</v>
          </cell>
          <cell r="Y92">
            <v>244.93</v>
          </cell>
          <cell r="AA92" t="str">
            <v>IBCR0501ECL4Q01</v>
          </cell>
          <cell r="AC92">
            <v>3</v>
          </cell>
          <cell r="AD92" t="str">
            <v>BLY HQ3</v>
          </cell>
          <cell r="AE92" t="str">
            <v>Water-based mud (WBM)</v>
          </cell>
          <cell r="AF92" t="str">
            <v>PureBore by Clear Solutions</v>
          </cell>
        </row>
        <row r="93">
          <cell r="A93">
            <v>92</v>
          </cell>
          <cell r="B93">
            <v>501</v>
          </cell>
          <cell r="C93" t="str">
            <v>M0111</v>
          </cell>
          <cell r="D93" t="str">
            <v>B</v>
          </cell>
          <cell r="E93" t="str">
            <v>501_M0111_B_092R</v>
          </cell>
          <cell r="F93">
            <v>45808.232638888891</v>
          </cell>
          <cell r="G93" t="str">
            <v>GEPR</v>
          </cell>
          <cell r="H93">
            <v>244.93</v>
          </cell>
          <cell r="I93">
            <v>0.35</v>
          </cell>
          <cell r="J93">
            <v>245.28</v>
          </cell>
          <cell r="K93">
            <v>1</v>
          </cell>
          <cell r="L93">
            <v>0.42</v>
          </cell>
          <cell r="M93">
            <v>120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(BLY-HQ3)</v>
          </cell>
          <cell r="V93">
            <v>61</v>
          </cell>
          <cell r="W93">
            <v>0</v>
          </cell>
          <cell r="X93">
            <v>244.93</v>
          </cell>
          <cell r="Y93">
            <v>245.28</v>
          </cell>
          <cell r="AA93" t="str">
            <v>IBCR0501ECM4Q01</v>
          </cell>
          <cell r="AC93">
            <v>3</v>
          </cell>
          <cell r="AD93" t="str">
            <v>BLY HQ3</v>
          </cell>
          <cell r="AE93" t="str">
            <v>Water-based mud (WBM)</v>
          </cell>
          <cell r="AF93" t="str">
            <v>PureBore by Clear Solutions</v>
          </cell>
        </row>
        <row r="94">
          <cell r="A94">
            <v>93</v>
          </cell>
          <cell r="B94">
            <v>501</v>
          </cell>
          <cell r="C94" t="str">
            <v>M0111</v>
          </cell>
          <cell r="D94" t="str">
            <v>B</v>
          </cell>
          <cell r="E94" t="str">
            <v>501_M0111_B_093R</v>
          </cell>
          <cell r="F94">
            <v>45808.256944444445</v>
          </cell>
          <cell r="G94" t="str">
            <v>GEPR</v>
          </cell>
          <cell r="H94">
            <v>245.28</v>
          </cell>
          <cell r="I94">
            <v>1.45</v>
          </cell>
          <cell r="J94">
            <v>246.73</v>
          </cell>
          <cell r="K94">
            <v>2</v>
          </cell>
          <cell r="L94">
            <v>0.64</v>
          </cell>
          <cell r="M94">
            <v>44.14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(BLY-HQ3)</v>
          </cell>
          <cell r="V94">
            <v>61</v>
          </cell>
          <cell r="W94">
            <v>0</v>
          </cell>
          <cell r="X94">
            <v>245.28</v>
          </cell>
          <cell r="Y94">
            <v>246.73</v>
          </cell>
          <cell r="AA94" t="str">
            <v>IBCR0501ECN4Q01</v>
          </cell>
          <cell r="AC94">
            <v>3</v>
          </cell>
          <cell r="AD94" t="str">
            <v>BLY HQ3</v>
          </cell>
          <cell r="AE94" t="str">
            <v>Water-based mud (WBM)</v>
          </cell>
          <cell r="AF94" t="str">
            <v>PureBore by Clear Solutions</v>
          </cell>
        </row>
        <row r="95">
          <cell r="A95">
            <v>94</v>
          </cell>
          <cell r="B95">
            <v>501</v>
          </cell>
          <cell r="C95" t="str">
            <v>M0111</v>
          </cell>
          <cell r="D95" t="str">
            <v>B</v>
          </cell>
          <cell r="E95" t="str">
            <v>501_M0111_B_094R</v>
          </cell>
          <cell r="F95">
            <v>45808.274305555555</v>
          </cell>
          <cell r="G95" t="str">
            <v>GEPR</v>
          </cell>
          <cell r="H95">
            <v>246.73</v>
          </cell>
          <cell r="I95">
            <v>3.05</v>
          </cell>
          <cell r="J95">
            <v>249.78</v>
          </cell>
          <cell r="K95">
            <v>3</v>
          </cell>
          <cell r="L95">
            <v>3.16</v>
          </cell>
          <cell r="M95">
            <v>103.61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(BLY-HQ3)</v>
          </cell>
          <cell r="V95">
            <v>61</v>
          </cell>
          <cell r="W95">
            <v>0</v>
          </cell>
          <cell r="X95">
            <v>246.73</v>
          </cell>
          <cell r="Y95">
            <v>249.78</v>
          </cell>
          <cell r="AA95" t="str">
            <v>IBCR0501ECO4Q01</v>
          </cell>
          <cell r="AC95">
            <v>3</v>
          </cell>
          <cell r="AD95" t="str">
            <v>BLY HQ3</v>
          </cell>
          <cell r="AE95" t="str">
            <v>Water-based mud (WBM)</v>
          </cell>
          <cell r="AF95" t="str">
            <v>PureBore by Clear Solutions</v>
          </cell>
        </row>
        <row r="96">
          <cell r="A96">
            <v>95</v>
          </cell>
          <cell r="B96">
            <v>501</v>
          </cell>
          <cell r="C96" t="str">
            <v>M0111</v>
          </cell>
          <cell r="D96" t="str">
            <v>B</v>
          </cell>
          <cell r="E96" t="str">
            <v>501_M0111_B_095R</v>
          </cell>
          <cell r="F96">
            <v>45808.309027777781</v>
          </cell>
          <cell r="G96" t="str">
            <v>GEPR</v>
          </cell>
          <cell r="H96">
            <v>249.78</v>
          </cell>
          <cell r="I96">
            <v>1.75</v>
          </cell>
          <cell r="J96">
            <v>251.53</v>
          </cell>
          <cell r="K96">
            <v>2</v>
          </cell>
          <cell r="L96">
            <v>1.54</v>
          </cell>
          <cell r="M96">
            <v>88</v>
          </cell>
          <cell r="P96" t="str">
            <v>microspheres added</v>
          </cell>
          <cell r="X96">
            <v>249.78</v>
          </cell>
          <cell r="Y96">
            <v>251.53</v>
          </cell>
        </row>
        <row r="97">
          <cell r="A97">
            <v>96</v>
          </cell>
          <cell r="B97">
            <v>501</v>
          </cell>
          <cell r="C97" t="str">
            <v>M0111</v>
          </cell>
          <cell r="D97" t="str">
            <v>B</v>
          </cell>
          <cell r="E97" t="str">
            <v>501_M0111_B_096R</v>
          </cell>
          <cell r="F97">
            <v>45808.347222222219</v>
          </cell>
          <cell r="G97" t="str">
            <v>GEPR</v>
          </cell>
          <cell r="H97">
            <v>251.53</v>
          </cell>
          <cell r="I97">
            <v>1.3</v>
          </cell>
          <cell r="J97">
            <v>252.83</v>
          </cell>
          <cell r="K97">
            <v>1</v>
          </cell>
          <cell r="L97">
            <v>0.85</v>
          </cell>
          <cell r="M97">
            <v>65.38</v>
          </cell>
          <cell r="Q97" t="str">
            <v>yes</v>
          </cell>
          <cell r="R97" t="str">
            <v>all</v>
          </cell>
          <cell r="S97" t="str">
            <v>R</v>
          </cell>
          <cell r="T97" t="str">
            <v>R (BLY-HQ3)</v>
          </cell>
          <cell r="V97">
            <v>61</v>
          </cell>
          <cell r="W97">
            <v>0</v>
          </cell>
          <cell r="X97">
            <v>251.53</v>
          </cell>
          <cell r="Y97">
            <v>252.83</v>
          </cell>
          <cell r="AA97" t="str">
            <v>IBCR0501ECQ4Q01</v>
          </cell>
          <cell r="AC97">
            <v>3</v>
          </cell>
          <cell r="AD97" t="str">
            <v>BLY HQ3</v>
          </cell>
          <cell r="AE97" t="str">
            <v>Water-based mud (WBM)</v>
          </cell>
          <cell r="AF97" t="str">
            <v>PureBore by Clear Solutions</v>
          </cell>
        </row>
        <row r="98">
          <cell r="A98">
            <v>97</v>
          </cell>
          <cell r="B98">
            <v>501</v>
          </cell>
          <cell r="C98" t="str">
            <v>M0111</v>
          </cell>
          <cell r="D98" t="str">
            <v>B</v>
          </cell>
          <cell r="E98" t="str">
            <v>501_M0111_B_097R</v>
          </cell>
          <cell r="F98">
            <v>45808.368055555555</v>
          </cell>
          <cell r="G98" t="str">
            <v>GEPR</v>
          </cell>
          <cell r="H98">
            <v>252.83</v>
          </cell>
          <cell r="I98">
            <v>2.7</v>
          </cell>
          <cell r="J98">
            <v>255.53</v>
          </cell>
          <cell r="K98">
            <v>1</v>
          </cell>
          <cell r="L98">
            <v>1.33</v>
          </cell>
          <cell r="M98">
            <v>49.26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(BLY-HQ3)</v>
          </cell>
          <cell r="V98">
            <v>61</v>
          </cell>
          <cell r="W98">
            <v>0</v>
          </cell>
          <cell r="X98">
            <v>252.83</v>
          </cell>
          <cell r="Y98">
            <v>255.53</v>
          </cell>
          <cell r="AA98" t="str">
            <v>IBCR0501ECR4Q01</v>
          </cell>
          <cell r="AC98">
            <v>3</v>
          </cell>
          <cell r="AD98" t="str">
            <v>BLY HQ3</v>
          </cell>
          <cell r="AE98" t="str">
            <v>Water-based mud (WBM)</v>
          </cell>
          <cell r="AF98" t="str">
            <v>PureBore by Clear Solutions</v>
          </cell>
        </row>
        <row r="99">
          <cell r="A99">
            <v>98</v>
          </cell>
          <cell r="B99">
            <v>501</v>
          </cell>
          <cell r="C99" t="str">
            <v>M0111</v>
          </cell>
          <cell r="D99" t="str">
            <v>B</v>
          </cell>
          <cell r="E99" t="str">
            <v>501_M0111_B_098R</v>
          </cell>
          <cell r="F99">
            <v>45808.430555555555</v>
          </cell>
          <cell r="G99" t="str">
            <v>GEPR</v>
          </cell>
          <cell r="H99">
            <v>255.53</v>
          </cell>
          <cell r="I99">
            <v>0.75</v>
          </cell>
          <cell r="J99">
            <v>256.27999999999997</v>
          </cell>
          <cell r="K99">
            <v>1</v>
          </cell>
          <cell r="L99">
            <v>0.74</v>
          </cell>
          <cell r="M99">
            <v>98.67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(BLY-HQ3)</v>
          </cell>
          <cell r="V99">
            <v>61</v>
          </cell>
          <cell r="W99">
            <v>0</v>
          </cell>
          <cell r="X99">
            <v>255.53</v>
          </cell>
          <cell r="Y99">
            <v>256.27999999999997</v>
          </cell>
          <cell r="AA99" t="str">
            <v>IBCR0501ECS4Q01</v>
          </cell>
          <cell r="AC99">
            <v>3</v>
          </cell>
          <cell r="AD99" t="str">
            <v>BLY HQ3</v>
          </cell>
          <cell r="AE99" t="str">
            <v>Water-based mud (WBM)</v>
          </cell>
          <cell r="AF99" t="str">
            <v>PureBore by Clear Solutions</v>
          </cell>
        </row>
        <row r="100">
          <cell r="A100">
            <v>99</v>
          </cell>
          <cell r="B100">
            <v>501</v>
          </cell>
          <cell r="C100" t="str">
            <v>M0111</v>
          </cell>
          <cell r="D100" t="str">
            <v>B</v>
          </cell>
          <cell r="E100" t="str">
            <v>501_M0111_B_099R</v>
          </cell>
          <cell r="F100">
            <v>45808.420138888891</v>
          </cell>
          <cell r="G100" t="str">
            <v>GEPR</v>
          </cell>
          <cell r="H100">
            <v>256.27999999999997</v>
          </cell>
          <cell r="I100">
            <v>2.65</v>
          </cell>
          <cell r="J100">
            <v>258.93</v>
          </cell>
          <cell r="K100">
            <v>1</v>
          </cell>
          <cell r="L100">
            <v>0.92</v>
          </cell>
          <cell r="M100">
            <v>34.72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(BLY-HQ3)</v>
          </cell>
          <cell r="V100">
            <v>61</v>
          </cell>
          <cell r="W100">
            <v>0</v>
          </cell>
          <cell r="X100">
            <v>256.27999999999997</v>
          </cell>
          <cell r="Y100">
            <v>258.93</v>
          </cell>
          <cell r="AA100" t="str">
            <v>IBCR0501ECT4Q01</v>
          </cell>
          <cell r="AC100">
            <v>3</v>
          </cell>
          <cell r="AD100" t="str">
            <v>BLY HQ3</v>
          </cell>
          <cell r="AE100" t="str">
            <v>Water-based mud (WBM)</v>
          </cell>
          <cell r="AF100" t="str">
            <v>PureBore by Clear Solutions</v>
          </cell>
        </row>
        <row r="101">
          <cell r="A101">
            <v>100</v>
          </cell>
          <cell r="B101">
            <v>501</v>
          </cell>
          <cell r="C101" t="str">
            <v>M0111</v>
          </cell>
          <cell r="D101" t="str">
            <v>B</v>
          </cell>
          <cell r="E101" t="str">
            <v>501_M0111_B_100R</v>
          </cell>
          <cell r="F101">
            <v>45808.451388888891</v>
          </cell>
          <cell r="G101" t="str">
            <v>GEPR</v>
          </cell>
          <cell r="H101">
            <v>258.93</v>
          </cell>
          <cell r="I101">
            <v>3.05</v>
          </cell>
          <cell r="J101">
            <v>261.98</v>
          </cell>
          <cell r="K101">
            <v>2</v>
          </cell>
          <cell r="L101">
            <v>2.09</v>
          </cell>
          <cell r="M101">
            <v>68.52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(BLY-HQ3)</v>
          </cell>
          <cell r="V101">
            <v>61</v>
          </cell>
          <cell r="W101">
            <v>0</v>
          </cell>
          <cell r="X101">
            <v>258.93</v>
          </cell>
          <cell r="Y101">
            <v>261.98</v>
          </cell>
          <cell r="AA101" t="str">
            <v>IBCR0501ECU4Q01</v>
          </cell>
          <cell r="AC101">
            <v>3</v>
          </cell>
          <cell r="AD101" t="str">
            <v>BLY HQ3</v>
          </cell>
          <cell r="AE101" t="str">
            <v>Water-based mud (WBM)</v>
          </cell>
          <cell r="AF101" t="str">
            <v>PureBore by Clear Solutions</v>
          </cell>
        </row>
        <row r="102">
          <cell r="A102">
            <v>101</v>
          </cell>
          <cell r="B102">
            <v>501</v>
          </cell>
          <cell r="C102" t="str">
            <v>M0111</v>
          </cell>
          <cell r="D102" t="str">
            <v>B</v>
          </cell>
          <cell r="E102" t="str">
            <v>501_M0111_B_101R</v>
          </cell>
          <cell r="F102">
            <v>45808.494444444441</v>
          </cell>
          <cell r="G102" t="str">
            <v>GEPR</v>
          </cell>
          <cell r="H102">
            <v>261.98</v>
          </cell>
          <cell r="I102">
            <v>3.05</v>
          </cell>
          <cell r="J102">
            <v>265.02999999999997</v>
          </cell>
          <cell r="K102">
            <v>2</v>
          </cell>
          <cell r="L102">
            <v>2.3199999999999998</v>
          </cell>
          <cell r="M102">
            <v>76.069999999999993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(BLY-HQ3)</v>
          </cell>
          <cell r="V102">
            <v>61</v>
          </cell>
          <cell r="W102">
            <v>0</v>
          </cell>
          <cell r="X102">
            <v>261.98</v>
          </cell>
          <cell r="Y102">
            <v>265.02999999999997</v>
          </cell>
          <cell r="AA102" t="str">
            <v>IBCR0501ECV4Q01</v>
          </cell>
          <cell r="AC102">
            <v>3</v>
          </cell>
          <cell r="AD102" t="str">
            <v>BLY HQ3</v>
          </cell>
          <cell r="AE102" t="str">
            <v>Water-based mud (WBM)</v>
          </cell>
          <cell r="AF102" t="str">
            <v>PureBore by Clear Solutions</v>
          </cell>
        </row>
        <row r="103">
          <cell r="A103">
            <v>102</v>
          </cell>
          <cell r="B103">
            <v>501</v>
          </cell>
          <cell r="C103" t="str">
            <v>M0111</v>
          </cell>
          <cell r="D103" t="str">
            <v>B</v>
          </cell>
          <cell r="E103" t="str">
            <v>501_M0111_B_102R</v>
          </cell>
          <cell r="F103">
            <v>45808.520833333336</v>
          </cell>
          <cell r="G103" t="str">
            <v>GEPR</v>
          </cell>
          <cell r="H103">
            <v>265.02999999999997</v>
          </cell>
          <cell r="I103">
            <v>3.05</v>
          </cell>
          <cell r="J103">
            <v>268.08</v>
          </cell>
          <cell r="K103">
            <v>1</v>
          </cell>
          <cell r="L103">
            <v>0.9</v>
          </cell>
          <cell r="M103">
            <v>29.51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(BLY-HQ3)</v>
          </cell>
          <cell r="V103">
            <v>61</v>
          </cell>
          <cell r="W103">
            <v>0</v>
          </cell>
          <cell r="X103">
            <v>265.02999999999997</v>
          </cell>
          <cell r="Y103">
            <v>268.08</v>
          </cell>
          <cell r="AA103" t="str">
            <v>IBCR0501ECW4Q01</v>
          </cell>
          <cell r="AC103">
            <v>3</v>
          </cell>
          <cell r="AD103" t="str">
            <v>BLY HQ3</v>
          </cell>
          <cell r="AE103" t="str">
            <v>Water-based mud (WBM)</v>
          </cell>
          <cell r="AF103" t="str">
            <v>PureBore by Clear Solutions</v>
          </cell>
        </row>
        <row r="104">
          <cell r="A104">
            <v>103</v>
          </cell>
          <cell r="B104">
            <v>501</v>
          </cell>
          <cell r="C104" t="str">
            <v>M0111</v>
          </cell>
          <cell r="D104" t="str">
            <v>B</v>
          </cell>
          <cell r="E104" t="str">
            <v>501_M0111_B_103R</v>
          </cell>
          <cell r="F104">
            <v>45808.5625</v>
          </cell>
          <cell r="G104" t="str">
            <v>GEPR</v>
          </cell>
          <cell r="H104">
            <v>268.08</v>
          </cell>
          <cell r="I104">
            <v>3.05</v>
          </cell>
          <cell r="J104">
            <v>271.13</v>
          </cell>
          <cell r="K104">
            <v>4</v>
          </cell>
          <cell r="L104">
            <v>3.12</v>
          </cell>
          <cell r="M104">
            <v>102.3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(BLY-HQ3)</v>
          </cell>
          <cell r="V104">
            <v>61</v>
          </cell>
          <cell r="W104">
            <v>0</v>
          </cell>
          <cell r="X104">
            <v>268.08</v>
          </cell>
          <cell r="Y104">
            <v>271.13</v>
          </cell>
          <cell r="AA104" t="str">
            <v>IBCR0501ECX4Q01</v>
          </cell>
          <cell r="AC104">
            <v>3</v>
          </cell>
          <cell r="AD104" t="str">
            <v>BLY HQ3</v>
          </cell>
          <cell r="AE104" t="str">
            <v>Water-based mud (WBM)</v>
          </cell>
          <cell r="AF104" t="str">
            <v>PureBore by Clear Solutions</v>
          </cell>
        </row>
        <row r="105">
          <cell r="A105">
            <v>104</v>
          </cell>
          <cell r="B105">
            <v>501</v>
          </cell>
          <cell r="C105" t="str">
            <v>M0111</v>
          </cell>
          <cell r="D105" t="str">
            <v>B</v>
          </cell>
          <cell r="E105" t="str">
            <v>501_M0111_B_104R</v>
          </cell>
          <cell r="F105">
            <v>45808.621527777781</v>
          </cell>
          <cell r="G105" t="str">
            <v>GEPR</v>
          </cell>
          <cell r="H105">
            <v>271.13</v>
          </cell>
          <cell r="I105">
            <v>3.05</v>
          </cell>
          <cell r="J105">
            <v>274.18</v>
          </cell>
          <cell r="K105">
            <v>3</v>
          </cell>
          <cell r="L105">
            <v>2.77</v>
          </cell>
          <cell r="M105">
            <v>90.82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(BLY-HQ3)</v>
          </cell>
          <cell r="V105">
            <v>61</v>
          </cell>
          <cell r="W105">
            <v>0</v>
          </cell>
          <cell r="X105">
            <v>271.13</v>
          </cell>
          <cell r="Y105">
            <v>274.18</v>
          </cell>
          <cell r="AA105" t="str">
            <v>IBCR0501ECY4Q01</v>
          </cell>
          <cell r="AC105">
            <v>3</v>
          </cell>
          <cell r="AD105" t="str">
            <v>BLY HQ3</v>
          </cell>
          <cell r="AE105" t="str">
            <v>Water-based mud (WBM)</v>
          </cell>
          <cell r="AF105" t="str">
            <v>PureBore by Clear Solutions</v>
          </cell>
        </row>
        <row r="106">
          <cell r="A106">
            <v>105</v>
          </cell>
          <cell r="B106">
            <v>501</v>
          </cell>
          <cell r="C106" t="str">
            <v>M0111</v>
          </cell>
          <cell r="D106" t="str">
            <v>B</v>
          </cell>
          <cell r="E106" t="str">
            <v>501_M0111_B_105R</v>
          </cell>
          <cell r="F106">
            <v>45808.652777777781</v>
          </cell>
          <cell r="G106" t="str">
            <v>GEPR</v>
          </cell>
          <cell r="H106">
            <v>274.18</v>
          </cell>
          <cell r="I106">
            <v>1</v>
          </cell>
          <cell r="J106">
            <v>275.18</v>
          </cell>
          <cell r="K106">
            <v>1</v>
          </cell>
          <cell r="L106">
            <v>0.48</v>
          </cell>
          <cell r="M106">
            <v>48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(BLY-HQ3)</v>
          </cell>
          <cell r="V106">
            <v>61</v>
          </cell>
          <cell r="W106">
            <v>0</v>
          </cell>
          <cell r="X106">
            <v>274.18</v>
          </cell>
          <cell r="Y106">
            <v>275.18</v>
          </cell>
          <cell r="AA106" t="str">
            <v>IBCR0501ECZ4Q01</v>
          </cell>
          <cell r="AC106">
            <v>3</v>
          </cell>
          <cell r="AD106" t="str">
            <v>BLY HQ3</v>
          </cell>
          <cell r="AE106" t="str">
            <v>Water-based mud (WBM)</v>
          </cell>
          <cell r="AF106" t="str">
            <v>PureBore by Clear Solutions</v>
          </cell>
        </row>
        <row r="107">
          <cell r="A107">
            <v>106</v>
          </cell>
          <cell r="B107">
            <v>501</v>
          </cell>
          <cell r="C107" t="str">
            <v>M0111</v>
          </cell>
          <cell r="D107" t="str">
            <v>B</v>
          </cell>
          <cell r="E107" t="str">
            <v>501_M0111_B_106R</v>
          </cell>
          <cell r="F107">
            <v>45808.6875</v>
          </cell>
          <cell r="G107" t="str">
            <v>MOSE</v>
          </cell>
          <cell r="H107">
            <v>275.18</v>
          </cell>
          <cell r="I107">
            <v>2.0499999999999998</v>
          </cell>
          <cell r="J107">
            <v>277.23</v>
          </cell>
          <cell r="K107">
            <v>2</v>
          </cell>
          <cell r="L107">
            <v>2.29</v>
          </cell>
          <cell r="M107">
            <v>111.71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(BLY-HQ3)</v>
          </cell>
          <cell r="V107">
            <v>61</v>
          </cell>
          <cell r="W107">
            <v>0</v>
          </cell>
          <cell r="X107">
            <v>275.18</v>
          </cell>
          <cell r="Y107">
            <v>277.23</v>
          </cell>
          <cell r="AA107" t="str">
            <v>IBCR0501EC05Q01</v>
          </cell>
          <cell r="AC107">
            <v>3</v>
          </cell>
          <cell r="AD107" t="str">
            <v>BLY HQ3</v>
          </cell>
          <cell r="AE107" t="str">
            <v>Water-based mud (WBM)</v>
          </cell>
          <cell r="AF107" t="str">
            <v>PureBore by Clear Solutions</v>
          </cell>
        </row>
        <row r="108">
          <cell r="A108">
            <v>107</v>
          </cell>
          <cell r="B108">
            <v>501</v>
          </cell>
          <cell r="C108" t="str">
            <v>M0111</v>
          </cell>
          <cell r="D108" t="str">
            <v>B</v>
          </cell>
          <cell r="E108" t="str">
            <v>501_M0111_B_107R</v>
          </cell>
          <cell r="F108">
            <v>45808.722222222219</v>
          </cell>
          <cell r="G108" t="str">
            <v>WINK</v>
          </cell>
          <cell r="H108">
            <v>277.23</v>
          </cell>
          <cell r="I108">
            <v>0.9</v>
          </cell>
          <cell r="J108">
            <v>278.13</v>
          </cell>
          <cell r="K108">
            <v>1</v>
          </cell>
          <cell r="L108">
            <v>0.96</v>
          </cell>
          <cell r="M108">
            <v>106.67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(BLY-HQ3)</v>
          </cell>
          <cell r="V108">
            <v>61</v>
          </cell>
          <cell r="W108">
            <v>0</v>
          </cell>
          <cell r="X108">
            <v>277.23</v>
          </cell>
          <cell r="Y108">
            <v>278.13</v>
          </cell>
          <cell r="AA108" t="str">
            <v>IBCR0501EC15Q01</v>
          </cell>
          <cell r="AC108">
            <v>3</v>
          </cell>
          <cell r="AD108" t="str">
            <v>BLY HQ3</v>
          </cell>
          <cell r="AE108" t="str">
            <v>Water-based mud (WBM)</v>
          </cell>
          <cell r="AF108" t="str">
            <v>PureBore by Clear Solutions</v>
          </cell>
        </row>
        <row r="109">
          <cell r="A109">
            <v>108</v>
          </cell>
          <cell r="B109">
            <v>501</v>
          </cell>
          <cell r="C109" t="str">
            <v>M0111</v>
          </cell>
          <cell r="D109" t="str">
            <v>B</v>
          </cell>
          <cell r="E109" t="str">
            <v>501_M0111_B_108R</v>
          </cell>
          <cell r="F109">
            <v>45808.739583333336</v>
          </cell>
          <cell r="G109" t="str">
            <v>WINK</v>
          </cell>
          <cell r="H109">
            <v>278.13</v>
          </cell>
          <cell r="I109">
            <v>0.25</v>
          </cell>
          <cell r="J109">
            <v>278.38</v>
          </cell>
          <cell r="K109">
            <v>1</v>
          </cell>
          <cell r="L109">
            <v>0.38</v>
          </cell>
          <cell r="M109">
            <v>152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(BLY-HQ3)</v>
          </cell>
          <cell r="V109">
            <v>61</v>
          </cell>
          <cell r="W109">
            <v>0</v>
          </cell>
          <cell r="X109">
            <v>278.13</v>
          </cell>
          <cell r="Y109">
            <v>278.38</v>
          </cell>
          <cell r="AA109" t="str">
            <v>IBCR0501EC25Q01</v>
          </cell>
          <cell r="AC109">
            <v>3</v>
          </cell>
          <cell r="AD109" t="str">
            <v>BLY HQ3</v>
          </cell>
          <cell r="AE109" t="str">
            <v>Water-based mud (WBM)</v>
          </cell>
          <cell r="AF109" t="str">
            <v>PureBore by Clear Solutions</v>
          </cell>
        </row>
        <row r="110">
          <cell r="A110">
            <v>109</v>
          </cell>
          <cell r="B110">
            <v>501</v>
          </cell>
          <cell r="C110" t="str">
            <v>M0111</v>
          </cell>
          <cell r="D110" t="str">
            <v>B</v>
          </cell>
          <cell r="E110" t="str">
            <v>501_M0111_B_109R</v>
          </cell>
          <cell r="F110">
            <v>45808.763888888891</v>
          </cell>
          <cell r="G110" t="str">
            <v>WINK</v>
          </cell>
          <cell r="H110">
            <v>278.38</v>
          </cell>
          <cell r="I110">
            <v>1.9</v>
          </cell>
          <cell r="J110">
            <v>280.27999999999997</v>
          </cell>
          <cell r="K110">
            <v>1</v>
          </cell>
          <cell r="L110">
            <v>0.6</v>
          </cell>
          <cell r="M110">
            <v>31.58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(BLY-HQ3)</v>
          </cell>
          <cell r="V110">
            <v>61</v>
          </cell>
          <cell r="W110">
            <v>0</v>
          </cell>
          <cell r="X110">
            <v>278.38</v>
          </cell>
          <cell r="Y110">
            <v>280.27999999999997</v>
          </cell>
          <cell r="AA110" t="str">
            <v>IBCR0501EC35Q01</v>
          </cell>
          <cell r="AC110">
            <v>3</v>
          </cell>
          <cell r="AD110" t="str">
            <v>BLY HQ3</v>
          </cell>
          <cell r="AE110" t="str">
            <v>Water-based mud (WBM)</v>
          </cell>
          <cell r="AF110" t="str">
            <v>PureBore by Clear Solutions</v>
          </cell>
        </row>
        <row r="111">
          <cell r="A111">
            <v>110</v>
          </cell>
          <cell r="B111">
            <v>501</v>
          </cell>
          <cell r="C111" t="str">
            <v>M0111</v>
          </cell>
          <cell r="D111" t="str">
            <v>B</v>
          </cell>
          <cell r="E111" t="str">
            <v>501_M0111_B_110R</v>
          </cell>
          <cell r="F111">
            <v>45808.791666666664</v>
          </cell>
          <cell r="G111" t="str">
            <v>WINK</v>
          </cell>
          <cell r="H111">
            <v>280.27999999999997</v>
          </cell>
          <cell r="I111">
            <v>0.2</v>
          </cell>
          <cell r="J111">
            <v>280.48</v>
          </cell>
          <cell r="K111">
            <v>1</v>
          </cell>
          <cell r="L111">
            <v>0.22</v>
          </cell>
          <cell r="M111">
            <v>110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(BLY-HQ3)</v>
          </cell>
          <cell r="V111">
            <v>61</v>
          </cell>
          <cell r="W111">
            <v>0</v>
          </cell>
          <cell r="X111">
            <v>280.27999999999997</v>
          </cell>
          <cell r="Y111">
            <v>280.48</v>
          </cell>
          <cell r="AA111" t="str">
            <v>IBCR0501EC45Q01</v>
          </cell>
          <cell r="AC111">
            <v>3</v>
          </cell>
          <cell r="AD111" t="str">
            <v>BLY HQ3</v>
          </cell>
          <cell r="AE111" t="str">
            <v>Water-based mud (WBM)</v>
          </cell>
          <cell r="AF111" t="str">
            <v>PureBore by Clear Solutions</v>
          </cell>
        </row>
        <row r="112">
          <cell r="A112">
            <v>111</v>
          </cell>
          <cell r="B112">
            <v>501</v>
          </cell>
          <cell r="C112" t="str">
            <v>M0111</v>
          </cell>
          <cell r="D112" t="str">
            <v>B</v>
          </cell>
          <cell r="E112" t="str">
            <v>501_M0111_B_111R</v>
          </cell>
          <cell r="F112">
            <v>45808.8125</v>
          </cell>
          <cell r="G112" t="str">
            <v>WINK</v>
          </cell>
          <cell r="H112">
            <v>280.48</v>
          </cell>
          <cell r="I112">
            <v>1.05</v>
          </cell>
          <cell r="J112">
            <v>281.52999999999997</v>
          </cell>
          <cell r="K112">
            <v>0</v>
          </cell>
          <cell r="L112">
            <v>0</v>
          </cell>
          <cell r="M112">
            <v>0</v>
          </cell>
          <cell r="P112" t="str">
            <v>no recovery</v>
          </cell>
          <cell r="Q112" t="str">
            <v>no</v>
          </cell>
          <cell r="R112" t="str">
            <v>none</v>
          </cell>
          <cell r="S112" t="str">
            <v>R</v>
          </cell>
          <cell r="T112" t="str">
            <v>R (BLY-HQ3)</v>
          </cell>
          <cell r="V112">
            <v>61</v>
          </cell>
          <cell r="W112">
            <v>0</v>
          </cell>
          <cell r="X112">
            <v>280.48</v>
          </cell>
          <cell r="Y112">
            <v>281.52999999999997</v>
          </cell>
          <cell r="AA112" t="str">
            <v>IBCR0501EC55Q01</v>
          </cell>
          <cell r="AC112">
            <v>3</v>
          </cell>
          <cell r="AD112" t="str">
            <v>BLY HQ3</v>
          </cell>
          <cell r="AE112" t="str">
            <v>Water-based mud (WBM)</v>
          </cell>
          <cell r="AF112" t="str">
            <v>PureBore by Clear Solutions</v>
          </cell>
        </row>
        <row r="113">
          <cell r="A113">
            <v>112</v>
          </cell>
          <cell r="B113">
            <v>501</v>
          </cell>
          <cell r="C113" t="str">
            <v>M0111</v>
          </cell>
          <cell r="D113" t="str">
            <v>B</v>
          </cell>
          <cell r="E113" t="str">
            <v>501_M0111_B_112O</v>
          </cell>
          <cell r="F113">
            <v>45810.397916666669</v>
          </cell>
          <cell r="G113" t="str">
            <v>WINK</v>
          </cell>
          <cell r="H113">
            <v>269</v>
          </cell>
          <cell r="I113">
            <v>12.53</v>
          </cell>
          <cell r="J113">
            <v>281.52999999999997</v>
          </cell>
          <cell r="K113">
            <v>1</v>
          </cell>
          <cell r="L113">
            <v>12.53</v>
          </cell>
          <cell r="M113">
            <v>100</v>
          </cell>
          <cell r="P113" t="str">
            <v>VIRTUAL CORE. 2nd series of pump tests (4</v>
          </cell>
        </row>
        <row r="114">
          <cell r="A114">
            <v>113</v>
          </cell>
          <cell r="B114">
            <v>501</v>
          </cell>
          <cell r="C114" t="str">
            <v>M0111</v>
          </cell>
          <cell r="D114" t="str">
            <v>B</v>
          </cell>
          <cell r="E114" t="str">
            <v>501_M0111_B_113R</v>
          </cell>
          <cell r="F114">
            <v>45810.8125</v>
          </cell>
          <cell r="G114" t="str">
            <v>WINK</v>
          </cell>
          <cell r="H114">
            <v>281.52999999999997</v>
          </cell>
          <cell r="I114">
            <v>0</v>
          </cell>
          <cell r="J114">
            <v>281.52999999999997</v>
          </cell>
          <cell r="K114">
            <v>1</v>
          </cell>
          <cell r="L114">
            <v>1.1599999999999999</v>
          </cell>
          <cell r="M114">
            <v>0</v>
          </cell>
          <cell r="P114" t="str">
            <v>infill</v>
          </cell>
          <cell r="Q114" t="str">
            <v>yes</v>
          </cell>
          <cell r="R114" t="str">
            <v>all</v>
          </cell>
          <cell r="S114" t="str">
            <v>R</v>
          </cell>
          <cell r="T114" t="str">
            <v>R (BLY-HQ3)</v>
          </cell>
          <cell r="V114">
            <v>61</v>
          </cell>
          <cell r="W114">
            <v>0</v>
          </cell>
          <cell r="X114">
            <v>281.52999999999997</v>
          </cell>
          <cell r="Y114">
            <v>281.52999999999997</v>
          </cell>
          <cell r="AA114" t="str">
            <v>IBCR0501EC75Q01</v>
          </cell>
          <cell r="AC114">
            <v>3</v>
          </cell>
          <cell r="AD114" t="str">
            <v>BLY HQ3</v>
          </cell>
          <cell r="AE114" t="str">
            <v>Water-based mud (WBM)</v>
          </cell>
          <cell r="AF114" t="str">
            <v>PureBore by Clear Solutions</v>
          </cell>
        </row>
        <row r="115">
          <cell r="A115">
            <v>114</v>
          </cell>
          <cell r="B115">
            <v>501</v>
          </cell>
          <cell r="C115" t="str">
            <v>M0111</v>
          </cell>
          <cell r="D115" t="str">
            <v>B</v>
          </cell>
          <cell r="E115" t="str">
            <v>501_M0111_B_114R</v>
          </cell>
          <cell r="F115">
            <v>45810.829861111109</v>
          </cell>
          <cell r="G115" t="str">
            <v>KUHN</v>
          </cell>
          <cell r="H115">
            <v>281.52999999999997</v>
          </cell>
          <cell r="I115">
            <v>1.9</v>
          </cell>
          <cell r="J115">
            <v>283.43</v>
          </cell>
          <cell r="K115">
            <v>2</v>
          </cell>
          <cell r="L115">
            <v>1.77</v>
          </cell>
          <cell r="M115">
            <v>93.16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(BLY-HQ3)</v>
          </cell>
          <cell r="V115">
            <v>61</v>
          </cell>
          <cell r="W115">
            <v>0</v>
          </cell>
          <cell r="X115">
            <v>281.52999999999997</v>
          </cell>
          <cell r="Y115">
            <v>283.43</v>
          </cell>
          <cell r="AA115" t="str">
            <v>IBCR0501EC85Q01</v>
          </cell>
          <cell r="AB115" t="str">
            <v>infill</v>
          </cell>
          <cell r="AC115">
            <v>3</v>
          </cell>
          <cell r="AD115" t="str">
            <v>BLY HQ3</v>
          </cell>
          <cell r="AE115" t="str">
            <v>Water-based mud (WBM)</v>
          </cell>
          <cell r="AF115" t="str">
            <v>PureBore by Clear Solutions</v>
          </cell>
        </row>
        <row r="116">
          <cell r="A116">
            <v>115</v>
          </cell>
          <cell r="B116">
            <v>501</v>
          </cell>
          <cell r="C116" t="str">
            <v>M0111</v>
          </cell>
          <cell r="D116" t="str">
            <v>B</v>
          </cell>
          <cell r="E116" t="str">
            <v>501_M0111_B_115R</v>
          </cell>
          <cell r="F116">
            <v>45810.857638888891</v>
          </cell>
          <cell r="G116" t="str">
            <v>WINK</v>
          </cell>
          <cell r="H116">
            <v>283.43</v>
          </cell>
          <cell r="I116">
            <v>3.05</v>
          </cell>
          <cell r="J116">
            <v>286.48</v>
          </cell>
          <cell r="K116">
            <v>2</v>
          </cell>
          <cell r="L116">
            <v>2.95</v>
          </cell>
          <cell r="M116">
            <v>96.72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(BLY-HQ3)</v>
          </cell>
          <cell r="V116">
            <v>61</v>
          </cell>
          <cell r="W116">
            <v>0</v>
          </cell>
          <cell r="X116">
            <v>283.43</v>
          </cell>
          <cell r="Y116">
            <v>286.48</v>
          </cell>
          <cell r="AA116" t="str">
            <v>IBCR0501EC95Q01</v>
          </cell>
          <cell r="AB116" t="str">
            <v>infill</v>
          </cell>
          <cell r="AC116">
            <v>3</v>
          </cell>
          <cell r="AD116" t="str">
            <v>BLY HQ3</v>
          </cell>
          <cell r="AE116" t="str">
            <v>Water-based mud (WBM)</v>
          </cell>
          <cell r="AF116" t="str">
            <v>PureBore by Clear Solutions</v>
          </cell>
        </row>
        <row r="117">
          <cell r="A117">
            <v>116</v>
          </cell>
          <cell r="B117">
            <v>501</v>
          </cell>
          <cell r="C117" t="str">
            <v>M0111</v>
          </cell>
          <cell r="D117" t="str">
            <v>B</v>
          </cell>
          <cell r="E117" t="str">
            <v>501_M0111_B_116R</v>
          </cell>
          <cell r="F117">
            <v>45810.878472222219</v>
          </cell>
          <cell r="G117" t="str">
            <v>WINK</v>
          </cell>
          <cell r="H117">
            <v>286.48</v>
          </cell>
          <cell r="I117">
            <v>2.85</v>
          </cell>
          <cell r="J117">
            <v>289.33</v>
          </cell>
          <cell r="K117">
            <v>3</v>
          </cell>
          <cell r="L117">
            <v>2.2999999999999998</v>
          </cell>
          <cell r="M117">
            <v>80.7</v>
          </cell>
          <cell r="Q117" t="str">
            <v>yes</v>
          </cell>
          <cell r="R117" t="str">
            <v>all</v>
          </cell>
          <cell r="S117" t="str">
            <v>R</v>
          </cell>
          <cell r="T117" t="str">
            <v>R (BLY-HQ3)</v>
          </cell>
          <cell r="V117">
            <v>61</v>
          </cell>
          <cell r="W117">
            <v>0</v>
          </cell>
          <cell r="X117">
            <v>286.48</v>
          </cell>
          <cell r="Y117">
            <v>289.33</v>
          </cell>
          <cell r="AA117" t="str">
            <v>IBCR0501ECA5Q01</v>
          </cell>
          <cell r="AC117">
            <v>3</v>
          </cell>
          <cell r="AD117" t="str">
            <v>BLY HQ3</v>
          </cell>
          <cell r="AE117" t="str">
            <v>Water-based mud (WBM)</v>
          </cell>
          <cell r="AF117" t="str">
            <v>PureBore by Clear Solutions</v>
          </cell>
        </row>
        <row r="118">
          <cell r="A118">
            <v>117</v>
          </cell>
          <cell r="B118">
            <v>501</v>
          </cell>
          <cell r="C118" t="str">
            <v>M0111</v>
          </cell>
          <cell r="D118" t="str">
            <v>B</v>
          </cell>
          <cell r="E118" t="str">
            <v>501_M0111_B_117R</v>
          </cell>
          <cell r="F118">
            <v>45810.934027777781</v>
          </cell>
          <cell r="G118" t="str">
            <v>WINK</v>
          </cell>
          <cell r="H118">
            <v>289.33</v>
          </cell>
          <cell r="I118">
            <v>2.65</v>
          </cell>
          <cell r="J118">
            <v>291.98</v>
          </cell>
          <cell r="K118">
            <v>1</v>
          </cell>
          <cell r="L118">
            <v>0.96</v>
          </cell>
          <cell r="M118">
            <v>36.229999999999997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(BLY-HQ3)</v>
          </cell>
          <cell r="V118">
            <v>61</v>
          </cell>
          <cell r="W118">
            <v>0</v>
          </cell>
          <cell r="X118">
            <v>289.33</v>
          </cell>
          <cell r="Y118">
            <v>291.98</v>
          </cell>
          <cell r="AA118" t="str">
            <v>IBCR0501ECB5Q01</v>
          </cell>
          <cell r="AC118">
            <v>3</v>
          </cell>
          <cell r="AD118" t="str">
            <v>BLY HQ3</v>
          </cell>
          <cell r="AE118" t="str">
            <v>Water-based mud (WBM)</v>
          </cell>
          <cell r="AF118" t="str">
            <v>PureBore by Clear Solutions</v>
          </cell>
        </row>
        <row r="119">
          <cell r="A119">
            <v>118</v>
          </cell>
          <cell r="B119">
            <v>501</v>
          </cell>
          <cell r="C119" t="str">
            <v>M0111</v>
          </cell>
          <cell r="D119" t="str">
            <v>B</v>
          </cell>
          <cell r="E119" t="str">
            <v>501_M0111_B_118R</v>
          </cell>
          <cell r="F119">
            <v>45810.958333333336</v>
          </cell>
          <cell r="G119" t="str">
            <v>KUHN</v>
          </cell>
          <cell r="H119">
            <v>291.98</v>
          </cell>
          <cell r="I119">
            <v>0.85</v>
          </cell>
          <cell r="J119">
            <v>292.83</v>
          </cell>
          <cell r="K119">
            <v>0</v>
          </cell>
          <cell r="L119">
            <v>0</v>
          </cell>
          <cell r="M119">
            <v>0</v>
          </cell>
          <cell r="P119" t="str">
            <v>no recovery</v>
          </cell>
          <cell r="Q119" t="str">
            <v>no</v>
          </cell>
          <cell r="R119" t="str">
            <v>none</v>
          </cell>
          <cell r="S119" t="str">
            <v>R</v>
          </cell>
          <cell r="T119" t="str">
            <v>R (BLY-HQ3)</v>
          </cell>
          <cell r="V119">
            <v>61</v>
          </cell>
          <cell r="W119">
            <v>0</v>
          </cell>
          <cell r="X119">
            <v>291.98</v>
          </cell>
          <cell r="Y119">
            <v>292.83</v>
          </cell>
          <cell r="AA119" t="str">
            <v>IBCR0501ECC5Q01</v>
          </cell>
          <cell r="AC119">
            <v>3</v>
          </cell>
          <cell r="AD119" t="str">
            <v>BLY HQ3</v>
          </cell>
          <cell r="AE119" t="str">
            <v>Water-based mud (WBM)</v>
          </cell>
          <cell r="AF119" t="str">
            <v>PureBore by Clear Solutions</v>
          </cell>
        </row>
        <row r="120">
          <cell r="A120">
            <v>119</v>
          </cell>
          <cell r="B120">
            <v>501</v>
          </cell>
          <cell r="C120" t="str">
            <v>M0111</v>
          </cell>
          <cell r="D120" t="str">
            <v>B</v>
          </cell>
          <cell r="E120" t="str">
            <v>501_M0111_B_119R</v>
          </cell>
          <cell r="F120">
            <v>45810.986111111109</v>
          </cell>
          <cell r="G120" t="str">
            <v>WINK</v>
          </cell>
          <cell r="H120">
            <v>292.83</v>
          </cell>
          <cell r="I120">
            <v>2.8</v>
          </cell>
          <cell r="J120">
            <v>295.63</v>
          </cell>
          <cell r="K120">
            <v>1</v>
          </cell>
          <cell r="L120">
            <v>0.66</v>
          </cell>
          <cell r="M120">
            <v>23.57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(BLY-HQ3)</v>
          </cell>
          <cell r="V120">
            <v>61</v>
          </cell>
          <cell r="W120">
            <v>0</v>
          </cell>
          <cell r="X120">
            <v>292.83</v>
          </cell>
          <cell r="Y120">
            <v>295.63</v>
          </cell>
          <cell r="AA120" t="str">
            <v>IBCR0501ECD5Q01</v>
          </cell>
          <cell r="AC120">
            <v>3</v>
          </cell>
          <cell r="AD120" t="str">
            <v>BLY HQ3</v>
          </cell>
          <cell r="AE120" t="str">
            <v>Water-based mud (WBM)</v>
          </cell>
          <cell r="AF120" t="str">
            <v>PureBore by Clear Solutions</v>
          </cell>
        </row>
        <row r="121">
          <cell r="A121">
            <v>120</v>
          </cell>
          <cell r="B121">
            <v>501</v>
          </cell>
          <cell r="C121" t="str">
            <v>M0111</v>
          </cell>
          <cell r="D121" t="str">
            <v>B</v>
          </cell>
          <cell r="E121" t="str">
            <v>501_M0111_B_120R</v>
          </cell>
          <cell r="F121">
            <v>45811.017361111109</v>
          </cell>
          <cell r="G121" t="str">
            <v>KUHN</v>
          </cell>
          <cell r="H121">
            <v>295.63</v>
          </cell>
          <cell r="I121">
            <v>3.05</v>
          </cell>
          <cell r="J121">
            <v>298.68</v>
          </cell>
          <cell r="K121">
            <v>1</v>
          </cell>
          <cell r="L121">
            <v>1.08</v>
          </cell>
          <cell r="M121">
            <v>35.409999999999997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(BLY-HQ3)</v>
          </cell>
          <cell r="V121">
            <v>61</v>
          </cell>
          <cell r="W121">
            <v>0</v>
          </cell>
          <cell r="X121">
            <v>295.63</v>
          </cell>
          <cell r="Y121">
            <v>298.68</v>
          </cell>
          <cell r="AA121" t="str">
            <v>IBCR0501ECE5Q01</v>
          </cell>
          <cell r="AC121">
            <v>3</v>
          </cell>
          <cell r="AD121" t="str">
            <v>BLY HQ3</v>
          </cell>
          <cell r="AE121" t="str">
            <v>Water-based mud (WBM)</v>
          </cell>
          <cell r="AF121" t="str">
            <v>PureBore by Clear Solutions</v>
          </cell>
        </row>
        <row r="122">
          <cell r="A122">
            <v>121</v>
          </cell>
          <cell r="B122">
            <v>501</v>
          </cell>
          <cell r="C122" t="str">
            <v>M0111</v>
          </cell>
          <cell r="D122" t="str">
            <v>B</v>
          </cell>
          <cell r="E122" t="str">
            <v>501_M0111_B_121R</v>
          </cell>
          <cell r="F122">
            <v>45811.048611111109</v>
          </cell>
          <cell r="G122" t="str">
            <v>WINK</v>
          </cell>
          <cell r="H122">
            <v>298.68</v>
          </cell>
          <cell r="I122">
            <v>1.55</v>
          </cell>
          <cell r="J122">
            <v>300.23</v>
          </cell>
          <cell r="K122">
            <v>2</v>
          </cell>
          <cell r="L122">
            <v>1.66</v>
          </cell>
          <cell r="M122">
            <v>107.1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(BLY-HQ3)</v>
          </cell>
          <cell r="V122">
            <v>61</v>
          </cell>
          <cell r="W122">
            <v>0</v>
          </cell>
          <cell r="X122">
            <v>298.68</v>
          </cell>
          <cell r="Y122">
            <v>300.23</v>
          </cell>
          <cell r="AA122" t="str">
            <v>IBCR0501ECF5Q01</v>
          </cell>
          <cell r="AC122">
            <v>3</v>
          </cell>
          <cell r="AD122" t="str">
            <v>BLY HQ3</v>
          </cell>
          <cell r="AE122" t="str">
            <v>Water-based mud (WBM)</v>
          </cell>
          <cell r="AF122" t="str">
            <v>PureBore by Clear Solutions</v>
          </cell>
        </row>
        <row r="123">
          <cell r="A123">
            <v>122</v>
          </cell>
          <cell r="B123">
            <v>501</v>
          </cell>
          <cell r="C123" t="str">
            <v>M0111</v>
          </cell>
          <cell r="D123" t="str">
            <v>B</v>
          </cell>
          <cell r="E123" t="str">
            <v>501_M0111_B_122R</v>
          </cell>
          <cell r="F123">
            <v>45811.083333333336</v>
          </cell>
          <cell r="G123" t="str">
            <v>WINK</v>
          </cell>
          <cell r="H123">
            <v>300.23</v>
          </cell>
          <cell r="I123">
            <v>1.5</v>
          </cell>
          <cell r="J123">
            <v>301.73</v>
          </cell>
          <cell r="K123">
            <v>2</v>
          </cell>
          <cell r="L123">
            <v>1.42</v>
          </cell>
          <cell r="M123">
            <v>94.67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(BLY-HQ3)</v>
          </cell>
          <cell r="V123">
            <v>61</v>
          </cell>
          <cell r="W123">
            <v>0</v>
          </cell>
          <cell r="X123">
            <v>300.23</v>
          </cell>
          <cell r="Y123">
            <v>301.73</v>
          </cell>
          <cell r="AA123" t="str">
            <v>IBCR0501ECG5Q01</v>
          </cell>
          <cell r="AC123">
            <v>3</v>
          </cell>
          <cell r="AD123" t="str">
            <v>BLY HQ3</v>
          </cell>
          <cell r="AE123" t="str">
            <v>Water-based mud (WBM)</v>
          </cell>
          <cell r="AF123" t="str">
            <v>PureBore by Clear Solutions</v>
          </cell>
        </row>
        <row r="124">
          <cell r="A124">
            <v>123</v>
          </cell>
          <cell r="B124">
            <v>501</v>
          </cell>
          <cell r="C124" t="str">
            <v>M0111</v>
          </cell>
          <cell r="D124" t="str">
            <v>B</v>
          </cell>
          <cell r="E124" t="str">
            <v>501_M0111_B_123R</v>
          </cell>
          <cell r="F124">
            <v>45811.114583333336</v>
          </cell>
          <cell r="G124" t="str">
            <v>WINK</v>
          </cell>
          <cell r="H124">
            <v>301.73</v>
          </cell>
          <cell r="I124">
            <v>3.05</v>
          </cell>
          <cell r="J124">
            <v>304.77999999999997</v>
          </cell>
          <cell r="K124">
            <v>0</v>
          </cell>
          <cell r="L124">
            <v>0</v>
          </cell>
          <cell r="M124">
            <v>0</v>
          </cell>
          <cell r="P124" t="str">
            <v>no recovery</v>
          </cell>
          <cell r="Q124" t="str">
            <v>no</v>
          </cell>
          <cell r="R124" t="str">
            <v>none</v>
          </cell>
          <cell r="S124" t="str">
            <v>R</v>
          </cell>
          <cell r="T124" t="str">
            <v>R (BLY-HQ3)</v>
          </cell>
          <cell r="V124">
            <v>61</v>
          </cell>
          <cell r="W124">
            <v>0</v>
          </cell>
          <cell r="X124">
            <v>301.73</v>
          </cell>
          <cell r="Y124">
            <v>304.77999999999997</v>
          </cell>
          <cell r="AA124" t="str">
            <v>IBCR0501ECH5Q01</v>
          </cell>
          <cell r="AC124">
            <v>3</v>
          </cell>
          <cell r="AD124" t="str">
            <v>BLY HQ3</v>
          </cell>
          <cell r="AE124" t="str">
            <v>Water-based mud (WBM)</v>
          </cell>
          <cell r="AF124" t="str">
            <v>PureBore by Clear Solutions</v>
          </cell>
        </row>
        <row r="125">
          <cell r="A125">
            <v>124</v>
          </cell>
          <cell r="B125">
            <v>501</v>
          </cell>
          <cell r="C125" t="str">
            <v>M0111</v>
          </cell>
          <cell r="D125" t="str">
            <v>B</v>
          </cell>
          <cell r="E125" t="str">
            <v>501_M0111_B_124R</v>
          </cell>
          <cell r="F125">
            <v>45811.194444444445</v>
          </cell>
          <cell r="G125" t="str">
            <v>GEPR</v>
          </cell>
          <cell r="H125">
            <v>304.77999999999997</v>
          </cell>
          <cell r="I125">
            <v>1.55</v>
          </cell>
          <cell r="J125">
            <v>306.33</v>
          </cell>
          <cell r="K125">
            <v>0</v>
          </cell>
          <cell r="L125">
            <v>0</v>
          </cell>
          <cell r="M125">
            <v>0</v>
          </cell>
          <cell r="P125" t="str">
            <v>no recovery</v>
          </cell>
          <cell r="Q125" t="str">
            <v>no</v>
          </cell>
          <cell r="R125" t="str">
            <v>none</v>
          </cell>
          <cell r="S125" t="str">
            <v>R</v>
          </cell>
          <cell r="T125" t="str">
            <v>R (BLY-HQ3)</v>
          </cell>
          <cell r="V125">
            <v>61</v>
          </cell>
          <cell r="W125">
            <v>0</v>
          </cell>
          <cell r="X125">
            <v>304.77999999999997</v>
          </cell>
          <cell r="Y125">
            <v>306.33</v>
          </cell>
          <cell r="AA125" t="str">
            <v>IBCR0501ECI5Q01</v>
          </cell>
          <cell r="AC125">
            <v>3</v>
          </cell>
          <cell r="AD125" t="str">
            <v>BLY HQ3</v>
          </cell>
          <cell r="AE125" t="str">
            <v>Water-based mud (WBM)</v>
          </cell>
          <cell r="AF125" t="str">
            <v>PureBore by Clear Solutions</v>
          </cell>
        </row>
        <row r="126">
          <cell r="A126">
            <v>125</v>
          </cell>
          <cell r="B126">
            <v>501</v>
          </cell>
          <cell r="C126" t="str">
            <v>M0111</v>
          </cell>
          <cell r="D126" t="str">
            <v>B</v>
          </cell>
          <cell r="E126" t="str">
            <v>501_M0111_B_125R</v>
          </cell>
          <cell r="F126">
            <v>45811.211805555555</v>
          </cell>
          <cell r="G126" t="str">
            <v>GEPR</v>
          </cell>
          <cell r="H126">
            <v>306.33</v>
          </cell>
          <cell r="I126">
            <v>0.75</v>
          </cell>
          <cell r="J126">
            <v>307.08</v>
          </cell>
          <cell r="K126">
            <v>1</v>
          </cell>
          <cell r="L126">
            <v>0.47</v>
          </cell>
          <cell r="M126">
            <v>62.67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(BLY-HQ3)</v>
          </cell>
          <cell r="V126">
            <v>61</v>
          </cell>
          <cell r="W126">
            <v>0</v>
          </cell>
          <cell r="X126">
            <v>306.33</v>
          </cell>
          <cell r="Y126">
            <v>307.08</v>
          </cell>
          <cell r="AA126" t="str">
            <v>IBCR0501ECJ5Q01</v>
          </cell>
          <cell r="AC126">
            <v>3</v>
          </cell>
          <cell r="AD126" t="str">
            <v>BLY HQ3</v>
          </cell>
          <cell r="AE126" t="str">
            <v>Water-based mud (WBM)</v>
          </cell>
          <cell r="AF126" t="str">
            <v>PureBore by Clear Solutions</v>
          </cell>
        </row>
        <row r="127">
          <cell r="A127">
            <v>126</v>
          </cell>
          <cell r="B127">
            <v>501</v>
          </cell>
          <cell r="C127" t="str">
            <v>M0111</v>
          </cell>
          <cell r="D127" t="str">
            <v>B</v>
          </cell>
          <cell r="E127" t="str">
            <v>501_M0111_B_126R</v>
          </cell>
          <cell r="F127">
            <v>45811.236111111109</v>
          </cell>
          <cell r="G127" t="str">
            <v>GEPR</v>
          </cell>
          <cell r="H127">
            <v>307.08</v>
          </cell>
          <cell r="I127">
            <v>3.05</v>
          </cell>
          <cell r="J127">
            <v>310.13</v>
          </cell>
          <cell r="K127">
            <v>1</v>
          </cell>
          <cell r="L127">
            <v>0.42</v>
          </cell>
          <cell r="M127">
            <v>13.77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(BLY-HQ3)</v>
          </cell>
          <cell r="V127">
            <v>61</v>
          </cell>
          <cell r="W127">
            <v>0</v>
          </cell>
          <cell r="X127">
            <v>307.08</v>
          </cell>
          <cell r="Y127">
            <v>310.13</v>
          </cell>
          <cell r="AA127" t="str">
            <v>IBCR0501ECK5Q01</v>
          </cell>
          <cell r="AC127">
            <v>3</v>
          </cell>
          <cell r="AD127" t="str">
            <v>BLY HQ3</v>
          </cell>
          <cell r="AE127" t="str">
            <v>Water-based mud (WBM)</v>
          </cell>
          <cell r="AF127" t="str">
            <v>PureBore by Clear Solutions</v>
          </cell>
        </row>
        <row r="128">
          <cell r="A128">
            <v>127</v>
          </cell>
          <cell r="B128">
            <v>501</v>
          </cell>
          <cell r="C128" t="str">
            <v>M0111</v>
          </cell>
          <cell r="D128" t="str">
            <v>B</v>
          </cell>
          <cell r="E128" t="str">
            <v>501_M0111_B_127R</v>
          </cell>
          <cell r="F128">
            <v>45811.263888888891</v>
          </cell>
          <cell r="G128" t="str">
            <v>GEPR</v>
          </cell>
          <cell r="H128">
            <v>310.13</v>
          </cell>
          <cell r="I128">
            <v>2.65</v>
          </cell>
          <cell r="J128">
            <v>312.77999999999997</v>
          </cell>
          <cell r="K128">
            <v>2</v>
          </cell>
          <cell r="L128">
            <v>1.84</v>
          </cell>
          <cell r="M128">
            <v>69.430000000000007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(BLY-HQ3)</v>
          </cell>
          <cell r="V128">
            <v>61</v>
          </cell>
          <cell r="W128">
            <v>0</v>
          </cell>
          <cell r="X128">
            <v>310.13</v>
          </cell>
          <cell r="Y128">
            <v>312.77999999999997</v>
          </cell>
          <cell r="AA128" t="str">
            <v>IBCR0501ECL5Q01</v>
          </cell>
          <cell r="AC128">
            <v>3</v>
          </cell>
          <cell r="AD128" t="str">
            <v>BLY HQ3</v>
          </cell>
          <cell r="AE128" t="str">
            <v>Water-based mud (WBM)</v>
          </cell>
          <cell r="AF128" t="str">
            <v>PureBore by Clear Solutions</v>
          </cell>
        </row>
        <row r="129">
          <cell r="A129">
            <v>128</v>
          </cell>
          <cell r="B129">
            <v>501</v>
          </cell>
          <cell r="C129" t="str">
            <v>M0111</v>
          </cell>
          <cell r="D129" t="str">
            <v>B</v>
          </cell>
          <cell r="E129" t="str">
            <v>501_M0111_B_128R</v>
          </cell>
          <cell r="F129">
            <v>45811.288194444445</v>
          </cell>
          <cell r="G129" t="str">
            <v>GEPR</v>
          </cell>
          <cell r="H129">
            <v>312.77999999999997</v>
          </cell>
          <cell r="I129">
            <v>3.05</v>
          </cell>
          <cell r="J129">
            <v>315.83</v>
          </cell>
          <cell r="K129">
            <v>3</v>
          </cell>
          <cell r="L129">
            <v>3.18</v>
          </cell>
          <cell r="M129">
            <v>104.26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(BLY-HQ3)</v>
          </cell>
          <cell r="V129">
            <v>61</v>
          </cell>
          <cell r="W129">
            <v>0</v>
          </cell>
          <cell r="X129">
            <v>312.77999999999997</v>
          </cell>
          <cell r="Y129">
            <v>315.83</v>
          </cell>
          <cell r="AA129" t="str">
            <v>IBCR0501ECM5Q01</v>
          </cell>
          <cell r="AC129">
            <v>3</v>
          </cell>
          <cell r="AD129" t="str">
            <v>BLY HQ3</v>
          </cell>
          <cell r="AE129" t="str">
            <v>Water-based mud (WBM)</v>
          </cell>
          <cell r="AF129" t="str">
            <v>PureBore by Clear Solutions</v>
          </cell>
        </row>
        <row r="130">
          <cell r="A130">
            <v>129</v>
          </cell>
          <cell r="B130">
            <v>501</v>
          </cell>
          <cell r="C130" t="str">
            <v>M0111</v>
          </cell>
          <cell r="D130" t="str">
            <v>B</v>
          </cell>
          <cell r="E130" t="str">
            <v>501_M0111_B_129R</v>
          </cell>
          <cell r="F130">
            <v>45811.333333333336</v>
          </cell>
          <cell r="G130" t="str">
            <v>GEPR</v>
          </cell>
          <cell r="H130">
            <v>315.83</v>
          </cell>
          <cell r="I130">
            <v>3.05</v>
          </cell>
          <cell r="J130">
            <v>318.88</v>
          </cell>
          <cell r="K130">
            <v>2</v>
          </cell>
          <cell r="L130">
            <v>2.81</v>
          </cell>
          <cell r="M130">
            <v>92.13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(BLY-HQ3)</v>
          </cell>
          <cell r="V130">
            <v>61</v>
          </cell>
          <cell r="W130">
            <v>0</v>
          </cell>
          <cell r="X130">
            <v>315.83</v>
          </cell>
          <cell r="Y130">
            <v>318.88</v>
          </cell>
          <cell r="AA130" t="str">
            <v>IBCR0501ECN5Q01</v>
          </cell>
          <cell r="AC130">
            <v>3</v>
          </cell>
          <cell r="AD130" t="str">
            <v>BLY HQ3</v>
          </cell>
          <cell r="AE130" t="str">
            <v>Water-based mud (WBM)</v>
          </cell>
          <cell r="AF130" t="str">
            <v>PureBore by Clear Solutions</v>
          </cell>
        </row>
        <row r="131">
          <cell r="A131">
            <v>130</v>
          </cell>
          <cell r="B131">
            <v>501</v>
          </cell>
          <cell r="C131" t="str">
            <v>M0111</v>
          </cell>
          <cell r="D131" t="str">
            <v>B</v>
          </cell>
          <cell r="E131" t="str">
            <v>501_M0111_B_130R</v>
          </cell>
          <cell r="F131">
            <v>45811.368055555555</v>
          </cell>
          <cell r="G131" t="str">
            <v>GEPR</v>
          </cell>
          <cell r="H131">
            <v>318.88</v>
          </cell>
          <cell r="I131">
            <v>3.05</v>
          </cell>
          <cell r="J131">
            <v>321.93</v>
          </cell>
          <cell r="K131">
            <v>2</v>
          </cell>
          <cell r="L131">
            <v>2.58</v>
          </cell>
          <cell r="M131">
            <v>84.59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(BLY-HQ3)</v>
          </cell>
          <cell r="V131">
            <v>61</v>
          </cell>
          <cell r="W131">
            <v>0</v>
          </cell>
          <cell r="X131">
            <v>318.88</v>
          </cell>
          <cell r="Y131">
            <v>321.93</v>
          </cell>
          <cell r="AA131" t="str">
            <v>IBCR0501ECO5Q01</v>
          </cell>
          <cell r="AC131">
            <v>3</v>
          </cell>
          <cell r="AD131" t="str">
            <v>BLY HQ3</v>
          </cell>
          <cell r="AE131" t="str">
            <v>Water-based mud (WBM)</v>
          </cell>
          <cell r="AF131" t="str">
            <v>PureBore by Clear Solutions</v>
          </cell>
        </row>
        <row r="132">
          <cell r="A132">
            <v>131</v>
          </cell>
          <cell r="B132">
            <v>501</v>
          </cell>
          <cell r="C132" t="str">
            <v>M0111</v>
          </cell>
          <cell r="D132" t="str">
            <v>B</v>
          </cell>
          <cell r="E132" t="str">
            <v>501_M0111_B_131R</v>
          </cell>
          <cell r="F132">
            <v>45811.409722222219</v>
          </cell>
          <cell r="G132" t="str">
            <v>GEPR</v>
          </cell>
          <cell r="H132">
            <v>321.93</v>
          </cell>
          <cell r="I132">
            <v>1.9</v>
          </cell>
          <cell r="J132">
            <v>323.83</v>
          </cell>
          <cell r="K132">
            <v>1</v>
          </cell>
          <cell r="L132">
            <v>0.54</v>
          </cell>
          <cell r="M132">
            <v>28.42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(BLY-HQ3)</v>
          </cell>
          <cell r="V132">
            <v>61</v>
          </cell>
          <cell r="W132">
            <v>0</v>
          </cell>
          <cell r="X132">
            <v>321.93</v>
          </cell>
          <cell r="Y132">
            <v>323.83</v>
          </cell>
          <cell r="AA132" t="str">
            <v>IBCR0501ECP5Q01</v>
          </cell>
          <cell r="AC132">
            <v>3</v>
          </cell>
          <cell r="AD132" t="str">
            <v>BLY HQ3</v>
          </cell>
          <cell r="AE132" t="str">
            <v>Water-based mud (WBM)</v>
          </cell>
          <cell r="AF132" t="str">
            <v>PureBore by Clear Solutions</v>
          </cell>
        </row>
        <row r="133">
          <cell r="A133">
            <v>132</v>
          </cell>
          <cell r="B133">
            <v>501</v>
          </cell>
          <cell r="C133" t="str">
            <v>M0111</v>
          </cell>
          <cell r="D133" t="str">
            <v>B</v>
          </cell>
          <cell r="E133" t="str">
            <v>501_M0111_B_132R</v>
          </cell>
          <cell r="F133">
            <v>45811.4375</v>
          </cell>
          <cell r="G133" t="str">
            <v>GEPR</v>
          </cell>
          <cell r="H133">
            <v>323.83</v>
          </cell>
          <cell r="I133">
            <v>2.2999999999999998</v>
          </cell>
          <cell r="J133">
            <v>326.13</v>
          </cell>
          <cell r="K133">
            <v>1</v>
          </cell>
          <cell r="L133">
            <v>0.23</v>
          </cell>
          <cell r="M133">
            <v>10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(BLY-HQ3)</v>
          </cell>
          <cell r="V133">
            <v>61</v>
          </cell>
          <cell r="W133">
            <v>0</v>
          </cell>
          <cell r="X133">
            <v>323.83</v>
          </cell>
          <cell r="Y133">
            <v>326.13</v>
          </cell>
          <cell r="AA133" t="str">
            <v>IBCR0501ECQ5Q01</v>
          </cell>
          <cell r="AC133">
            <v>3</v>
          </cell>
          <cell r="AD133" t="str">
            <v>BLY HQ3</v>
          </cell>
          <cell r="AE133" t="str">
            <v>Water-based mud (WBM)</v>
          </cell>
          <cell r="AF133" t="str">
            <v>PureBore by Clear Solutions</v>
          </cell>
        </row>
        <row r="134">
          <cell r="A134">
            <v>133</v>
          </cell>
          <cell r="B134">
            <v>501</v>
          </cell>
          <cell r="C134" t="str">
            <v>M0111</v>
          </cell>
          <cell r="D134" t="str">
            <v>B</v>
          </cell>
          <cell r="E134" t="str">
            <v>501_M0111_B_133R</v>
          </cell>
          <cell r="F134">
            <v>45811.472222222219</v>
          </cell>
          <cell r="G134" t="str">
            <v>GEPR</v>
          </cell>
          <cell r="H134">
            <v>326.13</v>
          </cell>
          <cell r="I134">
            <v>2.85</v>
          </cell>
          <cell r="J134">
            <v>328.98</v>
          </cell>
          <cell r="K134">
            <v>2</v>
          </cell>
          <cell r="L134">
            <v>2.2000000000000002</v>
          </cell>
          <cell r="M134">
            <v>77.19</v>
          </cell>
          <cell r="P134" t="str">
            <v>microspheres added</v>
          </cell>
          <cell r="X134">
            <v>326.13</v>
          </cell>
          <cell r="Y134">
            <v>328.98</v>
          </cell>
        </row>
        <row r="135">
          <cell r="A135">
            <v>134</v>
          </cell>
          <cell r="B135">
            <v>501</v>
          </cell>
          <cell r="C135" t="str">
            <v>M0111</v>
          </cell>
          <cell r="D135" t="str">
            <v>B</v>
          </cell>
          <cell r="E135" t="str">
            <v>501_M0111_B_134R</v>
          </cell>
          <cell r="F135">
            <v>45811.5</v>
          </cell>
          <cell r="G135" t="str">
            <v>GEPR</v>
          </cell>
          <cell r="H135">
            <v>328.98</v>
          </cell>
          <cell r="I135">
            <v>1.85</v>
          </cell>
          <cell r="J135">
            <v>330.83</v>
          </cell>
          <cell r="K135">
            <v>1</v>
          </cell>
          <cell r="L135">
            <v>0.71</v>
          </cell>
          <cell r="M135">
            <v>38.380000000000003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(BLY-HQ3)</v>
          </cell>
          <cell r="V135">
            <v>61</v>
          </cell>
          <cell r="W135">
            <v>0</v>
          </cell>
          <cell r="X135">
            <v>328.98</v>
          </cell>
          <cell r="Y135">
            <v>330.83</v>
          </cell>
          <cell r="AA135" t="str">
            <v>IBCR0501ECS5Q01</v>
          </cell>
          <cell r="AC135">
            <v>3</v>
          </cell>
          <cell r="AD135" t="str">
            <v>BLY HQ3</v>
          </cell>
          <cell r="AE135" t="str">
            <v>Water-based mud (WBM)</v>
          </cell>
          <cell r="AF135" t="str">
            <v>PureBore by Clear Solutions</v>
          </cell>
        </row>
        <row r="136">
          <cell r="A136">
            <v>135</v>
          </cell>
          <cell r="B136">
            <v>501</v>
          </cell>
          <cell r="C136" t="str">
            <v>M0111</v>
          </cell>
          <cell r="D136" t="str">
            <v>B</v>
          </cell>
          <cell r="E136" t="str">
            <v>501_M0111_B_135R</v>
          </cell>
          <cell r="F136">
            <v>45811.53125</v>
          </cell>
          <cell r="G136" t="str">
            <v>GEPR</v>
          </cell>
          <cell r="H136">
            <v>330.83</v>
          </cell>
          <cell r="I136">
            <v>1.4</v>
          </cell>
          <cell r="J136">
            <v>332.23</v>
          </cell>
          <cell r="K136">
            <v>1</v>
          </cell>
          <cell r="L136">
            <v>0.72</v>
          </cell>
          <cell r="M136">
            <v>51.43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(BLY-HQ3)</v>
          </cell>
          <cell r="V136">
            <v>61</v>
          </cell>
          <cell r="W136">
            <v>0</v>
          </cell>
          <cell r="X136">
            <v>330.83</v>
          </cell>
          <cell r="Y136">
            <v>332.23</v>
          </cell>
          <cell r="AA136" t="str">
            <v>IBCR0501ECT5Q01</v>
          </cell>
          <cell r="AC136">
            <v>3</v>
          </cell>
          <cell r="AD136" t="str">
            <v>BLY HQ3</v>
          </cell>
          <cell r="AE136" t="str">
            <v>Water-based mud (WBM)</v>
          </cell>
          <cell r="AF136" t="str">
            <v>PureBore by Clear Solutions</v>
          </cell>
        </row>
        <row r="137">
          <cell r="A137">
            <v>136</v>
          </cell>
          <cell r="B137">
            <v>501</v>
          </cell>
          <cell r="C137" t="str">
            <v>M0111</v>
          </cell>
          <cell r="D137" t="str">
            <v>B</v>
          </cell>
          <cell r="E137" t="str">
            <v>501_M0111_B_136R</v>
          </cell>
          <cell r="F137">
            <v>45811.576388888891</v>
          </cell>
          <cell r="G137" t="str">
            <v>GEPR</v>
          </cell>
          <cell r="H137">
            <v>332.23</v>
          </cell>
          <cell r="I137">
            <v>0.35</v>
          </cell>
          <cell r="J137">
            <v>332.58</v>
          </cell>
          <cell r="K137">
            <v>0</v>
          </cell>
          <cell r="L137">
            <v>0</v>
          </cell>
          <cell r="M137">
            <v>0</v>
          </cell>
          <cell r="P137" t="str">
            <v>no recovery</v>
          </cell>
          <cell r="Q137" t="str">
            <v>no</v>
          </cell>
          <cell r="R137" t="str">
            <v>none</v>
          </cell>
          <cell r="S137" t="str">
            <v>R</v>
          </cell>
          <cell r="T137" t="str">
            <v>R (BLY-HQ3)</v>
          </cell>
          <cell r="V137">
            <v>61</v>
          </cell>
          <cell r="W137">
            <v>0</v>
          </cell>
          <cell r="X137">
            <v>332.23</v>
          </cell>
          <cell r="Y137">
            <v>332.58</v>
          </cell>
          <cell r="AA137" t="str">
            <v>IBCR0501ECU5Q01</v>
          </cell>
          <cell r="AC137">
            <v>3</v>
          </cell>
          <cell r="AD137" t="str">
            <v>BLY HQ3</v>
          </cell>
          <cell r="AE137" t="str">
            <v>Water-based mud (WBM)</v>
          </cell>
          <cell r="AF137" t="str">
            <v>PureBore by Clear Solutions</v>
          </cell>
        </row>
        <row r="138">
          <cell r="A138">
            <v>137</v>
          </cell>
          <cell r="B138">
            <v>501</v>
          </cell>
          <cell r="C138" t="str">
            <v>M0111</v>
          </cell>
          <cell r="D138" t="str">
            <v>B</v>
          </cell>
          <cell r="E138" t="str">
            <v>501_M0111_B_137R</v>
          </cell>
          <cell r="F138">
            <v>45811.597222222219</v>
          </cell>
          <cell r="G138" t="str">
            <v>GEPR</v>
          </cell>
          <cell r="H138">
            <v>332.58</v>
          </cell>
          <cell r="I138">
            <v>2.4</v>
          </cell>
          <cell r="J138">
            <v>334.98</v>
          </cell>
          <cell r="K138">
            <v>1</v>
          </cell>
          <cell r="L138">
            <v>0.64</v>
          </cell>
          <cell r="M138">
            <v>26.67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(BLY-HQ3)</v>
          </cell>
          <cell r="V138">
            <v>61</v>
          </cell>
          <cell r="W138">
            <v>0</v>
          </cell>
          <cell r="X138">
            <v>332.58</v>
          </cell>
          <cell r="Y138">
            <v>334.98</v>
          </cell>
          <cell r="AA138" t="str">
            <v>IBCR0501ECV5Q01</v>
          </cell>
          <cell r="AC138">
            <v>3</v>
          </cell>
          <cell r="AD138" t="str">
            <v>BLY HQ3</v>
          </cell>
          <cell r="AE138" t="str">
            <v>Water-based mud (WBM)</v>
          </cell>
          <cell r="AF138" t="str">
            <v>PureBore by Clear Solutions</v>
          </cell>
        </row>
        <row r="139">
          <cell r="A139">
            <v>138</v>
          </cell>
          <cell r="B139">
            <v>501</v>
          </cell>
          <cell r="C139" t="str">
            <v>M0111</v>
          </cell>
          <cell r="D139" t="str">
            <v>B</v>
          </cell>
          <cell r="E139" t="str">
            <v>501_M0111_B_138R</v>
          </cell>
          <cell r="F139">
            <v>45811.645833333336</v>
          </cell>
          <cell r="G139" t="str">
            <v>GEPR</v>
          </cell>
          <cell r="H139">
            <v>334.98</v>
          </cell>
          <cell r="I139">
            <v>1.35</v>
          </cell>
          <cell r="J139">
            <v>336.33</v>
          </cell>
          <cell r="K139">
            <v>1</v>
          </cell>
          <cell r="L139">
            <v>1.39</v>
          </cell>
          <cell r="M139">
            <v>102.96</v>
          </cell>
          <cell r="Q139" t="str">
            <v>yes</v>
          </cell>
          <cell r="R139" t="str">
            <v>all</v>
          </cell>
          <cell r="S139" t="str">
            <v>R</v>
          </cell>
          <cell r="T139" t="str">
            <v>R (BLY-HQ3)</v>
          </cell>
          <cell r="V139">
            <v>61</v>
          </cell>
          <cell r="W139">
            <v>0</v>
          </cell>
          <cell r="X139">
            <v>334.98</v>
          </cell>
          <cell r="Y139">
            <v>336.33</v>
          </cell>
          <cell r="AA139" t="str">
            <v>IBCR0501ECW5Q01</v>
          </cell>
          <cell r="AC139">
            <v>3</v>
          </cell>
          <cell r="AD139" t="str">
            <v>BLY HQ3</v>
          </cell>
          <cell r="AE139" t="str">
            <v>Water-based mud (WBM)</v>
          </cell>
          <cell r="AF139" t="str">
            <v>PureBore by Clear Solutions</v>
          </cell>
        </row>
        <row r="140">
          <cell r="A140">
            <v>139</v>
          </cell>
          <cell r="B140">
            <v>501</v>
          </cell>
          <cell r="C140" t="str">
            <v>M0111</v>
          </cell>
          <cell r="D140" t="str">
            <v>B</v>
          </cell>
          <cell r="E140" t="str">
            <v>501_M0111_B_139R</v>
          </cell>
          <cell r="F140">
            <v>45811.690972222219</v>
          </cell>
          <cell r="G140" t="str">
            <v>LONGE</v>
          </cell>
          <cell r="H140">
            <v>336.33</v>
          </cell>
          <cell r="I140">
            <v>1.7</v>
          </cell>
          <cell r="J140">
            <v>338.03</v>
          </cell>
          <cell r="K140">
            <v>1</v>
          </cell>
          <cell r="L140">
            <v>0.91</v>
          </cell>
          <cell r="M140">
            <v>53.53</v>
          </cell>
          <cell r="Q140" t="str">
            <v>yes</v>
          </cell>
          <cell r="R140" t="str">
            <v>all</v>
          </cell>
          <cell r="S140" t="str">
            <v>R</v>
          </cell>
          <cell r="T140" t="str">
            <v>R (BLY-HQ3)</v>
          </cell>
          <cell r="V140">
            <v>61</v>
          </cell>
          <cell r="W140">
            <v>0</v>
          </cell>
          <cell r="X140">
            <v>336.33</v>
          </cell>
          <cell r="Y140">
            <v>338.03</v>
          </cell>
          <cell r="AA140" t="str">
            <v>IBCR0501ECX5Q01</v>
          </cell>
          <cell r="AC140">
            <v>3</v>
          </cell>
          <cell r="AD140" t="str">
            <v>BLY HQ3</v>
          </cell>
          <cell r="AE140" t="str">
            <v>Water-based mud (WBM)</v>
          </cell>
          <cell r="AF140" t="str">
            <v>PureBore by Clear Solutions</v>
          </cell>
        </row>
        <row r="141">
          <cell r="A141">
            <v>140</v>
          </cell>
          <cell r="B141">
            <v>501</v>
          </cell>
          <cell r="C141" t="str">
            <v>M0111</v>
          </cell>
          <cell r="D141" t="str">
            <v>B</v>
          </cell>
          <cell r="E141" t="str">
            <v>501_M0111_B_140R</v>
          </cell>
          <cell r="F141">
            <v>45811.729166666664</v>
          </cell>
          <cell r="G141" t="str">
            <v>WINK</v>
          </cell>
          <cell r="H141">
            <v>338.03</v>
          </cell>
          <cell r="I141">
            <v>1.65</v>
          </cell>
          <cell r="J141">
            <v>339.68</v>
          </cell>
          <cell r="K141">
            <v>1</v>
          </cell>
          <cell r="L141">
            <v>0.62</v>
          </cell>
          <cell r="M141">
            <v>37.58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(BLY-HQ3)</v>
          </cell>
          <cell r="V141">
            <v>61</v>
          </cell>
          <cell r="W141">
            <v>0</v>
          </cell>
          <cell r="X141">
            <v>338.03</v>
          </cell>
          <cell r="Y141">
            <v>339.68</v>
          </cell>
          <cell r="AA141" t="str">
            <v>IBCR0501ECY5Q01</v>
          </cell>
          <cell r="AC141">
            <v>3</v>
          </cell>
          <cell r="AD141" t="str">
            <v>BLY HQ3</v>
          </cell>
          <cell r="AE141" t="str">
            <v>Water-based mud (WBM)</v>
          </cell>
          <cell r="AF141" t="str">
            <v>PureBore by Clear Solutions</v>
          </cell>
        </row>
        <row r="142">
          <cell r="A142">
            <v>141</v>
          </cell>
          <cell r="B142">
            <v>501</v>
          </cell>
          <cell r="C142" t="str">
            <v>M0111</v>
          </cell>
          <cell r="D142" t="str">
            <v>B</v>
          </cell>
          <cell r="E142" t="str">
            <v>501_M0111_B_141R</v>
          </cell>
          <cell r="F142">
            <v>45811.753472222219</v>
          </cell>
          <cell r="G142" t="str">
            <v>WINK</v>
          </cell>
          <cell r="H142">
            <v>339.68</v>
          </cell>
          <cell r="I142">
            <v>1.7</v>
          </cell>
          <cell r="J142">
            <v>341.38</v>
          </cell>
          <cell r="K142">
            <v>1</v>
          </cell>
          <cell r="L142">
            <v>0.13</v>
          </cell>
          <cell r="M142">
            <v>7.65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(BLY-HQ3)</v>
          </cell>
          <cell r="V142">
            <v>61</v>
          </cell>
          <cell r="W142">
            <v>0</v>
          </cell>
          <cell r="X142">
            <v>339.68</v>
          </cell>
          <cell r="Y142">
            <v>341.38</v>
          </cell>
          <cell r="AA142" t="str">
            <v>IBCR0501ECZ5Q01</v>
          </cell>
          <cell r="AC142">
            <v>3</v>
          </cell>
          <cell r="AD142" t="str">
            <v>BLY HQ3</v>
          </cell>
          <cell r="AE142" t="str">
            <v>Water-based mud (WBM)</v>
          </cell>
          <cell r="AF142" t="str">
            <v>PureBore by Clear Solutions</v>
          </cell>
        </row>
        <row r="143">
          <cell r="A143">
            <v>142</v>
          </cell>
          <cell r="B143">
            <v>501</v>
          </cell>
          <cell r="C143" t="str">
            <v>M0111</v>
          </cell>
          <cell r="D143" t="str">
            <v>B</v>
          </cell>
          <cell r="E143" t="str">
            <v>501_M0111_B_142R</v>
          </cell>
          <cell r="F143">
            <v>45811.78125</v>
          </cell>
          <cell r="G143" t="str">
            <v>WINK</v>
          </cell>
          <cell r="H143">
            <v>341.38</v>
          </cell>
          <cell r="I143">
            <v>1.35</v>
          </cell>
          <cell r="J143">
            <v>342.73</v>
          </cell>
          <cell r="K143">
            <v>0</v>
          </cell>
          <cell r="L143">
            <v>0</v>
          </cell>
          <cell r="M143">
            <v>0</v>
          </cell>
          <cell r="P143" t="str">
            <v>no recovery</v>
          </cell>
          <cell r="Q143" t="str">
            <v>no</v>
          </cell>
          <cell r="R143" t="str">
            <v>none</v>
          </cell>
          <cell r="S143" t="str">
            <v>R</v>
          </cell>
          <cell r="T143" t="str">
            <v>R (BLY-HQ3)</v>
          </cell>
          <cell r="V143">
            <v>61</v>
          </cell>
          <cell r="W143">
            <v>0</v>
          </cell>
          <cell r="X143">
            <v>341.38</v>
          </cell>
          <cell r="Y143">
            <v>342.73</v>
          </cell>
          <cell r="AA143" t="str">
            <v>IBCR0501EC06Q01</v>
          </cell>
          <cell r="AC143">
            <v>3</v>
          </cell>
          <cell r="AD143" t="str">
            <v>BLY HQ3</v>
          </cell>
          <cell r="AE143" t="str">
            <v>Water-based mud (WBM)</v>
          </cell>
          <cell r="AF143" t="str">
            <v>PureBore by Clear Solutions</v>
          </cell>
        </row>
        <row r="144">
          <cell r="A144">
            <v>143</v>
          </cell>
          <cell r="B144">
            <v>501</v>
          </cell>
          <cell r="C144" t="str">
            <v>M0111</v>
          </cell>
          <cell r="D144" t="str">
            <v>B</v>
          </cell>
          <cell r="E144" t="str">
            <v>501_M0111_B_143R</v>
          </cell>
          <cell r="F144">
            <v>45811.802083333336</v>
          </cell>
          <cell r="G144" t="str">
            <v>KUHN</v>
          </cell>
          <cell r="H144">
            <v>342.73</v>
          </cell>
          <cell r="I144">
            <v>1.7</v>
          </cell>
          <cell r="J144">
            <v>344.43</v>
          </cell>
          <cell r="K144">
            <v>0</v>
          </cell>
          <cell r="L144">
            <v>0</v>
          </cell>
          <cell r="M144">
            <v>0</v>
          </cell>
          <cell r="P144" t="str">
            <v>no recovery</v>
          </cell>
          <cell r="Q144" t="str">
            <v>no</v>
          </cell>
          <cell r="R144" t="str">
            <v>none</v>
          </cell>
          <cell r="S144" t="str">
            <v>R</v>
          </cell>
          <cell r="T144" t="str">
            <v>R (BLY-HQ3)</v>
          </cell>
          <cell r="V144">
            <v>61</v>
          </cell>
          <cell r="W144">
            <v>0</v>
          </cell>
          <cell r="X144">
            <v>342.73</v>
          </cell>
          <cell r="Y144">
            <v>344.43</v>
          </cell>
          <cell r="AA144" t="str">
            <v>IBCR0501EC16Q01</v>
          </cell>
          <cell r="AC144">
            <v>3</v>
          </cell>
          <cell r="AD144" t="str">
            <v>BLY HQ3</v>
          </cell>
          <cell r="AE144" t="str">
            <v>Water-based mud (WBM)</v>
          </cell>
          <cell r="AF144" t="str">
            <v>PureBore by Clear Solutions</v>
          </cell>
        </row>
        <row r="145">
          <cell r="A145">
            <v>144</v>
          </cell>
          <cell r="B145">
            <v>501</v>
          </cell>
          <cell r="C145" t="str">
            <v>M0111</v>
          </cell>
          <cell r="D145" t="str">
            <v>B</v>
          </cell>
          <cell r="E145" t="str">
            <v>501_M0111_B_144R</v>
          </cell>
          <cell r="F145">
            <v>45811.822916666664</v>
          </cell>
          <cell r="G145" t="str">
            <v>WINK</v>
          </cell>
          <cell r="H145">
            <v>344.43</v>
          </cell>
          <cell r="I145">
            <v>0.55000000000000004</v>
          </cell>
          <cell r="J145">
            <v>344.98</v>
          </cell>
          <cell r="K145">
            <v>1</v>
          </cell>
          <cell r="L145">
            <v>0.46</v>
          </cell>
          <cell r="M145">
            <v>83.64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(BLY-HQ3)</v>
          </cell>
          <cell r="V145">
            <v>61</v>
          </cell>
          <cell r="W145">
            <v>0</v>
          </cell>
          <cell r="X145">
            <v>344.43</v>
          </cell>
          <cell r="Y145">
            <v>344.98</v>
          </cell>
          <cell r="AA145" t="str">
            <v>IBCR0501EC26Q01</v>
          </cell>
          <cell r="AC145">
            <v>3</v>
          </cell>
          <cell r="AD145" t="str">
            <v>BLY HQ3</v>
          </cell>
          <cell r="AE145" t="str">
            <v>Water-based mud (WBM)</v>
          </cell>
          <cell r="AF145" t="str">
            <v>PureBore by Clear Solutions</v>
          </cell>
        </row>
        <row r="146">
          <cell r="A146">
            <v>145</v>
          </cell>
          <cell r="B146">
            <v>501</v>
          </cell>
          <cell r="C146" t="str">
            <v>M0111</v>
          </cell>
          <cell r="D146" t="str">
            <v>B</v>
          </cell>
          <cell r="E146" t="str">
            <v>501_M0111_B_145R</v>
          </cell>
          <cell r="F146">
            <v>45811.840277777781</v>
          </cell>
          <cell r="G146" t="str">
            <v>KUHN</v>
          </cell>
          <cell r="H146">
            <v>344.98</v>
          </cell>
          <cell r="I146">
            <v>0.8</v>
          </cell>
          <cell r="J146">
            <v>345.78</v>
          </cell>
          <cell r="K146">
            <v>0</v>
          </cell>
          <cell r="L146">
            <v>0</v>
          </cell>
          <cell r="M146">
            <v>0</v>
          </cell>
          <cell r="P146" t="str">
            <v>no recovery</v>
          </cell>
          <cell r="Q146" t="str">
            <v>no</v>
          </cell>
          <cell r="R146" t="str">
            <v>none</v>
          </cell>
          <cell r="S146" t="str">
            <v>R</v>
          </cell>
          <cell r="T146" t="str">
            <v>R (BLY-HQ3)</v>
          </cell>
          <cell r="V146">
            <v>61</v>
          </cell>
          <cell r="W146">
            <v>0</v>
          </cell>
          <cell r="X146">
            <v>344.98</v>
          </cell>
          <cell r="Y146">
            <v>345.78</v>
          </cell>
          <cell r="AA146" t="str">
            <v>IBCR0501EC36Q01</v>
          </cell>
          <cell r="AC146">
            <v>3</v>
          </cell>
          <cell r="AD146" t="str">
            <v>BLY HQ3</v>
          </cell>
          <cell r="AE146" t="str">
            <v>Water-based mud (WBM)</v>
          </cell>
          <cell r="AF146" t="str">
            <v>PureBore by Clear Solutions</v>
          </cell>
        </row>
        <row r="147">
          <cell r="A147">
            <v>146</v>
          </cell>
          <cell r="B147">
            <v>501</v>
          </cell>
          <cell r="C147" t="str">
            <v>M0111</v>
          </cell>
          <cell r="D147" t="str">
            <v>B</v>
          </cell>
          <cell r="E147" t="str">
            <v>501_M0111_B_146R</v>
          </cell>
          <cell r="F147">
            <v>45811.857638888891</v>
          </cell>
          <cell r="G147" t="str">
            <v>WINK</v>
          </cell>
          <cell r="H147">
            <v>345.78</v>
          </cell>
          <cell r="I147">
            <v>0.35</v>
          </cell>
          <cell r="J147">
            <v>346.13</v>
          </cell>
          <cell r="K147">
            <v>1</v>
          </cell>
          <cell r="L147">
            <v>0.04</v>
          </cell>
          <cell r="M147">
            <v>11.43</v>
          </cell>
          <cell r="P147" t="str">
            <v>potential mechanical/therml alteration</v>
          </cell>
          <cell r="Q147" t="str">
            <v>yes</v>
          </cell>
          <cell r="R147" t="str">
            <v>none</v>
          </cell>
          <cell r="S147" t="str">
            <v>R</v>
          </cell>
          <cell r="T147" t="str">
            <v>R (BLY-HQ3)</v>
          </cell>
          <cell r="V147">
            <v>61</v>
          </cell>
          <cell r="W147">
            <v>0</v>
          </cell>
          <cell r="X147">
            <v>345.78</v>
          </cell>
          <cell r="Y147">
            <v>346.13</v>
          </cell>
          <cell r="AA147" t="str">
            <v>IBCR0501EC46Q01</v>
          </cell>
          <cell r="AC147">
            <v>3</v>
          </cell>
          <cell r="AD147" t="str">
            <v>BLY HQ3</v>
          </cell>
          <cell r="AE147" t="str">
            <v>Water-based mud (WBM)</v>
          </cell>
          <cell r="AF147" t="str">
            <v>PureBore by Clear Solutions</v>
          </cell>
        </row>
        <row r="148">
          <cell r="A148">
            <v>147</v>
          </cell>
          <cell r="B148">
            <v>501</v>
          </cell>
          <cell r="C148" t="str">
            <v>M0111</v>
          </cell>
          <cell r="D148" t="str">
            <v>B</v>
          </cell>
          <cell r="E148" t="str">
            <v>501_M0111_B_147R</v>
          </cell>
          <cell r="F148">
            <v>45811.888888888891</v>
          </cell>
          <cell r="G148" t="str">
            <v>WINK</v>
          </cell>
          <cell r="H148">
            <v>346.13</v>
          </cell>
          <cell r="I148">
            <v>1.35</v>
          </cell>
          <cell r="J148">
            <v>347.48</v>
          </cell>
          <cell r="K148">
            <v>1</v>
          </cell>
          <cell r="L148">
            <v>0.44</v>
          </cell>
          <cell r="M148">
            <v>32.590000000000003</v>
          </cell>
          <cell r="P148" t="str">
            <v>CC stuck in liner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(BLY-HQ3)</v>
          </cell>
          <cell r="V148">
            <v>61</v>
          </cell>
          <cell r="W148">
            <v>0</v>
          </cell>
          <cell r="X148">
            <v>346.13</v>
          </cell>
          <cell r="Y148">
            <v>347.48</v>
          </cell>
          <cell r="AA148" t="str">
            <v>IBCR0501EC56Q01</v>
          </cell>
          <cell r="AC148">
            <v>3</v>
          </cell>
          <cell r="AD148" t="str">
            <v>BLY HQ3</v>
          </cell>
          <cell r="AE148" t="str">
            <v>Water-based mud (WBM)</v>
          </cell>
          <cell r="AF148" t="str">
            <v>PureBore by Clear Solutions</v>
          </cell>
        </row>
        <row r="149">
          <cell r="A149">
            <v>148</v>
          </cell>
          <cell r="B149">
            <v>501</v>
          </cell>
          <cell r="C149" t="str">
            <v>M0111</v>
          </cell>
          <cell r="D149" t="str">
            <v>B</v>
          </cell>
          <cell r="E149" t="str">
            <v>501_M0111_B_148R</v>
          </cell>
          <cell r="F149">
            <v>45811.951388888891</v>
          </cell>
          <cell r="G149" t="str">
            <v>KUHN</v>
          </cell>
          <cell r="H149">
            <v>347.48</v>
          </cell>
          <cell r="I149">
            <v>0.55000000000000004</v>
          </cell>
          <cell r="J149">
            <v>348.03</v>
          </cell>
          <cell r="K149">
            <v>0</v>
          </cell>
          <cell r="L149">
            <v>0</v>
          </cell>
          <cell r="M149">
            <v>0</v>
          </cell>
          <cell r="P149" t="str">
            <v>no recovery</v>
          </cell>
          <cell r="Q149" t="str">
            <v>no</v>
          </cell>
          <cell r="R149" t="str">
            <v>none</v>
          </cell>
          <cell r="S149" t="str">
            <v>R</v>
          </cell>
          <cell r="T149" t="str">
            <v>R (BLY-HQ3)</v>
          </cell>
          <cell r="V149">
            <v>61</v>
          </cell>
          <cell r="W149">
            <v>0</v>
          </cell>
          <cell r="X149">
            <v>347.48</v>
          </cell>
          <cell r="Y149">
            <v>348.03</v>
          </cell>
          <cell r="AA149" t="str">
            <v>IBCR0501EC66Q01</v>
          </cell>
          <cell r="AC149">
            <v>3</v>
          </cell>
          <cell r="AD149" t="str">
            <v>BLY HQ3</v>
          </cell>
          <cell r="AE149" t="str">
            <v>Water-based mud (WBM)</v>
          </cell>
          <cell r="AF149" t="str">
            <v>PureBore by Clear Solutions</v>
          </cell>
        </row>
        <row r="150">
          <cell r="A150">
            <v>149</v>
          </cell>
          <cell r="B150">
            <v>501</v>
          </cell>
          <cell r="C150" t="str">
            <v>M0111</v>
          </cell>
          <cell r="D150" t="str">
            <v>B</v>
          </cell>
          <cell r="E150" t="str">
            <v>501_M0111_B_149R</v>
          </cell>
          <cell r="F150">
            <v>45811.975694444445</v>
          </cell>
          <cell r="G150" t="str">
            <v>KUHN</v>
          </cell>
          <cell r="H150">
            <v>348.03</v>
          </cell>
          <cell r="I150">
            <v>1</v>
          </cell>
          <cell r="J150">
            <v>349.03</v>
          </cell>
          <cell r="K150">
            <v>1</v>
          </cell>
          <cell r="L150">
            <v>1.1200000000000001</v>
          </cell>
          <cell r="M150">
            <v>112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(BLY-HQ3)</v>
          </cell>
          <cell r="V150">
            <v>61</v>
          </cell>
          <cell r="W150">
            <v>0</v>
          </cell>
          <cell r="X150">
            <v>348.03</v>
          </cell>
          <cell r="Y150">
            <v>349.03</v>
          </cell>
          <cell r="AA150" t="str">
            <v>IBCR0501EC76Q01</v>
          </cell>
          <cell r="AC150">
            <v>3</v>
          </cell>
          <cell r="AD150" t="str">
            <v>BLY HQ3</v>
          </cell>
          <cell r="AE150" t="str">
            <v>Water-based mud (WBM)</v>
          </cell>
          <cell r="AF150" t="str">
            <v>PureBore by Clear Solutions</v>
          </cell>
        </row>
        <row r="151">
          <cell r="A151">
            <v>150</v>
          </cell>
          <cell r="B151">
            <v>501</v>
          </cell>
          <cell r="C151" t="str">
            <v>M0111</v>
          </cell>
          <cell r="D151" t="str">
            <v>B</v>
          </cell>
          <cell r="E151" t="str">
            <v>501_M0111_B_150R</v>
          </cell>
          <cell r="F151">
            <v>45811.996527777781</v>
          </cell>
          <cell r="G151" t="str">
            <v>KUHN</v>
          </cell>
          <cell r="H151">
            <v>349.03</v>
          </cell>
          <cell r="I151">
            <v>1</v>
          </cell>
          <cell r="J151">
            <v>350.03</v>
          </cell>
          <cell r="K151">
            <v>1</v>
          </cell>
          <cell r="L151">
            <v>0.1</v>
          </cell>
          <cell r="M151">
            <v>10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(BLY-HQ3)</v>
          </cell>
          <cell r="V151">
            <v>61</v>
          </cell>
          <cell r="W151">
            <v>0</v>
          </cell>
          <cell r="X151">
            <v>349.03</v>
          </cell>
          <cell r="Y151">
            <v>350.03</v>
          </cell>
          <cell r="AA151" t="str">
            <v>IBCR0501EC86Q01</v>
          </cell>
          <cell r="AC151">
            <v>3</v>
          </cell>
          <cell r="AD151" t="str">
            <v>BLY HQ3</v>
          </cell>
          <cell r="AE151" t="str">
            <v>Water-based mud (WBM)</v>
          </cell>
          <cell r="AF151" t="str">
            <v>PureBore by Clear Solutions</v>
          </cell>
        </row>
        <row r="152">
          <cell r="A152">
            <v>151</v>
          </cell>
          <cell r="B152">
            <v>501</v>
          </cell>
          <cell r="C152" t="str">
            <v>M0111</v>
          </cell>
          <cell r="D152" t="str">
            <v>B</v>
          </cell>
          <cell r="E152" t="str">
            <v>501_M0111_B_151R</v>
          </cell>
          <cell r="F152">
            <v>45812.017361111109</v>
          </cell>
          <cell r="G152" t="str">
            <v>KUHN</v>
          </cell>
          <cell r="H152">
            <v>350.03</v>
          </cell>
          <cell r="I152">
            <v>1.25</v>
          </cell>
          <cell r="J152">
            <v>351.28</v>
          </cell>
          <cell r="K152">
            <v>1</v>
          </cell>
          <cell r="L152">
            <v>0.64</v>
          </cell>
          <cell r="M152">
            <v>51.2</v>
          </cell>
          <cell r="P152" t="str">
            <v>1 SQC2 61-64</v>
          </cell>
          <cell r="X152">
            <v>350.03</v>
          </cell>
          <cell r="Y152">
            <v>351.28</v>
          </cell>
        </row>
        <row r="153">
          <cell r="A153">
            <v>152</v>
          </cell>
          <cell r="B153">
            <v>501</v>
          </cell>
          <cell r="C153" t="str">
            <v>M0111</v>
          </cell>
          <cell r="D153" t="str">
            <v>B</v>
          </cell>
          <cell r="E153" t="str">
            <v>501_M0111_B_152R</v>
          </cell>
          <cell r="F153">
            <v>45812.038194444445</v>
          </cell>
          <cell r="G153" t="str">
            <v>KUHN</v>
          </cell>
          <cell r="H153">
            <v>351.28</v>
          </cell>
          <cell r="I153">
            <v>0.8</v>
          </cell>
          <cell r="J153">
            <v>352.08</v>
          </cell>
          <cell r="K153">
            <v>1</v>
          </cell>
          <cell r="L153">
            <v>0.34</v>
          </cell>
          <cell r="M153">
            <v>42.5</v>
          </cell>
          <cell r="P153" t="str">
            <v>1 SQC2 61-64</v>
          </cell>
          <cell r="X153">
            <v>351.28</v>
          </cell>
          <cell r="Y153">
            <v>352.08</v>
          </cell>
        </row>
        <row r="154">
          <cell r="A154">
            <v>153</v>
          </cell>
          <cell r="B154">
            <v>501</v>
          </cell>
          <cell r="C154" t="str">
            <v>M0111</v>
          </cell>
          <cell r="D154" t="str">
            <v>B</v>
          </cell>
          <cell r="E154" t="str">
            <v>501_M0111_B_153R</v>
          </cell>
          <cell r="F154">
            <v>45812.232638888891</v>
          </cell>
          <cell r="G154" t="str">
            <v>GEPR</v>
          </cell>
          <cell r="H154">
            <v>352.08</v>
          </cell>
          <cell r="I154">
            <v>1.5</v>
          </cell>
          <cell r="J154">
            <v>353.58</v>
          </cell>
          <cell r="K154">
            <v>0</v>
          </cell>
          <cell r="L154">
            <v>0</v>
          </cell>
          <cell r="M154">
            <v>0</v>
          </cell>
          <cell r="P154" t="str">
            <v>no recovery</v>
          </cell>
          <cell r="Q154" t="str">
            <v>no</v>
          </cell>
          <cell r="R154" t="str">
            <v>none</v>
          </cell>
          <cell r="S154" t="str">
            <v>R</v>
          </cell>
          <cell r="T154" t="str">
            <v>R (BLY-HQ3)</v>
          </cell>
          <cell r="V154">
            <v>61</v>
          </cell>
          <cell r="W154">
            <v>0</v>
          </cell>
          <cell r="X154">
            <v>352.08</v>
          </cell>
          <cell r="Y154">
            <v>353.58</v>
          </cell>
          <cell r="AA154" t="str">
            <v>IBCR0501ECB6Q01</v>
          </cell>
          <cell r="AC154">
            <v>3</v>
          </cell>
          <cell r="AD154" t="str">
            <v>BLY HQ3</v>
          </cell>
          <cell r="AE154" t="str">
            <v>Water-based mud (WBM)</v>
          </cell>
          <cell r="AF154" t="str">
            <v>PureBore by Clear Solutions</v>
          </cell>
        </row>
        <row r="155">
          <cell r="A155">
            <v>154</v>
          </cell>
          <cell r="B155">
            <v>501</v>
          </cell>
          <cell r="C155" t="str">
            <v>M0111</v>
          </cell>
          <cell r="D155" t="str">
            <v>B</v>
          </cell>
          <cell r="E155" t="str">
            <v>501_M0111_B_154R</v>
          </cell>
          <cell r="F155">
            <v>45812.260416666664</v>
          </cell>
          <cell r="G155" t="str">
            <v>GEPR</v>
          </cell>
          <cell r="H155">
            <v>353.58</v>
          </cell>
          <cell r="I155">
            <v>1.97</v>
          </cell>
          <cell r="J155">
            <v>355.55</v>
          </cell>
          <cell r="K155">
            <v>1</v>
          </cell>
          <cell r="L155">
            <v>0.23</v>
          </cell>
          <cell r="M155">
            <v>11.68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(BLY-HQ3)</v>
          </cell>
          <cell r="V155">
            <v>61</v>
          </cell>
          <cell r="W155">
            <v>0</v>
          </cell>
          <cell r="X155">
            <v>353.58</v>
          </cell>
          <cell r="Y155">
            <v>355.55</v>
          </cell>
          <cell r="AA155" t="str">
            <v>IBCR0501ECC6Q01</v>
          </cell>
          <cell r="AC155">
            <v>3</v>
          </cell>
          <cell r="AD155" t="str">
            <v>BLY HQ3</v>
          </cell>
          <cell r="AE155" t="str">
            <v>Water-based mud (WBM)</v>
          </cell>
          <cell r="AF155" t="str">
            <v>PureBore by Clear Solutions</v>
          </cell>
        </row>
        <row r="156">
          <cell r="A156">
            <v>155</v>
          </cell>
          <cell r="B156">
            <v>501</v>
          </cell>
          <cell r="C156" t="str">
            <v>M0111</v>
          </cell>
          <cell r="D156" t="str">
            <v>B</v>
          </cell>
          <cell r="E156" t="str">
            <v>501_M0111_B_155R</v>
          </cell>
          <cell r="F156">
            <v>45812.288194444445</v>
          </cell>
          <cell r="G156" t="str">
            <v>GEPR</v>
          </cell>
          <cell r="H156">
            <v>355.55</v>
          </cell>
          <cell r="I156">
            <v>3.05</v>
          </cell>
          <cell r="J156">
            <v>358.6</v>
          </cell>
          <cell r="K156">
            <v>1</v>
          </cell>
          <cell r="L156">
            <v>0.97</v>
          </cell>
          <cell r="M156">
            <v>31.8</v>
          </cell>
          <cell r="P156" t="str">
            <v>grey-red transition</v>
          </cell>
          <cell r="Q156" t="str">
            <v>yes</v>
          </cell>
          <cell r="R156" t="str">
            <v>all</v>
          </cell>
          <cell r="S156" t="str">
            <v>R</v>
          </cell>
          <cell r="T156" t="str">
            <v>R (BLY-HQ3)</v>
          </cell>
          <cell r="V156">
            <v>61</v>
          </cell>
          <cell r="W156">
            <v>0</v>
          </cell>
          <cell r="X156">
            <v>355.55</v>
          </cell>
          <cell r="Y156">
            <v>358.6</v>
          </cell>
          <cell r="AA156" t="str">
            <v>IBCR0501ECD6Q01</v>
          </cell>
          <cell r="AC156">
            <v>3</v>
          </cell>
          <cell r="AD156" t="str">
            <v>BLY HQ3</v>
          </cell>
          <cell r="AE156" t="str">
            <v>Water-based mud (WBM)</v>
          </cell>
          <cell r="AF156" t="str">
            <v>PureBore by Clear Solutions</v>
          </cell>
        </row>
        <row r="157">
          <cell r="A157">
            <v>156</v>
          </cell>
          <cell r="B157">
            <v>501</v>
          </cell>
          <cell r="C157" t="str">
            <v>M0111</v>
          </cell>
          <cell r="D157" t="str">
            <v>B</v>
          </cell>
          <cell r="E157" t="str">
            <v>501_M0111_B_156R</v>
          </cell>
          <cell r="F157">
            <v>45812.315972222219</v>
          </cell>
          <cell r="G157" t="str">
            <v>GEPR</v>
          </cell>
          <cell r="H157">
            <v>358.6</v>
          </cell>
          <cell r="I157">
            <v>2.23</v>
          </cell>
          <cell r="J157">
            <v>360.83</v>
          </cell>
          <cell r="K157">
            <v>1</v>
          </cell>
          <cell r="L157">
            <v>0.15</v>
          </cell>
          <cell r="M157">
            <v>6.73</v>
          </cell>
          <cell r="Q157" t="str">
            <v>yes</v>
          </cell>
          <cell r="R157" t="str">
            <v>all</v>
          </cell>
          <cell r="S157" t="str">
            <v>R</v>
          </cell>
          <cell r="T157" t="str">
            <v>R (BLY-HQ3)</v>
          </cell>
          <cell r="V157">
            <v>61</v>
          </cell>
          <cell r="W157">
            <v>0</v>
          </cell>
          <cell r="X157">
            <v>358.6</v>
          </cell>
          <cell r="Y157">
            <v>360.83</v>
          </cell>
          <cell r="AA157" t="str">
            <v>IBCR0501ECE6Q01</v>
          </cell>
          <cell r="AC157">
            <v>3</v>
          </cell>
          <cell r="AD157" t="str">
            <v>BLY HQ3</v>
          </cell>
          <cell r="AE157" t="str">
            <v>Water-based mud (WBM)</v>
          </cell>
          <cell r="AF157" t="str">
            <v>PureBore by Clear Solutions</v>
          </cell>
        </row>
        <row r="158">
          <cell r="A158">
            <v>157</v>
          </cell>
          <cell r="B158">
            <v>501</v>
          </cell>
          <cell r="C158" t="str">
            <v>M0111</v>
          </cell>
          <cell r="D158" t="str">
            <v>B</v>
          </cell>
          <cell r="E158" t="str">
            <v>501_M0111_B_157R</v>
          </cell>
          <cell r="F158">
            <v>45812.340277777781</v>
          </cell>
          <cell r="G158" t="str">
            <v>GEPR</v>
          </cell>
          <cell r="H158">
            <v>360.83</v>
          </cell>
          <cell r="I158">
            <v>0.9</v>
          </cell>
          <cell r="J158">
            <v>361.73</v>
          </cell>
          <cell r="K158">
            <v>1</v>
          </cell>
          <cell r="L158">
            <v>0.74</v>
          </cell>
          <cell r="M158">
            <v>82.22</v>
          </cell>
          <cell r="Q158" t="str">
            <v>yes</v>
          </cell>
          <cell r="R158" t="str">
            <v>all</v>
          </cell>
          <cell r="S158" t="str">
            <v>R</v>
          </cell>
          <cell r="T158" t="str">
            <v>R (BLY-HQ3)</v>
          </cell>
          <cell r="V158">
            <v>61</v>
          </cell>
          <cell r="W158">
            <v>0</v>
          </cell>
          <cell r="X158">
            <v>360.83</v>
          </cell>
          <cell r="Y158">
            <v>361.73</v>
          </cell>
          <cell r="AA158" t="str">
            <v>IBCR0501ECF6Q01</v>
          </cell>
          <cell r="AC158">
            <v>3</v>
          </cell>
          <cell r="AD158" t="str">
            <v>BLY HQ3</v>
          </cell>
          <cell r="AE158" t="str">
            <v>Water-based mud (WBM)</v>
          </cell>
          <cell r="AF158" t="str">
            <v>PureBore by Clear Solutions</v>
          </cell>
        </row>
        <row r="159">
          <cell r="A159">
            <v>158</v>
          </cell>
          <cell r="B159">
            <v>501</v>
          </cell>
          <cell r="C159" t="str">
            <v>M0111</v>
          </cell>
          <cell r="D159" t="str">
            <v>B</v>
          </cell>
          <cell r="E159" t="str">
            <v>501_M0111_B_158R</v>
          </cell>
          <cell r="F159">
            <v>45812.368055555555</v>
          </cell>
          <cell r="G159" t="str">
            <v>GEPR</v>
          </cell>
          <cell r="H159">
            <v>361.73</v>
          </cell>
          <cell r="I159">
            <v>3.05</v>
          </cell>
          <cell r="J159">
            <v>364.78</v>
          </cell>
          <cell r="K159">
            <v>2</v>
          </cell>
          <cell r="L159">
            <v>0.99</v>
          </cell>
          <cell r="M159">
            <v>32.46</v>
          </cell>
          <cell r="Q159" t="str">
            <v>yes</v>
          </cell>
          <cell r="R159" t="str">
            <v>all</v>
          </cell>
          <cell r="S159" t="str">
            <v>R</v>
          </cell>
          <cell r="T159" t="str">
            <v>R (BLY-HQ3)</v>
          </cell>
          <cell r="V159">
            <v>61</v>
          </cell>
          <cell r="W159">
            <v>0</v>
          </cell>
          <cell r="X159">
            <v>361.73</v>
          </cell>
          <cell r="Y159">
            <v>364.78</v>
          </cell>
          <cell r="AA159" t="str">
            <v>IBCR0501ECG6Q01</v>
          </cell>
          <cell r="AC159">
            <v>3</v>
          </cell>
          <cell r="AD159" t="str">
            <v>BLY HQ3</v>
          </cell>
          <cell r="AE159" t="str">
            <v>Water-based mud (WBM)</v>
          </cell>
          <cell r="AF159" t="str">
            <v>PureBore by Clear Solutions</v>
          </cell>
        </row>
        <row r="160">
          <cell r="A160">
            <v>159</v>
          </cell>
          <cell r="B160">
            <v>501</v>
          </cell>
          <cell r="C160" t="str">
            <v>M0111</v>
          </cell>
          <cell r="D160" t="str">
            <v>B</v>
          </cell>
          <cell r="E160" t="str">
            <v>501_M0111_B_159R</v>
          </cell>
          <cell r="F160">
            <v>45812.385416666664</v>
          </cell>
          <cell r="G160" t="str">
            <v>GEPR</v>
          </cell>
          <cell r="H160">
            <v>364.78</v>
          </cell>
          <cell r="I160">
            <v>1.3</v>
          </cell>
          <cell r="J160">
            <v>366.08</v>
          </cell>
          <cell r="K160">
            <v>1</v>
          </cell>
          <cell r="L160">
            <v>0.6</v>
          </cell>
          <cell r="M160">
            <v>46.15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(BLY-HQ3)</v>
          </cell>
          <cell r="V160">
            <v>61</v>
          </cell>
          <cell r="W160">
            <v>0</v>
          </cell>
          <cell r="X160">
            <v>364.78</v>
          </cell>
          <cell r="Y160">
            <v>366.08</v>
          </cell>
          <cell r="AA160" t="str">
            <v>IBCR0501ECH6Q01</v>
          </cell>
          <cell r="AC160">
            <v>3</v>
          </cell>
          <cell r="AD160" t="str">
            <v>BLY HQ3</v>
          </cell>
          <cell r="AE160" t="str">
            <v>Water-based mud (WBM)</v>
          </cell>
          <cell r="AF160" t="str">
            <v>PureBore by Clear Solutions</v>
          </cell>
        </row>
        <row r="161">
          <cell r="A161">
            <v>160</v>
          </cell>
          <cell r="B161">
            <v>501</v>
          </cell>
          <cell r="C161" t="str">
            <v>M0111</v>
          </cell>
          <cell r="D161" t="str">
            <v>B</v>
          </cell>
          <cell r="E161" t="str">
            <v>501_M0111_B_160R</v>
          </cell>
          <cell r="F161">
            <v>45812.434027777781</v>
          </cell>
          <cell r="G161" t="str">
            <v>GEPR</v>
          </cell>
          <cell r="H161">
            <v>366.08</v>
          </cell>
          <cell r="I161">
            <v>2.75</v>
          </cell>
          <cell r="J161">
            <v>368.83</v>
          </cell>
          <cell r="K161">
            <v>1</v>
          </cell>
          <cell r="L161">
            <v>0.42</v>
          </cell>
          <cell r="M161">
            <v>15.27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(BLY-HQ3)</v>
          </cell>
          <cell r="V161">
            <v>61</v>
          </cell>
          <cell r="W161">
            <v>0</v>
          </cell>
          <cell r="X161">
            <v>366.08</v>
          </cell>
          <cell r="Y161">
            <v>368.83</v>
          </cell>
          <cell r="AA161" t="str">
            <v>IBCR0501ECI6Q01</v>
          </cell>
          <cell r="AC161">
            <v>3</v>
          </cell>
          <cell r="AD161" t="str">
            <v>BLY HQ3</v>
          </cell>
          <cell r="AE161" t="str">
            <v>Water-based mud (WBM)</v>
          </cell>
          <cell r="AF161" t="str">
            <v>PureBore by Clear Solutions</v>
          </cell>
        </row>
        <row r="162">
          <cell r="A162">
            <v>161</v>
          </cell>
          <cell r="B162">
            <v>501</v>
          </cell>
          <cell r="C162" t="str">
            <v>M0111</v>
          </cell>
          <cell r="D162" t="str">
            <v>B</v>
          </cell>
          <cell r="E162" t="str">
            <v>501_M0111_B_161R</v>
          </cell>
          <cell r="F162">
            <v>45812.454861111109</v>
          </cell>
          <cell r="G162" t="str">
            <v>GEPR</v>
          </cell>
          <cell r="H162">
            <v>368.83</v>
          </cell>
          <cell r="I162">
            <v>2.4</v>
          </cell>
          <cell r="J162">
            <v>371.23</v>
          </cell>
          <cell r="K162">
            <v>1</v>
          </cell>
          <cell r="L162">
            <v>1</v>
          </cell>
          <cell r="M162">
            <v>41.67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(BLY-HQ3)</v>
          </cell>
          <cell r="V162">
            <v>61</v>
          </cell>
          <cell r="W162">
            <v>0</v>
          </cell>
          <cell r="X162">
            <v>368.83</v>
          </cell>
          <cell r="Y162">
            <v>371.23</v>
          </cell>
          <cell r="AA162" t="str">
            <v>IBCR0501ECJ6Q01</v>
          </cell>
          <cell r="AC162">
            <v>3</v>
          </cell>
          <cell r="AD162" t="str">
            <v>BLY HQ3</v>
          </cell>
          <cell r="AE162" t="str">
            <v>Water-based mud (WBM)</v>
          </cell>
          <cell r="AF162" t="str">
            <v>PureBore by Clear Solutions</v>
          </cell>
        </row>
        <row r="163">
          <cell r="A163">
            <v>162</v>
          </cell>
          <cell r="B163">
            <v>501</v>
          </cell>
          <cell r="C163" t="str">
            <v>M0111</v>
          </cell>
          <cell r="D163" t="str">
            <v>B</v>
          </cell>
          <cell r="E163" t="str">
            <v>501_M0111_B_162R</v>
          </cell>
          <cell r="F163">
            <v>45812.475694444445</v>
          </cell>
          <cell r="G163" t="str">
            <v>GEPR</v>
          </cell>
          <cell r="H163">
            <v>371.23</v>
          </cell>
          <cell r="I163">
            <v>2.7</v>
          </cell>
          <cell r="J163">
            <v>373.93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no</v>
          </cell>
          <cell r="R163" t="str">
            <v>none</v>
          </cell>
          <cell r="S163" t="str">
            <v>R</v>
          </cell>
          <cell r="T163" t="str">
            <v>R (BLY-HQ3)</v>
          </cell>
          <cell r="V163">
            <v>61</v>
          </cell>
          <cell r="W163">
            <v>0</v>
          </cell>
          <cell r="X163">
            <v>371.23</v>
          </cell>
          <cell r="Y163">
            <v>373.93</v>
          </cell>
          <cell r="AA163" t="str">
            <v>IBCR0501ECK6Q01</v>
          </cell>
          <cell r="AC163">
            <v>3</v>
          </cell>
          <cell r="AD163" t="str">
            <v>BLY HQ3</v>
          </cell>
          <cell r="AE163" t="str">
            <v>Water-based mud (WBM)</v>
          </cell>
          <cell r="AF163" t="str">
            <v>PureBore by Clear Solutions</v>
          </cell>
        </row>
        <row r="164">
          <cell r="A164">
            <v>163</v>
          </cell>
          <cell r="B164">
            <v>501</v>
          </cell>
          <cell r="C164" t="str">
            <v>M0111</v>
          </cell>
          <cell r="D164" t="str">
            <v>B</v>
          </cell>
          <cell r="E164" t="str">
            <v>501_M0111_B_163R</v>
          </cell>
          <cell r="F164">
            <v>45812.517361111109</v>
          </cell>
          <cell r="G164" t="str">
            <v>GEPR</v>
          </cell>
          <cell r="H164">
            <v>373.93</v>
          </cell>
          <cell r="I164">
            <v>1</v>
          </cell>
          <cell r="J164">
            <v>374.93</v>
          </cell>
          <cell r="K164">
            <v>0</v>
          </cell>
          <cell r="L164">
            <v>0</v>
          </cell>
          <cell r="M164">
            <v>0</v>
          </cell>
          <cell r="P164" t="str">
            <v>no recovery</v>
          </cell>
          <cell r="Q164" t="str">
            <v>no</v>
          </cell>
          <cell r="R164" t="str">
            <v>none</v>
          </cell>
          <cell r="S164" t="str">
            <v>R</v>
          </cell>
          <cell r="T164" t="str">
            <v>R (BLY-HQ3)</v>
          </cell>
          <cell r="V164">
            <v>61</v>
          </cell>
          <cell r="W164">
            <v>0</v>
          </cell>
          <cell r="X164">
            <v>373.93</v>
          </cell>
          <cell r="Y164">
            <v>374.93</v>
          </cell>
          <cell r="AA164" t="str">
            <v>IBCR0501ECL6Q01</v>
          </cell>
          <cell r="AC164">
            <v>3</v>
          </cell>
          <cell r="AD164" t="str">
            <v>BLY HQ3</v>
          </cell>
          <cell r="AE164" t="str">
            <v>Water-based mud (WBM)</v>
          </cell>
          <cell r="AF164" t="str">
            <v>PureBore by Clear Solutions</v>
          </cell>
        </row>
        <row r="165">
          <cell r="A165">
            <v>164</v>
          </cell>
          <cell r="B165">
            <v>501</v>
          </cell>
          <cell r="C165" t="str">
            <v>M0111</v>
          </cell>
          <cell r="D165" t="str">
            <v>B</v>
          </cell>
          <cell r="E165" t="str">
            <v>501_M0111_B_164R</v>
          </cell>
          <cell r="F165">
            <v>45812.607638888891</v>
          </cell>
          <cell r="G165" t="str">
            <v>GEPR</v>
          </cell>
          <cell r="H165">
            <v>374.93</v>
          </cell>
          <cell r="I165">
            <v>3.05</v>
          </cell>
          <cell r="J165">
            <v>377.98</v>
          </cell>
          <cell r="K165">
            <v>0</v>
          </cell>
          <cell r="L165">
            <v>0</v>
          </cell>
          <cell r="M165">
            <v>0</v>
          </cell>
          <cell r="P165" t="str">
            <v>no recovery</v>
          </cell>
          <cell r="Q165" t="str">
            <v>no</v>
          </cell>
          <cell r="R165" t="str">
            <v>none</v>
          </cell>
          <cell r="S165" t="str">
            <v>R</v>
          </cell>
          <cell r="T165" t="str">
            <v>R (BLY-HQ3)</v>
          </cell>
          <cell r="V165">
            <v>61</v>
          </cell>
          <cell r="W165">
            <v>0</v>
          </cell>
          <cell r="X165">
            <v>374.93</v>
          </cell>
          <cell r="Y165">
            <v>377.98</v>
          </cell>
          <cell r="AA165" t="str">
            <v>IBCR0501ECM6Q01</v>
          </cell>
          <cell r="AC165">
            <v>3</v>
          </cell>
          <cell r="AD165" t="str">
            <v>BLY HQ3</v>
          </cell>
          <cell r="AE165" t="str">
            <v>Water-based mud (WBM)</v>
          </cell>
          <cell r="AF165" t="str">
            <v>PureBore by Clear Solutions</v>
          </cell>
        </row>
        <row r="166">
          <cell r="A166">
            <v>165</v>
          </cell>
          <cell r="B166">
            <v>501</v>
          </cell>
          <cell r="C166" t="str">
            <v>M0111</v>
          </cell>
          <cell r="D166" t="str">
            <v>B</v>
          </cell>
          <cell r="E166" t="str">
            <v>501_M0111_B_165R</v>
          </cell>
          <cell r="F166">
            <v>45812.645833333336</v>
          </cell>
          <cell r="G166" t="str">
            <v>GEPR</v>
          </cell>
          <cell r="H166">
            <v>377.98</v>
          </cell>
          <cell r="I166">
            <v>3.05</v>
          </cell>
          <cell r="J166">
            <v>381.03</v>
          </cell>
          <cell r="K166">
            <v>2</v>
          </cell>
          <cell r="L166">
            <v>1.93</v>
          </cell>
          <cell r="M166">
            <v>63.28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(BLY-HQ3)</v>
          </cell>
          <cell r="V166">
            <v>61</v>
          </cell>
          <cell r="W166">
            <v>0</v>
          </cell>
          <cell r="X166">
            <v>377.98</v>
          </cell>
          <cell r="Y166">
            <v>381.03</v>
          </cell>
          <cell r="AA166" t="str">
            <v>IBCR0501ECN6Q01</v>
          </cell>
          <cell r="AC166">
            <v>3</v>
          </cell>
          <cell r="AD166" t="str">
            <v>BLY HQ3</v>
          </cell>
          <cell r="AE166" t="str">
            <v>Water-based mud (WBM)</v>
          </cell>
          <cell r="AF166" t="str">
            <v>PureBore by Clear Solutions</v>
          </cell>
        </row>
        <row r="167">
          <cell r="A167">
            <v>166</v>
          </cell>
          <cell r="B167">
            <v>501</v>
          </cell>
          <cell r="C167" t="str">
            <v>M0111</v>
          </cell>
          <cell r="D167" t="str">
            <v>B</v>
          </cell>
          <cell r="E167" t="str">
            <v>501_M0111_B_166R</v>
          </cell>
          <cell r="F167">
            <v>45812.694444444445</v>
          </cell>
          <cell r="G167" t="str">
            <v>WINK</v>
          </cell>
          <cell r="H167">
            <v>381.03</v>
          </cell>
          <cell r="I167">
            <v>1.05</v>
          </cell>
          <cell r="J167">
            <v>382.08</v>
          </cell>
          <cell r="K167">
            <v>1</v>
          </cell>
          <cell r="L167">
            <v>0.9</v>
          </cell>
          <cell r="M167">
            <v>85.71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(BLY-HQ3)</v>
          </cell>
          <cell r="V167">
            <v>61</v>
          </cell>
          <cell r="W167">
            <v>0</v>
          </cell>
          <cell r="X167">
            <v>381.03</v>
          </cell>
          <cell r="Y167">
            <v>382.08</v>
          </cell>
          <cell r="AA167" t="str">
            <v>IBCR0501ECO6Q01</v>
          </cell>
          <cell r="AC167">
            <v>3</v>
          </cell>
          <cell r="AD167" t="str">
            <v>BLY HQ3</v>
          </cell>
          <cell r="AE167" t="str">
            <v>Water-based mud (WBM)</v>
          </cell>
          <cell r="AF167" t="str">
            <v>PureBore by Clear Solutions</v>
          </cell>
        </row>
        <row r="168">
          <cell r="A168">
            <v>167</v>
          </cell>
          <cell r="B168">
            <v>501</v>
          </cell>
          <cell r="C168" t="str">
            <v>M0111</v>
          </cell>
          <cell r="D168" t="str">
            <v>B</v>
          </cell>
          <cell r="E168" t="str">
            <v>501_M0111_B_167R</v>
          </cell>
          <cell r="F168">
            <v>45812.722222222219</v>
          </cell>
          <cell r="G168" t="str">
            <v>WINK</v>
          </cell>
          <cell r="H168">
            <v>382.08</v>
          </cell>
          <cell r="I168">
            <v>1</v>
          </cell>
          <cell r="J168">
            <v>383.08</v>
          </cell>
          <cell r="K168">
            <v>0</v>
          </cell>
          <cell r="L168">
            <v>0</v>
          </cell>
          <cell r="M168">
            <v>0</v>
          </cell>
          <cell r="P168" t="str">
            <v>no recovery</v>
          </cell>
          <cell r="Q168" t="str">
            <v>no</v>
          </cell>
          <cell r="R168" t="str">
            <v>none</v>
          </cell>
          <cell r="S168" t="str">
            <v>R</v>
          </cell>
          <cell r="T168" t="str">
            <v>R (BLY-HQ3)</v>
          </cell>
          <cell r="V168">
            <v>61</v>
          </cell>
          <cell r="W168">
            <v>0</v>
          </cell>
          <cell r="X168">
            <v>382.08</v>
          </cell>
          <cell r="Y168">
            <v>383.08</v>
          </cell>
          <cell r="AA168" t="str">
            <v>IBCR0501ECP6Q01</v>
          </cell>
          <cell r="AC168">
            <v>3</v>
          </cell>
          <cell r="AD168" t="str">
            <v>BLY HQ3</v>
          </cell>
          <cell r="AE168" t="str">
            <v>Water-based mud (WBM)</v>
          </cell>
          <cell r="AF168" t="str">
            <v>PureBore by Clear Solutions</v>
          </cell>
        </row>
        <row r="169">
          <cell r="A169">
            <v>168</v>
          </cell>
          <cell r="B169">
            <v>501</v>
          </cell>
          <cell r="C169" t="str">
            <v>M0111</v>
          </cell>
          <cell r="D169" t="str">
            <v>B</v>
          </cell>
          <cell r="E169" t="str">
            <v>501_M0111_B_168R</v>
          </cell>
          <cell r="F169">
            <v>45812.767361111109</v>
          </cell>
          <cell r="G169" t="str">
            <v>WINK</v>
          </cell>
          <cell r="H169">
            <v>383.08</v>
          </cell>
          <cell r="I169">
            <v>1</v>
          </cell>
          <cell r="J169">
            <v>384.08</v>
          </cell>
          <cell r="K169">
            <v>1</v>
          </cell>
          <cell r="L169">
            <v>0.17</v>
          </cell>
          <cell r="M169">
            <v>17</v>
          </cell>
          <cell r="Q169" t="str">
            <v>yes</v>
          </cell>
          <cell r="R169" t="str">
            <v>all</v>
          </cell>
          <cell r="S169" t="str">
            <v>R</v>
          </cell>
          <cell r="T169" t="str">
            <v>R (BLY-HQ3)</v>
          </cell>
          <cell r="V169">
            <v>61</v>
          </cell>
          <cell r="W169">
            <v>0</v>
          </cell>
          <cell r="X169">
            <v>383.08</v>
          </cell>
          <cell r="Y169">
            <v>384.08</v>
          </cell>
          <cell r="AA169" t="str">
            <v>IBCR0501ECQ6Q01</v>
          </cell>
          <cell r="AC169">
            <v>3</v>
          </cell>
          <cell r="AD169" t="str">
            <v>BLY HQ3</v>
          </cell>
          <cell r="AE169" t="str">
            <v>Water-based mud (WBM)</v>
          </cell>
          <cell r="AF169" t="str">
            <v>PureBore by Clear Solutions</v>
          </cell>
        </row>
        <row r="170">
          <cell r="A170">
            <v>169</v>
          </cell>
          <cell r="B170">
            <v>501</v>
          </cell>
          <cell r="C170" t="str">
            <v>M0111</v>
          </cell>
          <cell r="D170" t="str">
            <v>B</v>
          </cell>
          <cell r="E170" t="str">
            <v>501_M0111_B_169R</v>
          </cell>
          <cell r="F170">
            <v>45812.798611111109</v>
          </cell>
          <cell r="G170" t="str">
            <v>WINK</v>
          </cell>
          <cell r="H170">
            <v>384.08</v>
          </cell>
          <cell r="I170">
            <v>3.05</v>
          </cell>
          <cell r="J170">
            <v>387.13</v>
          </cell>
          <cell r="K170">
            <v>1</v>
          </cell>
          <cell r="L170">
            <v>0.18</v>
          </cell>
          <cell r="M170">
            <v>5.9</v>
          </cell>
          <cell r="Q170" t="str">
            <v>yes</v>
          </cell>
          <cell r="R170" t="str">
            <v>all</v>
          </cell>
          <cell r="S170" t="str">
            <v>R</v>
          </cell>
          <cell r="T170" t="str">
            <v>R (BLY-HQ3)</v>
          </cell>
          <cell r="V170">
            <v>61</v>
          </cell>
          <cell r="W170">
            <v>0</v>
          </cell>
          <cell r="X170">
            <v>384.08</v>
          </cell>
          <cell r="Y170">
            <v>387.13</v>
          </cell>
          <cell r="AA170" t="str">
            <v>IBCR0501ECR6Q01</v>
          </cell>
          <cell r="AC170">
            <v>3</v>
          </cell>
          <cell r="AD170" t="str">
            <v>BLY HQ3</v>
          </cell>
          <cell r="AE170" t="str">
            <v>Water-based mud (WBM)</v>
          </cell>
          <cell r="AF170" t="str">
            <v>PureBore by Clear Solutions</v>
          </cell>
        </row>
        <row r="171">
          <cell r="A171">
            <v>170</v>
          </cell>
          <cell r="B171">
            <v>501</v>
          </cell>
          <cell r="C171" t="str">
            <v>M0111</v>
          </cell>
          <cell r="D171" t="str">
            <v>B</v>
          </cell>
          <cell r="E171" t="str">
            <v>501_M0111_B_170R</v>
          </cell>
          <cell r="F171">
            <v>45812.836805555555</v>
          </cell>
          <cell r="G171" t="str">
            <v>WINK</v>
          </cell>
          <cell r="H171">
            <v>387.13</v>
          </cell>
          <cell r="I171">
            <v>2.0499999999999998</v>
          </cell>
          <cell r="J171">
            <v>389.18</v>
          </cell>
          <cell r="K171">
            <v>0</v>
          </cell>
          <cell r="L171">
            <v>0</v>
          </cell>
          <cell r="M171">
            <v>0</v>
          </cell>
          <cell r="P171" t="str">
            <v>no recovery</v>
          </cell>
          <cell r="Q171" t="str">
            <v>no</v>
          </cell>
          <cell r="R171" t="str">
            <v>none</v>
          </cell>
          <cell r="S171" t="str">
            <v>R</v>
          </cell>
          <cell r="T171" t="str">
            <v>R (BLY-HQ3)</v>
          </cell>
          <cell r="V171">
            <v>61</v>
          </cell>
          <cell r="W171">
            <v>0</v>
          </cell>
          <cell r="X171">
            <v>387.13</v>
          </cell>
          <cell r="Y171">
            <v>389.18</v>
          </cell>
          <cell r="AA171" t="str">
            <v>IBCR0501ECS6Q01</v>
          </cell>
          <cell r="AC171">
            <v>3</v>
          </cell>
          <cell r="AD171" t="str">
            <v>BLY HQ3</v>
          </cell>
          <cell r="AE171" t="str">
            <v>Water-based mud (WBM)</v>
          </cell>
          <cell r="AF171" t="str">
            <v>PureBore by Clear Solutions</v>
          </cell>
        </row>
        <row r="172">
          <cell r="A172">
            <v>171</v>
          </cell>
          <cell r="B172">
            <v>501</v>
          </cell>
          <cell r="C172" t="str">
            <v>M0111</v>
          </cell>
          <cell r="D172" t="str">
            <v>B</v>
          </cell>
          <cell r="E172" t="str">
            <v>501_M0111_B_171R</v>
          </cell>
          <cell r="F172">
            <v>45812.864583333336</v>
          </cell>
          <cell r="G172" t="str">
            <v>WINK</v>
          </cell>
          <cell r="H172">
            <v>389.18</v>
          </cell>
          <cell r="I172">
            <v>1.05</v>
          </cell>
          <cell r="J172">
            <v>390.23</v>
          </cell>
          <cell r="K172">
            <v>1</v>
          </cell>
          <cell r="L172">
            <v>0.12</v>
          </cell>
          <cell r="M172">
            <v>11.43</v>
          </cell>
          <cell r="Q172" t="str">
            <v>yes</v>
          </cell>
          <cell r="R172" t="str">
            <v>all</v>
          </cell>
          <cell r="S172" t="str">
            <v>R</v>
          </cell>
          <cell r="T172" t="str">
            <v>R (BLY-HQ3)</v>
          </cell>
          <cell r="V172">
            <v>61</v>
          </cell>
          <cell r="W172">
            <v>0</v>
          </cell>
          <cell r="X172">
            <v>389.18</v>
          </cell>
          <cell r="Y172">
            <v>390.23</v>
          </cell>
          <cell r="AA172" t="str">
            <v>IBCR0501ECT6Q01</v>
          </cell>
          <cell r="AC172">
            <v>3</v>
          </cell>
          <cell r="AD172" t="str">
            <v>BLY HQ3</v>
          </cell>
          <cell r="AE172" t="str">
            <v>Water-based mud (WBM)</v>
          </cell>
          <cell r="AF172" t="str">
            <v>PureBore by Clear Solutions</v>
          </cell>
        </row>
        <row r="173">
          <cell r="A173">
            <v>172</v>
          </cell>
          <cell r="B173">
            <v>501</v>
          </cell>
          <cell r="C173" t="str">
            <v>M0111</v>
          </cell>
          <cell r="D173" t="str">
            <v>B</v>
          </cell>
          <cell r="E173" t="str">
            <v>501_M0111_B_172R</v>
          </cell>
          <cell r="F173">
            <v>45812.895833333336</v>
          </cell>
          <cell r="G173" t="str">
            <v>KUHN</v>
          </cell>
          <cell r="H173">
            <v>390.23</v>
          </cell>
          <cell r="I173">
            <v>2.7</v>
          </cell>
          <cell r="J173">
            <v>392.93</v>
          </cell>
          <cell r="K173">
            <v>0</v>
          </cell>
          <cell r="L173">
            <v>0</v>
          </cell>
          <cell r="M173">
            <v>0</v>
          </cell>
          <cell r="P173" t="str">
            <v>no recovery</v>
          </cell>
          <cell r="Q173" t="str">
            <v>no</v>
          </cell>
          <cell r="R173" t="str">
            <v>none</v>
          </cell>
          <cell r="S173" t="str">
            <v>R</v>
          </cell>
          <cell r="T173" t="str">
            <v>R (BLY-HQ3)</v>
          </cell>
          <cell r="V173">
            <v>61</v>
          </cell>
          <cell r="W173">
            <v>0</v>
          </cell>
          <cell r="X173">
            <v>390.23</v>
          </cell>
          <cell r="Y173">
            <v>392.93</v>
          </cell>
          <cell r="AA173" t="str">
            <v>IBCR0501ECU6Q01</v>
          </cell>
          <cell r="AC173">
            <v>3</v>
          </cell>
          <cell r="AD173" t="str">
            <v>BLY HQ3</v>
          </cell>
          <cell r="AE173" t="str">
            <v>Water-based mud (WBM)</v>
          </cell>
          <cell r="AF173" t="str">
            <v>PureBore by Clear Solutions</v>
          </cell>
        </row>
      </sheetData>
      <sheetData sheetId="7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 xml:space="preserve">Additional Information 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C</v>
          </cell>
          <cell r="E2" t="str">
            <v>501_M0111_C_001H</v>
          </cell>
          <cell r="F2">
            <v>45817.597222222219</v>
          </cell>
          <cell r="G2" t="str">
            <v>GEPR</v>
          </cell>
          <cell r="H2">
            <v>45.56</v>
          </cell>
          <cell r="I2">
            <v>2.11</v>
          </cell>
          <cell r="J2">
            <v>47.67</v>
          </cell>
          <cell r="K2">
            <v>2</v>
          </cell>
          <cell r="L2">
            <v>2.11</v>
          </cell>
          <cell r="M2">
            <v>100</v>
          </cell>
          <cell r="P2" t="str">
            <v>microspheres inserted</v>
          </cell>
          <cell r="X2">
            <v>45.56</v>
          </cell>
          <cell r="Y2">
            <v>47.67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C</v>
          </cell>
          <cell r="E3" t="str">
            <v>501_M0111_C_002H</v>
          </cell>
          <cell r="F3">
            <v>45817.642361111109</v>
          </cell>
          <cell r="G3" t="str">
            <v>WINK</v>
          </cell>
          <cell r="H3">
            <v>47.67</v>
          </cell>
          <cell r="I3">
            <v>0.89</v>
          </cell>
          <cell r="J3">
            <v>48.56</v>
          </cell>
          <cell r="K3">
            <v>2</v>
          </cell>
          <cell r="L3">
            <v>0.89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X3">
            <v>47.67</v>
          </cell>
          <cell r="Y3">
            <v>48.56</v>
          </cell>
          <cell r="AA3" t="str">
            <v>IBCR0501ECX6Q01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C</v>
          </cell>
          <cell r="E4" t="str">
            <v>501_M0111_C_003H</v>
          </cell>
          <cell r="F4">
            <v>45817.722222222219</v>
          </cell>
          <cell r="G4" t="str">
            <v>KUHN</v>
          </cell>
          <cell r="H4">
            <v>48.56</v>
          </cell>
          <cell r="I4">
            <v>1.44</v>
          </cell>
          <cell r="J4">
            <v>50</v>
          </cell>
          <cell r="K4">
            <v>2</v>
          </cell>
          <cell r="L4">
            <v>1.44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X4">
            <v>48.56</v>
          </cell>
          <cell r="Y4">
            <v>50</v>
          </cell>
          <cell r="AA4" t="str">
            <v>IBCR0501ECY6Q01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C</v>
          </cell>
          <cell r="E5" t="str">
            <v>501_M0111_C_004H</v>
          </cell>
          <cell r="F5">
            <v>45817.8125</v>
          </cell>
          <cell r="G5" t="str">
            <v>KUHN</v>
          </cell>
          <cell r="H5">
            <v>50</v>
          </cell>
          <cell r="I5">
            <v>1.1000000000000001</v>
          </cell>
          <cell r="J5">
            <v>51.1</v>
          </cell>
          <cell r="K5">
            <v>1</v>
          </cell>
          <cell r="L5">
            <v>1.1000000000000001</v>
          </cell>
          <cell r="M5">
            <v>100</v>
          </cell>
          <cell r="P5" t="str">
            <v>disturbed core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X5">
            <v>50</v>
          </cell>
          <cell r="Y5">
            <v>51.1</v>
          </cell>
          <cell r="AA5" t="str">
            <v>IBCR0501ECZ6Q01</v>
          </cell>
          <cell r="AD5" t="str">
            <v>BLY PQ3</v>
          </cell>
          <cell r="AE5" t="str">
            <v>Water-based mud (WBM)</v>
          </cell>
          <cell r="AF5" t="str">
            <v>PureBore by Clear Solutions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C</v>
          </cell>
          <cell r="E6" t="str">
            <v>501_M0111_C_005H</v>
          </cell>
          <cell r="F6">
            <v>45818.711805555555</v>
          </cell>
          <cell r="G6" t="str">
            <v>KUHN</v>
          </cell>
          <cell r="H6">
            <v>110</v>
          </cell>
          <cell r="I6">
            <v>0.77</v>
          </cell>
          <cell r="J6">
            <v>110.77</v>
          </cell>
          <cell r="K6">
            <v>1</v>
          </cell>
          <cell r="L6">
            <v>0.77</v>
          </cell>
          <cell r="M6">
            <v>100</v>
          </cell>
          <cell r="P6" t="str">
            <v>disturbed core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X6">
            <v>110</v>
          </cell>
          <cell r="Y6">
            <v>110.77</v>
          </cell>
          <cell r="AA6" t="str">
            <v>IBCR0501EC07Q01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C</v>
          </cell>
          <cell r="E7" t="str">
            <v>501_M0111_C_006H</v>
          </cell>
          <cell r="F7">
            <v>45818.805555555555</v>
          </cell>
          <cell r="G7" t="str">
            <v>KUHN</v>
          </cell>
          <cell r="H7">
            <v>111.36</v>
          </cell>
          <cell r="I7">
            <v>1.3</v>
          </cell>
          <cell r="J7">
            <v>112.66</v>
          </cell>
          <cell r="K7">
            <v>2</v>
          </cell>
          <cell r="L7">
            <v>1.3</v>
          </cell>
          <cell r="M7">
            <v>100</v>
          </cell>
          <cell r="P7" t="str">
            <v>second section disturbed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X7">
            <v>111.36</v>
          </cell>
          <cell r="Y7">
            <v>112.66</v>
          </cell>
          <cell r="AA7" t="str">
            <v>IBCR0501EC17Q01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C</v>
          </cell>
          <cell r="E8" t="str">
            <v>501_M0111_C_007R</v>
          </cell>
          <cell r="F8">
            <v>45819.107638888891</v>
          </cell>
          <cell r="G8" t="str">
            <v>WINK</v>
          </cell>
          <cell r="H8">
            <v>120.36</v>
          </cell>
          <cell r="I8">
            <v>2.93</v>
          </cell>
          <cell r="J8">
            <v>123.29</v>
          </cell>
          <cell r="K8">
            <v>2</v>
          </cell>
          <cell r="L8">
            <v>2.93</v>
          </cell>
          <cell r="M8">
            <v>100</v>
          </cell>
          <cell r="P8" t="str">
            <v>infill</v>
          </cell>
          <cell r="X8">
            <v>120.36</v>
          </cell>
          <cell r="Y8">
            <v>123.29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C</v>
          </cell>
          <cell r="E9" t="str">
            <v>501_M0111_C_008R</v>
          </cell>
          <cell r="F9">
            <v>45819.472222222219</v>
          </cell>
          <cell r="G9" t="str">
            <v>HK</v>
          </cell>
          <cell r="H9">
            <v>125</v>
          </cell>
          <cell r="I9">
            <v>1.36</v>
          </cell>
          <cell r="J9">
            <v>126.36</v>
          </cell>
          <cell r="K9">
            <v>2</v>
          </cell>
          <cell r="L9">
            <v>1.45</v>
          </cell>
          <cell r="M9">
            <v>106.62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125</v>
          </cell>
          <cell r="Y9">
            <v>126.36</v>
          </cell>
          <cell r="AA9" t="str">
            <v>IBCR0501EC37Q01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C</v>
          </cell>
          <cell r="E10" t="str">
            <v>501_M0111_C_009R</v>
          </cell>
          <cell r="F10">
            <v>45819.534722222219</v>
          </cell>
          <cell r="G10" t="str">
            <v>HK</v>
          </cell>
          <cell r="H10">
            <v>126.36</v>
          </cell>
          <cell r="I10">
            <v>3</v>
          </cell>
          <cell r="J10">
            <v>129.36000000000001</v>
          </cell>
          <cell r="K10">
            <v>2</v>
          </cell>
          <cell r="L10">
            <v>2.83</v>
          </cell>
          <cell r="M10">
            <v>94.33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126.36</v>
          </cell>
          <cell r="Y10">
            <v>129.36000000000001</v>
          </cell>
          <cell r="AA10" t="str">
            <v>IBCR0501EC47Q01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C</v>
          </cell>
          <cell r="E11" t="str">
            <v>501_M0111_C_010R</v>
          </cell>
          <cell r="F11">
            <v>45819.958333333336</v>
          </cell>
          <cell r="G11" t="str">
            <v>WINK</v>
          </cell>
          <cell r="H11">
            <v>150</v>
          </cell>
          <cell r="I11">
            <v>3</v>
          </cell>
          <cell r="J11">
            <v>153</v>
          </cell>
          <cell r="K11">
            <v>3</v>
          </cell>
          <cell r="L11">
            <v>3.12</v>
          </cell>
          <cell r="M11">
            <v>104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150</v>
          </cell>
          <cell r="Y11">
            <v>153</v>
          </cell>
          <cell r="AA11" t="str">
            <v>IBCR0501EC57Q01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C</v>
          </cell>
          <cell r="E12" t="str">
            <v>501_M0111_C_011R</v>
          </cell>
          <cell r="F12">
            <v>45819.989583333336</v>
          </cell>
          <cell r="G12" t="str">
            <v>WINK</v>
          </cell>
          <cell r="H12">
            <v>153</v>
          </cell>
          <cell r="I12">
            <v>3</v>
          </cell>
          <cell r="J12">
            <v>156</v>
          </cell>
          <cell r="K12">
            <v>3</v>
          </cell>
          <cell r="L12">
            <v>3.12</v>
          </cell>
          <cell r="M12">
            <v>104</v>
          </cell>
          <cell r="P12" t="str">
            <v>Micospheres inserted</v>
          </cell>
          <cell r="Q12" t="str">
            <v>yes</v>
          </cell>
          <cell r="R12" t="str">
            <v>all</v>
          </cell>
          <cell r="S12" t="str">
            <v>R</v>
          </cell>
          <cell r="T12" t="str">
            <v>R (QD-TEC)</v>
          </cell>
          <cell r="V12">
            <v>72</v>
          </cell>
          <cell r="W12">
            <v>0</v>
          </cell>
          <cell r="X12">
            <v>153</v>
          </cell>
          <cell r="Y12">
            <v>156</v>
          </cell>
          <cell r="AA12" t="str">
            <v>IBCR0501EC67Q01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C</v>
          </cell>
          <cell r="E13" t="str">
            <v>501_M0111_C_012R</v>
          </cell>
          <cell r="F13">
            <v>45820.03125</v>
          </cell>
          <cell r="G13" t="str">
            <v>WINK</v>
          </cell>
          <cell r="H13">
            <v>156</v>
          </cell>
          <cell r="I13">
            <v>3</v>
          </cell>
          <cell r="J13">
            <v>159</v>
          </cell>
          <cell r="K13">
            <v>2</v>
          </cell>
          <cell r="L13">
            <v>2.11</v>
          </cell>
          <cell r="M13">
            <v>70.33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156</v>
          </cell>
          <cell r="Y13">
            <v>159</v>
          </cell>
          <cell r="AA13" t="str">
            <v>IBCR0501EC77Q01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C</v>
          </cell>
          <cell r="E14" t="str">
            <v>501_M0111_C_013R</v>
          </cell>
          <cell r="F14">
            <v>45820.076388888891</v>
          </cell>
          <cell r="G14" t="str">
            <v>WINK</v>
          </cell>
          <cell r="H14">
            <v>159</v>
          </cell>
          <cell r="I14">
            <v>2.16</v>
          </cell>
          <cell r="J14">
            <v>161.16</v>
          </cell>
          <cell r="K14">
            <v>1</v>
          </cell>
          <cell r="L14">
            <v>0.83</v>
          </cell>
          <cell r="M14">
            <v>38.43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159</v>
          </cell>
          <cell r="Y14">
            <v>161.16</v>
          </cell>
          <cell r="AA14" t="str">
            <v>IBCR0501EC87Q01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C</v>
          </cell>
          <cell r="E15" t="str">
            <v>501_M0111_C_014R</v>
          </cell>
          <cell r="F15">
            <v>45820.104166666664</v>
          </cell>
          <cell r="G15" t="str">
            <v>WINK</v>
          </cell>
          <cell r="H15">
            <v>161.16</v>
          </cell>
          <cell r="I15">
            <v>1.2</v>
          </cell>
          <cell r="J15">
            <v>162.36000000000001</v>
          </cell>
          <cell r="K15">
            <v>1</v>
          </cell>
          <cell r="L15">
            <v>0.98</v>
          </cell>
          <cell r="M15">
            <v>81.67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161.16</v>
          </cell>
          <cell r="Y15">
            <v>162.36000000000001</v>
          </cell>
          <cell r="AA15" t="str">
            <v>IBCR0501EC97Q01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C</v>
          </cell>
          <cell r="E16" t="str">
            <v>501_M0111_C_015R</v>
          </cell>
          <cell r="F16">
            <v>45820.152777777781</v>
          </cell>
          <cell r="G16" t="str">
            <v>WINK</v>
          </cell>
          <cell r="H16">
            <v>162.36000000000001</v>
          </cell>
          <cell r="I16">
            <v>1.53</v>
          </cell>
          <cell r="J16">
            <v>163.89</v>
          </cell>
          <cell r="K16">
            <v>1</v>
          </cell>
          <cell r="L16">
            <v>0.89</v>
          </cell>
          <cell r="M16">
            <v>58.17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162.36000000000001</v>
          </cell>
          <cell r="Y16">
            <v>163.89</v>
          </cell>
          <cell r="AA16" t="str">
            <v>IBCR0501ECA7Q01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C</v>
          </cell>
          <cell r="E17" t="str">
            <v>501_M0111_C_016R</v>
          </cell>
          <cell r="F17">
            <v>45820.1875</v>
          </cell>
          <cell r="G17" t="str">
            <v>HK</v>
          </cell>
          <cell r="H17">
            <v>163.89</v>
          </cell>
          <cell r="I17">
            <v>2.4700000000000002</v>
          </cell>
          <cell r="J17">
            <v>166.36</v>
          </cell>
          <cell r="K17">
            <v>0</v>
          </cell>
          <cell r="L17">
            <v>0</v>
          </cell>
          <cell r="M17">
            <v>0</v>
          </cell>
          <cell r="P17" t="str">
            <v>no recovery</v>
          </cell>
          <cell r="Q17" t="str">
            <v>no</v>
          </cell>
          <cell r="R17" t="str">
            <v>none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163.89</v>
          </cell>
          <cell r="Y17">
            <v>166.36</v>
          </cell>
          <cell r="AA17" t="str">
            <v>IBCR0501ECB7Q01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C</v>
          </cell>
          <cell r="E18" t="str">
            <v>501_M0111_C_017R</v>
          </cell>
          <cell r="F18">
            <v>45820.236111111109</v>
          </cell>
          <cell r="G18" t="str">
            <v>HK</v>
          </cell>
          <cell r="H18">
            <v>166.36</v>
          </cell>
          <cell r="I18">
            <v>2</v>
          </cell>
          <cell r="J18">
            <v>168.36</v>
          </cell>
          <cell r="K18">
            <v>1</v>
          </cell>
          <cell r="L18">
            <v>0.17</v>
          </cell>
          <cell r="M18">
            <v>8.5</v>
          </cell>
          <cell r="P18" t="str">
            <v>stuck in core barrel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166.36</v>
          </cell>
          <cell r="Y18">
            <v>168.36</v>
          </cell>
          <cell r="AA18" t="str">
            <v>IBCR0501ECC7Q01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C</v>
          </cell>
          <cell r="E19" t="str">
            <v>501_M0111_C_018R</v>
          </cell>
          <cell r="F19">
            <v>45820.291666666664</v>
          </cell>
          <cell r="G19" t="str">
            <v>HK</v>
          </cell>
          <cell r="H19">
            <v>168.36</v>
          </cell>
          <cell r="I19">
            <v>3</v>
          </cell>
          <cell r="J19">
            <v>171.36</v>
          </cell>
          <cell r="K19">
            <v>2</v>
          </cell>
          <cell r="L19">
            <v>2.86</v>
          </cell>
          <cell r="M19">
            <v>95.33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168.36</v>
          </cell>
          <cell r="Y19">
            <v>171.36</v>
          </cell>
          <cell r="AA19" t="str">
            <v>IBCR0501ECD7Q01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C</v>
          </cell>
          <cell r="E20" t="str">
            <v>501_M0111_C_019O</v>
          </cell>
          <cell r="F20">
            <v>45820.347916666666</v>
          </cell>
          <cell r="G20" t="str">
            <v>HK</v>
          </cell>
          <cell r="H20">
            <v>150.36000000000001</v>
          </cell>
          <cell r="I20">
            <v>21</v>
          </cell>
          <cell r="J20">
            <v>171.36</v>
          </cell>
          <cell r="K20">
            <v>1</v>
          </cell>
          <cell r="L20">
            <v>21</v>
          </cell>
          <cell r="M20">
            <v>100</v>
          </cell>
          <cell r="P20" t="str">
            <v>VIRTUAL CORE. Pump test</v>
          </cell>
          <cell r="X20">
            <v>150.36000000000001</v>
          </cell>
          <cell r="Y20">
            <v>171.36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C</v>
          </cell>
          <cell r="E21" t="str">
            <v>501_M0111_C_020R</v>
          </cell>
          <cell r="F21">
            <v>45822.494444444441</v>
          </cell>
          <cell r="G21" t="str">
            <v>HK</v>
          </cell>
          <cell r="H21">
            <v>171.36</v>
          </cell>
          <cell r="I21">
            <v>6</v>
          </cell>
          <cell r="J21">
            <v>177.36</v>
          </cell>
          <cell r="K21">
            <v>3</v>
          </cell>
          <cell r="L21">
            <v>3.32</v>
          </cell>
          <cell r="M21">
            <v>55.33</v>
          </cell>
          <cell r="P21" t="str">
            <v>core from 6m interval</v>
          </cell>
          <cell r="X21">
            <v>171.36</v>
          </cell>
          <cell r="Y21">
            <v>177.36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C</v>
          </cell>
          <cell r="E22" t="str">
            <v>501_M0111_C_021R</v>
          </cell>
          <cell r="F22">
            <v>45822.520833333336</v>
          </cell>
          <cell r="G22" t="str">
            <v>HK</v>
          </cell>
          <cell r="H22">
            <v>177.36</v>
          </cell>
          <cell r="I22">
            <v>7.64</v>
          </cell>
          <cell r="J22">
            <v>185</v>
          </cell>
          <cell r="K22">
            <v>3</v>
          </cell>
          <cell r="L22">
            <v>3.36</v>
          </cell>
          <cell r="M22">
            <v>43.98</v>
          </cell>
          <cell r="N22" t="str">
            <v>continuous</v>
          </cell>
          <cell r="P22" t="str">
            <v>core from 7.64m interval</v>
          </cell>
          <cell r="X22">
            <v>177.36</v>
          </cell>
          <cell r="Y22">
            <v>185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C</v>
          </cell>
          <cell r="E23" t="str">
            <v>501_M0111_C_022R</v>
          </cell>
          <cell r="F23">
            <v>45822.545138888891</v>
          </cell>
          <cell r="G23" t="str">
            <v>HK</v>
          </cell>
          <cell r="H23">
            <v>185</v>
          </cell>
          <cell r="I23">
            <v>1.36</v>
          </cell>
          <cell r="J23">
            <v>186.36</v>
          </cell>
          <cell r="K23">
            <v>1</v>
          </cell>
          <cell r="L23">
            <v>0.79</v>
          </cell>
          <cell r="M23">
            <v>58.09</v>
          </cell>
          <cell r="N23" t="str">
            <v>continuous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185</v>
          </cell>
          <cell r="Y23">
            <v>186.36</v>
          </cell>
          <cell r="AA23" t="str">
            <v>IBCR0501ECH7Q01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C</v>
          </cell>
          <cell r="E24" t="str">
            <v>501_M0111_C_023R</v>
          </cell>
          <cell r="F24">
            <v>45822.565972222219</v>
          </cell>
          <cell r="G24" t="str">
            <v>HK</v>
          </cell>
          <cell r="H24">
            <v>186.36</v>
          </cell>
          <cell r="I24">
            <v>3</v>
          </cell>
          <cell r="J24">
            <v>189.36</v>
          </cell>
          <cell r="K24">
            <v>3</v>
          </cell>
          <cell r="L24">
            <v>3.35</v>
          </cell>
          <cell r="M24">
            <v>111.67</v>
          </cell>
          <cell r="N24" t="str">
            <v>continuous</v>
          </cell>
          <cell r="Q24" t="str">
            <v>yes</v>
          </cell>
          <cell r="R24" t="str">
            <v>all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186.36</v>
          </cell>
          <cell r="Y24">
            <v>189.36</v>
          </cell>
          <cell r="AA24" t="str">
            <v>IBCR0501ECI7Q01</v>
          </cell>
          <cell r="AD24" t="str">
            <v>BLY PQ3</v>
          </cell>
          <cell r="AE24" t="str">
            <v>Water-based mud (WBM)</v>
          </cell>
          <cell r="AF24" t="str">
            <v>PureBore by Clear Solutions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C</v>
          </cell>
          <cell r="E25" t="str">
            <v>501_M0111_C_024R</v>
          </cell>
          <cell r="F25">
            <v>45822.597222222219</v>
          </cell>
          <cell r="G25" t="str">
            <v>HK</v>
          </cell>
          <cell r="H25">
            <v>189.36</v>
          </cell>
          <cell r="I25">
            <v>3</v>
          </cell>
          <cell r="J25">
            <v>192.36</v>
          </cell>
          <cell r="K25">
            <v>3</v>
          </cell>
          <cell r="L25">
            <v>3.15</v>
          </cell>
          <cell r="M25">
            <v>105</v>
          </cell>
          <cell r="N25" t="str">
            <v>continuous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189.36</v>
          </cell>
          <cell r="Y25">
            <v>192.36</v>
          </cell>
          <cell r="AA25" t="str">
            <v>IBCR0501ECJ7Q01</v>
          </cell>
          <cell r="AD25" t="str">
            <v>BLY PQ3</v>
          </cell>
          <cell r="AE25" t="str">
            <v>Water-based mud (WBM)</v>
          </cell>
          <cell r="AF25" t="str">
            <v>PureBore by Clear Solutions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C</v>
          </cell>
          <cell r="E26" t="str">
            <v>501_M0111_C_025R</v>
          </cell>
          <cell r="F26">
            <v>45822.621527777781</v>
          </cell>
          <cell r="G26" t="str">
            <v>HK</v>
          </cell>
          <cell r="H26">
            <v>192.36</v>
          </cell>
          <cell r="I26">
            <v>3</v>
          </cell>
          <cell r="J26">
            <v>195.36</v>
          </cell>
          <cell r="K26">
            <v>2</v>
          </cell>
          <cell r="L26">
            <v>2.81</v>
          </cell>
          <cell r="M26">
            <v>93.67</v>
          </cell>
          <cell r="N26" t="str">
            <v>continuous</v>
          </cell>
          <cell r="Q26" t="str">
            <v>yes</v>
          </cell>
          <cell r="R26" t="str">
            <v>all</v>
          </cell>
          <cell r="S26" t="str">
            <v>R</v>
          </cell>
          <cell r="T26" t="str">
            <v>R (QD-TEC)</v>
          </cell>
          <cell r="V26">
            <v>72</v>
          </cell>
          <cell r="W26">
            <v>0</v>
          </cell>
          <cell r="X26">
            <v>192.36</v>
          </cell>
          <cell r="Y26">
            <v>195.36</v>
          </cell>
          <cell r="AA26" t="str">
            <v>IBCR0501ECK7Q01</v>
          </cell>
          <cell r="AD26" t="str">
            <v>BLY PQ3</v>
          </cell>
          <cell r="AE26" t="str">
            <v>Water-based mud (WBM)</v>
          </cell>
          <cell r="AF26" t="str">
            <v>PureBore by Clear Solutions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C</v>
          </cell>
          <cell r="E27" t="str">
            <v>501_M0111_C_026R</v>
          </cell>
          <cell r="F27">
            <v>45822.677083333336</v>
          </cell>
          <cell r="G27" t="str">
            <v>WINK</v>
          </cell>
          <cell r="H27">
            <v>195.36</v>
          </cell>
          <cell r="I27">
            <v>3</v>
          </cell>
          <cell r="J27">
            <v>198.36</v>
          </cell>
          <cell r="K27">
            <v>2</v>
          </cell>
          <cell r="L27">
            <v>2.31</v>
          </cell>
          <cell r="M27">
            <v>77</v>
          </cell>
          <cell r="N27" t="str">
            <v>continuous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195.36</v>
          </cell>
          <cell r="Y27">
            <v>198.36</v>
          </cell>
          <cell r="AA27" t="str">
            <v>IBCR0501ECL7Q01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C</v>
          </cell>
          <cell r="E28" t="str">
            <v>501_M0111_C_027R</v>
          </cell>
          <cell r="F28">
            <v>45822.708333333336</v>
          </cell>
          <cell r="G28" t="str">
            <v>WINK</v>
          </cell>
          <cell r="H28">
            <v>198.36</v>
          </cell>
          <cell r="I28">
            <v>3</v>
          </cell>
          <cell r="J28">
            <v>201.36</v>
          </cell>
          <cell r="K28">
            <v>2</v>
          </cell>
          <cell r="L28">
            <v>2.61</v>
          </cell>
          <cell r="M28">
            <v>87</v>
          </cell>
          <cell r="P28" t="str">
            <v>microspheres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198.36</v>
          </cell>
          <cell r="Y28">
            <v>201.36</v>
          </cell>
          <cell r="AA28" t="str">
            <v>IBCR0501ECM7Q01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C</v>
          </cell>
          <cell r="E29" t="str">
            <v>501_M0111_C_028R</v>
          </cell>
          <cell r="F29">
            <v>45822.760416666664</v>
          </cell>
          <cell r="G29" t="str">
            <v>WINK</v>
          </cell>
          <cell r="H29">
            <v>201.36</v>
          </cell>
          <cell r="I29">
            <v>3</v>
          </cell>
          <cell r="J29">
            <v>204.36</v>
          </cell>
          <cell r="K29">
            <v>3</v>
          </cell>
          <cell r="L29">
            <v>3.15</v>
          </cell>
          <cell r="M29">
            <v>105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201.36</v>
          </cell>
          <cell r="Y29">
            <v>204.36</v>
          </cell>
          <cell r="AA29" t="str">
            <v>IBCR0501ECN7Q01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C</v>
          </cell>
          <cell r="E30" t="str">
            <v>501_M0111_C_029R</v>
          </cell>
          <cell r="F30">
            <v>45822.788194444445</v>
          </cell>
          <cell r="G30" t="str">
            <v>WINK</v>
          </cell>
          <cell r="H30">
            <v>204.36</v>
          </cell>
          <cell r="I30">
            <v>3</v>
          </cell>
          <cell r="J30">
            <v>207.36</v>
          </cell>
          <cell r="K30">
            <v>1</v>
          </cell>
          <cell r="L30">
            <v>0.33</v>
          </cell>
          <cell r="M30">
            <v>11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204.36</v>
          </cell>
          <cell r="Y30">
            <v>207.36</v>
          </cell>
          <cell r="AA30" t="str">
            <v>IBCR0501ECO7Q01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C</v>
          </cell>
          <cell r="E31" t="str">
            <v>501_M0111_C_030R</v>
          </cell>
          <cell r="F31">
            <v>45822.829861111109</v>
          </cell>
          <cell r="G31" t="str">
            <v>KUHN</v>
          </cell>
          <cell r="H31">
            <v>207.36</v>
          </cell>
          <cell r="I31">
            <v>3</v>
          </cell>
          <cell r="J31">
            <v>210.36</v>
          </cell>
          <cell r="K31">
            <v>3</v>
          </cell>
          <cell r="L31">
            <v>2.89</v>
          </cell>
          <cell r="M31">
            <v>96.33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207.36</v>
          </cell>
          <cell r="Y31">
            <v>210.36</v>
          </cell>
          <cell r="AA31" t="str">
            <v>IBCR0501ECP7Q01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C</v>
          </cell>
          <cell r="E32" t="str">
            <v>501_M0111_C_031R</v>
          </cell>
          <cell r="F32">
            <v>45822.875</v>
          </cell>
          <cell r="G32" t="str">
            <v>KUHN</v>
          </cell>
          <cell r="H32">
            <v>210.36</v>
          </cell>
          <cell r="I32">
            <v>3</v>
          </cell>
          <cell r="J32">
            <v>213.36</v>
          </cell>
          <cell r="K32">
            <v>1</v>
          </cell>
          <cell r="L32">
            <v>1.31</v>
          </cell>
          <cell r="M32">
            <v>43.67</v>
          </cell>
          <cell r="P32" t="str">
            <v>wood sampled from bottom</v>
          </cell>
          <cell r="X32">
            <v>210.36</v>
          </cell>
          <cell r="Y32">
            <v>213.36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C</v>
          </cell>
          <cell r="E33" t="str">
            <v>501_M0111_C_032R</v>
          </cell>
          <cell r="F33">
            <v>45822.930555555555</v>
          </cell>
          <cell r="G33" t="str">
            <v>KUHN</v>
          </cell>
          <cell r="H33">
            <v>213.36</v>
          </cell>
          <cell r="I33">
            <v>3</v>
          </cell>
          <cell r="J33">
            <v>216.36</v>
          </cell>
          <cell r="K33">
            <v>1</v>
          </cell>
          <cell r="L33">
            <v>0.47</v>
          </cell>
          <cell r="M33">
            <v>15.67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213.36</v>
          </cell>
          <cell r="Y33">
            <v>216.36</v>
          </cell>
          <cell r="AA33" t="str">
            <v>IBCR0501ECR7Q01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C</v>
          </cell>
          <cell r="E34" t="str">
            <v>501_M0111_C_033R</v>
          </cell>
          <cell r="F34">
            <v>45821.958333333336</v>
          </cell>
          <cell r="G34" t="str">
            <v>WINK</v>
          </cell>
          <cell r="H34">
            <v>216.36</v>
          </cell>
          <cell r="I34">
            <v>3</v>
          </cell>
          <cell r="J34">
            <v>219.36</v>
          </cell>
          <cell r="K34">
            <v>2</v>
          </cell>
          <cell r="L34">
            <v>2.3199999999999998</v>
          </cell>
          <cell r="M34">
            <v>77.33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216.36</v>
          </cell>
          <cell r="Y34">
            <v>219.36</v>
          </cell>
          <cell r="AA34" t="str">
            <v>IBCR0501ECS7Q01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C</v>
          </cell>
          <cell r="E35" t="str">
            <v>501_M0111_C_034R</v>
          </cell>
          <cell r="F35">
            <v>45822.989583333336</v>
          </cell>
          <cell r="G35" t="str">
            <v>WINK</v>
          </cell>
          <cell r="H35">
            <v>219.36</v>
          </cell>
          <cell r="I35">
            <v>3</v>
          </cell>
          <cell r="J35">
            <v>222.36</v>
          </cell>
          <cell r="K35">
            <v>2</v>
          </cell>
          <cell r="L35">
            <v>2.38</v>
          </cell>
          <cell r="M35">
            <v>79.33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(QD-TEC)</v>
          </cell>
          <cell r="V35">
            <v>72</v>
          </cell>
          <cell r="W35">
            <v>0</v>
          </cell>
          <cell r="X35">
            <v>219.36</v>
          </cell>
          <cell r="Y35">
            <v>222.36</v>
          </cell>
          <cell r="AA35" t="str">
            <v>IBCR0501ECT7Q01</v>
          </cell>
          <cell r="AD35" t="str">
            <v>BLY PQ3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C</v>
          </cell>
          <cell r="E36" t="str">
            <v>501_M0111_C_035R</v>
          </cell>
          <cell r="F36">
            <v>45823.069444444445</v>
          </cell>
          <cell r="G36" t="str">
            <v>KUHN</v>
          </cell>
          <cell r="H36">
            <v>222.36</v>
          </cell>
          <cell r="I36">
            <v>0.8</v>
          </cell>
          <cell r="J36">
            <v>223.16</v>
          </cell>
          <cell r="K36">
            <v>1</v>
          </cell>
          <cell r="L36">
            <v>0.63</v>
          </cell>
          <cell r="M36">
            <v>78.75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222.36</v>
          </cell>
          <cell r="Y36">
            <v>223.16</v>
          </cell>
          <cell r="AA36" t="str">
            <v>IBCR0501ECU7Q01</v>
          </cell>
          <cell r="AD36" t="str">
            <v>BLY PQ3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C</v>
          </cell>
          <cell r="E37" t="str">
            <v>501_M0111_C_036R</v>
          </cell>
          <cell r="F37">
            <v>45823.104166666664</v>
          </cell>
          <cell r="G37" t="str">
            <v>WINK</v>
          </cell>
          <cell r="H37">
            <v>223.16</v>
          </cell>
          <cell r="I37">
            <v>2.2000000000000002</v>
          </cell>
          <cell r="J37">
            <v>225.36</v>
          </cell>
          <cell r="K37">
            <v>1</v>
          </cell>
          <cell r="L37">
            <v>0.5</v>
          </cell>
          <cell r="M37">
            <v>22.73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223.16</v>
          </cell>
          <cell r="Y37">
            <v>225.36</v>
          </cell>
          <cell r="AA37" t="str">
            <v>IBCR0501ECV7Q01</v>
          </cell>
          <cell r="AD37" t="str">
            <v>BLY PQ3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C</v>
          </cell>
          <cell r="E38" t="str">
            <v>501_M0111_C_037R</v>
          </cell>
          <cell r="F38">
            <v>45823.149305555555</v>
          </cell>
          <cell r="G38" t="str">
            <v>WINK</v>
          </cell>
          <cell r="H38">
            <v>225.36</v>
          </cell>
          <cell r="I38">
            <v>3</v>
          </cell>
          <cell r="J38">
            <v>228.36</v>
          </cell>
          <cell r="K38">
            <v>1</v>
          </cell>
          <cell r="L38">
            <v>0.03</v>
          </cell>
          <cell r="M38">
            <v>1</v>
          </cell>
          <cell r="N38" t="str">
            <v>discontinuous</v>
          </cell>
          <cell r="P38" t="str">
            <v>all to PAL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C</v>
          </cell>
          <cell r="E39" t="str">
            <v>501_M0111_C_038R</v>
          </cell>
          <cell r="F39">
            <v>45823.184027777781</v>
          </cell>
          <cell r="G39" t="str">
            <v>HK</v>
          </cell>
          <cell r="H39">
            <v>228.36</v>
          </cell>
          <cell r="I39">
            <v>1</v>
          </cell>
          <cell r="J39">
            <v>229.36</v>
          </cell>
          <cell r="K39">
            <v>1</v>
          </cell>
          <cell r="L39">
            <v>0.02</v>
          </cell>
          <cell r="M39">
            <v>2</v>
          </cell>
          <cell r="N39" t="str">
            <v>discontinuous</v>
          </cell>
          <cell r="P39" t="str">
            <v>all to PAL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C</v>
          </cell>
          <cell r="E40" t="str">
            <v>501_M0111_C_039R</v>
          </cell>
          <cell r="F40">
            <v>45823.239583333336</v>
          </cell>
          <cell r="G40" t="str">
            <v>HK</v>
          </cell>
          <cell r="H40">
            <v>229.36</v>
          </cell>
          <cell r="I40">
            <v>2</v>
          </cell>
          <cell r="J40">
            <v>231.36</v>
          </cell>
          <cell r="K40">
            <v>1</v>
          </cell>
          <cell r="L40">
            <v>0.94</v>
          </cell>
          <cell r="M40">
            <v>47</v>
          </cell>
          <cell r="N40" t="str">
            <v>discontinuous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229.36</v>
          </cell>
          <cell r="Y40">
            <v>231.36</v>
          </cell>
          <cell r="AA40" t="str">
            <v>IBCR0501ECY7Q01</v>
          </cell>
          <cell r="AD40" t="str">
            <v>BLY PQ3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C</v>
          </cell>
          <cell r="E41" t="str">
            <v>501_M0111_C_040O</v>
          </cell>
          <cell r="F41">
            <v>45823.239583333336</v>
          </cell>
          <cell r="G41" t="str">
            <v>HK</v>
          </cell>
          <cell r="H41">
            <v>201</v>
          </cell>
          <cell r="I41">
            <v>30.36</v>
          </cell>
          <cell r="J41">
            <v>231.36</v>
          </cell>
          <cell r="K41">
            <v>1</v>
          </cell>
          <cell r="L41">
            <v>30.36</v>
          </cell>
          <cell r="M41">
            <v>100</v>
          </cell>
          <cell r="P41" t="str">
            <v>VIRTUAL CORE. Pump test.</v>
          </cell>
          <cell r="Q41" t="str">
            <v>yes</v>
          </cell>
          <cell r="R41" t="str">
            <v>none</v>
          </cell>
          <cell r="S41" t="str">
            <v>O</v>
          </cell>
          <cell r="T41" t="str">
            <v>O (QD-TEC)</v>
          </cell>
          <cell r="V41">
            <v>72</v>
          </cell>
          <cell r="X41">
            <v>201</v>
          </cell>
          <cell r="Y41">
            <v>231.36</v>
          </cell>
          <cell r="AA41" t="str">
            <v>IBCR0501ECZ7Q01</v>
          </cell>
        </row>
      </sheetData>
      <sheetData sheetId="8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A</v>
          </cell>
          <cell r="E2" t="str">
            <v>501_M0112_A_001H</v>
          </cell>
          <cell r="F2">
            <v>45826.611111111109</v>
          </cell>
          <cell r="G2" t="str">
            <v>HK</v>
          </cell>
          <cell r="H2">
            <v>0</v>
          </cell>
          <cell r="I2">
            <v>2.21</v>
          </cell>
          <cell r="J2">
            <v>2.21</v>
          </cell>
          <cell r="K2">
            <v>2</v>
          </cell>
          <cell r="L2">
            <v>2.21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2.21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A</v>
          </cell>
          <cell r="E3" t="str">
            <v>501_M0112_A_002H</v>
          </cell>
          <cell r="F3">
            <v>45826.659722222219</v>
          </cell>
          <cell r="G3" t="str">
            <v>WINK</v>
          </cell>
          <cell r="H3">
            <v>2.21</v>
          </cell>
          <cell r="I3">
            <v>2.8</v>
          </cell>
          <cell r="J3">
            <v>5.01</v>
          </cell>
          <cell r="K3">
            <v>2</v>
          </cell>
          <cell r="L3">
            <v>2.8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2.21</v>
          </cell>
          <cell r="Y3">
            <v>5.01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A</v>
          </cell>
          <cell r="E4" t="str">
            <v>501_M0112_A_003H</v>
          </cell>
          <cell r="F4">
            <v>45826.704861111109</v>
          </cell>
          <cell r="G4" t="str">
            <v>WINK</v>
          </cell>
          <cell r="H4">
            <v>5.01</v>
          </cell>
          <cell r="I4">
            <v>2.16</v>
          </cell>
          <cell r="J4">
            <v>7.17</v>
          </cell>
          <cell r="K4">
            <v>2</v>
          </cell>
          <cell r="L4">
            <v>2.16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5.01</v>
          </cell>
          <cell r="Y4">
            <v>7.17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A</v>
          </cell>
          <cell r="E5" t="str">
            <v>501_M0112_A_004H</v>
          </cell>
          <cell r="F5">
            <v>45826.746527777781</v>
          </cell>
          <cell r="G5" t="str">
            <v>WINK</v>
          </cell>
          <cell r="H5">
            <v>7.17</v>
          </cell>
          <cell r="I5">
            <v>2.08</v>
          </cell>
          <cell r="J5">
            <v>9.25</v>
          </cell>
          <cell r="K5">
            <v>2</v>
          </cell>
          <cell r="L5">
            <v>2.08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7.17</v>
          </cell>
          <cell r="Y5">
            <v>9.25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A</v>
          </cell>
          <cell r="E6" t="str">
            <v>501_M0112_A_005H</v>
          </cell>
          <cell r="F6">
            <v>45826.795138888891</v>
          </cell>
          <cell r="G6" t="str">
            <v>WINK</v>
          </cell>
          <cell r="H6">
            <v>9.25</v>
          </cell>
          <cell r="I6">
            <v>2.2000000000000002</v>
          </cell>
          <cell r="J6">
            <v>11.45</v>
          </cell>
          <cell r="K6">
            <v>2</v>
          </cell>
          <cell r="L6">
            <v>2.2000000000000002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9.25</v>
          </cell>
          <cell r="Y6">
            <v>11.45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A</v>
          </cell>
          <cell r="E7" t="str">
            <v>501_M0112_A_006H</v>
          </cell>
          <cell r="F7">
            <v>45826.836805555555</v>
          </cell>
          <cell r="G7" t="str">
            <v>WINK</v>
          </cell>
          <cell r="H7">
            <v>11.45</v>
          </cell>
          <cell r="I7">
            <v>0.76</v>
          </cell>
          <cell r="J7">
            <v>12.21</v>
          </cell>
          <cell r="K7">
            <v>1</v>
          </cell>
          <cell r="L7">
            <v>0.76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11.45</v>
          </cell>
          <cell r="Y7">
            <v>12.21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A</v>
          </cell>
          <cell r="E8" t="str">
            <v>501_M0112_A_007H</v>
          </cell>
          <cell r="F8">
            <v>45826.875</v>
          </cell>
          <cell r="G8" t="str">
            <v>WINK</v>
          </cell>
          <cell r="H8">
            <v>12.21</v>
          </cell>
          <cell r="I8">
            <v>2.37</v>
          </cell>
          <cell r="J8">
            <v>14.58</v>
          </cell>
          <cell r="K8">
            <v>2</v>
          </cell>
          <cell r="L8">
            <v>2.37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12.21</v>
          </cell>
          <cell r="Y8">
            <v>14.58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A</v>
          </cell>
          <cell r="E9" t="str">
            <v>501_M0112_A_008H</v>
          </cell>
          <cell r="F9">
            <v>45826.920138888891</v>
          </cell>
          <cell r="G9" t="str">
            <v>KUHN</v>
          </cell>
          <cell r="H9">
            <v>14.58</v>
          </cell>
          <cell r="I9">
            <v>2.65</v>
          </cell>
          <cell r="J9">
            <v>17.23</v>
          </cell>
          <cell r="K9">
            <v>2</v>
          </cell>
          <cell r="L9">
            <v>2.65</v>
          </cell>
          <cell r="M9">
            <v>100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14.58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A</v>
          </cell>
          <cell r="E10" t="str">
            <v>501_M0112_A_009H</v>
          </cell>
          <cell r="F10">
            <v>45826.954861111109</v>
          </cell>
          <cell r="G10" t="str">
            <v>KUHN</v>
          </cell>
          <cell r="H10">
            <v>17.23</v>
          </cell>
          <cell r="I10">
            <v>2.64</v>
          </cell>
          <cell r="J10">
            <v>19.87</v>
          </cell>
          <cell r="K10">
            <v>2</v>
          </cell>
          <cell r="L10">
            <v>2.64</v>
          </cell>
          <cell r="M10">
            <v>100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19.87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A</v>
          </cell>
          <cell r="E11" t="str">
            <v>501_M0112_A_010H</v>
          </cell>
          <cell r="F11">
            <v>45827.006944444445</v>
          </cell>
          <cell r="G11" t="str">
            <v>KUHN</v>
          </cell>
          <cell r="H11">
            <v>19.87</v>
          </cell>
          <cell r="I11">
            <v>1.41</v>
          </cell>
          <cell r="J11">
            <v>21.28</v>
          </cell>
          <cell r="K11">
            <v>1</v>
          </cell>
          <cell r="L11">
            <v>1.41</v>
          </cell>
          <cell r="M11">
            <v>100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19.87</v>
          </cell>
          <cell r="Y11">
            <v>21.28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A</v>
          </cell>
          <cell r="E12" t="str">
            <v>501_M0112_A_011H</v>
          </cell>
          <cell r="F12">
            <v>45827.045138888891</v>
          </cell>
          <cell r="G12" t="str">
            <v>KUHN</v>
          </cell>
          <cell r="H12">
            <v>21.28</v>
          </cell>
          <cell r="I12">
            <v>2.63</v>
          </cell>
          <cell r="J12">
            <v>23.91</v>
          </cell>
          <cell r="K12">
            <v>2</v>
          </cell>
          <cell r="L12">
            <v>2.63</v>
          </cell>
          <cell r="M12">
            <v>100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21.28</v>
          </cell>
          <cell r="Y12">
            <v>23.91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A</v>
          </cell>
          <cell r="E13" t="str">
            <v>501_M0112_A_012H</v>
          </cell>
          <cell r="F13">
            <v>45827.079861111109</v>
          </cell>
          <cell r="G13" t="str">
            <v>KUHN</v>
          </cell>
          <cell r="H13">
            <v>23.91</v>
          </cell>
          <cell r="I13">
            <v>0.01</v>
          </cell>
          <cell r="J13">
            <v>23.92</v>
          </cell>
          <cell r="K13">
            <v>1</v>
          </cell>
          <cell r="L13">
            <v>0.01</v>
          </cell>
          <cell r="M13">
            <v>100</v>
          </cell>
          <cell r="P13" t="str">
            <v>only CC</v>
          </cell>
          <cell r="X13">
            <v>23.91</v>
          </cell>
          <cell r="Y13">
            <v>23.92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A</v>
          </cell>
          <cell r="E14" t="str">
            <v>501_M0112_A_013H</v>
          </cell>
          <cell r="F14">
            <v>45827.114583333336</v>
          </cell>
          <cell r="G14" t="str">
            <v>KUHN</v>
          </cell>
          <cell r="H14">
            <v>23.92</v>
          </cell>
          <cell r="I14">
            <v>0.41</v>
          </cell>
          <cell r="J14">
            <v>24.33</v>
          </cell>
          <cell r="K14">
            <v>1</v>
          </cell>
          <cell r="L14">
            <v>0.41</v>
          </cell>
          <cell r="M14">
            <v>100</v>
          </cell>
          <cell r="P14" t="str">
            <v>metal piece in sect.1</v>
          </cell>
          <cell r="X14">
            <v>23.92</v>
          </cell>
          <cell r="Y14">
            <v>24.33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A</v>
          </cell>
          <cell r="E15" t="str">
            <v>501_M0112_A_014H</v>
          </cell>
          <cell r="F15">
            <v>45827.142361111109</v>
          </cell>
          <cell r="G15" t="str">
            <v>KUHN</v>
          </cell>
          <cell r="H15">
            <v>24.33</v>
          </cell>
          <cell r="I15">
            <v>1.46</v>
          </cell>
          <cell r="J15">
            <v>25.79</v>
          </cell>
          <cell r="K15">
            <v>1</v>
          </cell>
          <cell r="L15">
            <v>1.46</v>
          </cell>
          <cell r="M15">
            <v>100</v>
          </cell>
          <cell r="P15" t="str">
            <v>Bag in liner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24.33</v>
          </cell>
          <cell r="Y15">
            <v>25.79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A</v>
          </cell>
          <cell r="E16" t="str">
            <v>501_M0112_A_015H</v>
          </cell>
          <cell r="F16">
            <v>45827.181944444441</v>
          </cell>
          <cell r="G16" t="str">
            <v>HK</v>
          </cell>
          <cell r="H16">
            <v>25.79</v>
          </cell>
          <cell r="I16">
            <v>1.88</v>
          </cell>
          <cell r="J16">
            <v>27.67</v>
          </cell>
          <cell r="K16">
            <v>2</v>
          </cell>
          <cell r="L16">
            <v>1.88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25.79</v>
          </cell>
          <cell r="Y16">
            <v>27.67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A</v>
          </cell>
          <cell r="E17" t="str">
            <v>501_M0112_A_016H</v>
          </cell>
          <cell r="F17">
            <v>45827.222222222219</v>
          </cell>
          <cell r="G17" t="str">
            <v>HK</v>
          </cell>
          <cell r="H17">
            <v>27.67</v>
          </cell>
          <cell r="I17">
            <v>1.81</v>
          </cell>
          <cell r="J17">
            <v>29.48</v>
          </cell>
          <cell r="K17">
            <v>2</v>
          </cell>
          <cell r="L17">
            <v>1.81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27.67</v>
          </cell>
          <cell r="Y17">
            <v>29.48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A</v>
          </cell>
          <cell r="E18" t="str">
            <v>501_M0112_A_017H</v>
          </cell>
          <cell r="F18">
            <v>45827.270833333336</v>
          </cell>
          <cell r="G18" t="str">
            <v>HK</v>
          </cell>
          <cell r="H18">
            <v>29.48</v>
          </cell>
          <cell r="I18">
            <v>0.62</v>
          </cell>
          <cell r="J18">
            <v>30.1</v>
          </cell>
          <cell r="K18">
            <v>1</v>
          </cell>
          <cell r="L18">
            <v>0.62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29.48</v>
          </cell>
          <cell r="Y18">
            <v>30.1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A</v>
          </cell>
          <cell r="E19" t="str">
            <v>501_M0112_A_018R</v>
          </cell>
          <cell r="F19">
            <v>45827.336805555555</v>
          </cell>
          <cell r="G19" t="str">
            <v>HK</v>
          </cell>
          <cell r="H19">
            <v>30.1</v>
          </cell>
          <cell r="I19">
            <v>2.11</v>
          </cell>
          <cell r="J19">
            <v>32.21</v>
          </cell>
          <cell r="K19">
            <v>0</v>
          </cell>
          <cell r="L19">
            <v>0</v>
          </cell>
          <cell r="M19">
            <v>0</v>
          </cell>
          <cell r="N19" t="str">
            <v>discontinuous</v>
          </cell>
          <cell r="P19" t="str">
            <v>no recovery</v>
          </cell>
          <cell r="Q19" t="str">
            <v>no</v>
          </cell>
          <cell r="R19" t="str">
            <v>none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30.1</v>
          </cell>
          <cell r="Y19">
            <v>32.21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A</v>
          </cell>
          <cell r="E20" t="str">
            <v>501_M0112_A_019H</v>
          </cell>
          <cell r="F20">
            <v>45827.357638888891</v>
          </cell>
          <cell r="G20" t="str">
            <v>HK</v>
          </cell>
          <cell r="H20">
            <v>32.21</v>
          </cell>
          <cell r="I20">
            <v>0.92</v>
          </cell>
          <cell r="J20">
            <v>33.130000000000003</v>
          </cell>
          <cell r="K20">
            <v>2</v>
          </cell>
          <cell r="L20">
            <v>0.92</v>
          </cell>
          <cell r="M20">
            <v>100</v>
          </cell>
          <cell r="N20" t="str">
            <v>discontinuous</v>
          </cell>
          <cell r="P20" t="str">
            <v>liner stuck in core barrel</v>
          </cell>
          <cell r="X20">
            <v>32.21</v>
          </cell>
          <cell r="Y20">
            <v>33.130000000000003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A</v>
          </cell>
          <cell r="E21" t="str">
            <v>501_M0112_A_020H</v>
          </cell>
          <cell r="F21">
            <v>45827.413194444445</v>
          </cell>
          <cell r="G21" t="str">
            <v>HK</v>
          </cell>
          <cell r="H21">
            <v>33.130000000000003</v>
          </cell>
          <cell r="I21">
            <v>1.68</v>
          </cell>
          <cell r="J21">
            <v>34.81</v>
          </cell>
          <cell r="K21">
            <v>2</v>
          </cell>
          <cell r="L21">
            <v>1.68</v>
          </cell>
          <cell r="M21">
            <v>100</v>
          </cell>
          <cell r="N21" t="str">
            <v>discontinuous</v>
          </cell>
          <cell r="P21" t="str">
            <v>loose sand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33.130000000000003</v>
          </cell>
          <cell r="Y21">
            <v>34.81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A</v>
          </cell>
          <cell r="E22" t="str">
            <v>501_M0112_A_021H</v>
          </cell>
          <cell r="F22">
            <v>45827.451388888891</v>
          </cell>
          <cell r="G22" t="str">
            <v>HK</v>
          </cell>
          <cell r="H22">
            <v>34.81</v>
          </cell>
          <cell r="I22">
            <v>1.98</v>
          </cell>
          <cell r="J22">
            <v>36.79</v>
          </cell>
          <cell r="K22">
            <v>2</v>
          </cell>
          <cell r="L22">
            <v>1.98</v>
          </cell>
          <cell r="M22">
            <v>100</v>
          </cell>
          <cell r="P22" t="str">
            <v>losse sand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34.81</v>
          </cell>
          <cell r="Y22">
            <v>36.79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A</v>
          </cell>
          <cell r="E23" t="str">
            <v>501_M0112_A_022H</v>
          </cell>
          <cell r="F23">
            <v>45827.489583333336</v>
          </cell>
          <cell r="G23" t="str">
            <v>HK</v>
          </cell>
          <cell r="H23">
            <v>36.79</v>
          </cell>
          <cell r="I23">
            <v>1.8</v>
          </cell>
          <cell r="J23">
            <v>38.590000000000003</v>
          </cell>
          <cell r="K23">
            <v>2</v>
          </cell>
          <cell r="L23">
            <v>1.8</v>
          </cell>
          <cell r="M23">
            <v>100</v>
          </cell>
          <cell r="P23" t="str">
            <v>loose sand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36.79</v>
          </cell>
          <cell r="Y23">
            <v>38.590000000000003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A</v>
          </cell>
          <cell r="E24" t="str">
            <v>501_M0112_A_023H</v>
          </cell>
          <cell r="F24">
            <v>45827.513888888891</v>
          </cell>
          <cell r="G24" t="str">
            <v>HK</v>
          </cell>
          <cell r="H24">
            <v>38.590000000000003</v>
          </cell>
          <cell r="I24">
            <v>2.79</v>
          </cell>
          <cell r="J24">
            <v>41.38</v>
          </cell>
          <cell r="K24">
            <v>2</v>
          </cell>
          <cell r="L24">
            <v>2.89</v>
          </cell>
          <cell r="M24">
            <v>103.58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38.590000000000003</v>
          </cell>
          <cell r="Y24">
            <v>41.38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A</v>
          </cell>
          <cell r="E25" t="str">
            <v>501_M0112_A_024H</v>
          </cell>
          <cell r="F25">
            <v>45827.569444444445</v>
          </cell>
          <cell r="G25" t="str">
            <v>HK</v>
          </cell>
          <cell r="H25">
            <v>41.38</v>
          </cell>
          <cell r="I25">
            <v>2.76</v>
          </cell>
          <cell r="J25">
            <v>44.14</v>
          </cell>
          <cell r="K25">
            <v>2</v>
          </cell>
          <cell r="L25">
            <v>2.93</v>
          </cell>
          <cell r="M25">
            <v>106.16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41.38</v>
          </cell>
          <cell r="Y25">
            <v>44.14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A</v>
          </cell>
          <cell r="E26" t="str">
            <v>501_M0112_A_025H</v>
          </cell>
          <cell r="F26">
            <v>45827.614583333336</v>
          </cell>
          <cell r="G26" t="str">
            <v>HK</v>
          </cell>
          <cell r="H26">
            <v>44.14</v>
          </cell>
          <cell r="I26">
            <v>1.22</v>
          </cell>
          <cell r="J26">
            <v>45.36</v>
          </cell>
          <cell r="K26">
            <v>1</v>
          </cell>
          <cell r="L26">
            <v>1.22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44.14</v>
          </cell>
          <cell r="Y26">
            <v>45.36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A</v>
          </cell>
          <cell r="E27" t="str">
            <v>501_M0112_A_026H</v>
          </cell>
          <cell r="F27">
            <v>45827.649305555555</v>
          </cell>
          <cell r="G27" t="str">
            <v>HK</v>
          </cell>
          <cell r="H27">
            <v>45.36</v>
          </cell>
          <cell r="I27">
            <v>0</v>
          </cell>
          <cell r="J27">
            <v>45.36</v>
          </cell>
          <cell r="K27">
            <v>0</v>
          </cell>
          <cell r="L27">
            <v>0</v>
          </cell>
          <cell r="M27">
            <v>0</v>
          </cell>
          <cell r="P27" t="str">
            <v>no recovery</v>
          </cell>
          <cell r="Q27" t="str">
            <v>no</v>
          </cell>
          <cell r="R27" t="str">
            <v>none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45.36</v>
          </cell>
          <cell r="Y27">
            <v>45.36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A</v>
          </cell>
          <cell r="E28" t="str">
            <v>501_M0112_A_027H</v>
          </cell>
          <cell r="F28">
            <v>45827.673611111109</v>
          </cell>
          <cell r="G28" t="str">
            <v>WINK</v>
          </cell>
          <cell r="H28">
            <v>45.36</v>
          </cell>
          <cell r="I28">
            <v>1.07</v>
          </cell>
          <cell r="J28">
            <v>46.43</v>
          </cell>
          <cell r="K28">
            <v>1</v>
          </cell>
          <cell r="L28">
            <v>1.07</v>
          </cell>
          <cell r="M28">
            <v>100</v>
          </cell>
          <cell r="P28" t="str">
            <v>disturbed core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45.36</v>
          </cell>
          <cell r="Y28">
            <v>46.43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A</v>
          </cell>
          <cell r="E29" t="str">
            <v>501_M0112_A_028H</v>
          </cell>
          <cell r="F29">
            <v>45827.71875</v>
          </cell>
          <cell r="G29" t="str">
            <v>WINK</v>
          </cell>
          <cell r="H29">
            <v>46.43</v>
          </cell>
          <cell r="I29">
            <v>1</v>
          </cell>
          <cell r="J29">
            <v>47.43</v>
          </cell>
          <cell r="K29">
            <v>1</v>
          </cell>
          <cell r="L29">
            <v>1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46.43</v>
          </cell>
          <cell r="Y29">
            <v>47.43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A</v>
          </cell>
          <cell r="E30" t="str">
            <v>501_M0112_A_029H</v>
          </cell>
          <cell r="F30">
            <v>45827.753472222219</v>
          </cell>
          <cell r="G30" t="str">
            <v>WINK</v>
          </cell>
          <cell r="H30">
            <v>47.43</v>
          </cell>
          <cell r="I30">
            <v>0.53</v>
          </cell>
          <cell r="J30">
            <v>47.96</v>
          </cell>
          <cell r="K30">
            <v>1</v>
          </cell>
          <cell r="L30">
            <v>0.53</v>
          </cell>
          <cell r="M30">
            <v>100</v>
          </cell>
          <cell r="P30" t="str">
            <v>disturbed core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47.43</v>
          </cell>
          <cell r="Y30">
            <v>47.96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A</v>
          </cell>
          <cell r="E31" t="str">
            <v>501_M0112_A_030H</v>
          </cell>
          <cell r="F31">
            <v>45827.753472222219</v>
          </cell>
          <cell r="G31" t="str">
            <v>WINK</v>
          </cell>
          <cell r="H31">
            <v>47.96</v>
          </cell>
          <cell r="I31">
            <v>0.22</v>
          </cell>
          <cell r="J31">
            <v>48.18</v>
          </cell>
          <cell r="K31">
            <v>1</v>
          </cell>
          <cell r="L31">
            <v>0.22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47.96</v>
          </cell>
          <cell r="Y31">
            <v>48.18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A</v>
          </cell>
          <cell r="E32" t="str">
            <v>501_M0112_A_031H</v>
          </cell>
          <cell r="F32">
            <v>45827.819444444445</v>
          </cell>
          <cell r="G32" t="str">
            <v>WINK</v>
          </cell>
          <cell r="H32">
            <v>49.96</v>
          </cell>
          <cell r="I32">
            <v>1.49</v>
          </cell>
          <cell r="J32">
            <v>51.45</v>
          </cell>
          <cell r="K32">
            <v>1</v>
          </cell>
          <cell r="L32">
            <v>1.49</v>
          </cell>
          <cell r="M32">
            <v>100</v>
          </cell>
          <cell r="Q32" t="str">
            <v>yes</v>
          </cell>
          <cell r="R32" t="str">
            <v>all</v>
          </cell>
          <cell r="S32" t="str">
            <v>H</v>
          </cell>
          <cell r="T32" t="str">
            <v>H (QD-TEC)</v>
          </cell>
          <cell r="V32">
            <v>72</v>
          </cell>
          <cell r="W32">
            <v>0</v>
          </cell>
          <cell r="X32">
            <v>49.96</v>
          </cell>
          <cell r="Y32">
            <v>51.45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A</v>
          </cell>
          <cell r="E33" t="str">
            <v>501_M0112_A_032H</v>
          </cell>
          <cell r="F33">
            <v>45827.909722222219</v>
          </cell>
          <cell r="G33" t="str">
            <v>WINK</v>
          </cell>
          <cell r="H33">
            <v>51.45</v>
          </cell>
          <cell r="I33">
            <v>2.16</v>
          </cell>
          <cell r="J33">
            <v>53.61</v>
          </cell>
          <cell r="K33">
            <v>2</v>
          </cell>
          <cell r="L33">
            <v>2.16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51.45</v>
          </cell>
          <cell r="Y33">
            <v>53.61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A</v>
          </cell>
          <cell r="E34" t="str">
            <v>501_M0112_A_033H</v>
          </cell>
          <cell r="F34">
            <v>45827.972222222219</v>
          </cell>
          <cell r="G34" t="str">
            <v>WINK</v>
          </cell>
          <cell r="H34">
            <v>53.61</v>
          </cell>
          <cell r="I34">
            <v>1.54</v>
          </cell>
          <cell r="J34">
            <v>55.15</v>
          </cell>
          <cell r="K34">
            <v>2</v>
          </cell>
          <cell r="L34">
            <v>1.54</v>
          </cell>
          <cell r="M34">
            <v>100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53.61</v>
          </cell>
          <cell r="Y34">
            <v>55.15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A</v>
          </cell>
          <cell r="E35" t="str">
            <v>501_M0112_A_034H</v>
          </cell>
          <cell r="F35">
            <v>45828.010416666664</v>
          </cell>
          <cell r="G35" t="str">
            <v>WINK</v>
          </cell>
          <cell r="H35">
            <v>55.15</v>
          </cell>
          <cell r="I35">
            <v>1.1499999999999999</v>
          </cell>
          <cell r="J35">
            <v>56.3</v>
          </cell>
          <cell r="K35">
            <v>2</v>
          </cell>
          <cell r="L35">
            <v>1.1599999999999999</v>
          </cell>
          <cell r="M35">
            <v>100.87</v>
          </cell>
          <cell r="P35" t="str">
            <v>core stuck in barrel</v>
          </cell>
          <cell r="X35">
            <v>55.15</v>
          </cell>
          <cell r="Y35">
            <v>56.3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A</v>
          </cell>
          <cell r="E36" t="str">
            <v>501_M0112_A_035R</v>
          </cell>
          <cell r="F36">
            <v>45828.065972222219</v>
          </cell>
          <cell r="G36" t="str">
            <v>WINK</v>
          </cell>
          <cell r="H36">
            <v>56.3</v>
          </cell>
          <cell r="I36">
            <v>0</v>
          </cell>
          <cell r="J36">
            <v>56.3</v>
          </cell>
          <cell r="K36">
            <v>1</v>
          </cell>
          <cell r="L36">
            <v>0.38</v>
          </cell>
          <cell r="M36">
            <v>0</v>
          </cell>
          <cell r="P36" t="str">
            <v>infill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56.3</v>
          </cell>
          <cell r="Y36">
            <v>56.3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A</v>
          </cell>
          <cell r="E37" t="str">
            <v>501_M0112_A_036R</v>
          </cell>
          <cell r="F37">
            <v>45828.09375</v>
          </cell>
          <cell r="G37" t="str">
            <v>WINK</v>
          </cell>
          <cell r="H37">
            <v>56.3</v>
          </cell>
          <cell r="I37">
            <v>2.91</v>
          </cell>
          <cell r="J37">
            <v>59.21</v>
          </cell>
          <cell r="K37">
            <v>2</v>
          </cell>
          <cell r="L37">
            <v>3</v>
          </cell>
          <cell r="M37">
            <v>103.09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56.3</v>
          </cell>
          <cell r="Y37">
            <v>59.21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A</v>
          </cell>
          <cell r="E38" t="str">
            <v>501_M0112_A_037R</v>
          </cell>
          <cell r="F38">
            <v>45828.118055555555</v>
          </cell>
          <cell r="G38" t="str">
            <v>WINK</v>
          </cell>
          <cell r="H38">
            <v>59.21</v>
          </cell>
          <cell r="I38">
            <v>0.4</v>
          </cell>
          <cell r="J38">
            <v>59.61</v>
          </cell>
          <cell r="K38">
            <v>1</v>
          </cell>
          <cell r="L38">
            <v>0.31</v>
          </cell>
          <cell r="M38">
            <v>77.5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59.21</v>
          </cell>
          <cell r="Y38">
            <v>59.61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A</v>
          </cell>
          <cell r="E39" t="str">
            <v>501_M0112_A_038R</v>
          </cell>
          <cell r="F39">
            <v>45829.461805555555</v>
          </cell>
          <cell r="G39" t="str">
            <v>HK</v>
          </cell>
          <cell r="H39">
            <v>59.61</v>
          </cell>
          <cell r="I39">
            <v>0.9</v>
          </cell>
          <cell r="J39">
            <v>60.51</v>
          </cell>
          <cell r="K39">
            <v>1</v>
          </cell>
          <cell r="L39">
            <v>0.5</v>
          </cell>
          <cell r="M39">
            <v>55.56</v>
          </cell>
          <cell r="P39" t="str">
            <v>liner stuck in core barrel</v>
          </cell>
          <cell r="X39">
            <v>59.61</v>
          </cell>
          <cell r="Y39">
            <v>60.51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A</v>
          </cell>
          <cell r="E40" t="str">
            <v>501_M0112_A_039R</v>
          </cell>
          <cell r="F40">
            <v>45829.572916666664</v>
          </cell>
          <cell r="G40" t="str">
            <v>HK</v>
          </cell>
          <cell r="H40">
            <v>60.51</v>
          </cell>
          <cell r="I40">
            <v>1.7</v>
          </cell>
          <cell r="J40">
            <v>62.21</v>
          </cell>
          <cell r="K40">
            <v>1</v>
          </cell>
          <cell r="L40">
            <v>0.76</v>
          </cell>
          <cell r="M40">
            <v>44.71</v>
          </cell>
          <cell r="P40" t="str">
            <v>liner stuck in core barrel</v>
          </cell>
          <cell r="X40">
            <v>60.51</v>
          </cell>
          <cell r="Y40">
            <v>62.21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A</v>
          </cell>
          <cell r="E41" t="str">
            <v>501_M0112_A_040R</v>
          </cell>
          <cell r="F41">
            <v>45829.621527777781</v>
          </cell>
          <cell r="G41" t="str">
            <v>HK</v>
          </cell>
          <cell r="H41">
            <v>62.21</v>
          </cell>
          <cell r="I41">
            <v>3</v>
          </cell>
          <cell r="J41">
            <v>65.209999999999994</v>
          </cell>
          <cell r="K41">
            <v>2</v>
          </cell>
          <cell r="L41">
            <v>1.35</v>
          </cell>
          <cell r="M41">
            <v>45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62.21</v>
          </cell>
          <cell r="Y41">
            <v>65.209999999999994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A</v>
          </cell>
          <cell r="E42" t="str">
            <v>501_M0112_A_041H</v>
          </cell>
          <cell r="F42">
            <v>45829.645833333336</v>
          </cell>
          <cell r="G42" t="str">
            <v>KUHN</v>
          </cell>
          <cell r="H42">
            <v>65.209999999999994</v>
          </cell>
          <cell r="I42">
            <v>2.38</v>
          </cell>
          <cell r="J42">
            <v>67.59</v>
          </cell>
          <cell r="K42">
            <v>2</v>
          </cell>
          <cell r="L42">
            <v>2.88</v>
          </cell>
          <cell r="M42">
            <v>121.01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65.209999999999994</v>
          </cell>
          <cell r="Y42">
            <v>67.59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A</v>
          </cell>
          <cell r="E43" t="str">
            <v>501_M0112_A_042H</v>
          </cell>
          <cell r="F43">
            <v>45829.722222222219</v>
          </cell>
          <cell r="G43" t="str">
            <v>KUHN</v>
          </cell>
          <cell r="H43">
            <v>67.59</v>
          </cell>
          <cell r="I43">
            <v>0.75</v>
          </cell>
          <cell r="J43">
            <v>68.34</v>
          </cell>
          <cell r="K43">
            <v>1</v>
          </cell>
          <cell r="L43">
            <v>0.75</v>
          </cell>
          <cell r="M43">
            <v>100</v>
          </cell>
          <cell r="P43" t="str">
            <v>disturbed liner</v>
          </cell>
          <cell r="X43">
            <v>67.59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A</v>
          </cell>
          <cell r="E44" t="str">
            <v>501_M0112_A_043H</v>
          </cell>
          <cell r="F44">
            <v>45829.791666666664</v>
          </cell>
          <cell r="G44" t="str">
            <v>KUHN</v>
          </cell>
          <cell r="H44">
            <v>68.34</v>
          </cell>
          <cell r="I44">
            <v>1.08</v>
          </cell>
          <cell r="J44">
            <v>69.42</v>
          </cell>
          <cell r="K44">
            <v>2</v>
          </cell>
          <cell r="L44">
            <v>1.08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68.34</v>
          </cell>
          <cell r="Y44">
            <v>69.42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A</v>
          </cell>
          <cell r="E45" t="str">
            <v>501_M0112_A_044H</v>
          </cell>
          <cell r="F45">
            <v>45829.826388888891</v>
          </cell>
          <cell r="G45" t="str">
            <v>KUHN</v>
          </cell>
          <cell r="H45">
            <v>69.42</v>
          </cell>
          <cell r="I45">
            <v>0.66</v>
          </cell>
          <cell r="J45">
            <v>70.08</v>
          </cell>
          <cell r="K45">
            <v>1</v>
          </cell>
          <cell r="L45">
            <v>0.87</v>
          </cell>
          <cell r="M45">
            <v>131.82</v>
          </cell>
          <cell r="P45" t="str">
            <v>infill first 21 cm</v>
          </cell>
          <cell r="X45">
            <v>69.42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A</v>
          </cell>
          <cell r="E46" t="str">
            <v>501_M0112_A_045H</v>
          </cell>
          <cell r="F46">
            <v>45829.875</v>
          </cell>
          <cell r="G46" t="str">
            <v>KUHN</v>
          </cell>
          <cell r="H46">
            <v>70.08</v>
          </cell>
          <cell r="I46">
            <v>1.03</v>
          </cell>
          <cell r="J46">
            <v>71.11</v>
          </cell>
          <cell r="K46">
            <v>1</v>
          </cell>
          <cell r="L46">
            <v>1.03</v>
          </cell>
          <cell r="M46">
            <v>100</v>
          </cell>
          <cell r="Q46" t="str">
            <v>yes</v>
          </cell>
          <cell r="R46" t="str">
            <v>all</v>
          </cell>
          <cell r="S46" t="str">
            <v>H</v>
          </cell>
          <cell r="T46" t="str">
            <v>H (QD-TEC)</v>
          </cell>
          <cell r="V46">
            <v>72</v>
          </cell>
          <cell r="W46">
            <v>0</v>
          </cell>
          <cell r="X46">
            <v>70.08</v>
          </cell>
          <cell r="Y46">
            <v>71.11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A</v>
          </cell>
          <cell r="E47" t="str">
            <v>501_M0112_A_046H</v>
          </cell>
          <cell r="F47">
            <v>45829.90625</v>
          </cell>
          <cell r="G47" t="str">
            <v>KUHN</v>
          </cell>
          <cell r="H47">
            <v>71.11</v>
          </cell>
          <cell r="I47">
            <v>1.07</v>
          </cell>
          <cell r="J47">
            <v>72.180000000000007</v>
          </cell>
          <cell r="K47">
            <v>2</v>
          </cell>
          <cell r="L47">
            <v>1.07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71.11</v>
          </cell>
          <cell r="Y47">
            <v>72.180000000000007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A</v>
          </cell>
          <cell r="E48" t="str">
            <v>501_M0112_A_047H</v>
          </cell>
          <cell r="F48">
            <v>45829.947916666664</v>
          </cell>
          <cell r="G48" t="str">
            <v>KUHN</v>
          </cell>
          <cell r="H48">
            <v>72.180000000000007</v>
          </cell>
          <cell r="I48">
            <v>0.68</v>
          </cell>
          <cell r="J48">
            <v>72.86</v>
          </cell>
          <cell r="K48">
            <v>1</v>
          </cell>
          <cell r="L48">
            <v>0.68</v>
          </cell>
          <cell r="M48">
            <v>100</v>
          </cell>
          <cell r="P48" t="str">
            <v>IWRHX 20-25</v>
          </cell>
          <cell r="X48">
            <v>72.180000000000007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A</v>
          </cell>
          <cell r="E49" t="str">
            <v>501_M0112_A_048H</v>
          </cell>
          <cell r="F49">
            <v>45829.982638888891</v>
          </cell>
          <cell r="G49" t="str">
            <v>KUHN</v>
          </cell>
          <cell r="H49">
            <v>72.86</v>
          </cell>
          <cell r="I49">
            <v>1.33</v>
          </cell>
          <cell r="J49">
            <v>74.19</v>
          </cell>
          <cell r="K49">
            <v>2</v>
          </cell>
          <cell r="L49">
            <v>1.33</v>
          </cell>
          <cell r="M49">
            <v>100</v>
          </cell>
          <cell r="P49" t="str">
            <v>IWRHX 20-25</v>
          </cell>
          <cell r="X49">
            <v>72.86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A</v>
          </cell>
          <cell r="E50" t="str">
            <v>501_M0112_A_049H</v>
          </cell>
          <cell r="F50">
            <v>45830.027777777781</v>
          </cell>
          <cell r="G50" t="str">
            <v>KUHN</v>
          </cell>
          <cell r="H50">
            <v>74.19</v>
          </cell>
          <cell r="I50">
            <v>1.2</v>
          </cell>
          <cell r="J50">
            <v>75.39</v>
          </cell>
          <cell r="K50">
            <v>1</v>
          </cell>
          <cell r="L50">
            <v>1.2</v>
          </cell>
          <cell r="M50">
            <v>100</v>
          </cell>
          <cell r="P50" t="str">
            <v>IWRHX 20-25</v>
          </cell>
          <cell r="X50">
            <v>74.19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A</v>
          </cell>
          <cell r="E51" t="str">
            <v>501_M0112_A_050R</v>
          </cell>
          <cell r="F51">
            <v>45830.131944444445</v>
          </cell>
          <cell r="G51" t="str">
            <v>KUHN</v>
          </cell>
          <cell r="H51">
            <v>75.39</v>
          </cell>
          <cell r="I51">
            <v>1.85</v>
          </cell>
          <cell r="J51">
            <v>77.239999999999995</v>
          </cell>
          <cell r="K51">
            <v>2</v>
          </cell>
          <cell r="L51">
            <v>2.0299999999999998</v>
          </cell>
          <cell r="M51">
            <v>109.73</v>
          </cell>
          <cell r="P51" t="str">
            <v>IWSQ1 123-130</v>
          </cell>
          <cell r="X51">
            <v>75.39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A</v>
          </cell>
          <cell r="E52" t="str">
            <v>501_M0112_A_051R</v>
          </cell>
          <cell r="F52">
            <v>45830.288194444445</v>
          </cell>
          <cell r="G52" t="str">
            <v>HK</v>
          </cell>
          <cell r="H52">
            <v>77.239999999999995</v>
          </cell>
          <cell r="I52">
            <v>2.97</v>
          </cell>
          <cell r="J52">
            <v>80.209999999999994</v>
          </cell>
          <cell r="K52">
            <v>3</v>
          </cell>
          <cell r="L52">
            <v>3.1</v>
          </cell>
          <cell r="M52">
            <v>104.38</v>
          </cell>
          <cell r="N52" t="str">
            <v>continuous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77.239999999999995</v>
          </cell>
          <cell r="Y52">
            <v>80.209999999999994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A</v>
          </cell>
          <cell r="E53" t="str">
            <v>501_M0112_A_052R</v>
          </cell>
          <cell r="F53">
            <v>45830.354166666664</v>
          </cell>
          <cell r="G53" t="str">
            <v>HK</v>
          </cell>
          <cell r="H53">
            <v>80.209999999999994</v>
          </cell>
          <cell r="I53">
            <v>3</v>
          </cell>
          <cell r="J53">
            <v>83.21</v>
          </cell>
          <cell r="K53">
            <v>2</v>
          </cell>
          <cell r="L53">
            <v>2.35</v>
          </cell>
          <cell r="M53">
            <v>78.33</v>
          </cell>
          <cell r="N53" t="str">
            <v>continuous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80.209999999999994</v>
          </cell>
          <cell r="Y53">
            <v>83.21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A</v>
          </cell>
          <cell r="E54" t="str">
            <v>501_M0112_A_053R</v>
          </cell>
          <cell r="F54">
            <v>45830.434027777781</v>
          </cell>
          <cell r="G54" t="str">
            <v>HK</v>
          </cell>
          <cell r="H54">
            <v>83.21</v>
          </cell>
          <cell r="I54">
            <v>3</v>
          </cell>
          <cell r="J54">
            <v>86.21</v>
          </cell>
          <cell r="K54">
            <v>1</v>
          </cell>
          <cell r="L54">
            <v>0.72</v>
          </cell>
          <cell r="M54">
            <v>24</v>
          </cell>
          <cell r="P54" t="str">
            <v>0-30cm pickup of prev. core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83.21</v>
          </cell>
          <cell r="Y54">
            <v>86.21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A</v>
          </cell>
          <cell r="E55" t="str">
            <v>501_M0112_A_054R</v>
          </cell>
          <cell r="F55">
            <v>45830.489583333336</v>
          </cell>
          <cell r="G55" t="str">
            <v>HK</v>
          </cell>
          <cell r="H55">
            <v>86.21</v>
          </cell>
          <cell r="I55">
            <v>1.5</v>
          </cell>
          <cell r="J55">
            <v>87.71</v>
          </cell>
          <cell r="K55">
            <v>1</v>
          </cell>
          <cell r="L55">
            <v>0.77</v>
          </cell>
          <cell r="M55">
            <v>51.33</v>
          </cell>
          <cell r="P55" t="str">
            <v>disturbed</v>
          </cell>
          <cell r="X55">
            <v>86.21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A</v>
          </cell>
          <cell r="E56" t="str">
            <v>501_M0112_A_055R</v>
          </cell>
          <cell r="F56">
            <v>45830.534722222219</v>
          </cell>
          <cell r="G56" t="str">
            <v>HK</v>
          </cell>
          <cell r="H56">
            <v>87.71</v>
          </cell>
          <cell r="I56">
            <v>1.5</v>
          </cell>
          <cell r="J56">
            <v>89.21</v>
          </cell>
          <cell r="K56">
            <v>2</v>
          </cell>
          <cell r="L56">
            <v>1.53</v>
          </cell>
          <cell r="M56">
            <v>102</v>
          </cell>
          <cell r="N56" t="str">
            <v>continuous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(QD-TEC)</v>
          </cell>
          <cell r="V56">
            <v>72</v>
          </cell>
          <cell r="W56">
            <v>0</v>
          </cell>
          <cell r="X56">
            <v>87.71</v>
          </cell>
          <cell r="Y56">
            <v>89.21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A</v>
          </cell>
          <cell r="E57" t="str">
            <v>501_M0112_A_056R</v>
          </cell>
          <cell r="F57">
            <v>45830.569444444445</v>
          </cell>
          <cell r="G57" t="str">
            <v>HK</v>
          </cell>
          <cell r="H57">
            <v>89.21</v>
          </cell>
          <cell r="I57">
            <v>1.5</v>
          </cell>
          <cell r="J57">
            <v>90.71</v>
          </cell>
          <cell r="K57">
            <v>1</v>
          </cell>
          <cell r="L57">
            <v>1.48</v>
          </cell>
          <cell r="M57">
            <v>98.67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89.21</v>
          </cell>
          <cell r="Y57">
            <v>90.71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A</v>
          </cell>
          <cell r="E58" t="str">
            <v>501_M0112_A_057R</v>
          </cell>
          <cell r="F58">
            <v>45830.604166666664</v>
          </cell>
          <cell r="G58" t="str">
            <v>HK</v>
          </cell>
          <cell r="H58">
            <v>90.71</v>
          </cell>
          <cell r="I58">
            <v>1.5</v>
          </cell>
          <cell r="J58">
            <v>92.21</v>
          </cell>
          <cell r="K58">
            <v>2</v>
          </cell>
          <cell r="L58">
            <v>1.66</v>
          </cell>
          <cell r="M58">
            <v>110.67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90.71</v>
          </cell>
          <cell r="Y58">
            <v>92.21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A</v>
          </cell>
          <cell r="E59" t="str">
            <v>501_M0112_A_058R</v>
          </cell>
          <cell r="F59">
            <v>45830.645833333336</v>
          </cell>
          <cell r="G59" t="str">
            <v>KUHN</v>
          </cell>
          <cell r="H59">
            <v>92.21</v>
          </cell>
          <cell r="I59">
            <v>1.5</v>
          </cell>
          <cell r="J59">
            <v>93.71</v>
          </cell>
          <cell r="K59">
            <v>2</v>
          </cell>
          <cell r="L59">
            <v>1.65</v>
          </cell>
          <cell r="M59">
            <v>110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92.21</v>
          </cell>
          <cell r="Y59">
            <v>93.71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A</v>
          </cell>
          <cell r="E60" t="str">
            <v>501_M0112_A_059R</v>
          </cell>
          <cell r="F60">
            <v>45830.690972222219</v>
          </cell>
          <cell r="G60" t="str">
            <v>KUHN</v>
          </cell>
          <cell r="H60">
            <v>93.71</v>
          </cell>
          <cell r="I60">
            <v>1.5</v>
          </cell>
          <cell r="J60">
            <v>95.21</v>
          </cell>
          <cell r="K60">
            <v>1</v>
          </cell>
          <cell r="L60">
            <v>1.42</v>
          </cell>
          <cell r="M60">
            <v>94.67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93.71</v>
          </cell>
          <cell r="Y60">
            <v>95.21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A</v>
          </cell>
          <cell r="E61" t="str">
            <v>501_M0112_A_060R</v>
          </cell>
          <cell r="F61">
            <v>45830.746527777781</v>
          </cell>
          <cell r="G61" t="str">
            <v>KUHN</v>
          </cell>
          <cell r="H61">
            <v>95.21</v>
          </cell>
          <cell r="I61">
            <v>1.9</v>
          </cell>
          <cell r="J61">
            <v>97.11</v>
          </cell>
          <cell r="K61">
            <v>1</v>
          </cell>
          <cell r="L61">
            <v>0.67</v>
          </cell>
          <cell r="M61">
            <v>35.26</v>
          </cell>
          <cell r="P61" t="str">
            <v>PAL from bottom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95.21</v>
          </cell>
          <cell r="Y61">
            <v>97.11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A</v>
          </cell>
          <cell r="E62" t="str">
            <v>501_M0112_A_061R</v>
          </cell>
          <cell r="F62">
            <v>45830.767361111109</v>
          </cell>
          <cell r="G62" t="str">
            <v>KUHN</v>
          </cell>
          <cell r="H62">
            <v>97.11</v>
          </cell>
          <cell r="I62">
            <v>0.3</v>
          </cell>
          <cell r="J62">
            <v>97.41</v>
          </cell>
          <cell r="K62">
            <v>0</v>
          </cell>
          <cell r="L62">
            <v>0</v>
          </cell>
          <cell r="M62">
            <v>0</v>
          </cell>
          <cell r="P62" t="str">
            <v>gravel</v>
          </cell>
          <cell r="Q62" t="str">
            <v>no</v>
          </cell>
          <cell r="R62" t="str">
            <v>none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97.11</v>
          </cell>
          <cell r="Y62">
            <v>97.41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A</v>
          </cell>
          <cell r="E63" t="str">
            <v>501_M0112_A_062H</v>
          </cell>
          <cell r="F63">
            <v>45830.784722222219</v>
          </cell>
          <cell r="G63" t="str">
            <v>KUHN</v>
          </cell>
          <cell r="H63">
            <v>97.41</v>
          </cell>
          <cell r="I63">
            <v>1.45</v>
          </cell>
          <cell r="J63">
            <v>98.86</v>
          </cell>
          <cell r="K63">
            <v>2</v>
          </cell>
          <cell r="L63">
            <v>1.85</v>
          </cell>
          <cell r="M63">
            <v>127.59</v>
          </cell>
          <cell r="Q63" t="str">
            <v>yes</v>
          </cell>
          <cell r="R63" t="str">
            <v>all</v>
          </cell>
          <cell r="S63" t="str">
            <v>H</v>
          </cell>
          <cell r="T63" t="str">
            <v>H (QD-TEC)</v>
          </cell>
          <cell r="V63">
            <v>72</v>
          </cell>
          <cell r="W63">
            <v>0</v>
          </cell>
          <cell r="X63">
            <v>97.41</v>
          </cell>
          <cell r="Y63">
            <v>98.86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A</v>
          </cell>
          <cell r="E64" t="str">
            <v>501_M0112_A_063R</v>
          </cell>
          <cell r="F64">
            <v>45830.902777777781</v>
          </cell>
          <cell r="G64" t="str">
            <v>KUHN</v>
          </cell>
          <cell r="H64">
            <v>98.86</v>
          </cell>
          <cell r="I64">
            <v>0.6</v>
          </cell>
          <cell r="J64">
            <v>99.46</v>
          </cell>
          <cell r="K64">
            <v>1</v>
          </cell>
          <cell r="L64">
            <v>0.12</v>
          </cell>
          <cell r="M64">
            <v>20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98.86</v>
          </cell>
          <cell r="Y64">
            <v>99.46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A</v>
          </cell>
          <cell r="E65" t="str">
            <v>501_M0112_A_064R</v>
          </cell>
          <cell r="F65">
            <v>45831.034722222219</v>
          </cell>
          <cell r="G65" t="str">
            <v>KUHN</v>
          </cell>
          <cell r="H65">
            <v>99.46</v>
          </cell>
          <cell r="I65">
            <v>1.75</v>
          </cell>
          <cell r="J65">
            <v>101.21</v>
          </cell>
          <cell r="K65">
            <v>1</v>
          </cell>
          <cell r="L65">
            <v>0.27</v>
          </cell>
          <cell r="M65">
            <v>15.43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99.46</v>
          </cell>
          <cell r="Y65">
            <v>101.21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A</v>
          </cell>
          <cell r="E66" t="str">
            <v>501_M0112_A_065R</v>
          </cell>
          <cell r="F66">
            <v>45831.052083333336</v>
          </cell>
          <cell r="G66" t="str">
            <v>KUHN</v>
          </cell>
          <cell r="H66">
            <v>101.21</v>
          </cell>
          <cell r="I66">
            <v>1</v>
          </cell>
          <cell r="J66">
            <v>102.21</v>
          </cell>
          <cell r="K66">
            <v>0</v>
          </cell>
          <cell r="L66">
            <v>0</v>
          </cell>
          <cell r="M66">
            <v>0</v>
          </cell>
          <cell r="Q66" t="str">
            <v>no</v>
          </cell>
          <cell r="R66" t="str">
            <v>none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101.21</v>
          </cell>
          <cell r="Y66">
            <v>102.21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A</v>
          </cell>
          <cell r="E67" t="str">
            <v>501_M0112_A_066H</v>
          </cell>
          <cell r="F67">
            <v>45831.069444444445</v>
          </cell>
          <cell r="G67" t="str">
            <v>KUHN</v>
          </cell>
          <cell r="H67">
            <v>102.21</v>
          </cell>
          <cell r="I67">
            <v>0.12</v>
          </cell>
          <cell r="J67">
            <v>102.33</v>
          </cell>
          <cell r="K67">
            <v>1</v>
          </cell>
          <cell r="L67">
            <v>0.12</v>
          </cell>
          <cell r="M67">
            <v>100</v>
          </cell>
          <cell r="Q67" t="str">
            <v>yes</v>
          </cell>
          <cell r="R67" t="str">
            <v>all</v>
          </cell>
          <cell r="S67" t="str">
            <v>H</v>
          </cell>
          <cell r="T67" t="str">
            <v>H (QD-TEC)</v>
          </cell>
          <cell r="V67">
            <v>72</v>
          </cell>
          <cell r="W67">
            <v>0</v>
          </cell>
          <cell r="X67">
            <v>102.21</v>
          </cell>
          <cell r="Y67">
            <v>102.33</v>
          </cell>
        </row>
        <row r="68">
          <cell r="A68">
            <v>67</v>
          </cell>
          <cell r="B68">
            <v>501</v>
          </cell>
          <cell r="C68" t="str">
            <v>M0112</v>
          </cell>
          <cell r="D68" t="str">
            <v>A</v>
          </cell>
          <cell r="E68" t="str">
            <v>501_M0112_A_067H</v>
          </cell>
          <cell r="F68">
            <v>45831.104166666664</v>
          </cell>
          <cell r="G68" t="str">
            <v>KUHN</v>
          </cell>
          <cell r="H68">
            <v>102.33</v>
          </cell>
          <cell r="I68">
            <v>0.91</v>
          </cell>
          <cell r="J68">
            <v>103.24</v>
          </cell>
          <cell r="K68">
            <v>1</v>
          </cell>
          <cell r="L68">
            <v>0.91</v>
          </cell>
          <cell r="M68">
            <v>100</v>
          </cell>
          <cell r="Q68" t="str">
            <v>yes</v>
          </cell>
          <cell r="R68" t="str">
            <v>all</v>
          </cell>
          <cell r="S68" t="str">
            <v>H</v>
          </cell>
          <cell r="T68" t="str">
            <v>H (QD-TEC)</v>
          </cell>
          <cell r="V68">
            <v>72</v>
          </cell>
          <cell r="W68">
            <v>0</v>
          </cell>
          <cell r="X68">
            <v>102.33</v>
          </cell>
          <cell r="Y68">
            <v>103.24</v>
          </cell>
        </row>
        <row r="69">
          <cell r="A69">
            <v>68</v>
          </cell>
          <cell r="B69">
            <v>501</v>
          </cell>
          <cell r="C69" t="str">
            <v>M0112</v>
          </cell>
          <cell r="D69" t="str">
            <v>A</v>
          </cell>
          <cell r="E69" t="str">
            <v>501_M0112_A_068H</v>
          </cell>
          <cell r="F69">
            <v>45831.135416666664</v>
          </cell>
          <cell r="G69" t="str">
            <v>KUHN</v>
          </cell>
          <cell r="H69">
            <v>103.24</v>
          </cell>
          <cell r="I69">
            <v>0.14000000000000001</v>
          </cell>
          <cell r="J69">
            <v>103.38</v>
          </cell>
          <cell r="K69">
            <v>1</v>
          </cell>
          <cell r="L69">
            <v>0.14000000000000001</v>
          </cell>
          <cell r="M69">
            <v>100</v>
          </cell>
          <cell r="Q69" t="str">
            <v>yes</v>
          </cell>
          <cell r="R69" t="str">
            <v>all</v>
          </cell>
          <cell r="S69" t="str">
            <v>H</v>
          </cell>
          <cell r="T69" t="str">
            <v>H (QD-TEC)</v>
          </cell>
          <cell r="V69">
            <v>72</v>
          </cell>
          <cell r="W69">
            <v>0</v>
          </cell>
          <cell r="X69">
            <v>103.24</v>
          </cell>
          <cell r="Y69">
            <v>103.38</v>
          </cell>
        </row>
        <row r="70">
          <cell r="A70">
            <v>69</v>
          </cell>
          <cell r="B70">
            <v>501</v>
          </cell>
          <cell r="C70" t="str">
            <v>M0112</v>
          </cell>
          <cell r="D70" t="str">
            <v>A</v>
          </cell>
          <cell r="E70" t="str">
            <v>501_M0112_A_069R</v>
          </cell>
          <cell r="F70">
            <v>45831.201388888891</v>
          </cell>
          <cell r="G70" t="str">
            <v>HK</v>
          </cell>
          <cell r="H70">
            <v>103.38</v>
          </cell>
          <cell r="I70">
            <v>0.9</v>
          </cell>
          <cell r="J70">
            <v>104.28</v>
          </cell>
          <cell r="K70">
            <v>1</v>
          </cell>
          <cell r="L70">
            <v>0.27</v>
          </cell>
          <cell r="M70">
            <v>30</v>
          </cell>
          <cell r="N70" t="str">
            <v>discontinuous</v>
          </cell>
          <cell r="P70" t="str">
            <v>liner stuck</v>
          </cell>
          <cell r="X70">
            <v>103.38</v>
          </cell>
        </row>
        <row r="71">
          <cell r="A71">
            <v>70</v>
          </cell>
          <cell r="B71">
            <v>501</v>
          </cell>
          <cell r="C71" t="str">
            <v>M0112</v>
          </cell>
          <cell r="D71" t="str">
            <v>A</v>
          </cell>
          <cell r="E71" t="str">
            <v>501_M0112_A_070R</v>
          </cell>
          <cell r="F71">
            <v>45831.243055555555</v>
          </cell>
          <cell r="G71" t="str">
            <v>HK</v>
          </cell>
          <cell r="H71">
            <v>104.28</v>
          </cell>
          <cell r="I71">
            <v>2.93</v>
          </cell>
          <cell r="J71">
            <v>107.21</v>
          </cell>
          <cell r="K71">
            <v>1</v>
          </cell>
          <cell r="L71">
            <v>0.63</v>
          </cell>
          <cell r="M71">
            <v>21.5</v>
          </cell>
          <cell r="P71" t="str">
            <v>metal pieces from basket@20 and 45cm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104.28</v>
          </cell>
          <cell r="Y71">
            <v>107.21</v>
          </cell>
        </row>
        <row r="72">
          <cell r="A72">
            <v>71</v>
          </cell>
          <cell r="B72">
            <v>501</v>
          </cell>
          <cell r="C72" t="str">
            <v>M0112</v>
          </cell>
          <cell r="D72" t="str">
            <v>A</v>
          </cell>
          <cell r="E72" t="str">
            <v>501_M0112_A_071R</v>
          </cell>
          <cell r="F72">
            <v>45831.288194444445</v>
          </cell>
          <cell r="G72" t="str">
            <v>HK</v>
          </cell>
          <cell r="H72">
            <v>107.21</v>
          </cell>
          <cell r="I72">
            <v>3</v>
          </cell>
          <cell r="J72">
            <v>110.21</v>
          </cell>
          <cell r="K72">
            <v>1</v>
          </cell>
          <cell r="L72">
            <v>0.26</v>
          </cell>
          <cell r="M72">
            <v>8.67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107.21</v>
          </cell>
          <cell r="Y72">
            <v>110.21</v>
          </cell>
        </row>
        <row r="73">
          <cell r="A73">
            <v>72</v>
          </cell>
          <cell r="B73">
            <v>501</v>
          </cell>
          <cell r="C73" t="str">
            <v>M0112</v>
          </cell>
          <cell r="D73" t="str">
            <v>A</v>
          </cell>
          <cell r="E73" t="str">
            <v>501_M0112_A_072H</v>
          </cell>
          <cell r="F73">
            <v>45831.315972222219</v>
          </cell>
          <cell r="G73" t="str">
            <v>HK</v>
          </cell>
          <cell r="H73">
            <v>110.21</v>
          </cell>
          <cell r="I73">
            <v>0.33</v>
          </cell>
          <cell r="J73">
            <v>110.54</v>
          </cell>
          <cell r="K73">
            <v>1</v>
          </cell>
          <cell r="L73">
            <v>0.33</v>
          </cell>
          <cell r="M73">
            <v>100</v>
          </cell>
          <cell r="Q73" t="str">
            <v>yes</v>
          </cell>
          <cell r="R73" t="str">
            <v>all</v>
          </cell>
          <cell r="S73" t="str">
            <v>H</v>
          </cell>
          <cell r="T73" t="str">
            <v>H (QD-TEC)</v>
          </cell>
          <cell r="V73">
            <v>72</v>
          </cell>
          <cell r="W73">
            <v>0</v>
          </cell>
          <cell r="X73">
            <v>110.21</v>
          </cell>
          <cell r="Y73">
            <v>110.54</v>
          </cell>
        </row>
        <row r="74">
          <cell r="A74">
            <v>73</v>
          </cell>
          <cell r="B74">
            <v>501</v>
          </cell>
          <cell r="C74" t="str">
            <v>M0112</v>
          </cell>
          <cell r="D74" t="str">
            <v>A</v>
          </cell>
          <cell r="E74" t="str">
            <v>501_M0112_A_073O</v>
          </cell>
          <cell r="F74">
            <v>45831.427083333336</v>
          </cell>
          <cell r="G74" t="str">
            <v>HK</v>
          </cell>
          <cell r="H74">
            <v>110.54</v>
          </cell>
          <cell r="I74">
            <v>2.67</v>
          </cell>
          <cell r="J74">
            <v>113.21</v>
          </cell>
          <cell r="K74">
            <v>0</v>
          </cell>
          <cell r="L74">
            <v>0</v>
          </cell>
          <cell r="M74">
            <v>0</v>
          </cell>
          <cell r="P74" t="str">
            <v>open hole drilling</v>
          </cell>
          <cell r="Q74" t="str">
            <v>no</v>
          </cell>
          <cell r="R74" t="str">
            <v>none</v>
          </cell>
          <cell r="S74" t="str">
            <v>O</v>
          </cell>
          <cell r="T74" t="str">
            <v>O (QD-TEC)</v>
          </cell>
          <cell r="V74">
            <v>72</v>
          </cell>
          <cell r="X74">
            <v>110.54</v>
          </cell>
          <cell r="Y74">
            <v>113.21</v>
          </cell>
        </row>
        <row r="75">
          <cell r="A75">
            <v>74</v>
          </cell>
          <cell r="B75">
            <v>501</v>
          </cell>
          <cell r="C75" t="str">
            <v>M0112</v>
          </cell>
          <cell r="D75" t="str">
            <v>A</v>
          </cell>
          <cell r="E75" t="str">
            <v>501_M0112_A_074H</v>
          </cell>
          <cell r="F75">
            <v>45831.447916666664</v>
          </cell>
          <cell r="G75" t="str">
            <v>HK</v>
          </cell>
          <cell r="H75">
            <v>113.21</v>
          </cell>
          <cell r="I75">
            <v>0</v>
          </cell>
          <cell r="J75">
            <v>113.21</v>
          </cell>
          <cell r="K75">
            <v>0</v>
          </cell>
          <cell r="L75">
            <v>0</v>
          </cell>
          <cell r="M75">
            <v>0</v>
          </cell>
          <cell r="P75" t="str">
            <v>no recovery</v>
          </cell>
          <cell r="Q75" t="str">
            <v>no</v>
          </cell>
          <cell r="R75" t="str">
            <v>none</v>
          </cell>
          <cell r="S75" t="str">
            <v>H</v>
          </cell>
          <cell r="T75" t="str">
            <v>H (QD-TEC)</v>
          </cell>
          <cell r="V75">
            <v>72</v>
          </cell>
          <cell r="W75">
            <v>0</v>
          </cell>
          <cell r="X75">
            <v>113.21</v>
          </cell>
          <cell r="Y75">
            <v>113.21</v>
          </cell>
        </row>
        <row r="76">
          <cell r="A76">
            <v>75</v>
          </cell>
          <cell r="B76">
            <v>501</v>
          </cell>
          <cell r="C76" t="str">
            <v>M0112</v>
          </cell>
          <cell r="D76" t="str">
            <v>A</v>
          </cell>
          <cell r="E76" t="str">
            <v>501_M0112_A_075H</v>
          </cell>
          <cell r="F76">
            <v>45831.479166666664</v>
          </cell>
          <cell r="G76" t="str">
            <v>HK</v>
          </cell>
          <cell r="H76">
            <v>113.21</v>
          </cell>
          <cell r="I76">
            <v>0</v>
          </cell>
          <cell r="J76">
            <v>113.21</v>
          </cell>
          <cell r="K76">
            <v>1</v>
          </cell>
          <cell r="L76">
            <v>0.14000000000000001</v>
          </cell>
          <cell r="M76">
            <v>0</v>
          </cell>
          <cell r="P76" t="str">
            <v>loose sand replaced in liner</v>
          </cell>
          <cell r="Q76" t="str">
            <v>yes</v>
          </cell>
          <cell r="R76" t="str">
            <v>all</v>
          </cell>
          <cell r="S76" t="str">
            <v>H</v>
          </cell>
          <cell r="T76" t="str">
            <v>H (QD-TEC)</v>
          </cell>
          <cell r="V76">
            <v>72</v>
          </cell>
          <cell r="W76">
            <v>0</v>
          </cell>
          <cell r="X76">
            <v>113.21</v>
          </cell>
          <cell r="Y76">
            <v>113.21</v>
          </cell>
        </row>
        <row r="77">
          <cell r="A77">
            <v>76</v>
          </cell>
          <cell r="B77">
            <v>501</v>
          </cell>
          <cell r="C77" t="str">
            <v>M0112</v>
          </cell>
          <cell r="D77" t="str">
            <v>A</v>
          </cell>
          <cell r="E77" t="str">
            <v>501_M0112_A_076O</v>
          </cell>
          <cell r="F77">
            <v>45831.506944444445</v>
          </cell>
          <cell r="G77" t="str">
            <v>HK</v>
          </cell>
          <cell r="H77">
            <v>113.21</v>
          </cell>
          <cell r="I77">
            <v>2</v>
          </cell>
          <cell r="J77">
            <v>115.21</v>
          </cell>
          <cell r="K77">
            <v>0</v>
          </cell>
          <cell r="L77">
            <v>0</v>
          </cell>
          <cell r="M77">
            <v>0</v>
          </cell>
          <cell r="P77" t="str">
            <v>open hole drilling</v>
          </cell>
          <cell r="Q77" t="str">
            <v>no</v>
          </cell>
          <cell r="R77" t="str">
            <v>none</v>
          </cell>
          <cell r="S77" t="str">
            <v>O</v>
          </cell>
          <cell r="T77" t="str">
            <v>O (QD-TEC)</v>
          </cell>
          <cell r="V77">
            <v>72</v>
          </cell>
          <cell r="X77">
            <v>113.21</v>
          </cell>
          <cell r="Y77">
            <v>115.21</v>
          </cell>
        </row>
        <row r="78">
          <cell r="A78">
            <v>77</v>
          </cell>
          <cell r="B78">
            <v>501</v>
          </cell>
          <cell r="C78" t="str">
            <v>M0112</v>
          </cell>
          <cell r="D78" t="str">
            <v>A</v>
          </cell>
          <cell r="E78" t="str">
            <v>501_M0112_A_077H</v>
          </cell>
          <cell r="F78">
            <v>45831.520833333336</v>
          </cell>
          <cell r="G78" t="str">
            <v>HK</v>
          </cell>
          <cell r="H78">
            <v>115.21</v>
          </cell>
          <cell r="I78">
            <v>0</v>
          </cell>
          <cell r="J78">
            <v>115.21</v>
          </cell>
          <cell r="K78">
            <v>1</v>
          </cell>
          <cell r="L78">
            <v>0.02</v>
          </cell>
          <cell r="M78">
            <v>0</v>
          </cell>
          <cell r="P78" t="str">
            <v>ALL to PAL</v>
          </cell>
          <cell r="Q78" t="str">
            <v>yes</v>
          </cell>
          <cell r="R78" t="str">
            <v>none</v>
          </cell>
          <cell r="S78" t="str">
            <v>H</v>
          </cell>
          <cell r="T78" t="str">
            <v>H (QD-TEC)</v>
          </cell>
          <cell r="V78">
            <v>72</v>
          </cell>
          <cell r="W78">
            <v>0</v>
          </cell>
          <cell r="X78">
            <v>115.21</v>
          </cell>
          <cell r="Y78">
            <v>115.21</v>
          </cell>
        </row>
        <row r="79">
          <cell r="A79">
            <v>78</v>
          </cell>
          <cell r="B79">
            <v>501</v>
          </cell>
          <cell r="C79" t="str">
            <v>M0112</v>
          </cell>
          <cell r="D79" t="str">
            <v>A</v>
          </cell>
          <cell r="E79" t="str">
            <v>501_M0112_A_078H</v>
          </cell>
          <cell r="F79">
            <v>45831.555555555555</v>
          </cell>
          <cell r="G79" t="str">
            <v>HK</v>
          </cell>
          <cell r="H79">
            <v>115.21</v>
          </cell>
          <cell r="I79">
            <v>1.99</v>
          </cell>
          <cell r="J79">
            <v>117.2</v>
          </cell>
          <cell r="K79">
            <v>2</v>
          </cell>
          <cell r="L79">
            <v>1.99</v>
          </cell>
          <cell r="M79">
            <v>100</v>
          </cell>
          <cell r="P79" t="str">
            <v>loose sand</v>
          </cell>
          <cell r="X79">
            <v>115.21</v>
          </cell>
        </row>
        <row r="80">
          <cell r="A80">
            <v>79</v>
          </cell>
          <cell r="B80">
            <v>501</v>
          </cell>
          <cell r="C80" t="str">
            <v>M0112</v>
          </cell>
          <cell r="D80" t="str">
            <v>A</v>
          </cell>
          <cell r="E80" t="str">
            <v>501_M0112_A_079H</v>
          </cell>
          <cell r="F80">
            <v>45831.59375</v>
          </cell>
          <cell r="G80" t="str">
            <v>HK</v>
          </cell>
          <cell r="H80">
            <v>117.2</v>
          </cell>
          <cell r="I80">
            <v>0</v>
          </cell>
          <cell r="J80">
            <v>117.2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H</v>
          </cell>
          <cell r="T80" t="str">
            <v>H (QD-TEC)</v>
          </cell>
          <cell r="V80">
            <v>72</v>
          </cell>
          <cell r="W80">
            <v>0</v>
          </cell>
          <cell r="X80">
            <v>117.2</v>
          </cell>
          <cell r="Y80">
            <v>117.2</v>
          </cell>
        </row>
        <row r="81">
          <cell r="A81">
            <v>80</v>
          </cell>
          <cell r="B81">
            <v>501</v>
          </cell>
          <cell r="C81" t="str">
            <v>M0112</v>
          </cell>
          <cell r="D81" t="str">
            <v>A</v>
          </cell>
          <cell r="E81" t="str">
            <v>501_M0112_A_080H</v>
          </cell>
          <cell r="F81">
            <v>45831.628472222219</v>
          </cell>
          <cell r="G81" t="str">
            <v>HK</v>
          </cell>
          <cell r="H81">
            <v>117.2</v>
          </cell>
          <cell r="I81">
            <v>0</v>
          </cell>
          <cell r="J81">
            <v>117.2</v>
          </cell>
          <cell r="K81">
            <v>1</v>
          </cell>
          <cell r="L81">
            <v>0.02</v>
          </cell>
          <cell r="M81">
            <v>0</v>
          </cell>
          <cell r="P81" t="str">
            <v>All to PAL</v>
          </cell>
          <cell r="Q81" t="str">
            <v>yes</v>
          </cell>
          <cell r="R81" t="str">
            <v>none</v>
          </cell>
          <cell r="S81" t="str">
            <v>H</v>
          </cell>
          <cell r="T81" t="str">
            <v>H (QD-TEC)</v>
          </cell>
          <cell r="V81">
            <v>72</v>
          </cell>
          <cell r="W81">
            <v>0</v>
          </cell>
          <cell r="X81">
            <v>117.2</v>
          </cell>
          <cell r="Y81">
            <v>117.2</v>
          </cell>
        </row>
        <row r="82">
          <cell r="A82">
            <v>81</v>
          </cell>
          <cell r="B82">
            <v>501</v>
          </cell>
          <cell r="C82" t="str">
            <v>M0112</v>
          </cell>
          <cell r="D82" t="str">
            <v>A</v>
          </cell>
          <cell r="E82" t="str">
            <v>501_M0112_A_081R</v>
          </cell>
          <cell r="F82">
            <v>45831.663194444445</v>
          </cell>
          <cell r="G82" t="str">
            <v>KUHN</v>
          </cell>
          <cell r="H82">
            <v>117.2</v>
          </cell>
          <cell r="I82">
            <v>2.0099999999999998</v>
          </cell>
          <cell r="J82">
            <v>119.21</v>
          </cell>
          <cell r="K82">
            <v>1</v>
          </cell>
          <cell r="L82">
            <v>0.16</v>
          </cell>
          <cell r="M82">
            <v>7.96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117.2</v>
          </cell>
          <cell r="Y82">
            <v>119.21</v>
          </cell>
        </row>
        <row r="83">
          <cell r="A83">
            <v>82</v>
          </cell>
          <cell r="B83">
            <v>501</v>
          </cell>
          <cell r="C83" t="str">
            <v>M0112</v>
          </cell>
          <cell r="D83" t="str">
            <v>A</v>
          </cell>
          <cell r="E83" t="str">
            <v>501_M0112_A_082H</v>
          </cell>
          <cell r="F83">
            <v>45831.690972222219</v>
          </cell>
          <cell r="G83" t="str">
            <v>KUHN</v>
          </cell>
          <cell r="H83">
            <v>119.21</v>
          </cell>
          <cell r="I83">
            <v>1.03</v>
          </cell>
          <cell r="J83">
            <v>120.24</v>
          </cell>
          <cell r="K83">
            <v>1</v>
          </cell>
          <cell r="L83">
            <v>1.03</v>
          </cell>
          <cell r="M83">
            <v>100</v>
          </cell>
          <cell r="Q83" t="str">
            <v>yes</v>
          </cell>
          <cell r="R83" t="str">
            <v>all</v>
          </cell>
          <cell r="S83" t="str">
            <v>H</v>
          </cell>
          <cell r="T83" t="str">
            <v>H (QD-TEC)</v>
          </cell>
          <cell r="V83">
            <v>72</v>
          </cell>
          <cell r="W83">
            <v>0</v>
          </cell>
          <cell r="X83">
            <v>119.21</v>
          </cell>
          <cell r="Y83">
            <v>120.24</v>
          </cell>
        </row>
        <row r="84">
          <cell r="A84">
            <v>83</v>
          </cell>
          <cell r="B84">
            <v>501</v>
          </cell>
          <cell r="C84" t="str">
            <v>M0112</v>
          </cell>
          <cell r="D84" t="str">
            <v>A</v>
          </cell>
          <cell r="E84" t="str">
            <v>501_M0112_A_083H</v>
          </cell>
          <cell r="F84">
            <v>45831.722222222219</v>
          </cell>
          <cell r="G84" t="str">
            <v>KUHN</v>
          </cell>
          <cell r="H84">
            <v>120.24</v>
          </cell>
          <cell r="I84">
            <v>0.12</v>
          </cell>
          <cell r="J84">
            <v>120.36</v>
          </cell>
          <cell r="K84">
            <v>1</v>
          </cell>
          <cell r="L84">
            <v>0.12</v>
          </cell>
          <cell r="M84">
            <v>100</v>
          </cell>
          <cell r="Q84" t="str">
            <v>yes</v>
          </cell>
          <cell r="R84" t="str">
            <v>all</v>
          </cell>
          <cell r="S84" t="str">
            <v>H</v>
          </cell>
          <cell r="T84" t="str">
            <v>H (QD-TEC)</v>
          </cell>
          <cell r="V84">
            <v>72</v>
          </cell>
          <cell r="W84">
            <v>0</v>
          </cell>
          <cell r="X84">
            <v>120.24</v>
          </cell>
          <cell r="Y84">
            <v>120.36</v>
          </cell>
        </row>
        <row r="85">
          <cell r="A85">
            <v>84</v>
          </cell>
          <cell r="B85">
            <v>501</v>
          </cell>
          <cell r="C85" t="str">
            <v>M0112</v>
          </cell>
          <cell r="D85" t="str">
            <v>A</v>
          </cell>
          <cell r="E85" t="str">
            <v>501_M0112_A_084H</v>
          </cell>
          <cell r="F85">
            <v>45831.746527777781</v>
          </cell>
          <cell r="G85" t="str">
            <v>KUHN</v>
          </cell>
          <cell r="H85">
            <v>120.36</v>
          </cell>
          <cell r="I85">
            <v>1.21</v>
          </cell>
          <cell r="J85">
            <v>121.57</v>
          </cell>
          <cell r="K85">
            <v>1</v>
          </cell>
          <cell r="L85">
            <v>1.21</v>
          </cell>
          <cell r="M85">
            <v>100</v>
          </cell>
          <cell r="Q85" t="str">
            <v>yes</v>
          </cell>
          <cell r="R85" t="str">
            <v>all</v>
          </cell>
          <cell r="S85" t="str">
            <v>H</v>
          </cell>
          <cell r="T85" t="str">
            <v>H (QD-TEC)</v>
          </cell>
          <cell r="V85">
            <v>72</v>
          </cell>
          <cell r="W85">
            <v>0</v>
          </cell>
          <cell r="X85">
            <v>120.36</v>
          </cell>
          <cell r="Y85">
            <v>121.57</v>
          </cell>
        </row>
        <row r="86">
          <cell r="A86">
            <v>85</v>
          </cell>
          <cell r="B86">
            <v>501</v>
          </cell>
          <cell r="C86" t="str">
            <v>M0112</v>
          </cell>
          <cell r="D86" t="str">
            <v>A</v>
          </cell>
          <cell r="E86" t="str">
            <v>501_M0112_A_085H</v>
          </cell>
          <cell r="F86">
            <v>45831.777777777781</v>
          </cell>
          <cell r="G86" t="str">
            <v>KUHN</v>
          </cell>
          <cell r="H86">
            <v>121.57</v>
          </cell>
          <cell r="I86">
            <v>0.55000000000000004</v>
          </cell>
          <cell r="J86">
            <v>122.12</v>
          </cell>
          <cell r="K86">
            <v>1</v>
          </cell>
          <cell r="L86">
            <v>0.55000000000000004</v>
          </cell>
          <cell r="M86">
            <v>100</v>
          </cell>
          <cell r="Q86" t="str">
            <v>yes</v>
          </cell>
          <cell r="R86" t="str">
            <v>all</v>
          </cell>
          <cell r="S86" t="str">
            <v>H</v>
          </cell>
          <cell r="T86" t="str">
            <v>H (QD-TEC)</v>
          </cell>
          <cell r="V86">
            <v>72</v>
          </cell>
          <cell r="W86">
            <v>0</v>
          </cell>
          <cell r="X86">
            <v>121.57</v>
          </cell>
          <cell r="Y86">
            <v>122.12</v>
          </cell>
        </row>
        <row r="87">
          <cell r="A87">
            <v>86</v>
          </cell>
          <cell r="B87">
            <v>501</v>
          </cell>
          <cell r="C87" t="str">
            <v>M0112</v>
          </cell>
          <cell r="D87" t="str">
            <v>A</v>
          </cell>
          <cell r="E87" t="str">
            <v>501_M0112_A_086H</v>
          </cell>
          <cell r="F87">
            <v>45831.815972222219</v>
          </cell>
          <cell r="G87" t="str">
            <v>KUHN</v>
          </cell>
          <cell r="H87">
            <v>122.12</v>
          </cell>
          <cell r="I87">
            <v>2.0299999999999998</v>
          </cell>
          <cell r="J87">
            <v>124.15</v>
          </cell>
          <cell r="K87">
            <v>2</v>
          </cell>
          <cell r="L87">
            <v>2.0299999999999998</v>
          </cell>
          <cell r="M87">
            <v>100</v>
          </cell>
          <cell r="Q87" t="str">
            <v>yes</v>
          </cell>
          <cell r="R87" t="str">
            <v>all</v>
          </cell>
          <cell r="S87" t="str">
            <v>H</v>
          </cell>
          <cell r="T87" t="str">
            <v>H (QD-TEC)</v>
          </cell>
          <cell r="V87">
            <v>72</v>
          </cell>
          <cell r="W87">
            <v>0</v>
          </cell>
          <cell r="X87">
            <v>122.12</v>
          </cell>
          <cell r="Y87">
            <v>124.15</v>
          </cell>
        </row>
        <row r="88">
          <cell r="A88">
            <v>87</v>
          </cell>
          <cell r="B88">
            <v>501</v>
          </cell>
          <cell r="C88" t="str">
            <v>M0112</v>
          </cell>
          <cell r="D88" t="str">
            <v>A</v>
          </cell>
          <cell r="E88" t="str">
            <v>501_M0112_A_087H</v>
          </cell>
          <cell r="F88">
            <v>45831.847222222219</v>
          </cell>
          <cell r="G88" t="str">
            <v>KUHN</v>
          </cell>
          <cell r="H88">
            <v>124.15</v>
          </cell>
          <cell r="I88">
            <v>0.19</v>
          </cell>
          <cell r="J88">
            <v>124.34</v>
          </cell>
          <cell r="K88">
            <v>1</v>
          </cell>
          <cell r="L88">
            <v>0.19</v>
          </cell>
          <cell r="M88">
            <v>100</v>
          </cell>
          <cell r="Q88" t="str">
            <v>yes</v>
          </cell>
          <cell r="R88" t="str">
            <v>all</v>
          </cell>
          <cell r="S88" t="str">
            <v>H</v>
          </cell>
          <cell r="T88" t="str">
            <v>H (QD-TEC)</v>
          </cell>
          <cell r="V88">
            <v>72</v>
          </cell>
          <cell r="W88">
            <v>0</v>
          </cell>
          <cell r="X88">
            <v>124.15</v>
          </cell>
          <cell r="Y88">
            <v>124.34</v>
          </cell>
        </row>
        <row r="89">
          <cell r="A89">
            <v>88</v>
          </cell>
          <cell r="B89">
            <v>501</v>
          </cell>
          <cell r="C89" t="str">
            <v>M0112</v>
          </cell>
          <cell r="D89" t="str">
            <v>A</v>
          </cell>
          <cell r="E89" t="str">
            <v>501_M0112_A_088H</v>
          </cell>
          <cell r="F89">
            <v>45831.878472222219</v>
          </cell>
          <cell r="G89" t="str">
            <v>KUHN</v>
          </cell>
          <cell r="H89">
            <v>124.34</v>
          </cell>
          <cell r="I89">
            <v>0.13</v>
          </cell>
          <cell r="J89">
            <v>124.47</v>
          </cell>
          <cell r="K89">
            <v>1</v>
          </cell>
          <cell r="L89">
            <v>0.13</v>
          </cell>
          <cell r="M89">
            <v>100</v>
          </cell>
          <cell r="Q89" t="str">
            <v>yes</v>
          </cell>
          <cell r="R89" t="str">
            <v>all</v>
          </cell>
          <cell r="S89" t="str">
            <v>H</v>
          </cell>
          <cell r="T89" t="str">
            <v>H (QD-TEC)</v>
          </cell>
          <cell r="V89">
            <v>72</v>
          </cell>
          <cell r="W89">
            <v>0</v>
          </cell>
          <cell r="X89">
            <v>124.34</v>
          </cell>
          <cell r="Y89">
            <v>124.47</v>
          </cell>
        </row>
        <row r="90">
          <cell r="A90">
            <v>89</v>
          </cell>
          <cell r="B90">
            <v>501</v>
          </cell>
          <cell r="C90" t="str">
            <v>M0112</v>
          </cell>
          <cell r="D90" t="str">
            <v>A</v>
          </cell>
          <cell r="E90" t="str">
            <v>501_M0112_A_089H</v>
          </cell>
          <cell r="F90">
            <v>45831.899305555555</v>
          </cell>
          <cell r="G90" t="str">
            <v>KUHN</v>
          </cell>
          <cell r="H90">
            <v>124.47</v>
          </cell>
          <cell r="I90">
            <v>1.42</v>
          </cell>
          <cell r="J90">
            <v>125.89</v>
          </cell>
          <cell r="K90">
            <v>2</v>
          </cell>
          <cell r="L90">
            <v>1.42</v>
          </cell>
          <cell r="M90">
            <v>100</v>
          </cell>
          <cell r="Q90" t="str">
            <v>yes</v>
          </cell>
          <cell r="R90" t="str">
            <v>all</v>
          </cell>
          <cell r="S90" t="str">
            <v>H</v>
          </cell>
          <cell r="T90" t="str">
            <v>H (QD-TEC)</v>
          </cell>
          <cell r="V90">
            <v>72</v>
          </cell>
          <cell r="W90">
            <v>0</v>
          </cell>
          <cell r="X90">
            <v>124.47</v>
          </cell>
          <cell r="Y90">
            <v>125.89</v>
          </cell>
        </row>
        <row r="91">
          <cell r="A91">
            <v>90</v>
          </cell>
          <cell r="B91">
            <v>501</v>
          </cell>
          <cell r="C91" t="str">
            <v>M0112</v>
          </cell>
          <cell r="D91" t="str">
            <v>A</v>
          </cell>
          <cell r="E91" t="str">
            <v>501_M0112_A_090H</v>
          </cell>
          <cell r="F91">
            <v>45831.972222222219</v>
          </cell>
          <cell r="G91" t="str">
            <v>KUHN</v>
          </cell>
          <cell r="H91">
            <v>125.89</v>
          </cell>
          <cell r="I91">
            <v>0.52</v>
          </cell>
          <cell r="J91">
            <v>126.41</v>
          </cell>
          <cell r="K91">
            <v>1</v>
          </cell>
          <cell r="L91">
            <v>0.52</v>
          </cell>
          <cell r="M91">
            <v>100</v>
          </cell>
          <cell r="Q91" t="str">
            <v>yes</v>
          </cell>
          <cell r="R91" t="str">
            <v>all</v>
          </cell>
          <cell r="S91" t="str">
            <v>H</v>
          </cell>
          <cell r="T91" t="str">
            <v>H (QD-TEC)</v>
          </cell>
          <cell r="V91">
            <v>72</v>
          </cell>
          <cell r="W91">
            <v>0</v>
          </cell>
          <cell r="X91">
            <v>125.89</v>
          </cell>
          <cell r="Y91">
            <v>126.41</v>
          </cell>
        </row>
        <row r="92">
          <cell r="A92">
            <v>91</v>
          </cell>
          <cell r="B92">
            <v>501</v>
          </cell>
          <cell r="C92" t="str">
            <v>M0112</v>
          </cell>
          <cell r="D92" t="str">
            <v>A</v>
          </cell>
          <cell r="E92" t="str">
            <v>501_M0112_A_091H</v>
          </cell>
          <cell r="F92">
            <v>45832.055555555555</v>
          </cell>
          <cell r="G92" t="str">
            <v>KUHN</v>
          </cell>
          <cell r="H92">
            <v>126.41</v>
          </cell>
          <cell r="I92">
            <v>2.02</v>
          </cell>
          <cell r="J92">
            <v>128.43</v>
          </cell>
          <cell r="K92">
            <v>3</v>
          </cell>
          <cell r="L92">
            <v>2.02</v>
          </cell>
          <cell r="M92">
            <v>100</v>
          </cell>
          <cell r="Q92" t="str">
            <v>yes</v>
          </cell>
          <cell r="R92" t="str">
            <v>all</v>
          </cell>
          <cell r="S92" t="str">
            <v>H</v>
          </cell>
          <cell r="T92" t="str">
            <v>H (QD-TEC)</v>
          </cell>
          <cell r="V92">
            <v>72</v>
          </cell>
          <cell r="W92">
            <v>0</v>
          </cell>
          <cell r="X92">
            <v>126.41</v>
          </cell>
          <cell r="Y92">
            <v>128.43</v>
          </cell>
        </row>
        <row r="93">
          <cell r="A93">
            <v>92</v>
          </cell>
          <cell r="B93">
            <v>501</v>
          </cell>
          <cell r="C93" t="str">
            <v>M0112</v>
          </cell>
          <cell r="D93" t="str">
            <v>A</v>
          </cell>
          <cell r="E93" t="str">
            <v>501_M0112_A_092H</v>
          </cell>
          <cell r="F93">
            <v>45832.09375</v>
          </cell>
          <cell r="G93" t="str">
            <v>KUHN</v>
          </cell>
          <cell r="H93">
            <v>128.43</v>
          </cell>
          <cell r="I93">
            <v>2.2999999999999998</v>
          </cell>
          <cell r="J93">
            <v>130.72999999999999</v>
          </cell>
          <cell r="K93">
            <v>2</v>
          </cell>
          <cell r="L93">
            <v>2.2999999999999998</v>
          </cell>
          <cell r="M93">
            <v>100</v>
          </cell>
          <cell r="Q93" t="str">
            <v>yes</v>
          </cell>
          <cell r="R93" t="str">
            <v>all</v>
          </cell>
          <cell r="S93" t="str">
            <v>H</v>
          </cell>
          <cell r="T93" t="str">
            <v>H (QD-TEC)</v>
          </cell>
          <cell r="V93">
            <v>72</v>
          </cell>
          <cell r="W93">
            <v>0</v>
          </cell>
          <cell r="X93">
            <v>128.43</v>
          </cell>
          <cell r="Y93">
            <v>130.72999999999999</v>
          </cell>
        </row>
        <row r="94">
          <cell r="A94">
            <v>93</v>
          </cell>
          <cell r="B94">
            <v>501</v>
          </cell>
          <cell r="C94" t="str">
            <v>M0112</v>
          </cell>
          <cell r="D94" t="str">
            <v>A</v>
          </cell>
          <cell r="E94" t="str">
            <v>501_M0112_A_093H</v>
          </cell>
          <cell r="F94">
            <v>45832.138888888891</v>
          </cell>
          <cell r="G94" t="str">
            <v>KUHN</v>
          </cell>
          <cell r="H94">
            <v>130.72999999999999</v>
          </cell>
          <cell r="I94">
            <v>2.86</v>
          </cell>
          <cell r="J94">
            <v>133.59</v>
          </cell>
          <cell r="K94">
            <v>2</v>
          </cell>
          <cell r="L94">
            <v>2.86</v>
          </cell>
          <cell r="M94">
            <v>100</v>
          </cell>
          <cell r="Q94" t="str">
            <v>yes</v>
          </cell>
          <cell r="R94" t="str">
            <v>all</v>
          </cell>
          <cell r="S94" t="str">
            <v>H</v>
          </cell>
          <cell r="T94" t="str">
            <v>H (QD-TEC)</v>
          </cell>
          <cell r="V94">
            <v>72</v>
          </cell>
          <cell r="W94">
            <v>0</v>
          </cell>
          <cell r="X94">
            <v>130.72999999999999</v>
          </cell>
          <cell r="Y94">
            <v>133.59</v>
          </cell>
        </row>
        <row r="95">
          <cell r="A95">
            <v>94</v>
          </cell>
          <cell r="B95">
            <v>501</v>
          </cell>
          <cell r="C95" t="str">
            <v>M0112</v>
          </cell>
          <cell r="D95" t="str">
            <v>A</v>
          </cell>
          <cell r="E95" t="str">
            <v>501_M0112_A_094H</v>
          </cell>
          <cell r="F95">
            <v>45832.208333333336</v>
          </cell>
          <cell r="G95" t="str">
            <v>HK</v>
          </cell>
          <cell r="H95">
            <v>133.59</v>
          </cell>
          <cell r="I95">
            <v>2.65</v>
          </cell>
          <cell r="J95">
            <v>136.24</v>
          </cell>
          <cell r="K95">
            <v>2</v>
          </cell>
          <cell r="L95">
            <v>2.75</v>
          </cell>
          <cell r="M95">
            <v>103.77</v>
          </cell>
          <cell r="Q95" t="str">
            <v>yes</v>
          </cell>
          <cell r="R95" t="str">
            <v>all</v>
          </cell>
          <cell r="S95" t="str">
            <v>H</v>
          </cell>
          <cell r="T95" t="str">
            <v>H (QD-TEC)</v>
          </cell>
          <cell r="V95">
            <v>72</v>
          </cell>
          <cell r="W95">
            <v>0</v>
          </cell>
          <cell r="X95">
            <v>133.59</v>
          </cell>
          <cell r="Y95">
            <v>136.24</v>
          </cell>
        </row>
        <row r="96">
          <cell r="A96">
            <v>95</v>
          </cell>
          <cell r="B96">
            <v>501</v>
          </cell>
          <cell r="C96" t="str">
            <v>M0112</v>
          </cell>
          <cell r="D96" t="str">
            <v>A</v>
          </cell>
          <cell r="E96" t="str">
            <v>501_M0112_A_095H</v>
          </cell>
          <cell r="F96">
            <v>45832.28125</v>
          </cell>
          <cell r="G96" t="str">
            <v>HK</v>
          </cell>
          <cell r="H96">
            <v>136.24</v>
          </cell>
          <cell r="I96">
            <v>1.98</v>
          </cell>
          <cell r="J96">
            <v>138.22</v>
          </cell>
          <cell r="K96">
            <v>2</v>
          </cell>
          <cell r="L96">
            <v>1.98</v>
          </cell>
          <cell r="M96">
            <v>100</v>
          </cell>
          <cell r="Q96" t="str">
            <v>yes</v>
          </cell>
          <cell r="R96" t="str">
            <v>all</v>
          </cell>
          <cell r="S96" t="str">
            <v>H</v>
          </cell>
          <cell r="T96" t="str">
            <v>H (QD-TEC)</v>
          </cell>
          <cell r="V96">
            <v>72</v>
          </cell>
          <cell r="W96">
            <v>0</v>
          </cell>
          <cell r="X96">
            <v>136.24</v>
          </cell>
          <cell r="Y96">
            <v>138.22</v>
          </cell>
        </row>
        <row r="97">
          <cell r="A97">
            <v>96</v>
          </cell>
          <cell r="B97">
            <v>501</v>
          </cell>
          <cell r="C97" t="str">
            <v>M0112</v>
          </cell>
          <cell r="D97" t="str">
            <v>A</v>
          </cell>
          <cell r="E97" t="str">
            <v>501_M0112_A_096H</v>
          </cell>
          <cell r="F97">
            <v>45832.340277777781</v>
          </cell>
          <cell r="G97" t="str">
            <v>HK</v>
          </cell>
          <cell r="H97">
            <v>138.22</v>
          </cell>
          <cell r="I97">
            <v>0.59</v>
          </cell>
          <cell r="J97">
            <v>138.81</v>
          </cell>
          <cell r="K97">
            <v>2</v>
          </cell>
          <cell r="L97">
            <v>0.94</v>
          </cell>
          <cell r="M97">
            <v>159.32</v>
          </cell>
          <cell r="Q97" t="str">
            <v>yes</v>
          </cell>
          <cell r="R97" t="str">
            <v>all</v>
          </cell>
          <cell r="S97" t="str">
            <v>H</v>
          </cell>
          <cell r="T97" t="str">
            <v>H (QD-TEC)</v>
          </cell>
          <cell r="V97">
            <v>72</v>
          </cell>
          <cell r="W97">
            <v>0</v>
          </cell>
          <cell r="X97">
            <v>138.22</v>
          </cell>
          <cell r="Y97">
            <v>138.81</v>
          </cell>
        </row>
        <row r="98">
          <cell r="A98">
            <v>97</v>
          </cell>
          <cell r="B98">
            <v>501</v>
          </cell>
          <cell r="C98" t="str">
            <v>M0112</v>
          </cell>
          <cell r="D98" t="str">
            <v>A</v>
          </cell>
          <cell r="E98" t="str">
            <v>501_M0112_A_097R</v>
          </cell>
          <cell r="F98">
            <v>45832.375</v>
          </cell>
          <cell r="G98" t="str">
            <v>HK</v>
          </cell>
          <cell r="H98">
            <v>138.81</v>
          </cell>
          <cell r="I98">
            <v>1.4</v>
          </cell>
          <cell r="J98">
            <v>140.21</v>
          </cell>
          <cell r="K98">
            <v>0</v>
          </cell>
          <cell r="L98">
            <v>0</v>
          </cell>
          <cell r="M98">
            <v>0</v>
          </cell>
          <cell r="P98" t="str">
            <v>no recovery</v>
          </cell>
          <cell r="Q98" t="str">
            <v>no</v>
          </cell>
          <cell r="R98" t="str">
            <v>none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138.81</v>
          </cell>
          <cell r="Y98">
            <v>140.21</v>
          </cell>
        </row>
        <row r="99">
          <cell r="A99">
            <v>98</v>
          </cell>
          <cell r="B99">
            <v>501</v>
          </cell>
          <cell r="C99" t="str">
            <v>M0112</v>
          </cell>
          <cell r="D99" t="str">
            <v>A</v>
          </cell>
          <cell r="E99" t="str">
            <v>501_M0112_A_098H</v>
          </cell>
          <cell r="F99">
            <v>45832.399305555555</v>
          </cell>
          <cell r="G99" t="str">
            <v>HK</v>
          </cell>
          <cell r="H99">
            <v>140.21</v>
          </cell>
          <cell r="I99">
            <v>1</v>
          </cell>
          <cell r="J99">
            <v>141.21</v>
          </cell>
          <cell r="K99">
            <v>1</v>
          </cell>
          <cell r="L99">
            <v>0.12</v>
          </cell>
          <cell r="M99">
            <v>12</v>
          </cell>
          <cell r="P99" t="str">
            <v>liner stuck piece reorganized in new liner</v>
          </cell>
          <cell r="Q99" t="str">
            <v>yes</v>
          </cell>
          <cell r="R99" t="str">
            <v>all</v>
          </cell>
          <cell r="S99" t="str">
            <v>H</v>
          </cell>
          <cell r="T99" t="str">
            <v>H (QD-TEC)</v>
          </cell>
          <cell r="V99">
            <v>72</v>
          </cell>
          <cell r="W99">
            <v>0</v>
          </cell>
          <cell r="X99">
            <v>140.21</v>
          </cell>
          <cell r="Y99">
            <v>141.21</v>
          </cell>
        </row>
        <row r="100">
          <cell r="A100">
            <v>99</v>
          </cell>
          <cell r="B100">
            <v>501</v>
          </cell>
          <cell r="C100" t="str">
            <v>M0112</v>
          </cell>
          <cell r="D100" t="str">
            <v>A</v>
          </cell>
          <cell r="E100" t="str">
            <v>501_M0112_A_099R</v>
          </cell>
          <cell r="F100">
            <v>45832.465277777781</v>
          </cell>
          <cell r="G100" t="str">
            <v>HK</v>
          </cell>
          <cell r="H100">
            <v>141.21</v>
          </cell>
          <cell r="I100">
            <v>1</v>
          </cell>
          <cell r="J100">
            <v>142.21</v>
          </cell>
          <cell r="K100">
            <v>2</v>
          </cell>
          <cell r="L100">
            <v>1.67</v>
          </cell>
          <cell r="M100">
            <v>167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141.21</v>
          </cell>
          <cell r="Y100">
            <v>142.21</v>
          </cell>
        </row>
        <row r="101">
          <cell r="A101">
            <v>100</v>
          </cell>
          <cell r="B101">
            <v>501</v>
          </cell>
          <cell r="C101" t="str">
            <v>M0112</v>
          </cell>
          <cell r="D101" t="str">
            <v>A</v>
          </cell>
          <cell r="E101" t="str">
            <v>501_M0112_A_100R</v>
          </cell>
          <cell r="F101">
            <v>45832.5</v>
          </cell>
          <cell r="G101" t="str">
            <v>HK</v>
          </cell>
          <cell r="H101">
            <v>142.21</v>
          </cell>
          <cell r="I101">
            <v>1</v>
          </cell>
          <cell r="J101">
            <v>143.21</v>
          </cell>
          <cell r="K101">
            <v>1</v>
          </cell>
          <cell r="L101">
            <v>0.97</v>
          </cell>
          <cell r="M101">
            <v>97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142.21</v>
          </cell>
          <cell r="Y101">
            <v>143.21</v>
          </cell>
        </row>
        <row r="102">
          <cell r="A102">
            <v>101</v>
          </cell>
          <cell r="B102">
            <v>501</v>
          </cell>
          <cell r="C102" t="str">
            <v>M0112</v>
          </cell>
          <cell r="D102" t="str">
            <v>A</v>
          </cell>
          <cell r="E102" t="str">
            <v>501_M0112_A_101R</v>
          </cell>
          <cell r="F102">
            <v>45832.534722222219</v>
          </cell>
          <cell r="G102" t="str">
            <v>HK</v>
          </cell>
          <cell r="H102">
            <v>143.21</v>
          </cell>
          <cell r="I102">
            <v>3</v>
          </cell>
          <cell r="J102">
            <v>146.21</v>
          </cell>
          <cell r="K102">
            <v>2</v>
          </cell>
          <cell r="L102">
            <v>1.76</v>
          </cell>
          <cell r="M102">
            <v>58.67</v>
          </cell>
          <cell r="P102" t="str">
            <v>metal basket 0-10cm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143.21</v>
          </cell>
          <cell r="Y102">
            <v>146.21</v>
          </cell>
        </row>
        <row r="103">
          <cell r="A103">
            <v>102</v>
          </cell>
          <cell r="B103">
            <v>501</v>
          </cell>
          <cell r="C103" t="str">
            <v>M0112</v>
          </cell>
          <cell r="D103" t="str">
            <v>A</v>
          </cell>
          <cell r="E103" t="str">
            <v>501_M0112_A_102R</v>
          </cell>
          <cell r="F103">
            <v>45832.559027777781</v>
          </cell>
          <cell r="G103" t="str">
            <v>HK</v>
          </cell>
          <cell r="H103">
            <v>146.21</v>
          </cell>
          <cell r="I103">
            <v>2</v>
          </cell>
          <cell r="J103">
            <v>148.21</v>
          </cell>
          <cell r="K103">
            <v>1</v>
          </cell>
          <cell r="L103">
            <v>1.05</v>
          </cell>
          <cell r="M103">
            <v>52.5</v>
          </cell>
          <cell r="P103" t="str">
            <v>60-100 metal piece possible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146.21</v>
          </cell>
          <cell r="Y103">
            <v>148.21</v>
          </cell>
        </row>
        <row r="104">
          <cell r="A104">
            <v>103</v>
          </cell>
          <cell r="B104">
            <v>501</v>
          </cell>
          <cell r="C104" t="str">
            <v>M0112</v>
          </cell>
          <cell r="D104" t="str">
            <v>A</v>
          </cell>
          <cell r="E104" t="str">
            <v>501_M0112_A_103R</v>
          </cell>
          <cell r="F104">
            <v>45832.590277777781</v>
          </cell>
          <cell r="G104" t="str">
            <v>HK</v>
          </cell>
          <cell r="H104">
            <v>148.21</v>
          </cell>
          <cell r="I104">
            <v>2</v>
          </cell>
          <cell r="J104">
            <v>150.21</v>
          </cell>
          <cell r="K104">
            <v>1</v>
          </cell>
          <cell r="L104">
            <v>0.88</v>
          </cell>
          <cell r="M104">
            <v>44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148.21</v>
          </cell>
          <cell r="Y104">
            <v>150.21</v>
          </cell>
        </row>
        <row r="105">
          <cell r="A105">
            <v>104</v>
          </cell>
          <cell r="B105">
            <v>501</v>
          </cell>
          <cell r="C105" t="str">
            <v>M0112</v>
          </cell>
          <cell r="D105" t="str">
            <v>A</v>
          </cell>
          <cell r="E105" t="str">
            <v>501_M0112_A_104R</v>
          </cell>
          <cell r="F105">
            <v>45832.614583333336</v>
          </cell>
          <cell r="G105" t="str">
            <v>HK</v>
          </cell>
          <cell r="H105">
            <v>150.21</v>
          </cell>
          <cell r="I105">
            <v>1.1499999999999999</v>
          </cell>
          <cell r="J105">
            <v>151.36000000000001</v>
          </cell>
          <cell r="K105">
            <v>1</v>
          </cell>
          <cell r="L105">
            <v>0.41</v>
          </cell>
          <cell r="M105">
            <v>35.65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150.21</v>
          </cell>
          <cell r="Y105">
            <v>151.36000000000001</v>
          </cell>
        </row>
        <row r="106">
          <cell r="A106">
            <v>105</v>
          </cell>
          <cell r="B106">
            <v>501</v>
          </cell>
          <cell r="C106" t="str">
            <v>M0112</v>
          </cell>
          <cell r="D106" t="str">
            <v>A</v>
          </cell>
          <cell r="E106" t="str">
            <v>501_M0112_A_105R</v>
          </cell>
          <cell r="F106">
            <v>45832.635416666664</v>
          </cell>
          <cell r="G106" t="str">
            <v>HK</v>
          </cell>
          <cell r="H106">
            <v>151.36000000000001</v>
          </cell>
          <cell r="I106">
            <v>2</v>
          </cell>
          <cell r="J106">
            <v>153.36000000000001</v>
          </cell>
          <cell r="K106">
            <v>0</v>
          </cell>
          <cell r="L106">
            <v>0</v>
          </cell>
          <cell r="M106">
            <v>0</v>
          </cell>
          <cell r="P106" t="str">
            <v>no recovery</v>
          </cell>
          <cell r="Q106" t="str">
            <v>no</v>
          </cell>
          <cell r="R106" t="str">
            <v>none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151.36000000000001</v>
          </cell>
          <cell r="Y106">
            <v>153.36000000000001</v>
          </cell>
        </row>
        <row r="107">
          <cell r="A107">
            <v>106</v>
          </cell>
          <cell r="B107">
            <v>501</v>
          </cell>
          <cell r="C107" t="str">
            <v>M0112</v>
          </cell>
          <cell r="D107" t="str">
            <v>A</v>
          </cell>
          <cell r="E107" t="str">
            <v>501_M0112_A_106H</v>
          </cell>
          <cell r="F107">
            <v>45832.666666666664</v>
          </cell>
          <cell r="G107" t="str">
            <v>KUHN</v>
          </cell>
          <cell r="H107">
            <v>153.36000000000001</v>
          </cell>
          <cell r="I107">
            <v>0.14000000000000001</v>
          </cell>
          <cell r="J107">
            <v>153.5</v>
          </cell>
          <cell r="K107">
            <v>1</v>
          </cell>
          <cell r="L107">
            <v>0.14000000000000001</v>
          </cell>
          <cell r="M107">
            <v>100</v>
          </cell>
          <cell r="Q107" t="str">
            <v>yes</v>
          </cell>
          <cell r="R107" t="str">
            <v>all</v>
          </cell>
          <cell r="S107" t="str">
            <v>H</v>
          </cell>
          <cell r="T107" t="str">
            <v>H (QD-TEC)</v>
          </cell>
          <cell r="V107">
            <v>72</v>
          </cell>
          <cell r="W107">
            <v>0</v>
          </cell>
          <cell r="X107">
            <v>153.36000000000001</v>
          </cell>
          <cell r="Y107">
            <v>153.5</v>
          </cell>
        </row>
        <row r="108">
          <cell r="A108">
            <v>107</v>
          </cell>
          <cell r="B108">
            <v>501</v>
          </cell>
          <cell r="C108" t="str">
            <v>M0112</v>
          </cell>
          <cell r="D108" t="str">
            <v>A</v>
          </cell>
          <cell r="E108" t="str">
            <v>501_M0112_A_107H</v>
          </cell>
          <cell r="F108">
            <v>45832.697916666664</v>
          </cell>
          <cell r="G108" t="str">
            <v>KUHN</v>
          </cell>
          <cell r="H108">
            <v>153.5</v>
          </cell>
          <cell r="I108">
            <v>0.2</v>
          </cell>
          <cell r="J108">
            <v>153.69999999999999</v>
          </cell>
          <cell r="K108">
            <v>1</v>
          </cell>
          <cell r="L108">
            <v>0.2</v>
          </cell>
          <cell r="M108">
            <v>100</v>
          </cell>
          <cell r="Q108" t="str">
            <v>yes</v>
          </cell>
          <cell r="R108" t="str">
            <v>all</v>
          </cell>
          <cell r="S108" t="str">
            <v>H</v>
          </cell>
          <cell r="T108" t="str">
            <v>H (QD-TEC)</v>
          </cell>
          <cell r="V108">
            <v>72</v>
          </cell>
          <cell r="W108">
            <v>0</v>
          </cell>
          <cell r="X108">
            <v>153.5</v>
          </cell>
          <cell r="Y108">
            <v>153.69999999999999</v>
          </cell>
        </row>
        <row r="109">
          <cell r="A109">
            <v>108</v>
          </cell>
          <cell r="B109">
            <v>501</v>
          </cell>
          <cell r="C109" t="str">
            <v>M0112</v>
          </cell>
          <cell r="D109" t="str">
            <v>A</v>
          </cell>
          <cell r="E109" t="str">
            <v>501_M0112_A_108R</v>
          </cell>
          <cell r="F109">
            <v>45832.729166666664</v>
          </cell>
          <cell r="G109" t="str">
            <v>KUHN</v>
          </cell>
          <cell r="H109">
            <v>153.69999999999999</v>
          </cell>
          <cell r="I109">
            <v>1.51</v>
          </cell>
          <cell r="J109">
            <v>155.21</v>
          </cell>
          <cell r="K109">
            <v>1</v>
          </cell>
          <cell r="L109">
            <v>0.1</v>
          </cell>
          <cell r="M109">
            <v>6.62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153.69999999999999</v>
          </cell>
          <cell r="Y109">
            <v>155.21</v>
          </cell>
        </row>
        <row r="110">
          <cell r="A110">
            <v>109</v>
          </cell>
          <cell r="B110">
            <v>501</v>
          </cell>
          <cell r="C110" t="str">
            <v>M0112</v>
          </cell>
          <cell r="D110" t="str">
            <v>A</v>
          </cell>
          <cell r="E110" t="str">
            <v>501_M0112_A_109H</v>
          </cell>
          <cell r="F110">
            <v>45832.767361111109</v>
          </cell>
          <cell r="G110" t="str">
            <v>KUHN</v>
          </cell>
          <cell r="H110">
            <v>155.21</v>
          </cell>
          <cell r="I110">
            <v>0.16</v>
          </cell>
          <cell r="J110">
            <v>155.37</v>
          </cell>
          <cell r="K110">
            <v>1</v>
          </cell>
          <cell r="L110">
            <v>0.16</v>
          </cell>
          <cell r="M110">
            <v>100</v>
          </cell>
          <cell r="Q110" t="str">
            <v>yes</v>
          </cell>
          <cell r="R110" t="str">
            <v>all</v>
          </cell>
          <cell r="S110" t="str">
            <v>H</v>
          </cell>
          <cell r="T110" t="str">
            <v>H (QD-TEC)</v>
          </cell>
          <cell r="V110">
            <v>72</v>
          </cell>
          <cell r="W110">
            <v>0</v>
          </cell>
          <cell r="X110">
            <v>155.21</v>
          </cell>
          <cell r="Y110">
            <v>155.37</v>
          </cell>
        </row>
        <row r="111">
          <cell r="A111">
            <v>110</v>
          </cell>
          <cell r="B111">
            <v>501</v>
          </cell>
          <cell r="C111" t="str">
            <v>M0112</v>
          </cell>
          <cell r="D111" t="str">
            <v>A</v>
          </cell>
          <cell r="E111" t="str">
            <v>501_M0112_A_110H</v>
          </cell>
          <cell r="F111">
            <v>45832.795138888891</v>
          </cell>
          <cell r="G111" t="str">
            <v>KUHN</v>
          </cell>
          <cell r="H111">
            <v>155.37</v>
          </cell>
          <cell r="I111">
            <v>0.12</v>
          </cell>
          <cell r="J111">
            <v>155.49</v>
          </cell>
          <cell r="K111">
            <v>1</v>
          </cell>
          <cell r="L111">
            <v>0.12</v>
          </cell>
          <cell r="M111">
            <v>100</v>
          </cell>
          <cell r="Q111" t="str">
            <v>yes</v>
          </cell>
          <cell r="R111" t="str">
            <v>all</v>
          </cell>
          <cell r="S111" t="str">
            <v>H</v>
          </cell>
          <cell r="T111" t="str">
            <v>H (QD-TEC)</v>
          </cell>
          <cell r="V111">
            <v>72</v>
          </cell>
          <cell r="W111">
            <v>0</v>
          </cell>
          <cell r="X111">
            <v>155.37</v>
          </cell>
          <cell r="Y111">
            <v>155.49</v>
          </cell>
        </row>
        <row r="112">
          <cell r="A112">
            <v>111</v>
          </cell>
          <cell r="B112">
            <v>501</v>
          </cell>
          <cell r="C112" t="str">
            <v>M0112</v>
          </cell>
          <cell r="D112" t="str">
            <v>A</v>
          </cell>
          <cell r="E112" t="str">
            <v>501_M0112_A_111H</v>
          </cell>
          <cell r="F112">
            <v>45832.819444444445</v>
          </cell>
          <cell r="G112" t="str">
            <v>KUHN</v>
          </cell>
          <cell r="H112">
            <v>155.49</v>
          </cell>
          <cell r="I112">
            <v>2.0499999999999998</v>
          </cell>
          <cell r="J112">
            <v>157.54</v>
          </cell>
          <cell r="K112">
            <v>2</v>
          </cell>
          <cell r="L112">
            <v>2.0499999999999998</v>
          </cell>
          <cell r="M112">
            <v>100</v>
          </cell>
          <cell r="Q112" t="str">
            <v>yes</v>
          </cell>
          <cell r="R112" t="str">
            <v>all</v>
          </cell>
          <cell r="S112" t="str">
            <v>H</v>
          </cell>
          <cell r="T112" t="str">
            <v>H (QD-TEC)</v>
          </cell>
          <cell r="V112">
            <v>72</v>
          </cell>
          <cell r="W112">
            <v>0</v>
          </cell>
          <cell r="X112">
            <v>155.49</v>
          </cell>
          <cell r="Y112">
            <v>157.54</v>
          </cell>
        </row>
        <row r="113">
          <cell r="A113">
            <v>112</v>
          </cell>
          <cell r="B113">
            <v>501</v>
          </cell>
          <cell r="C113" t="str">
            <v>M0112</v>
          </cell>
          <cell r="D113" t="str">
            <v>A</v>
          </cell>
          <cell r="E113" t="str">
            <v>501_M0112_A_112H</v>
          </cell>
          <cell r="F113">
            <v>45832.850694444445</v>
          </cell>
          <cell r="G113" t="str">
            <v>KUHN</v>
          </cell>
          <cell r="H113">
            <v>157.54</v>
          </cell>
          <cell r="I113">
            <v>1.25</v>
          </cell>
          <cell r="J113">
            <v>158.79</v>
          </cell>
          <cell r="K113">
            <v>1</v>
          </cell>
          <cell r="L113">
            <v>1.25</v>
          </cell>
          <cell r="M113">
            <v>100</v>
          </cell>
          <cell r="P113" t="str">
            <v>highly disturbed</v>
          </cell>
          <cell r="Q113" t="str">
            <v>yes</v>
          </cell>
          <cell r="R113" t="str">
            <v>all</v>
          </cell>
          <cell r="S113" t="str">
            <v>H</v>
          </cell>
          <cell r="T113" t="str">
            <v>H (QD-TEC)</v>
          </cell>
          <cell r="V113">
            <v>72</v>
          </cell>
          <cell r="W113">
            <v>0</v>
          </cell>
          <cell r="X113">
            <v>157.54</v>
          </cell>
          <cell r="Y113">
            <v>158.79</v>
          </cell>
        </row>
        <row r="114">
          <cell r="A114">
            <v>113</v>
          </cell>
          <cell r="B114">
            <v>501</v>
          </cell>
          <cell r="C114" t="str">
            <v>M0112</v>
          </cell>
          <cell r="D114" t="str">
            <v>A</v>
          </cell>
          <cell r="E114" t="str">
            <v>501_M0112_A_113H</v>
          </cell>
          <cell r="F114">
            <v>45832.881944444445</v>
          </cell>
          <cell r="G114" t="str">
            <v>KUHN</v>
          </cell>
          <cell r="H114">
            <v>158.79</v>
          </cell>
          <cell r="I114">
            <v>1.81</v>
          </cell>
          <cell r="J114">
            <v>160.6</v>
          </cell>
          <cell r="K114">
            <v>2</v>
          </cell>
          <cell r="L114">
            <v>1.81</v>
          </cell>
          <cell r="M114">
            <v>100</v>
          </cell>
          <cell r="P114" t="str">
            <v>highly disturbed</v>
          </cell>
          <cell r="Q114" t="str">
            <v>yes</v>
          </cell>
          <cell r="R114" t="str">
            <v>all</v>
          </cell>
          <cell r="S114" t="str">
            <v>H</v>
          </cell>
          <cell r="T114" t="str">
            <v>H (QD-TEC)</v>
          </cell>
          <cell r="V114">
            <v>72</v>
          </cell>
          <cell r="W114">
            <v>0</v>
          </cell>
          <cell r="X114">
            <v>158.79</v>
          </cell>
          <cell r="Y114">
            <v>160.6</v>
          </cell>
        </row>
        <row r="115">
          <cell r="A115">
            <v>114</v>
          </cell>
          <cell r="B115">
            <v>501</v>
          </cell>
          <cell r="C115" t="str">
            <v>M0112</v>
          </cell>
          <cell r="D115" t="str">
            <v>A</v>
          </cell>
          <cell r="E115" t="str">
            <v>501_M0112_A_114H</v>
          </cell>
          <cell r="F115">
            <v>45832.916666666664</v>
          </cell>
          <cell r="G115" t="str">
            <v>KUHN</v>
          </cell>
          <cell r="H115">
            <v>160.6</v>
          </cell>
          <cell r="I115">
            <v>0.18</v>
          </cell>
          <cell r="J115">
            <v>160.78</v>
          </cell>
          <cell r="K115">
            <v>1</v>
          </cell>
          <cell r="L115">
            <v>0.18</v>
          </cell>
          <cell r="M115">
            <v>100</v>
          </cell>
          <cell r="P115" t="str">
            <v>highly disturbed</v>
          </cell>
          <cell r="Q115" t="str">
            <v>yes</v>
          </cell>
          <cell r="R115" t="str">
            <v>all</v>
          </cell>
          <cell r="S115" t="str">
            <v>H</v>
          </cell>
          <cell r="T115" t="str">
            <v>H (QD-TEC)</v>
          </cell>
          <cell r="V115">
            <v>72</v>
          </cell>
          <cell r="W115">
            <v>0</v>
          </cell>
          <cell r="X115">
            <v>160.6</v>
          </cell>
          <cell r="Y115">
            <v>160.78</v>
          </cell>
        </row>
        <row r="116">
          <cell r="A116">
            <v>115</v>
          </cell>
          <cell r="B116">
            <v>501</v>
          </cell>
          <cell r="C116" t="str">
            <v>M0112</v>
          </cell>
          <cell r="D116" t="str">
            <v>A</v>
          </cell>
          <cell r="E116" t="str">
            <v>501_M0112_A_115H</v>
          </cell>
          <cell r="F116">
            <v>45832.940972222219</v>
          </cell>
          <cell r="G116" t="str">
            <v>KUHN</v>
          </cell>
          <cell r="H116">
            <v>160.78</v>
          </cell>
          <cell r="I116">
            <v>1.84</v>
          </cell>
          <cell r="J116">
            <v>162.62</v>
          </cell>
          <cell r="K116">
            <v>2</v>
          </cell>
          <cell r="L116">
            <v>1.84</v>
          </cell>
          <cell r="M116">
            <v>100</v>
          </cell>
          <cell r="P116" t="str">
            <v>disturbed</v>
          </cell>
          <cell r="Q116" t="str">
            <v>yes</v>
          </cell>
          <cell r="R116" t="str">
            <v>all</v>
          </cell>
          <cell r="S116" t="str">
            <v>H</v>
          </cell>
          <cell r="T116" t="str">
            <v>H (QD-TEC)</v>
          </cell>
          <cell r="V116">
            <v>72</v>
          </cell>
          <cell r="W116">
            <v>0</v>
          </cell>
          <cell r="X116">
            <v>160.78</v>
          </cell>
          <cell r="Y116">
            <v>162.62</v>
          </cell>
        </row>
        <row r="117">
          <cell r="A117">
            <v>116</v>
          </cell>
          <cell r="B117">
            <v>501</v>
          </cell>
          <cell r="C117" t="str">
            <v>M0112</v>
          </cell>
          <cell r="D117" t="str">
            <v>A</v>
          </cell>
          <cell r="E117" t="str">
            <v>501_M0112_A_116H</v>
          </cell>
          <cell r="F117">
            <v>45832.972222222219</v>
          </cell>
          <cell r="G117" t="str">
            <v>KUHN</v>
          </cell>
          <cell r="H117">
            <v>162.62</v>
          </cell>
          <cell r="I117">
            <v>2.16</v>
          </cell>
          <cell r="J117">
            <v>164.78</v>
          </cell>
          <cell r="K117">
            <v>2</v>
          </cell>
          <cell r="L117">
            <v>2.16</v>
          </cell>
          <cell r="M117">
            <v>100</v>
          </cell>
          <cell r="P117" t="str">
            <v>top of section 1 and bottom of section 2 disturbed</v>
          </cell>
          <cell r="Q117" t="str">
            <v>yes</v>
          </cell>
          <cell r="R117" t="str">
            <v>all</v>
          </cell>
          <cell r="S117" t="str">
            <v>H</v>
          </cell>
          <cell r="T117" t="str">
            <v>H (QD-TEC)</v>
          </cell>
          <cell r="V117">
            <v>72</v>
          </cell>
          <cell r="W117">
            <v>0</v>
          </cell>
          <cell r="X117">
            <v>162.62</v>
          </cell>
          <cell r="Y117">
            <v>164.78</v>
          </cell>
        </row>
        <row r="118">
          <cell r="A118">
            <v>117</v>
          </cell>
          <cell r="B118">
            <v>501</v>
          </cell>
          <cell r="C118" t="str">
            <v>M0112</v>
          </cell>
          <cell r="D118" t="str">
            <v>A</v>
          </cell>
          <cell r="E118" t="str">
            <v>501_M0112_A_117H</v>
          </cell>
          <cell r="F118">
            <v>45833.013888888891</v>
          </cell>
          <cell r="G118" t="str">
            <v>KUHN</v>
          </cell>
          <cell r="H118">
            <v>164.78</v>
          </cell>
          <cell r="I118">
            <v>2.76</v>
          </cell>
          <cell r="J118">
            <v>167.54</v>
          </cell>
          <cell r="K118">
            <v>2</v>
          </cell>
          <cell r="L118">
            <v>2.76</v>
          </cell>
          <cell r="M118">
            <v>100</v>
          </cell>
          <cell r="Q118" t="str">
            <v>yes</v>
          </cell>
          <cell r="R118" t="str">
            <v>all</v>
          </cell>
          <cell r="S118" t="str">
            <v>H</v>
          </cell>
          <cell r="T118" t="str">
            <v>H (QD-TEC)</v>
          </cell>
          <cell r="V118">
            <v>72</v>
          </cell>
          <cell r="W118">
            <v>0</v>
          </cell>
          <cell r="X118">
            <v>164.78</v>
          </cell>
          <cell r="Y118">
            <v>167.54</v>
          </cell>
        </row>
        <row r="119">
          <cell r="A119">
            <v>118</v>
          </cell>
          <cell r="B119">
            <v>501</v>
          </cell>
          <cell r="C119" t="str">
            <v>M0112</v>
          </cell>
          <cell r="D119" t="str">
            <v>A</v>
          </cell>
          <cell r="E119" t="str">
            <v>501_M0112_A_118H</v>
          </cell>
          <cell r="F119">
            <v>45833.048611111109</v>
          </cell>
          <cell r="G119" t="str">
            <v>KUHN</v>
          </cell>
          <cell r="H119">
            <v>167.54</v>
          </cell>
          <cell r="I119">
            <v>2.86</v>
          </cell>
          <cell r="J119">
            <v>170.4</v>
          </cell>
          <cell r="K119">
            <v>2</v>
          </cell>
          <cell r="L119">
            <v>2.86</v>
          </cell>
          <cell r="M119">
            <v>100</v>
          </cell>
          <cell r="Q119" t="str">
            <v>yes</v>
          </cell>
          <cell r="R119" t="str">
            <v>all</v>
          </cell>
          <cell r="S119" t="str">
            <v>H</v>
          </cell>
          <cell r="T119" t="str">
            <v>H (QD-TEC)</v>
          </cell>
          <cell r="V119">
            <v>72</v>
          </cell>
          <cell r="W119">
            <v>0</v>
          </cell>
          <cell r="X119">
            <v>167.54</v>
          </cell>
          <cell r="Y119">
            <v>170.4</v>
          </cell>
        </row>
        <row r="120">
          <cell r="A120">
            <v>119</v>
          </cell>
          <cell r="B120">
            <v>501</v>
          </cell>
          <cell r="C120" t="str">
            <v>M0112</v>
          </cell>
          <cell r="D120" t="str">
            <v>A</v>
          </cell>
          <cell r="E120" t="str">
            <v>501_M0112_A_119H</v>
          </cell>
          <cell r="F120">
            <v>45833.083333333336</v>
          </cell>
          <cell r="G120" t="str">
            <v>KUHN</v>
          </cell>
          <cell r="H120">
            <v>170.4</v>
          </cell>
          <cell r="I120">
            <v>2.62</v>
          </cell>
          <cell r="J120">
            <v>173.02</v>
          </cell>
          <cell r="K120">
            <v>2</v>
          </cell>
          <cell r="L120">
            <v>2.62</v>
          </cell>
          <cell r="M120">
            <v>100</v>
          </cell>
          <cell r="Q120" t="str">
            <v>yes</v>
          </cell>
          <cell r="R120" t="str">
            <v>all</v>
          </cell>
          <cell r="S120" t="str">
            <v>H</v>
          </cell>
          <cell r="T120" t="str">
            <v>H (QD-TEC)</v>
          </cell>
          <cell r="V120">
            <v>72</v>
          </cell>
          <cell r="W120">
            <v>0</v>
          </cell>
          <cell r="X120">
            <v>170.4</v>
          </cell>
          <cell r="Y120">
            <v>173.02</v>
          </cell>
        </row>
        <row r="121">
          <cell r="A121">
            <v>120</v>
          </cell>
          <cell r="B121">
            <v>501</v>
          </cell>
          <cell r="C121" t="str">
            <v>M0112</v>
          </cell>
          <cell r="D121" t="str">
            <v>A</v>
          </cell>
          <cell r="E121" t="str">
            <v>501_M0112_A_120H</v>
          </cell>
          <cell r="F121">
            <v>45833.107638888891</v>
          </cell>
          <cell r="G121" t="str">
            <v>KUHN</v>
          </cell>
          <cell r="H121">
            <v>173.02</v>
          </cell>
          <cell r="I121">
            <v>2.63</v>
          </cell>
          <cell r="J121">
            <v>175.65</v>
          </cell>
          <cell r="K121">
            <v>2</v>
          </cell>
          <cell r="L121">
            <v>2.63</v>
          </cell>
          <cell r="M121">
            <v>100</v>
          </cell>
          <cell r="Q121" t="str">
            <v>yes</v>
          </cell>
          <cell r="R121" t="str">
            <v>all</v>
          </cell>
          <cell r="S121" t="str">
            <v>H</v>
          </cell>
          <cell r="T121" t="str">
            <v>H (QD-TEC)</v>
          </cell>
          <cell r="V121">
            <v>72</v>
          </cell>
          <cell r="W121">
            <v>0</v>
          </cell>
          <cell r="X121">
            <v>173.02</v>
          </cell>
          <cell r="Y121">
            <v>175.65</v>
          </cell>
        </row>
        <row r="122">
          <cell r="A122">
            <v>121</v>
          </cell>
          <cell r="B122">
            <v>501</v>
          </cell>
          <cell r="C122" t="str">
            <v>M0112</v>
          </cell>
          <cell r="D122" t="str">
            <v>A</v>
          </cell>
          <cell r="E122" t="str">
            <v>501_M0112_A_121H</v>
          </cell>
          <cell r="F122">
            <v>45833.131944444445</v>
          </cell>
          <cell r="G122" t="str">
            <v>KUHN</v>
          </cell>
          <cell r="H122">
            <v>175.65</v>
          </cell>
          <cell r="I122">
            <v>2.2400000000000002</v>
          </cell>
          <cell r="J122">
            <v>177.89</v>
          </cell>
          <cell r="K122">
            <v>2</v>
          </cell>
          <cell r="L122">
            <v>2.2400000000000002</v>
          </cell>
          <cell r="M122">
            <v>100</v>
          </cell>
          <cell r="Q122" t="str">
            <v>yes</v>
          </cell>
          <cell r="R122" t="str">
            <v>all</v>
          </cell>
          <cell r="S122" t="str">
            <v>H</v>
          </cell>
          <cell r="T122" t="str">
            <v>H (QD-TEC)</v>
          </cell>
          <cell r="V122">
            <v>72</v>
          </cell>
          <cell r="W122">
            <v>0</v>
          </cell>
          <cell r="X122">
            <v>175.65</v>
          </cell>
          <cell r="Y122">
            <v>177.89</v>
          </cell>
        </row>
        <row r="123">
          <cell r="A123">
            <v>122</v>
          </cell>
          <cell r="B123">
            <v>501</v>
          </cell>
          <cell r="C123" t="str">
            <v>M0112</v>
          </cell>
          <cell r="D123" t="str">
            <v>A</v>
          </cell>
          <cell r="E123" t="str">
            <v>501_M0112_A_122H</v>
          </cell>
          <cell r="F123">
            <v>45833.15625</v>
          </cell>
          <cell r="G123" t="str">
            <v>KUHN</v>
          </cell>
          <cell r="H123">
            <v>177.89</v>
          </cell>
          <cell r="I123">
            <v>2.36</v>
          </cell>
          <cell r="J123">
            <v>180.25</v>
          </cell>
          <cell r="K123">
            <v>2</v>
          </cell>
          <cell r="L123">
            <v>2.36</v>
          </cell>
          <cell r="M123">
            <v>100</v>
          </cell>
          <cell r="Q123" t="str">
            <v>yes</v>
          </cell>
          <cell r="R123" t="str">
            <v>all</v>
          </cell>
          <cell r="S123" t="str">
            <v>H</v>
          </cell>
          <cell r="T123" t="str">
            <v>H (QD-TEC)</v>
          </cell>
          <cell r="V123">
            <v>72</v>
          </cell>
          <cell r="W123">
            <v>0</v>
          </cell>
          <cell r="X123">
            <v>177.89</v>
          </cell>
          <cell r="Y123">
            <v>180.25</v>
          </cell>
        </row>
        <row r="124">
          <cell r="A124">
            <v>123</v>
          </cell>
          <cell r="B124">
            <v>501</v>
          </cell>
          <cell r="C124" t="str">
            <v>M0112</v>
          </cell>
          <cell r="D124" t="str">
            <v>A</v>
          </cell>
          <cell r="E124" t="str">
            <v>501_M0112_A_123H</v>
          </cell>
          <cell r="F124">
            <v>45833.211805555555</v>
          </cell>
          <cell r="G124" t="str">
            <v>HK</v>
          </cell>
          <cell r="H124">
            <v>180.25</v>
          </cell>
          <cell r="I124">
            <v>2.68</v>
          </cell>
          <cell r="J124">
            <v>182.93</v>
          </cell>
          <cell r="K124">
            <v>2</v>
          </cell>
          <cell r="L124">
            <v>2.68</v>
          </cell>
          <cell r="M124">
            <v>100</v>
          </cell>
          <cell r="P124" t="str">
            <v>loose sand</v>
          </cell>
          <cell r="Q124" t="str">
            <v>yes</v>
          </cell>
          <cell r="R124" t="str">
            <v>all</v>
          </cell>
          <cell r="S124" t="str">
            <v>H</v>
          </cell>
          <cell r="T124" t="str">
            <v>H (QD-TEC)</v>
          </cell>
          <cell r="V124">
            <v>72</v>
          </cell>
          <cell r="W124">
            <v>0</v>
          </cell>
          <cell r="X124">
            <v>180.25</v>
          </cell>
          <cell r="Y124">
            <v>182.93</v>
          </cell>
        </row>
        <row r="125">
          <cell r="A125">
            <v>124</v>
          </cell>
          <cell r="B125">
            <v>501</v>
          </cell>
          <cell r="C125" t="str">
            <v>M0112</v>
          </cell>
          <cell r="D125" t="str">
            <v>A</v>
          </cell>
          <cell r="E125" t="str">
            <v>501_M0112_A_124H</v>
          </cell>
          <cell r="F125">
            <v>45833.253472222219</v>
          </cell>
          <cell r="G125" t="str">
            <v>HK</v>
          </cell>
          <cell r="H125">
            <v>182.93</v>
          </cell>
          <cell r="I125">
            <v>2.4900000000000002</v>
          </cell>
          <cell r="J125">
            <v>185.42</v>
          </cell>
          <cell r="K125">
            <v>2</v>
          </cell>
          <cell r="L125">
            <v>2.4900000000000002</v>
          </cell>
          <cell r="M125">
            <v>100</v>
          </cell>
          <cell r="P125" t="str">
            <v>loose sand</v>
          </cell>
          <cell r="Q125" t="str">
            <v>yes</v>
          </cell>
          <cell r="R125" t="str">
            <v>all</v>
          </cell>
          <cell r="S125" t="str">
            <v>H</v>
          </cell>
          <cell r="T125" t="str">
            <v>H (QD-TEC)</v>
          </cell>
          <cell r="V125">
            <v>72</v>
          </cell>
          <cell r="W125">
            <v>0</v>
          </cell>
          <cell r="X125">
            <v>182.93</v>
          </cell>
          <cell r="Y125">
            <v>185.42</v>
          </cell>
        </row>
        <row r="126">
          <cell r="A126">
            <v>125</v>
          </cell>
          <cell r="B126">
            <v>501</v>
          </cell>
          <cell r="C126" t="str">
            <v>M0112</v>
          </cell>
          <cell r="D126" t="str">
            <v>A</v>
          </cell>
          <cell r="E126" t="str">
            <v>501_M0112_A_125H</v>
          </cell>
          <cell r="F126">
            <v>45833.288194444445</v>
          </cell>
          <cell r="G126" t="str">
            <v>HK</v>
          </cell>
          <cell r="H126">
            <v>185.42</v>
          </cell>
          <cell r="I126">
            <v>2.46</v>
          </cell>
          <cell r="J126">
            <v>187.88</v>
          </cell>
          <cell r="K126">
            <v>2</v>
          </cell>
          <cell r="L126">
            <v>2.67</v>
          </cell>
          <cell r="M126">
            <v>108.54</v>
          </cell>
          <cell r="P126" t="str">
            <v>loose sand</v>
          </cell>
          <cell r="Q126" t="str">
            <v>yes</v>
          </cell>
          <cell r="R126" t="str">
            <v>all</v>
          </cell>
          <cell r="S126" t="str">
            <v>H</v>
          </cell>
          <cell r="T126" t="str">
            <v>H (QD-TEC)</v>
          </cell>
          <cell r="V126">
            <v>72</v>
          </cell>
          <cell r="W126">
            <v>0</v>
          </cell>
          <cell r="X126">
            <v>185.42</v>
          </cell>
          <cell r="Y126">
            <v>187.88</v>
          </cell>
        </row>
        <row r="127">
          <cell r="A127">
            <v>126</v>
          </cell>
          <cell r="B127">
            <v>501</v>
          </cell>
          <cell r="C127" t="str">
            <v>M0112</v>
          </cell>
          <cell r="D127" t="str">
            <v>A</v>
          </cell>
          <cell r="E127" t="str">
            <v>501_M0112_A_126H</v>
          </cell>
          <cell r="F127">
            <v>45833.295138888891</v>
          </cell>
          <cell r="G127" t="str">
            <v>HK</v>
          </cell>
          <cell r="H127">
            <v>187.88</v>
          </cell>
          <cell r="I127">
            <v>0.75</v>
          </cell>
          <cell r="J127">
            <v>188.63</v>
          </cell>
          <cell r="K127">
            <v>1</v>
          </cell>
          <cell r="L127">
            <v>0.75</v>
          </cell>
          <cell r="M127">
            <v>100</v>
          </cell>
          <cell r="P127" t="str">
            <v>Liner stuck</v>
          </cell>
          <cell r="X127">
            <v>187.88</v>
          </cell>
        </row>
        <row r="128">
          <cell r="A128">
            <v>127</v>
          </cell>
          <cell r="B128">
            <v>501</v>
          </cell>
          <cell r="C128" t="str">
            <v>M0112</v>
          </cell>
          <cell r="D128" t="str">
            <v>A</v>
          </cell>
          <cell r="E128" t="str">
            <v>501_M0112_A_127H</v>
          </cell>
          <cell r="F128">
            <v>45833.378472222219</v>
          </cell>
          <cell r="G128" t="str">
            <v>HK</v>
          </cell>
          <cell r="H128">
            <v>188.63</v>
          </cell>
          <cell r="I128">
            <v>2.75</v>
          </cell>
          <cell r="J128">
            <v>191.38</v>
          </cell>
          <cell r="K128">
            <v>2</v>
          </cell>
          <cell r="L128">
            <v>2.75</v>
          </cell>
          <cell r="M128">
            <v>100</v>
          </cell>
          <cell r="Q128" t="str">
            <v>yes</v>
          </cell>
          <cell r="R128" t="str">
            <v>all</v>
          </cell>
          <cell r="S128" t="str">
            <v>H</v>
          </cell>
          <cell r="T128" t="str">
            <v>H (QD-TEC)</v>
          </cell>
          <cell r="V128">
            <v>72</v>
          </cell>
          <cell r="W128">
            <v>0</v>
          </cell>
          <cell r="X128">
            <v>188.63</v>
          </cell>
          <cell r="Y128">
            <v>191.38</v>
          </cell>
        </row>
        <row r="129">
          <cell r="A129">
            <v>128</v>
          </cell>
          <cell r="B129">
            <v>501</v>
          </cell>
          <cell r="C129" t="str">
            <v>M0112</v>
          </cell>
          <cell r="D129" t="str">
            <v>A</v>
          </cell>
          <cell r="E129" t="str">
            <v>501_M0112_A_128H</v>
          </cell>
          <cell r="F129">
            <v>45833.413194444445</v>
          </cell>
          <cell r="G129" t="str">
            <v>HK</v>
          </cell>
          <cell r="H129">
            <v>191.38</v>
          </cell>
          <cell r="I129">
            <v>1.5</v>
          </cell>
          <cell r="J129">
            <v>192.88</v>
          </cell>
          <cell r="K129">
            <v>2</v>
          </cell>
          <cell r="L129">
            <v>1.5</v>
          </cell>
          <cell r="M129">
            <v>100</v>
          </cell>
          <cell r="P129" t="str">
            <v>liner collapse</v>
          </cell>
          <cell r="X129">
            <v>191.38</v>
          </cell>
        </row>
        <row r="130">
          <cell r="A130">
            <v>129</v>
          </cell>
          <cell r="B130">
            <v>501</v>
          </cell>
          <cell r="C130" t="str">
            <v>M0112</v>
          </cell>
          <cell r="D130" t="str">
            <v>A</v>
          </cell>
          <cell r="E130" t="str">
            <v>501_M0112_A_129H</v>
          </cell>
          <cell r="F130">
            <v>45833.479166666664</v>
          </cell>
          <cell r="G130" t="str">
            <v>HK</v>
          </cell>
          <cell r="H130">
            <v>192.88</v>
          </cell>
          <cell r="I130">
            <v>0.85</v>
          </cell>
          <cell r="J130">
            <v>193.73</v>
          </cell>
          <cell r="K130">
            <v>1</v>
          </cell>
          <cell r="L130">
            <v>0.85</v>
          </cell>
          <cell r="M130">
            <v>100</v>
          </cell>
          <cell r="P130" t="str">
            <v>65-86cm replaced</v>
          </cell>
          <cell r="Q130" t="str">
            <v>yes</v>
          </cell>
          <cell r="R130" t="str">
            <v>all</v>
          </cell>
          <cell r="S130" t="str">
            <v>H</v>
          </cell>
          <cell r="T130" t="str">
            <v>H (QD-TEC)</v>
          </cell>
          <cell r="V130">
            <v>72</v>
          </cell>
          <cell r="W130">
            <v>0</v>
          </cell>
          <cell r="X130">
            <v>192.88</v>
          </cell>
          <cell r="Y130">
            <v>193.73</v>
          </cell>
        </row>
        <row r="131">
          <cell r="A131">
            <v>130</v>
          </cell>
          <cell r="B131">
            <v>501</v>
          </cell>
          <cell r="C131" t="str">
            <v>M0112</v>
          </cell>
          <cell r="D131" t="str">
            <v>A</v>
          </cell>
          <cell r="E131" t="str">
            <v>501_M0112_A_130H</v>
          </cell>
          <cell r="F131">
            <v>45833.520833333336</v>
          </cell>
          <cell r="G131" t="str">
            <v>HK</v>
          </cell>
          <cell r="H131">
            <v>193.73</v>
          </cell>
          <cell r="I131">
            <v>0.52</v>
          </cell>
          <cell r="J131">
            <v>194.25</v>
          </cell>
          <cell r="K131">
            <v>1</v>
          </cell>
          <cell r="L131">
            <v>0.52</v>
          </cell>
          <cell r="M131">
            <v>100</v>
          </cell>
          <cell r="P131" t="str">
            <v>liner collapsed</v>
          </cell>
          <cell r="Q131" t="str">
            <v>yes</v>
          </cell>
          <cell r="R131" t="str">
            <v>all</v>
          </cell>
          <cell r="S131" t="str">
            <v>H</v>
          </cell>
          <cell r="T131" t="str">
            <v>H (QD-TEC)</v>
          </cell>
          <cell r="V131">
            <v>72</v>
          </cell>
          <cell r="W131">
            <v>0</v>
          </cell>
          <cell r="X131">
            <v>193.73</v>
          </cell>
          <cell r="Y131">
            <v>194.25</v>
          </cell>
        </row>
        <row r="132">
          <cell r="A132">
            <v>131</v>
          </cell>
          <cell r="B132">
            <v>501</v>
          </cell>
          <cell r="C132" t="str">
            <v>M0112</v>
          </cell>
          <cell r="D132" t="str">
            <v>A</v>
          </cell>
          <cell r="E132" t="str">
            <v>501_M0112_A_131R</v>
          </cell>
          <cell r="F132">
            <v>45833.590277777781</v>
          </cell>
          <cell r="G132" t="str">
            <v>HK</v>
          </cell>
          <cell r="H132">
            <v>194.25</v>
          </cell>
          <cell r="I132">
            <v>0.96</v>
          </cell>
          <cell r="J132">
            <v>195.21</v>
          </cell>
          <cell r="K132">
            <v>1</v>
          </cell>
          <cell r="L132">
            <v>0.89</v>
          </cell>
          <cell r="M132">
            <v>92.71</v>
          </cell>
          <cell r="P132" t="str">
            <v>undersized cor diameter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194.25</v>
          </cell>
          <cell r="Y132">
            <v>195.21</v>
          </cell>
        </row>
        <row r="133">
          <cell r="A133">
            <v>132</v>
          </cell>
          <cell r="B133">
            <v>501</v>
          </cell>
          <cell r="C133" t="str">
            <v>M0112</v>
          </cell>
          <cell r="D133" t="str">
            <v>A</v>
          </cell>
          <cell r="E133" t="str">
            <v>501_M0112_A_132R</v>
          </cell>
          <cell r="F133">
            <v>45833.649305555555</v>
          </cell>
          <cell r="G133" t="str">
            <v>HK</v>
          </cell>
          <cell r="H133">
            <v>195.21</v>
          </cell>
          <cell r="I133">
            <v>2</v>
          </cell>
          <cell r="J133">
            <v>197.21</v>
          </cell>
          <cell r="K133">
            <v>2</v>
          </cell>
          <cell r="L133">
            <v>2</v>
          </cell>
          <cell r="M133">
            <v>100</v>
          </cell>
          <cell r="P133" t="str">
            <v>undersized cor diameter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195.21</v>
          </cell>
          <cell r="Y133">
            <v>197.21</v>
          </cell>
        </row>
        <row r="134">
          <cell r="A134">
            <v>133</v>
          </cell>
          <cell r="B134">
            <v>501</v>
          </cell>
          <cell r="C134" t="str">
            <v>M0112</v>
          </cell>
          <cell r="D134" t="str">
            <v>A</v>
          </cell>
          <cell r="E134" t="str">
            <v>501_M0112_A_133R</v>
          </cell>
          <cell r="F134">
            <v>45833.697916666664</v>
          </cell>
          <cell r="G134" t="str">
            <v>KUHN</v>
          </cell>
          <cell r="H134">
            <v>197.21</v>
          </cell>
          <cell r="I134">
            <v>3</v>
          </cell>
          <cell r="J134">
            <v>200.21</v>
          </cell>
          <cell r="K134">
            <v>2</v>
          </cell>
          <cell r="L134">
            <v>1.1499999999999999</v>
          </cell>
          <cell r="M134">
            <v>38.33</v>
          </cell>
          <cell r="P134" t="str">
            <v>split to take MBIO sample</v>
          </cell>
          <cell r="X134">
            <v>197.21</v>
          </cell>
        </row>
        <row r="135">
          <cell r="A135">
            <v>134</v>
          </cell>
          <cell r="B135">
            <v>501</v>
          </cell>
          <cell r="C135" t="str">
            <v>M0112</v>
          </cell>
          <cell r="D135" t="str">
            <v>A</v>
          </cell>
          <cell r="E135" t="str">
            <v>501_M0112_A_134R</v>
          </cell>
          <cell r="F135">
            <v>45833.736111111109</v>
          </cell>
          <cell r="G135" t="str">
            <v>KUHN</v>
          </cell>
          <cell r="H135">
            <v>200.21</v>
          </cell>
          <cell r="I135">
            <v>2</v>
          </cell>
          <cell r="J135">
            <v>202.21</v>
          </cell>
          <cell r="K135">
            <v>1</v>
          </cell>
          <cell r="L135">
            <v>0.34</v>
          </cell>
          <cell r="M135">
            <v>17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(QD-TEC)</v>
          </cell>
          <cell r="V135">
            <v>72</v>
          </cell>
          <cell r="W135">
            <v>0</v>
          </cell>
          <cell r="X135">
            <v>200.21</v>
          </cell>
          <cell r="Y135">
            <v>202.21</v>
          </cell>
        </row>
        <row r="136">
          <cell r="A136">
            <v>135</v>
          </cell>
          <cell r="B136">
            <v>501</v>
          </cell>
          <cell r="C136" t="str">
            <v>M0112</v>
          </cell>
          <cell r="D136" t="str">
            <v>A</v>
          </cell>
          <cell r="E136" t="str">
            <v>501_M0112_A_135R</v>
          </cell>
          <cell r="F136">
            <v>45833.756944444445</v>
          </cell>
          <cell r="G136" t="str">
            <v>KUHN</v>
          </cell>
          <cell r="H136">
            <v>202.21</v>
          </cell>
          <cell r="I136">
            <v>1</v>
          </cell>
          <cell r="J136">
            <v>203.21</v>
          </cell>
          <cell r="K136">
            <v>0</v>
          </cell>
          <cell r="L136">
            <v>0</v>
          </cell>
          <cell r="M136">
            <v>0</v>
          </cell>
          <cell r="P136" t="str">
            <v>no recovery</v>
          </cell>
          <cell r="Q136" t="str">
            <v>no</v>
          </cell>
          <cell r="R136" t="str">
            <v>none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202.21</v>
          </cell>
          <cell r="Y136">
            <v>203.21</v>
          </cell>
        </row>
        <row r="137">
          <cell r="A137">
            <v>136</v>
          </cell>
          <cell r="B137">
            <v>501</v>
          </cell>
          <cell r="C137" t="str">
            <v>M0112</v>
          </cell>
          <cell r="D137" t="str">
            <v>A</v>
          </cell>
          <cell r="E137" t="str">
            <v>501_M0112_A_136H</v>
          </cell>
          <cell r="F137">
            <v>45833.774305555555</v>
          </cell>
          <cell r="G137" t="str">
            <v>KUHN</v>
          </cell>
          <cell r="H137">
            <v>203.21</v>
          </cell>
          <cell r="I137">
            <v>2.0699999999999998</v>
          </cell>
          <cell r="J137">
            <v>205.28</v>
          </cell>
          <cell r="K137">
            <v>2</v>
          </cell>
          <cell r="L137">
            <v>2.0699999999999998</v>
          </cell>
          <cell r="M137">
            <v>100</v>
          </cell>
          <cell r="Q137" t="str">
            <v>yes</v>
          </cell>
          <cell r="R137" t="str">
            <v>all</v>
          </cell>
          <cell r="S137" t="str">
            <v>H</v>
          </cell>
          <cell r="T137" t="str">
            <v>H (QD-TEC)</v>
          </cell>
          <cell r="V137">
            <v>72</v>
          </cell>
          <cell r="W137">
            <v>0</v>
          </cell>
          <cell r="X137">
            <v>203.21</v>
          </cell>
          <cell r="Y137">
            <v>205.28</v>
          </cell>
        </row>
        <row r="138">
          <cell r="A138">
            <v>137</v>
          </cell>
          <cell r="B138">
            <v>501</v>
          </cell>
          <cell r="C138" t="str">
            <v>M0112</v>
          </cell>
          <cell r="D138" t="str">
            <v>A</v>
          </cell>
          <cell r="E138" t="str">
            <v>501_M0112_A_137H</v>
          </cell>
          <cell r="F138">
            <v>45833.805555555555</v>
          </cell>
          <cell r="G138" t="str">
            <v>KUHN</v>
          </cell>
          <cell r="H138">
            <v>205.28</v>
          </cell>
          <cell r="I138">
            <v>2.4300000000000002</v>
          </cell>
          <cell r="J138">
            <v>207.71</v>
          </cell>
          <cell r="K138">
            <v>2</v>
          </cell>
          <cell r="L138">
            <v>2.4300000000000002</v>
          </cell>
          <cell r="M138">
            <v>100</v>
          </cell>
          <cell r="Q138" t="str">
            <v>yes</v>
          </cell>
          <cell r="R138" t="str">
            <v>all</v>
          </cell>
          <cell r="S138" t="str">
            <v>H</v>
          </cell>
          <cell r="T138" t="str">
            <v>H (QD-TEC)</v>
          </cell>
          <cell r="V138">
            <v>72</v>
          </cell>
          <cell r="W138">
            <v>0</v>
          </cell>
          <cell r="X138">
            <v>205.28</v>
          </cell>
          <cell r="Y138">
            <v>207.71</v>
          </cell>
        </row>
        <row r="139">
          <cell r="A139">
            <v>138</v>
          </cell>
          <cell r="B139">
            <v>501</v>
          </cell>
          <cell r="C139" t="str">
            <v>M0112</v>
          </cell>
          <cell r="D139" t="str">
            <v>A</v>
          </cell>
          <cell r="E139" t="str">
            <v>501_M0112_A_138H</v>
          </cell>
          <cell r="F139">
            <v>45833.847222222219</v>
          </cell>
          <cell r="G139" t="str">
            <v>KUHN</v>
          </cell>
          <cell r="H139">
            <v>207.71</v>
          </cell>
          <cell r="I139">
            <v>0.43</v>
          </cell>
          <cell r="J139">
            <v>208.14</v>
          </cell>
          <cell r="K139">
            <v>1</v>
          </cell>
          <cell r="L139">
            <v>0.43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207.71</v>
          </cell>
          <cell r="Y139">
            <v>208.14</v>
          </cell>
        </row>
        <row r="140">
          <cell r="A140">
            <v>139</v>
          </cell>
          <cell r="B140">
            <v>501</v>
          </cell>
          <cell r="C140" t="str">
            <v>M0112</v>
          </cell>
          <cell r="D140" t="str">
            <v>A</v>
          </cell>
          <cell r="E140" t="str">
            <v>501_M0112_A_139H</v>
          </cell>
          <cell r="F140">
            <v>45833.875</v>
          </cell>
          <cell r="G140" t="str">
            <v>KUHN</v>
          </cell>
          <cell r="H140">
            <v>208.14</v>
          </cell>
          <cell r="I140">
            <v>2.19</v>
          </cell>
          <cell r="J140">
            <v>210.33</v>
          </cell>
          <cell r="K140">
            <v>2</v>
          </cell>
          <cell r="L140">
            <v>2.19</v>
          </cell>
          <cell r="M140">
            <v>100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208.14</v>
          </cell>
          <cell r="Y140">
            <v>210.33</v>
          </cell>
        </row>
        <row r="141">
          <cell r="A141">
            <v>140</v>
          </cell>
          <cell r="B141">
            <v>501</v>
          </cell>
          <cell r="C141" t="str">
            <v>M0112</v>
          </cell>
          <cell r="D141" t="str">
            <v>A</v>
          </cell>
          <cell r="E141" t="str">
            <v>501_M0112_A_140H</v>
          </cell>
          <cell r="F141">
            <v>45833.899305555555</v>
          </cell>
          <cell r="G141" t="str">
            <v>KUHN</v>
          </cell>
          <cell r="H141">
            <v>210.33</v>
          </cell>
          <cell r="I141">
            <v>2.35</v>
          </cell>
          <cell r="J141">
            <v>212.68</v>
          </cell>
          <cell r="K141">
            <v>2</v>
          </cell>
          <cell r="L141">
            <v>2.35</v>
          </cell>
          <cell r="M141">
            <v>100</v>
          </cell>
          <cell r="Q141" t="str">
            <v>yes</v>
          </cell>
          <cell r="R141" t="str">
            <v>all</v>
          </cell>
          <cell r="S141" t="str">
            <v>H</v>
          </cell>
          <cell r="T141" t="str">
            <v>H (QD-TEC)</v>
          </cell>
          <cell r="V141">
            <v>72</v>
          </cell>
          <cell r="W141">
            <v>0</v>
          </cell>
          <cell r="X141">
            <v>210.33</v>
          </cell>
          <cell r="Y141">
            <v>212.68</v>
          </cell>
        </row>
        <row r="142">
          <cell r="A142">
            <v>141</v>
          </cell>
          <cell r="B142">
            <v>501</v>
          </cell>
          <cell r="C142" t="str">
            <v>M0112</v>
          </cell>
          <cell r="D142" t="str">
            <v>A</v>
          </cell>
          <cell r="E142" t="str">
            <v>501_M0112_A_141H</v>
          </cell>
          <cell r="F142">
            <v>45833.927083333336</v>
          </cell>
          <cell r="G142" t="str">
            <v>KUHN</v>
          </cell>
          <cell r="H142">
            <v>212.68</v>
          </cell>
          <cell r="I142">
            <v>2.66</v>
          </cell>
          <cell r="J142">
            <v>215.34</v>
          </cell>
          <cell r="K142">
            <v>2</v>
          </cell>
          <cell r="L142">
            <v>2.66</v>
          </cell>
          <cell r="M142">
            <v>100</v>
          </cell>
          <cell r="Q142" t="str">
            <v>yes</v>
          </cell>
          <cell r="R142" t="str">
            <v>all</v>
          </cell>
          <cell r="S142" t="str">
            <v>H</v>
          </cell>
          <cell r="T142" t="str">
            <v>H (QD-TEC)</v>
          </cell>
          <cell r="V142">
            <v>72</v>
          </cell>
          <cell r="W142">
            <v>0</v>
          </cell>
          <cell r="X142">
            <v>212.68</v>
          </cell>
          <cell r="Y142">
            <v>215.34</v>
          </cell>
        </row>
        <row r="143">
          <cell r="A143">
            <v>142</v>
          </cell>
          <cell r="B143">
            <v>501</v>
          </cell>
          <cell r="C143" t="str">
            <v>M0112</v>
          </cell>
          <cell r="D143" t="str">
            <v>A</v>
          </cell>
          <cell r="E143" t="str">
            <v>501_M0112_A_142H</v>
          </cell>
          <cell r="F143">
            <v>45833.96875</v>
          </cell>
          <cell r="G143" t="str">
            <v>KUHN</v>
          </cell>
          <cell r="H143">
            <v>215.34</v>
          </cell>
          <cell r="I143">
            <v>0.77</v>
          </cell>
          <cell r="J143">
            <v>216.11</v>
          </cell>
          <cell r="K143">
            <v>1</v>
          </cell>
          <cell r="L143">
            <v>0.77</v>
          </cell>
          <cell r="M143">
            <v>100</v>
          </cell>
          <cell r="P143" t="str">
            <v>stuck in liner</v>
          </cell>
          <cell r="X143">
            <v>215.34</v>
          </cell>
        </row>
        <row r="144">
          <cell r="A144">
            <v>143</v>
          </cell>
          <cell r="B144">
            <v>501</v>
          </cell>
          <cell r="C144" t="str">
            <v>M0112</v>
          </cell>
          <cell r="D144" t="str">
            <v>A</v>
          </cell>
          <cell r="E144" t="str">
            <v>501_M0112_A_143R</v>
          </cell>
          <cell r="F144">
            <v>45834.024305555555</v>
          </cell>
          <cell r="G144" t="str">
            <v>KUHN</v>
          </cell>
          <cell r="H144">
            <v>216.11</v>
          </cell>
          <cell r="I144">
            <v>0.25</v>
          </cell>
          <cell r="J144">
            <v>216.36</v>
          </cell>
          <cell r="K144">
            <v>1</v>
          </cell>
          <cell r="L144">
            <v>0.55000000000000004</v>
          </cell>
          <cell r="M144">
            <v>220</v>
          </cell>
          <cell r="P144" t="str">
            <v>stuck in liner</v>
          </cell>
          <cell r="X144">
            <v>216.11</v>
          </cell>
        </row>
        <row r="145">
          <cell r="A145">
            <v>144</v>
          </cell>
          <cell r="B145">
            <v>501</v>
          </cell>
          <cell r="C145" t="str">
            <v>M0112</v>
          </cell>
          <cell r="D145" t="str">
            <v>A</v>
          </cell>
          <cell r="E145" t="str">
            <v>501_M0112_A_144R</v>
          </cell>
          <cell r="F145">
            <v>45834.072916666664</v>
          </cell>
          <cell r="G145" t="str">
            <v>KUHN</v>
          </cell>
          <cell r="H145">
            <v>216.36</v>
          </cell>
          <cell r="I145">
            <v>1.85</v>
          </cell>
          <cell r="J145">
            <v>218.21</v>
          </cell>
          <cell r="K145">
            <v>2</v>
          </cell>
          <cell r="L145">
            <v>1.82</v>
          </cell>
          <cell r="M145">
            <v>98.38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216.36</v>
          </cell>
          <cell r="Y145">
            <v>218.21</v>
          </cell>
        </row>
        <row r="146">
          <cell r="A146">
            <v>145</v>
          </cell>
          <cell r="B146">
            <v>501</v>
          </cell>
          <cell r="C146" t="str">
            <v>M0112</v>
          </cell>
          <cell r="D146" t="str">
            <v>A</v>
          </cell>
          <cell r="E146" t="str">
            <v>501_M0112_A_145R</v>
          </cell>
          <cell r="F146">
            <v>45834.107638888891</v>
          </cell>
          <cell r="G146" t="str">
            <v>KUHN</v>
          </cell>
          <cell r="H146">
            <v>218.21</v>
          </cell>
          <cell r="I146">
            <v>1.4</v>
          </cell>
          <cell r="J146">
            <v>219.61</v>
          </cell>
          <cell r="K146">
            <v>3</v>
          </cell>
          <cell r="L146">
            <v>1.37</v>
          </cell>
          <cell r="M146">
            <v>97.86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218.21</v>
          </cell>
          <cell r="Y146">
            <v>219.61</v>
          </cell>
        </row>
        <row r="147">
          <cell r="A147">
            <v>146</v>
          </cell>
          <cell r="B147">
            <v>501</v>
          </cell>
          <cell r="C147" t="str">
            <v>M0112</v>
          </cell>
          <cell r="D147" t="str">
            <v>A</v>
          </cell>
          <cell r="E147" t="str">
            <v>501_M0112_A_146R</v>
          </cell>
          <cell r="F147">
            <v>45834.15625</v>
          </cell>
          <cell r="G147" t="str">
            <v>KUHN</v>
          </cell>
          <cell r="H147">
            <v>219.61</v>
          </cell>
          <cell r="I147">
            <v>0.2</v>
          </cell>
          <cell r="J147">
            <v>219.81</v>
          </cell>
          <cell r="K147">
            <v>1</v>
          </cell>
          <cell r="L147">
            <v>0.01</v>
          </cell>
          <cell r="M147">
            <v>5</v>
          </cell>
          <cell r="P147" t="str">
            <v>all to PAL</v>
          </cell>
          <cell r="Q147" t="str">
            <v>no</v>
          </cell>
          <cell r="R147" t="str">
            <v>none</v>
          </cell>
          <cell r="S147" t="str">
            <v>R</v>
          </cell>
          <cell r="T147" t="str">
            <v>R (QD-TEC)</v>
          </cell>
          <cell r="V147">
            <v>72</v>
          </cell>
          <cell r="W147">
            <v>0</v>
          </cell>
          <cell r="X147">
            <v>219.61</v>
          </cell>
          <cell r="Y147">
            <v>219.81</v>
          </cell>
        </row>
        <row r="148">
          <cell r="A148">
            <v>147</v>
          </cell>
          <cell r="B148">
            <v>501</v>
          </cell>
          <cell r="C148" t="str">
            <v>M0112</v>
          </cell>
          <cell r="D148" t="str">
            <v>A</v>
          </cell>
          <cell r="E148" t="str">
            <v>501_M0112_A_147R</v>
          </cell>
          <cell r="F148">
            <v>45834.402777777781</v>
          </cell>
          <cell r="G148" t="str">
            <v>HK</v>
          </cell>
          <cell r="H148">
            <v>219.81</v>
          </cell>
          <cell r="I148">
            <v>1.4</v>
          </cell>
          <cell r="J148">
            <v>221.21</v>
          </cell>
          <cell r="K148">
            <v>1</v>
          </cell>
          <cell r="L148">
            <v>0.25</v>
          </cell>
          <cell r="M148">
            <v>17.86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(QD-TEC)</v>
          </cell>
          <cell r="V148">
            <v>72</v>
          </cell>
          <cell r="W148">
            <v>0</v>
          </cell>
          <cell r="X148">
            <v>219.81</v>
          </cell>
          <cell r="Y148">
            <v>221.21</v>
          </cell>
        </row>
        <row r="149">
          <cell r="A149">
            <v>148</v>
          </cell>
          <cell r="B149">
            <v>501</v>
          </cell>
          <cell r="C149" t="str">
            <v>M0112</v>
          </cell>
          <cell r="D149" t="str">
            <v>A</v>
          </cell>
          <cell r="E149" t="str">
            <v>501_M0112_A_148R</v>
          </cell>
          <cell r="F149">
            <v>45834.4375</v>
          </cell>
          <cell r="G149" t="str">
            <v>HK</v>
          </cell>
          <cell r="H149">
            <v>221.21</v>
          </cell>
          <cell r="I149">
            <v>2</v>
          </cell>
          <cell r="J149">
            <v>223.21</v>
          </cell>
          <cell r="K149">
            <v>1</v>
          </cell>
          <cell r="L149">
            <v>0.21</v>
          </cell>
          <cell r="M149">
            <v>10.5</v>
          </cell>
          <cell r="P149" t="str">
            <v>crumpled liner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221.21</v>
          </cell>
          <cell r="Y149">
            <v>223.21</v>
          </cell>
        </row>
        <row r="150">
          <cell r="A150">
            <v>149</v>
          </cell>
          <cell r="B150">
            <v>501</v>
          </cell>
          <cell r="C150" t="str">
            <v>M0112</v>
          </cell>
          <cell r="D150" t="str">
            <v>A</v>
          </cell>
          <cell r="E150" t="str">
            <v>501_M0112_A_149R</v>
          </cell>
          <cell r="F150">
            <v>45834.465277777781</v>
          </cell>
          <cell r="G150" t="str">
            <v>HK</v>
          </cell>
          <cell r="H150">
            <v>223.21</v>
          </cell>
          <cell r="I150">
            <v>1</v>
          </cell>
          <cell r="J150">
            <v>224.21</v>
          </cell>
          <cell r="K150">
            <v>1</v>
          </cell>
          <cell r="L150">
            <v>0.02</v>
          </cell>
          <cell r="M150">
            <v>2</v>
          </cell>
          <cell r="P150" t="str">
            <v>All to PAL</v>
          </cell>
          <cell r="Q150" t="str">
            <v>no</v>
          </cell>
          <cell r="R150" t="str">
            <v>none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223.21</v>
          </cell>
          <cell r="Y150">
            <v>224.21</v>
          </cell>
        </row>
        <row r="151">
          <cell r="A151">
            <v>150</v>
          </cell>
          <cell r="B151">
            <v>501</v>
          </cell>
          <cell r="C151" t="str">
            <v>M0112</v>
          </cell>
          <cell r="D151" t="str">
            <v>A</v>
          </cell>
          <cell r="E151" t="str">
            <v>501_M0112_A_150H</v>
          </cell>
          <cell r="F151">
            <v>45834.496527777781</v>
          </cell>
          <cell r="G151" t="str">
            <v>HK</v>
          </cell>
          <cell r="H151">
            <v>224.21</v>
          </cell>
          <cell r="I151">
            <v>0.45</v>
          </cell>
          <cell r="J151">
            <v>224.66</v>
          </cell>
          <cell r="K151">
            <v>1</v>
          </cell>
          <cell r="L151">
            <v>0.45</v>
          </cell>
          <cell r="M151">
            <v>100</v>
          </cell>
          <cell r="Q151" t="str">
            <v>yes</v>
          </cell>
          <cell r="R151" t="str">
            <v>all</v>
          </cell>
          <cell r="S151" t="str">
            <v>H</v>
          </cell>
          <cell r="T151" t="str">
            <v>H (QD-TEC)</v>
          </cell>
          <cell r="V151">
            <v>72</v>
          </cell>
          <cell r="W151">
            <v>0</v>
          </cell>
          <cell r="X151">
            <v>224.21</v>
          </cell>
          <cell r="Y151">
            <v>224.66</v>
          </cell>
        </row>
        <row r="152">
          <cell r="A152">
            <v>151</v>
          </cell>
          <cell r="B152">
            <v>501</v>
          </cell>
          <cell r="C152" t="str">
            <v>M0112</v>
          </cell>
          <cell r="D152" t="str">
            <v>A</v>
          </cell>
          <cell r="E152" t="str">
            <v>501_M0112_A_151R</v>
          </cell>
          <cell r="F152">
            <v>45834.548611111109</v>
          </cell>
          <cell r="G152" t="str">
            <v>HK</v>
          </cell>
          <cell r="H152">
            <v>224.66</v>
          </cell>
          <cell r="I152">
            <v>1</v>
          </cell>
          <cell r="J152">
            <v>225.66</v>
          </cell>
          <cell r="K152">
            <v>1</v>
          </cell>
          <cell r="L152">
            <v>1.26</v>
          </cell>
          <cell r="M152">
            <v>126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224.66</v>
          </cell>
          <cell r="Y152">
            <v>225.66</v>
          </cell>
        </row>
        <row r="153">
          <cell r="A153">
            <v>152</v>
          </cell>
          <cell r="B153">
            <v>501</v>
          </cell>
          <cell r="C153" t="str">
            <v>M0112</v>
          </cell>
          <cell r="D153" t="str">
            <v>A</v>
          </cell>
          <cell r="E153" t="str">
            <v>501_M0112_A_152R</v>
          </cell>
          <cell r="F153">
            <v>45834.583333333336</v>
          </cell>
          <cell r="G153" t="str">
            <v>HK</v>
          </cell>
          <cell r="H153">
            <v>225.66</v>
          </cell>
          <cell r="I153">
            <v>1.55</v>
          </cell>
          <cell r="J153">
            <v>227.21</v>
          </cell>
          <cell r="K153">
            <v>1</v>
          </cell>
          <cell r="L153">
            <v>0.28000000000000003</v>
          </cell>
          <cell r="M153">
            <v>18.059999999999999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225.66</v>
          </cell>
          <cell r="Y153">
            <v>227.21</v>
          </cell>
        </row>
        <row r="154">
          <cell r="A154">
            <v>153</v>
          </cell>
          <cell r="B154">
            <v>501</v>
          </cell>
          <cell r="C154" t="str">
            <v>M0112</v>
          </cell>
          <cell r="D154" t="str">
            <v>A</v>
          </cell>
          <cell r="E154" t="str">
            <v>501_M0112_A_153R</v>
          </cell>
          <cell r="F154">
            <v>45834.611111111109</v>
          </cell>
          <cell r="G154" t="str">
            <v>HK</v>
          </cell>
          <cell r="H154">
            <v>227.21</v>
          </cell>
          <cell r="I154">
            <v>1</v>
          </cell>
          <cell r="J154">
            <v>228.21</v>
          </cell>
          <cell r="K154">
            <v>1</v>
          </cell>
          <cell r="L154">
            <v>0.66</v>
          </cell>
          <cell r="M154">
            <v>66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227.21</v>
          </cell>
          <cell r="Y154">
            <v>228.21</v>
          </cell>
        </row>
        <row r="155">
          <cell r="A155">
            <v>154</v>
          </cell>
          <cell r="B155">
            <v>501</v>
          </cell>
          <cell r="C155" t="str">
            <v>M0112</v>
          </cell>
          <cell r="D155" t="str">
            <v>A</v>
          </cell>
          <cell r="E155" t="str">
            <v>501_M0112_A_154H</v>
          </cell>
          <cell r="F155">
            <v>45834.649305555555</v>
          </cell>
          <cell r="G155" t="str">
            <v>KUHN</v>
          </cell>
          <cell r="H155">
            <v>228.21</v>
          </cell>
          <cell r="I155">
            <v>0.63</v>
          </cell>
          <cell r="J155">
            <v>228.84</v>
          </cell>
          <cell r="K155">
            <v>1</v>
          </cell>
          <cell r="L155">
            <v>0.63</v>
          </cell>
          <cell r="M155">
            <v>100</v>
          </cell>
          <cell r="Q155" t="str">
            <v>yes</v>
          </cell>
          <cell r="R155" t="str">
            <v>all</v>
          </cell>
          <cell r="S155" t="str">
            <v>H</v>
          </cell>
          <cell r="T155" t="str">
            <v>H (QD-TEC)</v>
          </cell>
          <cell r="V155">
            <v>72</v>
          </cell>
          <cell r="W155">
            <v>0</v>
          </cell>
          <cell r="X155">
            <v>228.21</v>
          </cell>
          <cell r="Y155">
            <v>228.84</v>
          </cell>
        </row>
        <row r="156">
          <cell r="A156">
            <v>155</v>
          </cell>
          <cell r="B156">
            <v>501</v>
          </cell>
          <cell r="C156" t="str">
            <v>M0112</v>
          </cell>
          <cell r="D156" t="str">
            <v>A</v>
          </cell>
          <cell r="E156" t="str">
            <v>501_M0112_A_155H</v>
          </cell>
          <cell r="F156">
            <v>45834.6875</v>
          </cell>
          <cell r="G156" t="str">
            <v>KUHN</v>
          </cell>
          <cell r="H156">
            <v>228.84</v>
          </cell>
          <cell r="I156">
            <v>1.61</v>
          </cell>
          <cell r="J156">
            <v>230.45</v>
          </cell>
          <cell r="K156">
            <v>2</v>
          </cell>
          <cell r="L156">
            <v>1.61</v>
          </cell>
          <cell r="M156">
            <v>100</v>
          </cell>
          <cell r="P156" t="str">
            <v>Top &amp; Bottom disturbed</v>
          </cell>
          <cell r="Q156" t="str">
            <v>yes</v>
          </cell>
          <cell r="R156" t="str">
            <v>all</v>
          </cell>
          <cell r="S156" t="str">
            <v>H</v>
          </cell>
          <cell r="T156" t="str">
            <v>H (QD-TEC)</v>
          </cell>
          <cell r="V156">
            <v>72</v>
          </cell>
          <cell r="W156">
            <v>0</v>
          </cell>
          <cell r="X156">
            <v>228.84</v>
          </cell>
          <cell r="Y156">
            <v>230.45</v>
          </cell>
        </row>
        <row r="157">
          <cell r="A157">
            <v>156</v>
          </cell>
          <cell r="B157">
            <v>501</v>
          </cell>
          <cell r="C157" t="str">
            <v>M0112</v>
          </cell>
          <cell r="D157" t="str">
            <v>A</v>
          </cell>
          <cell r="E157" t="str">
            <v>501_M0112_A_156H</v>
          </cell>
          <cell r="F157">
            <v>45834.732638888891</v>
          </cell>
          <cell r="G157" t="str">
            <v>KUHN</v>
          </cell>
          <cell r="H157">
            <v>230.45</v>
          </cell>
          <cell r="I157">
            <v>0.73</v>
          </cell>
          <cell r="J157">
            <v>231.18</v>
          </cell>
          <cell r="K157">
            <v>1</v>
          </cell>
          <cell r="L157">
            <v>0.73</v>
          </cell>
          <cell r="M157">
            <v>100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230.45</v>
          </cell>
          <cell r="Y157">
            <v>231.18</v>
          </cell>
        </row>
        <row r="158">
          <cell r="A158">
            <v>157</v>
          </cell>
          <cell r="B158">
            <v>501</v>
          </cell>
          <cell r="C158" t="str">
            <v>M0112</v>
          </cell>
          <cell r="D158" t="str">
            <v>A</v>
          </cell>
          <cell r="E158" t="str">
            <v>501_M0112_A_157H</v>
          </cell>
          <cell r="F158">
            <v>45834.788194444445</v>
          </cell>
          <cell r="G158" t="str">
            <v>KUHN</v>
          </cell>
          <cell r="H158">
            <v>231.18</v>
          </cell>
          <cell r="I158">
            <v>1.19</v>
          </cell>
          <cell r="J158">
            <v>232.37</v>
          </cell>
          <cell r="K158">
            <v>2</v>
          </cell>
          <cell r="L158">
            <v>1.19</v>
          </cell>
          <cell r="M158">
            <v>100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231.18</v>
          </cell>
          <cell r="Y158">
            <v>232.37</v>
          </cell>
        </row>
        <row r="159">
          <cell r="A159">
            <v>158</v>
          </cell>
          <cell r="B159">
            <v>501</v>
          </cell>
          <cell r="C159" t="str">
            <v>M0112</v>
          </cell>
          <cell r="D159" t="str">
            <v>A</v>
          </cell>
          <cell r="E159" t="str">
            <v>501_M0112_A_158H</v>
          </cell>
          <cell r="F159">
            <v>45834.822916666664</v>
          </cell>
          <cell r="G159" t="str">
            <v>KUHN</v>
          </cell>
          <cell r="H159">
            <v>232.37</v>
          </cell>
          <cell r="I159">
            <v>0.7</v>
          </cell>
          <cell r="J159">
            <v>233.07</v>
          </cell>
          <cell r="K159">
            <v>1</v>
          </cell>
          <cell r="L159">
            <v>0.7</v>
          </cell>
          <cell r="M159">
            <v>100</v>
          </cell>
          <cell r="P159" t="str">
            <v>stuck in liner</v>
          </cell>
          <cell r="X159">
            <v>232.37</v>
          </cell>
        </row>
        <row r="160">
          <cell r="A160">
            <v>159</v>
          </cell>
          <cell r="B160">
            <v>501</v>
          </cell>
          <cell r="C160" t="str">
            <v>M0112</v>
          </cell>
          <cell r="D160" t="str">
            <v>A</v>
          </cell>
          <cell r="E160" t="str">
            <v>501_M0112_A_159R</v>
          </cell>
          <cell r="F160">
            <v>45834.888888888891</v>
          </cell>
          <cell r="G160" t="str">
            <v>KUHN</v>
          </cell>
          <cell r="H160">
            <v>233.07</v>
          </cell>
          <cell r="I160">
            <v>2.14</v>
          </cell>
          <cell r="J160">
            <v>235.21</v>
          </cell>
          <cell r="K160">
            <v>2</v>
          </cell>
          <cell r="L160">
            <v>1.76</v>
          </cell>
          <cell r="M160">
            <v>82.24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(QD-TEC)</v>
          </cell>
          <cell r="V160">
            <v>72</v>
          </cell>
          <cell r="W160">
            <v>0</v>
          </cell>
          <cell r="X160">
            <v>233.07</v>
          </cell>
          <cell r="Y160">
            <v>235.21</v>
          </cell>
        </row>
        <row r="161">
          <cell r="A161">
            <v>160</v>
          </cell>
          <cell r="B161">
            <v>501</v>
          </cell>
          <cell r="C161" t="str">
            <v>M0112</v>
          </cell>
          <cell r="D161" t="str">
            <v>A</v>
          </cell>
          <cell r="E161" t="str">
            <v>501_M0112_A_160R</v>
          </cell>
          <cell r="F161">
            <v>45834.920138888891</v>
          </cell>
          <cell r="G161" t="str">
            <v>KUHN</v>
          </cell>
          <cell r="H161">
            <v>235.21</v>
          </cell>
          <cell r="I161">
            <v>3</v>
          </cell>
          <cell r="J161">
            <v>238.21</v>
          </cell>
          <cell r="K161">
            <v>2</v>
          </cell>
          <cell r="L161">
            <v>1.82</v>
          </cell>
          <cell r="M161">
            <v>60.67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(QD-TEC)</v>
          </cell>
          <cell r="V161">
            <v>72</v>
          </cell>
          <cell r="W161">
            <v>0</v>
          </cell>
          <cell r="X161">
            <v>235.21</v>
          </cell>
          <cell r="Y161">
            <v>238.21</v>
          </cell>
        </row>
        <row r="162">
          <cell r="A162">
            <v>161</v>
          </cell>
          <cell r="B162">
            <v>501</v>
          </cell>
          <cell r="C162" t="str">
            <v>M0112</v>
          </cell>
          <cell r="D162" t="str">
            <v>A</v>
          </cell>
          <cell r="E162" t="str">
            <v>501_M0112_A_161R</v>
          </cell>
          <cell r="F162">
            <v>45834.954861111109</v>
          </cell>
          <cell r="G162" t="str">
            <v>KUHN</v>
          </cell>
          <cell r="H162">
            <v>238.21</v>
          </cell>
          <cell r="I162">
            <v>2</v>
          </cell>
          <cell r="J162">
            <v>240.21</v>
          </cell>
          <cell r="K162">
            <v>2</v>
          </cell>
          <cell r="L162">
            <v>1.1499999999999999</v>
          </cell>
          <cell r="M162">
            <v>57.5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(QD-TEC)</v>
          </cell>
          <cell r="V162">
            <v>72</v>
          </cell>
          <cell r="W162">
            <v>0</v>
          </cell>
          <cell r="X162">
            <v>238.21</v>
          </cell>
          <cell r="Y162">
            <v>240.21</v>
          </cell>
        </row>
        <row r="163">
          <cell r="A163">
            <v>162</v>
          </cell>
          <cell r="B163">
            <v>501</v>
          </cell>
          <cell r="C163" t="str">
            <v>M0112</v>
          </cell>
          <cell r="D163" t="str">
            <v>A</v>
          </cell>
          <cell r="E163" t="str">
            <v>501_M0112_A_162R</v>
          </cell>
          <cell r="F163">
            <v>45834.975694444445</v>
          </cell>
          <cell r="G163" t="str">
            <v>KUHN</v>
          </cell>
          <cell r="H163">
            <v>240.21</v>
          </cell>
          <cell r="I163">
            <v>2</v>
          </cell>
          <cell r="J163">
            <v>242.21</v>
          </cell>
          <cell r="K163">
            <v>1</v>
          </cell>
          <cell r="L163">
            <v>0.62</v>
          </cell>
          <cell r="M163">
            <v>31</v>
          </cell>
          <cell r="Q163" t="str">
            <v>yes</v>
          </cell>
          <cell r="R163" t="str">
            <v>all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240.21</v>
          </cell>
          <cell r="Y163">
            <v>242.21</v>
          </cell>
        </row>
        <row r="164">
          <cell r="A164">
            <v>163</v>
          </cell>
          <cell r="B164">
            <v>501</v>
          </cell>
          <cell r="C164" t="str">
            <v>M0112</v>
          </cell>
          <cell r="D164" t="str">
            <v>A</v>
          </cell>
          <cell r="E164" t="str">
            <v>501_M0112_A_163R</v>
          </cell>
          <cell r="F164">
            <v>45835</v>
          </cell>
          <cell r="G164" t="str">
            <v>KUHN</v>
          </cell>
          <cell r="H164">
            <v>242.21</v>
          </cell>
          <cell r="I164">
            <v>1.5</v>
          </cell>
          <cell r="J164">
            <v>243.71</v>
          </cell>
          <cell r="K164">
            <v>2</v>
          </cell>
          <cell r="L164">
            <v>0.52</v>
          </cell>
          <cell r="M164">
            <v>34.67</v>
          </cell>
          <cell r="Q164" t="str">
            <v>yes</v>
          </cell>
          <cell r="R164" t="str">
            <v>all</v>
          </cell>
          <cell r="S164" t="str">
            <v>R</v>
          </cell>
          <cell r="T164" t="str">
            <v>R (QD-TEC)</v>
          </cell>
          <cell r="V164">
            <v>72</v>
          </cell>
          <cell r="W164">
            <v>0</v>
          </cell>
          <cell r="X164">
            <v>242.21</v>
          </cell>
          <cell r="Y164">
            <v>243.71</v>
          </cell>
        </row>
        <row r="165">
          <cell r="A165">
            <v>164</v>
          </cell>
          <cell r="B165">
            <v>501</v>
          </cell>
          <cell r="C165" t="str">
            <v>M0112</v>
          </cell>
          <cell r="D165" t="str">
            <v>A</v>
          </cell>
          <cell r="E165" t="str">
            <v>501_M0112_A_164R</v>
          </cell>
          <cell r="F165">
            <v>45835.052083333336</v>
          </cell>
          <cell r="G165" t="str">
            <v>KUHN</v>
          </cell>
          <cell r="H165">
            <v>243.71</v>
          </cell>
          <cell r="I165">
            <v>1.5</v>
          </cell>
          <cell r="J165">
            <v>245.21</v>
          </cell>
          <cell r="K165">
            <v>2</v>
          </cell>
          <cell r="L165">
            <v>1.38</v>
          </cell>
          <cell r="M165">
            <v>92</v>
          </cell>
          <cell r="Q165" t="str">
            <v>yes</v>
          </cell>
          <cell r="R165" t="str">
            <v>all</v>
          </cell>
          <cell r="S165" t="str">
            <v>R</v>
          </cell>
          <cell r="T165" t="str">
            <v>R (QD-TEC)</v>
          </cell>
          <cell r="V165">
            <v>72</v>
          </cell>
          <cell r="W165">
            <v>0</v>
          </cell>
          <cell r="X165">
            <v>243.71</v>
          </cell>
          <cell r="Y165">
            <v>245.21</v>
          </cell>
        </row>
        <row r="166">
          <cell r="A166">
            <v>165</v>
          </cell>
          <cell r="B166">
            <v>501</v>
          </cell>
          <cell r="C166" t="str">
            <v>M0112</v>
          </cell>
          <cell r="D166" t="str">
            <v>A</v>
          </cell>
          <cell r="E166" t="str">
            <v>501_M0112_A_165R</v>
          </cell>
          <cell r="F166">
            <v>45835.09375</v>
          </cell>
          <cell r="G166" t="str">
            <v>KUHN</v>
          </cell>
          <cell r="H166">
            <v>245.21</v>
          </cell>
          <cell r="I166">
            <v>2.35</v>
          </cell>
          <cell r="J166">
            <v>247.56</v>
          </cell>
          <cell r="K166">
            <v>2</v>
          </cell>
          <cell r="L166">
            <v>2.52</v>
          </cell>
          <cell r="M166">
            <v>107.23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(QD-TEC)</v>
          </cell>
          <cell r="V166">
            <v>72</v>
          </cell>
          <cell r="W166">
            <v>0</v>
          </cell>
          <cell r="X166">
            <v>245.21</v>
          </cell>
          <cell r="Y166">
            <v>247.56</v>
          </cell>
        </row>
        <row r="167">
          <cell r="A167">
            <v>166</v>
          </cell>
          <cell r="B167">
            <v>501</v>
          </cell>
          <cell r="C167" t="str">
            <v>M0112</v>
          </cell>
          <cell r="D167" t="str">
            <v>A</v>
          </cell>
          <cell r="E167" t="str">
            <v>501_M0112_A_166R</v>
          </cell>
          <cell r="F167">
            <v>45835.135416666664</v>
          </cell>
          <cell r="G167" t="str">
            <v>KUHN</v>
          </cell>
          <cell r="H167">
            <v>247.56</v>
          </cell>
          <cell r="I167">
            <v>1.25</v>
          </cell>
          <cell r="J167">
            <v>248.81</v>
          </cell>
          <cell r="K167">
            <v>1</v>
          </cell>
          <cell r="L167">
            <v>0.55000000000000004</v>
          </cell>
          <cell r="M167">
            <v>44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(QD-TEC)</v>
          </cell>
          <cell r="V167">
            <v>72</v>
          </cell>
          <cell r="W167">
            <v>0</v>
          </cell>
          <cell r="X167">
            <v>247.56</v>
          </cell>
          <cell r="Y167">
            <v>248.81</v>
          </cell>
        </row>
        <row r="168">
          <cell r="A168">
            <v>167</v>
          </cell>
          <cell r="B168">
            <v>501</v>
          </cell>
          <cell r="C168" t="str">
            <v>M0112</v>
          </cell>
          <cell r="D168" t="str">
            <v>A</v>
          </cell>
          <cell r="E168" t="str">
            <v>501_M0112_A_167H</v>
          </cell>
          <cell r="F168">
            <v>45835.152777777781</v>
          </cell>
          <cell r="G168" t="str">
            <v>HK</v>
          </cell>
          <cell r="H168">
            <v>248.81</v>
          </cell>
          <cell r="I168">
            <v>2.83</v>
          </cell>
          <cell r="J168">
            <v>251.64</v>
          </cell>
          <cell r="K168">
            <v>2</v>
          </cell>
          <cell r="L168">
            <v>2.83</v>
          </cell>
          <cell r="M168">
            <v>100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248.81</v>
          </cell>
          <cell r="Y168">
            <v>251.64</v>
          </cell>
        </row>
        <row r="169">
          <cell r="A169">
            <v>168</v>
          </cell>
          <cell r="B169">
            <v>501</v>
          </cell>
          <cell r="C169" t="str">
            <v>M0112</v>
          </cell>
          <cell r="D169" t="str">
            <v>A</v>
          </cell>
          <cell r="E169" t="str">
            <v>501_M0112_A_168H</v>
          </cell>
          <cell r="F169">
            <v>45835.253472222219</v>
          </cell>
          <cell r="G169" t="str">
            <v>HK</v>
          </cell>
          <cell r="H169">
            <v>251.64</v>
          </cell>
          <cell r="I169">
            <v>2.42</v>
          </cell>
          <cell r="J169">
            <v>254.06</v>
          </cell>
          <cell r="K169">
            <v>2</v>
          </cell>
          <cell r="L169">
            <v>2.42</v>
          </cell>
          <cell r="M169">
            <v>100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251.64</v>
          </cell>
          <cell r="Y169">
            <v>254.06</v>
          </cell>
        </row>
        <row r="170">
          <cell r="A170">
            <v>169</v>
          </cell>
          <cell r="B170">
            <v>501</v>
          </cell>
          <cell r="C170" t="str">
            <v>M0112</v>
          </cell>
          <cell r="D170" t="str">
            <v>A</v>
          </cell>
          <cell r="E170" t="str">
            <v>501_M0112_A_169H</v>
          </cell>
          <cell r="F170">
            <v>45835.295138888891</v>
          </cell>
          <cell r="G170" t="str">
            <v>HK</v>
          </cell>
          <cell r="H170">
            <v>254.06</v>
          </cell>
          <cell r="I170">
            <v>2.96</v>
          </cell>
          <cell r="J170">
            <v>257.02</v>
          </cell>
          <cell r="K170">
            <v>2</v>
          </cell>
          <cell r="L170">
            <v>2.96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254.06</v>
          </cell>
          <cell r="Y170">
            <v>257.02</v>
          </cell>
        </row>
        <row r="171">
          <cell r="A171">
            <v>170</v>
          </cell>
          <cell r="B171">
            <v>501</v>
          </cell>
          <cell r="C171" t="str">
            <v>M0112</v>
          </cell>
          <cell r="D171" t="str">
            <v>A</v>
          </cell>
          <cell r="E171" t="str">
            <v>501_M0112_A_170H</v>
          </cell>
          <cell r="F171">
            <v>45835.336805555555</v>
          </cell>
          <cell r="G171" t="str">
            <v>HK</v>
          </cell>
          <cell r="H171">
            <v>257.02</v>
          </cell>
          <cell r="I171">
            <v>2.5</v>
          </cell>
          <cell r="J171">
            <v>259.52</v>
          </cell>
          <cell r="K171">
            <v>2</v>
          </cell>
          <cell r="L171">
            <v>2.5</v>
          </cell>
          <cell r="M171">
            <v>100</v>
          </cell>
          <cell r="Q171" t="str">
            <v>yes</v>
          </cell>
          <cell r="R171" t="str">
            <v>all</v>
          </cell>
          <cell r="S171" t="str">
            <v>H</v>
          </cell>
          <cell r="T171" t="str">
            <v>H (QD-TEC)</v>
          </cell>
          <cell r="V171">
            <v>72</v>
          </cell>
          <cell r="W171">
            <v>0</v>
          </cell>
          <cell r="X171">
            <v>257.02</v>
          </cell>
          <cell r="Y171">
            <v>259.52</v>
          </cell>
        </row>
        <row r="172">
          <cell r="A172">
            <v>171</v>
          </cell>
          <cell r="B172">
            <v>501</v>
          </cell>
          <cell r="C172" t="str">
            <v>M0112</v>
          </cell>
          <cell r="D172" t="str">
            <v>A</v>
          </cell>
          <cell r="E172" t="str">
            <v>501_M0112_A_171H</v>
          </cell>
          <cell r="F172">
            <v>45835.371527777781</v>
          </cell>
          <cell r="G172" t="str">
            <v>HK</v>
          </cell>
          <cell r="H172">
            <v>259.52</v>
          </cell>
          <cell r="I172">
            <v>2.2999999999999998</v>
          </cell>
          <cell r="J172">
            <v>261.82</v>
          </cell>
          <cell r="K172">
            <v>2</v>
          </cell>
          <cell r="L172">
            <v>2.2999999999999998</v>
          </cell>
          <cell r="M172">
            <v>100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259.52</v>
          </cell>
          <cell r="Y172">
            <v>261.82</v>
          </cell>
        </row>
        <row r="173">
          <cell r="A173">
            <v>172</v>
          </cell>
          <cell r="B173">
            <v>501</v>
          </cell>
          <cell r="C173" t="str">
            <v>M0112</v>
          </cell>
          <cell r="D173" t="str">
            <v>A</v>
          </cell>
          <cell r="E173" t="str">
            <v>501_M0112_A_172H</v>
          </cell>
          <cell r="F173">
            <v>45835.40625</v>
          </cell>
          <cell r="G173" t="str">
            <v>HK</v>
          </cell>
          <cell r="H173">
            <v>261.82</v>
          </cell>
          <cell r="I173">
            <v>2.04</v>
          </cell>
          <cell r="J173">
            <v>263.86</v>
          </cell>
          <cell r="K173">
            <v>2</v>
          </cell>
          <cell r="L173">
            <v>2.04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261.82</v>
          </cell>
          <cell r="Y173">
            <v>263.86</v>
          </cell>
        </row>
        <row r="174">
          <cell r="A174">
            <v>173</v>
          </cell>
          <cell r="B174">
            <v>501</v>
          </cell>
          <cell r="C174" t="str">
            <v>M0112</v>
          </cell>
          <cell r="D174" t="str">
            <v>A</v>
          </cell>
          <cell r="E174" t="str">
            <v>501_M0112_A_173H</v>
          </cell>
          <cell r="F174">
            <v>45835.444444444445</v>
          </cell>
          <cell r="G174" t="str">
            <v>HK</v>
          </cell>
          <cell r="H174">
            <v>263.86</v>
          </cell>
          <cell r="I174">
            <v>0.84</v>
          </cell>
          <cell r="J174">
            <v>264.7</v>
          </cell>
          <cell r="K174">
            <v>1</v>
          </cell>
          <cell r="L174">
            <v>0.84</v>
          </cell>
          <cell r="M174">
            <v>100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263.86</v>
          </cell>
          <cell r="Y174">
            <v>264.7</v>
          </cell>
        </row>
        <row r="175">
          <cell r="A175">
            <v>174</v>
          </cell>
          <cell r="B175">
            <v>501</v>
          </cell>
          <cell r="C175" t="str">
            <v>M0112</v>
          </cell>
          <cell r="D175" t="str">
            <v>A</v>
          </cell>
          <cell r="E175" t="str">
            <v>501_M0112_A_174H</v>
          </cell>
          <cell r="F175">
            <v>45835.482638888891</v>
          </cell>
          <cell r="G175" t="str">
            <v>HK</v>
          </cell>
          <cell r="H175">
            <v>264.7</v>
          </cell>
          <cell r="I175">
            <v>1.73</v>
          </cell>
          <cell r="J175">
            <v>266.43</v>
          </cell>
          <cell r="K175">
            <v>2</v>
          </cell>
          <cell r="L175">
            <v>1.73</v>
          </cell>
          <cell r="M175">
            <v>100</v>
          </cell>
          <cell r="Q175" t="str">
            <v>yes</v>
          </cell>
          <cell r="R175" t="str">
            <v>all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264.7</v>
          </cell>
          <cell r="Y175">
            <v>266.43</v>
          </cell>
        </row>
        <row r="176">
          <cell r="A176">
            <v>175</v>
          </cell>
          <cell r="B176">
            <v>501</v>
          </cell>
          <cell r="C176" t="str">
            <v>M0112</v>
          </cell>
          <cell r="D176" t="str">
            <v>A</v>
          </cell>
          <cell r="E176" t="str">
            <v>501_M0112_A_175H</v>
          </cell>
          <cell r="F176">
            <v>45835.534722222219</v>
          </cell>
          <cell r="G176" t="str">
            <v>HK</v>
          </cell>
          <cell r="H176">
            <v>266.43</v>
          </cell>
          <cell r="I176">
            <v>2.91</v>
          </cell>
          <cell r="J176">
            <v>269.33999999999997</v>
          </cell>
          <cell r="K176">
            <v>2</v>
          </cell>
          <cell r="L176">
            <v>2.91</v>
          </cell>
          <cell r="M176">
            <v>100</v>
          </cell>
          <cell r="Q176" t="str">
            <v>yes</v>
          </cell>
          <cell r="R176" t="str">
            <v>all</v>
          </cell>
          <cell r="S176" t="str">
            <v>H</v>
          </cell>
          <cell r="T176" t="str">
            <v>H (QD-TEC)</v>
          </cell>
          <cell r="V176">
            <v>72</v>
          </cell>
          <cell r="W176">
            <v>0</v>
          </cell>
          <cell r="X176">
            <v>266.43</v>
          </cell>
          <cell r="Y176">
            <v>269.33999999999997</v>
          </cell>
        </row>
        <row r="177">
          <cell r="A177">
            <v>176</v>
          </cell>
          <cell r="B177">
            <v>501</v>
          </cell>
          <cell r="C177" t="str">
            <v>M0112</v>
          </cell>
          <cell r="D177" t="str">
            <v>A</v>
          </cell>
          <cell r="E177" t="str">
            <v>501_M0112_A_176H</v>
          </cell>
          <cell r="F177">
            <v>45835.572916666664</v>
          </cell>
          <cell r="G177" t="str">
            <v>HK</v>
          </cell>
          <cell r="H177">
            <v>269.33999999999997</v>
          </cell>
          <cell r="I177">
            <v>1.2</v>
          </cell>
          <cell r="J177">
            <v>270.54000000000002</v>
          </cell>
          <cell r="K177">
            <v>2</v>
          </cell>
          <cell r="L177">
            <v>1.2</v>
          </cell>
          <cell r="M177">
            <v>100</v>
          </cell>
          <cell r="Q177" t="str">
            <v>yes</v>
          </cell>
          <cell r="R177" t="str">
            <v>all</v>
          </cell>
          <cell r="S177" t="str">
            <v>H</v>
          </cell>
          <cell r="T177" t="str">
            <v>H (QD-TEC)</v>
          </cell>
          <cell r="V177">
            <v>72</v>
          </cell>
          <cell r="W177">
            <v>0</v>
          </cell>
          <cell r="X177">
            <v>269.33999999999997</v>
          </cell>
          <cell r="Y177">
            <v>270.54000000000002</v>
          </cell>
        </row>
        <row r="178">
          <cell r="A178">
            <v>177</v>
          </cell>
          <cell r="B178">
            <v>501</v>
          </cell>
          <cell r="C178" t="str">
            <v>M0112</v>
          </cell>
          <cell r="D178" t="str">
            <v>A</v>
          </cell>
          <cell r="E178" t="str">
            <v>501_M0112_A_177H</v>
          </cell>
          <cell r="F178">
            <v>45835.614583333336</v>
          </cell>
          <cell r="G178" t="str">
            <v>HK</v>
          </cell>
          <cell r="H178">
            <v>270.54000000000002</v>
          </cell>
          <cell r="I178">
            <v>2.81</v>
          </cell>
          <cell r="J178">
            <v>273.35000000000002</v>
          </cell>
          <cell r="K178">
            <v>3</v>
          </cell>
          <cell r="L178">
            <v>2.81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270.54000000000002</v>
          </cell>
          <cell r="Y178">
            <v>273.35000000000002</v>
          </cell>
        </row>
        <row r="179">
          <cell r="A179">
            <v>178</v>
          </cell>
          <cell r="B179">
            <v>501</v>
          </cell>
          <cell r="C179" t="str">
            <v>M0112</v>
          </cell>
          <cell r="D179" t="str">
            <v>A</v>
          </cell>
          <cell r="E179" t="str">
            <v>501_M0112_A_178H</v>
          </cell>
          <cell r="F179">
            <v>45835.649305555555</v>
          </cell>
          <cell r="G179" t="str">
            <v>KUHN</v>
          </cell>
          <cell r="H179">
            <v>273.35000000000002</v>
          </cell>
          <cell r="I179">
            <v>2.58</v>
          </cell>
          <cell r="J179">
            <v>275.93</v>
          </cell>
          <cell r="K179">
            <v>2</v>
          </cell>
          <cell r="L179">
            <v>2.58</v>
          </cell>
          <cell r="M179">
            <v>100</v>
          </cell>
          <cell r="Q179" t="str">
            <v>yes</v>
          </cell>
          <cell r="R179" t="str">
            <v>all</v>
          </cell>
          <cell r="S179" t="str">
            <v>H</v>
          </cell>
          <cell r="T179" t="str">
            <v>H (QD-TEC)</v>
          </cell>
          <cell r="V179">
            <v>72</v>
          </cell>
          <cell r="W179">
            <v>0</v>
          </cell>
          <cell r="X179">
            <v>273.35000000000002</v>
          </cell>
          <cell r="Y179">
            <v>275.93</v>
          </cell>
        </row>
        <row r="180">
          <cell r="A180">
            <v>179</v>
          </cell>
          <cell r="B180">
            <v>501</v>
          </cell>
          <cell r="C180" t="str">
            <v>M0112</v>
          </cell>
          <cell r="D180" t="str">
            <v>A</v>
          </cell>
          <cell r="E180" t="str">
            <v>501_M0112_A_179H</v>
          </cell>
          <cell r="F180">
            <v>45835.684027777781</v>
          </cell>
          <cell r="G180" t="str">
            <v>KUHN</v>
          </cell>
          <cell r="H180">
            <v>275.93</v>
          </cell>
          <cell r="I180">
            <v>1.81</v>
          </cell>
          <cell r="J180">
            <v>277.74</v>
          </cell>
          <cell r="K180">
            <v>2</v>
          </cell>
          <cell r="L180">
            <v>1.81</v>
          </cell>
          <cell r="M180">
            <v>100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275.93</v>
          </cell>
          <cell r="Y180">
            <v>277.74</v>
          </cell>
        </row>
        <row r="181">
          <cell r="A181">
            <v>180</v>
          </cell>
          <cell r="B181">
            <v>501</v>
          </cell>
          <cell r="C181" t="str">
            <v>M0112</v>
          </cell>
          <cell r="D181" t="str">
            <v>A</v>
          </cell>
          <cell r="E181" t="str">
            <v>501_M0112_A_180H</v>
          </cell>
          <cell r="F181">
            <v>45835.774305555555</v>
          </cell>
          <cell r="G181" t="str">
            <v>KUHN</v>
          </cell>
          <cell r="H181">
            <v>277.74</v>
          </cell>
          <cell r="I181">
            <v>0.5</v>
          </cell>
          <cell r="J181">
            <v>278.24</v>
          </cell>
          <cell r="K181">
            <v>1</v>
          </cell>
          <cell r="L181">
            <v>0.5</v>
          </cell>
          <cell r="M181">
            <v>100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277.74</v>
          </cell>
          <cell r="Y181">
            <v>278.24</v>
          </cell>
        </row>
        <row r="182">
          <cell r="A182">
            <v>181</v>
          </cell>
          <cell r="B182">
            <v>501</v>
          </cell>
          <cell r="C182" t="str">
            <v>M0112</v>
          </cell>
          <cell r="D182" t="str">
            <v>A</v>
          </cell>
          <cell r="E182" t="str">
            <v>501_M0112_A_181R</v>
          </cell>
          <cell r="F182">
            <v>45835.822916666664</v>
          </cell>
          <cell r="G182" t="str">
            <v>KUHN</v>
          </cell>
          <cell r="H182">
            <v>278.24</v>
          </cell>
          <cell r="I182">
            <v>1.5</v>
          </cell>
          <cell r="J182">
            <v>279.74</v>
          </cell>
          <cell r="K182">
            <v>1</v>
          </cell>
          <cell r="L182">
            <v>0.21</v>
          </cell>
          <cell r="M182">
            <v>14</v>
          </cell>
          <cell r="Q182" t="str">
            <v>yes</v>
          </cell>
          <cell r="R182" t="str">
            <v>all</v>
          </cell>
          <cell r="S182" t="str">
            <v>R</v>
          </cell>
          <cell r="T182" t="str">
            <v>R (QD-TEC)</v>
          </cell>
          <cell r="V182">
            <v>72</v>
          </cell>
          <cell r="W182">
            <v>0</v>
          </cell>
          <cell r="X182">
            <v>278.24</v>
          </cell>
          <cell r="Y182">
            <v>279.74</v>
          </cell>
        </row>
        <row r="183">
          <cell r="A183">
            <v>182</v>
          </cell>
          <cell r="B183">
            <v>501</v>
          </cell>
          <cell r="C183" t="str">
            <v>M0112</v>
          </cell>
          <cell r="D183" t="str">
            <v>A</v>
          </cell>
          <cell r="E183" t="str">
            <v>501_M0112_A_182R</v>
          </cell>
          <cell r="F183">
            <v>45835.84375</v>
          </cell>
          <cell r="G183" t="str">
            <v>KUHN</v>
          </cell>
          <cell r="H183">
            <v>279.74</v>
          </cell>
          <cell r="I183">
            <v>1.47</v>
          </cell>
          <cell r="J183">
            <v>281.20999999999998</v>
          </cell>
          <cell r="K183">
            <v>1</v>
          </cell>
          <cell r="L183">
            <v>0.13</v>
          </cell>
          <cell r="M183">
            <v>8.84</v>
          </cell>
          <cell r="Q183" t="str">
            <v>yes</v>
          </cell>
          <cell r="R183" t="str">
            <v>all</v>
          </cell>
          <cell r="S183" t="str">
            <v>R</v>
          </cell>
          <cell r="T183" t="str">
            <v>R (QD-TEC)</v>
          </cell>
          <cell r="V183">
            <v>72</v>
          </cell>
          <cell r="W183">
            <v>0</v>
          </cell>
          <cell r="X183">
            <v>279.74</v>
          </cell>
          <cell r="Y183">
            <v>281.20999999999998</v>
          </cell>
        </row>
        <row r="184">
          <cell r="A184">
            <v>183</v>
          </cell>
          <cell r="B184">
            <v>501</v>
          </cell>
          <cell r="C184" t="str">
            <v>M0112</v>
          </cell>
          <cell r="D184" t="str">
            <v>A</v>
          </cell>
          <cell r="E184" t="str">
            <v>501_M0112_A_183R</v>
          </cell>
          <cell r="F184">
            <v>45835.864583333336</v>
          </cell>
          <cell r="G184" t="str">
            <v>KUHN</v>
          </cell>
          <cell r="H184">
            <v>281.20999999999998</v>
          </cell>
          <cell r="I184">
            <v>1.5</v>
          </cell>
          <cell r="J184">
            <v>282.70999999999998</v>
          </cell>
          <cell r="K184">
            <v>1</v>
          </cell>
          <cell r="L184">
            <v>0.08</v>
          </cell>
          <cell r="M184">
            <v>5.33</v>
          </cell>
          <cell r="Q184" t="str">
            <v>yes</v>
          </cell>
          <cell r="R184" t="str">
            <v>all</v>
          </cell>
          <cell r="S184" t="str">
            <v>R</v>
          </cell>
          <cell r="T184" t="str">
            <v>R (QD-TEC)</v>
          </cell>
          <cell r="V184">
            <v>72</v>
          </cell>
          <cell r="W184">
            <v>0</v>
          </cell>
          <cell r="X184">
            <v>281.20999999999998</v>
          </cell>
          <cell r="Y184">
            <v>282.70999999999998</v>
          </cell>
        </row>
        <row r="185">
          <cell r="A185">
            <v>184</v>
          </cell>
          <cell r="B185">
            <v>501</v>
          </cell>
          <cell r="C185" t="str">
            <v>M0112</v>
          </cell>
          <cell r="D185" t="str">
            <v>A</v>
          </cell>
          <cell r="E185" t="str">
            <v>501_M0112_A_184O</v>
          </cell>
          <cell r="F185">
            <v>45835.909722222219</v>
          </cell>
          <cell r="G185" t="str">
            <v>KUHN</v>
          </cell>
          <cell r="H185">
            <v>282.70999999999998</v>
          </cell>
          <cell r="I185">
            <v>1.5</v>
          </cell>
          <cell r="J185">
            <v>284.20999999999998</v>
          </cell>
          <cell r="K185">
            <v>0</v>
          </cell>
          <cell r="L185">
            <v>0</v>
          </cell>
          <cell r="M185">
            <v>0</v>
          </cell>
          <cell r="P185" t="str">
            <v>non-coring advance</v>
          </cell>
          <cell r="X185">
            <v>282.70999999999998</v>
          </cell>
        </row>
        <row r="186">
          <cell r="A186">
            <v>185</v>
          </cell>
          <cell r="B186">
            <v>501</v>
          </cell>
          <cell r="C186" t="str">
            <v>M0112</v>
          </cell>
          <cell r="D186" t="str">
            <v>A</v>
          </cell>
          <cell r="E186" t="str">
            <v>501_M0112_A_185R</v>
          </cell>
          <cell r="F186">
            <v>45835.951388888891</v>
          </cell>
          <cell r="G186" t="str">
            <v>KUHN</v>
          </cell>
          <cell r="H186">
            <v>284.20999999999998</v>
          </cell>
          <cell r="I186">
            <v>2</v>
          </cell>
          <cell r="J186">
            <v>286.20999999999998</v>
          </cell>
          <cell r="K186">
            <v>2</v>
          </cell>
          <cell r="L186">
            <v>1.75</v>
          </cell>
          <cell r="M186">
            <v>87.5</v>
          </cell>
          <cell r="Q186" t="str">
            <v>yes</v>
          </cell>
          <cell r="R186" t="str">
            <v>all</v>
          </cell>
          <cell r="S186" t="str">
            <v>R</v>
          </cell>
          <cell r="T186" t="str">
            <v>R (QD-TEC)</v>
          </cell>
          <cell r="V186">
            <v>72</v>
          </cell>
          <cell r="W186">
            <v>0</v>
          </cell>
          <cell r="X186">
            <v>284.20999999999998</v>
          </cell>
          <cell r="Y186">
            <v>286.20999999999998</v>
          </cell>
        </row>
        <row r="187">
          <cell r="A187">
            <v>186</v>
          </cell>
          <cell r="B187">
            <v>501</v>
          </cell>
          <cell r="C187" t="str">
            <v>M0112</v>
          </cell>
          <cell r="D187" t="str">
            <v>A</v>
          </cell>
          <cell r="E187" t="str">
            <v>501_M0112_A_186R</v>
          </cell>
          <cell r="F187">
            <v>45835.979166666664</v>
          </cell>
          <cell r="G187" t="str">
            <v>KUHN</v>
          </cell>
          <cell r="H187">
            <v>286.20999999999998</v>
          </cell>
          <cell r="I187">
            <v>2</v>
          </cell>
          <cell r="J187">
            <v>288.20999999999998</v>
          </cell>
          <cell r="K187">
            <v>1</v>
          </cell>
          <cell r="L187">
            <v>0.6</v>
          </cell>
          <cell r="M187">
            <v>30</v>
          </cell>
          <cell r="Q187" t="str">
            <v>yes</v>
          </cell>
          <cell r="R187" t="str">
            <v>all</v>
          </cell>
          <cell r="S187" t="str">
            <v>R</v>
          </cell>
          <cell r="T187" t="str">
            <v>R (QD-TEC)</v>
          </cell>
          <cell r="V187">
            <v>72</v>
          </cell>
          <cell r="W187">
            <v>0</v>
          </cell>
          <cell r="X187">
            <v>286.20999999999998</v>
          </cell>
          <cell r="Y187">
            <v>288.20999999999998</v>
          </cell>
        </row>
        <row r="188">
          <cell r="A188">
            <v>187</v>
          </cell>
          <cell r="B188">
            <v>501</v>
          </cell>
          <cell r="C188" t="str">
            <v>M0112</v>
          </cell>
          <cell r="D188" t="str">
            <v>A</v>
          </cell>
          <cell r="E188" t="str">
            <v>501_M0112_A_187R</v>
          </cell>
          <cell r="F188">
            <v>45836.003472222219</v>
          </cell>
          <cell r="G188" t="str">
            <v>KUHN</v>
          </cell>
          <cell r="H188">
            <v>288.20999999999998</v>
          </cell>
          <cell r="I188">
            <v>1</v>
          </cell>
          <cell r="J188">
            <v>289.20999999999998</v>
          </cell>
          <cell r="K188">
            <v>1</v>
          </cell>
          <cell r="L188">
            <v>0.14000000000000001</v>
          </cell>
          <cell r="M188">
            <v>14</v>
          </cell>
          <cell r="Q188" t="str">
            <v>yes</v>
          </cell>
          <cell r="R188" t="str">
            <v>all</v>
          </cell>
          <cell r="S188" t="str">
            <v>R</v>
          </cell>
          <cell r="T188" t="str">
            <v>R (QD-TEC)</v>
          </cell>
          <cell r="V188">
            <v>72</v>
          </cell>
          <cell r="W188">
            <v>0</v>
          </cell>
          <cell r="X188">
            <v>288.20999999999998</v>
          </cell>
          <cell r="Y188">
            <v>289.20999999999998</v>
          </cell>
        </row>
        <row r="189">
          <cell r="A189">
            <v>188</v>
          </cell>
          <cell r="B189">
            <v>501</v>
          </cell>
          <cell r="C189" t="str">
            <v>M0112</v>
          </cell>
          <cell r="D189" t="str">
            <v>A</v>
          </cell>
          <cell r="E189" t="str">
            <v>501_M0112_A_188R</v>
          </cell>
          <cell r="F189">
            <v>45836.03125</v>
          </cell>
          <cell r="G189" t="str">
            <v>KUHN</v>
          </cell>
          <cell r="H189">
            <v>289.20999999999998</v>
          </cell>
          <cell r="I189">
            <v>1</v>
          </cell>
          <cell r="J189">
            <v>290.20999999999998</v>
          </cell>
          <cell r="K189">
            <v>0</v>
          </cell>
          <cell r="L189">
            <v>0</v>
          </cell>
          <cell r="M189">
            <v>0</v>
          </cell>
          <cell r="P189" t="str">
            <v>no recovery</v>
          </cell>
          <cell r="Q189" t="str">
            <v>no</v>
          </cell>
          <cell r="R189" t="str">
            <v>none</v>
          </cell>
          <cell r="S189" t="str">
            <v>R</v>
          </cell>
          <cell r="T189" t="str">
            <v>R (QD-TEC)</v>
          </cell>
          <cell r="V189">
            <v>72</v>
          </cell>
          <cell r="W189">
            <v>0</v>
          </cell>
          <cell r="X189">
            <v>289.20999999999998</v>
          </cell>
          <cell r="Y189">
            <v>290.20999999999998</v>
          </cell>
        </row>
        <row r="190">
          <cell r="A190">
            <v>189</v>
          </cell>
          <cell r="B190">
            <v>501</v>
          </cell>
          <cell r="C190" t="str">
            <v>M0112</v>
          </cell>
          <cell r="D190" t="str">
            <v>A</v>
          </cell>
          <cell r="E190" t="str">
            <v>501_M0112_A_189R</v>
          </cell>
          <cell r="F190">
            <v>45836.055555555555</v>
          </cell>
          <cell r="G190" t="str">
            <v>KUHN</v>
          </cell>
          <cell r="H190">
            <v>290.20999999999998</v>
          </cell>
          <cell r="I190">
            <v>1</v>
          </cell>
          <cell r="J190">
            <v>291.20999999999998</v>
          </cell>
          <cell r="K190">
            <v>1</v>
          </cell>
          <cell r="L190">
            <v>0.67</v>
          </cell>
          <cell r="M190">
            <v>67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290.20999999999998</v>
          </cell>
          <cell r="Y190">
            <v>291.20999999999998</v>
          </cell>
        </row>
        <row r="191">
          <cell r="A191">
            <v>190</v>
          </cell>
          <cell r="B191">
            <v>501</v>
          </cell>
          <cell r="C191" t="str">
            <v>M0112</v>
          </cell>
          <cell r="D191" t="str">
            <v>A</v>
          </cell>
          <cell r="E191" t="str">
            <v>501_M0112_A_190R</v>
          </cell>
          <cell r="F191">
            <v>45836.083333333336</v>
          </cell>
          <cell r="G191" t="str">
            <v>KUHN</v>
          </cell>
          <cell r="H191">
            <v>291.20999999999998</v>
          </cell>
          <cell r="I191">
            <v>1</v>
          </cell>
          <cell r="J191">
            <v>292.20999999999998</v>
          </cell>
          <cell r="K191">
            <v>1</v>
          </cell>
          <cell r="L191">
            <v>0.15</v>
          </cell>
          <cell r="M191">
            <v>15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291.20999999999998</v>
          </cell>
          <cell r="Y191">
            <v>292.20999999999998</v>
          </cell>
        </row>
        <row r="192">
          <cell r="A192">
            <v>191</v>
          </cell>
          <cell r="B192">
            <v>501</v>
          </cell>
          <cell r="C192" t="str">
            <v>M0112</v>
          </cell>
          <cell r="D192" t="str">
            <v>A</v>
          </cell>
          <cell r="E192" t="str">
            <v>501_M0112_A_191R</v>
          </cell>
          <cell r="F192">
            <v>45836.104166666664</v>
          </cell>
          <cell r="G192" t="str">
            <v>KUHN</v>
          </cell>
          <cell r="H192">
            <v>292.20999999999998</v>
          </cell>
          <cell r="I192">
            <v>0.5</v>
          </cell>
          <cell r="J192">
            <v>292.70999999999998</v>
          </cell>
          <cell r="K192">
            <v>1</v>
          </cell>
          <cell r="L192">
            <v>0.14000000000000001</v>
          </cell>
          <cell r="M192">
            <v>28</v>
          </cell>
          <cell r="Q192" t="str">
            <v>yes</v>
          </cell>
          <cell r="R192" t="str">
            <v>all</v>
          </cell>
          <cell r="S192" t="str">
            <v>R</v>
          </cell>
          <cell r="T192" t="str">
            <v>R (QD-TEC)</v>
          </cell>
          <cell r="V192">
            <v>72</v>
          </cell>
          <cell r="W192">
            <v>0</v>
          </cell>
          <cell r="X192">
            <v>292.20999999999998</v>
          </cell>
          <cell r="Y192">
            <v>292.70999999999998</v>
          </cell>
        </row>
        <row r="193">
          <cell r="A193">
            <v>192</v>
          </cell>
          <cell r="B193">
            <v>501</v>
          </cell>
          <cell r="C193" t="str">
            <v>M0112</v>
          </cell>
          <cell r="D193" t="str">
            <v>A</v>
          </cell>
          <cell r="E193" t="str">
            <v>501_M0112_A_192O</v>
          </cell>
          <cell r="F193">
            <v>45836.128472222219</v>
          </cell>
          <cell r="G193" t="str">
            <v>KUHN</v>
          </cell>
          <cell r="H193">
            <v>292.70999999999998</v>
          </cell>
          <cell r="I193">
            <v>1.25</v>
          </cell>
          <cell r="J193">
            <v>293.95999999999998</v>
          </cell>
          <cell r="K193">
            <v>0</v>
          </cell>
          <cell r="L193">
            <v>0</v>
          </cell>
          <cell r="M193">
            <v>0</v>
          </cell>
          <cell r="P193" t="str">
            <v>non-coring drill</v>
          </cell>
          <cell r="X193">
            <v>292.70999999999998</v>
          </cell>
        </row>
        <row r="194">
          <cell r="A194">
            <v>193</v>
          </cell>
          <cell r="B194">
            <v>501</v>
          </cell>
          <cell r="C194" t="str">
            <v>M0112</v>
          </cell>
          <cell r="D194" t="str">
            <v>A</v>
          </cell>
          <cell r="E194" t="str">
            <v>501_M0112_A_193R</v>
          </cell>
          <cell r="F194">
            <v>45836.170138888891</v>
          </cell>
          <cell r="G194" t="str">
            <v>HK</v>
          </cell>
          <cell r="H194">
            <v>293.95999999999998</v>
          </cell>
          <cell r="I194">
            <v>0.45</v>
          </cell>
          <cell r="J194">
            <v>294.41000000000003</v>
          </cell>
          <cell r="K194">
            <v>0</v>
          </cell>
          <cell r="L194">
            <v>0</v>
          </cell>
          <cell r="M194">
            <v>0</v>
          </cell>
          <cell r="P194" t="str">
            <v>no recovery</v>
          </cell>
          <cell r="X194">
            <v>293.95999999999998</v>
          </cell>
        </row>
        <row r="195">
          <cell r="A195">
            <v>194</v>
          </cell>
          <cell r="B195">
            <v>501</v>
          </cell>
          <cell r="C195" t="str">
            <v>M0112</v>
          </cell>
          <cell r="D195" t="str">
            <v>A</v>
          </cell>
          <cell r="E195" t="str">
            <v>501_M0112_A_194R</v>
          </cell>
          <cell r="F195">
            <v>45836.208333333336</v>
          </cell>
          <cell r="G195" t="str">
            <v>HK</v>
          </cell>
          <cell r="H195">
            <v>294.41000000000003</v>
          </cell>
          <cell r="I195">
            <v>1</v>
          </cell>
          <cell r="J195">
            <v>295.41000000000003</v>
          </cell>
          <cell r="K195">
            <v>1</v>
          </cell>
          <cell r="L195">
            <v>0.02</v>
          </cell>
          <cell r="M195">
            <v>2</v>
          </cell>
          <cell r="P195" t="str">
            <v>All to PAL</v>
          </cell>
          <cell r="Q195" t="str">
            <v>no</v>
          </cell>
          <cell r="R195" t="str">
            <v>none</v>
          </cell>
          <cell r="S195" t="str">
            <v>R</v>
          </cell>
          <cell r="T195" t="str">
            <v>R (QD-TEC)</v>
          </cell>
          <cell r="V195">
            <v>72</v>
          </cell>
          <cell r="W195">
            <v>0</v>
          </cell>
          <cell r="X195">
            <v>294.41000000000003</v>
          </cell>
          <cell r="Y195">
            <v>295.41000000000003</v>
          </cell>
        </row>
        <row r="196">
          <cell r="A196">
            <v>195</v>
          </cell>
          <cell r="B196">
            <v>501</v>
          </cell>
          <cell r="C196" t="str">
            <v>M0112</v>
          </cell>
          <cell r="D196" t="str">
            <v>A</v>
          </cell>
          <cell r="E196" t="str">
            <v>501_M0112_A_195R</v>
          </cell>
          <cell r="F196">
            <v>45836.25</v>
          </cell>
          <cell r="G196" t="str">
            <v>HK</v>
          </cell>
          <cell r="H196">
            <v>295.41000000000003</v>
          </cell>
          <cell r="I196">
            <v>0.25</v>
          </cell>
          <cell r="J196">
            <v>295.66000000000003</v>
          </cell>
          <cell r="K196">
            <v>1</v>
          </cell>
          <cell r="L196">
            <v>0.28999999999999998</v>
          </cell>
          <cell r="M196">
            <v>116</v>
          </cell>
          <cell r="P196" t="str">
            <v>liner stuck</v>
          </cell>
          <cell r="X196">
            <v>295.41000000000003</v>
          </cell>
        </row>
        <row r="197">
          <cell r="A197">
            <v>196</v>
          </cell>
          <cell r="B197">
            <v>501</v>
          </cell>
          <cell r="C197" t="str">
            <v>M0112</v>
          </cell>
          <cell r="D197" t="str">
            <v>A</v>
          </cell>
          <cell r="E197" t="str">
            <v>501_M0112_A_196R</v>
          </cell>
          <cell r="F197">
            <v>45836.302083333336</v>
          </cell>
          <cell r="G197" t="str">
            <v>HK</v>
          </cell>
          <cell r="H197">
            <v>295.66000000000003</v>
          </cell>
          <cell r="I197">
            <v>1.55</v>
          </cell>
          <cell r="J197">
            <v>297.20999999999998</v>
          </cell>
          <cell r="K197">
            <v>1</v>
          </cell>
          <cell r="L197">
            <v>0.84</v>
          </cell>
          <cell r="M197">
            <v>54.19</v>
          </cell>
          <cell r="Q197" t="str">
            <v>yes</v>
          </cell>
          <cell r="R197" t="str">
            <v>all</v>
          </cell>
          <cell r="S197" t="str">
            <v>R</v>
          </cell>
          <cell r="T197" t="str">
            <v>R (QD-TEC)</v>
          </cell>
          <cell r="V197">
            <v>72</v>
          </cell>
          <cell r="W197">
            <v>0</v>
          </cell>
          <cell r="X197">
            <v>295.66000000000003</v>
          </cell>
          <cell r="Y197">
            <v>297.20999999999998</v>
          </cell>
        </row>
        <row r="198">
          <cell r="A198">
            <v>197</v>
          </cell>
          <cell r="B198">
            <v>501</v>
          </cell>
          <cell r="C198" t="str">
            <v>M0112</v>
          </cell>
          <cell r="D198" t="str">
            <v>A</v>
          </cell>
          <cell r="E198" t="str">
            <v>501_M0112_A_197R</v>
          </cell>
          <cell r="F198">
            <v>45836.329861111109</v>
          </cell>
          <cell r="G198" t="str">
            <v>HK</v>
          </cell>
          <cell r="H198">
            <v>297.20999999999998</v>
          </cell>
          <cell r="I198">
            <v>1</v>
          </cell>
          <cell r="J198">
            <v>298.20999999999998</v>
          </cell>
          <cell r="K198">
            <v>1</v>
          </cell>
          <cell r="L198">
            <v>0.95</v>
          </cell>
          <cell r="M198">
            <v>95</v>
          </cell>
          <cell r="Q198" t="str">
            <v>yes</v>
          </cell>
          <cell r="R198" t="str">
            <v>all</v>
          </cell>
          <cell r="S198" t="str">
            <v>R</v>
          </cell>
          <cell r="T198" t="str">
            <v>R (QD-TEC)</v>
          </cell>
          <cell r="V198">
            <v>72</v>
          </cell>
          <cell r="W198">
            <v>0</v>
          </cell>
          <cell r="X198">
            <v>297.20999999999998</v>
          </cell>
          <cell r="Y198">
            <v>298.20999999999998</v>
          </cell>
        </row>
        <row r="199">
          <cell r="A199">
            <v>198</v>
          </cell>
          <cell r="B199">
            <v>501</v>
          </cell>
          <cell r="C199" t="str">
            <v>M0112</v>
          </cell>
          <cell r="D199" t="str">
            <v>A</v>
          </cell>
          <cell r="E199" t="str">
            <v>501_M0112_A_198R</v>
          </cell>
          <cell r="F199">
            <v>45836.364583333336</v>
          </cell>
          <cell r="G199" t="str">
            <v>HK</v>
          </cell>
          <cell r="H199">
            <v>298.20999999999998</v>
          </cell>
          <cell r="I199">
            <v>1</v>
          </cell>
          <cell r="J199">
            <v>299.20999999999998</v>
          </cell>
          <cell r="K199">
            <v>1</v>
          </cell>
          <cell r="L199">
            <v>1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R</v>
          </cell>
          <cell r="T199" t="str">
            <v>R (QD-TEC)</v>
          </cell>
          <cell r="V199">
            <v>72</v>
          </cell>
          <cell r="W199">
            <v>0</v>
          </cell>
          <cell r="X199">
            <v>298.20999999999998</v>
          </cell>
          <cell r="Y199">
            <v>299.20999999999998</v>
          </cell>
        </row>
        <row r="200">
          <cell r="A200">
            <v>199</v>
          </cell>
          <cell r="B200">
            <v>501</v>
          </cell>
          <cell r="C200" t="str">
            <v>M0112</v>
          </cell>
          <cell r="D200" t="str">
            <v>A</v>
          </cell>
          <cell r="E200" t="str">
            <v>501_M0112_A_199R</v>
          </cell>
          <cell r="F200">
            <v>45836.392361111109</v>
          </cell>
          <cell r="G200" t="str">
            <v>HK</v>
          </cell>
          <cell r="H200">
            <v>299.20999999999998</v>
          </cell>
          <cell r="I200">
            <v>1</v>
          </cell>
          <cell r="J200">
            <v>300.20999999999998</v>
          </cell>
          <cell r="K200">
            <v>1</v>
          </cell>
          <cell r="L200">
            <v>0.3</v>
          </cell>
          <cell r="M200">
            <v>30</v>
          </cell>
          <cell r="Q200" t="str">
            <v>yes</v>
          </cell>
          <cell r="R200" t="str">
            <v>all</v>
          </cell>
          <cell r="S200" t="str">
            <v>R</v>
          </cell>
          <cell r="T200" t="str">
            <v>R (QD-TEC)</v>
          </cell>
          <cell r="V200">
            <v>72</v>
          </cell>
          <cell r="W200">
            <v>0</v>
          </cell>
          <cell r="X200">
            <v>299.20999999999998</v>
          </cell>
          <cell r="Y200">
            <v>300.20999999999998</v>
          </cell>
        </row>
        <row r="201">
          <cell r="A201">
            <v>200</v>
          </cell>
          <cell r="B201">
            <v>501</v>
          </cell>
          <cell r="C201" t="str">
            <v>M0112</v>
          </cell>
          <cell r="D201" t="str">
            <v>A</v>
          </cell>
          <cell r="E201" t="str">
            <v>501_M0112_A_200R</v>
          </cell>
          <cell r="F201">
            <v>45836.423611111109</v>
          </cell>
          <cell r="G201" t="str">
            <v>HK</v>
          </cell>
          <cell r="H201">
            <v>300.20999999999998</v>
          </cell>
          <cell r="I201">
            <v>1</v>
          </cell>
          <cell r="J201">
            <v>301.20999999999998</v>
          </cell>
          <cell r="K201">
            <v>1</v>
          </cell>
          <cell r="L201">
            <v>0.47</v>
          </cell>
          <cell r="M201">
            <v>47</v>
          </cell>
          <cell r="P201" t="str">
            <v>metal piece frm basket at 10cm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300.20999999999998</v>
          </cell>
          <cell r="Y201">
            <v>301.20999999999998</v>
          </cell>
        </row>
        <row r="202">
          <cell r="A202">
            <v>201</v>
          </cell>
          <cell r="B202">
            <v>501</v>
          </cell>
          <cell r="C202" t="str">
            <v>M0112</v>
          </cell>
          <cell r="D202" t="str">
            <v>A</v>
          </cell>
          <cell r="E202" t="str">
            <v>501_M0112_A_201R</v>
          </cell>
          <cell r="F202">
            <v>45836.451388888891</v>
          </cell>
          <cell r="G202" t="str">
            <v>HK</v>
          </cell>
          <cell r="H202">
            <v>301.20999999999998</v>
          </cell>
          <cell r="I202">
            <v>1</v>
          </cell>
          <cell r="J202">
            <v>302.20999999999998</v>
          </cell>
          <cell r="K202">
            <v>1</v>
          </cell>
          <cell r="L202">
            <v>7.0000000000000007E-2</v>
          </cell>
          <cell r="M202">
            <v>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301.20999999999998</v>
          </cell>
          <cell r="Y202">
            <v>302.20999999999998</v>
          </cell>
        </row>
        <row r="203">
          <cell r="A203">
            <v>202</v>
          </cell>
          <cell r="B203">
            <v>501</v>
          </cell>
          <cell r="C203" t="str">
            <v>M0112</v>
          </cell>
          <cell r="D203" t="str">
            <v>A</v>
          </cell>
          <cell r="E203" t="str">
            <v>501_M0112_A_202R</v>
          </cell>
          <cell r="F203">
            <v>45836.489583333336</v>
          </cell>
          <cell r="G203" t="str">
            <v>HK</v>
          </cell>
          <cell r="H203">
            <v>302.20999999999998</v>
          </cell>
          <cell r="I203">
            <v>1</v>
          </cell>
          <cell r="J203">
            <v>303.20999999999998</v>
          </cell>
          <cell r="K203">
            <v>1</v>
          </cell>
          <cell r="L203">
            <v>0.04</v>
          </cell>
          <cell r="M203">
            <v>4</v>
          </cell>
          <cell r="P203" t="str">
            <v>All to PAL</v>
          </cell>
          <cell r="Q203" t="str">
            <v>no</v>
          </cell>
          <cell r="R203" t="str">
            <v>none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302.20999999999998</v>
          </cell>
          <cell r="Y203">
            <v>303.20999999999998</v>
          </cell>
        </row>
        <row r="204">
          <cell r="A204">
            <v>203</v>
          </cell>
          <cell r="B204">
            <v>501</v>
          </cell>
          <cell r="C204" t="str">
            <v>M0112</v>
          </cell>
          <cell r="D204" t="str">
            <v>A</v>
          </cell>
          <cell r="E204" t="str">
            <v>501_M0112_A_203R</v>
          </cell>
          <cell r="F204">
            <v>45836.53125</v>
          </cell>
          <cell r="G204" t="str">
            <v>HK</v>
          </cell>
          <cell r="H204">
            <v>303.20999999999998</v>
          </cell>
          <cell r="I204">
            <v>1</v>
          </cell>
          <cell r="J204">
            <v>304.20999999999998</v>
          </cell>
          <cell r="K204">
            <v>0</v>
          </cell>
          <cell r="L204">
            <v>0</v>
          </cell>
          <cell r="M204">
            <v>0</v>
          </cell>
          <cell r="P204" t="str">
            <v>no recovery</v>
          </cell>
          <cell r="Q204" t="str">
            <v>no</v>
          </cell>
          <cell r="R204" t="str">
            <v>none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303.20999999999998</v>
          </cell>
          <cell r="Y204">
            <v>304.20999999999998</v>
          </cell>
        </row>
        <row r="205">
          <cell r="A205">
            <v>204</v>
          </cell>
          <cell r="B205">
            <v>501</v>
          </cell>
          <cell r="C205" t="str">
            <v>M0112</v>
          </cell>
          <cell r="D205" t="str">
            <v>A</v>
          </cell>
          <cell r="E205" t="str">
            <v>501_M0112_A_204R</v>
          </cell>
          <cell r="F205">
            <v>45836.569444444445</v>
          </cell>
          <cell r="G205" t="str">
            <v>HK</v>
          </cell>
          <cell r="H205">
            <v>304.20999999999998</v>
          </cell>
          <cell r="I205">
            <v>1</v>
          </cell>
          <cell r="J205">
            <v>305.20999999999998</v>
          </cell>
          <cell r="K205">
            <v>1</v>
          </cell>
          <cell r="L205">
            <v>1.54</v>
          </cell>
          <cell r="M205">
            <v>154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304.20999999999998</v>
          </cell>
          <cell r="Y205">
            <v>305.20999999999998</v>
          </cell>
        </row>
        <row r="206">
          <cell r="A206">
            <v>205</v>
          </cell>
          <cell r="B206">
            <v>501</v>
          </cell>
          <cell r="C206" t="str">
            <v>M0112</v>
          </cell>
          <cell r="D206" t="str">
            <v>A</v>
          </cell>
          <cell r="E206" t="str">
            <v>501_M0112_A_205R</v>
          </cell>
          <cell r="F206">
            <v>45836.597222222219</v>
          </cell>
          <cell r="G206" t="str">
            <v>HK</v>
          </cell>
          <cell r="H206">
            <v>305.20999999999998</v>
          </cell>
          <cell r="I206">
            <v>1</v>
          </cell>
          <cell r="J206">
            <v>306.20999999999998</v>
          </cell>
          <cell r="K206">
            <v>1</v>
          </cell>
          <cell r="L206">
            <v>0.94</v>
          </cell>
          <cell r="M206">
            <v>94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305.20999999999998</v>
          </cell>
          <cell r="Y206">
            <v>306.20999999999998</v>
          </cell>
        </row>
        <row r="207">
          <cell r="A207">
            <v>206</v>
          </cell>
          <cell r="B207">
            <v>501</v>
          </cell>
          <cell r="C207" t="str">
            <v>M0112</v>
          </cell>
          <cell r="D207" t="str">
            <v>A</v>
          </cell>
          <cell r="E207" t="str">
            <v>501_M0112_A_206R</v>
          </cell>
          <cell r="F207">
            <v>45836.614583333336</v>
          </cell>
          <cell r="G207" t="str">
            <v>HK</v>
          </cell>
          <cell r="H207">
            <v>306.20999999999998</v>
          </cell>
          <cell r="I207">
            <v>1</v>
          </cell>
          <cell r="J207">
            <v>307.20999999999998</v>
          </cell>
          <cell r="K207">
            <v>1</v>
          </cell>
          <cell r="L207">
            <v>0.51</v>
          </cell>
          <cell r="M207">
            <v>51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306.20999999999998</v>
          </cell>
          <cell r="Y207">
            <v>307.20999999999998</v>
          </cell>
        </row>
        <row r="208">
          <cell r="A208">
            <v>207</v>
          </cell>
          <cell r="B208">
            <v>501</v>
          </cell>
          <cell r="C208" t="str">
            <v>M0112</v>
          </cell>
          <cell r="D208" t="str">
            <v>A</v>
          </cell>
          <cell r="E208" t="str">
            <v>501_M0112_A_207R</v>
          </cell>
          <cell r="F208">
            <v>45836.642361111109</v>
          </cell>
          <cell r="G208" t="str">
            <v>HK</v>
          </cell>
          <cell r="H208">
            <v>307.20999999999998</v>
          </cell>
          <cell r="I208">
            <v>1</v>
          </cell>
          <cell r="J208">
            <v>308.20999999999998</v>
          </cell>
          <cell r="K208">
            <v>1</v>
          </cell>
          <cell r="L208">
            <v>0.01</v>
          </cell>
          <cell r="M208">
            <v>1</v>
          </cell>
          <cell r="P208" t="str">
            <v>liner crumpled</v>
          </cell>
          <cell r="X208">
            <v>307.20999999999998</v>
          </cell>
        </row>
        <row r="209">
          <cell r="A209">
            <v>208</v>
          </cell>
          <cell r="B209">
            <v>501</v>
          </cell>
          <cell r="C209" t="str">
            <v>M0112</v>
          </cell>
          <cell r="D209" t="str">
            <v>A</v>
          </cell>
          <cell r="E209" t="str">
            <v>501_M0112_A_208R</v>
          </cell>
          <cell r="F209">
            <v>45836.670138888891</v>
          </cell>
          <cell r="G209" t="str">
            <v>HK</v>
          </cell>
          <cell r="H209">
            <v>308.20999999999998</v>
          </cell>
          <cell r="I209">
            <v>1</v>
          </cell>
          <cell r="J209">
            <v>309.20999999999998</v>
          </cell>
          <cell r="K209">
            <v>0</v>
          </cell>
          <cell r="L209">
            <v>0</v>
          </cell>
          <cell r="M209">
            <v>0</v>
          </cell>
          <cell r="P209" t="str">
            <v>no recovery</v>
          </cell>
          <cell r="Q209" t="str">
            <v>no</v>
          </cell>
          <cell r="R209" t="str">
            <v>none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308.20999999999998</v>
          </cell>
          <cell r="Y209">
            <v>309.20999999999998</v>
          </cell>
        </row>
        <row r="210">
          <cell r="A210">
            <v>209</v>
          </cell>
          <cell r="B210">
            <v>501</v>
          </cell>
          <cell r="C210" t="str">
            <v>M0112</v>
          </cell>
          <cell r="D210" t="str">
            <v>A</v>
          </cell>
          <cell r="E210" t="str">
            <v>501_M0112_A_209R</v>
          </cell>
          <cell r="F210">
            <v>45836.704861111109</v>
          </cell>
          <cell r="G210" t="str">
            <v>KUHN</v>
          </cell>
          <cell r="H210">
            <v>309.20999999999998</v>
          </cell>
          <cell r="I210">
            <v>1</v>
          </cell>
          <cell r="J210">
            <v>310.20999999999998</v>
          </cell>
          <cell r="K210">
            <v>1</v>
          </cell>
          <cell r="L210">
            <v>0.2</v>
          </cell>
          <cell r="M210">
            <v>20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309.20999999999998</v>
          </cell>
          <cell r="Y210">
            <v>310.20999999999998</v>
          </cell>
        </row>
        <row r="211">
          <cell r="A211">
            <v>210</v>
          </cell>
          <cell r="B211">
            <v>501</v>
          </cell>
          <cell r="C211" t="str">
            <v>M0112</v>
          </cell>
          <cell r="D211" t="str">
            <v>A</v>
          </cell>
          <cell r="E211" t="str">
            <v>501_M0112_A_210R</v>
          </cell>
          <cell r="F211">
            <v>45836.743055555555</v>
          </cell>
          <cell r="G211" t="str">
            <v>KUHN</v>
          </cell>
          <cell r="H211">
            <v>310.20999999999998</v>
          </cell>
          <cell r="I211">
            <v>1</v>
          </cell>
          <cell r="J211">
            <v>311.20999999999998</v>
          </cell>
          <cell r="K211">
            <v>1</v>
          </cell>
          <cell r="L211">
            <v>0.28000000000000003</v>
          </cell>
          <cell r="M211">
            <v>28</v>
          </cell>
          <cell r="P211" t="str">
            <v>2-3 cm core diameter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310.20999999999998</v>
          </cell>
          <cell r="Y211">
            <v>311.20999999999998</v>
          </cell>
        </row>
        <row r="212">
          <cell r="A212">
            <v>211</v>
          </cell>
          <cell r="B212">
            <v>501</v>
          </cell>
          <cell r="C212" t="str">
            <v>M0112</v>
          </cell>
          <cell r="D212" t="str">
            <v>A</v>
          </cell>
          <cell r="E212" t="str">
            <v>501_M0112_A_211R</v>
          </cell>
          <cell r="F212">
            <v>45836.791666666664</v>
          </cell>
          <cell r="G212" t="str">
            <v>KUHN</v>
          </cell>
          <cell r="H212">
            <v>311.20999999999998</v>
          </cell>
          <cell r="I212">
            <v>1</v>
          </cell>
          <cell r="J212">
            <v>312.20999999999998</v>
          </cell>
          <cell r="K212">
            <v>1</v>
          </cell>
          <cell r="L212">
            <v>0.08</v>
          </cell>
          <cell r="M212">
            <v>8</v>
          </cell>
          <cell r="Q212" t="str">
            <v>yes</v>
          </cell>
          <cell r="R212" t="str">
            <v>all</v>
          </cell>
          <cell r="S212" t="str">
            <v>R</v>
          </cell>
          <cell r="T212" t="str">
            <v>R (QD-TEC)</v>
          </cell>
          <cell r="V212">
            <v>72</v>
          </cell>
          <cell r="W212">
            <v>0</v>
          </cell>
          <cell r="X212">
            <v>311.20999999999998</v>
          </cell>
          <cell r="Y212">
            <v>312.20999999999998</v>
          </cell>
        </row>
        <row r="213">
          <cell r="A213">
            <v>212</v>
          </cell>
          <cell r="B213">
            <v>501</v>
          </cell>
          <cell r="C213" t="str">
            <v>M0112</v>
          </cell>
          <cell r="D213" t="str">
            <v>A</v>
          </cell>
          <cell r="E213" t="str">
            <v>501_M0112_A_212R</v>
          </cell>
          <cell r="F213">
            <v>45836.826388888891</v>
          </cell>
          <cell r="G213" t="str">
            <v>KUHN</v>
          </cell>
          <cell r="H213">
            <v>312.20999999999998</v>
          </cell>
          <cell r="I213">
            <v>1</v>
          </cell>
          <cell r="J213">
            <v>313.20999999999998</v>
          </cell>
          <cell r="K213">
            <v>2</v>
          </cell>
          <cell r="L213">
            <v>1.32</v>
          </cell>
          <cell r="M213">
            <v>132</v>
          </cell>
          <cell r="Q213" t="str">
            <v>yes</v>
          </cell>
          <cell r="R213" t="str">
            <v>all</v>
          </cell>
          <cell r="S213" t="str">
            <v>R</v>
          </cell>
          <cell r="T213" t="str">
            <v>R (QD-TEC)</v>
          </cell>
          <cell r="V213">
            <v>72</v>
          </cell>
          <cell r="W213">
            <v>0</v>
          </cell>
          <cell r="X213">
            <v>312.20999999999998</v>
          </cell>
          <cell r="Y213">
            <v>313.20999999999998</v>
          </cell>
        </row>
        <row r="214">
          <cell r="A214">
            <v>213</v>
          </cell>
          <cell r="B214">
            <v>501</v>
          </cell>
          <cell r="C214" t="str">
            <v>M0112</v>
          </cell>
          <cell r="D214" t="str">
            <v>A</v>
          </cell>
          <cell r="E214" t="str">
            <v>501_M0112_A_213R</v>
          </cell>
          <cell r="F214">
            <v>45836.857638888891</v>
          </cell>
          <cell r="G214" t="str">
            <v>KUHN</v>
          </cell>
          <cell r="H214">
            <v>313.20999999999998</v>
          </cell>
          <cell r="I214">
            <v>1</v>
          </cell>
          <cell r="J214">
            <v>314.20999999999998</v>
          </cell>
          <cell r="K214">
            <v>1</v>
          </cell>
          <cell r="L214">
            <v>0.01</v>
          </cell>
          <cell r="M214">
            <v>1</v>
          </cell>
          <cell r="P214" t="str">
            <v>all to PAL</v>
          </cell>
          <cell r="Q214" t="str">
            <v>no</v>
          </cell>
          <cell r="R214" t="str">
            <v>none</v>
          </cell>
          <cell r="S214" t="str">
            <v>R</v>
          </cell>
          <cell r="T214" t="str">
            <v>R (QD-TEC)</v>
          </cell>
          <cell r="V214">
            <v>72</v>
          </cell>
          <cell r="W214">
            <v>0</v>
          </cell>
          <cell r="X214">
            <v>313.20999999999998</v>
          </cell>
          <cell r="Y214">
            <v>314.20999999999998</v>
          </cell>
        </row>
        <row r="215">
          <cell r="A215">
            <v>214</v>
          </cell>
          <cell r="B215">
            <v>501</v>
          </cell>
          <cell r="C215" t="str">
            <v>M0112</v>
          </cell>
          <cell r="D215" t="str">
            <v>A</v>
          </cell>
          <cell r="E215" t="str">
            <v>501_M0112_A_214R</v>
          </cell>
          <cell r="F215">
            <v>45836.895833333336</v>
          </cell>
          <cell r="G215" t="str">
            <v>KUHN</v>
          </cell>
          <cell r="H215">
            <v>314.20999999999998</v>
          </cell>
          <cell r="I215">
            <v>1</v>
          </cell>
          <cell r="J215">
            <v>315.20999999999998</v>
          </cell>
          <cell r="K215">
            <v>2</v>
          </cell>
          <cell r="L215">
            <v>2.1800000000000002</v>
          </cell>
          <cell r="M215">
            <v>218</v>
          </cell>
          <cell r="Q215" t="str">
            <v>yes</v>
          </cell>
          <cell r="R215" t="str">
            <v>all</v>
          </cell>
          <cell r="S215" t="str">
            <v>R</v>
          </cell>
          <cell r="T215" t="str">
            <v>R (QD-TEC)</v>
          </cell>
          <cell r="V215">
            <v>72</v>
          </cell>
          <cell r="W215">
            <v>0</v>
          </cell>
          <cell r="X215">
            <v>314.20999999999998</v>
          </cell>
          <cell r="Y215">
            <v>315.20999999999998</v>
          </cell>
        </row>
        <row r="216">
          <cell r="A216">
            <v>215</v>
          </cell>
          <cell r="B216">
            <v>501</v>
          </cell>
          <cell r="C216" t="str">
            <v>M0112</v>
          </cell>
          <cell r="D216" t="str">
            <v>A</v>
          </cell>
          <cell r="E216" t="str">
            <v>501_M0112_A_215R</v>
          </cell>
          <cell r="F216">
            <v>45836.989583333336</v>
          </cell>
          <cell r="G216" t="str">
            <v>KUHN</v>
          </cell>
          <cell r="H216">
            <v>315.20999999999998</v>
          </cell>
          <cell r="I216">
            <v>2</v>
          </cell>
          <cell r="J216">
            <v>317.20999999999998</v>
          </cell>
          <cell r="K216">
            <v>2</v>
          </cell>
          <cell r="L216">
            <v>1.81</v>
          </cell>
          <cell r="M216">
            <v>90.5</v>
          </cell>
          <cell r="P216" t="str">
            <v>possible metal in core from basket</v>
          </cell>
          <cell r="Q216" t="str">
            <v>yes</v>
          </cell>
          <cell r="R216" t="str">
            <v>all</v>
          </cell>
          <cell r="S216" t="str">
            <v>R</v>
          </cell>
          <cell r="T216" t="str">
            <v>R (QD-TEC)</v>
          </cell>
          <cell r="V216">
            <v>72</v>
          </cell>
          <cell r="W216">
            <v>0</v>
          </cell>
          <cell r="X216">
            <v>315.20999999999998</v>
          </cell>
          <cell r="Y216">
            <v>317.20999999999998</v>
          </cell>
        </row>
        <row r="217">
          <cell r="A217">
            <v>216</v>
          </cell>
          <cell r="B217">
            <v>501</v>
          </cell>
          <cell r="C217" t="str">
            <v>M0112</v>
          </cell>
          <cell r="D217" t="str">
            <v>A</v>
          </cell>
          <cell r="E217" t="str">
            <v>501_M0112_A_216R</v>
          </cell>
          <cell r="F217">
            <v>45837.055555555555</v>
          </cell>
          <cell r="G217" t="str">
            <v>KUHN</v>
          </cell>
          <cell r="H217">
            <v>317.20999999999998</v>
          </cell>
          <cell r="I217">
            <v>3</v>
          </cell>
          <cell r="J217">
            <v>320.20999999999998</v>
          </cell>
          <cell r="K217">
            <v>2</v>
          </cell>
          <cell r="L217">
            <v>2.4500000000000002</v>
          </cell>
          <cell r="M217">
            <v>81.67</v>
          </cell>
          <cell r="Q217" t="str">
            <v>yes</v>
          </cell>
          <cell r="R217" t="str">
            <v>all</v>
          </cell>
          <cell r="S217" t="str">
            <v>R</v>
          </cell>
          <cell r="T217" t="str">
            <v>R (QD-TEC)</v>
          </cell>
          <cell r="V217">
            <v>72</v>
          </cell>
          <cell r="W217">
            <v>0</v>
          </cell>
          <cell r="X217">
            <v>317.20999999999998</v>
          </cell>
          <cell r="Y217">
            <v>320.20999999999998</v>
          </cell>
        </row>
        <row r="218">
          <cell r="A218">
            <v>217</v>
          </cell>
          <cell r="B218">
            <v>501</v>
          </cell>
          <cell r="C218" t="str">
            <v>M0112</v>
          </cell>
          <cell r="D218" t="str">
            <v>A</v>
          </cell>
          <cell r="E218" t="str">
            <v>501_M0112_A_217R</v>
          </cell>
          <cell r="F218">
            <v>45837.107638888891</v>
          </cell>
          <cell r="G218" t="str">
            <v>KUHN</v>
          </cell>
          <cell r="H218">
            <v>320.20999999999998</v>
          </cell>
          <cell r="I218">
            <v>2</v>
          </cell>
          <cell r="J218">
            <v>322.20999999999998</v>
          </cell>
          <cell r="K218">
            <v>2</v>
          </cell>
          <cell r="L218">
            <v>2.97</v>
          </cell>
          <cell r="M218">
            <v>148.5</v>
          </cell>
          <cell r="Q218" t="str">
            <v>yes</v>
          </cell>
          <cell r="R218" t="str">
            <v>all</v>
          </cell>
          <cell r="S218" t="str">
            <v>R</v>
          </cell>
          <cell r="T218" t="str">
            <v>R (QD-TEC)</v>
          </cell>
          <cell r="V218">
            <v>72</v>
          </cell>
          <cell r="W218">
            <v>0</v>
          </cell>
          <cell r="X218">
            <v>320.20999999999998</v>
          </cell>
          <cell r="Y218">
            <v>322.20999999999998</v>
          </cell>
        </row>
        <row r="219">
          <cell r="A219">
            <v>218</v>
          </cell>
          <cell r="B219">
            <v>501</v>
          </cell>
          <cell r="C219" t="str">
            <v>M0112</v>
          </cell>
          <cell r="D219" t="str">
            <v>A</v>
          </cell>
          <cell r="E219" t="str">
            <v>501_M0112_A_218R</v>
          </cell>
          <cell r="F219">
            <v>45837.159722222219</v>
          </cell>
          <cell r="G219" t="str">
            <v>HK</v>
          </cell>
          <cell r="H219">
            <v>322.20999999999998</v>
          </cell>
          <cell r="I219">
            <v>1.8</v>
          </cell>
          <cell r="J219">
            <v>324.01</v>
          </cell>
          <cell r="K219">
            <v>2</v>
          </cell>
          <cell r="L219">
            <v>1.87</v>
          </cell>
          <cell r="M219">
            <v>103.89</v>
          </cell>
          <cell r="Q219" t="str">
            <v>yes</v>
          </cell>
          <cell r="R219" t="str">
            <v>all</v>
          </cell>
          <cell r="S219" t="str">
            <v>R</v>
          </cell>
          <cell r="T219" t="str">
            <v>R (QD-TEC)</v>
          </cell>
          <cell r="V219">
            <v>72</v>
          </cell>
          <cell r="W219">
            <v>0</v>
          </cell>
          <cell r="X219">
            <v>322.20999999999998</v>
          </cell>
          <cell r="Y219">
            <v>324.01</v>
          </cell>
        </row>
        <row r="220">
          <cell r="A220">
            <v>219</v>
          </cell>
          <cell r="B220">
            <v>501</v>
          </cell>
          <cell r="C220" t="str">
            <v>M0112</v>
          </cell>
          <cell r="D220" t="str">
            <v>A</v>
          </cell>
          <cell r="E220" t="str">
            <v>501_M0112_A_219R</v>
          </cell>
          <cell r="F220">
            <v>45837.326388888891</v>
          </cell>
          <cell r="G220" t="str">
            <v>HK</v>
          </cell>
          <cell r="H220">
            <v>324.01</v>
          </cell>
          <cell r="I220">
            <v>2.2000000000000002</v>
          </cell>
          <cell r="J220">
            <v>326.20999999999998</v>
          </cell>
          <cell r="K220">
            <v>2</v>
          </cell>
          <cell r="L220">
            <v>1.8</v>
          </cell>
          <cell r="M220">
            <v>81.819999999999993</v>
          </cell>
          <cell r="P220" t="str">
            <v>Metal piecce from basket 8-13cm</v>
          </cell>
          <cell r="Q220" t="str">
            <v>yes</v>
          </cell>
          <cell r="R220" t="str">
            <v>all</v>
          </cell>
          <cell r="S220" t="str">
            <v>R</v>
          </cell>
          <cell r="T220" t="str">
            <v>R (QD-TEC)</v>
          </cell>
          <cell r="V220">
            <v>72</v>
          </cell>
          <cell r="W220">
            <v>0</v>
          </cell>
          <cell r="X220">
            <v>324.01</v>
          </cell>
          <cell r="Y220">
            <v>326.20999999999998</v>
          </cell>
        </row>
        <row r="221">
          <cell r="A221">
            <v>220</v>
          </cell>
          <cell r="B221">
            <v>501</v>
          </cell>
          <cell r="C221" t="str">
            <v>M0112</v>
          </cell>
          <cell r="D221" t="str">
            <v>A</v>
          </cell>
          <cell r="E221" t="str">
            <v>501_M0112_A_220R</v>
          </cell>
          <cell r="F221">
            <v>45837.385416666664</v>
          </cell>
          <cell r="G221" t="str">
            <v>HK</v>
          </cell>
          <cell r="H221">
            <v>326.20999999999998</v>
          </cell>
          <cell r="I221">
            <v>2</v>
          </cell>
          <cell r="J221">
            <v>328.21</v>
          </cell>
          <cell r="K221">
            <v>0</v>
          </cell>
          <cell r="L221">
            <v>0</v>
          </cell>
          <cell r="M221">
            <v>0</v>
          </cell>
          <cell r="P221" t="str">
            <v>no recovery</v>
          </cell>
          <cell r="Q221" t="str">
            <v>no</v>
          </cell>
          <cell r="R221" t="str">
            <v>none</v>
          </cell>
          <cell r="S221" t="str">
            <v>R</v>
          </cell>
          <cell r="T221" t="str">
            <v>R (QD-TEC)</v>
          </cell>
          <cell r="V221">
            <v>72</v>
          </cell>
          <cell r="W221">
            <v>0</v>
          </cell>
          <cell r="X221">
            <v>326.20999999999998</v>
          </cell>
          <cell r="Y221">
            <v>328.21</v>
          </cell>
        </row>
        <row r="222">
          <cell r="A222">
            <v>221</v>
          </cell>
          <cell r="B222">
            <v>501</v>
          </cell>
          <cell r="C222" t="str">
            <v>M0112</v>
          </cell>
          <cell r="D222" t="str">
            <v>A</v>
          </cell>
          <cell r="E222" t="str">
            <v>501_M0112_A_221R</v>
          </cell>
          <cell r="F222">
            <v>45837.413194444445</v>
          </cell>
          <cell r="G222" t="str">
            <v>HK</v>
          </cell>
          <cell r="H222">
            <v>328.21</v>
          </cell>
          <cell r="I222">
            <v>0.5</v>
          </cell>
          <cell r="J222">
            <v>328.71</v>
          </cell>
          <cell r="K222">
            <v>1</v>
          </cell>
          <cell r="L222">
            <v>0.28000000000000003</v>
          </cell>
          <cell r="M222">
            <v>56</v>
          </cell>
          <cell r="P222" t="str">
            <v>End Of Hole</v>
          </cell>
          <cell r="Q222" t="str">
            <v>yes</v>
          </cell>
          <cell r="R222" t="str">
            <v>all</v>
          </cell>
          <cell r="S222" t="str">
            <v>R</v>
          </cell>
          <cell r="T222" t="str">
            <v>R (QD-TEC)</v>
          </cell>
          <cell r="V222">
            <v>72</v>
          </cell>
          <cell r="W222">
            <v>0</v>
          </cell>
          <cell r="X222">
            <v>328.21</v>
          </cell>
          <cell r="Y222">
            <v>328.71</v>
          </cell>
        </row>
      </sheetData>
      <sheetData sheetId="9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B</v>
          </cell>
          <cell r="E2" t="str">
            <v>501_M0112_B_001O</v>
          </cell>
          <cell r="F2">
            <v>45840.930555555555</v>
          </cell>
          <cell r="G2" t="str">
            <v>PFAF</v>
          </cell>
          <cell r="H2">
            <v>0</v>
          </cell>
          <cell r="I2">
            <v>28.22</v>
          </cell>
          <cell r="J2">
            <v>28.22</v>
          </cell>
          <cell r="K2">
            <v>0</v>
          </cell>
          <cell r="L2">
            <v>0</v>
          </cell>
          <cell r="M2">
            <v>0</v>
          </cell>
          <cell r="P2" t="str">
            <v>open hole drilling</v>
          </cell>
          <cell r="Q2" t="str">
            <v>no</v>
          </cell>
          <cell r="R2" t="str">
            <v>none</v>
          </cell>
          <cell r="S2" t="str">
            <v>O</v>
          </cell>
          <cell r="T2" t="str">
            <v>O (QD-TEC)</v>
          </cell>
          <cell r="V2">
            <v>72</v>
          </cell>
          <cell r="W2">
            <v>0</v>
          </cell>
          <cell r="X2">
            <v>0</v>
          </cell>
          <cell r="Y2">
            <v>28.22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B</v>
          </cell>
          <cell r="E3" t="str">
            <v>501_M0112_B_002H</v>
          </cell>
          <cell r="F3">
            <v>45840.951388888891</v>
          </cell>
          <cell r="G3" t="str">
            <v>PFAF</v>
          </cell>
          <cell r="H3">
            <v>28.22</v>
          </cell>
          <cell r="I3">
            <v>2.17</v>
          </cell>
          <cell r="J3">
            <v>30.39</v>
          </cell>
          <cell r="K3">
            <v>2</v>
          </cell>
          <cell r="L3">
            <v>2.17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28.22</v>
          </cell>
          <cell r="Y3">
            <v>30.39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B</v>
          </cell>
          <cell r="E4" t="str">
            <v>501_M0112_B_003H</v>
          </cell>
          <cell r="F4">
            <v>45840.975694444445</v>
          </cell>
          <cell r="G4" t="str">
            <v>PFAF</v>
          </cell>
          <cell r="H4">
            <v>30.39</v>
          </cell>
          <cell r="I4">
            <v>1.66</v>
          </cell>
          <cell r="J4">
            <v>32.049999999999997</v>
          </cell>
          <cell r="K4">
            <v>2</v>
          </cell>
          <cell r="L4">
            <v>2.33</v>
          </cell>
          <cell r="M4">
            <v>140.36000000000001</v>
          </cell>
          <cell r="P4" t="str">
            <v>top 0.67 m was infill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30.39</v>
          </cell>
          <cell r="Y4">
            <v>32.049999999999997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B</v>
          </cell>
          <cell r="E5" t="str">
            <v>501_M0112_B_004O</v>
          </cell>
          <cell r="F5">
            <v>45841.010416666664</v>
          </cell>
          <cell r="G5" t="str">
            <v>PFAF</v>
          </cell>
          <cell r="H5">
            <v>32.049999999999997</v>
          </cell>
          <cell r="I5">
            <v>21.95</v>
          </cell>
          <cell r="J5">
            <v>54</v>
          </cell>
          <cell r="K5">
            <v>0</v>
          </cell>
          <cell r="L5">
            <v>0</v>
          </cell>
          <cell r="M5">
            <v>0</v>
          </cell>
          <cell r="P5" t="str">
            <v>open hole drilling</v>
          </cell>
          <cell r="Q5" t="str">
            <v>no</v>
          </cell>
          <cell r="R5" t="str">
            <v>none</v>
          </cell>
          <cell r="S5" t="str">
            <v>O</v>
          </cell>
          <cell r="T5" t="str">
            <v>O (QD-TEC)</v>
          </cell>
          <cell r="V5">
            <v>72</v>
          </cell>
          <cell r="W5">
            <v>0</v>
          </cell>
          <cell r="X5">
            <v>32.049999999999997</v>
          </cell>
          <cell r="Y5">
            <v>54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B</v>
          </cell>
          <cell r="E6" t="str">
            <v>501_M0112_B_005H</v>
          </cell>
          <cell r="F6">
            <v>45841.027777777781</v>
          </cell>
          <cell r="G6" t="str">
            <v>PFAF</v>
          </cell>
          <cell r="H6">
            <v>54</v>
          </cell>
          <cell r="I6">
            <v>1.52</v>
          </cell>
          <cell r="J6">
            <v>55.52</v>
          </cell>
          <cell r="K6">
            <v>2</v>
          </cell>
          <cell r="L6">
            <v>1.52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54</v>
          </cell>
          <cell r="Y6">
            <v>55.52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B</v>
          </cell>
          <cell r="E7" t="str">
            <v>501_M0112_B_006R</v>
          </cell>
          <cell r="F7">
            <v>45841.090277777781</v>
          </cell>
          <cell r="G7" t="str">
            <v>PFAF</v>
          </cell>
          <cell r="H7">
            <v>55.52</v>
          </cell>
          <cell r="I7">
            <v>1.3</v>
          </cell>
          <cell r="J7">
            <v>56.82</v>
          </cell>
          <cell r="K7">
            <v>1</v>
          </cell>
          <cell r="L7">
            <v>0.8</v>
          </cell>
          <cell r="M7">
            <v>61.54</v>
          </cell>
          <cell r="P7" t="str">
            <v>probably top 72 cm infill</v>
          </cell>
          <cell r="Q7" t="str">
            <v>yes</v>
          </cell>
          <cell r="R7" t="str">
            <v>all</v>
          </cell>
          <cell r="S7" t="str">
            <v>R</v>
          </cell>
          <cell r="T7" t="str">
            <v>R (QD-TEC)</v>
          </cell>
          <cell r="V7">
            <v>72</v>
          </cell>
          <cell r="W7">
            <v>0</v>
          </cell>
          <cell r="X7">
            <v>55.52</v>
          </cell>
          <cell r="Y7">
            <v>56.82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B</v>
          </cell>
          <cell r="E8" t="str">
            <v>501_M0112_B_007R</v>
          </cell>
          <cell r="F8">
            <v>45841.118055555555</v>
          </cell>
          <cell r="G8" t="str">
            <v>PFAF</v>
          </cell>
          <cell r="H8">
            <v>56.82</v>
          </cell>
          <cell r="I8">
            <v>1.5</v>
          </cell>
          <cell r="J8">
            <v>58.32</v>
          </cell>
          <cell r="K8">
            <v>1</v>
          </cell>
          <cell r="L8">
            <v>0.57999999999999996</v>
          </cell>
          <cell r="M8">
            <v>38.67</v>
          </cell>
          <cell r="Q8" t="str">
            <v>yes</v>
          </cell>
          <cell r="R8" t="str">
            <v>all</v>
          </cell>
          <cell r="S8" t="str">
            <v>R</v>
          </cell>
          <cell r="T8" t="str">
            <v>R (QD-TEC)</v>
          </cell>
          <cell r="V8">
            <v>72</v>
          </cell>
          <cell r="W8">
            <v>0</v>
          </cell>
          <cell r="X8">
            <v>56.82</v>
          </cell>
          <cell r="Y8">
            <v>58.32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B</v>
          </cell>
          <cell r="E9" t="str">
            <v>501_M0112_B_008R</v>
          </cell>
          <cell r="F9">
            <v>45841.142361111109</v>
          </cell>
          <cell r="G9" t="str">
            <v>PFAF</v>
          </cell>
          <cell r="H9">
            <v>58.32</v>
          </cell>
          <cell r="I9">
            <v>1.5</v>
          </cell>
          <cell r="J9">
            <v>59.82</v>
          </cell>
          <cell r="K9">
            <v>1</v>
          </cell>
          <cell r="L9">
            <v>0.4</v>
          </cell>
          <cell r="M9">
            <v>26.67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58.32</v>
          </cell>
          <cell r="Y9">
            <v>59.82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B</v>
          </cell>
          <cell r="E10" t="str">
            <v>501_M0112_B_009R</v>
          </cell>
          <cell r="F10">
            <v>45841.201388888891</v>
          </cell>
          <cell r="G10" t="str">
            <v>HK</v>
          </cell>
          <cell r="H10">
            <v>59.82</v>
          </cell>
          <cell r="I10">
            <v>1.5</v>
          </cell>
          <cell r="J10">
            <v>61.32</v>
          </cell>
          <cell r="K10">
            <v>2</v>
          </cell>
          <cell r="L10">
            <v>1.58</v>
          </cell>
          <cell r="M10">
            <v>105.33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59.82</v>
          </cell>
          <cell r="Y10">
            <v>61.32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B</v>
          </cell>
          <cell r="E11" t="str">
            <v>501_M0112_B_010R</v>
          </cell>
          <cell r="F11">
            <v>45841.25</v>
          </cell>
          <cell r="G11" t="str">
            <v>HK</v>
          </cell>
          <cell r="H11">
            <v>61.32</v>
          </cell>
          <cell r="I11">
            <v>1.9</v>
          </cell>
          <cell r="J11">
            <v>63.22</v>
          </cell>
          <cell r="K11">
            <v>1</v>
          </cell>
          <cell r="L11">
            <v>1.5</v>
          </cell>
          <cell r="M11">
            <v>78.95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61.32</v>
          </cell>
          <cell r="Y11">
            <v>63.22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B</v>
          </cell>
          <cell r="E12" t="str">
            <v>501_M0112_B_011O</v>
          </cell>
          <cell r="F12">
            <v>45842.416666666664</v>
          </cell>
          <cell r="G12" t="str">
            <v>HK</v>
          </cell>
          <cell r="H12">
            <v>63.22</v>
          </cell>
          <cell r="I12">
            <v>18.78</v>
          </cell>
          <cell r="J12">
            <v>82</v>
          </cell>
          <cell r="K12">
            <v>0</v>
          </cell>
          <cell r="L12">
            <v>0</v>
          </cell>
          <cell r="M12">
            <v>0</v>
          </cell>
          <cell r="Q12" t="str">
            <v>no</v>
          </cell>
          <cell r="R12" t="str">
            <v>none</v>
          </cell>
          <cell r="S12" t="str">
            <v>O</v>
          </cell>
          <cell r="T12" t="str">
            <v>O (QD-TEC)</v>
          </cell>
          <cell r="V12">
            <v>72</v>
          </cell>
          <cell r="W12">
            <v>0</v>
          </cell>
          <cell r="X12">
            <v>63.22</v>
          </cell>
          <cell r="Y12">
            <v>82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B</v>
          </cell>
          <cell r="E13" t="str">
            <v>501_M0112_B_012R</v>
          </cell>
          <cell r="F13">
            <v>45842.46875</v>
          </cell>
          <cell r="G13" t="str">
            <v>HK</v>
          </cell>
          <cell r="H13">
            <v>82</v>
          </cell>
          <cell r="I13">
            <v>1.5</v>
          </cell>
          <cell r="J13">
            <v>83.5</v>
          </cell>
          <cell r="K13">
            <v>1</v>
          </cell>
          <cell r="L13">
            <v>1.48</v>
          </cell>
          <cell r="M13">
            <v>98.67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82</v>
          </cell>
          <cell r="Y13">
            <v>83.5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B</v>
          </cell>
          <cell r="E14" t="str">
            <v>501_M0112_B_013R</v>
          </cell>
          <cell r="F14">
            <v>45842.524305555555</v>
          </cell>
          <cell r="G14" t="str">
            <v>HK</v>
          </cell>
          <cell r="H14">
            <v>83.5</v>
          </cell>
          <cell r="I14">
            <v>3</v>
          </cell>
          <cell r="J14">
            <v>86.5</v>
          </cell>
          <cell r="K14">
            <v>2</v>
          </cell>
          <cell r="L14">
            <v>2.52</v>
          </cell>
          <cell r="M14">
            <v>84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83.5</v>
          </cell>
          <cell r="Y14">
            <v>86.5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B</v>
          </cell>
          <cell r="E15" t="str">
            <v>501_M0112_B_014R</v>
          </cell>
          <cell r="F15">
            <v>45842.583333333336</v>
          </cell>
          <cell r="G15" t="str">
            <v>HK</v>
          </cell>
          <cell r="H15">
            <v>86.5</v>
          </cell>
          <cell r="I15">
            <v>3</v>
          </cell>
          <cell r="J15">
            <v>89.5</v>
          </cell>
          <cell r="K15">
            <v>1</v>
          </cell>
          <cell r="L15">
            <v>1.25</v>
          </cell>
          <cell r="M15">
            <v>41.67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86.5</v>
          </cell>
          <cell r="Y15">
            <v>89.5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B</v>
          </cell>
          <cell r="E16" t="str">
            <v>501_M0112_B_015R</v>
          </cell>
          <cell r="F16">
            <v>45842.638888888891</v>
          </cell>
          <cell r="G16" t="str">
            <v>HK</v>
          </cell>
          <cell r="H16">
            <v>89.5</v>
          </cell>
          <cell r="I16">
            <v>3</v>
          </cell>
          <cell r="J16">
            <v>92.5</v>
          </cell>
          <cell r="K16">
            <v>2</v>
          </cell>
          <cell r="L16">
            <v>2.77</v>
          </cell>
          <cell r="M16">
            <v>92.33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89.5</v>
          </cell>
          <cell r="Y16">
            <v>92.5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B</v>
          </cell>
          <cell r="E17" t="str">
            <v>501_M0112_B_016R</v>
          </cell>
          <cell r="F17">
            <v>45842.701388888891</v>
          </cell>
          <cell r="G17" t="str">
            <v>PFAF</v>
          </cell>
          <cell r="H17">
            <v>92.5</v>
          </cell>
          <cell r="I17">
            <v>3</v>
          </cell>
          <cell r="J17">
            <v>95.5</v>
          </cell>
          <cell r="K17">
            <v>2</v>
          </cell>
          <cell r="L17">
            <v>2.41</v>
          </cell>
          <cell r="M17">
            <v>80.33</v>
          </cell>
          <cell r="P17" t="str">
            <v>metal pieces in core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92.5</v>
          </cell>
          <cell r="Y17">
            <v>95.5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B</v>
          </cell>
          <cell r="E18" t="str">
            <v>501_M0112_B_017R</v>
          </cell>
          <cell r="F18">
            <v>45842.736111111109</v>
          </cell>
          <cell r="G18" t="str">
            <v>PFAF</v>
          </cell>
          <cell r="H18">
            <v>95.5</v>
          </cell>
          <cell r="I18">
            <v>3</v>
          </cell>
          <cell r="J18">
            <v>98.5</v>
          </cell>
          <cell r="K18">
            <v>1</v>
          </cell>
          <cell r="L18">
            <v>1.41</v>
          </cell>
          <cell r="M18">
            <v>47</v>
          </cell>
          <cell r="P18" t="str">
            <v>metal pieces in core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95.5</v>
          </cell>
          <cell r="Y18">
            <v>98.5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B</v>
          </cell>
          <cell r="E19" t="str">
            <v>501_M0112_B_018R</v>
          </cell>
          <cell r="F19">
            <v>45842.760416666664</v>
          </cell>
          <cell r="G19" t="str">
            <v>PFAF</v>
          </cell>
          <cell r="H19">
            <v>98.5</v>
          </cell>
          <cell r="I19">
            <v>3</v>
          </cell>
          <cell r="J19">
            <v>101.5</v>
          </cell>
          <cell r="K19">
            <v>1</v>
          </cell>
          <cell r="L19">
            <v>0.32</v>
          </cell>
          <cell r="M19">
            <v>10.67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98.5</v>
          </cell>
          <cell r="Y19">
            <v>101.5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B</v>
          </cell>
          <cell r="E20" t="str">
            <v>501_M0112_B_019R</v>
          </cell>
          <cell r="F20">
            <v>45842.784722222219</v>
          </cell>
          <cell r="G20" t="str">
            <v>PFAF</v>
          </cell>
          <cell r="H20">
            <v>101.5</v>
          </cell>
          <cell r="I20">
            <v>1.92</v>
          </cell>
          <cell r="J20">
            <v>103.42</v>
          </cell>
          <cell r="K20">
            <v>2</v>
          </cell>
          <cell r="L20">
            <v>1.05</v>
          </cell>
          <cell r="M20">
            <v>54.69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101.5</v>
          </cell>
          <cell r="Y20">
            <v>103.42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B</v>
          </cell>
          <cell r="E21" t="str">
            <v>501_M0112_B_020R</v>
          </cell>
          <cell r="F21">
            <v>45842.809027777781</v>
          </cell>
          <cell r="G21" t="str">
            <v>PFAF</v>
          </cell>
          <cell r="H21">
            <v>103.42</v>
          </cell>
          <cell r="I21">
            <v>1.4</v>
          </cell>
          <cell r="J21">
            <v>104.82</v>
          </cell>
          <cell r="K21">
            <v>1</v>
          </cell>
          <cell r="L21">
            <v>0.18</v>
          </cell>
          <cell r="M21">
            <v>12.86</v>
          </cell>
          <cell r="Q21" t="str">
            <v>yes</v>
          </cell>
          <cell r="R21" t="str">
            <v>all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103.42</v>
          </cell>
          <cell r="Y21">
            <v>104.82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B</v>
          </cell>
          <cell r="E22" t="str">
            <v>501_M0112_B_021R</v>
          </cell>
          <cell r="F22">
            <v>45842.833333333336</v>
          </cell>
          <cell r="G22" t="str">
            <v>PFAF</v>
          </cell>
          <cell r="H22">
            <v>104.82</v>
          </cell>
          <cell r="I22">
            <v>3</v>
          </cell>
          <cell r="J22">
            <v>107.82</v>
          </cell>
          <cell r="K22">
            <v>1</v>
          </cell>
          <cell r="L22">
            <v>0.24</v>
          </cell>
          <cell r="M22">
            <v>8</v>
          </cell>
          <cell r="Q22" t="str">
            <v>yes</v>
          </cell>
          <cell r="R22" t="str">
            <v>all</v>
          </cell>
          <cell r="S22" t="str">
            <v>R</v>
          </cell>
          <cell r="T22" t="str">
            <v>R (QD-TEC)</v>
          </cell>
          <cell r="V22">
            <v>72</v>
          </cell>
          <cell r="W22">
            <v>0</v>
          </cell>
          <cell r="X22">
            <v>104.82</v>
          </cell>
          <cell r="Y22">
            <v>107.82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B</v>
          </cell>
          <cell r="E23" t="str">
            <v>501_M0112_B_022R</v>
          </cell>
          <cell r="F23">
            <v>45842.857638888891</v>
          </cell>
          <cell r="G23" t="str">
            <v>PFAF</v>
          </cell>
          <cell r="H23">
            <v>107.82</v>
          </cell>
          <cell r="I23">
            <v>1.1499999999999999</v>
          </cell>
          <cell r="J23">
            <v>108.97</v>
          </cell>
          <cell r="K23">
            <v>1</v>
          </cell>
          <cell r="L23">
            <v>0.11</v>
          </cell>
          <cell r="M23">
            <v>9.57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107.82</v>
          </cell>
          <cell r="Y23">
            <v>108.97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B</v>
          </cell>
          <cell r="E24" t="str">
            <v>501_M0112_B_023R</v>
          </cell>
          <cell r="F24">
            <v>45842.878472222219</v>
          </cell>
          <cell r="G24" t="str">
            <v>PFAF</v>
          </cell>
          <cell r="H24">
            <v>108.97</v>
          </cell>
          <cell r="I24">
            <v>1.25</v>
          </cell>
          <cell r="J24">
            <v>110.22</v>
          </cell>
          <cell r="K24">
            <v>0</v>
          </cell>
          <cell r="L24">
            <v>0</v>
          </cell>
          <cell r="M24">
            <v>0</v>
          </cell>
          <cell r="P24" t="str">
            <v>no recovery - mudsample for ROBIR</v>
          </cell>
          <cell r="Q24" t="str">
            <v>no</v>
          </cell>
          <cell r="R24" t="str">
            <v>none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108.97</v>
          </cell>
          <cell r="Y24">
            <v>110.22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B</v>
          </cell>
          <cell r="E25" t="str">
            <v>501_M0112_B_024R</v>
          </cell>
          <cell r="F25">
            <v>45842.899305555555</v>
          </cell>
          <cell r="G25" t="str">
            <v>PFAF</v>
          </cell>
          <cell r="H25">
            <v>110.22</v>
          </cell>
          <cell r="I25">
            <v>0.6</v>
          </cell>
          <cell r="J25">
            <v>110.82</v>
          </cell>
          <cell r="K25">
            <v>1</v>
          </cell>
          <cell r="L25">
            <v>0.55000000000000004</v>
          </cell>
          <cell r="M25">
            <v>91.67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110.22</v>
          </cell>
          <cell r="Y25">
            <v>110.82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B</v>
          </cell>
          <cell r="E26" t="str">
            <v>501_M0112_B_025O</v>
          </cell>
          <cell r="F26">
            <v>45843.21597222222</v>
          </cell>
          <cell r="G26" t="str">
            <v>HK</v>
          </cell>
          <cell r="H26">
            <v>80.819999999999993</v>
          </cell>
          <cell r="I26">
            <v>30</v>
          </cell>
          <cell r="J26">
            <v>110.82</v>
          </cell>
          <cell r="K26">
            <v>1</v>
          </cell>
          <cell r="L26">
            <v>30</v>
          </cell>
          <cell r="M26">
            <v>100</v>
          </cell>
          <cell r="P26" t="str">
            <v>VIRTUAL CORE. Pump test</v>
          </cell>
          <cell r="X26">
            <v>80.819999999999993</v>
          </cell>
          <cell r="Y26">
            <v>110.82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B</v>
          </cell>
          <cell r="E27" t="str">
            <v>501_M0112_B_026O</v>
          </cell>
          <cell r="F27">
            <v>45844.736111111109</v>
          </cell>
          <cell r="G27" t="str">
            <v>PFAF</v>
          </cell>
          <cell r="H27">
            <v>110.82</v>
          </cell>
          <cell r="I27">
            <v>27.18</v>
          </cell>
          <cell r="J27">
            <v>138</v>
          </cell>
          <cell r="K27">
            <v>0</v>
          </cell>
          <cell r="L27">
            <v>0</v>
          </cell>
          <cell r="M27">
            <v>0</v>
          </cell>
          <cell r="P27" t="str">
            <v>open hole drilling</v>
          </cell>
          <cell r="X27">
            <v>110.82</v>
          </cell>
          <cell r="Y27">
            <v>138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B</v>
          </cell>
          <cell r="E28" t="str">
            <v>501_M0112_B_027R</v>
          </cell>
          <cell r="F28">
            <v>45844.760416666664</v>
          </cell>
          <cell r="G28" t="str">
            <v>PFAF</v>
          </cell>
          <cell r="H28">
            <v>138</v>
          </cell>
          <cell r="I28">
            <v>3</v>
          </cell>
          <cell r="J28">
            <v>141</v>
          </cell>
          <cell r="K28">
            <v>2</v>
          </cell>
          <cell r="L28">
            <v>2.66</v>
          </cell>
          <cell r="M28">
            <v>88.67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138</v>
          </cell>
          <cell r="Y28">
            <v>141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B</v>
          </cell>
          <cell r="E29" t="str">
            <v>501_M0112_B_028R</v>
          </cell>
          <cell r="F29">
            <v>45844.78125</v>
          </cell>
          <cell r="G29" t="str">
            <v>PFAF</v>
          </cell>
          <cell r="H29">
            <v>141</v>
          </cell>
          <cell r="I29">
            <v>3</v>
          </cell>
          <cell r="J29">
            <v>144</v>
          </cell>
          <cell r="K29">
            <v>3</v>
          </cell>
          <cell r="L29">
            <v>3.14</v>
          </cell>
          <cell r="M29">
            <v>104.67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141</v>
          </cell>
          <cell r="Y29">
            <v>144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B</v>
          </cell>
          <cell r="E30" t="str">
            <v>501_M0112_B_029R</v>
          </cell>
          <cell r="F30">
            <v>45844.809027777781</v>
          </cell>
          <cell r="G30" t="str">
            <v>PFAF</v>
          </cell>
          <cell r="H30">
            <v>144</v>
          </cell>
          <cell r="I30">
            <v>3</v>
          </cell>
          <cell r="J30">
            <v>147</v>
          </cell>
          <cell r="K30">
            <v>3</v>
          </cell>
          <cell r="L30">
            <v>3.09</v>
          </cell>
          <cell r="M30">
            <v>103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144</v>
          </cell>
          <cell r="Y30">
            <v>147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B</v>
          </cell>
          <cell r="E31" t="str">
            <v>501_M0112_B_030R</v>
          </cell>
          <cell r="F31">
            <v>45844.829861111109</v>
          </cell>
          <cell r="G31" t="str">
            <v>PFAF</v>
          </cell>
          <cell r="H31">
            <v>147</v>
          </cell>
          <cell r="I31">
            <v>2.37</v>
          </cell>
          <cell r="J31">
            <v>149.37</v>
          </cell>
          <cell r="K31">
            <v>2</v>
          </cell>
          <cell r="L31">
            <v>2.54</v>
          </cell>
          <cell r="M31">
            <v>107.17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147</v>
          </cell>
          <cell r="Y31">
            <v>149.37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B</v>
          </cell>
          <cell r="E32" t="str">
            <v>501_M0112_B_031R</v>
          </cell>
          <cell r="F32">
            <v>45844.871527777781</v>
          </cell>
          <cell r="G32" t="str">
            <v>PFAF</v>
          </cell>
          <cell r="H32">
            <v>149.37</v>
          </cell>
          <cell r="I32">
            <v>1.7</v>
          </cell>
          <cell r="J32">
            <v>151.07</v>
          </cell>
          <cell r="K32">
            <v>2</v>
          </cell>
          <cell r="L32">
            <v>1.55</v>
          </cell>
          <cell r="M32">
            <v>91.18</v>
          </cell>
          <cell r="Q32" t="str">
            <v>yes</v>
          </cell>
          <cell r="R32" t="str">
            <v>all</v>
          </cell>
          <cell r="S32" t="str">
            <v>R</v>
          </cell>
          <cell r="T32" t="str">
            <v>R (QD-TEC)</v>
          </cell>
          <cell r="V32">
            <v>72</v>
          </cell>
          <cell r="W32">
            <v>0</v>
          </cell>
          <cell r="X32">
            <v>149.37</v>
          </cell>
          <cell r="Y32">
            <v>151.07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B</v>
          </cell>
          <cell r="E33" t="str">
            <v>501_M0112_B_032O</v>
          </cell>
          <cell r="F33">
            <v>45844.9375</v>
          </cell>
          <cell r="G33" t="str">
            <v>PFAF</v>
          </cell>
          <cell r="H33">
            <v>151.07</v>
          </cell>
          <cell r="I33">
            <v>20.63</v>
          </cell>
          <cell r="J33">
            <v>171.7</v>
          </cell>
          <cell r="K33">
            <v>0</v>
          </cell>
          <cell r="L33">
            <v>0</v>
          </cell>
          <cell r="M33">
            <v>0</v>
          </cell>
          <cell r="P33" t="str">
            <v>open hole drilling</v>
          </cell>
          <cell r="X33">
            <v>151.07</v>
          </cell>
          <cell r="Y33">
            <v>171.7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B</v>
          </cell>
          <cell r="E34" t="str">
            <v>501_M0112_B_033O</v>
          </cell>
          <cell r="F34">
            <v>45844.979166666664</v>
          </cell>
          <cell r="G34" t="str">
            <v>PFAF</v>
          </cell>
          <cell r="H34">
            <v>141.69999999999999</v>
          </cell>
          <cell r="I34">
            <v>30</v>
          </cell>
          <cell r="J34">
            <v>171.7</v>
          </cell>
          <cell r="K34">
            <v>1</v>
          </cell>
          <cell r="L34">
            <v>30</v>
          </cell>
          <cell r="M34">
            <v>100</v>
          </cell>
          <cell r="P34" t="str">
            <v>VIRTUAL CORE. Pump test</v>
          </cell>
          <cell r="X34">
            <v>141.69999999999999</v>
          </cell>
          <cell r="Y34">
            <v>171.7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B</v>
          </cell>
          <cell r="E35" t="str">
            <v>501_M0112_B_034O</v>
          </cell>
          <cell r="F35">
            <v>45847.083333333336</v>
          </cell>
          <cell r="G35" t="str">
            <v>HK</v>
          </cell>
          <cell r="H35">
            <v>171.7</v>
          </cell>
          <cell r="I35">
            <v>28.3</v>
          </cell>
          <cell r="J35">
            <v>200</v>
          </cell>
          <cell r="K35">
            <v>0</v>
          </cell>
          <cell r="L35">
            <v>0</v>
          </cell>
          <cell r="M35">
            <v>0</v>
          </cell>
          <cell r="P35" t="str">
            <v>non-coring assembly</v>
          </cell>
          <cell r="Q35" t="str">
            <v>no</v>
          </cell>
          <cell r="R35" t="str">
            <v>none</v>
          </cell>
          <cell r="S35" t="str">
            <v>O</v>
          </cell>
          <cell r="T35" t="str">
            <v>O (QD-TEC)</v>
          </cell>
          <cell r="V35">
            <v>72</v>
          </cell>
          <cell r="W35">
            <v>0</v>
          </cell>
          <cell r="X35">
            <v>171.7</v>
          </cell>
          <cell r="Y35">
            <v>200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B</v>
          </cell>
          <cell r="E36" t="str">
            <v>501_M0112_B_035R</v>
          </cell>
          <cell r="F36">
            <v>45847.559027777781</v>
          </cell>
          <cell r="G36" t="str">
            <v>HK</v>
          </cell>
          <cell r="H36">
            <v>200</v>
          </cell>
          <cell r="I36">
            <v>1.82</v>
          </cell>
          <cell r="J36">
            <v>201.82</v>
          </cell>
          <cell r="K36">
            <v>1</v>
          </cell>
          <cell r="L36">
            <v>0.27</v>
          </cell>
          <cell r="M36">
            <v>14.84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200</v>
          </cell>
          <cell r="Y36">
            <v>201.82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B</v>
          </cell>
          <cell r="E37" t="str">
            <v>501_M0112_B_036R</v>
          </cell>
          <cell r="F37">
            <v>45847.611111111109</v>
          </cell>
          <cell r="G37" t="str">
            <v>HK</v>
          </cell>
          <cell r="H37">
            <v>201.82</v>
          </cell>
          <cell r="I37">
            <v>1.5</v>
          </cell>
          <cell r="J37">
            <v>203.32</v>
          </cell>
          <cell r="K37">
            <v>1</v>
          </cell>
          <cell r="L37">
            <v>0.15</v>
          </cell>
          <cell r="M37">
            <v>10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201.82</v>
          </cell>
          <cell r="Y37">
            <v>203.32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B</v>
          </cell>
          <cell r="E38" t="str">
            <v>501_M0112_B_037R</v>
          </cell>
          <cell r="F38">
            <v>45847.635416666664</v>
          </cell>
          <cell r="G38" t="str">
            <v>HK</v>
          </cell>
          <cell r="H38">
            <v>203.32</v>
          </cell>
          <cell r="I38">
            <v>1.5</v>
          </cell>
          <cell r="J38">
            <v>204.82</v>
          </cell>
          <cell r="K38">
            <v>1</v>
          </cell>
          <cell r="L38">
            <v>0.45</v>
          </cell>
          <cell r="M38">
            <v>30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203.32</v>
          </cell>
          <cell r="Y38">
            <v>204.82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B</v>
          </cell>
          <cell r="E39" t="str">
            <v>501_M0112_B_038O</v>
          </cell>
          <cell r="F39">
            <v>45847.736111111109</v>
          </cell>
          <cell r="G39" t="str">
            <v>PFAF</v>
          </cell>
          <cell r="H39">
            <v>204.82</v>
          </cell>
          <cell r="I39">
            <v>25.5</v>
          </cell>
          <cell r="J39">
            <v>230.32</v>
          </cell>
          <cell r="K39">
            <v>0</v>
          </cell>
          <cell r="L39">
            <v>0</v>
          </cell>
          <cell r="M39">
            <v>0</v>
          </cell>
          <cell r="P39" t="str">
            <v>non-coring assembly</v>
          </cell>
          <cell r="X39">
            <v>204.82</v>
          </cell>
          <cell r="Y39">
            <v>230.32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B</v>
          </cell>
          <cell r="E40" t="str">
            <v>501_M0112_B_039R</v>
          </cell>
          <cell r="F40">
            <v>45847.75</v>
          </cell>
          <cell r="G40" t="str">
            <v>PFAF</v>
          </cell>
          <cell r="H40">
            <v>230.32</v>
          </cell>
          <cell r="I40">
            <v>1.5</v>
          </cell>
          <cell r="J40">
            <v>231.82</v>
          </cell>
          <cell r="K40">
            <v>1</v>
          </cell>
          <cell r="L40">
            <v>1.07</v>
          </cell>
          <cell r="M40">
            <v>71.33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230.32</v>
          </cell>
          <cell r="Y40">
            <v>231.82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B</v>
          </cell>
          <cell r="E41" t="str">
            <v>501_M0112_B_040R</v>
          </cell>
          <cell r="F41">
            <v>45847.795138888891</v>
          </cell>
          <cell r="G41" t="str">
            <v>PFAF</v>
          </cell>
          <cell r="H41">
            <v>231.82</v>
          </cell>
          <cell r="I41">
            <v>3</v>
          </cell>
          <cell r="J41">
            <v>234.82</v>
          </cell>
          <cell r="K41">
            <v>2</v>
          </cell>
          <cell r="L41">
            <v>0.97</v>
          </cell>
          <cell r="M41">
            <v>32.33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231.82</v>
          </cell>
          <cell r="Y41">
            <v>234.82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B</v>
          </cell>
          <cell r="E42" t="str">
            <v>501_M0112_B_041R</v>
          </cell>
          <cell r="F42">
            <v>45847.815972222219</v>
          </cell>
          <cell r="G42" t="str">
            <v>PFAF</v>
          </cell>
          <cell r="H42">
            <v>234.82</v>
          </cell>
          <cell r="I42">
            <v>1.5</v>
          </cell>
          <cell r="J42">
            <v>236.32</v>
          </cell>
          <cell r="K42">
            <v>2</v>
          </cell>
          <cell r="L42">
            <v>1.43</v>
          </cell>
          <cell r="M42">
            <v>95.33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(QD-TEC)</v>
          </cell>
          <cell r="V42">
            <v>72</v>
          </cell>
          <cell r="W42">
            <v>0</v>
          </cell>
          <cell r="X42">
            <v>234.82</v>
          </cell>
          <cell r="Y42">
            <v>236.32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B</v>
          </cell>
          <cell r="E43" t="str">
            <v>501_M0112_B_042R</v>
          </cell>
          <cell r="F43">
            <v>45847.829861111109</v>
          </cell>
          <cell r="G43" t="str">
            <v>PFAF</v>
          </cell>
          <cell r="H43">
            <v>236.32</v>
          </cell>
          <cell r="I43">
            <v>1.5</v>
          </cell>
          <cell r="J43">
            <v>237.82</v>
          </cell>
          <cell r="K43">
            <v>2</v>
          </cell>
          <cell r="L43">
            <v>1.43</v>
          </cell>
          <cell r="M43">
            <v>95.33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(QD-TEC)</v>
          </cell>
          <cell r="V43">
            <v>72</v>
          </cell>
          <cell r="W43">
            <v>0</v>
          </cell>
          <cell r="X43">
            <v>236.32</v>
          </cell>
          <cell r="Y43">
            <v>237.82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B</v>
          </cell>
          <cell r="E44" t="str">
            <v>501_M0112_B_043R</v>
          </cell>
          <cell r="F44">
            <v>45847.861111111109</v>
          </cell>
          <cell r="G44" t="str">
            <v>PFAF</v>
          </cell>
          <cell r="H44">
            <v>237.82</v>
          </cell>
          <cell r="I44">
            <v>1.5</v>
          </cell>
          <cell r="J44">
            <v>239.32</v>
          </cell>
          <cell r="K44">
            <v>1</v>
          </cell>
          <cell r="L44">
            <v>1.08</v>
          </cell>
          <cell r="M44">
            <v>72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(QD-TEC)</v>
          </cell>
          <cell r="V44">
            <v>72</v>
          </cell>
          <cell r="W44">
            <v>0</v>
          </cell>
          <cell r="X44">
            <v>237.82</v>
          </cell>
          <cell r="Y44">
            <v>239.32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B</v>
          </cell>
          <cell r="E45" t="str">
            <v>501_M0112_B_044R</v>
          </cell>
          <cell r="F45">
            <v>45847.881944444445</v>
          </cell>
          <cell r="G45" t="str">
            <v>PFAF</v>
          </cell>
          <cell r="H45">
            <v>239.32</v>
          </cell>
          <cell r="I45">
            <v>1.5</v>
          </cell>
          <cell r="J45">
            <v>240.82</v>
          </cell>
          <cell r="K45">
            <v>1</v>
          </cell>
          <cell r="L45">
            <v>1.1200000000000001</v>
          </cell>
          <cell r="M45">
            <v>74.67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(QD-TEC)</v>
          </cell>
          <cell r="V45">
            <v>72</v>
          </cell>
          <cell r="W45">
            <v>0</v>
          </cell>
          <cell r="X45">
            <v>239.32</v>
          </cell>
          <cell r="Y45">
            <v>240.82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B</v>
          </cell>
          <cell r="E46" t="str">
            <v>501_M0112_B_045R</v>
          </cell>
          <cell r="F46">
            <v>45847.899305555555</v>
          </cell>
          <cell r="G46" t="str">
            <v>PFAF</v>
          </cell>
          <cell r="H46">
            <v>240.82</v>
          </cell>
          <cell r="I46">
            <v>1.5</v>
          </cell>
          <cell r="J46">
            <v>242.32</v>
          </cell>
          <cell r="K46">
            <v>1</v>
          </cell>
          <cell r="L46">
            <v>1.24</v>
          </cell>
          <cell r="M46">
            <v>82.67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240.82</v>
          </cell>
          <cell r="Y46">
            <v>242.32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B</v>
          </cell>
          <cell r="E47" t="str">
            <v>501_M0112_B_046R</v>
          </cell>
          <cell r="F47">
            <v>45848.038194444445</v>
          </cell>
          <cell r="G47" t="str">
            <v>PFAF</v>
          </cell>
          <cell r="H47">
            <v>242.32</v>
          </cell>
          <cell r="I47">
            <v>1.5</v>
          </cell>
          <cell r="J47">
            <v>243.82</v>
          </cell>
          <cell r="K47">
            <v>1</v>
          </cell>
          <cell r="L47">
            <v>1.43</v>
          </cell>
          <cell r="M47">
            <v>95.33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(QD-TEC)</v>
          </cell>
          <cell r="V47">
            <v>72</v>
          </cell>
          <cell r="W47">
            <v>0</v>
          </cell>
          <cell r="X47">
            <v>242.32</v>
          </cell>
          <cell r="Y47">
            <v>243.82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B</v>
          </cell>
          <cell r="E48" t="str">
            <v>501_M0112_B_047R</v>
          </cell>
          <cell r="F48">
            <v>45848.069444444445</v>
          </cell>
          <cell r="G48" t="str">
            <v>PFAF</v>
          </cell>
          <cell r="H48">
            <v>243.82</v>
          </cell>
          <cell r="I48">
            <v>1.5</v>
          </cell>
          <cell r="J48">
            <v>245.32</v>
          </cell>
          <cell r="K48">
            <v>1</v>
          </cell>
          <cell r="L48">
            <v>0.11</v>
          </cell>
          <cell r="M48">
            <v>7.33</v>
          </cell>
          <cell r="P48" t="str">
            <v>heavily disturbed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(QD-TEC)</v>
          </cell>
          <cell r="V48">
            <v>72</v>
          </cell>
          <cell r="W48">
            <v>0</v>
          </cell>
          <cell r="X48">
            <v>243.82</v>
          </cell>
          <cell r="Y48">
            <v>245.32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B</v>
          </cell>
          <cell r="E49" t="str">
            <v>501_M0112_B_048R</v>
          </cell>
          <cell r="F49">
            <v>45848.135416666664</v>
          </cell>
          <cell r="G49" t="str">
            <v>PFAF</v>
          </cell>
          <cell r="H49">
            <v>245.32</v>
          </cell>
          <cell r="I49">
            <v>1.5</v>
          </cell>
          <cell r="J49">
            <v>246.82</v>
          </cell>
          <cell r="K49">
            <v>1</v>
          </cell>
          <cell r="L49">
            <v>0.13</v>
          </cell>
          <cell r="M49">
            <v>8.67</v>
          </cell>
          <cell r="P49" t="str">
            <v>disturbed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(QD-TEC)</v>
          </cell>
          <cell r="V49">
            <v>72</v>
          </cell>
          <cell r="W49">
            <v>0</v>
          </cell>
          <cell r="X49">
            <v>245.32</v>
          </cell>
          <cell r="Y49">
            <v>246.82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B</v>
          </cell>
          <cell r="E50" t="str">
            <v>501_M0112_B_049R</v>
          </cell>
          <cell r="F50">
            <v>45848.194444444445</v>
          </cell>
          <cell r="G50" t="str">
            <v>GEPR</v>
          </cell>
          <cell r="H50">
            <v>246.82</v>
          </cell>
          <cell r="I50">
            <v>3</v>
          </cell>
          <cell r="J50">
            <v>249.82</v>
          </cell>
          <cell r="K50">
            <v>3</v>
          </cell>
          <cell r="L50">
            <v>2.0299999999999998</v>
          </cell>
          <cell r="M50">
            <v>67.67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246.82</v>
          </cell>
          <cell r="Y50">
            <v>249.82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B</v>
          </cell>
          <cell r="E51" t="str">
            <v>501_M0112_B_050R</v>
          </cell>
          <cell r="F51">
            <v>45848.229166666664</v>
          </cell>
          <cell r="G51" t="str">
            <v>GEPR</v>
          </cell>
          <cell r="H51">
            <v>249.82</v>
          </cell>
          <cell r="I51">
            <v>1</v>
          </cell>
          <cell r="J51">
            <v>250.82</v>
          </cell>
          <cell r="K51">
            <v>1</v>
          </cell>
          <cell r="L51">
            <v>0.42</v>
          </cell>
          <cell r="M51">
            <v>42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249.82</v>
          </cell>
          <cell r="Y51">
            <v>250.82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B</v>
          </cell>
          <cell r="E52" t="str">
            <v>501_M0112_B_051R</v>
          </cell>
          <cell r="F52">
            <v>45848.291666666664</v>
          </cell>
          <cell r="G52" t="str">
            <v>GEPR</v>
          </cell>
          <cell r="H52">
            <v>250.82</v>
          </cell>
          <cell r="I52">
            <v>2</v>
          </cell>
          <cell r="J52">
            <v>252.82</v>
          </cell>
          <cell r="K52">
            <v>1</v>
          </cell>
          <cell r="L52">
            <v>0.28999999999999998</v>
          </cell>
          <cell r="M52">
            <v>14.5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250.82</v>
          </cell>
          <cell r="Y52">
            <v>252.82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B</v>
          </cell>
          <cell r="E53" t="str">
            <v>501_M0112_B_052R</v>
          </cell>
          <cell r="F53">
            <v>45848.472222222219</v>
          </cell>
          <cell r="G53" t="str">
            <v>GEPR</v>
          </cell>
          <cell r="H53">
            <v>252.82</v>
          </cell>
          <cell r="I53">
            <v>1.6</v>
          </cell>
          <cell r="J53">
            <v>254.42</v>
          </cell>
          <cell r="K53">
            <v>1</v>
          </cell>
          <cell r="L53">
            <v>0.16</v>
          </cell>
          <cell r="M53">
            <v>10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252.82</v>
          </cell>
          <cell r="Y53">
            <v>254.42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B</v>
          </cell>
          <cell r="E54" t="str">
            <v>501_M0112_B_053R</v>
          </cell>
          <cell r="F54">
            <v>45848.534722222219</v>
          </cell>
          <cell r="G54" t="str">
            <v>GEPR</v>
          </cell>
          <cell r="H54">
            <v>254.42</v>
          </cell>
          <cell r="I54">
            <v>1.4</v>
          </cell>
          <cell r="J54">
            <v>255.82</v>
          </cell>
          <cell r="K54">
            <v>1</v>
          </cell>
          <cell r="L54">
            <v>0.12</v>
          </cell>
          <cell r="M54">
            <v>8.57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254.42</v>
          </cell>
          <cell r="Y54">
            <v>255.82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B</v>
          </cell>
          <cell r="E55" t="str">
            <v>501_M0112_B_054O</v>
          </cell>
          <cell r="F55">
            <v>45848.729166666664</v>
          </cell>
          <cell r="G55" t="str">
            <v>PFAF</v>
          </cell>
          <cell r="H55">
            <v>235.82</v>
          </cell>
          <cell r="I55">
            <v>20</v>
          </cell>
          <cell r="J55">
            <v>255.82</v>
          </cell>
          <cell r="K55">
            <v>1</v>
          </cell>
          <cell r="L55">
            <v>20</v>
          </cell>
          <cell r="M55">
            <v>100</v>
          </cell>
          <cell r="P55" t="str">
            <v>VIRTUAL CORE. Pump test</v>
          </cell>
          <cell r="X55">
            <v>235.82</v>
          </cell>
          <cell r="Y55">
            <v>255.82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B</v>
          </cell>
          <cell r="E56" t="str">
            <v>501_M0112_B_055O</v>
          </cell>
          <cell r="F56">
            <v>45850.152777777781</v>
          </cell>
          <cell r="G56" t="str">
            <v>PFAF</v>
          </cell>
          <cell r="H56">
            <v>255.82</v>
          </cell>
          <cell r="I56">
            <v>66</v>
          </cell>
          <cell r="J56">
            <v>321.82</v>
          </cell>
          <cell r="K56">
            <v>0</v>
          </cell>
          <cell r="L56">
            <v>0</v>
          </cell>
          <cell r="M56">
            <v>0</v>
          </cell>
          <cell r="P56" t="str">
            <v>open hole drilling</v>
          </cell>
          <cell r="X56">
            <v>255.82</v>
          </cell>
          <cell r="Y56">
            <v>321.82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B</v>
          </cell>
          <cell r="E57" t="str">
            <v>501_M0112_B_056R</v>
          </cell>
          <cell r="F57">
            <v>45850.211805555555</v>
          </cell>
          <cell r="G57" t="str">
            <v>GEPR</v>
          </cell>
          <cell r="H57">
            <v>321.82</v>
          </cell>
          <cell r="I57">
            <v>1.8</v>
          </cell>
          <cell r="J57">
            <v>323.62</v>
          </cell>
          <cell r="K57">
            <v>3</v>
          </cell>
          <cell r="L57">
            <v>1.89</v>
          </cell>
          <cell r="M57">
            <v>105</v>
          </cell>
          <cell r="Q57" t="str">
            <v>no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321.82</v>
          </cell>
          <cell r="Y57">
            <v>323.62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B</v>
          </cell>
          <cell r="E58" t="str">
            <v>501_M0112_B_057R</v>
          </cell>
          <cell r="F58">
            <v>45850.260416666664</v>
          </cell>
          <cell r="G58" t="str">
            <v>GEPR</v>
          </cell>
          <cell r="H58">
            <v>323.62</v>
          </cell>
          <cell r="I58">
            <v>1.2</v>
          </cell>
          <cell r="J58">
            <v>324.82</v>
          </cell>
          <cell r="K58">
            <v>2</v>
          </cell>
          <cell r="L58">
            <v>0.93</v>
          </cell>
          <cell r="M58">
            <v>77.5</v>
          </cell>
          <cell r="P58" t="str">
            <v>MUD sample from barrel</v>
          </cell>
          <cell r="Q58" t="str">
            <v>no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323.62</v>
          </cell>
          <cell r="Y58">
            <v>324.82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B</v>
          </cell>
          <cell r="E59" t="str">
            <v>501_M0112_B_058R</v>
          </cell>
          <cell r="F59">
            <v>45850.284722222219</v>
          </cell>
          <cell r="G59" t="str">
            <v>GEPR</v>
          </cell>
          <cell r="H59">
            <v>324.82</v>
          </cell>
          <cell r="I59">
            <v>3</v>
          </cell>
          <cell r="J59">
            <v>327.82</v>
          </cell>
          <cell r="K59">
            <v>1</v>
          </cell>
          <cell r="L59">
            <v>0.89</v>
          </cell>
          <cell r="M59">
            <v>29.67</v>
          </cell>
          <cell r="Q59" t="str">
            <v>no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324.82</v>
          </cell>
          <cell r="Y59">
            <v>327.82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B</v>
          </cell>
          <cell r="E60" t="str">
            <v>501_M0112_B_059R</v>
          </cell>
          <cell r="F60">
            <v>45850.326388888891</v>
          </cell>
          <cell r="G60" t="str">
            <v>GEPR</v>
          </cell>
          <cell r="H60">
            <v>327.82</v>
          </cell>
          <cell r="I60">
            <v>1.5</v>
          </cell>
          <cell r="J60">
            <v>329.32</v>
          </cell>
          <cell r="K60">
            <v>1</v>
          </cell>
          <cell r="L60">
            <v>0.09</v>
          </cell>
          <cell r="M60">
            <v>6</v>
          </cell>
          <cell r="Q60" t="str">
            <v>no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327.82</v>
          </cell>
          <cell r="Y60">
            <v>329.32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B</v>
          </cell>
          <cell r="E61" t="str">
            <v>501_M0112_B_060R</v>
          </cell>
          <cell r="F61">
            <v>45850.388888888891</v>
          </cell>
          <cell r="G61" t="str">
            <v>GEPR</v>
          </cell>
          <cell r="H61">
            <v>329.32</v>
          </cell>
          <cell r="I61">
            <v>1.5</v>
          </cell>
          <cell r="J61">
            <v>330.82</v>
          </cell>
          <cell r="K61">
            <v>1</v>
          </cell>
          <cell r="L61">
            <v>0.01</v>
          </cell>
          <cell r="M61">
            <v>0.67</v>
          </cell>
          <cell r="P61" t="str">
            <v>all to PAL</v>
          </cell>
          <cell r="Q61" t="str">
            <v>no</v>
          </cell>
          <cell r="R61" t="str">
            <v>none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329.32</v>
          </cell>
          <cell r="Y61">
            <v>330.82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B</v>
          </cell>
          <cell r="E62" t="str">
            <v>501_M0112_B_061R</v>
          </cell>
          <cell r="F62">
            <v>45850.427083333336</v>
          </cell>
          <cell r="G62" t="str">
            <v>GEPR</v>
          </cell>
          <cell r="H62">
            <v>330.82</v>
          </cell>
          <cell r="I62">
            <v>0.8</v>
          </cell>
          <cell r="J62">
            <v>331.62</v>
          </cell>
          <cell r="K62">
            <v>1</v>
          </cell>
          <cell r="L62">
            <v>0.62</v>
          </cell>
          <cell r="M62">
            <v>77.5</v>
          </cell>
          <cell r="Q62" t="str">
            <v>no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330.82</v>
          </cell>
          <cell r="Y62">
            <v>331.62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B</v>
          </cell>
          <cell r="E63" t="str">
            <v>501_M0112_B_062R</v>
          </cell>
          <cell r="F63">
            <v>45850.479166666664</v>
          </cell>
          <cell r="G63" t="str">
            <v>GEPR</v>
          </cell>
          <cell r="H63">
            <v>331.62</v>
          </cell>
          <cell r="I63">
            <v>2.2000000000000002</v>
          </cell>
          <cell r="J63">
            <v>333.82</v>
          </cell>
          <cell r="K63">
            <v>0</v>
          </cell>
          <cell r="L63">
            <v>0</v>
          </cell>
          <cell r="M63">
            <v>0</v>
          </cell>
          <cell r="P63" t="str">
            <v>no recovery</v>
          </cell>
          <cell r="Q63" t="str">
            <v>no</v>
          </cell>
          <cell r="R63" t="str">
            <v>none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331.62</v>
          </cell>
          <cell r="Y63">
            <v>333.82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B</v>
          </cell>
          <cell r="E64" t="str">
            <v>501_M0112_B_063R</v>
          </cell>
          <cell r="F64">
            <v>45850.517361111109</v>
          </cell>
          <cell r="G64" t="str">
            <v>GEPR</v>
          </cell>
          <cell r="H64">
            <v>333.82</v>
          </cell>
          <cell r="I64">
            <v>1.5</v>
          </cell>
          <cell r="J64">
            <v>335.32</v>
          </cell>
          <cell r="K64">
            <v>1</v>
          </cell>
          <cell r="L64">
            <v>0.84</v>
          </cell>
          <cell r="M64">
            <v>56</v>
          </cell>
          <cell r="Q64" t="str">
            <v>no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333.82</v>
          </cell>
          <cell r="Y64">
            <v>335.32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B</v>
          </cell>
          <cell r="E65" t="str">
            <v>501_M0112_B_064R</v>
          </cell>
          <cell r="F65">
            <v>45850.5625</v>
          </cell>
          <cell r="G65" t="str">
            <v>GEPR</v>
          </cell>
          <cell r="H65">
            <v>335.32</v>
          </cell>
          <cell r="I65">
            <v>1.5</v>
          </cell>
          <cell r="J65">
            <v>336.82</v>
          </cell>
          <cell r="K65">
            <v>1</v>
          </cell>
          <cell r="L65">
            <v>0.93</v>
          </cell>
          <cell r="M65">
            <v>62</v>
          </cell>
          <cell r="Q65" t="str">
            <v>no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335.32</v>
          </cell>
          <cell r="Y65">
            <v>336.82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B</v>
          </cell>
          <cell r="E66" t="str">
            <v>501_M0112_B_065R</v>
          </cell>
          <cell r="F66">
            <v>45850.586805555555</v>
          </cell>
          <cell r="G66" t="str">
            <v>GEPR</v>
          </cell>
          <cell r="H66">
            <v>336.82</v>
          </cell>
          <cell r="I66">
            <v>1.5</v>
          </cell>
          <cell r="J66">
            <v>338.32</v>
          </cell>
          <cell r="K66">
            <v>1</v>
          </cell>
          <cell r="L66">
            <v>1</v>
          </cell>
          <cell r="M66">
            <v>66.67</v>
          </cell>
          <cell r="Q66" t="str">
            <v>no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336.82</v>
          </cell>
          <cell r="Y66">
            <v>338.32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B</v>
          </cell>
          <cell r="E67" t="str">
            <v>501_M0112_B_066R</v>
          </cell>
          <cell r="F67">
            <v>45850.638888888891</v>
          </cell>
          <cell r="G67" t="str">
            <v>GEPR</v>
          </cell>
          <cell r="H67">
            <v>338.32</v>
          </cell>
          <cell r="I67">
            <v>1.5</v>
          </cell>
          <cell r="J67">
            <v>339.82</v>
          </cell>
          <cell r="K67">
            <v>0</v>
          </cell>
          <cell r="L67">
            <v>0</v>
          </cell>
          <cell r="M67">
            <v>0</v>
          </cell>
          <cell r="P67" t="str">
            <v>no recovery</v>
          </cell>
          <cell r="Q67" t="str">
            <v>no</v>
          </cell>
          <cell r="R67" t="str">
            <v>none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338.32</v>
          </cell>
          <cell r="Y67">
            <v>339.82</v>
          </cell>
        </row>
      </sheetData>
      <sheetData sheetId="10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 xml:space="preserve">Number of Core Sections 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M0113</v>
          </cell>
          <cell r="D2" t="str">
            <v>A</v>
          </cell>
          <cell r="E2" t="str">
            <v>501_M0113_A_001H</v>
          </cell>
          <cell r="F2">
            <v>45853.934027777781</v>
          </cell>
          <cell r="G2" t="str">
            <v>PFAF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M0113</v>
          </cell>
          <cell r="D3" t="str">
            <v>A</v>
          </cell>
          <cell r="E3" t="str">
            <v>501_M0113_A_002H</v>
          </cell>
          <cell r="F3">
            <v>45853.965277777781</v>
          </cell>
          <cell r="G3" t="str">
            <v>PFAF</v>
          </cell>
          <cell r="H3">
            <v>2.9</v>
          </cell>
          <cell r="I3">
            <v>2.4</v>
          </cell>
          <cell r="J3">
            <v>5.3</v>
          </cell>
          <cell r="K3">
            <v>2</v>
          </cell>
          <cell r="L3">
            <v>2.4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2.9</v>
          </cell>
          <cell r="Y3">
            <v>5.3</v>
          </cell>
        </row>
        <row r="4">
          <cell r="A4">
            <v>3</v>
          </cell>
          <cell r="B4">
            <v>501</v>
          </cell>
          <cell r="C4" t="str">
            <v>M0113</v>
          </cell>
          <cell r="D4" t="str">
            <v>A</v>
          </cell>
          <cell r="E4" t="str">
            <v>501_M0113_A_003H</v>
          </cell>
          <cell r="F4">
            <v>45853.993055555555</v>
          </cell>
          <cell r="G4" t="str">
            <v>PFAF</v>
          </cell>
          <cell r="H4">
            <v>5.3</v>
          </cell>
          <cell r="I4">
            <v>2.7</v>
          </cell>
          <cell r="J4">
            <v>8</v>
          </cell>
          <cell r="K4">
            <v>2</v>
          </cell>
          <cell r="L4">
            <v>2.7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5.3</v>
          </cell>
          <cell r="Y4">
            <v>8</v>
          </cell>
        </row>
        <row r="5">
          <cell r="A5">
            <v>4</v>
          </cell>
          <cell r="B5">
            <v>501</v>
          </cell>
          <cell r="C5" t="str">
            <v>M0113</v>
          </cell>
          <cell r="D5" t="str">
            <v>A</v>
          </cell>
          <cell r="E5" t="str">
            <v>501_M0113_A_004H</v>
          </cell>
          <cell r="F5">
            <v>45854.024305555555</v>
          </cell>
          <cell r="G5" t="str">
            <v>PFAF</v>
          </cell>
          <cell r="H5">
            <v>8</v>
          </cell>
          <cell r="I5">
            <v>2.5</v>
          </cell>
          <cell r="J5">
            <v>10.5</v>
          </cell>
          <cell r="K5">
            <v>2</v>
          </cell>
          <cell r="L5">
            <v>2.5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8</v>
          </cell>
          <cell r="Y5">
            <v>10.5</v>
          </cell>
        </row>
        <row r="6">
          <cell r="A6">
            <v>5</v>
          </cell>
          <cell r="B6">
            <v>501</v>
          </cell>
          <cell r="C6" t="str">
            <v>M0113</v>
          </cell>
          <cell r="D6" t="str">
            <v>A</v>
          </cell>
          <cell r="E6" t="str">
            <v>501_M0113_A_005H</v>
          </cell>
          <cell r="F6">
            <v>45854.059027777781</v>
          </cell>
          <cell r="G6" t="str">
            <v>PFAF</v>
          </cell>
          <cell r="H6">
            <v>10.5</v>
          </cell>
          <cell r="I6">
            <v>0.5</v>
          </cell>
          <cell r="J6">
            <v>11</v>
          </cell>
          <cell r="K6">
            <v>1</v>
          </cell>
          <cell r="L6">
            <v>0.5</v>
          </cell>
          <cell r="M6">
            <v>100</v>
          </cell>
          <cell r="P6" t="str">
            <v>watery</v>
          </cell>
          <cell r="X6">
            <v>10.5</v>
          </cell>
        </row>
        <row r="7">
          <cell r="A7">
            <v>6</v>
          </cell>
          <cell r="B7">
            <v>501</v>
          </cell>
          <cell r="C7" t="str">
            <v>M0113</v>
          </cell>
          <cell r="D7" t="str">
            <v>A</v>
          </cell>
          <cell r="E7" t="str">
            <v>501_M0113_A_006H</v>
          </cell>
          <cell r="F7">
            <v>45854.097222222219</v>
          </cell>
          <cell r="G7" t="str">
            <v>PFAF</v>
          </cell>
          <cell r="H7">
            <v>11</v>
          </cell>
          <cell r="I7">
            <v>2.77</v>
          </cell>
          <cell r="J7">
            <v>13.77</v>
          </cell>
          <cell r="K7">
            <v>2</v>
          </cell>
          <cell r="L7">
            <v>2.77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</v>
          </cell>
          <cell r="Y7">
            <v>13.77</v>
          </cell>
        </row>
        <row r="8">
          <cell r="A8">
            <v>7</v>
          </cell>
          <cell r="B8">
            <v>501</v>
          </cell>
          <cell r="C8" t="str">
            <v>M0113</v>
          </cell>
          <cell r="D8" t="str">
            <v>A</v>
          </cell>
          <cell r="E8" t="str">
            <v>501_M0113_A_007H</v>
          </cell>
          <cell r="F8">
            <v>45854.138888888891</v>
          </cell>
          <cell r="G8" t="str">
            <v>PFAF</v>
          </cell>
          <cell r="H8">
            <v>13.77</v>
          </cell>
          <cell r="I8">
            <v>2.11</v>
          </cell>
          <cell r="J8">
            <v>15.88</v>
          </cell>
          <cell r="K8">
            <v>2</v>
          </cell>
          <cell r="L8">
            <v>2.11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13.77</v>
          </cell>
          <cell r="Y8">
            <v>15.88</v>
          </cell>
        </row>
        <row r="9">
          <cell r="A9">
            <v>8</v>
          </cell>
          <cell r="B9">
            <v>501</v>
          </cell>
          <cell r="C9" t="str">
            <v>M0113</v>
          </cell>
          <cell r="D9" t="str">
            <v>A</v>
          </cell>
          <cell r="E9" t="str">
            <v>501_M0113_A_008H</v>
          </cell>
          <cell r="F9">
            <v>45854.190972222219</v>
          </cell>
          <cell r="G9" t="str">
            <v>GEPR</v>
          </cell>
          <cell r="H9">
            <v>15.88</v>
          </cell>
          <cell r="I9">
            <v>1.35</v>
          </cell>
          <cell r="J9">
            <v>17.23</v>
          </cell>
          <cell r="K9">
            <v>1</v>
          </cell>
          <cell r="L9">
            <v>1.35</v>
          </cell>
          <cell r="M9">
            <v>100</v>
          </cell>
          <cell r="P9" t="str">
            <v>disturbed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15.88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M0113</v>
          </cell>
          <cell r="D10" t="str">
            <v>A</v>
          </cell>
          <cell r="E10" t="str">
            <v>501_M0113_A_009H</v>
          </cell>
          <cell r="F10">
            <v>45854.225694444445</v>
          </cell>
          <cell r="G10" t="str">
            <v>GEPR</v>
          </cell>
          <cell r="H10">
            <v>17.23</v>
          </cell>
          <cell r="I10">
            <v>1.96</v>
          </cell>
          <cell r="J10">
            <v>19.190000000000001</v>
          </cell>
          <cell r="K10">
            <v>2</v>
          </cell>
          <cell r="L10">
            <v>1.96</v>
          </cell>
          <cell r="M10">
            <v>100</v>
          </cell>
          <cell r="P10" t="str">
            <v>disturbed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19.190000000000001</v>
          </cell>
        </row>
        <row r="11">
          <cell r="A11">
            <v>10</v>
          </cell>
          <cell r="B11">
            <v>501</v>
          </cell>
          <cell r="C11" t="str">
            <v>M0113</v>
          </cell>
          <cell r="D11" t="str">
            <v>A</v>
          </cell>
          <cell r="E11" t="str">
            <v>501_M0113_A_010H</v>
          </cell>
          <cell r="F11">
            <v>45854.256944444445</v>
          </cell>
          <cell r="G11" t="str">
            <v>GEPR</v>
          </cell>
          <cell r="H11">
            <v>19.190000000000001</v>
          </cell>
          <cell r="I11">
            <v>2.19</v>
          </cell>
          <cell r="J11">
            <v>21.38</v>
          </cell>
          <cell r="K11">
            <v>2</v>
          </cell>
          <cell r="L11">
            <v>2.19</v>
          </cell>
          <cell r="M11">
            <v>100</v>
          </cell>
          <cell r="P11" t="str">
            <v>disturbed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19.190000000000001</v>
          </cell>
          <cell r="Y11">
            <v>21.38</v>
          </cell>
        </row>
        <row r="12">
          <cell r="A12">
            <v>11</v>
          </cell>
          <cell r="B12">
            <v>501</v>
          </cell>
          <cell r="C12" t="str">
            <v>M0113</v>
          </cell>
          <cell r="D12" t="str">
            <v>A</v>
          </cell>
          <cell r="E12" t="str">
            <v>501_M0113_A_011H</v>
          </cell>
          <cell r="F12">
            <v>45854.298611111109</v>
          </cell>
          <cell r="G12" t="str">
            <v>GEPR</v>
          </cell>
          <cell r="H12">
            <v>21.38</v>
          </cell>
          <cell r="I12">
            <v>1.1299999999999999</v>
          </cell>
          <cell r="J12">
            <v>22.51</v>
          </cell>
          <cell r="K12">
            <v>2</v>
          </cell>
          <cell r="L12">
            <v>1.1299999999999999</v>
          </cell>
          <cell r="M12">
            <v>100</v>
          </cell>
          <cell r="P12" t="str">
            <v>microspheres added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21.38</v>
          </cell>
          <cell r="Y12">
            <v>22.51</v>
          </cell>
        </row>
        <row r="13">
          <cell r="A13">
            <v>12</v>
          </cell>
          <cell r="B13">
            <v>501</v>
          </cell>
          <cell r="C13" t="str">
            <v>M0113</v>
          </cell>
          <cell r="D13" t="str">
            <v>A</v>
          </cell>
          <cell r="E13" t="str">
            <v>501_M0113_A_012H</v>
          </cell>
          <cell r="F13">
            <v>45854.326388888891</v>
          </cell>
          <cell r="G13" t="str">
            <v>GEPR</v>
          </cell>
          <cell r="H13">
            <v>22.51</v>
          </cell>
          <cell r="I13">
            <v>1.51</v>
          </cell>
          <cell r="J13">
            <v>24.02</v>
          </cell>
          <cell r="K13">
            <v>1</v>
          </cell>
          <cell r="L13">
            <v>1.51</v>
          </cell>
          <cell r="M13">
            <v>100</v>
          </cell>
          <cell r="Q13" t="str">
            <v>yes</v>
          </cell>
          <cell r="R13" t="str">
            <v>all</v>
          </cell>
          <cell r="S13" t="str">
            <v>H</v>
          </cell>
          <cell r="T13" t="str">
            <v>H (QD-TEC)</v>
          </cell>
          <cell r="V13">
            <v>72</v>
          </cell>
          <cell r="W13">
            <v>0</v>
          </cell>
          <cell r="X13">
            <v>22.51</v>
          </cell>
          <cell r="Y13">
            <v>24.02</v>
          </cell>
        </row>
        <row r="14">
          <cell r="A14">
            <v>13</v>
          </cell>
          <cell r="B14">
            <v>501</v>
          </cell>
          <cell r="C14" t="str">
            <v>M0113</v>
          </cell>
          <cell r="D14" t="str">
            <v>A</v>
          </cell>
          <cell r="E14" t="str">
            <v>501_M0113_A_013H</v>
          </cell>
          <cell r="F14">
            <v>45854.350694444445</v>
          </cell>
          <cell r="G14" t="str">
            <v>GEPR</v>
          </cell>
          <cell r="H14">
            <v>24.02</v>
          </cell>
          <cell r="I14">
            <v>1.37</v>
          </cell>
          <cell r="J14">
            <v>25.39</v>
          </cell>
          <cell r="K14">
            <v>1</v>
          </cell>
          <cell r="L14">
            <v>1.37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24.02</v>
          </cell>
          <cell r="Y14">
            <v>25.39</v>
          </cell>
        </row>
        <row r="15">
          <cell r="A15">
            <v>14</v>
          </cell>
          <cell r="B15">
            <v>501</v>
          </cell>
          <cell r="C15" t="str">
            <v>M0113</v>
          </cell>
          <cell r="D15" t="str">
            <v>A</v>
          </cell>
          <cell r="E15" t="str">
            <v>501_M0113_A_014H</v>
          </cell>
          <cell r="F15">
            <v>45854.381944444445</v>
          </cell>
          <cell r="G15" t="str">
            <v>GEPR</v>
          </cell>
          <cell r="H15">
            <v>25.39</v>
          </cell>
          <cell r="I15">
            <v>1.34</v>
          </cell>
          <cell r="J15">
            <v>26.73</v>
          </cell>
          <cell r="K15">
            <v>1</v>
          </cell>
          <cell r="L15">
            <v>1.34</v>
          </cell>
          <cell r="M15">
            <v>100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25.39</v>
          </cell>
          <cell r="Y15">
            <v>26.73</v>
          </cell>
        </row>
        <row r="16">
          <cell r="A16">
            <v>15</v>
          </cell>
          <cell r="B16">
            <v>501</v>
          </cell>
          <cell r="C16" t="str">
            <v>M0113</v>
          </cell>
          <cell r="D16" t="str">
            <v>A</v>
          </cell>
          <cell r="E16" t="str">
            <v>501_M0113_A_015H</v>
          </cell>
          <cell r="F16">
            <v>45854.413194444445</v>
          </cell>
          <cell r="G16" t="str">
            <v>GEPR</v>
          </cell>
          <cell r="H16">
            <v>26.73</v>
          </cell>
          <cell r="I16">
            <v>2.0099999999999998</v>
          </cell>
          <cell r="J16">
            <v>28.74</v>
          </cell>
          <cell r="K16">
            <v>2</v>
          </cell>
          <cell r="L16">
            <v>2.0099999999999998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26.73</v>
          </cell>
          <cell r="Y16">
            <v>28.74</v>
          </cell>
        </row>
        <row r="17">
          <cell r="A17">
            <v>16</v>
          </cell>
          <cell r="B17">
            <v>501</v>
          </cell>
          <cell r="C17" t="str">
            <v>M0113</v>
          </cell>
          <cell r="D17" t="str">
            <v>A</v>
          </cell>
          <cell r="E17" t="str">
            <v>501_M0113_A_016H</v>
          </cell>
          <cell r="F17">
            <v>45854.451388888891</v>
          </cell>
          <cell r="G17" t="str">
            <v>GEPR</v>
          </cell>
          <cell r="H17">
            <v>28.74</v>
          </cell>
          <cell r="I17">
            <v>2.41</v>
          </cell>
          <cell r="J17">
            <v>31.15</v>
          </cell>
          <cell r="K17">
            <v>3</v>
          </cell>
          <cell r="L17">
            <v>2.41</v>
          </cell>
          <cell r="M17">
            <v>100</v>
          </cell>
          <cell r="P17" t="str">
            <v>MUD sample taken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28.74</v>
          </cell>
          <cell r="Y17">
            <v>31.15</v>
          </cell>
        </row>
        <row r="18">
          <cell r="A18">
            <v>17</v>
          </cell>
          <cell r="B18">
            <v>501</v>
          </cell>
          <cell r="C18" t="str">
            <v>M0113</v>
          </cell>
          <cell r="D18" t="str">
            <v>A</v>
          </cell>
          <cell r="E18" t="str">
            <v>501_M0113_A_017H</v>
          </cell>
          <cell r="F18">
            <v>45854.496527777781</v>
          </cell>
          <cell r="G18" t="str">
            <v>GEPR</v>
          </cell>
          <cell r="H18">
            <v>31.15</v>
          </cell>
          <cell r="I18">
            <v>1.88</v>
          </cell>
          <cell r="J18">
            <v>33.03</v>
          </cell>
          <cell r="K18">
            <v>2</v>
          </cell>
          <cell r="L18">
            <v>1.88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31.15</v>
          </cell>
          <cell r="Y18">
            <v>33.03</v>
          </cell>
        </row>
        <row r="19">
          <cell r="A19">
            <v>18</v>
          </cell>
          <cell r="B19">
            <v>501</v>
          </cell>
          <cell r="C19" t="str">
            <v>M0113</v>
          </cell>
          <cell r="D19" t="str">
            <v>A</v>
          </cell>
          <cell r="E19" t="str">
            <v>501_M0113_A_018H</v>
          </cell>
          <cell r="F19">
            <v>45854.53125</v>
          </cell>
          <cell r="G19" t="str">
            <v>GEPR</v>
          </cell>
          <cell r="H19">
            <v>33.03</v>
          </cell>
          <cell r="I19">
            <v>2.33</v>
          </cell>
          <cell r="J19">
            <v>35.36</v>
          </cell>
          <cell r="K19">
            <v>2</v>
          </cell>
          <cell r="L19">
            <v>2.33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33.03</v>
          </cell>
          <cell r="Y19">
            <v>35.36</v>
          </cell>
        </row>
        <row r="20">
          <cell r="A20">
            <v>19</v>
          </cell>
          <cell r="B20">
            <v>501</v>
          </cell>
          <cell r="C20" t="str">
            <v>M0113</v>
          </cell>
          <cell r="D20" t="str">
            <v>A</v>
          </cell>
          <cell r="E20" t="str">
            <v>501_M0113_A_019H</v>
          </cell>
          <cell r="F20">
            <v>45854.565972222219</v>
          </cell>
          <cell r="G20" t="str">
            <v>GEPR</v>
          </cell>
          <cell r="H20">
            <v>35.36</v>
          </cell>
          <cell r="I20">
            <v>1.27</v>
          </cell>
          <cell r="J20">
            <v>36.630000000000003</v>
          </cell>
          <cell r="K20">
            <v>1</v>
          </cell>
          <cell r="L20">
            <v>1.27</v>
          </cell>
          <cell r="M20">
            <v>100</v>
          </cell>
          <cell r="P20" t="str">
            <v>many shells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35.36</v>
          </cell>
          <cell r="Y20">
            <v>36.630000000000003</v>
          </cell>
        </row>
        <row r="21">
          <cell r="A21">
            <v>20</v>
          </cell>
          <cell r="B21">
            <v>501</v>
          </cell>
          <cell r="C21" t="str">
            <v>M0113</v>
          </cell>
          <cell r="D21" t="str">
            <v>A</v>
          </cell>
          <cell r="E21" t="str">
            <v>501_M0113_A_020H</v>
          </cell>
          <cell r="F21">
            <v>45854.59375</v>
          </cell>
          <cell r="G21" t="str">
            <v>GEPR</v>
          </cell>
          <cell r="H21">
            <v>36.630000000000003</v>
          </cell>
          <cell r="I21">
            <v>1.74</v>
          </cell>
          <cell r="J21">
            <v>38.369999999999997</v>
          </cell>
          <cell r="K21">
            <v>2</v>
          </cell>
          <cell r="L21">
            <v>1.74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36.630000000000003</v>
          </cell>
          <cell r="Y21">
            <v>38.369999999999997</v>
          </cell>
        </row>
        <row r="22">
          <cell r="A22">
            <v>21</v>
          </cell>
          <cell r="B22">
            <v>501</v>
          </cell>
          <cell r="C22" t="str">
            <v>M0113</v>
          </cell>
          <cell r="D22" t="str">
            <v>A</v>
          </cell>
          <cell r="E22" t="str">
            <v>501_M0113_A_021H</v>
          </cell>
          <cell r="F22">
            <v>45854.635416666664</v>
          </cell>
          <cell r="G22" t="str">
            <v>GEPR</v>
          </cell>
          <cell r="H22">
            <v>38.369999999999997</v>
          </cell>
          <cell r="I22">
            <v>1.93</v>
          </cell>
          <cell r="J22">
            <v>40.299999999999997</v>
          </cell>
          <cell r="K22">
            <v>2</v>
          </cell>
          <cell r="L22">
            <v>1.93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38.369999999999997</v>
          </cell>
          <cell r="Y22">
            <v>40.299999999999997</v>
          </cell>
        </row>
        <row r="23">
          <cell r="A23">
            <v>22</v>
          </cell>
          <cell r="B23">
            <v>501</v>
          </cell>
          <cell r="C23" t="str">
            <v>M0113</v>
          </cell>
          <cell r="D23" t="str">
            <v>A</v>
          </cell>
          <cell r="E23" t="str">
            <v>501_M0113_A_022H</v>
          </cell>
          <cell r="F23">
            <v>45854.690972222219</v>
          </cell>
          <cell r="G23" t="str">
            <v>PFAF</v>
          </cell>
          <cell r="H23">
            <v>40.299999999999997</v>
          </cell>
          <cell r="I23">
            <v>0.13</v>
          </cell>
          <cell r="J23">
            <v>40.43</v>
          </cell>
          <cell r="K23">
            <v>1</v>
          </cell>
          <cell r="L23">
            <v>0.13</v>
          </cell>
          <cell r="M23">
            <v>100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40.299999999999997</v>
          </cell>
          <cell r="Y23">
            <v>40.43</v>
          </cell>
        </row>
        <row r="24">
          <cell r="A24">
            <v>23</v>
          </cell>
          <cell r="B24">
            <v>501</v>
          </cell>
          <cell r="C24" t="str">
            <v>M0113</v>
          </cell>
          <cell r="D24" t="str">
            <v>A</v>
          </cell>
          <cell r="E24" t="str">
            <v>501_M0113_A_023H</v>
          </cell>
          <cell r="F24">
            <v>45854.71875</v>
          </cell>
          <cell r="G24" t="str">
            <v>PFAF</v>
          </cell>
          <cell r="H24">
            <v>40.43</v>
          </cell>
          <cell r="I24">
            <v>2.0099999999999998</v>
          </cell>
          <cell r="J24">
            <v>42.44</v>
          </cell>
          <cell r="K24">
            <v>3</v>
          </cell>
          <cell r="L24">
            <v>2.0099999999999998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40.43</v>
          </cell>
          <cell r="Y24">
            <v>42.44</v>
          </cell>
        </row>
        <row r="25">
          <cell r="A25">
            <v>24</v>
          </cell>
          <cell r="B25">
            <v>501</v>
          </cell>
          <cell r="C25" t="str">
            <v>M0113</v>
          </cell>
          <cell r="D25" t="str">
            <v>A</v>
          </cell>
          <cell r="E25" t="str">
            <v>501_M0113_A_024H</v>
          </cell>
          <cell r="F25">
            <v>45854.770833333336</v>
          </cell>
          <cell r="G25" t="str">
            <v>PFAF</v>
          </cell>
          <cell r="H25">
            <v>42.44</v>
          </cell>
          <cell r="I25">
            <v>0.13</v>
          </cell>
          <cell r="J25">
            <v>42.57</v>
          </cell>
          <cell r="K25">
            <v>1</v>
          </cell>
          <cell r="L25">
            <v>0.13</v>
          </cell>
          <cell r="M25">
            <v>100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42.44</v>
          </cell>
          <cell r="Y25">
            <v>42.57</v>
          </cell>
        </row>
        <row r="26">
          <cell r="A26">
            <v>25</v>
          </cell>
          <cell r="B26">
            <v>501</v>
          </cell>
          <cell r="C26" t="str">
            <v>M0113</v>
          </cell>
          <cell r="D26" t="str">
            <v>A</v>
          </cell>
          <cell r="E26" t="str">
            <v>501_M0113_A_025H</v>
          </cell>
          <cell r="F26">
            <v>45854.795138888891</v>
          </cell>
          <cell r="G26" t="str">
            <v>PFAF</v>
          </cell>
          <cell r="H26">
            <v>42.57</v>
          </cell>
          <cell r="I26">
            <v>1.97</v>
          </cell>
          <cell r="J26">
            <v>44.54</v>
          </cell>
          <cell r="K26">
            <v>2</v>
          </cell>
          <cell r="L26">
            <v>1.97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42.57</v>
          </cell>
          <cell r="Y26">
            <v>44.54</v>
          </cell>
        </row>
        <row r="27">
          <cell r="A27">
            <v>26</v>
          </cell>
          <cell r="B27">
            <v>501</v>
          </cell>
          <cell r="C27" t="str">
            <v>M0113</v>
          </cell>
          <cell r="D27" t="str">
            <v>A</v>
          </cell>
          <cell r="E27" t="str">
            <v>501_M0113_A_026H</v>
          </cell>
          <cell r="F27">
            <v>45854.833333333336</v>
          </cell>
          <cell r="G27" t="str">
            <v>PFAF</v>
          </cell>
          <cell r="H27">
            <v>44.54</v>
          </cell>
          <cell r="I27">
            <v>1.94</v>
          </cell>
          <cell r="J27">
            <v>46.48</v>
          </cell>
          <cell r="K27">
            <v>2</v>
          </cell>
          <cell r="L27">
            <v>1.94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44.54</v>
          </cell>
          <cell r="Y27">
            <v>46.48</v>
          </cell>
        </row>
        <row r="28">
          <cell r="A28">
            <v>27</v>
          </cell>
          <cell r="B28">
            <v>501</v>
          </cell>
          <cell r="C28" t="str">
            <v>M0113</v>
          </cell>
          <cell r="D28" t="str">
            <v>A</v>
          </cell>
          <cell r="E28" t="str">
            <v>501_M0113_A_027H</v>
          </cell>
          <cell r="F28">
            <v>45854.861111111109</v>
          </cell>
          <cell r="G28" t="str">
            <v>PFAF</v>
          </cell>
          <cell r="H28">
            <v>46.48</v>
          </cell>
          <cell r="I28">
            <v>1.99</v>
          </cell>
          <cell r="J28">
            <v>48.47</v>
          </cell>
          <cell r="K28">
            <v>2</v>
          </cell>
          <cell r="L28">
            <v>1.99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46.48</v>
          </cell>
          <cell r="Y28">
            <v>48.47</v>
          </cell>
        </row>
        <row r="29">
          <cell r="A29">
            <v>28</v>
          </cell>
          <cell r="B29">
            <v>501</v>
          </cell>
          <cell r="C29" t="str">
            <v>M0113</v>
          </cell>
          <cell r="D29" t="str">
            <v>A</v>
          </cell>
          <cell r="E29" t="str">
            <v>501_M0113_A_028H</v>
          </cell>
          <cell r="F29">
            <v>45854.902777777781</v>
          </cell>
          <cell r="G29" t="str">
            <v>PFAF</v>
          </cell>
          <cell r="H29">
            <v>48.47</v>
          </cell>
          <cell r="I29">
            <v>1.94</v>
          </cell>
          <cell r="J29">
            <v>50.41</v>
          </cell>
          <cell r="K29">
            <v>2</v>
          </cell>
          <cell r="L29">
            <v>1.94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48.47</v>
          </cell>
          <cell r="Y29">
            <v>50.41</v>
          </cell>
        </row>
        <row r="30">
          <cell r="A30">
            <v>29</v>
          </cell>
          <cell r="B30">
            <v>501</v>
          </cell>
          <cell r="C30" t="str">
            <v>M0113</v>
          </cell>
          <cell r="D30" t="str">
            <v>A</v>
          </cell>
          <cell r="E30" t="str">
            <v>501_M0113_A_029H</v>
          </cell>
          <cell r="F30">
            <v>45854.9375</v>
          </cell>
          <cell r="G30" t="str">
            <v>PFAF</v>
          </cell>
          <cell r="H30">
            <v>50.41</v>
          </cell>
          <cell r="I30">
            <v>1.5</v>
          </cell>
          <cell r="J30">
            <v>51.91</v>
          </cell>
          <cell r="K30">
            <v>1</v>
          </cell>
          <cell r="L30">
            <v>1.5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50.41</v>
          </cell>
          <cell r="Y30">
            <v>51.91</v>
          </cell>
        </row>
        <row r="31">
          <cell r="A31">
            <v>30</v>
          </cell>
          <cell r="B31">
            <v>501</v>
          </cell>
          <cell r="C31" t="str">
            <v>M0113</v>
          </cell>
          <cell r="D31" t="str">
            <v>A</v>
          </cell>
          <cell r="E31" t="str">
            <v>501_M0113_A_030H</v>
          </cell>
          <cell r="F31">
            <v>45854.96875</v>
          </cell>
          <cell r="G31" t="str">
            <v>PFAF</v>
          </cell>
          <cell r="H31">
            <v>51.91</v>
          </cell>
          <cell r="I31">
            <v>1.98</v>
          </cell>
          <cell r="J31">
            <v>53.89</v>
          </cell>
          <cell r="K31">
            <v>3</v>
          </cell>
          <cell r="L31">
            <v>1.98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51.91</v>
          </cell>
          <cell r="Y31">
            <v>53.89</v>
          </cell>
        </row>
        <row r="32">
          <cell r="A32">
            <v>31</v>
          </cell>
          <cell r="B32">
            <v>501</v>
          </cell>
          <cell r="C32" t="str">
            <v>M0113</v>
          </cell>
          <cell r="D32" t="str">
            <v>A</v>
          </cell>
          <cell r="E32" t="str">
            <v>501_M0113_A_031H</v>
          </cell>
          <cell r="F32">
            <v>45855.017361111109</v>
          </cell>
          <cell r="G32" t="str">
            <v>PFAF</v>
          </cell>
          <cell r="H32">
            <v>53.89</v>
          </cell>
          <cell r="I32">
            <v>1.1299999999999999</v>
          </cell>
          <cell r="J32">
            <v>55.02</v>
          </cell>
          <cell r="K32">
            <v>1</v>
          </cell>
          <cell r="L32">
            <v>1.1299999999999999</v>
          </cell>
          <cell r="M32">
            <v>100</v>
          </cell>
          <cell r="P32" t="str">
            <v>transferred into new liner</v>
          </cell>
          <cell r="X32">
            <v>53.89</v>
          </cell>
        </row>
        <row r="33">
          <cell r="A33">
            <v>32</v>
          </cell>
          <cell r="B33">
            <v>501</v>
          </cell>
          <cell r="C33" t="str">
            <v>M0113</v>
          </cell>
          <cell r="D33" t="str">
            <v>A</v>
          </cell>
          <cell r="E33" t="str">
            <v>501_M0113_A_032H</v>
          </cell>
          <cell r="F33">
            <v>45855.065972222219</v>
          </cell>
          <cell r="G33" t="str">
            <v>PFAF</v>
          </cell>
          <cell r="H33">
            <v>55.02</v>
          </cell>
          <cell r="I33">
            <v>2.5</v>
          </cell>
          <cell r="J33">
            <v>57.52</v>
          </cell>
          <cell r="K33">
            <v>2</v>
          </cell>
          <cell r="L33">
            <v>2.5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55.02</v>
          </cell>
          <cell r="Y33">
            <v>57.52</v>
          </cell>
        </row>
        <row r="34">
          <cell r="A34">
            <v>33</v>
          </cell>
          <cell r="B34">
            <v>501</v>
          </cell>
          <cell r="C34" t="str">
            <v>M0113</v>
          </cell>
          <cell r="D34" t="str">
            <v>A</v>
          </cell>
          <cell r="E34" t="str">
            <v>501_M0113_A_033H</v>
          </cell>
          <cell r="F34">
            <v>45856.227083333331</v>
          </cell>
          <cell r="G34" t="str">
            <v>GEPR</v>
          </cell>
          <cell r="H34">
            <v>57.52</v>
          </cell>
          <cell r="I34">
            <v>2.42</v>
          </cell>
          <cell r="J34">
            <v>59.94</v>
          </cell>
          <cell r="K34">
            <v>2</v>
          </cell>
          <cell r="L34">
            <v>2.42</v>
          </cell>
          <cell r="M34">
            <v>100</v>
          </cell>
          <cell r="P34" t="str">
            <v>slushy bottom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57.52</v>
          </cell>
          <cell r="Y34">
            <v>59.94</v>
          </cell>
        </row>
        <row r="35">
          <cell r="A35">
            <v>34</v>
          </cell>
          <cell r="B35">
            <v>501</v>
          </cell>
          <cell r="C35" t="str">
            <v>M0113</v>
          </cell>
          <cell r="D35" t="str">
            <v>A</v>
          </cell>
          <cell r="E35" t="str">
            <v>501_M0113_A_034H</v>
          </cell>
          <cell r="F35">
            <v>45856.277777777781</v>
          </cell>
          <cell r="G35" t="str">
            <v>GEPR</v>
          </cell>
          <cell r="H35">
            <v>59.94</v>
          </cell>
          <cell r="I35">
            <v>1.8</v>
          </cell>
          <cell r="J35">
            <v>61.74</v>
          </cell>
          <cell r="K35">
            <v>2</v>
          </cell>
          <cell r="L35">
            <v>1.8</v>
          </cell>
          <cell r="M35">
            <v>100</v>
          </cell>
          <cell r="Q35" t="str">
            <v>yes</v>
          </cell>
          <cell r="R35" t="str">
            <v>all</v>
          </cell>
          <cell r="S35" t="str">
            <v>H</v>
          </cell>
          <cell r="T35" t="str">
            <v>H (QD-TEC)</v>
          </cell>
          <cell r="V35">
            <v>72</v>
          </cell>
          <cell r="W35">
            <v>0</v>
          </cell>
          <cell r="X35">
            <v>59.94</v>
          </cell>
          <cell r="Y35">
            <v>61.74</v>
          </cell>
        </row>
        <row r="36">
          <cell r="A36">
            <v>35</v>
          </cell>
          <cell r="B36">
            <v>501</v>
          </cell>
          <cell r="C36" t="str">
            <v>M0113</v>
          </cell>
          <cell r="D36" t="str">
            <v>A</v>
          </cell>
          <cell r="E36" t="str">
            <v>501_M0113_A_035H</v>
          </cell>
          <cell r="F36">
            <v>45856.315972222219</v>
          </cell>
          <cell r="G36" t="str">
            <v>GEPR</v>
          </cell>
          <cell r="H36">
            <v>61.74</v>
          </cell>
          <cell r="I36">
            <v>1.94</v>
          </cell>
          <cell r="J36">
            <v>63.68</v>
          </cell>
          <cell r="K36">
            <v>2</v>
          </cell>
          <cell r="L36">
            <v>1.94</v>
          </cell>
          <cell r="M36">
            <v>100</v>
          </cell>
          <cell r="Q36" t="str">
            <v>yes</v>
          </cell>
          <cell r="R36" t="str">
            <v>all</v>
          </cell>
          <cell r="S36" t="str">
            <v>H</v>
          </cell>
          <cell r="T36" t="str">
            <v>H (QD-TEC)</v>
          </cell>
          <cell r="V36">
            <v>72</v>
          </cell>
          <cell r="W36">
            <v>0</v>
          </cell>
          <cell r="X36">
            <v>61.74</v>
          </cell>
          <cell r="Y36">
            <v>63.68</v>
          </cell>
        </row>
        <row r="37">
          <cell r="A37">
            <v>36</v>
          </cell>
          <cell r="B37">
            <v>501</v>
          </cell>
          <cell r="C37" t="str">
            <v>M0113</v>
          </cell>
          <cell r="D37" t="str">
            <v>A</v>
          </cell>
          <cell r="E37" t="str">
            <v>501_M0113_A_036H</v>
          </cell>
          <cell r="F37">
            <v>45856.350694444445</v>
          </cell>
          <cell r="G37" t="str">
            <v>GEPR</v>
          </cell>
          <cell r="H37">
            <v>63.68</v>
          </cell>
          <cell r="I37">
            <v>1.86</v>
          </cell>
          <cell r="J37">
            <v>65.540000000000006</v>
          </cell>
          <cell r="K37">
            <v>2</v>
          </cell>
          <cell r="L37">
            <v>1.86</v>
          </cell>
          <cell r="M37">
            <v>100</v>
          </cell>
          <cell r="Q37" t="str">
            <v>yes</v>
          </cell>
          <cell r="R37" t="str">
            <v>all</v>
          </cell>
          <cell r="S37" t="str">
            <v>H</v>
          </cell>
          <cell r="T37" t="str">
            <v>H (QD-TEC)</v>
          </cell>
          <cell r="V37">
            <v>72</v>
          </cell>
          <cell r="W37">
            <v>0</v>
          </cell>
          <cell r="X37">
            <v>63.68</v>
          </cell>
          <cell r="Y37">
            <v>65.540000000000006</v>
          </cell>
        </row>
        <row r="38">
          <cell r="A38">
            <v>37</v>
          </cell>
          <cell r="B38">
            <v>501</v>
          </cell>
          <cell r="C38" t="str">
            <v>M0113</v>
          </cell>
          <cell r="D38" t="str">
            <v>A</v>
          </cell>
          <cell r="E38" t="str">
            <v>501_M0113_A_037H</v>
          </cell>
          <cell r="F38">
            <v>45856.388888888891</v>
          </cell>
          <cell r="G38" t="str">
            <v>GEPR</v>
          </cell>
          <cell r="H38">
            <v>65.44</v>
          </cell>
          <cell r="I38">
            <v>1.77</v>
          </cell>
          <cell r="J38">
            <v>67.209999999999994</v>
          </cell>
          <cell r="K38">
            <v>2</v>
          </cell>
          <cell r="L38">
            <v>1.77</v>
          </cell>
          <cell r="M38">
            <v>100</v>
          </cell>
          <cell r="P38" t="str">
            <v>10cm above last core</v>
          </cell>
          <cell r="Q38" t="str">
            <v>yes</v>
          </cell>
          <cell r="R38" t="str">
            <v>all</v>
          </cell>
          <cell r="S38" t="str">
            <v>H</v>
          </cell>
          <cell r="T38" t="str">
            <v>H (QD-TEC)</v>
          </cell>
          <cell r="V38">
            <v>72</v>
          </cell>
          <cell r="W38">
            <v>0</v>
          </cell>
          <cell r="X38">
            <v>65.44</v>
          </cell>
          <cell r="Y38">
            <v>67.209999999999994</v>
          </cell>
        </row>
        <row r="39">
          <cell r="A39">
            <v>38</v>
          </cell>
          <cell r="B39">
            <v>501</v>
          </cell>
          <cell r="C39" t="str">
            <v>M0113</v>
          </cell>
          <cell r="D39" t="str">
            <v>A</v>
          </cell>
          <cell r="E39" t="str">
            <v>501_M0113_A_038H</v>
          </cell>
          <cell r="F39">
            <v>45856.416666666664</v>
          </cell>
          <cell r="G39" t="str">
            <v>GEPR</v>
          </cell>
          <cell r="H39">
            <v>67.010000000000005</v>
          </cell>
          <cell r="I39">
            <v>1.26</v>
          </cell>
          <cell r="J39">
            <v>68.27</v>
          </cell>
          <cell r="K39">
            <v>4</v>
          </cell>
          <cell r="L39">
            <v>1.26</v>
          </cell>
          <cell r="M39">
            <v>100</v>
          </cell>
          <cell r="P39" t="str">
            <v>20 cm above last core</v>
          </cell>
          <cell r="Q39" t="str">
            <v>yes</v>
          </cell>
          <cell r="R39" t="str">
            <v>all</v>
          </cell>
          <cell r="S39" t="str">
            <v>H</v>
          </cell>
          <cell r="T39" t="str">
            <v>H (QD-TEC)</v>
          </cell>
          <cell r="V39">
            <v>72</v>
          </cell>
          <cell r="W39">
            <v>0</v>
          </cell>
          <cell r="X39">
            <v>67.010000000000005</v>
          </cell>
          <cell r="Y39">
            <v>68.27</v>
          </cell>
        </row>
        <row r="40">
          <cell r="A40">
            <v>39</v>
          </cell>
          <cell r="B40">
            <v>501</v>
          </cell>
          <cell r="C40" t="str">
            <v>M0113</v>
          </cell>
          <cell r="D40" t="str">
            <v>A</v>
          </cell>
          <cell r="E40" t="str">
            <v>501_M0113_A_039R</v>
          </cell>
          <cell r="F40">
            <v>45856.517361111109</v>
          </cell>
          <cell r="G40" t="str">
            <v>GEPR</v>
          </cell>
          <cell r="H40">
            <v>68.27</v>
          </cell>
          <cell r="I40">
            <v>3</v>
          </cell>
          <cell r="J40">
            <v>71.27</v>
          </cell>
          <cell r="K40">
            <v>1</v>
          </cell>
          <cell r="L40">
            <v>0.53</v>
          </cell>
          <cell r="M40">
            <v>17.670000000000002</v>
          </cell>
          <cell r="P40" t="str">
            <v>microspheres addes</v>
          </cell>
          <cell r="X40">
            <v>68.27</v>
          </cell>
        </row>
        <row r="41">
          <cell r="A41">
            <v>40</v>
          </cell>
          <cell r="B41">
            <v>501</v>
          </cell>
          <cell r="C41" t="str">
            <v>M0113</v>
          </cell>
          <cell r="D41" t="str">
            <v>A</v>
          </cell>
          <cell r="E41" t="str">
            <v>501_M0113_A_040R</v>
          </cell>
          <cell r="F41">
            <v>45856.534722222219</v>
          </cell>
          <cell r="G41" t="str">
            <v>GEPR</v>
          </cell>
          <cell r="H41">
            <v>71.27</v>
          </cell>
          <cell r="I41">
            <v>2.13</v>
          </cell>
          <cell r="J41">
            <v>73.400000000000006</v>
          </cell>
          <cell r="K41">
            <v>0</v>
          </cell>
          <cell r="L41">
            <v>0</v>
          </cell>
          <cell r="M41">
            <v>0</v>
          </cell>
          <cell r="P41" t="str">
            <v>no recovery</v>
          </cell>
          <cell r="Q41" t="str">
            <v>yes</v>
          </cell>
          <cell r="R41" t="str">
            <v>none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71.27</v>
          </cell>
          <cell r="Y41">
            <v>73.400000000000006</v>
          </cell>
        </row>
        <row r="42">
          <cell r="A42">
            <v>41</v>
          </cell>
          <cell r="B42">
            <v>501</v>
          </cell>
          <cell r="C42" t="str">
            <v>M0113</v>
          </cell>
          <cell r="D42" t="str">
            <v>A</v>
          </cell>
          <cell r="E42" t="str">
            <v>501_M0113_A_041H</v>
          </cell>
          <cell r="F42">
            <v>45856.614583333336</v>
          </cell>
          <cell r="G42" t="str">
            <v>GEPR</v>
          </cell>
          <cell r="H42">
            <v>68.27</v>
          </cell>
          <cell r="I42">
            <v>1.36</v>
          </cell>
          <cell r="J42">
            <v>69.63</v>
          </cell>
          <cell r="K42">
            <v>1</v>
          </cell>
          <cell r="L42">
            <v>1.36</v>
          </cell>
          <cell r="M42">
            <v>100</v>
          </cell>
          <cell r="P42" t="str">
            <v>only infill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68.27</v>
          </cell>
          <cell r="Y42">
            <v>69.63</v>
          </cell>
        </row>
        <row r="43">
          <cell r="A43">
            <v>42</v>
          </cell>
          <cell r="B43">
            <v>501</v>
          </cell>
          <cell r="C43" t="str">
            <v>M0113</v>
          </cell>
          <cell r="D43" t="str">
            <v>A</v>
          </cell>
          <cell r="E43" t="str">
            <v>501_M0113_A_042H</v>
          </cell>
          <cell r="F43">
            <v>45856.649305555555</v>
          </cell>
          <cell r="G43" t="str">
            <v>GEPR</v>
          </cell>
          <cell r="H43">
            <v>79.400000000000006</v>
          </cell>
          <cell r="I43">
            <v>0.36</v>
          </cell>
          <cell r="J43">
            <v>79.760000000000005</v>
          </cell>
          <cell r="K43">
            <v>1</v>
          </cell>
          <cell r="L43">
            <v>0.36</v>
          </cell>
          <cell r="M43">
            <v>100</v>
          </cell>
          <cell r="P43" t="str">
            <v xml:space="preserve">additional drillrod </v>
          </cell>
          <cell r="Q43" t="str">
            <v>yes</v>
          </cell>
          <cell r="R43" t="str">
            <v>all</v>
          </cell>
          <cell r="S43" t="str">
            <v>H</v>
          </cell>
          <cell r="T43" t="str">
            <v>H (QD-TEC)</v>
          </cell>
          <cell r="V43">
            <v>72</v>
          </cell>
          <cell r="W43">
            <v>0</v>
          </cell>
          <cell r="X43">
            <v>79.400000000000006</v>
          </cell>
          <cell r="Y43">
            <v>79.760000000000005</v>
          </cell>
        </row>
        <row r="44">
          <cell r="A44">
            <v>43</v>
          </cell>
          <cell r="B44">
            <v>501</v>
          </cell>
          <cell r="C44" t="str">
            <v>M0113</v>
          </cell>
          <cell r="D44" t="str">
            <v>A</v>
          </cell>
          <cell r="E44" t="str">
            <v>501_M0113_A_043H</v>
          </cell>
          <cell r="F44">
            <v>45856.725694444445</v>
          </cell>
          <cell r="G44" t="str">
            <v>PFAF</v>
          </cell>
          <cell r="H44">
            <v>79.760000000000005</v>
          </cell>
          <cell r="I44">
            <v>1.32</v>
          </cell>
          <cell r="J44">
            <v>81.08</v>
          </cell>
          <cell r="K44">
            <v>2</v>
          </cell>
          <cell r="L44">
            <v>1.32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79.760000000000005</v>
          </cell>
          <cell r="Y44">
            <v>81.08</v>
          </cell>
        </row>
        <row r="45">
          <cell r="A45">
            <v>44</v>
          </cell>
          <cell r="B45">
            <v>501</v>
          </cell>
          <cell r="C45" t="str">
            <v>M0113</v>
          </cell>
          <cell r="D45" t="str">
            <v>A</v>
          </cell>
          <cell r="E45" t="str">
            <v>501_M0113_A_044H</v>
          </cell>
          <cell r="F45">
            <v>45856.756944444445</v>
          </cell>
          <cell r="G45" t="str">
            <v>PFAF</v>
          </cell>
          <cell r="H45">
            <v>81.08</v>
          </cell>
          <cell r="I45">
            <v>1.48</v>
          </cell>
          <cell r="J45">
            <v>82.56</v>
          </cell>
          <cell r="K45">
            <v>3</v>
          </cell>
          <cell r="L45">
            <v>1.48</v>
          </cell>
          <cell r="M45">
            <v>100</v>
          </cell>
          <cell r="Q45" t="str">
            <v>yes</v>
          </cell>
          <cell r="R45" t="str">
            <v>all</v>
          </cell>
          <cell r="S45" t="str">
            <v>H</v>
          </cell>
          <cell r="T45" t="str">
            <v>H (QD-TEC)</v>
          </cell>
          <cell r="V45">
            <v>72</v>
          </cell>
          <cell r="W45">
            <v>0</v>
          </cell>
          <cell r="X45">
            <v>81.08</v>
          </cell>
          <cell r="Y45">
            <v>82.56</v>
          </cell>
        </row>
        <row r="46">
          <cell r="A46">
            <v>45</v>
          </cell>
          <cell r="B46">
            <v>501</v>
          </cell>
          <cell r="C46" t="str">
            <v>M0113</v>
          </cell>
          <cell r="D46" t="str">
            <v>A</v>
          </cell>
          <cell r="E46" t="str">
            <v>501_M0113_A_045R</v>
          </cell>
          <cell r="F46">
            <v>45856.805555555555</v>
          </cell>
          <cell r="G46" t="str">
            <v>PFAF</v>
          </cell>
          <cell r="H46">
            <v>82.56</v>
          </cell>
          <cell r="I46">
            <v>1.34</v>
          </cell>
          <cell r="J46">
            <v>83.9</v>
          </cell>
          <cell r="K46">
            <v>1</v>
          </cell>
          <cell r="L46">
            <v>1.36</v>
          </cell>
          <cell r="M46">
            <v>101.49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82.56</v>
          </cell>
          <cell r="Y46">
            <v>83.9</v>
          </cell>
        </row>
        <row r="47">
          <cell r="A47">
            <v>46</v>
          </cell>
          <cell r="B47">
            <v>501</v>
          </cell>
          <cell r="C47" t="str">
            <v>M0113</v>
          </cell>
          <cell r="D47" t="str">
            <v>A</v>
          </cell>
          <cell r="E47" t="str">
            <v>501_M0113_A_046H</v>
          </cell>
          <cell r="F47">
            <v>45857.552083333336</v>
          </cell>
          <cell r="G47" t="str">
            <v>GEPR</v>
          </cell>
          <cell r="H47">
            <v>83.49</v>
          </cell>
          <cell r="I47">
            <v>1.84</v>
          </cell>
          <cell r="J47">
            <v>85.33</v>
          </cell>
          <cell r="K47">
            <v>2</v>
          </cell>
          <cell r="L47">
            <v>1.84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83.49</v>
          </cell>
          <cell r="Y47">
            <v>85.33</v>
          </cell>
        </row>
        <row r="48">
          <cell r="A48">
            <v>47</v>
          </cell>
          <cell r="B48">
            <v>501</v>
          </cell>
          <cell r="C48" t="str">
            <v>M0113</v>
          </cell>
          <cell r="D48" t="str">
            <v>A</v>
          </cell>
          <cell r="E48" t="str">
            <v>501_M0113_A_047H</v>
          </cell>
          <cell r="F48">
            <v>45857.621527777781</v>
          </cell>
          <cell r="G48" t="str">
            <v>GEPR</v>
          </cell>
          <cell r="H48">
            <v>85.33</v>
          </cell>
          <cell r="I48">
            <v>1.01</v>
          </cell>
          <cell r="J48">
            <v>86.34</v>
          </cell>
          <cell r="K48">
            <v>2</v>
          </cell>
          <cell r="L48">
            <v>1.01</v>
          </cell>
          <cell r="M48">
            <v>100</v>
          </cell>
          <cell r="Q48" t="str">
            <v>yes</v>
          </cell>
          <cell r="R48" t="str">
            <v>all</v>
          </cell>
          <cell r="S48" t="str">
            <v>H</v>
          </cell>
          <cell r="T48" t="str">
            <v>H (QD-TEC)</v>
          </cell>
          <cell r="V48">
            <v>72</v>
          </cell>
          <cell r="W48">
            <v>0</v>
          </cell>
          <cell r="X48">
            <v>85.33</v>
          </cell>
          <cell r="Y48">
            <v>86.34</v>
          </cell>
        </row>
        <row r="49">
          <cell r="A49">
            <v>48</v>
          </cell>
          <cell r="B49">
            <v>501</v>
          </cell>
          <cell r="C49" t="str">
            <v>M0113</v>
          </cell>
          <cell r="D49" t="str">
            <v>A</v>
          </cell>
          <cell r="E49" t="str">
            <v>501_M0113_A_048H</v>
          </cell>
          <cell r="F49">
            <v>45857.659722222219</v>
          </cell>
          <cell r="G49" t="str">
            <v>PFAF</v>
          </cell>
          <cell r="H49">
            <v>86.34</v>
          </cell>
          <cell r="I49">
            <v>0.93</v>
          </cell>
          <cell r="J49">
            <v>87.27</v>
          </cell>
          <cell r="K49">
            <v>1</v>
          </cell>
          <cell r="L49">
            <v>0.93</v>
          </cell>
          <cell r="M49">
            <v>100</v>
          </cell>
          <cell r="Q49" t="str">
            <v>yes</v>
          </cell>
          <cell r="R49" t="str">
            <v>all</v>
          </cell>
          <cell r="S49" t="str">
            <v>H</v>
          </cell>
          <cell r="T49" t="str">
            <v>H (QD-TEC)</v>
          </cell>
          <cell r="V49">
            <v>72</v>
          </cell>
          <cell r="W49">
            <v>0</v>
          </cell>
          <cell r="X49">
            <v>86.34</v>
          </cell>
          <cell r="Y49">
            <v>87.27</v>
          </cell>
        </row>
        <row r="50">
          <cell r="A50">
            <v>49</v>
          </cell>
          <cell r="B50">
            <v>501</v>
          </cell>
          <cell r="C50" t="str">
            <v>M0113</v>
          </cell>
          <cell r="D50" t="str">
            <v>A</v>
          </cell>
          <cell r="E50" t="str">
            <v>501_M0113_A_049R</v>
          </cell>
          <cell r="F50">
            <v>45857.725694444445</v>
          </cell>
          <cell r="G50" t="str">
            <v>PFAF</v>
          </cell>
          <cell r="H50">
            <v>87.27</v>
          </cell>
          <cell r="I50">
            <v>2.2200000000000002</v>
          </cell>
          <cell r="J50">
            <v>89.49</v>
          </cell>
          <cell r="K50">
            <v>2</v>
          </cell>
          <cell r="L50">
            <v>1.43</v>
          </cell>
          <cell r="M50">
            <v>64.41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87.27</v>
          </cell>
          <cell r="Y50">
            <v>89.49</v>
          </cell>
        </row>
        <row r="51">
          <cell r="A51">
            <v>50</v>
          </cell>
          <cell r="B51">
            <v>501</v>
          </cell>
          <cell r="C51" t="str">
            <v>M0113</v>
          </cell>
          <cell r="D51" t="str">
            <v>A</v>
          </cell>
          <cell r="E51" t="str">
            <v>501_M0113_A_050R</v>
          </cell>
          <cell r="F51">
            <v>45857.767361111109</v>
          </cell>
          <cell r="G51" t="str">
            <v>PFAF</v>
          </cell>
          <cell r="H51">
            <v>89.49</v>
          </cell>
          <cell r="I51">
            <v>1.5</v>
          </cell>
          <cell r="J51">
            <v>90.99</v>
          </cell>
          <cell r="K51">
            <v>1</v>
          </cell>
          <cell r="L51">
            <v>0.91</v>
          </cell>
          <cell r="M51">
            <v>60.67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89.49</v>
          </cell>
          <cell r="Y51">
            <v>90.99</v>
          </cell>
        </row>
        <row r="52">
          <cell r="A52">
            <v>51</v>
          </cell>
          <cell r="B52">
            <v>501</v>
          </cell>
          <cell r="C52" t="str">
            <v>M0113</v>
          </cell>
          <cell r="D52" t="str">
            <v>A</v>
          </cell>
          <cell r="E52" t="str">
            <v>501_M0113_A_051R</v>
          </cell>
          <cell r="F52">
            <v>45857.798611111109</v>
          </cell>
          <cell r="G52" t="str">
            <v>PFAF</v>
          </cell>
          <cell r="H52">
            <v>90.99</v>
          </cell>
          <cell r="I52">
            <v>1.5</v>
          </cell>
          <cell r="J52">
            <v>92.49</v>
          </cell>
          <cell r="K52">
            <v>1</v>
          </cell>
          <cell r="L52">
            <v>1.1599999999999999</v>
          </cell>
          <cell r="M52">
            <v>77.33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90.99</v>
          </cell>
          <cell r="Y52">
            <v>92.49</v>
          </cell>
        </row>
        <row r="53">
          <cell r="A53">
            <v>52</v>
          </cell>
          <cell r="B53">
            <v>501</v>
          </cell>
          <cell r="C53" t="str">
            <v>M0113</v>
          </cell>
          <cell r="D53" t="str">
            <v>A</v>
          </cell>
          <cell r="E53" t="str">
            <v>501_M0113_A_052R</v>
          </cell>
          <cell r="F53">
            <v>45857.826388888891</v>
          </cell>
          <cell r="G53" t="str">
            <v>PFAF</v>
          </cell>
          <cell r="H53">
            <v>92.49</v>
          </cell>
          <cell r="I53">
            <v>1.5</v>
          </cell>
          <cell r="J53">
            <v>93.99</v>
          </cell>
          <cell r="K53">
            <v>0</v>
          </cell>
          <cell r="L53">
            <v>0</v>
          </cell>
          <cell r="M53">
            <v>0</v>
          </cell>
          <cell r="P53" t="str">
            <v>no recovery</v>
          </cell>
          <cell r="Q53" t="str">
            <v>no</v>
          </cell>
          <cell r="R53" t="str">
            <v>none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92.49</v>
          </cell>
          <cell r="Y53">
            <v>93.99</v>
          </cell>
        </row>
        <row r="54">
          <cell r="A54">
            <v>53</v>
          </cell>
          <cell r="B54">
            <v>501</v>
          </cell>
          <cell r="C54" t="str">
            <v>M0113</v>
          </cell>
          <cell r="D54" t="str">
            <v>A</v>
          </cell>
          <cell r="E54" t="str">
            <v>501_M0113_A_053R</v>
          </cell>
          <cell r="F54">
            <v>45857.875</v>
          </cell>
          <cell r="G54" t="str">
            <v>PFAF</v>
          </cell>
          <cell r="H54">
            <v>93.99</v>
          </cell>
          <cell r="I54">
            <v>1.5</v>
          </cell>
          <cell r="J54">
            <v>95.49</v>
          </cell>
          <cell r="K54">
            <v>2</v>
          </cell>
          <cell r="L54">
            <v>2.7</v>
          </cell>
          <cell r="M54">
            <v>180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93.99</v>
          </cell>
          <cell r="Y54">
            <v>95.49</v>
          </cell>
        </row>
        <row r="55">
          <cell r="A55">
            <v>54</v>
          </cell>
          <cell r="B55">
            <v>501</v>
          </cell>
          <cell r="C55" t="str">
            <v>M0113</v>
          </cell>
          <cell r="D55" t="str">
            <v>A</v>
          </cell>
          <cell r="E55" t="str">
            <v>501_M0113_A_054R</v>
          </cell>
          <cell r="F55">
            <v>45857.899305555555</v>
          </cell>
          <cell r="G55" t="str">
            <v>PFAF</v>
          </cell>
          <cell r="H55">
            <v>95.49</v>
          </cell>
          <cell r="I55">
            <v>1.5</v>
          </cell>
          <cell r="J55">
            <v>96.99</v>
          </cell>
          <cell r="K55">
            <v>1</v>
          </cell>
          <cell r="L55">
            <v>1.23</v>
          </cell>
          <cell r="M55">
            <v>82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(QD-TEC)</v>
          </cell>
          <cell r="V55">
            <v>72</v>
          </cell>
          <cell r="W55">
            <v>0</v>
          </cell>
          <cell r="X55">
            <v>95.49</v>
          </cell>
          <cell r="Y55">
            <v>96.99</v>
          </cell>
        </row>
        <row r="56">
          <cell r="A56">
            <v>55</v>
          </cell>
          <cell r="B56">
            <v>501</v>
          </cell>
          <cell r="C56" t="str">
            <v>M0113</v>
          </cell>
          <cell r="D56" t="str">
            <v>A</v>
          </cell>
          <cell r="E56" t="str">
            <v>501_M0113_A_055H</v>
          </cell>
          <cell r="F56">
            <v>45857.944444444445</v>
          </cell>
          <cell r="G56" t="str">
            <v>PFAF</v>
          </cell>
          <cell r="H56">
            <v>96.99</v>
          </cell>
          <cell r="I56">
            <v>2</v>
          </cell>
          <cell r="J56">
            <v>98.99</v>
          </cell>
          <cell r="K56">
            <v>2</v>
          </cell>
          <cell r="L56">
            <v>2</v>
          </cell>
          <cell r="M56">
            <v>100</v>
          </cell>
          <cell r="Q56" t="str">
            <v>yes</v>
          </cell>
          <cell r="R56" t="str">
            <v>all</v>
          </cell>
          <cell r="S56" t="str">
            <v>H</v>
          </cell>
          <cell r="T56" t="str">
            <v>H (QD-TEC)</v>
          </cell>
          <cell r="V56">
            <v>72</v>
          </cell>
          <cell r="W56">
            <v>0</v>
          </cell>
          <cell r="X56">
            <v>96.99</v>
          </cell>
          <cell r="Y56">
            <v>98.99</v>
          </cell>
        </row>
        <row r="57">
          <cell r="A57">
            <v>56</v>
          </cell>
          <cell r="B57">
            <v>501</v>
          </cell>
          <cell r="C57" t="str">
            <v>M0113</v>
          </cell>
          <cell r="D57" t="str">
            <v>A</v>
          </cell>
          <cell r="E57" t="str">
            <v>501_M0113_A_056H</v>
          </cell>
          <cell r="F57">
            <v>45857.996527777781</v>
          </cell>
          <cell r="G57" t="str">
            <v>PFAF</v>
          </cell>
          <cell r="H57">
            <v>98.99</v>
          </cell>
          <cell r="I57">
            <v>2.41</v>
          </cell>
          <cell r="J57">
            <v>101.4</v>
          </cell>
          <cell r="K57">
            <v>2</v>
          </cell>
          <cell r="L57">
            <v>2.41</v>
          </cell>
          <cell r="M57">
            <v>100</v>
          </cell>
          <cell r="Q57" t="str">
            <v>yes</v>
          </cell>
          <cell r="R57" t="str">
            <v>all</v>
          </cell>
          <cell r="S57" t="str">
            <v>H</v>
          </cell>
          <cell r="T57" t="str">
            <v>H (QD-TEC)</v>
          </cell>
          <cell r="V57">
            <v>72</v>
          </cell>
          <cell r="W57">
            <v>0</v>
          </cell>
          <cell r="X57">
            <v>98.99</v>
          </cell>
          <cell r="Y57">
            <v>101.4</v>
          </cell>
        </row>
        <row r="58">
          <cell r="A58">
            <v>57</v>
          </cell>
          <cell r="B58">
            <v>501</v>
          </cell>
          <cell r="C58" t="str">
            <v>M0113</v>
          </cell>
          <cell r="D58" t="str">
            <v>A</v>
          </cell>
          <cell r="E58" t="str">
            <v>501_M0113_A_057H</v>
          </cell>
          <cell r="F58">
            <v>45858.045138888891</v>
          </cell>
          <cell r="G58" t="str">
            <v>PFAF</v>
          </cell>
          <cell r="H58">
            <v>101.4</v>
          </cell>
          <cell r="I58">
            <v>1.98</v>
          </cell>
          <cell r="J58">
            <v>103.38</v>
          </cell>
          <cell r="K58">
            <v>2</v>
          </cell>
          <cell r="L58">
            <v>1.98</v>
          </cell>
          <cell r="M58">
            <v>100</v>
          </cell>
          <cell r="Q58" t="str">
            <v>yes</v>
          </cell>
          <cell r="R58" t="str">
            <v>all</v>
          </cell>
          <cell r="S58" t="str">
            <v>H</v>
          </cell>
          <cell r="T58" t="str">
            <v>H (QD-TEC)</v>
          </cell>
          <cell r="V58">
            <v>72</v>
          </cell>
          <cell r="W58">
            <v>0</v>
          </cell>
          <cell r="X58">
            <v>101.4</v>
          </cell>
          <cell r="Y58">
            <v>103.38</v>
          </cell>
        </row>
        <row r="59">
          <cell r="A59">
            <v>58</v>
          </cell>
          <cell r="B59">
            <v>501</v>
          </cell>
          <cell r="C59" t="str">
            <v>M0113</v>
          </cell>
          <cell r="D59" t="str">
            <v>A</v>
          </cell>
          <cell r="E59" t="str">
            <v>501_M0113_A_058H</v>
          </cell>
          <cell r="F59">
            <v>45858.086805555555</v>
          </cell>
          <cell r="G59" t="str">
            <v>PFAF</v>
          </cell>
          <cell r="H59">
            <v>103.38</v>
          </cell>
          <cell r="I59">
            <v>1.65</v>
          </cell>
          <cell r="J59">
            <v>105.03</v>
          </cell>
          <cell r="K59">
            <v>2</v>
          </cell>
          <cell r="L59">
            <v>1.65</v>
          </cell>
          <cell r="M59">
            <v>100</v>
          </cell>
          <cell r="Q59" t="str">
            <v>yes</v>
          </cell>
          <cell r="R59" t="str">
            <v>all</v>
          </cell>
          <cell r="S59" t="str">
            <v>H</v>
          </cell>
          <cell r="T59" t="str">
            <v>H (QD-TEC)</v>
          </cell>
          <cell r="V59">
            <v>72</v>
          </cell>
          <cell r="W59">
            <v>0</v>
          </cell>
          <cell r="X59">
            <v>103.38</v>
          </cell>
          <cell r="Y59">
            <v>105.03</v>
          </cell>
        </row>
        <row r="60">
          <cell r="A60">
            <v>59</v>
          </cell>
          <cell r="B60">
            <v>501</v>
          </cell>
          <cell r="C60" t="str">
            <v>M0113</v>
          </cell>
          <cell r="D60" t="str">
            <v>A</v>
          </cell>
          <cell r="E60" t="str">
            <v>501_M0113_A_059H</v>
          </cell>
          <cell r="F60">
            <v>45858.138888888891</v>
          </cell>
          <cell r="G60" t="str">
            <v>PFAF</v>
          </cell>
          <cell r="H60">
            <v>104.22</v>
          </cell>
          <cell r="I60">
            <v>0.81</v>
          </cell>
          <cell r="J60">
            <v>105.03</v>
          </cell>
          <cell r="K60">
            <v>2</v>
          </cell>
          <cell r="L60">
            <v>0.81</v>
          </cell>
          <cell r="M60">
            <v>100</v>
          </cell>
          <cell r="P60" t="str">
            <v>infill only</v>
          </cell>
          <cell r="Q60" t="str">
            <v>yes</v>
          </cell>
          <cell r="R60" t="str">
            <v>all</v>
          </cell>
          <cell r="S60" t="str">
            <v>H</v>
          </cell>
          <cell r="T60" t="str">
            <v>H (QD-TEC)</v>
          </cell>
          <cell r="V60">
            <v>72</v>
          </cell>
          <cell r="W60">
            <v>0</v>
          </cell>
          <cell r="X60">
            <v>104.22</v>
          </cell>
          <cell r="Y60">
            <v>105.03</v>
          </cell>
        </row>
        <row r="61">
          <cell r="A61">
            <v>60</v>
          </cell>
          <cell r="B61">
            <v>501</v>
          </cell>
          <cell r="C61" t="str">
            <v>M0113</v>
          </cell>
          <cell r="D61" t="str">
            <v>A</v>
          </cell>
          <cell r="E61" t="str">
            <v>501_M0113_A_060H</v>
          </cell>
          <cell r="F61">
            <v>45858.180555555555</v>
          </cell>
          <cell r="G61" t="str">
            <v>GEPR</v>
          </cell>
          <cell r="H61">
            <v>105.03</v>
          </cell>
          <cell r="I61">
            <v>0.87</v>
          </cell>
          <cell r="J61">
            <v>105.9</v>
          </cell>
          <cell r="K61">
            <v>2</v>
          </cell>
          <cell r="L61">
            <v>0.87</v>
          </cell>
          <cell r="M61">
            <v>100</v>
          </cell>
          <cell r="Q61" t="str">
            <v>yes</v>
          </cell>
          <cell r="R61" t="str">
            <v>all</v>
          </cell>
          <cell r="S61" t="str">
            <v>H</v>
          </cell>
          <cell r="T61" t="str">
            <v>H (QD-TEC)</v>
          </cell>
          <cell r="V61">
            <v>72</v>
          </cell>
          <cell r="W61">
            <v>0</v>
          </cell>
          <cell r="X61">
            <v>105.03</v>
          </cell>
          <cell r="Y61">
            <v>105.9</v>
          </cell>
        </row>
        <row r="62">
          <cell r="A62">
            <v>61</v>
          </cell>
          <cell r="B62">
            <v>501</v>
          </cell>
          <cell r="C62" t="str">
            <v>M0113</v>
          </cell>
          <cell r="D62" t="str">
            <v>A</v>
          </cell>
          <cell r="E62" t="str">
            <v>501_M0113_A_061R</v>
          </cell>
          <cell r="F62">
            <v>45858.222222222219</v>
          </cell>
          <cell r="G62" t="str">
            <v>GEPR</v>
          </cell>
          <cell r="H62">
            <v>105.9</v>
          </cell>
          <cell r="I62">
            <v>1.59</v>
          </cell>
          <cell r="J62">
            <v>107.49</v>
          </cell>
          <cell r="K62">
            <v>1</v>
          </cell>
          <cell r="L62">
            <v>0.59</v>
          </cell>
          <cell r="M62">
            <v>37.11</v>
          </cell>
          <cell r="P62" t="str">
            <v>big gravel pieces inside clay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105.9</v>
          </cell>
          <cell r="Y62">
            <v>107.49</v>
          </cell>
        </row>
        <row r="63">
          <cell r="A63">
            <v>62</v>
          </cell>
          <cell r="B63">
            <v>501</v>
          </cell>
          <cell r="C63" t="str">
            <v>M0113</v>
          </cell>
          <cell r="D63" t="str">
            <v>A</v>
          </cell>
          <cell r="E63" t="str">
            <v>501_M0113_A_062R</v>
          </cell>
          <cell r="F63">
            <v>45858.25</v>
          </cell>
          <cell r="G63" t="str">
            <v>GEPR</v>
          </cell>
          <cell r="H63">
            <v>107.49</v>
          </cell>
          <cell r="I63">
            <v>1.5</v>
          </cell>
          <cell r="J63">
            <v>108.99</v>
          </cell>
          <cell r="K63">
            <v>1</v>
          </cell>
          <cell r="L63">
            <v>0.47</v>
          </cell>
          <cell r="M63">
            <v>31.33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107.49</v>
          </cell>
          <cell r="Y63">
            <v>108.99</v>
          </cell>
        </row>
        <row r="64">
          <cell r="A64">
            <v>63</v>
          </cell>
          <cell r="B64">
            <v>501</v>
          </cell>
          <cell r="C64" t="str">
            <v>M0113</v>
          </cell>
          <cell r="D64" t="str">
            <v>A</v>
          </cell>
          <cell r="E64" t="str">
            <v>501_M0113_A_063H</v>
          </cell>
          <cell r="F64">
            <v>45858.270833333336</v>
          </cell>
          <cell r="G64" t="str">
            <v>GEPR</v>
          </cell>
          <cell r="H64">
            <v>108.99</v>
          </cell>
          <cell r="I64">
            <v>0.94</v>
          </cell>
          <cell r="J64">
            <v>109.93</v>
          </cell>
          <cell r="K64">
            <v>2</v>
          </cell>
          <cell r="L64">
            <v>0.94</v>
          </cell>
          <cell r="M64">
            <v>100</v>
          </cell>
          <cell r="Q64" t="str">
            <v>yes</v>
          </cell>
          <cell r="R64" t="str">
            <v>all</v>
          </cell>
          <cell r="S64" t="str">
            <v>H</v>
          </cell>
          <cell r="T64" t="str">
            <v>H (QD-TEC)</v>
          </cell>
          <cell r="V64">
            <v>72</v>
          </cell>
          <cell r="W64">
            <v>0</v>
          </cell>
          <cell r="X64">
            <v>108.99</v>
          </cell>
          <cell r="Y64">
            <v>109.93</v>
          </cell>
        </row>
        <row r="65">
          <cell r="A65">
            <v>64</v>
          </cell>
          <cell r="B65">
            <v>501</v>
          </cell>
          <cell r="C65" t="str">
            <v>M0113</v>
          </cell>
          <cell r="D65" t="str">
            <v>A</v>
          </cell>
          <cell r="E65" t="str">
            <v>501_M0113_A_064H</v>
          </cell>
          <cell r="F65">
            <v>45858.322916666664</v>
          </cell>
          <cell r="G65" t="str">
            <v>GEPR</v>
          </cell>
          <cell r="H65">
            <v>109.93</v>
          </cell>
          <cell r="I65">
            <v>0.21</v>
          </cell>
          <cell r="J65">
            <v>110.14</v>
          </cell>
          <cell r="K65">
            <v>1</v>
          </cell>
          <cell r="L65">
            <v>0.21</v>
          </cell>
          <cell r="M65">
            <v>100</v>
          </cell>
          <cell r="P65" t="str">
            <v>stuck in liner</v>
          </cell>
          <cell r="X65">
            <v>109.93</v>
          </cell>
        </row>
        <row r="66">
          <cell r="A66">
            <v>65</v>
          </cell>
          <cell r="B66">
            <v>501</v>
          </cell>
          <cell r="C66" t="str">
            <v>M0113</v>
          </cell>
          <cell r="D66" t="str">
            <v>A</v>
          </cell>
          <cell r="E66" t="str">
            <v>501_M0113_A_065R</v>
          </cell>
          <cell r="F66">
            <v>45858.368055555555</v>
          </cell>
          <cell r="G66" t="str">
            <v>GEPR</v>
          </cell>
          <cell r="H66">
            <v>109.93</v>
          </cell>
          <cell r="I66">
            <v>2.06</v>
          </cell>
          <cell r="J66">
            <v>111.99</v>
          </cell>
          <cell r="K66">
            <v>2</v>
          </cell>
          <cell r="L66">
            <v>1.38</v>
          </cell>
          <cell r="M66">
            <v>66.989999999999995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109.93</v>
          </cell>
          <cell r="Y66">
            <v>111.99</v>
          </cell>
        </row>
        <row r="67">
          <cell r="A67">
            <v>66</v>
          </cell>
          <cell r="B67">
            <v>501</v>
          </cell>
          <cell r="C67" t="str">
            <v>M0113</v>
          </cell>
          <cell r="D67" t="str">
            <v>A</v>
          </cell>
          <cell r="E67" t="str">
            <v>501_M0113_A_066R</v>
          </cell>
          <cell r="F67">
            <v>45858.402777777781</v>
          </cell>
          <cell r="G67" t="str">
            <v>GEPR</v>
          </cell>
          <cell r="H67">
            <v>111.99</v>
          </cell>
          <cell r="I67">
            <v>1.5</v>
          </cell>
          <cell r="J67">
            <v>113.49</v>
          </cell>
          <cell r="K67">
            <v>1</v>
          </cell>
          <cell r="L67">
            <v>0.24</v>
          </cell>
          <cell r="M67">
            <v>16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111.99</v>
          </cell>
          <cell r="Y67">
            <v>113.49</v>
          </cell>
        </row>
        <row r="68">
          <cell r="A68">
            <v>67</v>
          </cell>
          <cell r="B68">
            <v>501</v>
          </cell>
          <cell r="C68" t="str">
            <v>M0113</v>
          </cell>
          <cell r="D68" t="str">
            <v>A</v>
          </cell>
          <cell r="E68" t="str">
            <v>501_M0113_A_067R</v>
          </cell>
          <cell r="F68">
            <v>45858.444444444445</v>
          </cell>
          <cell r="G68" t="str">
            <v>GEPR</v>
          </cell>
          <cell r="H68">
            <v>113.49</v>
          </cell>
          <cell r="I68">
            <v>1.5</v>
          </cell>
          <cell r="J68">
            <v>114.99</v>
          </cell>
          <cell r="K68">
            <v>1</v>
          </cell>
          <cell r="L68">
            <v>1.24</v>
          </cell>
          <cell r="M68">
            <v>82.67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(QD-TEC)</v>
          </cell>
          <cell r="V68">
            <v>72</v>
          </cell>
          <cell r="W68">
            <v>0</v>
          </cell>
          <cell r="X68">
            <v>113.49</v>
          </cell>
          <cell r="Y68">
            <v>114.99</v>
          </cell>
        </row>
        <row r="69">
          <cell r="A69">
            <v>68</v>
          </cell>
          <cell r="B69">
            <v>501</v>
          </cell>
          <cell r="C69" t="str">
            <v>M0113</v>
          </cell>
          <cell r="D69" t="str">
            <v>A</v>
          </cell>
          <cell r="E69" t="str">
            <v>501_M0113_A_068R</v>
          </cell>
          <cell r="F69">
            <v>45858.472222222219</v>
          </cell>
          <cell r="G69" t="str">
            <v>GEPR</v>
          </cell>
          <cell r="H69">
            <v>114.99</v>
          </cell>
          <cell r="I69">
            <v>1.5</v>
          </cell>
          <cell r="J69">
            <v>116.49</v>
          </cell>
          <cell r="K69">
            <v>1</v>
          </cell>
          <cell r="L69">
            <v>0.45</v>
          </cell>
          <cell r="M69">
            <v>30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(QD-TEC)</v>
          </cell>
          <cell r="V69">
            <v>72</v>
          </cell>
          <cell r="W69">
            <v>0</v>
          </cell>
          <cell r="X69">
            <v>114.99</v>
          </cell>
          <cell r="Y69">
            <v>116.49</v>
          </cell>
        </row>
        <row r="70">
          <cell r="A70">
            <v>69</v>
          </cell>
          <cell r="B70">
            <v>501</v>
          </cell>
          <cell r="C70" t="str">
            <v>M0113</v>
          </cell>
          <cell r="D70" t="str">
            <v>A</v>
          </cell>
          <cell r="E70" t="str">
            <v>501_M0113_A_069R</v>
          </cell>
          <cell r="F70">
            <v>45858.5</v>
          </cell>
          <cell r="G70" t="str">
            <v>GEPR</v>
          </cell>
          <cell r="H70">
            <v>116.49</v>
          </cell>
          <cell r="I70">
            <v>1.5</v>
          </cell>
          <cell r="J70">
            <v>117.99</v>
          </cell>
          <cell r="K70">
            <v>1</v>
          </cell>
          <cell r="L70">
            <v>0.45</v>
          </cell>
          <cell r="M70">
            <v>30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(QD-TEC)</v>
          </cell>
          <cell r="V70">
            <v>72</v>
          </cell>
          <cell r="W70">
            <v>0</v>
          </cell>
          <cell r="X70">
            <v>116.49</v>
          </cell>
          <cell r="Y70">
            <v>117.99</v>
          </cell>
        </row>
        <row r="71">
          <cell r="A71">
            <v>70</v>
          </cell>
          <cell r="B71">
            <v>501</v>
          </cell>
          <cell r="C71" t="str">
            <v>M0113</v>
          </cell>
          <cell r="D71" t="str">
            <v>A</v>
          </cell>
          <cell r="E71" t="str">
            <v>501_M0113_A_070R</v>
          </cell>
          <cell r="F71">
            <v>45858.552083333336</v>
          </cell>
          <cell r="G71" t="str">
            <v>GEPR</v>
          </cell>
          <cell r="H71">
            <v>117.99</v>
          </cell>
          <cell r="I71">
            <v>1.5</v>
          </cell>
          <cell r="J71">
            <v>119.49</v>
          </cell>
          <cell r="K71">
            <v>1</v>
          </cell>
          <cell r="L71">
            <v>0.98</v>
          </cell>
          <cell r="M71">
            <v>65.33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117.99</v>
          </cell>
          <cell r="Y71">
            <v>119.49</v>
          </cell>
        </row>
        <row r="72">
          <cell r="A72">
            <v>71</v>
          </cell>
          <cell r="B72">
            <v>501</v>
          </cell>
          <cell r="C72" t="str">
            <v>M0113</v>
          </cell>
          <cell r="D72" t="str">
            <v>A</v>
          </cell>
          <cell r="E72" t="str">
            <v>501_M0113_A_071R</v>
          </cell>
          <cell r="F72">
            <v>45858.576388888891</v>
          </cell>
          <cell r="G72" t="str">
            <v>GEPR</v>
          </cell>
          <cell r="H72">
            <v>119.49</v>
          </cell>
          <cell r="I72">
            <v>1.5</v>
          </cell>
          <cell r="J72">
            <v>120.99</v>
          </cell>
          <cell r="K72">
            <v>1</v>
          </cell>
          <cell r="L72">
            <v>0.36</v>
          </cell>
          <cell r="M72">
            <v>24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119.49</v>
          </cell>
          <cell r="Y72">
            <v>120.99</v>
          </cell>
        </row>
        <row r="73">
          <cell r="A73">
            <v>72</v>
          </cell>
          <cell r="B73">
            <v>501</v>
          </cell>
          <cell r="C73" t="str">
            <v>M0113</v>
          </cell>
          <cell r="D73" t="str">
            <v>A</v>
          </cell>
          <cell r="E73" t="str">
            <v>501_M0113_A_072R</v>
          </cell>
          <cell r="F73">
            <v>45858.631944444445</v>
          </cell>
          <cell r="G73" t="str">
            <v>GEPR</v>
          </cell>
          <cell r="H73">
            <v>120.99</v>
          </cell>
          <cell r="I73">
            <v>1.5</v>
          </cell>
          <cell r="J73">
            <v>122.49</v>
          </cell>
          <cell r="K73">
            <v>1</v>
          </cell>
          <cell r="L73">
            <v>1.1200000000000001</v>
          </cell>
          <cell r="M73">
            <v>74.67</v>
          </cell>
          <cell r="P73" t="str">
            <v>core transferred into new liner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(QD-TEC)</v>
          </cell>
          <cell r="V73">
            <v>72</v>
          </cell>
          <cell r="W73">
            <v>0</v>
          </cell>
          <cell r="X73">
            <v>120.99</v>
          </cell>
          <cell r="Y73">
            <v>122.49</v>
          </cell>
        </row>
        <row r="74">
          <cell r="A74">
            <v>73</v>
          </cell>
          <cell r="B74">
            <v>501</v>
          </cell>
          <cell r="C74" t="str">
            <v>M0113</v>
          </cell>
          <cell r="D74" t="str">
            <v>A</v>
          </cell>
          <cell r="E74" t="str">
            <v>501_M0113_A_073R</v>
          </cell>
          <cell r="F74">
            <v>45858.677083333336</v>
          </cell>
          <cell r="G74" t="str">
            <v>PFAF</v>
          </cell>
          <cell r="H74">
            <v>122.49</v>
          </cell>
          <cell r="I74">
            <v>1.5</v>
          </cell>
          <cell r="J74">
            <v>123.99</v>
          </cell>
          <cell r="K74">
            <v>1</v>
          </cell>
          <cell r="L74">
            <v>0.5</v>
          </cell>
          <cell r="M74">
            <v>33.33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(QD-TEC)</v>
          </cell>
          <cell r="V74">
            <v>72</v>
          </cell>
          <cell r="W74">
            <v>0</v>
          </cell>
          <cell r="X74">
            <v>122.49</v>
          </cell>
          <cell r="Y74">
            <v>123.99</v>
          </cell>
        </row>
        <row r="75">
          <cell r="A75">
            <v>74</v>
          </cell>
          <cell r="B75">
            <v>501</v>
          </cell>
          <cell r="C75" t="str">
            <v>M0113</v>
          </cell>
          <cell r="D75" t="str">
            <v>A</v>
          </cell>
          <cell r="E75" t="str">
            <v>501_M0113_A_074R</v>
          </cell>
          <cell r="F75">
            <v>45858.788194444445</v>
          </cell>
          <cell r="G75" t="str">
            <v>PFAF</v>
          </cell>
          <cell r="H75">
            <v>123.99</v>
          </cell>
          <cell r="I75">
            <v>1.5</v>
          </cell>
          <cell r="J75">
            <v>125.49</v>
          </cell>
          <cell r="K75">
            <v>1</v>
          </cell>
          <cell r="L75">
            <v>0.54</v>
          </cell>
          <cell r="M75">
            <v>36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(QD-TEC)</v>
          </cell>
          <cell r="V75">
            <v>72</v>
          </cell>
          <cell r="W75">
            <v>0</v>
          </cell>
          <cell r="X75">
            <v>123.99</v>
          </cell>
          <cell r="Y75">
            <v>125.49</v>
          </cell>
        </row>
        <row r="76">
          <cell r="A76">
            <v>75</v>
          </cell>
          <cell r="B76">
            <v>501</v>
          </cell>
          <cell r="C76" t="str">
            <v>M0113</v>
          </cell>
          <cell r="D76" t="str">
            <v>A</v>
          </cell>
          <cell r="E76" t="str">
            <v>501_M0113_A_075R</v>
          </cell>
          <cell r="F76">
            <v>45858.822916666664</v>
          </cell>
          <cell r="G76" t="str">
            <v>PFAF</v>
          </cell>
          <cell r="H76">
            <v>125.49</v>
          </cell>
          <cell r="I76">
            <v>1.5</v>
          </cell>
          <cell r="J76">
            <v>126.99</v>
          </cell>
          <cell r="K76">
            <v>2</v>
          </cell>
          <cell r="L76">
            <v>1.02</v>
          </cell>
          <cell r="M76">
            <v>68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(QD-TEC)</v>
          </cell>
          <cell r="V76">
            <v>72</v>
          </cell>
          <cell r="W76">
            <v>0</v>
          </cell>
          <cell r="X76">
            <v>125.49</v>
          </cell>
          <cell r="Y76">
            <v>126.99</v>
          </cell>
        </row>
        <row r="77">
          <cell r="A77">
            <v>76</v>
          </cell>
          <cell r="B77">
            <v>501</v>
          </cell>
          <cell r="C77" t="str">
            <v>M0113</v>
          </cell>
          <cell r="D77" t="str">
            <v>A</v>
          </cell>
          <cell r="E77" t="str">
            <v>501_M0113_A_076R</v>
          </cell>
          <cell r="F77">
            <v>45858.864583333336</v>
          </cell>
          <cell r="G77" t="str">
            <v>PFAF</v>
          </cell>
          <cell r="H77">
            <v>126.99</v>
          </cell>
          <cell r="I77">
            <v>1.5</v>
          </cell>
          <cell r="J77">
            <v>128.49</v>
          </cell>
          <cell r="K77">
            <v>1</v>
          </cell>
          <cell r="L77">
            <v>0.09</v>
          </cell>
          <cell r="M77">
            <v>6</v>
          </cell>
          <cell r="Q77" t="str">
            <v>yes</v>
          </cell>
          <cell r="R77" t="str">
            <v>all</v>
          </cell>
          <cell r="S77" t="str">
            <v>R</v>
          </cell>
          <cell r="T77" t="str">
            <v>R (QD-TEC)</v>
          </cell>
          <cell r="V77">
            <v>72</v>
          </cell>
          <cell r="W77">
            <v>0</v>
          </cell>
          <cell r="X77">
            <v>126.99</v>
          </cell>
          <cell r="Y77">
            <v>128.49</v>
          </cell>
        </row>
        <row r="78">
          <cell r="A78">
            <v>77</v>
          </cell>
          <cell r="B78">
            <v>501</v>
          </cell>
          <cell r="C78" t="str">
            <v>M0113</v>
          </cell>
          <cell r="D78" t="str">
            <v>A</v>
          </cell>
          <cell r="E78" t="str">
            <v>501_M0113_A_077R</v>
          </cell>
          <cell r="F78">
            <v>45858.899305555555</v>
          </cell>
          <cell r="G78" t="str">
            <v>PFAF</v>
          </cell>
          <cell r="H78">
            <v>128.49</v>
          </cell>
          <cell r="I78">
            <v>1.5</v>
          </cell>
          <cell r="J78">
            <v>129.99</v>
          </cell>
          <cell r="K78">
            <v>1</v>
          </cell>
          <cell r="L78">
            <v>0.2</v>
          </cell>
          <cell r="M78">
            <v>13.33</v>
          </cell>
          <cell r="P78" t="str">
            <v>core transferred into new liner</v>
          </cell>
          <cell r="Q78" t="str">
            <v>yes</v>
          </cell>
          <cell r="R78" t="str">
            <v>all</v>
          </cell>
          <cell r="S78" t="str">
            <v>R</v>
          </cell>
          <cell r="T78" t="str">
            <v>R (QD-TEC)</v>
          </cell>
          <cell r="V78">
            <v>72</v>
          </cell>
          <cell r="W78">
            <v>0</v>
          </cell>
          <cell r="X78">
            <v>128.49</v>
          </cell>
          <cell r="Y78">
            <v>129.99</v>
          </cell>
        </row>
        <row r="79">
          <cell r="A79">
            <v>78</v>
          </cell>
          <cell r="B79">
            <v>501</v>
          </cell>
          <cell r="C79" t="str">
            <v>M0113</v>
          </cell>
          <cell r="D79" t="str">
            <v>A</v>
          </cell>
          <cell r="E79" t="str">
            <v>501_M0113_A_078H</v>
          </cell>
          <cell r="F79">
            <v>45858.930555555555</v>
          </cell>
          <cell r="G79" t="str">
            <v>PFAF</v>
          </cell>
          <cell r="H79">
            <v>129.99</v>
          </cell>
          <cell r="I79">
            <v>2.2999999999999998</v>
          </cell>
          <cell r="J79">
            <v>132.29</v>
          </cell>
          <cell r="K79">
            <v>2</v>
          </cell>
          <cell r="L79">
            <v>2.2999999999999998</v>
          </cell>
          <cell r="M79">
            <v>100</v>
          </cell>
          <cell r="Q79" t="str">
            <v>yes</v>
          </cell>
          <cell r="R79" t="str">
            <v>all</v>
          </cell>
          <cell r="S79" t="str">
            <v>H</v>
          </cell>
          <cell r="T79" t="str">
            <v>H (QD-TEC)</v>
          </cell>
          <cell r="V79">
            <v>72</v>
          </cell>
          <cell r="W79">
            <v>0</v>
          </cell>
          <cell r="X79">
            <v>129.99</v>
          </cell>
          <cell r="Y79">
            <v>132.29</v>
          </cell>
        </row>
        <row r="80">
          <cell r="A80">
            <v>79</v>
          </cell>
          <cell r="B80">
            <v>501</v>
          </cell>
          <cell r="C80" t="str">
            <v>M0113</v>
          </cell>
          <cell r="D80" t="str">
            <v>A</v>
          </cell>
          <cell r="E80" t="str">
            <v>501_M0113_A_079H</v>
          </cell>
          <cell r="F80">
            <v>45858.989583333336</v>
          </cell>
          <cell r="G80" t="str">
            <v>PFAF</v>
          </cell>
          <cell r="H80">
            <v>131.59</v>
          </cell>
          <cell r="I80">
            <v>0.7</v>
          </cell>
          <cell r="J80">
            <v>132.29</v>
          </cell>
          <cell r="K80">
            <v>1</v>
          </cell>
          <cell r="L80">
            <v>0.16</v>
          </cell>
          <cell r="M80">
            <v>22.86</v>
          </cell>
          <cell r="P80" t="str">
            <v>stuck in liner</v>
          </cell>
          <cell r="X80">
            <v>131.59</v>
          </cell>
        </row>
        <row r="81">
          <cell r="A81">
            <v>80</v>
          </cell>
          <cell r="B81">
            <v>501</v>
          </cell>
          <cell r="C81" t="str">
            <v>M0113</v>
          </cell>
          <cell r="D81" t="str">
            <v>A</v>
          </cell>
          <cell r="E81" t="str">
            <v>501_M0113_A_080R</v>
          </cell>
          <cell r="F81">
            <v>45859.065972222219</v>
          </cell>
          <cell r="G81" t="str">
            <v>PFAF</v>
          </cell>
          <cell r="H81">
            <v>132.29</v>
          </cell>
          <cell r="I81">
            <v>2.2000000000000002</v>
          </cell>
          <cell r="J81">
            <v>134.49</v>
          </cell>
          <cell r="K81">
            <v>1</v>
          </cell>
          <cell r="L81">
            <v>0.62</v>
          </cell>
          <cell r="M81">
            <v>28.18</v>
          </cell>
          <cell r="Q81" t="str">
            <v>yes</v>
          </cell>
          <cell r="R81" t="str">
            <v>all</v>
          </cell>
          <cell r="S81" t="str">
            <v>R</v>
          </cell>
          <cell r="T81" t="str">
            <v>R (QD-TEC)</v>
          </cell>
          <cell r="V81">
            <v>72</v>
          </cell>
          <cell r="W81">
            <v>0</v>
          </cell>
          <cell r="X81">
            <v>132.29</v>
          </cell>
          <cell r="Y81">
            <v>134.49</v>
          </cell>
        </row>
        <row r="82">
          <cell r="A82">
            <v>81</v>
          </cell>
          <cell r="B82">
            <v>501</v>
          </cell>
          <cell r="C82" t="str">
            <v>M0113</v>
          </cell>
          <cell r="D82" t="str">
            <v>A</v>
          </cell>
          <cell r="E82" t="str">
            <v>501_M0113_A_081R</v>
          </cell>
          <cell r="F82">
            <v>45859.128472222219</v>
          </cell>
          <cell r="G82" t="str">
            <v>PFAF</v>
          </cell>
          <cell r="H82">
            <v>134.49</v>
          </cell>
          <cell r="I82">
            <v>1.5</v>
          </cell>
          <cell r="J82">
            <v>135.99</v>
          </cell>
          <cell r="K82">
            <v>2</v>
          </cell>
          <cell r="L82">
            <v>0.95</v>
          </cell>
          <cell r="M82">
            <v>63.33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134.49</v>
          </cell>
          <cell r="Y82">
            <v>135.99</v>
          </cell>
        </row>
        <row r="83">
          <cell r="A83">
            <v>82</v>
          </cell>
          <cell r="B83">
            <v>501</v>
          </cell>
          <cell r="C83" t="str">
            <v>M0113</v>
          </cell>
          <cell r="D83" t="str">
            <v>A</v>
          </cell>
          <cell r="E83" t="str">
            <v>501_M0113_A_082R</v>
          </cell>
          <cell r="F83">
            <v>45859.184027777781</v>
          </cell>
          <cell r="G83" t="str">
            <v>GEPR</v>
          </cell>
          <cell r="H83">
            <v>135.99</v>
          </cell>
          <cell r="I83">
            <v>1.5</v>
          </cell>
          <cell r="J83">
            <v>137.49</v>
          </cell>
          <cell r="K83">
            <v>1</v>
          </cell>
          <cell r="L83">
            <v>1.07</v>
          </cell>
          <cell r="M83">
            <v>71.33</v>
          </cell>
          <cell r="Q83" t="str">
            <v>yes</v>
          </cell>
          <cell r="R83" t="str">
            <v>all</v>
          </cell>
          <cell r="S83" t="str">
            <v>R</v>
          </cell>
          <cell r="T83" t="str">
            <v>R (QD-TEC)</v>
          </cell>
          <cell r="V83">
            <v>72</v>
          </cell>
          <cell r="W83">
            <v>0</v>
          </cell>
          <cell r="X83">
            <v>135.99</v>
          </cell>
          <cell r="Y83">
            <v>137.49</v>
          </cell>
        </row>
        <row r="84">
          <cell r="A84">
            <v>83</v>
          </cell>
          <cell r="B84">
            <v>501</v>
          </cell>
          <cell r="C84" t="str">
            <v>M0113</v>
          </cell>
          <cell r="D84" t="str">
            <v>A</v>
          </cell>
          <cell r="E84" t="str">
            <v>501_M0113_A_083R</v>
          </cell>
          <cell r="F84">
            <v>45859.222222222219</v>
          </cell>
          <cell r="G84" t="str">
            <v>GEPR</v>
          </cell>
          <cell r="H84">
            <v>137.49</v>
          </cell>
          <cell r="I84">
            <v>1.5</v>
          </cell>
          <cell r="J84">
            <v>138.99</v>
          </cell>
          <cell r="K84">
            <v>2</v>
          </cell>
          <cell r="L84">
            <v>1.53</v>
          </cell>
          <cell r="M84">
            <v>102</v>
          </cell>
          <cell r="P84" t="str">
            <v>microspheres added</v>
          </cell>
          <cell r="X84">
            <v>137.49</v>
          </cell>
        </row>
        <row r="85">
          <cell r="A85">
            <v>84</v>
          </cell>
          <cell r="B85">
            <v>501</v>
          </cell>
          <cell r="C85" t="str">
            <v>M0113</v>
          </cell>
          <cell r="D85" t="str">
            <v>A</v>
          </cell>
          <cell r="E85" t="str">
            <v>501_M0113_A_084R</v>
          </cell>
          <cell r="F85">
            <v>45859.260416666664</v>
          </cell>
          <cell r="G85" t="str">
            <v>GEPR</v>
          </cell>
          <cell r="H85">
            <v>138.99</v>
          </cell>
          <cell r="I85">
            <v>1.5</v>
          </cell>
          <cell r="J85">
            <v>140.49</v>
          </cell>
          <cell r="K85">
            <v>2</v>
          </cell>
          <cell r="L85">
            <v>1.31</v>
          </cell>
          <cell r="M85">
            <v>87.33</v>
          </cell>
          <cell r="P85" t="str">
            <v>microspheres added</v>
          </cell>
          <cell r="X85">
            <v>138.99</v>
          </cell>
        </row>
        <row r="86">
          <cell r="A86">
            <v>85</v>
          </cell>
          <cell r="B86">
            <v>501</v>
          </cell>
          <cell r="C86" t="str">
            <v>M0113</v>
          </cell>
          <cell r="D86" t="str">
            <v>A</v>
          </cell>
          <cell r="E86" t="str">
            <v>501_M0113_A_085R</v>
          </cell>
          <cell r="F86">
            <v>45859.319444444445</v>
          </cell>
          <cell r="G86" t="str">
            <v>GEPR</v>
          </cell>
          <cell r="H86">
            <v>140.49</v>
          </cell>
          <cell r="I86">
            <v>3</v>
          </cell>
          <cell r="J86">
            <v>143.49</v>
          </cell>
          <cell r="K86">
            <v>2</v>
          </cell>
          <cell r="L86">
            <v>2.75</v>
          </cell>
          <cell r="M86">
            <v>91.67</v>
          </cell>
          <cell r="Q86" t="str">
            <v>yes</v>
          </cell>
          <cell r="R86" t="str">
            <v>all</v>
          </cell>
          <cell r="S86" t="str">
            <v>R</v>
          </cell>
          <cell r="T86" t="str">
            <v>R (QD-TEC)</v>
          </cell>
          <cell r="V86">
            <v>72</v>
          </cell>
          <cell r="W86">
            <v>0</v>
          </cell>
          <cell r="X86">
            <v>140.49</v>
          </cell>
          <cell r="Y86">
            <v>143.49</v>
          </cell>
        </row>
        <row r="87">
          <cell r="A87">
            <v>86</v>
          </cell>
          <cell r="B87">
            <v>501</v>
          </cell>
          <cell r="C87" t="str">
            <v>M0113</v>
          </cell>
          <cell r="D87" t="str">
            <v>A</v>
          </cell>
          <cell r="E87" t="str">
            <v>501_M0113_A_086R</v>
          </cell>
          <cell r="F87">
            <v>45859.371527777781</v>
          </cell>
          <cell r="G87" t="str">
            <v>GEPR</v>
          </cell>
          <cell r="H87">
            <v>143.49</v>
          </cell>
          <cell r="I87">
            <v>3</v>
          </cell>
          <cell r="J87">
            <v>146.49</v>
          </cell>
          <cell r="K87">
            <v>2</v>
          </cell>
          <cell r="L87">
            <v>1.67</v>
          </cell>
          <cell r="M87">
            <v>55.67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(QD-TEC)</v>
          </cell>
          <cell r="V87">
            <v>72</v>
          </cell>
          <cell r="W87">
            <v>0</v>
          </cell>
          <cell r="X87">
            <v>143.49</v>
          </cell>
          <cell r="Y87">
            <v>146.49</v>
          </cell>
        </row>
        <row r="88">
          <cell r="A88">
            <v>87</v>
          </cell>
          <cell r="B88">
            <v>501</v>
          </cell>
          <cell r="C88" t="str">
            <v>M0113</v>
          </cell>
          <cell r="D88" t="str">
            <v>A</v>
          </cell>
          <cell r="E88" t="str">
            <v>501_M0113_A_087R</v>
          </cell>
          <cell r="F88">
            <v>45859.420138888891</v>
          </cell>
          <cell r="G88" t="str">
            <v>GEPR</v>
          </cell>
          <cell r="H88">
            <v>146.49</v>
          </cell>
          <cell r="I88">
            <v>2</v>
          </cell>
          <cell r="J88">
            <v>148.49</v>
          </cell>
          <cell r="K88">
            <v>2</v>
          </cell>
          <cell r="L88">
            <v>1.51</v>
          </cell>
          <cell r="M88">
            <v>75.5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(QD-TEC)</v>
          </cell>
          <cell r="V88">
            <v>72</v>
          </cell>
          <cell r="W88">
            <v>0</v>
          </cell>
          <cell r="X88">
            <v>146.49</v>
          </cell>
          <cell r="Y88">
            <v>148.49</v>
          </cell>
        </row>
        <row r="89">
          <cell r="A89">
            <v>88</v>
          </cell>
          <cell r="B89">
            <v>501</v>
          </cell>
          <cell r="C89" t="str">
            <v>M0113</v>
          </cell>
          <cell r="D89" t="str">
            <v>A</v>
          </cell>
          <cell r="E89" t="str">
            <v>501_M0113_A_088R</v>
          </cell>
          <cell r="F89">
            <v>45859.472222222219</v>
          </cell>
          <cell r="G89" t="str">
            <v>GEPR</v>
          </cell>
          <cell r="H89">
            <v>148.49</v>
          </cell>
          <cell r="I89">
            <v>3</v>
          </cell>
          <cell r="J89">
            <v>151.49</v>
          </cell>
          <cell r="K89">
            <v>2</v>
          </cell>
          <cell r="L89">
            <v>2.0499999999999998</v>
          </cell>
          <cell r="M89">
            <v>68.33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(QD-TEC)</v>
          </cell>
          <cell r="V89">
            <v>72</v>
          </cell>
          <cell r="W89">
            <v>0</v>
          </cell>
          <cell r="X89">
            <v>148.49</v>
          </cell>
          <cell r="Y89">
            <v>151.49</v>
          </cell>
        </row>
        <row r="90">
          <cell r="A90">
            <v>89</v>
          </cell>
          <cell r="B90">
            <v>501</v>
          </cell>
          <cell r="C90" t="str">
            <v>M0113</v>
          </cell>
          <cell r="D90" t="str">
            <v>A</v>
          </cell>
          <cell r="E90" t="str">
            <v>501_M0113_A_089R</v>
          </cell>
          <cell r="F90">
            <v>45859.510416666664</v>
          </cell>
          <cell r="G90" t="str">
            <v>GEPR</v>
          </cell>
          <cell r="H90">
            <v>151.49</v>
          </cell>
          <cell r="I90">
            <v>1.2</v>
          </cell>
          <cell r="J90">
            <v>152.69</v>
          </cell>
          <cell r="K90">
            <v>1</v>
          </cell>
          <cell r="L90">
            <v>0.85</v>
          </cell>
          <cell r="M90">
            <v>70.83</v>
          </cell>
          <cell r="P90" t="str">
            <v>core slipped out of liner</v>
          </cell>
          <cell r="X90">
            <v>151.49</v>
          </cell>
        </row>
        <row r="91">
          <cell r="A91">
            <v>90</v>
          </cell>
          <cell r="B91">
            <v>501</v>
          </cell>
          <cell r="C91" t="str">
            <v>M0113</v>
          </cell>
          <cell r="D91" t="str">
            <v>A</v>
          </cell>
          <cell r="E91" t="str">
            <v>501_M0113_A_090R</v>
          </cell>
          <cell r="F91">
            <v>45856.663194444445</v>
          </cell>
          <cell r="G91" t="str">
            <v>PFAF</v>
          </cell>
          <cell r="H91">
            <v>152.69</v>
          </cell>
          <cell r="I91">
            <v>2.8</v>
          </cell>
          <cell r="J91">
            <v>155.49</v>
          </cell>
          <cell r="K91">
            <v>2</v>
          </cell>
          <cell r="L91">
            <v>1.45</v>
          </cell>
          <cell r="M91">
            <v>51.79</v>
          </cell>
          <cell r="Q91" t="str">
            <v>yes</v>
          </cell>
          <cell r="R91" t="str">
            <v>all</v>
          </cell>
          <cell r="S91" t="str">
            <v>R</v>
          </cell>
          <cell r="T91" t="str">
            <v>R (QD-TEC)</v>
          </cell>
          <cell r="V91">
            <v>72</v>
          </cell>
          <cell r="W91">
            <v>0</v>
          </cell>
          <cell r="X91">
            <v>152.69</v>
          </cell>
          <cell r="Y91">
            <v>155.49</v>
          </cell>
        </row>
        <row r="92">
          <cell r="A92">
            <v>91</v>
          </cell>
          <cell r="B92">
            <v>501</v>
          </cell>
          <cell r="C92" t="str">
            <v>M0113</v>
          </cell>
          <cell r="D92" t="str">
            <v>A</v>
          </cell>
          <cell r="E92" t="str">
            <v>501_M0113_A_091R</v>
          </cell>
          <cell r="F92">
            <v>45859.725694444445</v>
          </cell>
          <cell r="G92" t="str">
            <v>PFAF</v>
          </cell>
          <cell r="H92">
            <v>155.49</v>
          </cell>
          <cell r="I92">
            <v>3</v>
          </cell>
          <cell r="J92">
            <v>158.49</v>
          </cell>
          <cell r="K92">
            <v>1</v>
          </cell>
          <cell r="L92">
            <v>0.4</v>
          </cell>
          <cell r="M92">
            <v>13.33</v>
          </cell>
          <cell r="Q92" t="str">
            <v>yes</v>
          </cell>
          <cell r="R92" t="str">
            <v>all</v>
          </cell>
          <cell r="S92" t="str">
            <v>R</v>
          </cell>
          <cell r="T92" t="str">
            <v>R (QD-TEC)</v>
          </cell>
          <cell r="V92">
            <v>72</v>
          </cell>
          <cell r="W92">
            <v>0</v>
          </cell>
          <cell r="X92">
            <v>155.49</v>
          </cell>
          <cell r="Y92">
            <v>158.49</v>
          </cell>
        </row>
        <row r="93">
          <cell r="A93">
            <v>92</v>
          </cell>
          <cell r="B93">
            <v>501</v>
          </cell>
          <cell r="C93" t="str">
            <v>M0113</v>
          </cell>
          <cell r="D93" t="str">
            <v>A</v>
          </cell>
          <cell r="E93" t="str">
            <v>501_M0113_A_092R</v>
          </cell>
          <cell r="F93">
            <v>45859.770833333336</v>
          </cell>
          <cell r="G93" t="str">
            <v>PFAF</v>
          </cell>
          <cell r="H93">
            <v>158.49</v>
          </cell>
          <cell r="I93">
            <v>3</v>
          </cell>
          <cell r="J93">
            <v>161.49</v>
          </cell>
          <cell r="K93">
            <v>1</v>
          </cell>
          <cell r="L93">
            <v>0.57999999999999996</v>
          </cell>
          <cell r="M93">
            <v>19.329999999999998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(QD-TEC)</v>
          </cell>
          <cell r="V93">
            <v>72</v>
          </cell>
          <cell r="W93">
            <v>0</v>
          </cell>
          <cell r="X93">
            <v>158.49</v>
          </cell>
          <cell r="Y93">
            <v>161.49</v>
          </cell>
        </row>
        <row r="94">
          <cell r="A94">
            <v>93</v>
          </cell>
          <cell r="B94">
            <v>501</v>
          </cell>
          <cell r="C94" t="str">
            <v>M0113</v>
          </cell>
          <cell r="D94" t="str">
            <v>A</v>
          </cell>
          <cell r="E94" t="str">
            <v>501_M0113_A_093R</v>
          </cell>
          <cell r="F94">
            <v>45859.989583333336</v>
          </cell>
          <cell r="G94" t="str">
            <v>PFAF</v>
          </cell>
          <cell r="H94">
            <v>161.49</v>
          </cell>
          <cell r="I94">
            <v>1.5</v>
          </cell>
          <cell r="J94">
            <v>162.99</v>
          </cell>
          <cell r="K94">
            <v>1</v>
          </cell>
          <cell r="L94">
            <v>0.52</v>
          </cell>
          <cell r="M94">
            <v>34.67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(QD-TEC)</v>
          </cell>
          <cell r="V94">
            <v>72</v>
          </cell>
          <cell r="W94">
            <v>0</v>
          </cell>
          <cell r="X94">
            <v>161.49</v>
          </cell>
          <cell r="Y94">
            <v>162.99</v>
          </cell>
        </row>
        <row r="95">
          <cell r="A95">
            <v>94</v>
          </cell>
          <cell r="B95">
            <v>501</v>
          </cell>
          <cell r="C95" t="str">
            <v>M0113</v>
          </cell>
          <cell r="D95" t="str">
            <v>A</v>
          </cell>
          <cell r="E95" t="str">
            <v>501_M0113_A_094R</v>
          </cell>
          <cell r="F95">
            <v>45860.024305555555</v>
          </cell>
          <cell r="G95" t="str">
            <v>PFAF</v>
          </cell>
          <cell r="H95">
            <v>162.99</v>
          </cell>
          <cell r="I95">
            <v>1.5</v>
          </cell>
          <cell r="J95">
            <v>164.49</v>
          </cell>
          <cell r="K95">
            <v>1</v>
          </cell>
          <cell r="L95">
            <v>0.32</v>
          </cell>
          <cell r="M95">
            <v>21.33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(QD-TEC)</v>
          </cell>
          <cell r="V95">
            <v>72</v>
          </cell>
          <cell r="W95">
            <v>0</v>
          </cell>
          <cell r="X95">
            <v>162.99</v>
          </cell>
          <cell r="Y95">
            <v>164.49</v>
          </cell>
        </row>
        <row r="96">
          <cell r="A96">
            <v>95</v>
          </cell>
          <cell r="B96">
            <v>501</v>
          </cell>
          <cell r="C96" t="str">
            <v>M0113</v>
          </cell>
          <cell r="D96" t="str">
            <v>A</v>
          </cell>
          <cell r="E96" t="str">
            <v>501_M0113_A_095R</v>
          </cell>
          <cell r="F96">
            <v>45860.052083333336</v>
          </cell>
          <cell r="G96" t="str">
            <v>PFAF</v>
          </cell>
          <cell r="H96">
            <v>164.49</v>
          </cell>
          <cell r="I96">
            <v>1.5</v>
          </cell>
          <cell r="J96">
            <v>165.99</v>
          </cell>
          <cell r="K96">
            <v>2</v>
          </cell>
          <cell r="L96">
            <v>0.74</v>
          </cell>
          <cell r="M96">
            <v>49.33</v>
          </cell>
          <cell r="Q96" t="str">
            <v>yes</v>
          </cell>
          <cell r="R96" t="str">
            <v>all</v>
          </cell>
          <cell r="S96" t="str">
            <v>R</v>
          </cell>
          <cell r="T96" t="str">
            <v>R (QD-TEC)</v>
          </cell>
          <cell r="V96">
            <v>72</v>
          </cell>
          <cell r="W96">
            <v>0</v>
          </cell>
          <cell r="X96">
            <v>164.49</v>
          </cell>
          <cell r="Y96">
            <v>165.99</v>
          </cell>
        </row>
        <row r="97">
          <cell r="A97">
            <v>96</v>
          </cell>
          <cell r="B97">
            <v>501</v>
          </cell>
          <cell r="C97" t="str">
            <v>M0113</v>
          </cell>
          <cell r="D97" t="str">
            <v>A</v>
          </cell>
          <cell r="E97" t="str">
            <v>501_M0113_A_096R</v>
          </cell>
          <cell r="F97">
            <v>45860.107638888891</v>
          </cell>
          <cell r="G97" t="str">
            <v>PFAF</v>
          </cell>
          <cell r="H97">
            <v>165.99</v>
          </cell>
          <cell r="I97">
            <v>1.5</v>
          </cell>
          <cell r="J97">
            <v>167.49</v>
          </cell>
          <cell r="K97">
            <v>2</v>
          </cell>
          <cell r="L97">
            <v>0.49</v>
          </cell>
          <cell r="M97">
            <v>32.67</v>
          </cell>
          <cell r="P97" t="str">
            <v>core came up with zero recovery due to no core catcher basket</v>
          </cell>
          <cell r="X97">
            <v>165.99</v>
          </cell>
        </row>
        <row r="98">
          <cell r="A98">
            <v>97</v>
          </cell>
          <cell r="B98">
            <v>501</v>
          </cell>
          <cell r="C98" t="str">
            <v>M0113</v>
          </cell>
          <cell r="D98" t="str">
            <v>A</v>
          </cell>
          <cell r="E98" t="str">
            <v>501_M0113_A_097R</v>
          </cell>
          <cell r="F98">
            <v>45860.163194444445</v>
          </cell>
          <cell r="G98" t="str">
            <v>GEPR</v>
          </cell>
          <cell r="H98">
            <v>167.49</v>
          </cell>
          <cell r="I98">
            <v>1.5</v>
          </cell>
          <cell r="J98">
            <v>168.99</v>
          </cell>
          <cell r="K98">
            <v>1</v>
          </cell>
          <cell r="L98">
            <v>1.45</v>
          </cell>
          <cell r="M98">
            <v>96.67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167.49</v>
          </cell>
          <cell r="Y98">
            <v>168.99</v>
          </cell>
        </row>
        <row r="99">
          <cell r="A99">
            <v>98</v>
          </cell>
          <cell r="B99">
            <v>501</v>
          </cell>
          <cell r="C99" t="str">
            <v>M0113</v>
          </cell>
          <cell r="D99" t="str">
            <v>A</v>
          </cell>
          <cell r="E99" t="str">
            <v>501_M0113_A_098R</v>
          </cell>
          <cell r="F99">
            <v>45860.309027777781</v>
          </cell>
          <cell r="G99" t="str">
            <v>GEPR</v>
          </cell>
          <cell r="H99">
            <v>168.99</v>
          </cell>
          <cell r="I99">
            <v>1.5</v>
          </cell>
          <cell r="J99">
            <v>170.49</v>
          </cell>
          <cell r="K99">
            <v>1</v>
          </cell>
          <cell r="L99">
            <v>0.46</v>
          </cell>
          <cell r="M99">
            <v>30.67</v>
          </cell>
          <cell r="P99" t="str">
            <v>big rock at bottom stuck in core bit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(QD-TEC)</v>
          </cell>
          <cell r="V99">
            <v>72</v>
          </cell>
          <cell r="W99">
            <v>0</v>
          </cell>
          <cell r="X99">
            <v>168.99</v>
          </cell>
          <cell r="Y99">
            <v>170.49</v>
          </cell>
        </row>
        <row r="100">
          <cell r="A100">
            <v>99</v>
          </cell>
          <cell r="B100">
            <v>501</v>
          </cell>
          <cell r="C100" t="str">
            <v>M0113</v>
          </cell>
          <cell r="D100" t="str">
            <v>A</v>
          </cell>
          <cell r="E100" t="str">
            <v>501_M0113_A_099R</v>
          </cell>
          <cell r="F100">
            <v>45860.34375</v>
          </cell>
          <cell r="G100" t="str">
            <v>GEPR</v>
          </cell>
          <cell r="H100">
            <v>170.49</v>
          </cell>
          <cell r="I100">
            <v>1.5</v>
          </cell>
          <cell r="J100">
            <v>171.99</v>
          </cell>
          <cell r="K100">
            <v>2</v>
          </cell>
          <cell r="L100">
            <v>1.42</v>
          </cell>
          <cell r="M100">
            <v>94.67</v>
          </cell>
          <cell r="P100" t="str">
            <v>very big rock at bottom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170.49</v>
          </cell>
          <cell r="Y100">
            <v>171.99</v>
          </cell>
        </row>
        <row r="101">
          <cell r="A101">
            <v>100</v>
          </cell>
          <cell r="B101">
            <v>501</v>
          </cell>
          <cell r="C101" t="str">
            <v>M0113</v>
          </cell>
          <cell r="D101" t="str">
            <v>A</v>
          </cell>
          <cell r="E101" t="str">
            <v>501_M0113_A_100R</v>
          </cell>
          <cell r="F101">
            <v>45860.375</v>
          </cell>
          <cell r="G101" t="str">
            <v>GEPR</v>
          </cell>
          <cell r="H101">
            <v>171.99</v>
          </cell>
          <cell r="I101">
            <v>1.5</v>
          </cell>
          <cell r="J101">
            <v>173.49</v>
          </cell>
          <cell r="K101">
            <v>1</v>
          </cell>
          <cell r="L101">
            <v>0.47</v>
          </cell>
          <cell r="M101">
            <v>31.33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171.99</v>
          </cell>
          <cell r="Y101">
            <v>173.49</v>
          </cell>
        </row>
        <row r="102">
          <cell r="A102">
            <v>101</v>
          </cell>
          <cell r="B102">
            <v>501</v>
          </cell>
          <cell r="C102" t="str">
            <v>M0113</v>
          </cell>
          <cell r="D102" t="str">
            <v>A</v>
          </cell>
          <cell r="E102" t="str">
            <v>501_M0113_A_101R</v>
          </cell>
          <cell r="F102">
            <v>45860.420138888891</v>
          </cell>
          <cell r="G102" t="str">
            <v>GEPR</v>
          </cell>
          <cell r="H102">
            <v>173.49</v>
          </cell>
          <cell r="I102">
            <v>1.5</v>
          </cell>
          <cell r="J102">
            <v>174.99</v>
          </cell>
          <cell r="K102">
            <v>1</v>
          </cell>
          <cell r="L102">
            <v>0.47</v>
          </cell>
          <cell r="M102">
            <v>31.33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173.49</v>
          </cell>
          <cell r="Y102">
            <v>174.99</v>
          </cell>
        </row>
        <row r="103">
          <cell r="A103">
            <v>102</v>
          </cell>
          <cell r="B103">
            <v>501</v>
          </cell>
          <cell r="C103" t="str">
            <v>M0113</v>
          </cell>
          <cell r="D103" t="str">
            <v>A</v>
          </cell>
          <cell r="E103" t="str">
            <v>501_M0113_A_102R</v>
          </cell>
          <cell r="F103">
            <v>45860.451388888891</v>
          </cell>
          <cell r="G103" t="str">
            <v>GEPR</v>
          </cell>
          <cell r="H103">
            <v>174.99</v>
          </cell>
          <cell r="I103">
            <v>1.5</v>
          </cell>
          <cell r="J103">
            <v>176.49</v>
          </cell>
          <cell r="K103">
            <v>2</v>
          </cell>
          <cell r="L103">
            <v>1.35</v>
          </cell>
          <cell r="M103">
            <v>90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174.99</v>
          </cell>
          <cell r="Y103">
            <v>176.49</v>
          </cell>
        </row>
        <row r="104">
          <cell r="A104">
            <v>103</v>
          </cell>
          <cell r="B104">
            <v>501</v>
          </cell>
          <cell r="C104" t="str">
            <v>M0113</v>
          </cell>
          <cell r="D104" t="str">
            <v>A</v>
          </cell>
          <cell r="E104" t="str">
            <v>501_M0113_A_103R</v>
          </cell>
          <cell r="F104">
            <v>45860.489583333336</v>
          </cell>
          <cell r="G104" t="str">
            <v>GEPR</v>
          </cell>
          <cell r="H104">
            <v>176.49</v>
          </cell>
          <cell r="I104">
            <v>1.5</v>
          </cell>
          <cell r="J104">
            <v>177.99</v>
          </cell>
          <cell r="K104">
            <v>1</v>
          </cell>
          <cell r="L104">
            <v>0.4</v>
          </cell>
          <cell r="M104">
            <v>26.67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176.49</v>
          </cell>
          <cell r="Y104">
            <v>177.99</v>
          </cell>
        </row>
        <row r="105">
          <cell r="A105">
            <v>104</v>
          </cell>
          <cell r="B105">
            <v>501</v>
          </cell>
          <cell r="C105" t="str">
            <v>M0113</v>
          </cell>
          <cell r="D105" t="str">
            <v>A</v>
          </cell>
          <cell r="E105" t="str">
            <v>501_M0113_A_104R</v>
          </cell>
          <cell r="F105">
            <v>45860.527777777781</v>
          </cell>
          <cell r="G105" t="str">
            <v>GEPR</v>
          </cell>
          <cell r="H105">
            <v>177.99</v>
          </cell>
          <cell r="I105">
            <v>1.5</v>
          </cell>
          <cell r="J105">
            <v>179.49</v>
          </cell>
          <cell r="K105">
            <v>1</v>
          </cell>
          <cell r="L105">
            <v>1.46</v>
          </cell>
          <cell r="M105">
            <v>97.33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177.99</v>
          </cell>
          <cell r="Y105">
            <v>179.49</v>
          </cell>
        </row>
        <row r="106">
          <cell r="A106">
            <v>105</v>
          </cell>
          <cell r="B106">
            <v>501</v>
          </cell>
          <cell r="C106" t="str">
            <v>M0113</v>
          </cell>
          <cell r="D106" t="str">
            <v>A</v>
          </cell>
          <cell r="E106" t="str">
            <v>501_M0113_A_105R</v>
          </cell>
          <cell r="F106">
            <v>45860.569444444445</v>
          </cell>
          <cell r="G106" t="str">
            <v>GEPR</v>
          </cell>
          <cell r="H106">
            <v>179.49</v>
          </cell>
          <cell r="I106">
            <v>3</v>
          </cell>
          <cell r="J106">
            <v>182.49</v>
          </cell>
          <cell r="K106">
            <v>3</v>
          </cell>
          <cell r="L106">
            <v>1.79</v>
          </cell>
          <cell r="M106">
            <v>59.67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179.49</v>
          </cell>
          <cell r="Y106">
            <v>182.49</v>
          </cell>
        </row>
        <row r="107">
          <cell r="A107">
            <v>106</v>
          </cell>
          <cell r="B107">
            <v>501</v>
          </cell>
          <cell r="C107" t="str">
            <v>M0113</v>
          </cell>
          <cell r="D107" t="str">
            <v>A</v>
          </cell>
          <cell r="E107" t="str">
            <v>501_M0113_A_106R</v>
          </cell>
          <cell r="F107">
            <v>45860.604166666664</v>
          </cell>
          <cell r="G107" t="str">
            <v>GEPR</v>
          </cell>
          <cell r="H107">
            <v>182.49</v>
          </cell>
          <cell r="I107">
            <v>3</v>
          </cell>
          <cell r="J107">
            <v>185.49</v>
          </cell>
          <cell r="K107">
            <v>1</v>
          </cell>
          <cell r="L107">
            <v>0.23</v>
          </cell>
          <cell r="M107">
            <v>7.67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(QD-TEC)</v>
          </cell>
          <cell r="V107">
            <v>72</v>
          </cell>
          <cell r="W107">
            <v>0</v>
          </cell>
          <cell r="X107">
            <v>182.49</v>
          </cell>
          <cell r="Y107">
            <v>185.49</v>
          </cell>
        </row>
        <row r="108">
          <cell r="A108">
            <v>107</v>
          </cell>
          <cell r="B108">
            <v>501</v>
          </cell>
          <cell r="C108" t="str">
            <v>M0113</v>
          </cell>
          <cell r="D108" t="str">
            <v>A</v>
          </cell>
          <cell r="E108" t="str">
            <v>501_M0113_A_107R</v>
          </cell>
          <cell r="F108">
            <v>45860.631944444445</v>
          </cell>
          <cell r="G108" t="str">
            <v>GEPR</v>
          </cell>
          <cell r="H108">
            <v>185.49</v>
          </cell>
          <cell r="I108">
            <v>1.5</v>
          </cell>
          <cell r="J108">
            <v>186.99</v>
          </cell>
          <cell r="K108">
            <v>2</v>
          </cell>
          <cell r="L108">
            <v>1.58</v>
          </cell>
          <cell r="M108">
            <v>105.33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(QD-TEC)</v>
          </cell>
          <cell r="V108">
            <v>72</v>
          </cell>
          <cell r="W108">
            <v>0</v>
          </cell>
          <cell r="X108">
            <v>185.49</v>
          </cell>
          <cell r="Y108">
            <v>186.99</v>
          </cell>
        </row>
        <row r="109">
          <cell r="A109">
            <v>108</v>
          </cell>
          <cell r="B109">
            <v>501</v>
          </cell>
          <cell r="C109" t="str">
            <v>M0113</v>
          </cell>
          <cell r="D109" t="str">
            <v>A</v>
          </cell>
          <cell r="E109" t="str">
            <v>501_M0113_A_108R</v>
          </cell>
          <cell r="F109">
            <v>45860.65625</v>
          </cell>
          <cell r="G109" t="str">
            <v>PFAF</v>
          </cell>
          <cell r="H109">
            <v>186.99</v>
          </cell>
          <cell r="I109">
            <v>1.5</v>
          </cell>
          <cell r="J109">
            <v>188.49</v>
          </cell>
          <cell r="K109">
            <v>1</v>
          </cell>
          <cell r="L109">
            <v>1.04</v>
          </cell>
          <cell r="M109">
            <v>69.33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186.99</v>
          </cell>
          <cell r="Y109">
            <v>188.49</v>
          </cell>
        </row>
        <row r="110">
          <cell r="A110">
            <v>109</v>
          </cell>
          <cell r="B110">
            <v>501</v>
          </cell>
          <cell r="C110" t="str">
            <v>M0113</v>
          </cell>
          <cell r="D110" t="str">
            <v>A</v>
          </cell>
          <cell r="E110" t="str">
            <v>501_M0113_A_109R</v>
          </cell>
          <cell r="F110">
            <v>45860.697916666664</v>
          </cell>
          <cell r="G110" t="str">
            <v>PFAF</v>
          </cell>
          <cell r="H110">
            <v>188.49</v>
          </cell>
          <cell r="I110">
            <v>1.5</v>
          </cell>
          <cell r="J110">
            <v>189.99</v>
          </cell>
          <cell r="K110">
            <v>1</v>
          </cell>
          <cell r="L110">
            <v>0.26</v>
          </cell>
          <cell r="M110">
            <v>17.329999999999998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(QD-TEC)</v>
          </cell>
          <cell r="V110">
            <v>72</v>
          </cell>
          <cell r="W110">
            <v>0</v>
          </cell>
          <cell r="X110">
            <v>188.49</v>
          </cell>
          <cell r="Y110">
            <v>189.99</v>
          </cell>
        </row>
        <row r="111">
          <cell r="A111">
            <v>110</v>
          </cell>
          <cell r="B111">
            <v>501</v>
          </cell>
          <cell r="C111" t="str">
            <v>M0113</v>
          </cell>
          <cell r="D111" t="str">
            <v>A</v>
          </cell>
          <cell r="E111" t="str">
            <v>501_M0113_A_110R</v>
          </cell>
          <cell r="F111">
            <v>45860.725694444445</v>
          </cell>
          <cell r="G111" t="str">
            <v>PFAF</v>
          </cell>
          <cell r="H111">
            <v>189.99</v>
          </cell>
          <cell r="I111">
            <v>1.5</v>
          </cell>
          <cell r="J111">
            <v>191.49</v>
          </cell>
          <cell r="K111">
            <v>2</v>
          </cell>
          <cell r="L111">
            <v>1.49</v>
          </cell>
          <cell r="M111">
            <v>99.33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(QD-TEC)</v>
          </cell>
          <cell r="V111">
            <v>72</v>
          </cell>
          <cell r="W111">
            <v>0</v>
          </cell>
          <cell r="X111">
            <v>189.99</v>
          </cell>
          <cell r="Y111">
            <v>191.49</v>
          </cell>
        </row>
        <row r="112">
          <cell r="A112">
            <v>111</v>
          </cell>
          <cell r="B112">
            <v>501</v>
          </cell>
          <cell r="C112" t="str">
            <v>M0113</v>
          </cell>
          <cell r="D112" t="str">
            <v>A</v>
          </cell>
          <cell r="E112" t="str">
            <v>501_M0113_A_111R</v>
          </cell>
          <cell r="F112">
            <v>45860.753472222219</v>
          </cell>
          <cell r="G112" t="str">
            <v>PFAF</v>
          </cell>
          <cell r="H112">
            <v>191.49</v>
          </cell>
          <cell r="I112">
            <v>1.5</v>
          </cell>
          <cell r="J112">
            <v>192.99</v>
          </cell>
          <cell r="K112">
            <v>1</v>
          </cell>
          <cell r="L112">
            <v>0.25</v>
          </cell>
          <cell r="M112">
            <v>16.670000000000002</v>
          </cell>
          <cell r="Q112" t="str">
            <v>yes</v>
          </cell>
          <cell r="R112" t="str">
            <v>all</v>
          </cell>
          <cell r="S112" t="str">
            <v>R</v>
          </cell>
          <cell r="T112" t="str">
            <v>R (QD-TEC)</v>
          </cell>
          <cell r="V112">
            <v>72</v>
          </cell>
          <cell r="W112">
            <v>0</v>
          </cell>
          <cell r="X112">
            <v>191.49</v>
          </cell>
          <cell r="Y112">
            <v>192.99</v>
          </cell>
        </row>
        <row r="113">
          <cell r="A113">
            <v>112</v>
          </cell>
          <cell r="B113">
            <v>501</v>
          </cell>
          <cell r="C113" t="str">
            <v>M0113</v>
          </cell>
          <cell r="D113" t="str">
            <v>A</v>
          </cell>
          <cell r="E113" t="str">
            <v>501_M0113_A_112R</v>
          </cell>
          <cell r="F113">
            <v>45860.784722222219</v>
          </cell>
          <cell r="G113" t="str">
            <v>PFAF</v>
          </cell>
          <cell r="H113">
            <v>192.99</v>
          </cell>
          <cell r="I113">
            <v>1.5</v>
          </cell>
          <cell r="J113">
            <v>194.49</v>
          </cell>
          <cell r="K113">
            <v>1</v>
          </cell>
          <cell r="L113">
            <v>0.27</v>
          </cell>
          <cell r="M113">
            <v>18</v>
          </cell>
          <cell r="Q113" t="str">
            <v>yes</v>
          </cell>
          <cell r="R113" t="str">
            <v>all</v>
          </cell>
          <cell r="S113" t="str">
            <v>R</v>
          </cell>
          <cell r="T113" t="str">
            <v>R (QD-TEC)</v>
          </cell>
          <cell r="V113">
            <v>72</v>
          </cell>
          <cell r="W113">
            <v>0</v>
          </cell>
          <cell r="X113">
            <v>192.99</v>
          </cell>
          <cell r="Y113">
            <v>194.49</v>
          </cell>
        </row>
        <row r="114">
          <cell r="A114">
            <v>113</v>
          </cell>
          <cell r="B114">
            <v>501</v>
          </cell>
          <cell r="C114" t="str">
            <v>M0113</v>
          </cell>
          <cell r="D114" t="str">
            <v>A</v>
          </cell>
          <cell r="E114" t="str">
            <v>501_M0113_A_113R</v>
          </cell>
          <cell r="F114">
            <v>45860.8125</v>
          </cell>
          <cell r="G114" t="str">
            <v>PFAF</v>
          </cell>
          <cell r="H114">
            <v>194.49</v>
          </cell>
          <cell r="I114">
            <v>1.5</v>
          </cell>
          <cell r="J114">
            <v>195.99</v>
          </cell>
          <cell r="K114">
            <v>0</v>
          </cell>
          <cell r="L114">
            <v>0</v>
          </cell>
          <cell r="M114">
            <v>0</v>
          </cell>
          <cell r="P114" t="str">
            <v>no recovery</v>
          </cell>
          <cell r="Q114" t="str">
            <v>no</v>
          </cell>
          <cell r="R114" t="str">
            <v>none</v>
          </cell>
          <cell r="S114" t="str">
            <v>R</v>
          </cell>
          <cell r="T114" t="str">
            <v>R (QD-TEC)</v>
          </cell>
          <cell r="V114">
            <v>72</v>
          </cell>
          <cell r="W114">
            <v>0</v>
          </cell>
          <cell r="X114">
            <v>194.49</v>
          </cell>
          <cell r="Y114">
            <v>195.99</v>
          </cell>
        </row>
        <row r="115">
          <cell r="A115">
            <v>114</v>
          </cell>
          <cell r="B115">
            <v>501</v>
          </cell>
          <cell r="C115" t="str">
            <v>M0113</v>
          </cell>
          <cell r="D115" t="str">
            <v>A</v>
          </cell>
          <cell r="E115" t="str">
            <v>501_M0113_A_114R</v>
          </cell>
          <cell r="F115">
            <v>45860.84375</v>
          </cell>
          <cell r="G115" t="str">
            <v>PFAF</v>
          </cell>
          <cell r="H115">
            <v>195.99</v>
          </cell>
          <cell r="I115">
            <v>1.5</v>
          </cell>
          <cell r="J115">
            <v>197.49</v>
          </cell>
          <cell r="K115">
            <v>1</v>
          </cell>
          <cell r="L115">
            <v>0.43</v>
          </cell>
          <cell r="M115">
            <v>28.67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(QD-TEC)</v>
          </cell>
          <cell r="V115">
            <v>72</v>
          </cell>
          <cell r="W115">
            <v>0</v>
          </cell>
          <cell r="X115">
            <v>195.99</v>
          </cell>
          <cell r="Y115">
            <v>197.49</v>
          </cell>
        </row>
        <row r="116">
          <cell r="A116">
            <v>115</v>
          </cell>
          <cell r="B116">
            <v>501</v>
          </cell>
          <cell r="C116" t="str">
            <v>M0113</v>
          </cell>
          <cell r="D116" t="str">
            <v>A</v>
          </cell>
          <cell r="E116" t="str">
            <v>501_M0113_A_115R</v>
          </cell>
          <cell r="F116">
            <v>45860.875</v>
          </cell>
          <cell r="G116" t="str">
            <v>PFAF</v>
          </cell>
          <cell r="H116">
            <v>197.49</v>
          </cell>
          <cell r="I116">
            <v>1.5</v>
          </cell>
          <cell r="J116">
            <v>198.99</v>
          </cell>
          <cell r="K116">
            <v>1</v>
          </cell>
          <cell r="L116">
            <v>0.41</v>
          </cell>
          <cell r="M116">
            <v>27.33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(QD-TEC)</v>
          </cell>
          <cell r="V116">
            <v>72</v>
          </cell>
          <cell r="W116">
            <v>0</v>
          </cell>
          <cell r="X116">
            <v>197.49</v>
          </cell>
          <cell r="Y116">
            <v>198.99</v>
          </cell>
        </row>
        <row r="117">
          <cell r="A117">
            <v>116</v>
          </cell>
          <cell r="B117">
            <v>501</v>
          </cell>
          <cell r="C117" t="str">
            <v>M0113</v>
          </cell>
          <cell r="D117" t="str">
            <v>A</v>
          </cell>
          <cell r="E117" t="str">
            <v>501_M0113_A_116R</v>
          </cell>
          <cell r="F117">
            <v>45860.909722222219</v>
          </cell>
          <cell r="G117" t="str">
            <v>PFAF</v>
          </cell>
          <cell r="H117">
            <v>198.99</v>
          </cell>
          <cell r="I117">
            <v>1.5</v>
          </cell>
          <cell r="J117">
            <v>200.49</v>
          </cell>
          <cell r="K117">
            <v>1</v>
          </cell>
          <cell r="L117">
            <v>1.01</v>
          </cell>
          <cell r="M117">
            <v>67.33</v>
          </cell>
          <cell r="P117" t="str">
            <v>transferred to new liner</v>
          </cell>
          <cell r="X117">
            <v>198.99</v>
          </cell>
        </row>
        <row r="118">
          <cell r="A118">
            <v>117</v>
          </cell>
          <cell r="B118">
            <v>501</v>
          </cell>
          <cell r="C118" t="str">
            <v>M0113</v>
          </cell>
          <cell r="D118" t="str">
            <v>A</v>
          </cell>
          <cell r="E118" t="str">
            <v>501_M0113_A_117R</v>
          </cell>
          <cell r="F118">
            <v>45860.951388888891</v>
          </cell>
          <cell r="G118" t="str">
            <v>PFAF</v>
          </cell>
          <cell r="H118">
            <v>200.49</v>
          </cell>
          <cell r="I118">
            <v>1.5</v>
          </cell>
          <cell r="J118">
            <v>201.99</v>
          </cell>
          <cell r="K118">
            <v>2</v>
          </cell>
          <cell r="L118">
            <v>0.84</v>
          </cell>
          <cell r="M118">
            <v>56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(QD-TEC)</v>
          </cell>
          <cell r="V118">
            <v>72</v>
          </cell>
          <cell r="W118">
            <v>0</v>
          </cell>
          <cell r="X118">
            <v>200.49</v>
          </cell>
          <cell r="Y118">
            <v>201.99</v>
          </cell>
        </row>
        <row r="119">
          <cell r="A119">
            <v>118</v>
          </cell>
          <cell r="B119">
            <v>501</v>
          </cell>
          <cell r="C119" t="str">
            <v>M0113</v>
          </cell>
          <cell r="D119" t="str">
            <v>A</v>
          </cell>
          <cell r="E119" t="str">
            <v>501_M0113_A_118R</v>
          </cell>
          <cell r="F119">
            <v>45860.993055555555</v>
          </cell>
          <cell r="G119" t="str">
            <v>PFAF</v>
          </cell>
          <cell r="H119">
            <v>201.99</v>
          </cell>
          <cell r="I119">
            <v>1.5</v>
          </cell>
          <cell r="J119">
            <v>203.49</v>
          </cell>
          <cell r="K119">
            <v>2</v>
          </cell>
          <cell r="L119">
            <v>0.8</v>
          </cell>
          <cell r="M119">
            <v>53.33</v>
          </cell>
          <cell r="Q119" t="str">
            <v>yes</v>
          </cell>
          <cell r="R119" t="str">
            <v>all</v>
          </cell>
          <cell r="S119" t="str">
            <v>R</v>
          </cell>
          <cell r="T119" t="str">
            <v>R (QD-TEC)</v>
          </cell>
          <cell r="V119">
            <v>72</v>
          </cell>
          <cell r="W119">
            <v>0</v>
          </cell>
          <cell r="X119">
            <v>201.99</v>
          </cell>
          <cell r="Y119">
            <v>203.49</v>
          </cell>
        </row>
        <row r="120">
          <cell r="A120">
            <v>119</v>
          </cell>
          <cell r="B120">
            <v>501</v>
          </cell>
          <cell r="C120" t="str">
            <v>M0113</v>
          </cell>
          <cell r="D120" t="str">
            <v>A</v>
          </cell>
          <cell r="E120" t="str">
            <v>501_M0113_A_119R</v>
          </cell>
          <cell r="F120">
            <v>45861.034722222219</v>
          </cell>
          <cell r="G120" t="str">
            <v>PFAF</v>
          </cell>
          <cell r="H120">
            <v>203.49</v>
          </cell>
          <cell r="I120">
            <v>1.5</v>
          </cell>
          <cell r="J120">
            <v>204.99</v>
          </cell>
          <cell r="K120">
            <v>1</v>
          </cell>
          <cell r="L120">
            <v>0.74</v>
          </cell>
          <cell r="M120">
            <v>49.33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(QD-TEC)</v>
          </cell>
          <cell r="V120">
            <v>72</v>
          </cell>
          <cell r="W120">
            <v>0</v>
          </cell>
          <cell r="X120">
            <v>203.49</v>
          </cell>
          <cell r="Y120">
            <v>204.99</v>
          </cell>
        </row>
        <row r="121">
          <cell r="A121">
            <v>120</v>
          </cell>
          <cell r="B121">
            <v>501</v>
          </cell>
          <cell r="C121" t="str">
            <v>M0113</v>
          </cell>
          <cell r="D121" t="str">
            <v>A</v>
          </cell>
          <cell r="E121" t="str">
            <v>501_M0113_A_120R</v>
          </cell>
          <cell r="F121">
            <v>45861.079861111109</v>
          </cell>
          <cell r="G121" t="str">
            <v>PFAF</v>
          </cell>
          <cell r="H121">
            <v>204.99</v>
          </cell>
          <cell r="I121">
            <v>1.5</v>
          </cell>
          <cell r="J121">
            <v>206.49</v>
          </cell>
          <cell r="K121">
            <v>1</v>
          </cell>
          <cell r="L121">
            <v>0.6</v>
          </cell>
          <cell r="M121">
            <v>40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(QD-TEC)</v>
          </cell>
          <cell r="V121">
            <v>72</v>
          </cell>
          <cell r="W121">
            <v>0</v>
          </cell>
          <cell r="X121">
            <v>204.99</v>
          </cell>
          <cell r="Y121">
            <v>206.49</v>
          </cell>
        </row>
        <row r="122">
          <cell r="A122">
            <v>121</v>
          </cell>
          <cell r="B122">
            <v>501</v>
          </cell>
          <cell r="C122" t="str">
            <v>M0113</v>
          </cell>
          <cell r="D122" t="str">
            <v>A</v>
          </cell>
          <cell r="E122" t="str">
            <v>501_M0113_A_121R</v>
          </cell>
          <cell r="F122">
            <v>45861.118055555555</v>
          </cell>
          <cell r="G122" t="str">
            <v>PFAF</v>
          </cell>
          <cell r="H122">
            <v>206.49</v>
          </cell>
          <cell r="I122">
            <v>1.5</v>
          </cell>
          <cell r="J122">
            <v>207.99</v>
          </cell>
          <cell r="K122">
            <v>1</v>
          </cell>
          <cell r="L122">
            <v>1.49</v>
          </cell>
          <cell r="M122">
            <v>99.33</v>
          </cell>
          <cell r="P122" t="str">
            <v>metal inside 14-19 &amp; 52 &amp; 138-142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(QD-TEC)</v>
          </cell>
          <cell r="V122">
            <v>72</v>
          </cell>
          <cell r="W122">
            <v>0</v>
          </cell>
          <cell r="X122">
            <v>206.49</v>
          </cell>
          <cell r="Y122">
            <v>207.99</v>
          </cell>
        </row>
        <row r="123">
          <cell r="A123">
            <v>122</v>
          </cell>
          <cell r="B123">
            <v>501</v>
          </cell>
          <cell r="C123" t="str">
            <v>M0113</v>
          </cell>
          <cell r="D123" t="str">
            <v>A</v>
          </cell>
          <cell r="E123" t="str">
            <v>501_M0113_A_122R</v>
          </cell>
          <cell r="F123">
            <v>45861.159722222219</v>
          </cell>
          <cell r="G123" t="str">
            <v>GEPR</v>
          </cell>
          <cell r="H123">
            <v>207.99</v>
          </cell>
          <cell r="I123">
            <v>1.5</v>
          </cell>
          <cell r="J123">
            <v>209.49</v>
          </cell>
          <cell r="K123">
            <v>1</v>
          </cell>
          <cell r="L123">
            <v>0.32</v>
          </cell>
          <cell r="M123">
            <v>21.33</v>
          </cell>
          <cell r="P123" t="str">
            <v>microspheres added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(QD-TEC)</v>
          </cell>
          <cell r="V123">
            <v>72</v>
          </cell>
          <cell r="W123">
            <v>0</v>
          </cell>
          <cell r="X123">
            <v>207.99</v>
          </cell>
          <cell r="Y123">
            <v>209.49</v>
          </cell>
        </row>
        <row r="124">
          <cell r="A124">
            <v>123</v>
          </cell>
          <cell r="B124">
            <v>501</v>
          </cell>
          <cell r="C124" t="str">
            <v>M0113</v>
          </cell>
          <cell r="D124" t="str">
            <v>A</v>
          </cell>
          <cell r="E124" t="str">
            <v>501_M0113_A_123R</v>
          </cell>
          <cell r="F124">
            <v>45861.201388888891</v>
          </cell>
          <cell r="G124" t="str">
            <v>GEPR</v>
          </cell>
          <cell r="H124">
            <v>209.49</v>
          </cell>
          <cell r="I124">
            <v>1.5</v>
          </cell>
          <cell r="J124">
            <v>210.99</v>
          </cell>
          <cell r="K124">
            <v>1</v>
          </cell>
          <cell r="L124">
            <v>0.25</v>
          </cell>
          <cell r="M124">
            <v>16.670000000000002</v>
          </cell>
          <cell r="P124" t="str">
            <v>microspheres added</v>
          </cell>
          <cell r="Q124" t="str">
            <v>yes</v>
          </cell>
          <cell r="R124" t="str">
            <v>all</v>
          </cell>
          <cell r="S124" t="str">
            <v>R</v>
          </cell>
          <cell r="T124" t="str">
            <v>R (QD-TEC)</v>
          </cell>
          <cell r="V124">
            <v>72</v>
          </cell>
          <cell r="W124">
            <v>0</v>
          </cell>
          <cell r="X124">
            <v>209.49</v>
          </cell>
          <cell r="Y124">
            <v>210.99</v>
          </cell>
        </row>
        <row r="125">
          <cell r="A125">
            <v>124</v>
          </cell>
          <cell r="B125">
            <v>501</v>
          </cell>
          <cell r="C125" t="str">
            <v>M0113</v>
          </cell>
          <cell r="D125" t="str">
            <v>A</v>
          </cell>
          <cell r="E125" t="str">
            <v>501_M0113_A_124R</v>
          </cell>
          <cell r="F125">
            <v>45861.239583333336</v>
          </cell>
          <cell r="G125" t="str">
            <v>GEPR</v>
          </cell>
          <cell r="H125">
            <v>210.99</v>
          </cell>
          <cell r="I125">
            <v>1.5</v>
          </cell>
          <cell r="J125">
            <v>212.49</v>
          </cell>
          <cell r="K125">
            <v>2</v>
          </cell>
          <cell r="L125">
            <v>1.53</v>
          </cell>
          <cell r="M125">
            <v>102</v>
          </cell>
          <cell r="P125" t="str">
            <v>MUD sample</v>
          </cell>
          <cell r="Q125" t="str">
            <v>yes</v>
          </cell>
          <cell r="R125" t="str">
            <v>all</v>
          </cell>
          <cell r="S125" t="str">
            <v>R</v>
          </cell>
          <cell r="T125" t="str">
            <v>R (QD-TEC)</v>
          </cell>
          <cell r="V125">
            <v>72</v>
          </cell>
          <cell r="W125">
            <v>0</v>
          </cell>
          <cell r="X125">
            <v>210.99</v>
          </cell>
          <cell r="Y125">
            <v>212.49</v>
          </cell>
        </row>
        <row r="126">
          <cell r="A126">
            <v>125</v>
          </cell>
          <cell r="B126">
            <v>501</v>
          </cell>
          <cell r="C126" t="str">
            <v>M0113</v>
          </cell>
          <cell r="D126" t="str">
            <v>A</v>
          </cell>
          <cell r="E126" t="str">
            <v>501_M0113_A_125R</v>
          </cell>
          <cell r="F126">
            <v>45861.284722222219</v>
          </cell>
          <cell r="G126" t="str">
            <v>GEPR</v>
          </cell>
          <cell r="H126">
            <v>212.49</v>
          </cell>
          <cell r="I126">
            <v>3</v>
          </cell>
          <cell r="J126">
            <v>215.49</v>
          </cell>
          <cell r="K126">
            <v>1</v>
          </cell>
          <cell r="L126">
            <v>0.22</v>
          </cell>
          <cell r="M126">
            <v>7.33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(QD-TEC)</v>
          </cell>
          <cell r="V126">
            <v>72</v>
          </cell>
          <cell r="W126">
            <v>0</v>
          </cell>
          <cell r="X126">
            <v>212.49</v>
          </cell>
          <cell r="Y126">
            <v>215.49</v>
          </cell>
        </row>
        <row r="127">
          <cell r="A127">
            <v>126</v>
          </cell>
          <cell r="B127">
            <v>501</v>
          </cell>
          <cell r="C127" t="str">
            <v>M0113</v>
          </cell>
          <cell r="D127" t="str">
            <v>A</v>
          </cell>
          <cell r="E127" t="str">
            <v>501_M0113_A_126R</v>
          </cell>
          <cell r="F127">
            <v>45861.322916666664</v>
          </cell>
          <cell r="G127" t="str">
            <v>GEPR</v>
          </cell>
          <cell r="H127">
            <v>215.49</v>
          </cell>
          <cell r="I127">
            <v>1.5</v>
          </cell>
          <cell r="J127">
            <v>216.99</v>
          </cell>
          <cell r="K127">
            <v>1</v>
          </cell>
          <cell r="L127">
            <v>0.85</v>
          </cell>
          <cell r="M127">
            <v>56.67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(QD-TEC)</v>
          </cell>
          <cell r="V127">
            <v>72</v>
          </cell>
          <cell r="W127">
            <v>0</v>
          </cell>
          <cell r="X127">
            <v>215.49</v>
          </cell>
          <cell r="Y127">
            <v>216.99</v>
          </cell>
        </row>
        <row r="128">
          <cell r="A128">
            <v>127</v>
          </cell>
          <cell r="B128">
            <v>501</v>
          </cell>
          <cell r="C128" t="str">
            <v>M0113</v>
          </cell>
          <cell r="D128" t="str">
            <v>A</v>
          </cell>
          <cell r="E128" t="str">
            <v>501_M0113_A_127R</v>
          </cell>
          <cell r="F128">
            <v>45861.350694444445</v>
          </cell>
          <cell r="G128" t="str">
            <v>GEPR</v>
          </cell>
          <cell r="H128">
            <v>216.99</v>
          </cell>
          <cell r="I128">
            <v>0.48</v>
          </cell>
          <cell r="J128">
            <v>217.47</v>
          </cell>
          <cell r="K128">
            <v>1</v>
          </cell>
          <cell r="L128">
            <v>0.26</v>
          </cell>
          <cell r="M128">
            <v>54.17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(QD-TEC)</v>
          </cell>
          <cell r="V128">
            <v>72</v>
          </cell>
          <cell r="W128">
            <v>0</v>
          </cell>
          <cell r="X128">
            <v>216.99</v>
          </cell>
          <cell r="Y128">
            <v>217.47</v>
          </cell>
        </row>
        <row r="129">
          <cell r="A129">
            <v>128</v>
          </cell>
          <cell r="B129">
            <v>501</v>
          </cell>
          <cell r="C129" t="str">
            <v>M0113</v>
          </cell>
          <cell r="D129" t="str">
            <v>A</v>
          </cell>
          <cell r="E129" t="str">
            <v>501_M0113_A_128R</v>
          </cell>
          <cell r="F129">
            <v>45861.375</v>
          </cell>
          <cell r="G129" t="str">
            <v>GEPR</v>
          </cell>
          <cell r="H129">
            <v>217.47</v>
          </cell>
          <cell r="I129">
            <v>0.87</v>
          </cell>
          <cell r="J129">
            <v>218.34</v>
          </cell>
          <cell r="K129">
            <v>2</v>
          </cell>
          <cell r="L129">
            <v>0.7</v>
          </cell>
          <cell r="M129">
            <v>80.459999999999994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(QD-TEC)</v>
          </cell>
          <cell r="V129">
            <v>72</v>
          </cell>
          <cell r="W129">
            <v>0</v>
          </cell>
          <cell r="X129">
            <v>217.47</v>
          </cell>
          <cell r="Y129">
            <v>218.34</v>
          </cell>
        </row>
        <row r="130">
          <cell r="A130">
            <v>129</v>
          </cell>
          <cell r="B130">
            <v>501</v>
          </cell>
          <cell r="C130" t="str">
            <v>M0113</v>
          </cell>
          <cell r="D130" t="str">
            <v>A</v>
          </cell>
          <cell r="E130" t="str">
            <v>501_M0113_A_129R</v>
          </cell>
          <cell r="F130">
            <v>45861.399305555555</v>
          </cell>
          <cell r="G130" t="str">
            <v>GEPR</v>
          </cell>
          <cell r="H130">
            <v>218.34</v>
          </cell>
          <cell r="I130">
            <v>0.4</v>
          </cell>
          <cell r="J130">
            <v>218.74</v>
          </cell>
          <cell r="K130">
            <v>1</v>
          </cell>
          <cell r="L130">
            <v>0.54</v>
          </cell>
          <cell r="M130">
            <v>135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(QD-TEC)</v>
          </cell>
          <cell r="V130">
            <v>72</v>
          </cell>
          <cell r="W130">
            <v>0</v>
          </cell>
          <cell r="X130">
            <v>218.34</v>
          </cell>
          <cell r="Y130">
            <v>218.74</v>
          </cell>
        </row>
        <row r="131">
          <cell r="A131">
            <v>130</v>
          </cell>
          <cell r="B131">
            <v>501</v>
          </cell>
          <cell r="C131" t="str">
            <v>M0113</v>
          </cell>
          <cell r="D131" t="str">
            <v>A</v>
          </cell>
          <cell r="E131" t="str">
            <v>501_M0113_A_130R</v>
          </cell>
          <cell r="F131">
            <v>45861.423611111109</v>
          </cell>
          <cell r="G131" t="str">
            <v>GEPR</v>
          </cell>
          <cell r="H131">
            <v>218.74</v>
          </cell>
          <cell r="I131">
            <v>0.2</v>
          </cell>
          <cell r="J131">
            <v>218.94</v>
          </cell>
          <cell r="K131">
            <v>1</v>
          </cell>
          <cell r="L131">
            <v>0.26</v>
          </cell>
          <cell r="M131">
            <v>130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(QD-TEC)</v>
          </cell>
          <cell r="V131">
            <v>72</v>
          </cell>
          <cell r="W131">
            <v>0</v>
          </cell>
          <cell r="X131">
            <v>218.74</v>
          </cell>
          <cell r="Y131">
            <v>218.94</v>
          </cell>
        </row>
        <row r="132">
          <cell r="A132">
            <v>131</v>
          </cell>
          <cell r="B132">
            <v>501</v>
          </cell>
          <cell r="C132" t="str">
            <v>M0113</v>
          </cell>
          <cell r="D132" t="str">
            <v>A</v>
          </cell>
          <cell r="E132" t="str">
            <v>501_M0113_A_131R</v>
          </cell>
          <cell r="F132">
            <v>45861.444444444445</v>
          </cell>
          <cell r="G132" t="str">
            <v>GEPR</v>
          </cell>
          <cell r="H132">
            <v>218.94</v>
          </cell>
          <cell r="I132">
            <v>0.5</v>
          </cell>
          <cell r="J132">
            <v>219.44</v>
          </cell>
          <cell r="K132">
            <v>1</v>
          </cell>
          <cell r="L132">
            <v>0.3</v>
          </cell>
          <cell r="M132">
            <v>60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218.94</v>
          </cell>
          <cell r="Y132">
            <v>219.44</v>
          </cell>
        </row>
        <row r="133">
          <cell r="A133">
            <v>132</v>
          </cell>
          <cell r="B133">
            <v>501</v>
          </cell>
          <cell r="C133" t="str">
            <v>M0113</v>
          </cell>
          <cell r="D133" t="str">
            <v>A</v>
          </cell>
          <cell r="E133" t="str">
            <v>501_M0113_A_132R</v>
          </cell>
          <cell r="F133">
            <v>45861.465277777781</v>
          </cell>
          <cell r="G133" t="str">
            <v>GEPR</v>
          </cell>
          <cell r="H133">
            <v>219.44</v>
          </cell>
          <cell r="I133">
            <v>2.0499999999999998</v>
          </cell>
          <cell r="J133">
            <v>221.49</v>
          </cell>
          <cell r="K133">
            <v>2</v>
          </cell>
          <cell r="L133">
            <v>2.11</v>
          </cell>
          <cell r="M133">
            <v>102.93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219.44</v>
          </cell>
          <cell r="Y133">
            <v>221.49</v>
          </cell>
        </row>
        <row r="134">
          <cell r="A134">
            <v>133</v>
          </cell>
          <cell r="B134">
            <v>501</v>
          </cell>
          <cell r="C134" t="str">
            <v>M0113</v>
          </cell>
          <cell r="D134" t="str">
            <v>A</v>
          </cell>
          <cell r="E134" t="str">
            <v>501_M0113_A_133R</v>
          </cell>
          <cell r="F134">
            <v>45861.534722222219</v>
          </cell>
          <cell r="G134" t="str">
            <v>GEPR</v>
          </cell>
          <cell r="H134">
            <v>221.49</v>
          </cell>
          <cell r="I134">
            <v>1.45</v>
          </cell>
          <cell r="J134">
            <v>222.94</v>
          </cell>
          <cell r="K134">
            <v>1</v>
          </cell>
          <cell r="L134">
            <v>1.25</v>
          </cell>
          <cell r="M134">
            <v>86.21</v>
          </cell>
          <cell r="Q134" t="str">
            <v>yes</v>
          </cell>
          <cell r="R134" t="str">
            <v>all</v>
          </cell>
          <cell r="S134" t="str">
            <v>R</v>
          </cell>
          <cell r="T134" t="str">
            <v>R (QD-TEC)</v>
          </cell>
          <cell r="V134">
            <v>72</v>
          </cell>
          <cell r="W134">
            <v>0</v>
          </cell>
          <cell r="X134">
            <v>221.49</v>
          </cell>
          <cell r="Y134">
            <v>222.94</v>
          </cell>
        </row>
        <row r="135">
          <cell r="A135">
            <v>134</v>
          </cell>
          <cell r="B135">
            <v>501</v>
          </cell>
          <cell r="C135" t="str">
            <v>M0113</v>
          </cell>
          <cell r="D135" t="str">
            <v>A</v>
          </cell>
          <cell r="E135" t="str">
            <v>501_M0113_A_134R</v>
          </cell>
          <cell r="F135">
            <v>45861.579861111109</v>
          </cell>
          <cell r="G135" t="str">
            <v>GEPR</v>
          </cell>
          <cell r="H135">
            <v>222.94</v>
          </cell>
          <cell r="I135">
            <v>1.55</v>
          </cell>
          <cell r="J135">
            <v>224.49</v>
          </cell>
          <cell r="K135">
            <v>1</v>
          </cell>
          <cell r="L135">
            <v>0.47</v>
          </cell>
          <cell r="M135">
            <v>30.32</v>
          </cell>
          <cell r="P135" t="str">
            <v>liner stuck</v>
          </cell>
          <cell r="X135">
            <v>222.94</v>
          </cell>
        </row>
        <row r="136">
          <cell r="A136">
            <v>135</v>
          </cell>
          <cell r="B136">
            <v>501</v>
          </cell>
          <cell r="C136" t="str">
            <v>M0113</v>
          </cell>
          <cell r="D136" t="str">
            <v>A</v>
          </cell>
          <cell r="E136" t="str">
            <v>501_M0113_A_135R</v>
          </cell>
          <cell r="F136">
            <v>45861.628472222219</v>
          </cell>
          <cell r="G136" t="str">
            <v>GEPR</v>
          </cell>
          <cell r="H136">
            <v>224.49</v>
          </cell>
          <cell r="I136">
            <v>3</v>
          </cell>
          <cell r="J136">
            <v>227.49</v>
          </cell>
          <cell r="K136">
            <v>2</v>
          </cell>
          <cell r="L136">
            <v>2.62</v>
          </cell>
          <cell r="M136">
            <v>87.33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224.49</v>
          </cell>
          <cell r="Y136">
            <v>227.49</v>
          </cell>
        </row>
        <row r="137">
          <cell r="A137">
            <v>136</v>
          </cell>
          <cell r="B137">
            <v>501</v>
          </cell>
          <cell r="C137" t="str">
            <v>M0113</v>
          </cell>
          <cell r="D137" t="str">
            <v>A</v>
          </cell>
          <cell r="E137" t="str">
            <v>501_M0113_A_136R</v>
          </cell>
          <cell r="F137">
            <v>45861.6875</v>
          </cell>
          <cell r="G137" t="str">
            <v>PFAF</v>
          </cell>
          <cell r="H137">
            <v>227.49</v>
          </cell>
          <cell r="I137">
            <v>3</v>
          </cell>
          <cell r="J137">
            <v>230.49</v>
          </cell>
          <cell r="K137">
            <v>3</v>
          </cell>
          <cell r="L137">
            <v>1.86</v>
          </cell>
          <cell r="M137">
            <v>62</v>
          </cell>
          <cell r="P137" t="str">
            <v>initial core on deck was 11:50 with no recovery</v>
          </cell>
          <cell r="X137">
            <v>227.49</v>
          </cell>
        </row>
        <row r="138">
          <cell r="A138">
            <v>137</v>
          </cell>
          <cell r="B138">
            <v>501</v>
          </cell>
          <cell r="C138" t="str">
            <v>M0113</v>
          </cell>
          <cell r="D138" t="str">
            <v>A</v>
          </cell>
          <cell r="E138" t="str">
            <v>501_M0113_A_137R</v>
          </cell>
          <cell r="F138">
            <v>45861.888888888891</v>
          </cell>
          <cell r="G138" t="str">
            <v>PFAF</v>
          </cell>
          <cell r="H138">
            <v>230.49</v>
          </cell>
          <cell r="I138">
            <v>1.5</v>
          </cell>
          <cell r="J138">
            <v>231.99</v>
          </cell>
          <cell r="K138">
            <v>1</v>
          </cell>
          <cell r="L138">
            <v>0.09</v>
          </cell>
          <cell r="M138">
            <v>6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(QD-TEC)</v>
          </cell>
          <cell r="V138">
            <v>72</v>
          </cell>
          <cell r="W138">
            <v>0</v>
          </cell>
          <cell r="X138">
            <v>230.49</v>
          </cell>
          <cell r="Y138">
            <v>231.99</v>
          </cell>
        </row>
        <row r="139">
          <cell r="A139">
            <v>138</v>
          </cell>
          <cell r="B139">
            <v>501</v>
          </cell>
          <cell r="C139" t="str">
            <v>M0113</v>
          </cell>
          <cell r="D139" t="str">
            <v>A</v>
          </cell>
          <cell r="E139" t="str">
            <v>501_M0113_A_138H</v>
          </cell>
          <cell r="F139">
            <v>45861.90625</v>
          </cell>
          <cell r="G139" t="str">
            <v>PFAF</v>
          </cell>
          <cell r="H139">
            <v>231.59</v>
          </cell>
          <cell r="I139">
            <v>0.57999999999999996</v>
          </cell>
          <cell r="J139">
            <v>232.17</v>
          </cell>
          <cell r="K139">
            <v>2</v>
          </cell>
          <cell r="L139">
            <v>0.57999999999999996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231.59</v>
          </cell>
          <cell r="Y139">
            <v>232.17</v>
          </cell>
        </row>
        <row r="140">
          <cell r="A140">
            <v>139</v>
          </cell>
          <cell r="B140">
            <v>501</v>
          </cell>
          <cell r="C140" t="str">
            <v>M0113</v>
          </cell>
          <cell r="D140" t="str">
            <v>A</v>
          </cell>
          <cell r="E140" t="str">
            <v>501_M0113_A_139H</v>
          </cell>
          <cell r="F140">
            <v>45861.927083333336</v>
          </cell>
          <cell r="G140" t="str">
            <v>PFAF</v>
          </cell>
          <cell r="H140">
            <v>232.17</v>
          </cell>
          <cell r="I140">
            <v>0.69</v>
          </cell>
          <cell r="J140">
            <v>232.86</v>
          </cell>
          <cell r="K140">
            <v>1</v>
          </cell>
          <cell r="L140">
            <v>0.57999999999999996</v>
          </cell>
          <cell r="M140">
            <v>84.06</v>
          </cell>
          <cell r="P140" t="str">
            <v>liner dented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232.17</v>
          </cell>
          <cell r="Y140">
            <v>232.86</v>
          </cell>
        </row>
        <row r="141">
          <cell r="A141">
            <v>140</v>
          </cell>
          <cell r="B141">
            <v>501</v>
          </cell>
          <cell r="C141" t="str">
            <v>M0113</v>
          </cell>
          <cell r="D141" t="str">
            <v>A</v>
          </cell>
          <cell r="E141" t="str">
            <v>501_M0113_A_140R</v>
          </cell>
          <cell r="F141">
            <v>45861.972222222219</v>
          </cell>
          <cell r="G141" t="str">
            <v>PFAF</v>
          </cell>
          <cell r="H141">
            <v>232.86</v>
          </cell>
          <cell r="I141">
            <v>0.63</v>
          </cell>
          <cell r="J141">
            <v>233.49</v>
          </cell>
          <cell r="K141">
            <v>1</v>
          </cell>
          <cell r="L141">
            <v>1.02</v>
          </cell>
          <cell r="M141">
            <v>161.9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(QD-TEC)</v>
          </cell>
          <cell r="V141">
            <v>72</v>
          </cell>
          <cell r="W141">
            <v>0</v>
          </cell>
          <cell r="X141">
            <v>232.86</v>
          </cell>
          <cell r="Y141">
            <v>233.49</v>
          </cell>
        </row>
        <row r="142">
          <cell r="A142">
            <v>141</v>
          </cell>
          <cell r="B142">
            <v>501</v>
          </cell>
          <cell r="C142" t="str">
            <v>M0113</v>
          </cell>
          <cell r="D142" t="str">
            <v>A</v>
          </cell>
          <cell r="E142" t="str">
            <v>501_M0113_A_141R</v>
          </cell>
          <cell r="F142">
            <v>45862.024305555555</v>
          </cell>
          <cell r="G142" t="str">
            <v>PFAF</v>
          </cell>
          <cell r="H142">
            <v>233.49</v>
          </cell>
          <cell r="I142">
            <v>1.5</v>
          </cell>
          <cell r="J142">
            <v>234.99</v>
          </cell>
          <cell r="K142">
            <v>1</v>
          </cell>
          <cell r="L142">
            <v>0.35</v>
          </cell>
          <cell r="M142">
            <v>23.33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(QD-TEC)</v>
          </cell>
          <cell r="V142">
            <v>72</v>
          </cell>
          <cell r="W142">
            <v>0</v>
          </cell>
          <cell r="X142">
            <v>233.49</v>
          </cell>
          <cell r="Y142">
            <v>234.99</v>
          </cell>
        </row>
        <row r="143">
          <cell r="A143">
            <v>142</v>
          </cell>
          <cell r="B143">
            <v>501</v>
          </cell>
          <cell r="C143" t="str">
            <v>M0113</v>
          </cell>
          <cell r="D143" t="str">
            <v>A</v>
          </cell>
          <cell r="E143" t="str">
            <v>501_M0113_A_142R</v>
          </cell>
          <cell r="F143">
            <v>45862.069444444445</v>
          </cell>
          <cell r="G143" t="str">
            <v>PFAF</v>
          </cell>
          <cell r="H143">
            <v>234.99</v>
          </cell>
          <cell r="I143">
            <v>1.5</v>
          </cell>
          <cell r="J143">
            <v>236.49</v>
          </cell>
          <cell r="K143">
            <v>2</v>
          </cell>
          <cell r="L143">
            <v>2.88</v>
          </cell>
          <cell r="M143">
            <v>192</v>
          </cell>
          <cell r="P143" t="str">
            <v>microspheres added</v>
          </cell>
          <cell r="Q143" t="str">
            <v>yes</v>
          </cell>
          <cell r="R143" t="str">
            <v>all</v>
          </cell>
          <cell r="S143" t="str">
            <v>R</v>
          </cell>
          <cell r="T143" t="str">
            <v>R (QD-TEC)</v>
          </cell>
          <cell r="V143">
            <v>72</v>
          </cell>
          <cell r="W143">
            <v>0</v>
          </cell>
          <cell r="X143">
            <v>234.99</v>
          </cell>
          <cell r="Y143">
            <v>236.49</v>
          </cell>
        </row>
        <row r="144">
          <cell r="A144">
            <v>143</v>
          </cell>
          <cell r="B144">
            <v>501</v>
          </cell>
          <cell r="C144" t="str">
            <v>M0113</v>
          </cell>
          <cell r="D144" t="str">
            <v>A</v>
          </cell>
          <cell r="E144" t="str">
            <v>501_M0113_A_143R</v>
          </cell>
          <cell r="F144">
            <v>45862.097222222219</v>
          </cell>
          <cell r="G144" t="str">
            <v>PFAF</v>
          </cell>
          <cell r="H144">
            <v>236.49</v>
          </cell>
          <cell r="I144">
            <v>0</v>
          </cell>
          <cell r="J144">
            <v>236.49</v>
          </cell>
          <cell r="K144">
            <v>1</v>
          </cell>
          <cell r="L144">
            <v>0.12</v>
          </cell>
          <cell r="M144">
            <v>0</v>
          </cell>
          <cell r="P144" t="str">
            <v>no drilling advance made</v>
          </cell>
          <cell r="X144">
            <v>236.49</v>
          </cell>
        </row>
        <row r="145">
          <cell r="A145">
            <v>144</v>
          </cell>
          <cell r="B145">
            <v>501</v>
          </cell>
          <cell r="C145" t="str">
            <v>M0113</v>
          </cell>
          <cell r="D145" t="str">
            <v>A</v>
          </cell>
          <cell r="E145" t="str">
            <v>501_M0113_A_144R</v>
          </cell>
          <cell r="F145">
            <v>45862.138888888891</v>
          </cell>
          <cell r="G145" t="str">
            <v>PFAF</v>
          </cell>
          <cell r="H145">
            <v>236.49</v>
          </cell>
          <cell r="I145">
            <v>1.5</v>
          </cell>
          <cell r="J145">
            <v>237.99</v>
          </cell>
          <cell r="K145">
            <v>2</v>
          </cell>
          <cell r="L145">
            <v>1.49</v>
          </cell>
          <cell r="M145">
            <v>99.33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236.49</v>
          </cell>
          <cell r="Y145">
            <v>237.99</v>
          </cell>
        </row>
        <row r="146">
          <cell r="A146">
            <v>145</v>
          </cell>
          <cell r="B146">
            <v>501</v>
          </cell>
          <cell r="C146" t="str">
            <v>M0113</v>
          </cell>
          <cell r="D146" t="str">
            <v>A</v>
          </cell>
          <cell r="E146" t="str">
            <v>501_M0113_A_145R</v>
          </cell>
          <cell r="F146">
            <v>45862.201388888891</v>
          </cell>
          <cell r="G146" t="str">
            <v>GEPR</v>
          </cell>
          <cell r="H146">
            <v>237.99</v>
          </cell>
          <cell r="I146">
            <v>1.5</v>
          </cell>
          <cell r="J146">
            <v>239.49</v>
          </cell>
          <cell r="K146">
            <v>2</v>
          </cell>
          <cell r="L146">
            <v>1.64</v>
          </cell>
          <cell r="M146">
            <v>109.33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237.99</v>
          </cell>
          <cell r="Y146">
            <v>239.49</v>
          </cell>
        </row>
        <row r="147">
          <cell r="A147">
            <v>146</v>
          </cell>
          <cell r="B147">
            <v>501</v>
          </cell>
          <cell r="C147" t="str">
            <v>M0113</v>
          </cell>
          <cell r="D147" t="str">
            <v>A</v>
          </cell>
          <cell r="E147" t="str">
            <v>501_M0113_A_146R</v>
          </cell>
          <cell r="F147">
            <v>45862.243055555555</v>
          </cell>
          <cell r="G147" t="str">
            <v>GEPR</v>
          </cell>
          <cell r="H147">
            <v>239.49</v>
          </cell>
          <cell r="I147">
            <v>1.5</v>
          </cell>
          <cell r="J147">
            <v>240.99</v>
          </cell>
          <cell r="K147">
            <v>1</v>
          </cell>
          <cell r="L147">
            <v>0.88</v>
          </cell>
          <cell r="M147">
            <v>58.67</v>
          </cell>
          <cell r="P147" t="str">
            <v>liner stuck</v>
          </cell>
          <cell r="X147">
            <v>239.49</v>
          </cell>
        </row>
        <row r="148">
          <cell r="A148">
            <v>147</v>
          </cell>
          <cell r="B148">
            <v>501</v>
          </cell>
          <cell r="C148" t="str">
            <v>M0113</v>
          </cell>
          <cell r="D148" t="str">
            <v>A</v>
          </cell>
          <cell r="E148" t="str">
            <v>501_M0113_A_147R</v>
          </cell>
          <cell r="F148">
            <v>45862.277777777781</v>
          </cell>
          <cell r="G148" t="str">
            <v>GEPR</v>
          </cell>
          <cell r="H148">
            <v>240.99</v>
          </cell>
          <cell r="I148">
            <v>1.5</v>
          </cell>
          <cell r="J148">
            <v>242.49</v>
          </cell>
          <cell r="K148">
            <v>0</v>
          </cell>
          <cell r="L148">
            <v>0</v>
          </cell>
          <cell r="M148">
            <v>0</v>
          </cell>
          <cell r="P148" t="str">
            <v>no recovery</v>
          </cell>
          <cell r="X148">
            <v>240.99</v>
          </cell>
        </row>
        <row r="149">
          <cell r="A149">
            <v>148</v>
          </cell>
          <cell r="B149">
            <v>501</v>
          </cell>
          <cell r="C149" t="str">
            <v>M0113</v>
          </cell>
          <cell r="D149" t="str">
            <v>A</v>
          </cell>
          <cell r="E149" t="str">
            <v>501_M0113_A_148R</v>
          </cell>
          <cell r="F149">
            <v>45862.319444444445</v>
          </cell>
          <cell r="G149" t="str">
            <v>GEPR</v>
          </cell>
          <cell r="H149">
            <v>242.49</v>
          </cell>
          <cell r="I149">
            <v>1.5</v>
          </cell>
          <cell r="J149">
            <v>243.99</v>
          </cell>
          <cell r="K149">
            <v>3</v>
          </cell>
          <cell r="L149">
            <v>1.97</v>
          </cell>
          <cell r="M149">
            <v>131.33000000000001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242.49</v>
          </cell>
          <cell r="Y149">
            <v>243.99</v>
          </cell>
        </row>
        <row r="150">
          <cell r="A150">
            <v>149</v>
          </cell>
          <cell r="B150">
            <v>501</v>
          </cell>
          <cell r="C150" t="str">
            <v>M0113</v>
          </cell>
          <cell r="D150" t="str">
            <v>A</v>
          </cell>
          <cell r="E150" t="str">
            <v>501_M0113_A_149R</v>
          </cell>
          <cell r="F150">
            <v>45862.319444444445</v>
          </cell>
          <cell r="G150" t="str">
            <v>GEPR</v>
          </cell>
          <cell r="H150">
            <v>243.99</v>
          </cell>
          <cell r="I150">
            <v>1.5</v>
          </cell>
          <cell r="J150">
            <v>245.49</v>
          </cell>
          <cell r="K150">
            <v>1</v>
          </cell>
          <cell r="L150">
            <v>1.5</v>
          </cell>
          <cell r="M150">
            <v>100</v>
          </cell>
          <cell r="P150" t="str">
            <v>greenish sands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243.99</v>
          </cell>
          <cell r="Y150">
            <v>245.49</v>
          </cell>
        </row>
        <row r="151">
          <cell r="A151">
            <v>150</v>
          </cell>
          <cell r="B151">
            <v>501</v>
          </cell>
          <cell r="C151" t="str">
            <v>M0113</v>
          </cell>
          <cell r="D151" t="str">
            <v>A</v>
          </cell>
          <cell r="E151" t="str">
            <v>501_M0113_A_150R</v>
          </cell>
          <cell r="F151">
            <v>45862.378472222219</v>
          </cell>
          <cell r="G151" t="str">
            <v>GEPR</v>
          </cell>
          <cell r="H151">
            <v>245.49</v>
          </cell>
          <cell r="I151">
            <v>1.5</v>
          </cell>
          <cell r="J151">
            <v>246.99</v>
          </cell>
          <cell r="K151">
            <v>1</v>
          </cell>
          <cell r="L151">
            <v>0.8</v>
          </cell>
          <cell r="M151">
            <v>53.33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(QD-TEC)</v>
          </cell>
          <cell r="V151">
            <v>72</v>
          </cell>
          <cell r="W151">
            <v>0</v>
          </cell>
          <cell r="X151">
            <v>245.49</v>
          </cell>
          <cell r="Y151">
            <v>246.99</v>
          </cell>
        </row>
        <row r="152">
          <cell r="A152">
            <v>151</v>
          </cell>
          <cell r="B152">
            <v>501</v>
          </cell>
          <cell r="C152" t="str">
            <v>M0113</v>
          </cell>
          <cell r="D152" t="str">
            <v>A</v>
          </cell>
          <cell r="E152" t="str">
            <v>501_M0113_A_151R</v>
          </cell>
          <cell r="F152">
            <v>45862.420138888891</v>
          </cell>
          <cell r="G152" t="str">
            <v>GEPR</v>
          </cell>
          <cell r="H152">
            <v>246.99</v>
          </cell>
          <cell r="I152">
            <v>1.5</v>
          </cell>
          <cell r="J152">
            <v>248.49</v>
          </cell>
          <cell r="K152">
            <v>2</v>
          </cell>
          <cell r="L152">
            <v>1.52</v>
          </cell>
          <cell r="M152">
            <v>101.33</v>
          </cell>
          <cell r="P152" t="str">
            <v>MUD sample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246.99</v>
          </cell>
          <cell r="Y152">
            <v>248.49</v>
          </cell>
        </row>
        <row r="153">
          <cell r="A153">
            <v>152</v>
          </cell>
          <cell r="B153">
            <v>501</v>
          </cell>
          <cell r="C153" t="str">
            <v>M0113</v>
          </cell>
          <cell r="D153" t="str">
            <v>A</v>
          </cell>
          <cell r="E153" t="str">
            <v>501_M0113_A_152R</v>
          </cell>
          <cell r="F153">
            <v>45862.451388888891</v>
          </cell>
          <cell r="G153" t="str">
            <v>GEPR</v>
          </cell>
          <cell r="H153">
            <v>248.49</v>
          </cell>
          <cell r="I153">
            <v>1.5</v>
          </cell>
          <cell r="J153">
            <v>249.99</v>
          </cell>
          <cell r="K153">
            <v>1</v>
          </cell>
          <cell r="L153">
            <v>1.38</v>
          </cell>
          <cell r="M153">
            <v>92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248.49</v>
          </cell>
          <cell r="Y153">
            <v>249.99</v>
          </cell>
        </row>
        <row r="154">
          <cell r="A154">
            <v>153</v>
          </cell>
          <cell r="B154">
            <v>501</v>
          </cell>
          <cell r="C154" t="str">
            <v>M0113</v>
          </cell>
          <cell r="D154" t="str">
            <v>A</v>
          </cell>
          <cell r="E154" t="str">
            <v>501_M0113_A_153R</v>
          </cell>
          <cell r="F154">
            <v>45862.479166666664</v>
          </cell>
          <cell r="G154" t="str">
            <v>GEPR</v>
          </cell>
          <cell r="H154">
            <v>249.99</v>
          </cell>
          <cell r="I154">
            <v>0.85</v>
          </cell>
          <cell r="J154">
            <v>250.84</v>
          </cell>
          <cell r="K154">
            <v>1</v>
          </cell>
          <cell r="L154">
            <v>0.19</v>
          </cell>
          <cell r="M154">
            <v>22.35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249.99</v>
          </cell>
          <cell r="Y154">
            <v>250.84</v>
          </cell>
        </row>
        <row r="155">
          <cell r="A155">
            <v>154</v>
          </cell>
          <cell r="B155">
            <v>501</v>
          </cell>
          <cell r="C155" t="str">
            <v>M0113</v>
          </cell>
          <cell r="D155" t="str">
            <v>A</v>
          </cell>
          <cell r="E155" t="str">
            <v>501_M0113_A_154R</v>
          </cell>
          <cell r="F155">
            <v>45862.503472222219</v>
          </cell>
          <cell r="G155" t="str">
            <v>GEPR</v>
          </cell>
          <cell r="H155">
            <v>250.84</v>
          </cell>
          <cell r="I155">
            <v>0.25</v>
          </cell>
          <cell r="J155">
            <v>251.09</v>
          </cell>
          <cell r="K155">
            <v>1</v>
          </cell>
          <cell r="L155">
            <v>0.22</v>
          </cell>
          <cell r="M155">
            <v>88</v>
          </cell>
          <cell r="P155" t="str">
            <v>big rock at bottom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(QD-TEC)</v>
          </cell>
          <cell r="V155">
            <v>72</v>
          </cell>
          <cell r="W155">
            <v>0</v>
          </cell>
          <cell r="X155">
            <v>250.84</v>
          </cell>
          <cell r="Y155">
            <v>251.09</v>
          </cell>
        </row>
        <row r="156">
          <cell r="A156">
            <v>155</v>
          </cell>
          <cell r="B156">
            <v>501</v>
          </cell>
          <cell r="C156" t="str">
            <v>M0113</v>
          </cell>
          <cell r="D156" t="str">
            <v>A</v>
          </cell>
          <cell r="E156" t="str">
            <v>501_M0113_A_155R</v>
          </cell>
          <cell r="F156">
            <v>45862.520833333336</v>
          </cell>
          <cell r="G156" t="str">
            <v>GEPR</v>
          </cell>
          <cell r="H156">
            <v>251.09</v>
          </cell>
          <cell r="I156">
            <v>1.9</v>
          </cell>
          <cell r="J156">
            <v>252.99</v>
          </cell>
          <cell r="K156">
            <v>0</v>
          </cell>
          <cell r="L156">
            <v>0</v>
          </cell>
          <cell r="M156">
            <v>0</v>
          </cell>
          <cell r="P156" t="str">
            <v>no recovery</v>
          </cell>
          <cell r="Q156" t="str">
            <v>yes</v>
          </cell>
          <cell r="R156" t="str">
            <v>none</v>
          </cell>
          <cell r="S156" t="str">
            <v>R</v>
          </cell>
          <cell r="T156" t="str">
            <v>R (QD-TEC)</v>
          </cell>
          <cell r="V156">
            <v>72</v>
          </cell>
          <cell r="W156">
            <v>0</v>
          </cell>
          <cell r="X156">
            <v>251.09</v>
          </cell>
          <cell r="Y156">
            <v>252.99</v>
          </cell>
        </row>
        <row r="157">
          <cell r="A157">
            <v>156</v>
          </cell>
          <cell r="B157">
            <v>501</v>
          </cell>
          <cell r="C157" t="str">
            <v>M0113</v>
          </cell>
          <cell r="D157" t="str">
            <v>A</v>
          </cell>
          <cell r="E157" t="str">
            <v>501_M0113_A_156H</v>
          </cell>
          <cell r="F157">
            <v>45862.552083333336</v>
          </cell>
          <cell r="G157" t="str">
            <v>GEPR</v>
          </cell>
          <cell r="H157">
            <v>252.99</v>
          </cell>
          <cell r="I157">
            <v>1.1599999999999999</v>
          </cell>
          <cell r="J157">
            <v>254.15</v>
          </cell>
          <cell r="K157">
            <v>1</v>
          </cell>
          <cell r="L157">
            <v>1.1599999999999999</v>
          </cell>
          <cell r="M157">
            <v>100</v>
          </cell>
          <cell r="P157" t="str">
            <v>loose sands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252.99</v>
          </cell>
          <cell r="Y157">
            <v>254.15</v>
          </cell>
        </row>
        <row r="158">
          <cell r="A158">
            <v>157</v>
          </cell>
          <cell r="B158">
            <v>501</v>
          </cell>
          <cell r="C158" t="str">
            <v>M0113</v>
          </cell>
          <cell r="D158" t="str">
            <v>A</v>
          </cell>
          <cell r="E158" t="str">
            <v>501_M0113_A_157H</v>
          </cell>
          <cell r="F158">
            <v>45862.572916666664</v>
          </cell>
          <cell r="G158" t="str">
            <v>GEPR</v>
          </cell>
          <cell r="H158">
            <v>254.15</v>
          </cell>
          <cell r="I158">
            <v>2.41</v>
          </cell>
          <cell r="J158">
            <v>256.56</v>
          </cell>
          <cell r="K158">
            <v>2</v>
          </cell>
          <cell r="L158">
            <v>2.41</v>
          </cell>
          <cell r="M158">
            <v>100</v>
          </cell>
          <cell r="P158" t="str">
            <v>loose sands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254.15</v>
          </cell>
          <cell r="Y158">
            <v>256.56</v>
          </cell>
        </row>
        <row r="159">
          <cell r="A159">
            <v>158</v>
          </cell>
          <cell r="B159">
            <v>501</v>
          </cell>
          <cell r="C159" t="str">
            <v>M0113</v>
          </cell>
          <cell r="D159" t="str">
            <v>A</v>
          </cell>
          <cell r="E159" t="str">
            <v>501_M0113_A_158O</v>
          </cell>
          <cell r="F159">
            <v>45862.75</v>
          </cell>
          <cell r="G159" t="str">
            <v>PFAF</v>
          </cell>
          <cell r="H159">
            <v>234.56</v>
          </cell>
          <cell r="I159">
            <v>22</v>
          </cell>
          <cell r="J159">
            <v>256.56</v>
          </cell>
          <cell r="K159">
            <v>1</v>
          </cell>
          <cell r="L159">
            <v>22</v>
          </cell>
          <cell r="M159">
            <v>100</v>
          </cell>
          <cell r="P159" t="str">
            <v>virtual core for pump test</v>
          </cell>
          <cell r="Q159" t="str">
            <v>yes</v>
          </cell>
          <cell r="R159" t="str">
            <v>none</v>
          </cell>
          <cell r="S159" t="str">
            <v>O</v>
          </cell>
          <cell r="T159" t="str">
            <v>O (QD-TEC)</v>
          </cell>
          <cell r="V159">
            <v>72</v>
          </cell>
          <cell r="W159">
            <v>0</v>
          </cell>
          <cell r="X159">
            <v>234.56</v>
          </cell>
          <cell r="Y159">
            <v>256.56</v>
          </cell>
        </row>
        <row r="160">
          <cell r="A160">
            <v>159</v>
          </cell>
          <cell r="B160">
            <v>501</v>
          </cell>
          <cell r="C160" t="str">
            <v>M0113</v>
          </cell>
          <cell r="D160" t="str">
            <v>A</v>
          </cell>
          <cell r="E160" t="str">
            <v>501_M0113_A_159H</v>
          </cell>
          <cell r="F160">
            <v>45863.340277777781</v>
          </cell>
          <cell r="G160" t="str">
            <v>GEPR</v>
          </cell>
          <cell r="H160">
            <v>256.56</v>
          </cell>
          <cell r="I160">
            <v>1.73</v>
          </cell>
          <cell r="J160">
            <v>258.29000000000002</v>
          </cell>
          <cell r="K160">
            <v>2</v>
          </cell>
          <cell r="L160">
            <v>1.73</v>
          </cell>
          <cell r="M160">
            <v>100</v>
          </cell>
          <cell r="P160" t="str">
            <v>loose sands</v>
          </cell>
          <cell r="Q160" t="str">
            <v>yes</v>
          </cell>
          <cell r="R160" t="str">
            <v>all</v>
          </cell>
          <cell r="S160" t="str">
            <v>H</v>
          </cell>
          <cell r="T160" t="str">
            <v>H (QD-TEC)</v>
          </cell>
          <cell r="V160">
            <v>72</v>
          </cell>
          <cell r="W160">
            <v>0</v>
          </cell>
          <cell r="X160">
            <v>256.56</v>
          </cell>
          <cell r="Y160">
            <v>258.29000000000002</v>
          </cell>
        </row>
        <row r="161">
          <cell r="A161">
            <v>160</v>
          </cell>
          <cell r="B161">
            <v>501</v>
          </cell>
          <cell r="C161" t="str">
            <v>M0113</v>
          </cell>
          <cell r="D161" t="str">
            <v>A</v>
          </cell>
          <cell r="E161" t="str">
            <v>501_M0113_A_160H</v>
          </cell>
          <cell r="F161">
            <v>45863.371527777781</v>
          </cell>
          <cell r="G161" t="str">
            <v>GEPR</v>
          </cell>
          <cell r="H161">
            <v>258.29000000000002</v>
          </cell>
          <cell r="I161">
            <v>1.69</v>
          </cell>
          <cell r="J161">
            <v>259.98</v>
          </cell>
          <cell r="K161">
            <v>2</v>
          </cell>
          <cell r="L161">
            <v>1.69</v>
          </cell>
          <cell r="M161">
            <v>100</v>
          </cell>
          <cell r="P161" t="str">
            <v>loose sands</v>
          </cell>
          <cell r="Q161" t="str">
            <v>yes</v>
          </cell>
          <cell r="R161" t="str">
            <v>all</v>
          </cell>
          <cell r="S161" t="str">
            <v>H</v>
          </cell>
          <cell r="T161" t="str">
            <v>H (QD-TEC)</v>
          </cell>
          <cell r="V161">
            <v>72</v>
          </cell>
          <cell r="W161">
            <v>0</v>
          </cell>
          <cell r="X161">
            <v>258.29000000000002</v>
          </cell>
          <cell r="Y161">
            <v>259.98</v>
          </cell>
        </row>
        <row r="162">
          <cell r="A162">
            <v>161</v>
          </cell>
          <cell r="B162">
            <v>501</v>
          </cell>
          <cell r="C162" t="str">
            <v>M0113</v>
          </cell>
          <cell r="D162" t="str">
            <v>A</v>
          </cell>
          <cell r="E162" t="str">
            <v>501_M0113_A_161H</v>
          </cell>
          <cell r="F162">
            <v>45863.416666666664</v>
          </cell>
          <cell r="G162" t="str">
            <v>GEPR</v>
          </cell>
          <cell r="H162">
            <v>259.98</v>
          </cell>
          <cell r="I162">
            <v>0.15</v>
          </cell>
          <cell r="J162">
            <v>260.13</v>
          </cell>
          <cell r="K162">
            <v>1</v>
          </cell>
          <cell r="L162">
            <v>0.15</v>
          </cell>
          <cell r="M162">
            <v>100</v>
          </cell>
          <cell r="P162" t="str">
            <v>loose sands</v>
          </cell>
          <cell r="Q162" t="str">
            <v>yes</v>
          </cell>
          <cell r="R162" t="str">
            <v>all</v>
          </cell>
          <cell r="S162" t="str">
            <v>H</v>
          </cell>
          <cell r="T162" t="str">
            <v>H (QD-TEC)</v>
          </cell>
          <cell r="V162">
            <v>72</v>
          </cell>
          <cell r="W162">
            <v>0</v>
          </cell>
          <cell r="X162">
            <v>259.98</v>
          </cell>
          <cell r="Y162">
            <v>260.13</v>
          </cell>
        </row>
        <row r="163">
          <cell r="A163">
            <v>162</v>
          </cell>
          <cell r="B163">
            <v>501</v>
          </cell>
          <cell r="C163" t="str">
            <v>M0113</v>
          </cell>
          <cell r="D163" t="str">
            <v>A</v>
          </cell>
          <cell r="E163" t="str">
            <v>501_M0113_A_162R</v>
          </cell>
          <cell r="F163">
            <v>45863.45416666667</v>
          </cell>
          <cell r="G163" t="str">
            <v>GEPR</v>
          </cell>
          <cell r="H163">
            <v>260.13</v>
          </cell>
          <cell r="I163">
            <v>1.5</v>
          </cell>
          <cell r="J163">
            <v>261.63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yes</v>
          </cell>
          <cell r="R163" t="str">
            <v>none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260.13</v>
          </cell>
          <cell r="Y163">
            <v>261.63</v>
          </cell>
        </row>
        <row r="164">
          <cell r="A164">
            <v>163</v>
          </cell>
          <cell r="B164">
            <v>501</v>
          </cell>
          <cell r="C164" t="str">
            <v>M0113</v>
          </cell>
          <cell r="D164" t="str">
            <v>A</v>
          </cell>
          <cell r="E164" t="str">
            <v>501_M0113_A_163H</v>
          </cell>
          <cell r="F164">
            <v>45863.465277777781</v>
          </cell>
          <cell r="G164" t="str">
            <v>GEPR</v>
          </cell>
          <cell r="H164">
            <v>261.63</v>
          </cell>
          <cell r="I164">
            <v>0.86</v>
          </cell>
          <cell r="J164">
            <v>262.49</v>
          </cell>
          <cell r="K164">
            <v>1</v>
          </cell>
          <cell r="L164">
            <v>0.86</v>
          </cell>
          <cell r="M164">
            <v>100</v>
          </cell>
          <cell r="P164" t="str">
            <v>loose sands</v>
          </cell>
          <cell r="Q164" t="str">
            <v>yes</v>
          </cell>
          <cell r="R164" t="str">
            <v>all</v>
          </cell>
          <cell r="S164" t="str">
            <v>H</v>
          </cell>
          <cell r="T164" t="str">
            <v>H (QD-TEC)</v>
          </cell>
          <cell r="V164">
            <v>72</v>
          </cell>
          <cell r="W164">
            <v>0</v>
          </cell>
          <cell r="X164">
            <v>261.63</v>
          </cell>
          <cell r="Y164">
            <v>262.49</v>
          </cell>
        </row>
        <row r="165">
          <cell r="A165">
            <v>164</v>
          </cell>
          <cell r="B165">
            <v>501</v>
          </cell>
          <cell r="C165" t="str">
            <v>M0113</v>
          </cell>
          <cell r="D165" t="str">
            <v>A</v>
          </cell>
          <cell r="E165" t="str">
            <v>501_M0113_A_164H</v>
          </cell>
          <cell r="F165">
            <v>45863.493055555555</v>
          </cell>
          <cell r="G165" t="str">
            <v>GEPR</v>
          </cell>
          <cell r="H165">
            <v>262.49</v>
          </cell>
          <cell r="I165">
            <v>0.43</v>
          </cell>
          <cell r="J165">
            <v>262.92</v>
          </cell>
          <cell r="K165">
            <v>1</v>
          </cell>
          <cell r="L165">
            <v>0.43</v>
          </cell>
          <cell r="M165">
            <v>100</v>
          </cell>
          <cell r="P165" t="str">
            <v>loose sands</v>
          </cell>
          <cell r="Q165" t="str">
            <v>yes</v>
          </cell>
          <cell r="R165" t="str">
            <v>all</v>
          </cell>
          <cell r="S165" t="str">
            <v>H</v>
          </cell>
          <cell r="T165" t="str">
            <v>H (QD-TEC)</v>
          </cell>
          <cell r="V165">
            <v>72</v>
          </cell>
          <cell r="W165">
            <v>0</v>
          </cell>
          <cell r="X165">
            <v>262.49</v>
          </cell>
          <cell r="Y165">
            <v>262.92</v>
          </cell>
        </row>
        <row r="166">
          <cell r="A166">
            <v>165</v>
          </cell>
          <cell r="B166">
            <v>501</v>
          </cell>
          <cell r="C166" t="str">
            <v>M0113</v>
          </cell>
          <cell r="D166" t="str">
            <v>A</v>
          </cell>
          <cell r="E166" t="str">
            <v>501_M0113_A_165H</v>
          </cell>
          <cell r="F166">
            <v>45863.520833333336</v>
          </cell>
          <cell r="G166" t="str">
            <v>GEPR</v>
          </cell>
          <cell r="H166">
            <v>262.92</v>
          </cell>
          <cell r="I166">
            <v>2.14</v>
          </cell>
          <cell r="J166">
            <v>265.06</v>
          </cell>
          <cell r="K166">
            <v>2</v>
          </cell>
          <cell r="L166">
            <v>2.14</v>
          </cell>
          <cell r="M166">
            <v>100</v>
          </cell>
          <cell r="P166" t="str">
            <v>loose sands</v>
          </cell>
          <cell r="Q166" t="str">
            <v>yes</v>
          </cell>
          <cell r="R166" t="str">
            <v>all</v>
          </cell>
          <cell r="S166" t="str">
            <v>H</v>
          </cell>
          <cell r="T166" t="str">
            <v>H (QD-TEC)</v>
          </cell>
          <cell r="V166">
            <v>72</v>
          </cell>
          <cell r="W166">
            <v>0</v>
          </cell>
          <cell r="X166">
            <v>262.92</v>
          </cell>
          <cell r="Y166">
            <v>265.06</v>
          </cell>
        </row>
        <row r="167">
          <cell r="A167">
            <v>166</v>
          </cell>
          <cell r="B167">
            <v>501</v>
          </cell>
          <cell r="C167" t="str">
            <v>M0113</v>
          </cell>
          <cell r="D167" t="str">
            <v>A</v>
          </cell>
          <cell r="E167" t="str">
            <v>501_M0113_A_166H</v>
          </cell>
          <cell r="F167">
            <v>45863.548611111109</v>
          </cell>
          <cell r="G167" t="str">
            <v>GEPR</v>
          </cell>
          <cell r="H167">
            <v>265.06</v>
          </cell>
          <cell r="I167">
            <v>1.72</v>
          </cell>
          <cell r="J167">
            <v>266.77999999999997</v>
          </cell>
          <cell r="K167">
            <v>2</v>
          </cell>
          <cell r="L167">
            <v>1.72</v>
          </cell>
          <cell r="M167">
            <v>100</v>
          </cell>
          <cell r="P167" t="str">
            <v>loose sands</v>
          </cell>
          <cell r="Q167" t="str">
            <v>yes</v>
          </cell>
          <cell r="R167" t="str">
            <v>all</v>
          </cell>
          <cell r="S167" t="str">
            <v>H</v>
          </cell>
          <cell r="T167" t="str">
            <v>H (QD-TEC)</v>
          </cell>
          <cell r="V167">
            <v>72</v>
          </cell>
          <cell r="W167">
            <v>0</v>
          </cell>
          <cell r="X167">
            <v>265.06</v>
          </cell>
          <cell r="Y167">
            <v>266.77999999999997</v>
          </cell>
        </row>
        <row r="168">
          <cell r="A168">
            <v>167</v>
          </cell>
          <cell r="B168">
            <v>501</v>
          </cell>
          <cell r="C168" t="str">
            <v>M0113</v>
          </cell>
          <cell r="D168" t="str">
            <v>A</v>
          </cell>
          <cell r="E168" t="str">
            <v>501_M0113_A_167H</v>
          </cell>
          <cell r="F168">
            <v>45863.576388888891</v>
          </cell>
          <cell r="G168" t="str">
            <v>GEPR</v>
          </cell>
          <cell r="H168">
            <v>266.77999999999997</v>
          </cell>
          <cell r="I168">
            <v>2.25</v>
          </cell>
          <cell r="J168">
            <v>269.02999999999997</v>
          </cell>
          <cell r="K168">
            <v>2</v>
          </cell>
          <cell r="L168">
            <v>2.25</v>
          </cell>
          <cell r="M168">
            <v>100</v>
          </cell>
          <cell r="P168" t="str">
            <v>loose sands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266.77999999999997</v>
          </cell>
          <cell r="Y168">
            <v>269.02999999999997</v>
          </cell>
        </row>
        <row r="169">
          <cell r="A169">
            <v>168</v>
          </cell>
          <cell r="B169">
            <v>501</v>
          </cell>
          <cell r="C169" t="str">
            <v>M0113</v>
          </cell>
          <cell r="D169" t="str">
            <v>A</v>
          </cell>
          <cell r="E169" t="str">
            <v>501_M0113_A_168H</v>
          </cell>
          <cell r="F169">
            <v>45863.607638888891</v>
          </cell>
          <cell r="G169" t="str">
            <v>GEPR</v>
          </cell>
          <cell r="H169">
            <v>269.02999999999997</v>
          </cell>
          <cell r="I169">
            <v>1.92</v>
          </cell>
          <cell r="J169">
            <v>270.95</v>
          </cell>
          <cell r="K169">
            <v>2</v>
          </cell>
          <cell r="L169">
            <v>1.92</v>
          </cell>
          <cell r="M169">
            <v>100</v>
          </cell>
          <cell r="P169" t="str">
            <v>loose sands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269.02999999999997</v>
          </cell>
          <cell r="Y169">
            <v>270.95</v>
          </cell>
        </row>
        <row r="170">
          <cell r="A170">
            <v>169</v>
          </cell>
          <cell r="B170">
            <v>501</v>
          </cell>
          <cell r="C170" t="str">
            <v>M0113</v>
          </cell>
          <cell r="D170" t="str">
            <v>A</v>
          </cell>
          <cell r="E170" t="str">
            <v>501_M0113_A_169H</v>
          </cell>
          <cell r="F170">
            <v>45863.638888888891</v>
          </cell>
          <cell r="G170" t="str">
            <v>GEPR</v>
          </cell>
          <cell r="H170">
            <v>270.95</v>
          </cell>
          <cell r="I170">
            <v>2.0099999999999998</v>
          </cell>
          <cell r="J170">
            <v>272.95999999999998</v>
          </cell>
          <cell r="K170">
            <v>2</v>
          </cell>
          <cell r="L170">
            <v>2.0099999999999998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270.95</v>
          </cell>
          <cell r="Y170">
            <v>272.95999999999998</v>
          </cell>
        </row>
        <row r="171">
          <cell r="A171">
            <v>170</v>
          </cell>
          <cell r="B171">
            <v>501</v>
          </cell>
          <cell r="C171" t="str">
            <v>M0113</v>
          </cell>
          <cell r="D171" t="str">
            <v>A</v>
          </cell>
          <cell r="E171" t="str">
            <v>501_M0113_A_170O</v>
          </cell>
          <cell r="F171">
            <v>45863.75</v>
          </cell>
          <cell r="G171" t="str">
            <v>PFAF</v>
          </cell>
          <cell r="H171">
            <v>248.96</v>
          </cell>
          <cell r="I171">
            <v>24</v>
          </cell>
          <cell r="J171">
            <v>272.95999999999998</v>
          </cell>
          <cell r="K171">
            <v>1</v>
          </cell>
          <cell r="L171">
            <v>24</v>
          </cell>
          <cell r="M171">
            <v>100</v>
          </cell>
          <cell r="P171" t="str">
            <v>virtual core for pump test</v>
          </cell>
          <cell r="Q171" t="str">
            <v>yes</v>
          </cell>
          <cell r="R171" t="str">
            <v>none</v>
          </cell>
          <cell r="S171" t="str">
            <v>O</v>
          </cell>
          <cell r="T171" t="str">
            <v>O (QD-TEC)</v>
          </cell>
          <cell r="V171">
            <v>72</v>
          </cell>
          <cell r="W171">
            <v>0</v>
          </cell>
          <cell r="X171">
            <v>248.96</v>
          </cell>
          <cell r="Y171">
            <v>272.95999999999998</v>
          </cell>
        </row>
        <row r="172">
          <cell r="A172">
            <v>171</v>
          </cell>
          <cell r="B172">
            <v>501</v>
          </cell>
          <cell r="C172" t="str">
            <v>M0113</v>
          </cell>
          <cell r="D172" t="str">
            <v>A</v>
          </cell>
          <cell r="E172" t="str">
            <v>501_M0113_A_171H</v>
          </cell>
          <cell r="F172">
            <v>45865.916666666664</v>
          </cell>
          <cell r="G172" t="str">
            <v>PFAF</v>
          </cell>
          <cell r="H172">
            <v>272.95999999999998</v>
          </cell>
          <cell r="I172">
            <v>1.5</v>
          </cell>
          <cell r="J172">
            <v>274.45999999999998</v>
          </cell>
          <cell r="K172">
            <v>1</v>
          </cell>
          <cell r="L172">
            <v>1.5</v>
          </cell>
          <cell r="M172">
            <v>100</v>
          </cell>
          <cell r="P172" t="str">
            <v>transferred into new liner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272.95999999999998</v>
          </cell>
          <cell r="Y172">
            <v>274.45999999999998</v>
          </cell>
        </row>
        <row r="173">
          <cell r="A173">
            <v>172</v>
          </cell>
          <cell r="B173">
            <v>501</v>
          </cell>
          <cell r="C173" t="str">
            <v>M0113</v>
          </cell>
          <cell r="D173" t="str">
            <v>A</v>
          </cell>
          <cell r="E173" t="str">
            <v>501_M0113_A_172H</v>
          </cell>
          <cell r="F173">
            <v>45865.961805555555</v>
          </cell>
          <cell r="G173" t="str">
            <v>PFAF</v>
          </cell>
          <cell r="H173">
            <v>274.45999999999998</v>
          </cell>
          <cell r="I173">
            <v>2.38</v>
          </cell>
          <cell r="J173">
            <v>276.83999999999997</v>
          </cell>
          <cell r="K173">
            <v>4</v>
          </cell>
          <cell r="L173">
            <v>2.38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274.45999999999998</v>
          </cell>
          <cell r="Y173">
            <v>276.83999999999997</v>
          </cell>
        </row>
        <row r="174">
          <cell r="A174">
            <v>173</v>
          </cell>
          <cell r="B174">
            <v>501</v>
          </cell>
          <cell r="C174" t="str">
            <v>M0113</v>
          </cell>
          <cell r="D174" t="str">
            <v>A</v>
          </cell>
          <cell r="E174" t="str">
            <v>501_M0113_A_173H</v>
          </cell>
          <cell r="F174">
            <v>45866.013888888891</v>
          </cell>
          <cell r="G174" t="str">
            <v>PFAF</v>
          </cell>
          <cell r="H174">
            <v>276.83999999999997</v>
          </cell>
          <cell r="I174">
            <v>0.89</v>
          </cell>
          <cell r="J174">
            <v>277.73</v>
          </cell>
          <cell r="K174">
            <v>1</v>
          </cell>
          <cell r="L174">
            <v>0.89</v>
          </cell>
          <cell r="M174">
            <v>100</v>
          </cell>
          <cell r="P174" t="str">
            <v>30 cm infill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276.83999999999997</v>
          </cell>
          <cell r="Y174">
            <v>277.73</v>
          </cell>
        </row>
        <row r="175">
          <cell r="A175">
            <v>174</v>
          </cell>
          <cell r="B175">
            <v>501</v>
          </cell>
          <cell r="C175" t="str">
            <v>M0113</v>
          </cell>
          <cell r="D175" t="str">
            <v>A</v>
          </cell>
          <cell r="E175" t="str">
            <v>501_M0113_A_174H</v>
          </cell>
          <cell r="F175">
            <v>45866.0625</v>
          </cell>
          <cell r="G175" t="str">
            <v>PFAF</v>
          </cell>
          <cell r="H175">
            <v>277.73</v>
          </cell>
          <cell r="I175">
            <v>0.01</v>
          </cell>
          <cell r="J175">
            <v>277.74</v>
          </cell>
          <cell r="K175">
            <v>1</v>
          </cell>
          <cell r="L175">
            <v>0.01</v>
          </cell>
          <cell r="M175">
            <v>100</v>
          </cell>
          <cell r="P175" t="str">
            <v>all rock</v>
          </cell>
          <cell r="Q175" t="str">
            <v>no</v>
          </cell>
          <cell r="R175" t="str">
            <v>none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277.73</v>
          </cell>
          <cell r="Y175">
            <v>277.74</v>
          </cell>
        </row>
        <row r="176">
          <cell r="A176">
            <v>175</v>
          </cell>
          <cell r="B176">
            <v>501</v>
          </cell>
          <cell r="C176" t="str">
            <v>M0113</v>
          </cell>
          <cell r="D176" t="str">
            <v>A</v>
          </cell>
          <cell r="E176" t="str">
            <v>501_M0113_A_175R</v>
          </cell>
          <cell r="F176">
            <v>45866.260416666664</v>
          </cell>
          <cell r="G176" t="str">
            <v>GEPR</v>
          </cell>
          <cell r="H176">
            <v>277.74</v>
          </cell>
          <cell r="I176">
            <v>2</v>
          </cell>
          <cell r="J176">
            <v>279.74</v>
          </cell>
          <cell r="K176">
            <v>1</v>
          </cell>
          <cell r="L176">
            <v>1.25</v>
          </cell>
          <cell r="M176">
            <v>62.5</v>
          </cell>
          <cell r="P176" t="str">
            <v>big rock at TOP</v>
          </cell>
          <cell r="Q176" t="str">
            <v>yes</v>
          </cell>
          <cell r="R176" t="str">
            <v>all</v>
          </cell>
          <cell r="S176" t="str">
            <v>R</v>
          </cell>
          <cell r="T176" t="str">
            <v>R (QD-TEC)</v>
          </cell>
          <cell r="V176">
            <v>72</v>
          </cell>
          <cell r="W176">
            <v>0</v>
          </cell>
          <cell r="X176">
            <v>277.74</v>
          </cell>
          <cell r="Y176">
            <v>279.74</v>
          </cell>
        </row>
        <row r="177">
          <cell r="A177">
            <v>176</v>
          </cell>
          <cell r="B177">
            <v>501</v>
          </cell>
          <cell r="C177" t="str">
            <v>M0113</v>
          </cell>
          <cell r="D177" t="str">
            <v>A</v>
          </cell>
          <cell r="E177" t="str">
            <v>501_M0113_A_176R</v>
          </cell>
          <cell r="F177">
            <v>45866.288194444445</v>
          </cell>
          <cell r="G177" t="str">
            <v>GEPR</v>
          </cell>
          <cell r="H177">
            <v>279.74</v>
          </cell>
          <cell r="I177">
            <v>1.75</v>
          </cell>
          <cell r="J177">
            <v>281.49</v>
          </cell>
          <cell r="K177">
            <v>1</v>
          </cell>
          <cell r="L177">
            <v>0.39</v>
          </cell>
          <cell r="M177">
            <v>22.29</v>
          </cell>
          <cell r="Q177" t="str">
            <v>yes</v>
          </cell>
          <cell r="R177" t="str">
            <v>all</v>
          </cell>
          <cell r="S177" t="str">
            <v>R</v>
          </cell>
          <cell r="T177" t="str">
            <v>R (QD-TEC)</v>
          </cell>
          <cell r="V177">
            <v>72</v>
          </cell>
          <cell r="W177">
            <v>0</v>
          </cell>
          <cell r="X177">
            <v>279.74</v>
          </cell>
          <cell r="Y177">
            <v>281.49</v>
          </cell>
        </row>
        <row r="178">
          <cell r="A178">
            <v>177</v>
          </cell>
          <cell r="B178">
            <v>501</v>
          </cell>
          <cell r="C178" t="str">
            <v>M0113</v>
          </cell>
          <cell r="D178" t="str">
            <v>A</v>
          </cell>
          <cell r="E178" t="str">
            <v>501_M0113_A_177H</v>
          </cell>
          <cell r="F178">
            <v>45866.302083333336</v>
          </cell>
          <cell r="G178" t="str">
            <v>GEPR</v>
          </cell>
          <cell r="H178">
            <v>281.49</v>
          </cell>
          <cell r="I178">
            <v>1.4</v>
          </cell>
          <cell r="J178">
            <v>282.89</v>
          </cell>
          <cell r="K178">
            <v>2</v>
          </cell>
          <cell r="L178">
            <v>1.4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281.49</v>
          </cell>
          <cell r="Y178">
            <v>282.89</v>
          </cell>
        </row>
        <row r="179">
          <cell r="A179">
            <v>178</v>
          </cell>
          <cell r="B179">
            <v>501</v>
          </cell>
          <cell r="C179" t="str">
            <v>M0113</v>
          </cell>
          <cell r="D179" t="str">
            <v>A</v>
          </cell>
          <cell r="E179" t="str">
            <v>501_M0113_A_178H</v>
          </cell>
          <cell r="F179">
            <v>45866.336805555555</v>
          </cell>
          <cell r="G179" t="str">
            <v>GEPR</v>
          </cell>
          <cell r="H179">
            <v>282.89</v>
          </cell>
          <cell r="I179">
            <v>1.9</v>
          </cell>
          <cell r="J179">
            <v>284.79000000000002</v>
          </cell>
          <cell r="K179">
            <v>2</v>
          </cell>
          <cell r="L179">
            <v>1.9</v>
          </cell>
          <cell r="M179">
            <v>100</v>
          </cell>
          <cell r="P179" t="str">
            <v>liner crashed</v>
          </cell>
          <cell r="X179">
            <v>282.89</v>
          </cell>
        </row>
        <row r="180">
          <cell r="A180">
            <v>179</v>
          </cell>
          <cell r="B180">
            <v>501</v>
          </cell>
          <cell r="C180" t="str">
            <v>M0113</v>
          </cell>
          <cell r="D180" t="str">
            <v>A</v>
          </cell>
          <cell r="E180" t="str">
            <v>501_M0113_A_179H</v>
          </cell>
          <cell r="F180">
            <v>45866.378472222219</v>
          </cell>
          <cell r="G180" t="str">
            <v>GEPR</v>
          </cell>
          <cell r="H180">
            <v>284.79000000000002</v>
          </cell>
          <cell r="I180">
            <v>1.3</v>
          </cell>
          <cell r="J180">
            <v>286.08999999999997</v>
          </cell>
          <cell r="K180">
            <v>2</v>
          </cell>
          <cell r="L180">
            <v>1.3</v>
          </cell>
          <cell r="M180">
            <v>100</v>
          </cell>
          <cell r="P180" t="str">
            <v>loose sands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284.79000000000002</v>
          </cell>
          <cell r="Y180">
            <v>286.08999999999997</v>
          </cell>
        </row>
        <row r="181">
          <cell r="A181">
            <v>180</v>
          </cell>
          <cell r="B181">
            <v>501</v>
          </cell>
          <cell r="C181" t="str">
            <v>M0113</v>
          </cell>
          <cell r="D181" t="str">
            <v>A</v>
          </cell>
          <cell r="E181" t="str">
            <v>501_M0113_A_180H</v>
          </cell>
          <cell r="F181">
            <v>45866.413194444445</v>
          </cell>
          <cell r="G181" t="str">
            <v>GEPR</v>
          </cell>
          <cell r="H181">
            <v>286.08999999999997</v>
          </cell>
          <cell r="I181">
            <v>0.9</v>
          </cell>
          <cell r="J181">
            <v>286.99</v>
          </cell>
          <cell r="K181">
            <v>1</v>
          </cell>
          <cell r="L181">
            <v>0.9</v>
          </cell>
          <cell r="M181">
            <v>100</v>
          </cell>
          <cell r="P181" t="str">
            <v>loose sands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286.08999999999997</v>
          </cell>
          <cell r="Y181">
            <v>286.99</v>
          </cell>
        </row>
        <row r="182">
          <cell r="A182">
            <v>181</v>
          </cell>
          <cell r="B182">
            <v>501</v>
          </cell>
          <cell r="C182" t="str">
            <v>M0113</v>
          </cell>
          <cell r="D182" t="str">
            <v>A</v>
          </cell>
          <cell r="E182" t="str">
            <v>501_M0113_A_181H</v>
          </cell>
          <cell r="F182">
            <v>45866.4375</v>
          </cell>
          <cell r="G182" t="str">
            <v>GEPR</v>
          </cell>
          <cell r="H182">
            <v>286.99</v>
          </cell>
          <cell r="I182">
            <v>1.41</v>
          </cell>
          <cell r="J182">
            <v>288.39999999999998</v>
          </cell>
          <cell r="K182">
            <v>1</v>
          </cell>
          <cell r="L182">
            <v>1.41</v>
          </cell>
          <cell r="M182">
            <v>100</v>
          </cell>
          <cell r="P182" t="str">
            <v>loose sands</v>
          </cell>
          <cell r="Q182" t="str">
            <v>yes</v>
          </cell>
          <cell r="R182" t="str">
            <v>all</v>
          </cell>
          <cell r="S182" t="str">
            <v>H</v>
          </cell>
          <cell r="T182" t="str">
            <v>H (QD-TEC)</v>
          </cell>
          <cell r="V182">
            <v>72</v>
          </cell>
          <cell r="W182">
            <v>0</v>
          </cell>
          <cell r="X182">
            <v>286.99</v>
          </cell>
          <cell r="Y182">
            <v>288.39999999999998</v>
          </cell>
        </row>
        <row r="183">
          <cell r="A183">
            <v>182</v>
          </cell>
          <cell r="B183">
            <v>501</v>
          </cell>
          <cell r="C183" t="str">
            <v>M0113</v>
          </cell>
          <cell r="D183" t="str">
            <v>A</v>
          </cell>
          <cell r="E183" t="str">
            <v>501_M0113_A_182H</v>
          </cell>
          <cell r="F183">
            <v>45866.46875</v>
          </cell>
          <cell r="G183" t="str">
            <v>GEPR</v>
          </cell>
          <cell r="H183">
            <v>288.39999999999998</v>
          </cell>
          <cell r="I183">
            <v>2.2599999999999998</v>
          </cell>
          <cell r="J183">
            <v>290.66000000000003</v>
          </cell>
          <cell r="K183">
            <v>2</v>
          </cell>
          <cell r="L183">
            <v>2.2599999999999998</v>
          </cell>
          <cell r="M183">
            <v>100</v>
          </cell>
          <cell r="P183" t="str">
            <v>loose sands</v>
          </cell>
          <cell r="Q183" t="str">
            <v>yes</v>
          </cell>
          <cell r="R183" t="str">
            <v>all</v>
          </cell>
          <cell r="S183" t="str">
            <v>H</v>
          </cell>
          <cell r="T183" t="str">
            <v>H (QD-TEC)</v>
          </cell>
          <cell r="V183">
            <v>72</v>
          </cell>
          <cell r="W183">
            <v>0</v>
          </cell>
          <cell r="X183">
            <v>288.39999999999998</v>
          </cell>
          <cell r="Y183">
            <v>290.66000000000003</v>
          </cell>
        </row>
        <row r="184">
          <cell r="A184">
            <v>183</v>
          </cell>
          <cell r="B184">
            <v>501</v>
          </cell>
          <cell r="C184" t="str">
            <v>M0113</v>
          </cell>
          <cell r="D184" t="str">
            <v>A</v>
          </cell>
          <cell r="E184" t="str">
            <v>501_M0113_A_183H</v>
          </cell>
          <cell r="F184">
            <v>45866.496527777781</v>
          </cell>
          <cell r="G184" t="str">
            <v>GEPR</v>
          </cell>
          <cell r="H184">
            <v>290.66000000000003</v>
          </cell>
          <cell r="I184">
            <v>0.23</v>
          </cell>
          <cell r="J184">
            <v>290.89</v>
          </cell>
          <cell r="K184">
            <v>1</v>
          </cell>
          <cell r="L184">
            <v>0.23</v>
          </cell>
          <cell r="M184">
            <v>100</v>
          </cell>
          <cell r="P184" t="str">
            <v>loose sands</v>
          </cell>
          <cell r="Q184" t="str">
            <v>yes</v>
          </cell>
          <cell r="R184" t="str">
            <v>all</v>
          </cell>
          <cell r="S184" t="str">
            <v>H</v>
          </cell>
          <cell r="T184" t="str">
            <v>H (QD-TEC)</v>
          </cell>
          <cell r="V184">
            <v>72</v>
          </cell>
          <cell r="W184">
            <v>0</v>
          </cell>
          <cell r="X184">
            <v>290.66000000000003</v>
          </cell>
          <cell r="Y184">
            <v>290.89</v>
          </cell>
        </row>
        <row r="185">
          <cell r="A185">
            <v>184</v>
          </cell>
          <cell r="B185">
            <v>501</v>
          </cell>
          <cell r="C185" t="str">
            <v>M0113</v>
          </cell>
          <cell r="D185" t="str">
            <v>A</v>
          </cell>
          <cell r="E185" t="str">
            <v>501_M0113_A_184H</v>
          </cell>
          <cell r="F185">
            <v>45866.524305555555</v>
          </cell>
          <cell r="G185" t="str">
            <v>GEPR</v>
          </cell>
          <cell r="H185">
            <v>290.89</v>
          </cell>
          <cell r="I185">
            <v>1.3</v>
          </cell>
          <cell r="J185">
            <v>292.19</v>
          </cell>
          <cell r="K185">
            <v>1</v>
          </cell>
          <cell r="L185">
            <v>1.3</v>
          </cell>
          <cell r="M185">
            <v>100</v>
          </cell>
          <cell r="P185" t="str">
            <v>loose sands</v>
          </cell>
          <cell r="Q185" t="str">
            <v>yes</v>
          </cell>
          <cell r="R185" t="str">
            <v>all</v>
          </cell>
          <cell r="S185" t="str">
            <v>H</v>
          </cell>
          <cell r="T185" t="str">
            <v>H (QD-TEC)</v>
          </cell>
          <cell r="V185">
            <v>72</v>
          </cell>
          <cell r="W185">
            <v>0</v>
          </cell>
          <cell r="X185">
            <v>290.89</v>
          </cell>
          <cell r="Y185">
            <v>292.19</v>
          </cell>
        </row>
        <row r="186">
          <cell r="A186">
            <v>185</v>
          </cell>
          <cell r="B186">
            <v>501</v>
          </cell>
          <cell r="C186" t="str">
            <v>M0113</v>
          </cell>
          <cell r="D186" t="str">
            <v>A</v>
          </cell>
          <cell r="E186" t="str">
            <v>501_M0113_A_185H</v>
          </cell>
          <cell r="F186">
            <v>45866.545138888891</v>
          </cell>
          <cell r="G186" t="str">
            <v>GEPR</v>
          </cell>
          <cell r="H186">
            <v>292.19</v>
          </cell>
          <cell r="I186">
            <v>1.65</v>
          </cell>
          <cell r="J186">
            <v>293.83999999999997</v>
          </cell>
          <cell r="K186">
            <v>2</v>
          </cell>
          <cell r="L186">
            <v>1.65</v>
          </cell>
          <cell r="M186">
            <v>100</v>
          </cell>
          <cell r="P186" t="str">
            <v>loose sands</v>
          </cell>
          <cell r="Q186" t="str">
            <v>yes</v>
          </cell>
          <cell r="R186" t="str">
            <v>all</v>
          </cell>
          <cell r="S186" t="str">
            <v>H</v>
          </cell>
          <cell r="T186" t="str">
            <v>H (QD-TEC)</v>
          </cell>
          <cell r="V186">
            <v>72</v>
          </cell>
          <cell r="W186">
            <v>0</v>
          </cell>
          <cell r="X186">
            <v>292.19</v>
          </cell>
          <cell r="Y186">
            <v>293.83999999999997</v>
          </cell>
        </row>
        <row r="187">
          <cell r="A187">
            <v>186</v>
          </cell>
          <cell r="B187">
            <v>501</v>
          </cell>
          <cell r="C187" t="str">
            <v>M0113</v>
          </cell>
          <cell r="D187" t="str">
            <v>A</v>
          </cell>
          <cell r="E187" t="str">
            <v>501_M0113_A_186H</v>
          </cell>
          <cell r="F187">
            <v>45866.576388888891</v>
          </cell>
          <cell r="G187" t="str">
            <v>GEPR</v>
          </cell>
          <cell r="H187">
            <v>293.83999999999997</v>
          </cell>
          <cell r="I187">
            <v>0.05</v>
          </cell>
          <cell r="J187">
            <v>293.89</v>
          </cell>
          <cell r="K187">
            <v>1</v>
          </cell>
          <cell r="L187">
            <v>0.05</v>
          </cell>
          <cell r="M187">
            <v>100</v>
          </cell>
          <cell r="P187" t="str">
            <v>All to PAL</v>
          </cell>
          <cell r="Q187" t="str">
            <v>no</v>
          </cell>
          <cell r="R187" t="str">
            <v>none</v>
          </cell>
          <cell r="S187" t="str">
            <v>H</v>
          </cell>
          <cell r="T187" t="str">
            <v>H (QD-TEC)</v>
          </cell>
          <cell r="V187">
            <v>72</v>
          </cell>
          <cell r="W187">
            <v>0</v>
          </cell>
          <cell r="X187">
            <v>293.83999999999997</v>
          </cell>
          <cell r="Y187">
            <v>293.89</v>
          </cell>
        </row>
        <row r="188">
          <cell r="A188">
            <v>187</v>
          </cell>
          <cell r="B188">
            <v>501</v>
          </cell>
          <cell r="C188" t="str">
            <v>M0113</v>
          </cell>
          <cell r="D188" t="str">
            <v>A</v>
          </cell>
          <cell r="E188" t="str">
            <v>501_M0113_A_187H</v>
          </cell>
          <cell r="F188">
            <v>45866.604166666664</v>
          </cell>
          <cell r="G188" t="str">
            <v>GEPR</v>
          </cell>
          <cell r="H188">
            <v>293.89</v>
          </cell>
          <cell r="I188">
            <v>0.57999999999999996</v>
          </cell>
          <cell r="J188">
            <v>294.47000000000003</v>
          </cell>
          <cell r="K188">
            <v>1</v>
          </cell>
          <cell r="L188">
            <v>0.57999999999999996</v>
          </cell>
          <cell r="M188">
            <v>100</v>
          </cell>
          <cell r="P188" t="str">
            <v>loose sands</v>
          </cell>
          <cell r="Q188" t="str">
            <v>yes</v>
          </cell>
          <cell r="R188" t="str">
            <v>all</v>
          </cell>
          <cell r="S188" t="str">
            <v>H</v>
          </cell>
          <cell r="T188" t="str">
            <v>H (QD-TEC)</v>
          </cell>
          <cell r="V188">
            <v>72</v>
          </cell>
          <cell r="W188">
            <v>0</v>
          </cell>
          <cell r="X188">
            <v>293.89</v>
          </cell>
          <cell r="Y188">
            <v>294.47000000000003</v>
          </cell>
        </row>
        <row r="189">
          <cell r="A189">
            <v>188</v>
          </cell>
          <cell r="B189">
            <v>501</v>
          </cell>
          <cell r="C189" t="str">
            <v>M0113</v>
          </cell>
          <cell r="D189" t="str">
            <v>A</v>
          </cell>
          <cell r="E189" t="str">
            <v>501_M0113_A_188H</v>
          </cell>
          <cell r="F189">
            <v>45866.631944444445</v>
          </cell>
          <cell r="G189" t="str">
            <v>GEPR</v>
          </cell>
          <cell r="H189">
            <v>294.47000000000003</v>
          </cell>
          <cell r="I189">
            <v>0.94</v>
          </cell>
          <cell r="J189">
            <v>295.41000000000003</v>
          </cell>
          <cell r="K189">
            <v>1</v>
          </cell>
          <cell r="L189">
            <v>0.94</v>
          </cell>
          <cell r="M189">
            <v>100</v>
          </cell>
          <cell r="P189" t="str">
            <v>liner stuck</v>
          </cell>
          <cell r="X189">
            <v>294.47000000000003</v>
          </cell>
        </row>
        <row r="190">
          <cell r="A190">
            <v>189</v>
          </cell>
          <cell r="B190">
            <v>501</v>
          </cell>
          <cell r="C190" t="str">
            <v>M0113</v>
          </cell>
          <cell r="D190" t="str">
            <v>A</v>
          </cell>
          <cell r="E190" t="str">
            <v>501_M0113_A_189R</v>
          </cell>
          <cell r="F190">
            <v>45866.71875</v>
          </cell>
          <cell r="G190" t="str">
            <v>PFAF</v>
          </cell>
          <cell r="H190">
            <v>295.41000000000003</v>
          </cell>
          <cell r="I190">
            <v>1.08</v>
          </cell>
          <cell r="J190">
            <v>296.49</v>
          </cell>
          <cell r="K190">
            <v>1</v>
          </cell>
          <cell r="L190">
            <v>0.38</v>
          </cell>
          <cell r="M190">
            <v>35.19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295.41000000000003</v>
          </cell>
          <cell r="Y190">
            <v>296.49</v>
          </cell>
        </row>
        <row r="191">
          <cell r="A191">
            <v>190</v>
          </cell>
          <cell r="B191">
            <v>501</v>
          </cell>
          <cell r="C191" t="str">
            <v>M0113</v>
          </cell>
          <cell r="D191" t="str">
            <v>A</v>
          </cell>
          <cell r="E191" t="str">
            <v>501_M0113_A_190R</v>
          </cell>
          <cell r="F191">
            <v>45866.75</v>
          </cell>
          <cell r="G191" t="str">
            <v>PFAF</v>
          </cell>
          <cell r="H191">
            <v>296.49</v>
          </cell>
          <cell r="I191">
            <v>1.5</v>
          </cell>
          <cell r="J191">
            <v>297.99</v>
          </cell>
          <cell r="K191">
            <v>1</v>
          </cell>
          <cell r="L191">
            <v>0.27</v>
          </cell>
          <cell r="M191">
            <v>18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296.49</v>
          </cell>
          <cell r="Y191">
            <v>297.99</v>
          </cell>
        </row>
        <row r="192">
          <cell r="A192">
            <v>191</v>
          </cell>
          <cell r="B192">
            <v>501</v>
          </cell>
          <cell r="C192" t="str">
            <v>M0113</v>
          </cell>
          <cell r="D192" t="str">
            <v>A</v>
          </cell>
          <cell r="E192" t="str">
            <v>501_M0113_A_191H</v>
          </cell>
          <cell r="F192">
            <v>45866.788194444445</v>
          </cell>
          <cell r="G192" t="str">
            <v>PFAF</v>
          </cell>
          <cell r="H192">
            <v>297.99</v>
          </cell>
          <cell r="I192">
            <v>1.84</v>
          </cell>
          <cell r="J192">
            <v>299.83</v>
          </cell>
          <cell r="K192">
            <v>2</v>
          </cell>
          <cell r="L192">
            <v>1.84</v>
          </cell>
          <cell r="M192">
            <v>100</v>
          </cell>
          <cell r="Q192" t="str">
            <v>yes</v>
          </cell>
          <cell r="R192" t="str">
            <v>all</v>
          </cell>
          <cell r="S192" t="str">
            <v>H</v>
          </cell>
          <cell r="T192" t="str">
            <v>H (QD-TEC)</v>
          </cell>
          <cell r="V192">
            <v>72</v>
          </cell>
          <cell r="W192">
            <v>0</v>
          </cell>
          <cell r="X192">
            <v>297.99</v>
          </cell>
          <cell r="Y192">
            <v>299.83</v>
          </cell>
        </row>
        <row r="193">
          <cell r="A193">
            <v>192</v>
          </cell>
          <cell r="B193">
            <v>501</v>
          </cell>
          <cell r="C193" t="str">
            <v>M0113</v>
          </cell>
          <cell r="D193" t="str">
            <v>A</v>
          </cell>
          <cell r="E193" t="str">
            <v>501_M0113_A_192H</v>
          </cell>
          <cell r="F193">
            <v>45866.822916666664</v>
          </cell>
          <cell r="G193" t="str">
            <v>PFAF</v>
          </cell>
          <cell r="H193">
            <v>299.83</v>
          </cell>
          <cell r="I193">
            <v>1.1399999999999999</v>
          </cell>
          <cell r="J193">
            <v>300.97000000000003</v>
          </cell>
          <cell r="K193">
            <v>1</v>
          </cell>
          <cell r="L193">
            <v>1.1399999999999999</v>
          </cell>
          <cell r="M193">
            <v>100</v>
          </cell>
          <cell r="Q193" t="str">
            <v>yes</v>
          </cell>
          <cell r="R193" t="str">
            <v>all</v>
          </cell>
          <cell r="S193" t="str">
            <v>H</v>
          </cell>
          <cell r="T193" t="str">
            <v>H (QD-TEC)</v>
          </cell>
          <cell r="V193">
            <v>72</v>
          </cell>
          <cell r="W193">
            <v>0</v>
          </cell>
          <cell r="X193">
            <v>299.83</v>
          </cell>
          <cell r="Y193">
            <v>300.97000000000003</v>
          </cell>
        </row>
        <row r="194">
          <cell r="A194">
            <v>193</v>
          </cell>
          <cell r="B194">
            <v>501</v>
          </cell>
          <cell r="C194" t="str">
            <v>M0113</v>
          </cell>
          <cell r="D194" t="str">
            <v>A</v>
          </cell>
          <cell r="E194" t="str">
            <v>501_M0113_A_193H</v>
          </cell>
          <cell r="F194">
            <v>45866.857638888891</v>
          </cell>
          <cell r="G194" t="str">
            <v>PFAF</v>
          </cell>
          <cell r="H194">
            <v>300.97000000000003</v>
          </cell>
          <cell r="I194">
            <v>0.85</v>
          </cell>
          <cell r="J194">
            <v>301.82</v>
          </cell>
          <cell r="K194">
            <v>2</v>
          </cell>
          <cell r="L194">
            <v>0.85</v>
          </cell>
          <cell r="M194">
            <v>100</v>
          </cell>
          <cell r="Q194" t="str">
            <v>yes</v>
          </cell>
          <cell r="R194" t="str">
            <v>all</v>
          </cell>
          <cell r="S194" t="str">
            <v>H</v>
          </cell>
          <cell r="T194" t="str">
            <v>H (QD-TEC)</v>
          </cell>
          <cell r="V194">
            <v>72</v>
          </cell>
          <cell r="W194">
            <v>0</v>
          </cell>
          <cell r="X194">
            <v>300.97000000000003</v>
          </cell>
          <cell r="Y194">
            <v>301.82</v>
          </cell>
        </row>
        <row r="195">
          <cell r="A195">
            <v>194</v>
          </cell>
          <cell r="B195">
            <v>501</v>
          </cell>
          <cell r="C195" t="str">
            <v>M0113</v>
          </cell>
          <cell r="D195" t="str">
            <v>A</v>
          </cell>
          <cell r="E195" t="str">
            <v>501_M0113_A_194H</v>
          </cell>
          <cell r="F195">
            <v>45866.895833333336</v>
          </cell>
          <cell r="G195" t="str">
            <v>PFAF</v>
          </cell>
          <cell r="H195">
            <v>301.82</v>
          </cell>
          <cell r="I195">
            <v>0.87</v>
          </cell>
          <cell r="J195">
            <v>302.69</v>
          </cell>
          <cell r="K195">
            <v>3</v>
          </cell>
          <cell r="L195">
            <v>0.87</v>
          </cell>
          <cell r="M195">
            <v>100</v>
          </cell>
          <cell r="Q195" t="str">
            <v>yes</v>
          </cell>
          <cell r="R195" t="str">
            <v>all</v>
          </cell>
          <cell r="S195" t="str">
            <v>H</v>
          </cell>
          <cell r="T195" t="str">
            <v>H (QD-TEC)</v>
          </cell>
          <cell r="V195">
            <v>72</v>
          </cell>
          <cell r="W195">
            <v>0</v>
          </cell>
          <cell r="X195">
            <v>301.82</v>
          </cell>
          <cell r="Y195">
            <v>302.69</v>
          </cell>
        </row>
        <row r="196">
          <cell r="A196">
            <v>195</v>
          </cell>
          <cell r="B196">
            <v>501</v>
          </cell>
          <cell r="C196" t="str">
            <v>M0113</v>
          </cell>
          <cell r="D196" t="str">
            <v>A</v>
          </cell>
          <cell r="E196" t="str">
            <v>501_M0113_A_195H</v>
          </cell>
          <cell r="F196">
            <v>45866.9375</v>
          </cell>
          <cell r="G196" t="str">
            <v>PFAF</v>
          </cell>
          <cell r="H196">
            <v>302.69</v>
          </cell>
          <cell r="I196">
            <v>0.56999999999999995</v>
          </cell>
          <cell r="J196">
            <v>303.26</v>
          </cell>
          <cell r="K196">
            <v>1</v>
          </cell>
          <cell r="L196">
            <v>0.56999999999999995</v>
          </cell>
          <cell r="M196">
            <v>100</v>
          </cell>
          <cell r="Q196" t="str">
            <v>yes</v>
          </cell>
          <cell r="R196" t="str">
            <v>all</v>
          </cell>
          <cell r="S196" t="str">
            <v>H</v>
          </cell>
          <cell r="T196" t="str">
            <v>H (QD-TEC)</v>
          </cell>
          <cell r="V196">
            <v>72</v>
          </cell>
          <cell r="W196">
            <v>0</v>
          </cell>
          <cell r="X196">
            <v>302.69</v>
          </cell>
          <cell r="Y196">
            <v>303.26</v>
          </cell>
        </row>
        <row r="197">
          <cell r="A197">
            <v>196</v>
          </cell>
          <cell r="B197">
            <v>501</v>
          </cell>
          <cell r="C197" t="str">
            <v>M0113</v>
          </cell>
          <cell r="D197" t="str">
            <v>A</v>
          </cell>
          <cell r="E197" t="str">
            <v>501_M0113_A_196H</v>
          </cell>
          <cell r="F197">
            <v>45866.979166666664</v>
          </cell>
          <cell r="G197" t="str">
            <v>PFAF</v>
          </cell>
          <cell r="H197">
            <v>303.26</v>
          </cell>
          <cell r="I197">
            <v>1.53</v>
          </cell>
          <cell r="J197">
            <v>304.79000000000002</v>
          </cell>
          <cell r="K197">
            <v>2</v>
          </cell>
          <cell r="L197">
            <v>1.53</v>
          </cell>
          <cell r="M197">
            <v>100</v>
          </cell>
          <cell r="Q197" t="str">
            <v>yes</v>
          </cell>
          <cell r="R197" t="str">
            <v>all</v>
          </cell>
          <cell r="S197" t="str">
            <v>H</v>
          </cell>
          <cell r="T197" t="str">
            <v>H (QD-TEC)</v>
          </cell>
          <cell r="V197">
            <v>72</v>
          </cell>
          <cell r="W197">
            <v>0</v>
          </cell>
          <cell r="X197">
            <v>303.26</v>
          </cell>
          <cell r="Y197">
            <v>304.79000000000002</v>
          </cell>
        </row>
        <row r="198">
          <cell r="A198">
            <v>197</v>
          </cell>
          <cell r="B198">
            <v>501</v>
          </cell>
          <cell r="C198" t="str">
            <v>M0113</v>
          </cell>
          <cell r="D198" t="str">
            <v>A</v>
          </cell>
          <cell r="E198" t="str">
            <v>501_M0113_A_197H</v>
          </cell>
          <cell r="F198">
            <v>45867.017361111109</v>
          </cell>
          <cell r="G198" t="str">
            <v>PFAF</v>
          </cell>
          <cell r="H198">
            <v>304.79000000000002</v>
          </cell>
          <cell r="I198">
            <v>0.62</v>
          </cell>
          <cell r="J198">
            <v>305.41000000000003</v>
          </cell>
          <cell r="K198">
            <v>2</v>
          </cell>
          <cell r="L198">
            <v>0.62</v>
          </cell>
          <cell r="M198">
            <v>100</v>
          </cell>
          <cell r="Q198" t="str">
            <v>yes</v>
          </cell>
          <cell r="R198" t="str">
            <v>all</v>
          </cell>
          <cell r="S198" t="str">
            <v>H</v>
          </cell>
          <cell r="T198" t="str">
            <v>H (QD-TEC)</v>
          </cell>
          <cell r="V198">
            <v>72</v>
          </cell>
          <cell r="W198">
            <v>0</v>
          </cell>
          <cell r="X198">
            <v>304.79000000000002</v>
          </cell>
          <cell r="Y198">
            <v>305.41000000000003</v>
          </cell>
        </row>
        <row r="199">
          <cell r="A199">
            <v>198</v>
          </cell>
          <cell r="B199">
            <v>501</v>
          </cell>
          <cell r="C199" t="str">
            <v>M0113</v>
          </cell>
          <cell r="D199" t="str">
            <v>A</v>
          </cell>
          <cell r="E199" t="str">
            <v>501_M0113_A_198H</v>
          </cell>
          <cell r="F199">
            <v>45867.0625</v>
          </cell>
          <cell r="G199" t="str">
            <v>PFAF</v>
          </cell>
          <cell r="H199">
            <v>305.41000000000003</v>
          </cell>
          <cell r="I199">
            <v>0.63</v>
          </cell>
          <cell r="J199">
            <v>306.04000000000002</v>
          </cell>
          <cell r="K199">
            <v>2</v>
          </cell>
          <cell r="L199">
            <v>0.63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H</v>
          </cell>
          <cell r="T199" t="str">
            <v>H (QD-TEC)</v>
          </cell>
          <cell r="V199">
            <v>72</v>
          </cell>
          <cell r="W199">
            <v>0</v>
          </cell>
          <cell r="X199">
            <v>305.41000000000003</v>
          </cell>
          <cell r="Y199">
            <v>306.04000000000002</v>
          </cell>
        </row>
        <row r="200">
          <cell r="A200">
            <v>199</v>
          </cell>
          <cell r="B200">
            <v>501</v>
          </cell>
          <cell r="C200" t="str">
            <v>M0113</v>
          </cell>
          <cell r="D200" t="str">
            <v>A</v>
          </cell>
          <cell r="E200" t="str">
            <v>501_M0113_A_199H</v>
          </cell>
          <cell r="F200">
            <v>45867.111111111109</v>
          </cell>
          <cell r="G200" t="str">
            <v>PFAF</v>
          </cell>
          <cell r="H200">
            <v>306.04000000000002</v>
          </cell>
          <cell r="I200">
            <v>0.42</v>
          </cell>
          <cell r="J200">
            <v>306.45999999999998</v>
          </cell>
          <cell r="K200">
            <v>1</v>
          </cell>
          <cell r="L200">
            <v>0.42</v>
          </cell>
          <cell r="M200">
            <v>100</v>
          </cell>
          <cell r="P200" t="str">
            <v>core fell out of liner at rig floor</v>
          </cell>
          <cell r="X200">
            <v>306.04000000000002</v>
          </cell>
        </row>
        <row r="201">
          <cell r="A201">
            <v>200</v>
          </cell>
          <cell r="B201">
            <v>501</v>
          </cell>
          <cell r="C201" t="str">
            <v>M0113</v>
          </cell>
          <cell r="D201" t="str">
            <v>A</v>
          </cell>
          <cell r="E201" t="str">
            <v>501_M0113_A_200R</v>
          </cell>
          <cell r="F201">
            <v>45867.15625</v>
          </cell>
          <cell r="G201" t="str">
            <v>PFAF</v>
          </cell>
          <cell r="H201">
            <v>306.45999999999998</v>
          </cell>
          <cell r="I201">
            <v>2.0299999999999998</v>
          </cell>
          <cell r="J201">
            <v>308.49</v>
          </cell>
          <cell r="K201">
            <v>3</v>
          </cell>
          <cell r="L201">
            <v>1.07</v>
          </cell>
          <cell r="M201">
            <v>52.71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306.45999999999998</v>
          </cell>
          <cell r="Y201">
            <v>308.49</v>
          </cell>
        </row>
        <row r="202">
          <cell r="A202">
            <v>201</v>
          </cell>
          <cell r="B202">
            <v>501</v>
          </cell>
          <cell r="C202" t="str">
            <v>M0113</v>
          </cell>
          <cell r="D202" t="str">
            <v>A</v>
          </cell>
          <cell r="E202" t="str">
            <v>501_M0113_A_201R</v>
          </cell>
          <cell r="F202">
            <v>45867.211805555555</v>
          </cell>
          <cell r="G202" t="str">
            <v>GEPR</v>
          </cell>
          <cell r="H202">
            <v>308.49</v>
          </cell>
          <cell r="I202">
            <v>3</v>
          </cell>
          <cell r="J202">
            <v>311.49</v>
          </cell>
          <cell r="K202">
            <v>2</v>
          </cell>
          <cell r="L202">
            <v>0.8</v>
          </cell>
          <cell r="M202">
            <v>26.67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308.49</v>
          </cell>
          <cell r="Y202">
            <v>311.49</v>
          </cell>
        </row>
        <row r="203">
          <cell r="A203">
            <v>202</v>
          </cell>
          <cell r="B203">
            <v>501</v>
          </cell>
          <cell r="C203" t="str">
            <v>M0113</v>
          </cell>
          <cell r="D203" t="str">
            <v>A</v>
          </cell>
          <cell r="E203" t="str">
            <v>501_M0113_A_202R</v>
          </cell>
          <cell r="F203">
            <v>45867.239583333336</v>
          </cell>
          <cell r="G203" t="str">
            <v>GEPR</v>
          </cell>
          <cell r="H203">
            <v>311.49</v>
          </cell>
          <cell r="I203">
            <v>1.5</v>
          </cell>
          <cell r="J203">
            <v>312.99</v>
          </cell>
          <cell r="K203">
            <v>1</v>
          </cell>
          <cell r="L203">
            <v>0.5</v>
          </cell>
          <cell r="M203">
            <v>33.33</v>
          </cell>
          <cell r="Q203" t="str">
            <v>yes</v>
          </cell>
          <cell r="R203" t="str">
            <v>all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311.49</v>
          </cell>
          <cell r="Y203">
            <v>312.99</v>
          </cell>
        </row>
        <row r="204">
          <cell r="A204">
            <v>203</v>
          </cell>
          <cell r="B204">
            <v>501</v>
          </cell>
          <cell r="C204" t="str">
            <v>M0113</v>
          </cell>
          <cell r="D204" t="str">
            <v>A</v>
          </cell>
          <cell r="E204" t="str">
            <v>501_M0113_A_203R</v>
          </cell>
          <cell r="F204">
            <v>45867.263888888891</v>
          </cell>
          <cell r="G204" t="str">
            <v>GEPR</v>
          </cell>
          <cell r="H204">
            <v>312.99</v>
          </cell>
          <cell r="I204">
            <v>1.5</v>
          </cell>
          <cell r="J204">
            <v>314.49</v>
          </cell>
          <cell r="K204">
            <v>2</v>
          </cell>
          <cell r="L204">
            <v>1.56</v>
          </cell>
          <cell r="M204">
            <v>104</v>
          </cell>
          <cell r="Q204" t="str">
            <v>yes</v>
          </cell>
          <cell r="R204" t="str">
            <v>all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312.99</v>
          </cell>
          <cell r="Y204">
            <v>314.49</v>
          </cell>
        </row>
        <row r="205">
          <cell r="A205">
            <v>204</v>
          </cell>
          <cell r="B205">
            <v>501</v>
          </cell>
          <cell r="C205" t="str">
            <v>M0113</v>
          </cell>
          <cell r="D205" t="str">
            <v>A</v>
          </cell>
          <cell r="E205" t="str">
            <v>501_M0113_A_204R</v>
          </cell>
          <cell r="F205">
            <v>45867.288194444445</v>
          </cell>
          <cell r="G205" t="str">
            <v>GEPR</v>
          </cell>
          <cell r="H205">
            <v>314.49</v>
          </cell>
          <cell r="I205">
            <v>1.5</v>
          </cell>
          <cell r="J205">
            <v>315.99</v>
          </cell>
          <cell r="K205">
            <v>2</v>
          </cell>
          <cell r="L205">
            <v>0.5</v>
          </cell>
          <cell r="M205">
            <v>33.33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314.49</v>
          </cell>
          <cell r="Y205">
            <v>315.99</v>
          </cell>
        </row>
        <row r="206">
          <cell r="A206">
            <v>205</v>
          </cell>
          <cell r="B206">
            <v>501</v>
          </cell>
          <cell r="C206" t="str">
            <v>M0113</v>
          </cell>
          <cell r="D206" t="str">
            <v>A</v>
          </cell>
          <cell r="E206" t="str">
            <v>501_M0113_A_205R</v>
          </cell>
          <cell r="F206">
            <v>45867.326388888891</v>
          </cell>
          <cell r="G206" t="str">
            <v>GEPR</v>
          </cell>
          <cell r="H206">
            <v>315.99</v>
          </cell>
          <cell r="I206">
            <v>1.5</v>
          </cell>
          <cell r="J206">
            <v>317.49</v>
          </cell>
          <cell r="K206">
            <v>3</v>
          </cell>
          <cell r="L206">
            <v>1.57</v>
          </cell>
          <cell r="M206">
            <v>104.67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315.99</v>
          </cell>
          <cell r="Y206">
            <v>317.49</v>
          </cell>
        </row>
        <row r="207">
          <cell r="A207">
            <v>206</v>
          </cell>
          <cell r="B207">
            <v>501</v>
          </cell>
          <cell r="C207" t="str">
            <v>M0113</v>
          </cell>
          <cell r="D207" t="str">
            <v>A</v>
          </cell>
          <cell r="E207" t="str">
            <v>501_M0113_A_206R</v>
          </cell>
          <cell r="F207">
            <v>45867.361111111109</v>
          </cell>
          <cell r="G207" t="str">
            <v>GEPR</v>
          </cell>
          <cell r="H207">
            <v>317.49</v>
          </cell>
          <cell r="I207">
            <v>1.5</v>
          </cell>
          <cell r="J207">
            <v>318.99</v>
          </cell>
          <cell r="K207">
            <v>1</v>
          </cell>
          <cell r="L207">
            <v>1.43</v>
          </cell>
          <cell r="M207">
            <v>95.33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317.49</v>
          </cell>
          <cell r="Y207">
            <v>318.99</v>
          </cell>
        </row>
        <row r="208">
          <cell r="A208">
            <v>207</v>
          </cell>
          <cell r="B208">
            <v>501</v>
          </cell>
          <cell r="C208" t="str">
            <v>M0113</v>
          </cell>
          <cell r="D208" t="str">
            <v>A</v>
          </cell>
          <cell r="E208" t="str">
            <v>501_M0113_A_207R</v>
          </cell>
          <cell r="F208">
            <v>45867.409722222219</v>
          </cell>
          <cell r="G208" t="str">
            <v>GEPR</v>
          </cell>
          <cell r="H208">
            <v>318.99</v>
          </cell>
          <cell r="I208">
            <v>1.5</v>
          </cell>
          <cell r="J208">
            <v>320.49</v>
          </cell>
          <cell r="K208">
            <v>2</v>
          </cell>
          <cell r="L208">
            <v>1.57</v>
          </cell>
          <cell r="M208">
            <v>104.67</v>
          </cell>
          <cell r="Q208" t="str">
            <v>yes</v>
          </cell>
          <cell r="R208" t="str">
            <v>all</v>
          </cell>
          <cell r="S208" t="str">
            <v>R</v>
          </cell>
          <cell r="T208" t="str">
            <v>R (QD-TEC)</v>
          </cell>
          <cell r="V208">
            <v>72</v>
          </cell>
          <cell r="W208">
            <v>0</v>
          </cell>
          <cell r="X208">
            <v>318.99</v>
          </cell>
          <cell r="Y208">
            <v>320.49</v>
          </cell>
        </row>
        <row r="209">
          <cell r="A209">
            <v>208</v>
          </cell>
          <cell r="B209">
            <v>501</v>
          </cell>
          <cell r="C209" t="str">
            <v>M0113</v>
          </cell>
          <cell r="D209" t="str">
            <v>A</v>
          </cell>
          <cell r="E209" t="str">
            <v>501_M0113_A_208R</v>
          </cell>
          <cell r="F209">
            <v>45867.451388888891</v>
          </cell>
          <cell r="G209" t="str">
            <v>GEPR</v>
          </cell>
          <cell r="H209">
            <v>320.49</v>
          </cell>
          <cell r="I209">
            <v>1.5</v>
          </cell>
          <cell r="J209">
            <v>321.99</v>
          </cell>
          <cell r="K209">
            <v>1</v>
          </cell>
          <cell r="L209">
            <v>1.28</v>
          </cell>
          <cell r="M209">
            <v>85.33</v>
          </cell>
          <cell r="Q209" t="str">
            <v>yes</v>
          </cell>
          <cell r="R209" t="str">
            <v>all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320.49</v>
          </cell>
          <cell r="Y209">
            <v>321.99</v>
          </cell>
        </row>
        <row r="210">
          <cell r="A210">
            <v>209</v>
          </cell>
          <cell r="B210">
            <v>501</v>
          </cell>
          <cell r="C210" t="str">
            <v>M0113</v>
          </cell>
          <cell r="D210" t="str">
            <v>A</v>
          </cell>
          <cell r="E210" t="str">
            <v>501_M0113_A_209R</v>
          </cell>
          <cell r="F210">
            <v>45867.472222222219</v>
          </cell>
          <cell r="G210" t="str">
            <v>GEPR</v>
          </cell>
          <cell r="H210">
            <v>321.99</v>
          </cell>
          <cell r="I210">
            <v>1.5</v>
          </cell>
          <cell r="J210">
            <v>323.49</v>
          </cell>
          <cell r="K210">
            <v>2</v>
          </cell>
          <cell r="L210">
            <v>1.9</v>
          </cell>
          <cell r="M210">
            <v>126.67</v>
          </cell>
          <cell r="P210" t="str">
            <v>top probably from previous core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321.99</v>
          </cell>
          <cell r="Y210">
            <v>323.49</v>
          </cell>
        </row>
        <row r="211">
          <cell r="A211">
            <v>210</v>
          </cell>
          <cell r="B211">
            <v>501</v>
          </cell>
          <cell r="C211" t="str">
            <v>M0113</v>
          </cell>
          <cell r="D211" t="str">
            <v>A</v>
          </cell>
          <cell r="E211" t="str">
            <v>501_M0113_A_210R</v>
          </cell>
          <cell r="F211">
            <v>45867.513888888891</v>
          </cell>
          <cell r="G211" t="str">
            <v>GEPR</v>
          </cell>
          <cell r="H211">
            <v>323.49</v>
          </cell>
          <cell r="I211">
            <v>1.51</v>
          </cell>
          <cell r="J211">
            <v>325</v>
          </cell>
          <cell r="K211">
            <v>2</v>
          </cell>
          <cell r="L211">
            <v>1.61</v>
          </cell>
          <cell r="M211">
            <v>106.62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323.49</v>
          </cell>
          <cell r="Y211">
            <v>325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9"/>
  <sheetViews>
    <sheetView tabSelected="1" zoomScaleNormal="100" workbookViewId="0">
      <pane xSplit="12" ySplit="1" topLeftCell="M32" activePane="bottomRight" state="frozen"/>
      <selection pane="topRight" activeCell="K1" sqref="K1"/>
      <selection pane="bottomLeft" activeCell="A9" sqref="A9"/>
      <selection pane="bottomRight" activeCell="A2" sqref="A2:T51"/>
    </sheetView>
  </sheetViews>
  <sheetFormatPr defaultColWidth="8.6640625" defaultRowHeight="14.4" x14ac:dyDescent="0.3"/>
  <cols>
    <col min="1" max="1" width="5.6640625" style="30" customWidth="1"/>
    <col min="2" max="2" width="7.33203125" style="21" customWidth="1"/>
    <col min="3" max="3" width="5" style="21" customWidth="1"/>
    <col min="4" max="4" width="4.6640625" style="21" bestFit="1" customWidth="1"/>
    <col min="5" max="5" width="4.6640625" style="21" customWidth="1"/>
    <col min="6" max="6" width="6.21875" style="21" bestFit="1" customWidth="1"/>
    <col min="7" max="7" width="8.109375" style="21" customWidth="1"/>
    <col min="8" max="8" width="8.77734375" style="21" bestFit="1" customWidth="1"/>
    <col min="9" max="9" width="13.5546875" style="22" bestFit="1" customWidth="1"/>
    <col min="10" max="10" width="24.5546875" style="22" customWidth="1"/>
    <col min="11" max="11" width="8.77734375" style="22" customWidth="1"/>
    <col min="12" max="12" width="9.44140625" style="25" bestFit="1" customWidth="1"/>
    <col min="13" max="13" width="8.77734375" style="24" bestFit="1" customWidth="1"/>
    <col min="14" max="14" width="8.77734375" style="25" bestFit="1" customWidth="1"/>
    <col min="15" max="15" width="9.6640625" style="21" customWidth="1"/>
    <col min="16" max="16" width="16.44140625" style="26" bestFit="1" customWidth="1"/>
    <col min="17" max="17" width="9.44140625" style="21" customWidth="1"/>
    <col min="18" max="18" width="7.6640625" style="22" bestFit="1" customWidth="1"/>
    <col min="19" max="19" width="11" style="22" customWidth="1"/>
    <col min="20" max="20" width="10" style="21" customWidth="1"/>
    <col min="21" max="21" width="10" style="22" customWidth="1"/>
    <col min="22" max="22" width="9.6640625" style="27" customWidth="1"/>
    <col min="23" max="31" width="9.109375" style="27" customWidth="1"/>
    <col min="32" max="38" width="8.77734375" style="27" bestFit="1" customWidth="1"/>
    <col min="39" max="39" width="11" style="28" customWidth="1"/>
    <col min="40" max="16384" width="8.6640625" style="28"/>
  </cols>
  <sheetData>
    <row r="1" spans="1:40" s="16" customFormat="1" ht="36" x14ac:dyDescent="0.3">
      <c r="A1" s="15" t="s">
        <v>64</v>
      </c>
      <c r="B1" s="15" t="s">
        <v>29</v>
      </c>
      <c r="C1" s="15" t="s">
        <v>30</v>
      </c>
      <c r="D1" s="15" t="s">
        <v>32</v>
      </c>
      <c r="E1" s="15" t="s">
        <v>33</v>
      </c>
      <c r="F1" s="15" t="s">
        <v>3</v>
      </c>
      <c r="G1" s="15" t="s">
        <v>4</v>
      </c>
      <c r="H1" s="15" t="s">
        <v>5</v>
      </c>
      <c r="I1" s="16" t="s">
        <v>50</v>
      </c>
      <c r="J1" s="16" t="s">
        <v>381</v>
      </c>
      <c r="K1" s="17" t="s">
        <v>63</v>
      </c>
      <c r="L1" s="17" t="s">
        <v>62</v>
      </c>
      <c r="M1" s="15" t="s">
        <v>6</v>
      </c>
      <c r="N1" s="18" t="s">
        <v>12</v>
      </c>
      <c r="O1" s="15" t="s">
        <v>9</v>
      </c>
      <c r="P1" s="57" t="s">
        <v>11</v>
      </c>
      <c r="Q1" s="15" t="s">
        <v>10</v>
      </c>
      <c r="R1" s="19" t="s">
        <v>7</v>
      </c>
      <c r="S1" s="19" t="s">
        <v>8</v>
      </c>
      <c r="T1" s="15" t="s">
        <v>51</v>
      </c>
      <c r="V1" s="16" t="s">
        <v>13</v>
      </c>
      <c r="W1" s="16" t="s">
        <v>14</v>
      </c>
      <c r="X1" s="16" t="s">
        <v>17</v>
      </c>
      <c r="Y1" s="16" t="s">
        <v>15</v>
      </c>
      <c r="Z1" s="16" t="s">
        <v>16</v>
      </c>
      <c r="AA1" s="16" t="s">
        <v>18</v>
      </c>
      <c r="AB1" s="16" t="s">
        <v>19</v>
      </c>
      <c r="AC1" s="16" t="s">
        <v>20</v>
      </c>
      <c r="AD1" s="16" t="s">
        <v>21</v>
      </c>
      <c r="AE1" s="16" t="s">
        <v>22</v>
      </c>
      <c r="AF1" s="16" t="s">
        <v>23</v>
      </c>
      <c r="AG1" s="20" t="s">
        <v>24</v>
      </c>
      <c r="AH1" s="20" t="s">
        <v>25</v>
      </c>
      <c r="AI1" s="20" t="s">
        <v>26</v>
      </c>
      <c r="AJ1" s="20" t="s">
        <v>27</v>
      </c>
      <c r="AK1" s="20" t="s">
        <v>28</v>
      </c>
      <c r="AL1" s="16" t="s">
        <v>35</v>
      </c>
      <c r="AM1" s="60" t="s">
        <v>411</v>
      </c>
    </row>
    <row r="2" spans="1:40" x14ac:dyDescent="0.3">
      <c r="A2" s="30">
        <v>501</v>
      </c>
      <c r="B2" s="21" t="s">
        <v>60</v>
      </c>
      <c r="C2" s="21" t="s">
        <v>47</v>
      </c>
      <c r="D2" s="21">
        <v>2</v>
      </c>
      <c r="E2" s="21" t="s">
        <v>57</v>
      </c>
      <c r="F2" s="21">
        <v>1</v>
      </c>
      <c r="G2" s="21">
        <v>38</v>
      </c>
      <c r="H2" s="21">
        <v>40</v>
      </c>
      <c r="I2" s="22" t="str">
        <f t="shared" ref="I2:I5" si="0">_xlfn.CONCAT(B2, "-", C2,"-", D2,"-", F2)</f>
        <v>M0112-B-2-1</v>
      </c>
      <c r="J2" s="22" t="str">
        <f t="shared" ref="J2:J5" si="1">_xlfn.CONCAT(A2, "-", I2, ",",G2, "-",H2)</f>
        <v>501-M0112-B-2-1,38-40</v>
      </c>
      <c r="K2" s="22">
        <f>VLOOKUP(I2, 'Depth vlookup'!$G$2:$I$997,2,FALSE)+(G2/100)</f>
        <v>28.599999999999998</v>
      </c>
      <c r="L2" s="23">
        <f t="shared" ref="L2:L6" si="2">K2+2/100</f>
        <v>28.619999999999997</v>
      </c>
      <c r="M2" s="21">
        <v>230</v>
      </c>
      <c r="N2" s="25">
        <f>VLOOKUP(M2,  Beakers!$A$2:$B$151, 2, 0)</f>
        <v>9.8049999999999997</v>
      </c>
      <c r="O2" s="21">
        <v>18.976099999999999</v>
      </c>
      <c r="P2" s="26">
        <v>46052.90625</v>
      </c>
      <c r="Q2" s="21">
        <v>17.3141</v>
      </c>
      <c r="R2" s="22" t="s">
        <v>391</v>
      </c>
      <c r="S2" s="22">
        <v>5</v>
      </c>
      <c r="T2" s="21">
        <v>7.2118000000000002</v>
      </c>
      <c r="V2" s="29">
        <f t="shared" ref="V2:V16" si="3">O2-N2</f>
        <v>9.1710999999999991</v>
      </c>
      <c r="W2" s="29">
        <f t="shared" ref="W2:W16" si="4">Q2-N2</f>
        <v>7.5091000000000001</v>
      </c>
      <c r="X2" s="29">
        <f t="shared" ref="X2:X16" si="5">(V2-W2)/(1-35/1000)</f>
        <v>1.7222797927461131</v>
      </c>
      <c r="Y2" s="29">
        <f t="shared" ref="Y2:Y16" si="6">X2-(V2-W2)</f>
        <v>6.0279792746114058E-2</v>
      </c>
      <c r="Z2" s="29">
        <f t="shared" ref="Z2:Z16" si="7">W2-Y2</f>
        <v>7.4488202072538865</v>
      </c>
      <c r="AA2" s="29">
        <f t="shared" ref="AA2:AA38" si="8">X2/1.024</f>
        <v>1.6819138601036261</v>
      </c>
      <c r="AB2" s="29">
        <f t="shared" ref="AB2:AB4" si="9">Y2/2.22</f>
        <v>2.7153059795546872E-2</v>
      </c>
      <c r="AC2" s="29">
        <f>T2-VLOOKUP(M2, Beakers!$A$2:$C$151, 3, 0)</f>
        <v>2.8149390134529151</v>
      </c>
      <c r="AD2" s="29">
        <f t="shared" ref="AD2:AD4" si="10">AC2-AB2+AA2</f>
        <v>4.469699813760994</v>
      </c>
      <c r="AE2" s="29">
        <f t="shared" ref="AE2:AE4" si="11">AC2-AB2</f>
        <v>2.7877859536573681</v>
      </c>
      <c r="AF2" s="29">
        <f t="shared" ref="AF2:AF4" si="12">X2/V2</f>
        <v>0.18779424417421173</v>
      </c>
      <c r="AG2" s="29">
        <f t="shared" ref="AG2:AG4" si="13">X2/Z2</f>
        <v>0.23121511122914537</v>
      </c>
      <c r="AH2" s="29">
        <f t="shared" ref="AH2:AH4" si="14">V2/AD2</f>
        <v>2.0518380164512768</v>
      </c>
      <c r="AI2" s="29">
        <f t="shared" ref="AI2:AI4" si="15">Z2/AD2</f>
        <v>1.6665146469838956</v>
      </c>
      <c r="AJ2" s="29">
        <f t="shared" ref="AJ2:AJ4" si="16">Z2/AE2</f>
        <v>2.6719483959956065</v>
      </c>
      <c r="AK2" s="29">
        <f t="shared" ref="AK2:AK4" si="17">AA2/AD2</f>
        <v>0.37629235299548958</v>
      </c>
      <c r="AL2" s="29">
        <f t="shared" ref="AL2:AL4" si="18">AA2/AE2</f>
        <v>0.60331527888541081</v>
      </c>
      <c r="AM2" s="28" t="s">
        <v>83</v>
      </c>
      <c r="AN2" s="28" t="s">
        <v>425</v>
      </c>
    </row>
    <row r="3" spans="1:40" x14ac:dyDescent="0.3">
      <c r="A3" s="30">
        <v>501</v>
      </c>
      <c r="B3" s="21" t="s">
        <v>60</v>
      </c>
      <c r="C3" s="21" t="s">
        <v>47</v>
      </c>
      <c r="D3" s="21">
        <v>3</v>
      </c>
      <c r="E3" s="21" t="s">
        <v>57</v>
      </c>
      <c r="F3" s="21">
        <v>1</v>
      </c>
      <c r="G3" s="21">
        <v>68</v>
      </c>
      <c r="H3" s="21">
        <v>70</v>
      </c>
      <c r="I3" s="22" t="str">
        <f t="shared" si="0"/>
        <v>M0112-B-3-1</v>
      </c>
      <c r="J3" s="22" t="str">
        <f t="shared" si="1"/>
        <v>501-M0112-B-3-1,68-70</v>
      </c>
      <c r="K3" s="22">
        <f>VLOOKUP(I3, 'Depth vlookup'!$G$2:$I$997,2,FALSE)+(G3/100)</f>
        <v>31.07</v>
      </c>
      <c r="L3" s="23">
        <f t="shared" si="2"/>
        <v>31.09</v>
      </c>
      <c r="M3" s="21">
        <v>231</v>
      </c>
      <c r="N3" s="25">
        <f>VLOOKUP(M3,  Beakers!$A$2:$B$151, 2, 0)</f>
        <v>9.8867999999999991</v>
      </c>
      <c r="O3" s="21">
        <v>20.002199999999998</v>
      </c>
      <c r="P3" s="26">
        <v>46052.90625</v>
      </c>
      <c r="Q3" s="21">
        <v>18.469799999999999</v>
      </c>
      <c r="R3" s="22" t="s">
        <v>391</v>
      </c>
      <c r="S3" s="22">
        <v>3</v>
      </c>
      <c r="T3" s="21">
        <v>7.7089999999999996</v>
      </c>
      <c r="V3" s="29">
        <f t="shared" si="3"/>
        <v>10.115399999999999</v>
      </c>
      <c r="W3" s="29">
        <f t="shared" si="4"/>
        <v>8.5830000000000002</v>
      </c>
      <c r="X3" s="29">
        <f t="shared" si="5"/>
        <v>1.5879792746113981</v>
      </c>
      <c r="Y3" s="29">
        <f t="shared" si="6"/>
        <v>5.5579274611398999E-2</v>
      </c>
      <c r="Z3" s="29">
        <f t="shared" si="7"/>
        <v>8.5274207253886019</v>
      </c>
      <c r="AA3" s="29">
        <f t="shared" si="8"/>
        <v>1.5507610103626934</v>
      </c>
      <c r="AB3" s="29">
        <f t="shared" si="9"/>
        <v>2.5035709284413961E-2</v>
      </c>
      <c r="AC3" s="29">
        <f>T3-VLOOKUP(M3, Beakers!$A$2:$C$151, 3, 0)</f>
        <v>3.2754573991031393</v>
      </c>
      <c r="AD3" s="29">
        <f t="shared" si="10"/>
        <v>4.8011827001814193</v>
      </c>
      <c r="AE3" s="29">
        <f t="shared" si="11"/>
        <v>3.2504216898187255</v>
      </c>
      <c r="AF3" s="29">
        <f t="shared" si="12"/>
        <v>0.15698630549571921</v>
      </c>
      <c r="AG3" s="29">
        <f t="shared" si="13"/>
        <v>0.18622035029695719</v>
      </c>
      <c r="AH3" s="29">
        <f t="shared" si="14"/>
        <v>2.1068558794102494</v>
      </c>
      <c r="AI3" s="29">
        <f t="shared" si="15"/>
        <v>1.7761083586896997</v>
      </c>
      <c r="AJ3" s="29">
        <f t="shared" si="16"/>
        <v>2.6234813630794385</v>
      </c>
      <c r="AK3" s="29">
        <f t="shared" si="17"/>
        <v>0.32299562570366169</v>
      </c>
      <c r="AL3" s="29">
        <f t="shared" si="18"/>
        <v>0.4770953304982341</v>
      </c>
      <c r="AM3" s="28" t="s">
        <v>83</v>
      </c>
      <c r="AN3" s="28" t="s">
        <v>425</v>
      </c>
    </row>
    <row r="4" spans="1:40" x14ac:dyDescent="0.3">
      <c r="A4" s="30">
        <v>501</v>
      </c>
      <c r="B4" s="21" t="s">
        <v>60</v>
      </c>
      <c r="C4" s="21" t="s">
        <v>47</v>
      </c>
      <c r="D4" s="21">
        <v>5</v>
      </c>
      <c r="E4" s="21" t="s">
        <v>57</v>
      </c>
      <c r="F4" s="21">
        <v>1</v>
      </c>
      <c r="G4" s="21">
        <v>38</v>
      </c>
      <c r="H4" s="21">
        <v>40</v>
      </c>
      <c r="I4" s="22" t="str">
        <f t="shared" si="0"/>
        <v>M0112-B-5-1</v>
      </c>
      <c r="J4" s="22" t="str">
        <f t="shared" si="1"/>
        <v>501-M0112-B-5-1,38-40</v>
      </c>
      <c r="K4" s="22">
        <f>VLOOKUP(I4, 'Depth vlookup'!$G$2:$I$997,2,FALSE)+(G4/100)</f>
        <v>54.38</v>
      </c>
      <c r="L4" s="23">
        <f t="shared" si="2"/>
        <v>54.400000000000006</v>
      </c>
      <c r="M4" s="21">
        <v>232</v>
      </c>
      <c r="N4" s="25">
        <f>VLOOKUP(M4,  Beakers!$A$2:$B$151, 2, 0)</f>
        <v>9.8774999999999995</v>
      </c>
      <c r="O4" s="21">
        <v>21.4373</v>
      </c>
      <c r="P4" s="26">
        <v>46052.90625</v>
      </c>
      <c r="Q4" s="21">
        <v>19.702500000000001</v>
      </c>
      <c r="R4" s="22" t="s">
        <v>391</v>
      </c>
      <c r="S4" s="22">
        <v>5</v>
      </c>
      <c r="T4" s="21">
        <v>8.0928000000000004</v>
      </c>
      <c r="V4" s="29">
        <f t="shared" si="3"/>
        <v>11.559800000000001</v>
      </c>
      <c r="W4" s="29">
        <f t="shared" si="4"/>
        <v>9.8250000000000011</v>
      </c>
      <c r="X4" s="29">
        <f t="shared" si="5"/>
        <v>1.797720207253886</v>
      </c>
      <c r="Y4" s="29">
        <f t="shared" si="6"/>
        <v>6.292020725388614E-2</v>
      </c>
      <c r="Z4" s="29">
        <f t="shared" si="7"/>
        <v>9.762079792746114</v>
      </c>
      <c r="AA4" s="29">
        <f t="shared" si="8"/>
        <v>1.755586139896373</v>
      </c>
      <c r="AB4" s="29">
        <f t="shared" si="9"/>
        <v>2.8342435699948709E-2</v>
      </c>
      <c r="AC4" s="29">
        <f>T4-VLOOKUP(M4, Beakers!$A$2:$C$151, 3, 0)</f>
        <v>3.6634278026905838</v>
      </c>
      <c r="AD4" s="29">
        <f t="shared" si="10"/>
        <v>5.3906715068870081</v>
      </c>
      <c r="AE4" s="29">
        <f t="shared" si="11"/>
        <v>3.6350853669906349</v>
      </c>
      <c r="AF4" s="29">
        <f t="shared" si="12"/>
        <v>0.15551481922298707</v>
      </c>
      <c r="AG4" s="29">
        <f t="shared" si="13"/>
        <v>0.1841534022893066</v>
      </c>
      <c r="AH4" s="29">
        <f t="shared" si="14"/>
        <v>2.144408166075682</v>
      </c>
      <c r="AI4" s="29">
        <f t="shared" si="15"/>
        <v>1.8109209177881247</v>
      </c>
      <c r="AJ4" s="29">
        <f t="shared" si="16"/>
        <v>2.6855159665281292</v>
      </c>
      <c r="AK4" s="29">
        <f t="shared" si="17"/>
        <v>0.32567114090581722</v>
      </c>
      <c r="AL4" s="29">
        <f t="shared" si="18"/>
        <v>0.48295595911954164</v>
      </c>
      <c r="AM4" s="28" t="s">
        <v>83</v>
      </c>
      <c r="AN4" s="28" t="s">
        <v>425</v>
      </c>
    </row>
    <row r="5" spans="1:40" x14ac:dyDescent="0.3">
      <c r="A5" s="30">
        <v>501</v>
      </c>
      <c r="B5" s="21" t="s">
        <v>60</v>
      </c>
      <c r="C5" s="21" t="s">
        <v>47</v>
      </c>
      <c r="D5" s="21">
        <v>6</v>
      </c>
      <c r="E5" s="21" t="s">
        <v>57</v>
      </c>
      <c r="F5" s="21">
        <v>1</v>
      </c>
      <c r="G5" s="21">
        <v>38</v>
      </c>
      <c r="H5" s="21">
        <v>40</v>
      </c>
      <c r="I5" s="22" t="str">
        <f t="shared" si="0"/>
        <v>M0112-B-6-1</v>
      </c>
      <c r="J5" s="22" t="str">
        <f t="shared" si="1"/>
        <v>501-M0112-B-6-1,38-40</v>
      </c>
      <c r="K5" s="22">
        <f>VLOOKUP(I5, 'Depth vlookup'!$G$2:$I$997,2,FALSE)+(G5/100)</f>
        <v>55.900000000000006</v>
      </c>
      <c r="L5" s="23">
        <f t="shared" si="2"/>
        <v>55.920000000000009</v>
      </c>
      <c r="M5" s="21">
        <v>233</v>
      </c>
      <c r="N5" s="25">
        <f>VLOOKUP(M5,  Beakers!$A$2:$B$151, 2, 0)</f>
        <v>9.9604999999999997</v>
      </c>
      <c r="O5" s="21">
        <v>18.144600000000001</v>
      </c>
      <c r="P5" s="26">
        <v>46052.90625</v>
      </c>
      <c r="Q5" s="21">
        <v>16.718</v>
      </c>
      <c r="R5" s="22" t="s">
        <v>391</v>
      </c>
      <c r="S5" s="22">
        <v>1</v>
      </c>
      <c r="T5" s="21">
        <v>7.0529000000000002</v>
      </c>
      <c r="V5" s="29">
        <f t="shared" si="3"/>
        <v>8.1841000000000008</v>
      </c>
      <c r="W5" s="29">
        <f t="shared" si="4"/>
        <v>6.7575000000000003</v>
      </c>
      <c r="X5" s="29">
        <f t="shared" si="5"/>
        <v>1.4783419689119177</v>
      </c>
      <c r="Y5" s="29">
        <f t="shared" si="6"/>
        <v>5.174196891191718E-2</v>
      </c>
      <c r="Z5" s="29">
        <f t="shared" si="7"/>
        <v>6.7057580310880827</v>
      </c>
      <c r="AA5" s="29">
        <f t="shared" si="8"/>
        <v>1.4436933290155447</v>
      </c>
      <c r="AB5" s="29">
        <f t="shared" ref="AB5:AB38" si="19">Y5/2.22</f>
        <v>2.3307193203566296E-2</v>
      </c>
      <c r="AC5" s="29">
        <f>T5-VLOOKUP(M5, Beakers!$A$2:$C$151, 3, 0)</f>
        <v>2.5863080717488796</v>
      </c>
      <c r="AD5" s="29">
        <f t="shared" ref="AD5:AD36" si="20">AC5-AB5+AA5</f>
        <v>4.0066942075608578</v>
      </c>
      <c r="AE5" s="29">
        <f t="shared" ref="AE5:AE36" si="21">AC5-AB5</f>
        <v>2.5630008785453131</v>
      </c>
      <c r="AF5" s="29">
        <f t="shared" ref="AF5:AF38" si="22">X5/V5</f>
        <v>0.18063586330957804</v>
      </c>
      <c r="AG5" s="29">
        <f t="shared" ref="AG5:AG38" si="23">X5/Z5</f>
        <v>0.22045859126712936</v>
      </c>
      <c r="AH5" s="29">
        <f t="shared" ref="AH5:AH36" si="24">V5/AD5</f>
        <v>2.0426065918771994</v>
      </c>
      <c r="AI5" s="29">
        <f t="shared" ref="AI5:AI36" si="25">Z5/AD5</f>
        <v>1.6736385867516266</v>
      </c>
      <c r="AJ5" s="29">
        <f t="shared" ref="AJ5:AJ36" si="26">Z5/AE5</f>
        <v>2.6163697746736947</v>
      </c>
      <c r="AK5" s="29">
        <f t="shared" ref="AK5:AK36" si="27">AA5/AD5</f>
        <v>0.36032031750544224</v>
      </c>
      <c r="AL5" s="29">
        <f t="shared" ref="AL5:AL41" si="28">AA5/AE5</f>
        <v>0.56328241675630808</v>
      </c>
      <c r="AM5" s="28" t="s">
        <v>83</v>
      </c>
      <c r="AN5" s="28" t="s">
        <v>425</v>
      </c>
    </row>
    <row r="6" spans="1:40" x14ac:dyDescent="0.3">
      <c r="A6" s="30">
        <v>501</v>
      </c>
      <c r="B6" s="21" t="s">
        <v>60</v>
      </c>
      <c r="C6" s="21" t="s">
        <v>47</v>
      </c>
      <c r="D6" s="21">
        <v>7</v>
      </c>
      <c r="E6" s="21" t="s">
        <v>34</v>
      </c>
      <c r="F6" s="21">
        <v>1</v>
      </c>
      <c r="G6" s="21">
        <v>39.5</v>
      </c>
      <c r="H6" s="21">
        <v>41.5</v>
      </c>
      <c r="I6" s="22" t="str">
        <f t="shared" ref="I6:I15" si="29">_xlfn.CONCAT(B6, "-", C6,"-", D6,"-", F6)</f>
        <v>M0112-B-7-1</v>
      </c>
      <c r="J6" s="22" t="str">
        <f t="shared" ref="J6:J15" si="30">_xlfn.CONCAT(A6, "-", I6, ",",G6, "-",H6)</f>
        <v>501-M0112-B-7-1,39.5-41.5</v>
      </c>
      <c r="K6" s="22">
        <f>VLOOKUP(I6, 'Depth vlookup'!$G$2:$I$997,2,FALSE)+(G6/100)</f>
        <v>57.215000000000003</v>
      </c>
      <c r="L6" s="23">
        <f t="shared" si="2"/>
        <v>57.235000000000007</v>
      </c>
      <c r="M6" s="21">
        <v>234</v>
      </c>
      <c r="N6" s="25">
        <f>VLOOKUP(M6,  Beakers!$A$2:$B$151, 2, 0)</f>
        <v>10.0063</v>
      </c>
      <c r="O6" s="21">
        <v>21.970199999999998</v>
      </c>
      <c r="P6" s="26">
        <v>46053.381944444445</v>
      </c>
      <c r="Q6" s="21">
        <v>19.578900000000001</v>
      </c>
      <c r="R6" s="22" t="s">
        <v>391</v>
      </c>
      <c r="S6" s="22">
        <v>5</v>
      </c>
      <c r="T6" s="21">
        <v>8.0014000000000003</v>
      </c>
      <c r="V6" s="29">
        <f t="shared" si="3"/>
        <v>11.963899999999999</v>
      </c>
      <c r="W6" s="29">
        <f t="shared" si="4"/>
        <v>9.5726000000000013</v>
      </c>
      <c r="X6" s="29">
        <f t="shared" si="5"/>
        <v>2.4780310880828993</v>
      </c>
      <c r="Y6" s="29">
        <f t="shared" si="6"/>
        <v>8.6731088082901753E-2</v>
      </c>
      <c r="Z6" s="29">
        <f t="shared" si="7"/>
        <v>9.4858689119171</v>
      </c>
      <c r="AA6" s="29">
        <f t="shared" si="8"/>
        <v>2.4199522344559563</v>
      </c>
      <c r="AB6" s="29">
        <f t="shared" si="19"/>
        <v>3.9068057695000789E-2</v>
      </c>
      <c r="AC6" s="29">
        <f>T6-VLOOKUP(M6, Beakers!$A$2:$C$151, 3, 0)</f>
        <v>3.5142699551569514</v>
      </c>
      <c r="AD6" s="29">
        <f t="shared" si="20"/>
        <v>5.8951541319179075</v>
      </c>
      <c r="AE6" s="29">
        <f t="shared" si="21"/>
        <v>3.4752018974619507</v>
      </c>
      <c r="AF6" s="29">
        <f t="shared" si="22"/>
        <v>0.20712569380243059</v>
      </c>
      <c r="AG6" s="29">
        <f t="shared" si="23"/>
        <v>0.26123395875413669</v>
      </c>
      <c r="AH6" s="29">
        <f t="shared" si="24"/>
        <v>2.0294465135736339</v>
      </c>
      <c r="AI6" s="29">
        <f t="shared" si="25"/>
        <v>1.6090959964147711</v>
      </c>
      <c r="AJ6" s="29">
        <f t="shared" si="26"/>
        <v>2.7295878604477424</v>
      </c>
      <c r="AK6" s="29">
        <f t="shared" si="27"/>
        <v>0.41049855191295193</v>
      </c>
      <c r="AL6" s="29">
        <f t="shared" si="28"/>
        <v>0.69634867436718528</v>
      </c>
      <c r="AM6" s="28" t="s">
        <v>412</v>
      </c>
      <c r="AN6" s="28" t="s">
        <v>425</v>
      </c>
    </row>
    <row r="7" spans="1:40" x14ac:dyDescent="0.3">
      <c r="A7" s="30">
        <v>501</v>
      </c>
      <c r="B7" s="21" t="s">
        <v>60</v>
      </c>
      <c r="C7" s="21" t="s">
        <v>47</v>
      </c>
      <c r="D7" s="21">
        <v>8</v>
      </c>
      <c r="E7" s="21" t="s">
        <v>34</v>
      </c>
      <c r="F7" s="21">
        <v>1</v>
      </c>
      <c r="G7" s="21">
        <v>28</v>
      </c>
      <c r="H7" s="21">
        <v>30</v>
      </c>
      <c r="I7" s="22" t="str">
        <f t="shared" si="29"/>
        <v>M0112-B-8-1</v>
      </c>
      <c r="J7" s="22" t="str">
        <f t="shared" si="30"/>
        <v>501-M0112-B-8-1,28-30</v>
      </c>
      <c r="K7" s="22">
        <f>VLOOKUP(I7, 'Depth vlookup'!$G$2:$I$997,2,FALSE)+(G7/100)</f>
        <v>58.6</v>
      </c>
      <c r="L7" s="23">
        <f t="shared" ref="L7:L51" si="31">K7+2/100</f>
        <v>58.620000000000005</v>
      </c>
      <c r="M7" s="21">
        <v>235</v>
      </c>
      <c r="N7" s="25">
        <f>VLOOKUP(M7,  Beakers!$A$2:$B$151, 2, 0)</f>
        <v>9.9943000000000008</v>
      </c>
      <c r="O7" s="21">
        <v>22.273099999999999</v>
      </c>
      <c r="P7" s="26">
        <v>46053.381944444445</v>
      </c>
      <c r="Q7" s="21">
        <v>20.1433</v>
      </c>
      <c r="R7" s="22" t="s">
        <v>391</v>
      </c>
      <c r="S7" s="22">
        <v>1</v>
      </c>
      <c r="T7" s="21">
        <v>8.2859999999999996</v>
      </c>
      <c r="V7" s="29">
        <f t="shared" si="3"/>
        <v>12.278799999999999</v>
      </c>
      <c r="W7" s="29">
        <f t="shared" si="4"/>
        <v>10.148999999999999</v>
      </c>
      <c r="X7" s="29">
        <f t="shared" si="5"/>
        <v>2.207046632124352</v>
      </c>
      <c r="Y7" s="29">
        <f t="shared" si="6"/>
        <v>7.7246632124352566E-2</v>
      </c>
      <c r="Z7" s="29">
        <f t="shared" si="7"/>
        <v>10.071753367875647</v>
      </c>
      <c r="AA7" s="29">
        <f t="shared" si="8"/>
        <v>2.1553189766839376</v>
      </c>
      <c r="AB7" s="29">
        <f t="shared" si="19"/>
        <v>3.4795780236194847E-2</v>
      </c>
      <c r="AC7" s="29">
        <f>T7-VLOOKUP(M7, Beakers!$A$2:$C$151, 3, 0)</f>
        <v>3.8042511210762324</v>
      </c>
      <c r="AD7" s="29">
        <f t="shared" si="20"/>
        <v>5.9247743175239753</v>
      </c>
      <c r="AE7" s="29">
        <f t="shared" si="21"/>
        <v>3.7694553408400377</v>
      </c>
      <c r="AF7" s="29">
        <f t="shared" si="22"/>
        <v>0.17974448904814413</v>
      </c>
      <c r="AG7" s="29">
        <f t="shared" si="23"/>
        <v>0.21913231505090622</v>
      </c>
      <c r="AH7" s="29">
        <f t="shared" si="24"/>
        <v>2.0724502473760782</v>
      </c>
      <c r="AI7" s="29">
        <f t="shared" si="25"/>
        <v>1.6999387365837655</v>
      </c>
      <c r="AJ7" s="29">
        <f t="shared" si="26"/>
        <v>2.6719386375940237</v>
      </c>
      <c r="AK7" s="29">
        <f t="shared" si="27"/>
        <v>0.36378077225811828</v>
      </c>
      <c r="AL7" s="29">
        <f t="shared" si="28"/>
        <v>0.57178525325189722</v>
      </c>
      <c r="AM7" s="28" t="s">
        <v>412</v>
      </c>
      <c r="AN7" s="28" t="s">
        <v>425</v>
      </c>
    </row>
    <row r="8" spans="1:40" x14ac:dyDescent="0.3">
      <c r="A8" s="30">
        <v>501</v>
      </c>
      <c r="B8" s="21" t="s">
        <v>60</v>
      </c>
      <c r="C8" s="21" t="s">
        <v>47</v>
      </c>
      <c r="D8" s="21">
        <v>9</v>
      </c>
      <c r="E8" s="21" t="s">
        <v>34</v>
      </c>
      <c r="F8" s="21">
        <v>1</v>
      </c>
      <c r="G8" s="21">
        <v>34</v>
      </c>
      <c r="H8" s="21">
        <v>36</v>
      </c>
      <c r="I8" s="22" t="str">
        <f t="shared" si="29"/>
        <v>M0112-B-9-1</v>
      </c>
      <c r="J8" s="22" t="str">
        <f t="shared" si="30"/>
        <v>501-M0112-B-9-1,34-36</v>
      </c>
      <c r="K8" s="22">
        <f>VLOOKUP(I8, 'Depth vlookup'!$G$2:$I$997,2,FALSE)+(G8/100)</f>
        <v>60.160000000000004</v>
      </c>
      <c r="L8" s="23">
        <f t="shared" si="31"/>
        <v>60.180000000000007</v>
      </c>
      <c r="M8" s="21">
        <v>236</v>
      </c>
      <c r="N8" s="25">
        <f>VLOOKUP(M8,  Beakers!$A$2:$B$151, 2, 0)</f>
        <v>9.8712</v>
      </c>
      <c r="O8" s="21">
        <v>20.923500000000001</v>
      </c>
      <c r="P8" s="26">
        <v>46053.381944444445</v>
      </c>
      <c r="Q8" s="21">
        <v>18.515799999999999</v>
      </c>
      <c r="R8" s="22" t="s">
        <v>391</v>
      </c>
      <c r="S8" s="22">
        <v>2</v>
      </c>
      <c r="T8" s="21">
        <v>7.6276999999999999</v>
      </c>
      <c r="V8" s="29">
        <f t="shared" si="3"/>
        <v>11.052300000000001</v>
      </c>
      <c r="W8" s="29">
        <f t="shared" si="4"/>
        <v>8.6445999999999987</v>
      </c>
      <c r="X8" s="29">
        <f t="shared" si="5"/>
        <v>2.4950259067357532</v>
      </c>
      <c r="Y8" s="29">
        <f t="shared" si="6"/>
        <v>8.7325906735751246E-2</v>
      </c>
      <c r="Z8" s="29">
        <f t="shared" si="7"/>
        <v>8.5572740932642475</v>
      </c>
      <c r="AA8" s="29">
        <f t="shared" si="8"/>
        <v>2.4365487370466341</v>
      </c>
      <c r="AB8" s="29">
        <f t="shared" si="19"/>
        <v>3.9335994025113168E-2</v>
      </c>
      <c r="AC8" s="29">
        <f>T8-VLOOKUP(M8, Beakers!$A$2:$C$151, 3, 0)</f>
        <v>3.2011529147982065</v>
      </c>
      <c r="AD8" s="29">
        <f t="shared" si="20"/>
        <v>5.5983656578197269</v>
      </c>
      <c r="AE8" s="29">
        <f t="shared" si="21"/>
        <v>3.1618169207730933</v>
      </c>
      <c r="AF8" s="29">
        <f t="shared" si="22"/>
        <v>0.22574721159720176</v>
      </c>
      <c r="AG8" s="29">
        <f t="shared" si="23"/>
        <v>0.29156783802211994</v>
      </c>
      <c r="AH8" s="29">
        <f t="shared" si="24"/>
        <v>1.9742011643277153</v>
      </c>
      <c r="AI8" s="29">
        <f t="shared" si="25"/>
        <v>1.5285307563487844</v>
      </c>
      <c r="AJ8" s="29">
        <f t="shared" si="26"/>
        <v>2.7064419944883826</v>
      </c>
      <c r="AK8" s="29">
        <f t="shared" si="27"/>
        <v>0.43522500779192469</v>
      </c>
      <c r="AL8" s="29">
        <f t="shared" si="28"/>
        <v>0.7706166416652851</v>
      </c>
      <c r="AM8" s="28" t="s">
        <v>412</v>
      </c>
      <c r="AN8" s="28" t="s">
        <v>425</v>
      </c>
    </row>
    <row r="9" spans="1:40" x14ac:dyDescent="0.3">
      <c r="A9" s="30">
        <v>501</v>
      </c>
      <c r="B9" s="21" t="s">
        <v>60</v>
      </c>
      <c r="C9" s="21" t="s">
        <v>47</v>
      </c>
      <c r="D9" s="21">
        <v>10</v>
      </c>
      <c r="E9" s="21" t="s">
        <v>34</v>
      </c>
      <c r="F9" s="21">
        <v>1</v>
      </c>
      <c r="G9" s="21">
        <v>39</v>
      </c>
      <c r="H9" s="21">
        <v>41</v>
      </c>
      <c r="I9" s="22" t="str">
        <f t="shared" si="29"/>
        <v>M0112-B-10-1</v>
      </c>
      <c r="J9" s="22" t="str">
        <f t="shared" si="30"/>
        <v>501-M0112-B-10-1,39-41</v>
      </c>
      <c r="K9" s="22">
        <f>VLOOKUP(I9, 'Depth vlookup'!$G$2:$I$997,2,FALSE)+(G9/100)</f>
        <v>61.71</v>
      </c>
      <c r="L9" s="23">
        <f t="shared" si="31"/>
        <v>61.730000000000004</v>
      </c>
      <c r="M9" s="21">
        <v>237</v>
      </c>
      <c r="N9" s="25">
        <f>VLOOKUP(M9,  Beakers!$A$2:$B$151, 2, 0)</f>
        <v>9.8346999999999998</v>
      </c>
      <c r="O9" s="21">
        <v>23.032399999999999</v>
      </c>
      <c r="P9" s="26">
        <v>46053.579861111109</v>
      </c>
      <c r="Q9" s="21">
        <v>19.051400000000001</v>
      </c>
      <c r="R9" s="22" t="s">
        <v>391</v>
      </c>
      <c r="S9" s="22">
        <v>1</v>
      </c>
      <c r="T9" s="21">
        <v>7.8554000000000004</v>
      </c>
      <c r="V9" s="29">
        <f t="shared" si="3"/>
        <v>13.197699999999999</v>
      </c>
      <c r="W9" s="29">
        <f t="shared" si="4"/>
        <v>9.2167000000000012</v>
      </c>
      <c r="X9" s="29">
        <f t="shared" si="5"/>
        <v>4.1253886010362679</v>
      </c>
      <c r="Y9" s="29">
        <f t="shared" si="6"/>
        <v>0.14438860103626983</v>
      </c>
      <c r="Z9" s="29">
        <f t="shared" si="7"/>
        <v>9.0723113989637305</v>
      </c>
      <c r="AA9" s="29">
        <f t="shared" si="8"/>
        <v>4.0286998056994801</v>
      </c>
      <c r="AB9" s="29">
        <f t="shared" si="19"/>
        <v>6.503991037669811E-2</v>
      </c>
      <c r="AC9" s="29">
        <f>T9-VLOOKUP(M9, Beakers!$A$2:$C$151, 3, 0)</f>
        <v>3.4452206278026907</v>
      </c>
      <c r="AD9" s="29">
        <f t="shared" si="20"/>
        <v>7.4088805231254726</v>
      </c>
      <c r="AE9" s="29">
        <f t="shared" si="21"/>
        <v>3.3801807174259926</v>
      </c>
      <c r="AF9" s="29">
        <f t="shared" si="22"/>
        <v>0.31258390484980475</v>
      </c>
      <c r="AG9" s="29">
        <f t="shared" si="23"/>
        <v>0.4547229939117261</v>
      </c>
      <c r="AH9" s="29">
        <f t="shared" si="24"/>
        <v>1.7813352447519946</v>
      </c>
      <c r="AI9" s="29">
        <f t="shared" si="25"/>
        <v>1.2245185181008333</v>
      </c>
      <c r="AJ9" s="29">
        <f t="shared" si="26"/>
        <v>2.6839722953843412</v>
      </c>
      <c r="AK9" s="29">
        <f t="shared" si="27"/>
        <v>0.54376633462027446</v>
      </c>
      <c r="AL9" s="29">
        <f t="shared" si="28"/>
        <v>1.1918592946614213</v>
      </c>
      <c r="AM9" s="28" t="s">
        <v>412</v>
      </c>
      <c r="AN9" s="28" t="s">
        <v>425</v>
      </c>
    </row>
    <row r="10" spans="1:40" x14ac:dyDescent="0.3">
      <c r="A10" s="30">
        <v>501</v>
      </c>
      <c r="B10" s="21" t="s">
        <v>60</v>
      </c>
      <c r="C10" s="21" t="s">
        <v>47</v>
      </c>
      <c r="D10" s="21">
        <v>12</v>
      </c>
      <c r="E10" s="21" t="s">
        <v>34</v>
      </c>
      <c r="F10" s="21">
        <v>1</v>
      </c>
      <c r="G10" s="21">
        <v>36</v>
      </c>
      <c r="H10" s="21">
        <v>38</v>
      </c>
      <c r="I10" s="22" t="str">
        <f t="shared" si="29"/>
        <v>M0112-B-12-1</v>
      </c>
      <c r="J10" s="22" t="str">
        <f t="shared" si="30"/>
        <v>501-M0112-B-12-1,36-38</v>
      </c>
      <c r="K10" s="22">
        <f>VLOOKUP(I10, 'Depth vlookup'!$G$2:$I$997,2,FALSE)+(G10/100)</f>
        <v>82.36</v>
      </c>
      <c r="L10" s="23">
        <f>K10+2/100</f>
        <v>82.38</v>
      </c>
      <c r="M10" s="21">
        <v>238</v>
      </c>
      <c r="N10" s="25">
        <f>VLOOKUP(M10,  Beakers!$A$2:$B$151, 2, 0)</f>
        <v>9.9239999999999995</v>
      </c>
      <c r="O10" s="21">
        <v>20.532</v>
      </c>
      <c r="P10" s="26">
        <v>46053.579861111109</v>
      </c>
      <c r="Q10" s="21">
        <v>17.035900000000002</v>
      </c>
      <c r="R10" s="22" t="s">
        <v>391</v>
      </c>
      <c r="S10" s="22">
        <v>2</v>
      </c>
      <c r="T10" s="21">
        <v>7.0567000000000002</v>
      </c>
      <c r="V10" s="29">
        <f t="shared" si="3"/>
        <v>10.608000000000001</v>
      </c>
      <c r="W10" s="29">
        <f t="shared" si="4"/>
        <v>7.1119000000000021</v>
      </c>
      <c r="X10" s="29">
        <f t="shared" si="5"/>
        <v>3.6229015544041436</v>
      </c>
      <c r="Y10" s="29">
        <f t="shared" si="6"/>
        <v>0.1268015544041452</v>
      </c>
      <c r="Z10" s="29">
        <f t="shared" si="7"/>
        <v>6.9850984455958569</v>
      </c>
      <c r="AA10" s="29">
        <f t="shared" si="8"/>
        <v>3.5379897992227964</v>
      </c>
      <c r="AB10" s="29">
        <f t="shared" si="19"/>
        <v>5.71178172991645E-2</v>
      </c>
      <c r="AC10" s="29">
        <f>T10-VLOOKUP(M10, Beakers!$A$2:$C$151, 3, 0)</f>
        <v>2.6064757847533633</v>
      </c>
      <c r="AD10" s="29">
        <f t="shared" si="20"/>
        <v>6.0873477666769951</v>
      </c>
      <c r="AE10" s="29">
        <f t="shared" si="21"/>
        <v>2.5493579674541986</v>
      </c>
      <c r="AF10" s="29">
        <f t="shared" si="22"/>
        <v>0.34152541048304519</v>
      </c>
      <c r="AG10" s="29">
        <f t="shared" si="23"/>
        <v>0.51866148811236912</v>
      </c>
      <c r="AH10" s="29">
        <f t="shared" si="24"/>
        <v>1.7426308478825043</v>
      </c>
      <c r="AI10" s="29">
        <f t="shared" si="25"/>
        <v>1.1474781322390148</v>
      </c>
      <c r="AJ10" s="29">
        <f t="shared" si="26"/>
        <v>2.7399441485933065</v>
      </c>
      <c r="AK10" s="29">
        <f t="shared" si="27"/>
        <v>0.5812038238705951</v>
      </c>
      <c r="AL10" s="29">
        <f t="shared" si="28"/>
        <v>1.3877963959513502</v>
      </c>
      <c r="AM10" s="28" t="s">
        <v>412</v>
      </c>
      <c r="AN10" s="28" t="s">
        <v>425</v>
      </c>
    </row>
    <row r="11" spans="1:40" x14ac:dyDescent="0.3">
      <c r="A11" s="30">
        <v>501</v>
      </c>
      <c r="B11" s="21" t="s">
        <v>60</v>
      </c>
      <c r="C11" s="21" t="s">
        <v>47</v>
      </c>
      <c r="D11" s="21">
        <v>13</v>
      </c>
      <c r="E11" s="21" t="s">
        <v>34</v>
      </c>
      <c r="F11" s="21">
        <v>1</v>
      </c>
      <c r="G11" s="21">
        <v>38</v>
      </c>
      <c r="H11" s="21">
        <v>40</v>
      </c>
      <c r="I11" s="22" t="str">
        <f t="shared" si="29"/>
        <v>M0112-B-13-1</v>
      </c>
      <c r="J11" s="22" t="str">
        <f t="shared" si="30"/>
        <v>501-M0112-B-13-1,38-40</v>
      </c>
      <c r="K11" s="22">
        <f>VLOOKUP(I11, 'Depth vlookup'!$G$2:$I$997,2,FALSE)+(G11/100)</f>
        <v>83.88</v>
      </c>
      <c r="L11" s="23">
        <f t="shared" si="31"/>
        <v>83.899999999999991</v>
      </c>
      <c r="M11" s="21">
        <v>239</v>
      </c>
      <c r="N11" s="25">
        <f>VLOOKUP(M11,  Beakers!$A$2:$B$151, 2, 0)</f>
        <v>10.027900000000001</v>
      </c>
      <c r="O11" s="21">
        <v>21.625699999999998</v>
      </c>
      <c r="P11" s="26">
        <v>46053.579861111109</v>
      </c>
      <c r="Q11" s="21">
        <v>18.1127</v>
      </c>
      <c r="R11" s="22" t="s">
        <v>391</v>
      </c>
      <c r="S11" s="22">
        <v>3</v>
      </c>
      <c r="T11" s="21">
        <v>7.4793000000000003</v>
      </c>
      <c r="V11" s="29">
        <f t="shared" si="3"/>
        <v>11.597799999999998</v>
      </c>
      <c r="W11" s="29">
        <f t="shared" si="4"/>
        <v>8.0847999999999995</v>
      </c>
      <c r="X11" s="29">
        <f t="shared" si="5"/>
        <v>3.6404145077720189</v>
      </c>
      <c r="Y11" s="29">
        <f t="shared" si="6"/>
        <v>0.12741450777202079</v>
      </c>
      <c r="Z11" s="29">
        <f t="shared" si="7"/>
        <v>7.9573854922279788</v>
      </c>
      <c r="AA11" s="29">
        <f t="shared" si="8"/>
        <v>3.5550922927461119</v>
      </c>
      <c r="AB11" s="29">
        <f t="shared" si="19"/>
        <v>5.7393922419829178E-2</v>
      </c>
      <c r="AC11" s="29">
        <f>T11-VLOOKUP(M11, Beakers!$A$2:$C$151, 3, 0)</f>
        <v>2.9824838565022418</v>
      </c>
      <c r="AD11" s="29">
        <f t="shared" si="20"/>
        <v>6.480182226828525</v>
      </c>
      <c r="AE11" s="29">
        <f t="shared" si="21"/>
        <v>2.9250899340824126</v>
      </c>
      <c r="AF11" s="29">
        <f t="shared" si="22"/>
        <v>0.31388836742934173</v>
      </c>
      <c r="AG11" s="29">
        <f t="shared" si="23"/>
        <v>0.457488770818962</v>
      </c>
      <c r="AH11" s="29">
        <f t="shared" si="24"/>
        <v>1.7897336207590095</v>
      </c>
      <c r="AI11" s="29">
        <f t="shared" si="25"/>
        <v>1.2279570564055595</v>
      </c>
      <c r="AJ11" s="29">
        <f t="shared" si="26"/>
        <v>2.7203900295544843</v>
      </c>
      <c r="AK11" s="29">
        <f t="shared" si="27"/>
        <v>0.54860992612641613</v>
      </c>
      <c r="AL11" s="29">
        <f t="shared" si="28"/>
        <v>1.2153787995791412</v>
      </c>
      <c r="AM11" s="28" t="s">
        <v>412</v>
      </c>
      <c r="AN11" s="28" t="s">
        <v>425</v>
      </c>
    </row>
    <row r="12" spans="1:40" x14ac:dyDescent="0.3">
      <c r="A12" s="30">
        <v>501</v>
      </c>
      <c r="B12" s="21" t="s">
        <v>60</v>
      </c>
      <c r="C12" s="21" t="s">
        <v>47</v>
      </c>
      <c r="D12" s="21">
        <v>14</v>
      </c>
      <c r="E12" s="21" t="s">
        <v>34</v>
      </c>
      <c r="F12" s="21">
        <v>1</v>
      </c>
      <c r="G12" s="21">
        <v>66</v>
      </c>
      <c r="H12" s="21">
        <v>68</v>
      </c>
      <c r="I12" s="22" t="str">
        <f t="shared" si="29"/>
        <v>M0112-B-14-1</v>
      </c>
      <c r="J12" s="22" t="str">
        <f t="shared" si="30"/>
        <v>501-M0112-B-14-1,66-68</v>
      </c>
      <c r="K12" s="22">
        <f>VLOOKUP(I12, 'Depth vlookup'!$G$2:$I$997,2,FALSE)+(G12/100)</f>
        <v>87.16</v>
      </c>
      <c r="L12" s="23">
        <f t="shared" si="31"/>
        <v>87.179999999999993</v>
      </c>
      <c r="M12" s="21">
        <v>171</v>
      </c>
      <c r="N12" s="25">
        <f>VLOOKUP(M12,  Beakers!$A$2:$B$151, 2, 0)</f>
        <v>9.4852000000000007</v>
      </c>
      <c r="O12" s="21">
        <v>20.0489</v>
      </c>
      <c r="P12" s="26">
        <v>46053.579861111109</v>
      </c>
      <c r="Q12" s="21">
        <v>16.955300000000001</v>
      </c>
      <c r="R12" s="22" t="s">
        <v>391</v>
      </c>
      <c r="S12" s="22">
        <v>2</v>
      </c>
      <c r="T12" s="21">
        <v>7.0011999999999999</v>
      </c>
      <c r="V12" s="29">
        <f t="shared" si="3"/>
        <v>10.563699999999999</v>
      </c>
      <c r="W12" s="29">
        <f t="shared" si="4"/>
        <v>7.4701000000000004</v>
      </c>
      <c r="X12" s="29">
        <f t="shared" si="5"/>
        <v>3.2058031088082886</v>
      </c>
      <c r="Y12" s="29">
        <f t="shared" si="6"/>
        <v>0.11220310880828999</v>
      </c>
      <c r="Z12" s="29">
        <f t="shared" si="7"/>
        <v>7.3578968911917109</v>
      </c>
      <c r="AA12" s="29">
        <f t="shared" si="8"/>
        <v>3.1306670984455942</v>
      </c>
      <c r="AB12" s="29">
        <f t="shared" si="19"/>
        <v>5.0541940904635124E-2</v>
      </c>
      <c r="AC12" s="29">
        <f>T12-VLOOKUP(M12, Beakers!$A$2:$C$151, 3, 0)</f>
        <v>2.7477470852017936</v>
      </c>
      <c r="AD12" s="29">
        <f t="shared" si="20"/>
        <v>5.8278722427427532</v>
      </c>
      <c r="AE12" s="29">
        <f t="shared" si="21"/>
        <v>2.6972051442971585</v>
      </c>
      <c r="AF12" s="29">
        <f t="shared" si="22"/>
        <v>0.30347350916897381</v>
      </c>
      <c r="AG12" s="29">
        <f t="shared" si="23"/>
        <v>0.43569557391406522</v>
      </c>
      <c r="AH12" s="29">
        <f t="shared" si="24"/>
        <v>1.8126169483475907</v>
      </c>
      <c r="AI12" s="29">
        <f t="shared" si="25"/>
        <v>1.2625357222533908</v>
      </c>
      <c r="AJ12" s="29">
        <f t="shared" si="26"/>
        <v>2.7279708059095529</v>
      </c>
      <c r="AK12" s="29">
        <f t="shared" si="27"/>
        <v>0.5371886973576171</v>
      </c>
      <c r="AL12" s="29">
        <f t="shared" si="28"/>
        <v>1.1607078182632593</v>
      </c>
      <c r="AM12" s="28" t="s">
        <v>412</v>
      </c>
      <c r="AN12" s="28" t="s">
        <v>425</v>
      </c>
    </row>
    <row r="13" spans="1:40" x14ac:dyDescent="0.3">
      <c r="A13" s="30">
        <v>501</v>
      </c>
      <c r="B13" s="21" t="s">
        <v>60</v>
      </c>
      <c r="C13" s="21" t="s">
        <v>47</v>
      </c>
      <c r="D13" s="21">
        <v>15</v>
      </c>
      <c r="E13" s="21" t="s">
        <v>34</v>
      </c>
      <c r="F13" s="21">
        <v>1</v>
      </c>
      <c r="G13" s="21">
        <v>42</v>
      </c>
      <c r="H13" s="21">
        <v>44</v>
      </c>
      <c r="I13" s="22" t="str">
        <f t="shared" si="29"/>
        <v>M0112-B-15-1</v>
      </c>
      <c r="J13" s="22" t="str">
        <f t="shared" si="30"/>
        <v>501-M0112-B-15-1,42-44</v>
      </c>
      <c r="K13" s="22">
        <f>VLOOKUP(I13, 'Depth vlookup'!$G$2:$I$997,2,FALSE)+(G13/100)</f>
        <v>89.92</v>
      </c>
      <c r="L13" s="23">
        <f t="shared" si="31"/>
        <v>89.94</v>
      </c>
      <c r="M13" s="21">
        <v>172</v>
      </c>
      <c r="N13" s="25">
        <f>VLOOKUP(M13,  Beakers!$A$2:$B$151, 2, 0)</f>
        <v>9.5744000000000007</v>
      </c>
      <c r="O13" s="21">
        <v>19.12</v>
      </c>
      <c r="P13" s="26">
        <v>46053.579861111109</v>
      </c>
      <c r="Q13" s="21">
        <v>16.078199999999999</v>
      </c>
      <c r="R13" s="22" t="s">
        <v>391</v>
      </c>
      <c r="S13" s="22">
        <v>3</v>
      </c>
      <c r="T13" s="21">
        <v>6.7347999999999999</v>
      </c>
      <c r="V13" s="29">
        <f t="shared" si="3"/>
        <v>9.5456000000000003</v>
      </c>
      <c r="W13" s="29">
        <f t="shared" si="4"/>
        <v>6.5037999999999982</v>
      </c>
      <c r="X13" s="29">
        <f t="shared" si="5"/>
        <v>3.1521243523316085</v>
      </c>
      <c r="Y13" s="29">
        <f t="shared" si="6"/>
        <v>0.11032435233160642</v>
      </c>
      <c r="Z13" s="29">
        <f t="shared" si="7"/>
        <v>6.3934756476683923</v>
      </c>
      <c r="AA13" s="29">
        <f t="shared" si="8"/>
        <v>3.0782464378238363</v>
      </c>
      <c r="AB13" s="29">
        <f t="shared" si="19"/>
        <v>4.9695654203426309E-2</v>
      </c>
      <c r="AC13" s="29">
        <f>T13-VLOOKUP(M13, Beakers!$A$2:$C$151, 3, 0)</f>
        <v>2.4413470852017936</v>
      </c>
      <c r="AD13" s="29">
        <f t="shared" si="20"/>
        <v>5.4698978688222031</v>
      </c>
      <c r="AE13" s="29">
        <f t="shared" si="21"/>
        <v>2.3916514309983672</v>
      </c>
      <c r="AF13" s="29">
        <f t="shared" si="22"/>
        <v>0.33021751931063614</v>
      </c>
      <c r="AG13" s="29">
        <f t="shared" si="23"/>
        <v>0.49302203152695867</v>
      </c>
      <c r="AH13" s="29">
        <f t="shared" si="24"/>
        <v>1.7451148502075033</v>
      </c>
      <c r="AI13" s="29">
        <f t="shared" si="25"/>
        <v>1.1688473534598292</v>
      </c>
      <c r="AJ13" s="29">
        <f t="shared" si="26"/>
        <v>2.6732472653841159</v>
      </c>
      <c r="AK13" s="29">
        <f t="shared" si="27"/>
        <v>0.56276122729265043</v>
      </c>
      <c r="AL13" s="29">
        <f t="shared" si="28"/>
        <v>1.2870798804234018</v>
      </c>
      <c r="AM13" s="28" t="s">
        <v>412</v>
      </c>
      <c r="AN13" s="28" t="s">
        <v>425</v>
      </c>
    </row>
    <row r="14" spans="1:40" x14ac:dyDescent="0.3">
      <c r="A14" s="30">
        <v>501</v>
      </c>
      <c r="B14" s="21" t="s">
        <v>60</v>
      </c>
      <c r="C14" s="21" t="s">
        <v>47</v>
      </c>
      <c r="D14" s="21">
        <v>16</v>
      </c>
      <c r="E14" s="21" t="s">
        <v>34</v>
      </c>
      <c r="F14" s="21">
        <v>1</v>
      </c>
      <c r="G14" s="21">
        <v>53.5</v>
      </c>
      <c r="H14" s="21">
        <v>55.5</v>
      </c>
      <c r="I14" s="22" t="str">
        <f t="shared" si="29"/>
        <v>M0112-B-16-1</v>
      </c>
      <c r="J14" s="22" t="str">
        <f t="shared" si="30"/>
        <v>501-M0112-B-16-1,53.5-55.5</v>
      </c>
      <c r="K14" s="22">
        <f>VLOOKUP(I14, 'Depth vlookup'!$G$2:$I$997,2,FALSE)+(G14/100)</f>
        <v>93.034999999999997</v>
      </c>
      <c r="L14" s="23">
        <f t="shared" si="31"/>
        <v>93.054999999999993</v>
      </c>
      <c r="M14" s="21">
        <v>173</v>
      </c>
      <c r="N14" s="25">
        <f>VLOOKUP(M14,  Beakers!$A$2:$B$151, 2, 0)</f>
        <v>9.5054999999999996</v>
      </c>
      <c r="O14" s="21">
        <v>18.801400000000001</v>
      </c>
      <c r="P14" s="26">
        <v>46053.579861111109</v>
      </c>
      <c r="Q14" s="21">
        <v>15.892099999999999</v>
      </c>
      <c r="R14" s="22" t="s">
        <v>391</v>
      </c>
      <c r="S14" s="22">
        <v>5</v>
      </c>
      <c r="T14" s="21">
        <v>6.6055999999999999</v>
      </c>
      <c r="V14" s="29">
        <f t="shared" si="3"/>
        <v>9.2959000000000014</v>
      </c>
      <c r="W14" s="29">
        <f t="shared" si="4"/>
        <v>6.3865999999999996</v>
      </c>
      <c r="X14" s="29">
        <f t="shared" si="5"/>
        <v>3.0148186528497427</v>
      </c>
      <c r="Y14" s="29">
        <f t="shared" si="6"/>
        <v>0.10551865284974093</v>
      </c>
      <c r="Z14" s="29">
        <f t="shared" si="7"/>
        <v>6.2810813471502591</v>
      </c>
      <c r="AA14" s="29">
        <f t="shared" si="8"/>
        <v>2.9441588406735768</v>
      </c>
      <c r="AB14" s="29">
        <f t="shared" si="19"/>
        <v>4.7530924707090506E-2</v>
      </c>
      <c r="AC14" s="29">
        <f>T14-VLOOKUP(M14, Beakers!$A$2:$C$151, 3, 0)</f>
        <v>2.3430439461883408</v>
      </c>
      <c r="AD14" s="29">
        <f t="shared" si="20"/>
        <v>5.2396718621548271</v>
      </c>
      <c r="AE14" s="29">
        <f t="shared" si="21"/>
        <v>2.2955130214812502</v>
      </c>
      <c r="AF14" s="29">
        <f t="shared" si="22"/>
        <v>0.32431702716786348</v>
      </c>
      <c r="AG14" s="29">
        <f t="shared" si="23"/>
        <v>0.47998401648110683</v>
      </c>
      <c r="AH14" s="29">
        <f t="shared" si="24"/>
        <v>1.7741378171298385</v>
      </c>
      <c r="AI14" s="29">
        <f t="shared" si="25"/>
        <v>1.1987547144922068</v>
      </c>
      <c r="AJ14" s="29">
        <f t="shared" si="26"/>
        <v>2.7362429611038315</v>
      </c>
      <c r="AK14" s="29">
        <f t="shared" si="27"/>
        <v>0.56189756116956235</v>
      </c>
      <c r="AL14" s="29">
        <f t="shared" si="28"/>
        <v>1.2825711782605214</v>
      </c>
      <c r="AM14" s="28" t="s">
        <v>412</v>
      </c>
      <c r="AN14" s="28" t="s">
        <v>425</v>
      </c>
    </row>
    <row r="15" spans="1:40" x14ac:dyDescent="0.3">
      <c r="A15" s="30">
        <v>501</v>
      </c>
      <c r="B15" s="21" t="s">
        <v>60</v>
      </c>
      <c r="C15" s="21" t="s">
        <v>47</v>
      </c>
      <c r="D15" s="21">
        <v>17</v>
      </c>
      <c r="E15" s="21" t="s">
        <v>34</v>
      </c>
      <c r="F15" s="21">
        <v>1</v>
      </c>
      <c r="G15" s="21">
        <v>41.5</v>
      </c>
      <c r="H15" s="21">
        <v>43.5</v>
      </c>
      <c r="I15" s="22" t="str">
        <f t="shared" si="29"/>
        <v>M0112-B-17-1</v>
      </c>
      <c r="J15" s="22" t="str">
        <f t="shared" si="30"/>
        <v>501-M0112-B-17-1,41.5-43.5</v>
      </c>
      <c r="K15" s="22">
        <f>VLOOKUP(I15, 'Depth vlookup'!$G$2:$I$997,2,FALSE)+(G15/100)</f>
        <v>95.915000000000006</v>
      </c>
      <c r="L15" s="23">
        <f t="shared" si="31"/>
        <v>95.935000000000002</v>
      </c>
      <c r="M15" s="21">
        <v>174</v>
      </c>
      <c r="N15" s="25">
        <f>VLOOKUP(M15,  Beakers!$A$2:$B$151, 2, 0)</f>
        <v>9.8544</v>
      </c>
      <c r="O15" s="21">
        <v>18.4543</v>
      </c>
      <c r="P15" s="26">
        <v>46053.579861111109</v>
      </c>
      <c r="Q15" s="21">
        <v>15.9931</v>
      </c>
      <c r="R15" s="22" t="s">
        <v>388</v>
      </c>
      <c r="S15" s="22">
        <v>3</v>
      </c>
      <c r="T15" s="21">
        <v>6.7275</v>
      </c>
      <c r="V15" s="29">
        <f t="shared" si="3"/>
        <v>8.5998999999999999</v>
      </c>
      <c r="W15" s="29">
        <f t="shared" si="4"/>
        <v>6.1387</v>
      </c>
      <c r="X15" s="29">
        <f t="shared" si="5"/>
        <v>2.550466321243523</v>
      </c>
      <c r="Y15" s="29">
        <f t="shared" si="6"/>
        <v>8.9266321243523183E-2</v>
      </c>
      <c r="Z15" s="29">
        <f t="shared" si="7"/>
        <v>6.0494336787564773</v>
      </c>
      <c r="AA15" s="29">
        <f t="shared" si="8"/>
        <v>2.4906897668393779</v>
      </c>
      <c r="AB15" s="29">
        <f t="shared" si="19"/>
        <v>4.0210054614199631E-2</v>
      </c>
      <c r="AC15" s="29">
        <f>T15-VLOOKUP(M15, Beakers!$A$2:$C$151, 3, 0)</f>
        <v>2.3084865470852014</v>
      </c>
      <c r="AD15" s="29">
        <f t="shared" si="20"/>
        <v>4.7589662593103803</v>
      </c>
      <c r="AE15" s="29">
        <f t="shared" si="21"/>
        <v>2.2682764924710019</v>
      </c>
      <c r="AF15" s="29">
        <f t="shared" si="22"/>
        <v>0.29656929978761648</v>
      </c>
      <c r="AG15" s="29">
        <f t="shared" si="23"/>
        <v>0.421604146219485</v>
      </c>
      <c r="AH15" s="29">
        <f t="shared" si="24"/>
        <v>1.8070941316667808</v>
      </c>
      <c r="AI15" s="29">
        <f t="shared" si="25"/>
        <v>1.2711654903880529</v>
      </c>
      <c r="AJ15" s="29">
        <f t="shared" si="26"/>
        <v>2.6669736687022576</v>
      </c>
      <c r="AK15" s="29">
        <f t="shared" si="27"/>
        <v>0.52336781374875785</v>
      </c>
      <c r="AL15" s="29">
        <f t="shared" si="28"/>
        <v>1.0980538638506476</v>
      </c>
      <c r="AM15" s="28" t="s">
        <v>412</v>
      </c>
      <c r="AN15" s="28" t="s">
        <v>425</v>
      </c>
    </row>
    <row r="16" spans="1:40" x14ac:dyDescent="0.3">
      <c r="A16" s="30">
        <v>501</v>
      </c>
      <c r="B16" s="21" t="s">
        <v>60</v>
      </c>
      <c r="C16" s="21" t="s">
        <v>47</v>
      </c>
      <c r="D16" s="21">
        <v>18</v>
      </c>
      <c r="E16" s="21" t="s">
        <v>34</v>
      </c>
      <c r="F16" s="21">
        <v>1</v>
      </c>
      <c r="G16" s="21">
        <v>18</v>
      </c>
      <c r="H16" s="21">
        <v>20</v>
      </c>
      <c r="I16" s="22" t="str">
        <f t="shared" ref="I16:I17" si="32">_xlfn.CONCAT(B16, "-", C16,"-", D16,"-", F16)</f>
        <v>M0112-B-18-1</v>
      </c>
      <c r="J16" s="22" t="str">
        <f t="shared" ref="J16:J17" si="33">_xlfn.CONCAT(A16, "-", I16, ",",G16, "-",H16)</f>
        <v>501-M0112-B-18-1,18-20</v>
      </c>
      <c r="K16" s="22">
        <f>VLOOKUP(I16, 'Depth vlookup'!$G$2:$I$997,2,FALSE)+(G16/100)</f>
        <v>98.68</v>
      </c>
      <c r="L16" s="23">
        <f t="shared" si="31"/>
        <v>98.7</v>
      </c>
      <c r="M16" s="21">
        <v>175</v>
      </c>
      <c r="N16" s="25">
        <f>VLOOKUP(M16,  Beakers!$A$2:$B$151, 2, 0)</f>
        <v>9.6488999999999994</v>
      </c>
      <c r="O16" s="21">
        <v>17.017199999999999</v>
      </c>
      <c r="P16" s="26">
        <v>46053.579861111109</v>
      </c>
      <c r="Q16" s="21">
        <v>15.9816</v>
      </c>
      <c r="R16" s="22" t="s">
        <v>388</v>
      </c>
      <c r="S16" s="22">
        <v>5</v>
      </c>
      <c r="T16" s="21">
        <v>6.7206000000000001</v>
      </c>
      <c r="V16" s="29">
        <f t="shared" si="3"/>
        <v>7.3682999999999996</v>
      </c>
      <c r="W16" s="29">
        <f t="shared" si="4"/>
        <v>6.3327000000000009</v>
      </c>
      <c r="X16" s="29">
        <f t="shared" si="5"/>
        <v>1.0731606217616567</v>
      </c>
      <c r="Y16" s="29">
        <f t="shared" si="6"/>
        <v>3.7560621761657975E-2</v>
      </c>
      <c r="Z16" s="29">
        <f t="shared" si="7"/>
        <v>6.2951393782383427</v>
      </c>
      <c r="AA16" s="29">
        <f t="shared" si="8"/>
        <v>1.048008419689118</v>
      </c>
      <c r="AB16" s="29">
        <f t="shared" si="19"/>
        <v>1.6919198991737824E-2</v>
      </c>
      <c r="AC16" s="29">
        <f>T16-VLOOKUP(M16, Beakers!$A$2:$C$151, 3, 0)</f>
        <v>2.3937390134529153</v>
      </c>
      <c r="AD16" s="29">
        <f t="shared" si="20"/>
        <v>3.4248282341502954</v>
      </c>
      <c r="AE16" s="29">
        <f t="shared" si="21"/>
        <v>2.3768198144611774</v>
      </c>
      <c r="AF16" s="29">
        <f t="shared" si="22"/>
        <v>0.14564561998855324</v>
      </c>
      <c r="AG16" s="29">
        <f t="shared" si="23"/>
        <v>0.17047448154547046</v>
      </c>
      <c r="AH16" s="29">
        <f t="shared" si="24"/>
        <v>2.1514363630058329</v>
      </c>
      <c r="AI16" s="29">
        <f t="shared" si="25"/>
        <v>1.8380890800499301</v>
      </c>
      <c r="AJ16" s="29">
        <f t="shared" si="26"/>
        <v>2.6485555783139767</v>
      </c>
      <c r="AK16" s="29">
        <f t="shared" si="27"/>
        <v>0.30600320601162362</v>
      </c>
      <c r="AL16" s="29">
        <f t="shared" si="28"/>
        <v>0.44092884673578014</v>
      </c>
      <c r="AM16" s="28" t="s">
        <v>83</v>
      </c>
      <c r="AN16" s="28" t="s">
        <v>425</v>
      </c>
    </row>
    <row r="17" spans="1:40" x14ac:dyDescent="0.3">
      <c r="A17" s="30">
        <v>501</v>
      </c>
      <c r="B17" s="21" t="s">
        <v>60</v>
      </c>
      <c r="C17" s="21" t="s">
        <v>47</v>
      </c>
      <c r="D17" s="21">
        <v>19</v>
      </c>
      <c r="E17" s="21" t="s">
        <v>34</v>
      </c>
      <c r="F17" s="21">
        <v>1</v>
      </c>
      <c r="G17" s="21">
        <v>41.5</v>
      </c>
      <c r="H17" s="21">
        <v>43.5</v>
      </c>
      <c r="I17" s="22" t="str">
        <f t="shared" si="32"/>
        <v>M0112-B-19-1</v>
      </c>
      <c r="J17" s="22" t="str">
        <f t="shared" si="33"/>
        <v>501-M0112-B-19-1,41.5-43.5</v>
      </c>
      <c r="K17" s="22">
        <f>VLOOKUP(I17, 'Depth vlookup'!$G$2:$I$997,2,FALSE)+(G17/100)</f>
        <v>101.91500000000001</v>
      </c>
      <c r="L17" s="23">
        <f t="shared" si="31"/>
        <v>101.935</v>
      </c>
      <c r="M17" s="21">
        <v>176</v>
      </c>
      <c r="N17" s="25">
        <f>VLOOKUP(M17,  Beakers!$A$2:$B$151, 2, 0)</f>
        <v>9.7192000000000007</v>
      </c>
      <c r="O17" s="21">
        <v>17.583600000000001</v>
      </c>
      <c r="P17" s="26">
        <v>46053.579861111109</v>
      </c>
      <c r="Q17" s="21">
        <v>16.802700000000002</v>
      </c>
      <c r="R17" s="22" t="s">
        <v>388</v>
      </c>
      <c r="S17" s="22">
        <v>1</v>
      </c>
      <c r="T17" s="21">
        <v>7.0484</v>
      </c>
      <c r="V17" s="29">
        <f t="shared" ref="V17:V51" si="34">O17-N17</f>
        <v>7.8643999999999998</v>
      </c>
      <c r="W17" s="29">
        <f t="shared" ref="W17:W38" si="35">Q17-N17</f>
        <v>7.0835000000000008</v>
      </c>
      <c r="X17" s="29">
        <f t="shared" ref="X17:X38" si="36">(V17-W17)/(1-35/1000)</f>
        <v>0.80922279792746021</v>
      </c>
      <c r="Y17" s="29">
        <f t="shared" ref="Y17:Y38" si="37">X17-(V17-W17)</f>
        <v>2.8322797927461174E-2</v>
      </c>
      <c r="Z17" s="29">
        <f t="shared" ref="Z17:Z38" si="38">W17-Y17</f>
        <v>7.0551772020725396</v>
      </c>
      <c r="AA17" s="29">
        <f t="shared" si="8"/>
        <v>0.79025663860103534</v>
      </c>
      <c r="AB17" s="29">
        <f t="shared" si="19"/>
        <v>1.2758017084441969E-2</v>
      </c>
      <c r="AC17" s="29">
        <f>T17-VLOOKUP(M17, Beakers!$A$2:$C$151, 3, 0)</f>
        <v>2.690014349775784</v>
      </c>
      <c r="AD17" s="29">
        <f t="shared" si="20"/>
        <v>3.4675129712923773</v>
      </c>
      <c r="AE17" s="29">
        <f t="shared" si="21"/>
        <v>2.6772563326913419</v>
      </c>
      <c r="AF17" s="29">
        <f t="shared" si="22"/>
        <v>0.10289695309590817</v>
      </c>
      <c r="AG17" s="29">
        <f t="shared" si="23"/>
        <v>0.11469914571241976</v>
      </c>
      <c r="AH17" s="29">
        <f t="shared" si="24"/>
        <v>2.2680232388774186</v>
      </c>
      <c r="AI17" s="29">
        <f t="shared" si="25"/>
        <v>2.0346505580462195</v>
      </c>
      <c r="AJ17" s="29">
        <f t="shared" si="26"/>
        <v>2.6352266370326385</v>
      </c>
      <c r="AK17" s="29">
        <f t="shared" si="27"/>
        <v>0.22790300862421825</v>
      </c>
      <c r="AL17" s="29">
        <f t="shared" si="28"/>
        <v>0.29517406643189115</v>
      </c>
      <c r="AM17" s="28" t="s">
        <v>83</v>
      </c>
      <c r="AN17" s="28" t="s">
        <v>425</v>
      </c>
    </row>
    <row r="18" spans="1:40" x14ac:dyDescent="0.3">
      <c r="A18" s="30">
        <v>501</v>
      </c>
      <c r="B18" s="21" t="s">
        <v>60</v>
      </c>
      <c r="C18" s="21" t="s">
        <v>47</v>
      </c>
      <c r="D18" s="21">
        <v>20</v>
      </c>
      <c r="E18" s="21" t="s">
        <v>34</v>
      </c>
      <c r="F18" s="21">
        <v>1</v>
      </c>
      <c r="G18" s="21">
        <v>15</v>
      </c>
      <c r="H18" s="21">
        <v>17</v>
      </c>
      <c r="I18" s="22" t="str">
        <f t="shared" ref="I18:I20" si="39">_xlfn.CONCAT(B18, "-", C18,"-", D18,"-", F18)</f>
        <v>M0112-B-20-1</v>
      </c>
      <c r="J18" s="22" t="str">
        <f t="shared" ref="J18:J20" si="40">_xlfn.CONCAT(A18, "-", I18, ",",G18, "-",H18)</f>
        <v>501-M0112-B-20-1,15-17</v>
      </c>
      <c r="K18" s="22">
        <f>VLOOKUP(I18, 'Depth vlookup'!$G$2:$I$997,2,FALSE)+(G18/100)</f>
        <v>103.57000000000001</v>
      </c>
      <c r="L18" s="23">
        <f t="shared" si="31"/>
        <v>103.59</v>
      </c>
      <c r="M18" s="21">
        <v>177</v>
      </c>
      <c r="N18" s="25">
        <f>VLOOKUP(M18,  Beakers!$A$2:$B$151, 2, 0)</f>
        <v>9.4539000000000009</v>
      </c>
      <c r="O18" s="21">
        <v>21.044599999999999</v>
      </c>
      <c r="P18" s="26">
        <v>46053.649305555555</v>
      </c>
      <c r="Q18" s="21">
        <v>19.103200000000001</v>
      </c>
      <c r="R18" s="22" t="s">
        <v>388</v>
      </c>
      <c r="S18" s="22">
        <v>5</v>
      </c>
      <c r="T18" s="21">
        <v>7.8333000000000004</v>
      </c>
      <c r="V18" s="29">
        <f t="shared" si="34"/>
        <v>11.590699999999998</v>
      </c>
      <c r="W18" s="29">
        <f t="shared" si="35"/>
        <v>9.6493000000000002</v>
      </c>
      <c r="X18" s="29">
        <f t="shared" si="36"/>
        <v>2.0118134715025886</v>
      </c>
      <c r="Y18" s="29">
        <f t="shared" si="37"/>
        <v>7.0413471502590586E-2</v>
      </c>
      <c r="Z18" s="29">
        <f t="shared" si="38"/>
        <v>9.5788865284974101</v>
      </c>
      <c r="AA18" s="29">
        <f t="shared" si="8"/>
        <v>1.9646615932642466</v>
      </c>
      <c r="AB18" s="29">
        <f t="shared" si="19"/>
        <v>3.1717779956121885E-2</v>
      </c>
      <c r="AC18" s="29">
        <f>T18-VLOOKUP(M18, Beakers!$A$2:$C$151, 3, 0)</f>
        <v>3.5938829596412551</v>
      </c>
      <c r="AD18" s="29">
        <f t="shared" si="20"/>
        <v>5.5268267729493799</v>
      </c>
      <c r="AE18" s="29">
        <f t="shared" si="21"/>
        <v>3.5621651796851332</v>
      </c>
      <c r="AF18" s="29">
        <f t="shared" si="22"/>
        <v>0.1735713521618702</v>
      </c>
      <c r="AG18" s="29">
        <f t="shared" si="23"/>
        <v>0.210025817251034</v>
      </c>
      <c r="AH18" s="29">
        <f t="shared" si="24"/>
        <v>2.0971708497776285</v>
      </c>
      <c r="AI18" s="29">
        <f t="shared" si="25"/>
        <v>1.7331620696672672</v>
      </c>
      <c r="AJ18" s="29">
        <f t="shared" si="26"/>
        <v>2.6890629842561391</v>
      </c>
      <c r="AK18" s="29">
        <f t="shared" si="27"/>
        <v>0.35547732432652468</v>
      </c>
      <c r="AL18" s="29">
        <f t="shared" si="28"/>
        <v>0.55153579190224611</v>
      </c>
      <c r="AM18" s="28" t="s">
        <v>83</v>
      </c>
      <c r="AN18" s="28" t="s">
        <v>425</v>
      </c>
    </row>
    <row r="19" spans="1:40" x14ac:dyDescent="0.3">
      <c r="A19" s="30">
        <v>501</v>
      </c>
      <c r="B19" s="21" t="s">
        <v>60</v>
      </c>
      <c r="C19" s="21" t="s">
        <v>47</v>
      </c>
      <c r="D19" s="21">
        <v>21</v>
      </c>
      <c r="E19" s="21" t="s">
        <v>34</v>
      </c>
      <c r="F19" s="21">
        <v>1</v>
      </c>
      <c r="G19" s="21">
        <v>8</v>
      </c>
      <c r="H19" s="21">
        <v>10</v>
      </c>
      <c r="I19" s="22" t="str">
        <f t="shared" si="39"/>
        <v>M0112-B-21-1</v>
      </c>
      <c r="J19" s="22" t="str">
        <f t="shared" si="40"/>
        <v>501-M0112-B-21-1,8-10</v>
      </c>
      <c r="K19" s="22">
        <f>VLOOKUP(I19, 'Depth vlookup'!$G$2:$I$997,2,FALSE)+(G19/100)</f>
        <v>104.89999999999999</v>
      </c>
      <c r="L19" s="23">
        <f t="shared" si="31"/>
        <v>104.91999999999999</v>
      </c>
      <c r="M19" s="21">
        <v>178</v>
      </c>
      <c r="N19" s="25">
        <f>VLOOKUP(M19,  Beakers!$A$2:$B$151, 2, 0)</f>
        <v>9.6098999999999997</v>
      </c>
      <c r="O19" s="21">
        <v>18.786899999999999</v>
      </c>
      <c r="P19" s="26">
        <v>46053.649305555555</v>
      </c>
      <c r="Q19" s="21">
        <v>16.9648</v>
      </c>
      <c r="R19" s="22" t="s">
        <v>388</v>
      </c>
      <c r="S19" s="22">
        <v>1</v>
      </c>
      <c r="T19" s="21">
        <v>7.1332000000000004</v>
      </c>
      <c r="V19" s="29">
        <f t="shared" si="34"/>
        <v>9.1769999999999996</v>
      </c>
      <c r="W19" s="29">
        <f t="shared" si="35"/>
        <v>7.3549000000000007</v>
      </c>
      <c r="X19" s="29">
        <f t="shared" si="36"/>
        <v>1.8881865284974082</v>
      </c>
      <c r="Y19" s="29">
        <f t="shared" si="37"/>
        <v>6.6086528497409258E-2</v>
      </c>
      <c r="Z19" s="29">
        <f t="shared" si="38"/>
        <v>7.288813471502591</v>
      </c>
      <c r="AA19" s="29">
        <f t="shared" si="8"/>
        <v>1.8439321567357501</v>
      </c>
      <c r="AB19" s="29">
        <f t="shared" si="19"/>
        <v>2.9768706530364529E-2</v>
      </c>
      <c r="AC19" s="29">
        <f>T19-VLOOKUP(M19, Beakers!$A$2:$C$151, 3, 0)</f>
        <v>2.8238278026905839</v>
      </c>
      <c r="AD19" s="29">
        <f t="shared" si="20"/>
        <v>4.6379912528959695</v>
      </c>
      <c r="AE19" s="29">
        <f t="shared" si="21"/>
        <v>2.7940590961602192</v>
      </c>
      <c r="AF19" s="29">
        <f t="shared" si="22"/>
        <v>0.20575204625666429</v>
      </c>
      <c r="AG19" s="29">
        <f t="shared" si="23"/>
        <v>0.2590526614351894</v>
      </c>
      <c r="AH19" s="29">
        <f t="shared" si="24"/>
        <v>1.9786583241764126</v>
      </c>
      <c r="AI19" s="29">
        <f t="shared" si="25"/>
        <v>1.5715453251343334</v>
      </c>
      <c r="AJ19" s="29">
        <f t="shared" si="26"/>
        <v>2.6086826443718962</v>
      </c>
      <c r="AK19" s="29">
        <f t="shared" si="27"/>
        <v>0.39757128812703035</v>
      </c>
      <c r="AL19" s="29">
        <f t="shared" si="28"/>
        <v>0.65994744322688226</v>
      </c>
      <c r="AM19" s="28" t="s">
        <v>83</v>
      </c>
      <c r="AN19" s="28" t="s">
        <v>425</v>
      </c>
    </row>
    <row r="20" spans="1:40" x14ac:dyDescent="0.3">
      <c r="A20" s="30">
        <v>501</v>
      </c>
      <c r="B20" s="21" t="s">
        <v>60</v>
      </c>
      <c r="C20" s="21" t="s">
        <v>47</v>
      </c>
      <c r="D20" s="21">
        <v>22</v>
      </c>
      <c r="E20" s="21" t="s">
        <v>34</v>
      </c>
      <c r="F20" s="21">
        <v>1</v>
      </c>
      <c r="G20" s="21">
        <v>6</v>
      </c>
      <c r="H20" s="21">
        <v>8</v>
      </c>
      <c r="I20" s="22" t="str">
        <f t="shared" si="39"/>
        <v>M0112-B-22-1</v>
      </c>
      <c r="J20" s="22" t="str">
        <f t="shared" si="40"/>
        <v>501-M0112-B-22-1,6-8</v>
      </c>
      <c r="K20" s="22">
        <f>VLOOKUP(I20, 'Depth vlookup'!$G$2:$I$997,2,FALSE)+(G20/100)</f>
        <v>107.88</v>
      </c>
      <c r="L20" s="23">
        <f t="shared" si="31"/>
        <v>107.89999999999999</v>
      </c>
      <c r="M20" s="21">
        <v>179</v>
      </c>
      <c r="N20" s="25">
        <f>VLOOKUP(M20,  Beakers!$A$2:$B$151, 2, 0)</f>
        <v>9.5829000000000004</v>
      </c>
      <c r="O20" s="21">
        <v>21.203099999999999</v>
      </c>
      <c r="P20" s="26">
        <v>46053.649305555555</v>
      </c>
      <c r="Q20" s="21">
        <v>19.089099999999998</v>
      </c>
      <c r="R20" s="22" t="s">
        <v>388</v>
      </c>
      <c r="S20" s="22">
        <v>2</v>
      </c>
      <c r="T20" s="21">
        <v>7.1811999999999996</v>
      </c>
      <c r="V20" s="29">
        <f t="shared" si="34"/>
        <v>11.620199999999999</v>
      </c>
      <c r="W20" s="29">
        <f t="shared" si="35"/>
        <v>9.506199999999998</v>
      </c>
      <c r="X20" s="29">
        <f t="shared" si="36"/>
        <v>2.1906735751295345</v>
      </c>
      <c r="Y20" s="29">
        <f t="shared" si="37"/>
        <v>7.6673575129533766E-2</v>
      </c>
      <c r="Z20" s="29">
        <f t="shared" si="38"/>
        <v>9.4295264248704633</v>
      </c>
      <c r="AA20" s="29">
        <f t="shared" si="8"/>
        <v>2.1393296632124361</v>
      </c>
      <c r="AB20" s="29">
        <f t="shared" si="19"/>
        <v>3.4537646454744934E-2</v>
      </c>
      <c r="AC20" s="29">
        <f>T20-VLOOKUP(M20, Beakers!$A$2:$C$151, 3, 0)</f>
        <v>2.8839354260089678</v>
      </c>
      <c r="AD20" s="29">
        <f t="shared" si="20"/>
        <v>4.9887274427666588</v>
      </c>
      <c r="AE20" s="29">
        <f t="shared" si="21"/>
        <v>2.8493977795542227</v>
      </c>
      <c r="AF20" s="29">
        <f t="shared" si="22"/>
        <v>0.18852288042628654</v>
      </c>
      <c r="AG20" s="29">
        <f t="shared" si="23"/>
        <v>0.23232063588597754</v>
      </c>
      <c r="AH20" s="29">
        <f t="shared" si="24"/>
        <v>2.3292914141558403</v>
      </c>
      <c r="AI20" s="29">
        <f t="shared" si="25"/>
        <v>1.8901666874069627</v>
      </c>
      <c r="AJ20" s="29">
        <f t="shared" si="26"/>
        <v>3.3093050372018178</v>
      </c>
      <c r="AK20" s="29">
        <f t="shared" si="27"/>
        <v>0.42883274096570051</v>
      </c>
      <c r="AL20" s="29">
        <f t="shared" si="28"/>
        <v>0.75080063533534658</v>
      </c>
      <c r="AM20" s="28" t="s">
        <v>83</v>
      </c>
      <c r="AN20" s="28" t="s">
        <v>425</v>
      </c>
    </row>
    <row r="21" spans="1:40" x14ac:dyDescent="0.3">
      <c r="A21" s="30">
        <v>501</v>
      </c>
      <c r="B21" s="21" t="s">
        <v>60</v>
      </c>
      <c r="C21" s="21" t="s">
        <v>47</v>
      </c>
      <c r="D21" s="21">
        <v>24</v>
      </c>
      <c r="E21" s="21" t="s">
        <v>34</v>
      </c>
      <c r="F21" s="21">
        <v>1</v>
      </c>
      <c r="G21" s="21">
        <v>33</v>
      </c>
      <c r="H21" s="21">
        <v>35</v>
      </c>
      <c r="I21" s="22" t="str">
        <f t="shared" ref="I21:I23" si="41">_xlfn.CONCAT(B21, "-", C21,"-", D21,"-", F21)</f>
        <v>M0112-B-24-1</v>
      </c>
      <c r="J21" s="22" t="str">
        <f t="shared" ref="J21:J23" si="42">_xlfn.CONCAT(A21, "-", I21, ",",G21, "-",H21)</f>
        <v>501-M0112-B-24-1,33-35</v>
      </c>
      <c r="K21" s="22">
        <f>VLOOKUP(I21, 'Depth vlookup'!$G$2:$I$997,2,FALSE)+(G21/100)</f>
        <v>110.55</v>
      </c>
      <c r="L21" s="23">
        <f t="shared" si="31"/>
        <v>110.57</v>
      </c>
      <c r="M21" s="21">
        <v>180</v>
      </c>
      <c r="N21" s="25">
        <f>VLOOKUP(M21,  Beakers!$A$2:$B$151, 2, 0)</f>
        <v>9.5632000000000001</v>
      </c>
      <c r="O21" s="21">
        <v>20.902699999999999</v>
      </c>
      <c r="P21" s="26">
        <v>46053.694444444445</v>
      </c>
      <c r="Q21" s="21">
        <v>18.078099999999999</v>
      </c>
      <c r="R21" s="22" t="s">
        <v>388</v>
      </c>
      <c r="S21" s="22">
        <v>1</v>
      </c>
      <c r="T21" s="21">
        <v>7.4920999999999998</v>
      </c>
      <c r="V21" s="29">
        <f t="shared" si="34"/>
        <v>11.339499999999999</v>
      </c>
      <c r="W21" s="29">
        <f>Q21-N21</f>
        <v>8.514899999999999</v>
      </c>
      <c r="X21" s="29">
        <f t="shared" si="36"/>
        <v>2.9270466321243527</v>
      </c>
      <c r="Y21" s="29">
        <f t="shared" si="37"/>
        <v>0.10244663212435245</v>
      </c>
      <c r="Z21" s="29">
        <f t="shared" si="38"/>
        <v>8.4124533678756457</v>
      </c>
      <c r="AA21" s="29">
        <f t="shared" si="8"/>
        <v>2.858443976683938</v>
      </c>
      <c r="AB21" s="29">
        <f t="shared" si="19"/>
        <v>4.6147131587546145E-2</v>
      </c>
      <c r="AC21" s="29">
        <f>T21-VLOOKUP(M21, Beakers!$A$2:$C$151, 3, 0)</f>
        <v>3.2036695067264569</v>
      </c>
      <c r="AD21" s="29">
        <f t="shared" si="20"/>
        <v>6.0159663518228488</v>
      </c>
      <c r="AE21" s="29">
        <f t="shared" si="21"/>
        <v>3.1575223751389108</v>
      </c>
      <c r="AF21" s="29">
        <f t="shared" si="22"/>
        <v>0.25812836828117225</v>
      </c>
      <c r="AG21" s="29">
        <f t="shared" si="23"/>
        <v>0.34794209300485013</v>
      </c>
      <c r="AH21" s="29">
        <f t="shared" si="24"/>
        <v>1.8849008350194827</v>
      </c>
      <c r="AI21" s="29">
        <f t="shared" si="25"/>
        <v>1.3983544581040845</v>
      </c>
      <c r="AJ21" s="29">
        <f t="shared" si="26"/>
        <v>2.6642577212158476</v>
      </c>
      <c r="AK21" s="29">
        <f t="shared" si="27"/>
        <v>0.47514294620644348</v>
      </c>
      <c r="AL21" s="29">
        <f t="shared" si="28"/>
        <v>0.90528067170329551</v>
      </c>
      <c r="AM21" s="28" t="s">
        <v>412</v>
      </c>
      <c r="AN21" s="28" t="s">
        <v>425</v>
      </c>
    </row>
    <row r="22" spans="1:40" x14ac:dyDescent="0.3">
      <c r="A22" s="30">
        <v>501</v>
      </c>
      <c r="B22" s="21" t="s">
        <v>60</v>
      </c>
      <c r="C22" s="21" t="s">
        <v>47</v>
      </c>
      <c r="D22" s="21">
        <v>27</v>
      </c>
      <c r="E22" s="21" t="s">
        <v>34</v>
      </c>
      <c r="F22" s="21">
        <v>1</v>
      </c>
      <c r="G22" s="21">
        <v>31</v>
      </c>
      <c r="H22" s="21">
        <v>35</v>
      </c>
      <c r="I22" s="22" t="str">
        <f t="shared" si="41"/>
        <v>M0112-B-27-1</v>
      </c>
      <c r="J22" s="22" t="str">
        <f t="shared" si="42"/>
        <v>501-M0112-B-27-1,31-35</v>
      </c>
      <c r="K22" s="22">
        <f>VLOOKUP(I22, 'Depth vlookup'!$G$2:$I$997,2,FALSE)+(G22/100)</f>
        <v>138.31</v>
      </c>
      <c r="L22" s="23">
        <f t="shared" si="31"/>
        <v>138.33000000000001</v>
      </c>
      <c r="M22" s="21">
        <v>210</v>
      </c>
      <c r="N22" s="25">
        <f>VLOOKUP(M22,  Beakers!$A$2:$B$151, 2, 0)</f>
        <v>9.7520000000000007</v>
      </c>
      <c r="O22" s="21">
        <v>19.944199999999999</v>
      </c>
      <c r="P22" s="26">
        <v>46053.694444444445</v>
      </c>
      <c r="Q22" s="21">
        <v>17.2118</v>
      </c>
      <c r="R22" s="22" t="s">
        <v>388</v>
      </c>
      <c r="S22" s="22">
        <v>2</v>
      </c>
      <c r="T22" s="21">
        <v>7.35</v>
      </c>
      <c r="V22" s="29">
        <f t="shared" si="34"/>
        <v>10.192199999999998</v>
      </c>
      <c r="W22" s="29">
        <f>Q22-N22</f>
        <v>7.4597999999999995</v>
      </c>
      <c r="X22" s="29">
        <f t="shared" si="36"/>
        <v>2.8315025906735736</v>
      </c>
      <c r="Y22" s="29">
        <f t="shared" si="37"/>
        <v>9.9102590673575186E-2</v>
      </c>
      <c r="Z22" s="29">
        <f t="shared" si="38"/>
        <v>7.3606974093264244</v>
      </c>
      <c r="AA22" s="29">
        <f t="shared" si="8"/>
        <v>2.7651392487046618</v>
      </c>
      <c r="AB22" s="29">
        <f t="shared" si="19"/>
        <v>4.4640806609718552E-2</v>
      </c>
      <c r="AC22" s="29">
        <f>T22-VLOOKUP(M22, Beakers!$A$2:$C$151, 3, 0)</f>
        <v>2.9769058295964115</v>
      </c>
      <c r="AD22" s="29">
        <f t="shared" si="20"/>
        <v>5.6974042716913544</v>
      </c>
      <c r="AE22" s="29">
        <f t="shared" si="21"/>
        <v>2.9322650229866931</v>
      </c>
      <c r="AF22" s="29">
        <f t="shared" si="22"/>
        <v>0.27781073670783285</v>
      </c>
      <c r="AG22" s="29">
        <f t="shared" si="23"/>
        <v>0.38467857503365072</v>
      </c>
      <c r="AH22" s="29">
        <f t="shared" si="24"/>
        <v>1.7889199210668441</v>
      </c>
      <c r="AI22" s="29">
        <f t="shared" si="25"/>
        <v>1.2919387598839458</v>
      </c>
      <c r="AJ22" s="29">
        <f t="shared" si="26"/>
        <v>2.5102428844678912</v>
      </c>
      <c r="AK22" s="29">
        <f t="shared" si="27"/>
        <v>0.485333165217674</v>
      </c>
      <c r="AL22" s="29">
        <f t="shared" si="28"/>
        <v>0.94300454666549771</v>
      </c>
      <c r="AM22" s="28" t="s">
        <v>412</v>
      </c>
      <c r="AN22" s="28" t="s">
        <v>425</v>
      </c>
    </row>
    <row r="23" spans="1:40" x14ac:dyDescent="0.3">
      <c r="A23" s="30">
        <v>501</v>
      </c>
      <c r="B23" s="21" t="s">
        <v>60</v>
      </c>
      <c r="C23" s="21" t="s">
        <v>47</v>
      </c>
      <c r="D23" s="21">
        <v>28</v>
      </c>
      <c r="E23" s="21" t="s">
        <v>34</v>
      </c>
      <c r="F23" s="21">
        <v>1</v>
      </c>
      <c r="G23" s="21">
        <v>39</v>
      </c>
      <c r="H23" s="21">
        <v>41</v>
      </c>
      <c r="I23" s="22" t="str">
        <f t="shared" si="41"/>
        <v>M0112-B-28-1</v>
      </c>
      <c r="J23" s="22" t="str">
        <f t="shared" si="42"/>
        <v>501-M0112-B-28-1,39-41</v>
      </c>
      <c r="K23" s="22">
        <f>VLOOKUP(I23, 'Depth vlookup'!$G$2:$I$997,2,FALSE)+(G23/100)</f>
        <v>141.38999999999999</v>
      </c>
      <c r="L23" s="23">
        <f t="shared" si="31"/>
        <v>141.41</v>
      </c>
      <c r="M23" s="21">
        <v>211</v>
      </c>
      <c r="N23" s="25">
        <f>VLOOKUP(M23,  Beakers!$A$2:$B$151, 2, 0)</f>
        <v>9.7985000000000007</v>
      </c>
      <c r="O23" s="21">
        <v>20.8127</v>
      </c>
      <c r="P23" s="26">
        <v>46053.694444444445</v>
      </c>
      <c r="Q23" s="21">
        <v>17.4481</v>
      </c>
      <c r="R23" s="22" t="s">
        <v>388</v>
      </c>
      <c r="S23" s="22">
        <v>3</v>
      </c>
      <c r="T23" s="21">
        <v>7.4554</v>
      </c>
      <c r="V23" s="29">
        <f t="shared" si="34"/>
        <v>11.014199999999999</v>
      </c>
      <c r="W23" s="29">
        <f>Q23-N23</f>
        <v>7.6495999999999995</v>
      </c>
      <c r="X23" s="29">
        <f t="shared" si="36"/>
        <v>3.4866321243523313</v>
      </c>
      <c r="Y23" s="29">
        <f t="shared" si="37"/>
        <v>0.12203212435233191</v>
      </c>
      <c r="Z23" s="29">
        <f t="shared" si="38"/>
        <v>7.5275678756476676</v>
      </c>
      <c r="AA23" s="29">
        <f t="shared" si="8"/>
        <v>3.4049141839378234</v>
      </c>
      <c r="AB23" s="29">
        <f t="shared" si="19"/>
        <v>5.4969425383933283E-2</v>
      </c>
      <c r="AC23" s="29">
        <f>T23-VLOOKUP(M23, Beakers!$A$2:$C$151, 3, 0)</f>
        <v>3.0614538116591925</v>
      </c>
      <c r="AD23" s="29">
        <f t="shared" si="20"/>
        <v>6.4113985702130822</v>
      </c>
      <c r="AE23" s="29">
        <f t="shared" si="21"/>
        <v>3.0064843862752593</v>
      </c>
      <c r="AF23" s="29">
        <f t="shared" si="22"/>
        <v>0.31655790927641875</v>
      </c>
      <c r="AG23" s="29">
        <f t="shared" si="23"/>
        <v>0.46318175829830605</v>
      </c>
      <c r="AH23" s="29">
        <f t="shared" si="24"/>
        <v>1.717909108189158</v>
      </c>
      <c r="AI23" s="29">
        <f t="shared" si="25"/>
        <v>1.174091392573881</v>
      </c>
      <c r="AJ23" s="29">
        <f t="shared" si="26"/>
        <v>2.5037774717910941</v>
      </c>
      <c r="AK23" s="29">
        <f t="shared" si="27"/>
        <v>0.53107198790554389</v>
      </c>
      <c r="AL23" s="29">
        <f t="shared" si="28"/>
        <v>1.1325234880584827</v>
      </c>
      <c r="AM23" s="28" t="s">
        <v>412</v>
      </c>
      <c r="AN23" s="28" t="s">
        <v>425</v>
      </c>
    </row>
    <row r="24" spans="1:40" x14ac:dyDescent="0.3">
      <c r="A24" s="30">
        <v>501</v>
      </c>
      <c r="B24" s="21" t="s">
        <v>60</v>
      </c>
      <c r="C24" s="21" t="s">
        <v>47</v>
      </c>
      <c r="D24" s="21">
        <v>29</v>
      </c>
      <c r="E24" s="21" t="s">
        <v>34</v>
      </c>
      <c r="F24" s="21">
        <v>1</v>
      </c>
      <c r="G24" s="21">
        <v>42</v>
      </c>
      <c r="H24" s="21">
        <v>44</v>
      </c>
      <c r="I24" s="22" t="str">
        <f t="shared" ref="I24:I26" si="43">_xlfn.CONCAT(B24, "-", C24,"-", D24,"-", F24)</f>
        <v>M0112-B-29-1</v>
      </c>
      <c r="J24" s="22" t="str">
        <f t="shared" ref="J24:J26" si="44">_xlfn.CONCAT(A24, "-", I24, ",",G24, "-",H24)</f>
        <v>501-M0112-B-29-1,42-44</v>
      </c>
      <c r="K24" s="22">
        <f>VLOOKUP(I24, 'Depth vlookup'!$G$2:$I$997,2,FALSE)+(G24/100)</f>
        <v>144.41999999999999</v>
      </c>
      <c r="L24" s="23">
        <f t="shared" si="31"/>
        <v>144.44</v>
      </c>
      <c r="M24" s="21">
        <v>212</v>
      </c>
      <c r="N24" s="25">
        <f>VLOOKUP(M24,  Beakers!$A$2:$B$151, 2, 0)</f>
        <v>9.7664000000000009</v>
      </c>
      <c r="O24" s="21">
        <v>21.1343</v>
      </c>
      <c r="P24" s="26">
        <v>46053.727777777778</v>
      </c>
      <c r="Q24" s="21">
        <v>17.848800000000001</v>
      </c>
      <c r="R24" s="22" t="s">
        <v>388</v>
      </c>
      <c r="S24" s="22">
        <v>2</v>
      </c>
      <c r="T24" s="21">
        <v>7.5391000000000004</v>
      </c>
      <c r="V24" s="29">
        <f t="shared" si="34"/>
        <v>11.367899999999999</v>
      </c>
      <c r="W24" s="29">
        <f t="shared" si="35"/>
        <v>8.0823999999999998</v>
      </c>
      <c r="X24" s="29">
        <f t="shared" si="36"/>
        <v>3.4046632124352323</v>
      </c>
      <c r="Y24" s="29">
        <f t="shared" si="37"/>
        <v>0.11916321243523331</v>
      </c>
      <c r="Z24" s="29">
        <f t="shared" si="38"/>
        <v>7.9632367875647665</v>
      </c>
      <c r="AA24" s="29">
        <f t="shared" si="8"/>
        <v>3.3248664183937815</v>
      </c>
      <c r="AB24" s="29">
        <f t="shared" si="19"/>
        <v>5.3677122718573562E-2</v>
      </c>
      <c r="AC24" s="29">
        <f>T24-VLOOKUP(M24, Beakers!$A$2:$C$151, 3, 0)</f>
        <v>3.1595484304932731</v>
      </c>
      <c r="AD24" s="29">
        <f t="shared" si="20"/>
        <v>6.4307377261684806</v>
      </c>
      <c r="AE24" s="29">
        <f t="shared" si="21"/>
        <v>3.1058713077746996</v>
      </c>
      <c r="AF24" s="29">
        <f t="shared" si="22"/>
        <v>0.29949799104805924</v>
      </c>
      <c r="AG24" s="29">
        <f t="shared" si="23"/>
        <v>0.4275476547114469</v>
      </c>
      <c r="AH24" s="29">
        <f t="shared" si="24"/>
        <v>1.7677443061844702</v>
      </c>
      <c r="AI24" s="29">
        <f t="shared" si="25"/>
        <v>1.2383084377955762</v>
      </c>
      <c r="AJ24" s="29">
        <f t="shared" si="26"/>
        <v>2.5639300532610547</v>
      </c>
      <c r="AK24" s="29">
        <f t="shared" si="27"/>
        <v>0.51702721522352946</v>
      </c>
      <c r="AL24" s="29">
        <f t="shared" si="28"/>
        <v>1.0705100401523036</v>
      </c>
      <c r="AM24" s="28" t="s">
        <v>412</v>
      </c>
      <c r="AN24" s="28" t="s">
        <v>425</v>
      </c>
    </row>
    <row r="25" spans="1:40" x14ac:dyDescent="0.3">
      <c r="A25" s="30">
        <v>501</v>
      </c>
      <c r="B25" s="21" t="s">
        <v>60</v>
      </c>
      <c r="C25" s="21" t="s">
        <v>47</v>
      </c>
      <c r="D25" s="21">
        <v>31</v>
      </c>
      <c r="E25" s="21" t="s">
        <v>34</v>
      </c>
      <c r="F25" s="21">
        <v>1</v>
      </c>
      <c r="G25" s="21">
        <v>35</v>
      </c>
      <c r="H25" s="21">
        <v>37</v>
      </c>
      <c r="I25" s="22" t="str">
        <f t="shared" si="43"/>
        <v>M0112-B-31-1</v>
      </c>
      <c r="J25" s="22" t="str">
        <f t="shared" si="44"/>
        <v>501-M0112-B-31-1,35-37</v>
      </c>
      <c r="K25" s="22">
        <f>VLOOKUP(I25, 'Depth vlookup'!$G$2:$I$997,2,FALSE)+(G25/100)</f>
        <v>149.72</v>
      </c>
      <c r="L25" s="23">
        <f t="shared" si="31"/>
        <v>149.74</v>
      </c>
      <c r="M25" s="21">
        <v>213</v>
      </c>
      <c r="N25" s="25">
        <f>VLOOKUP(M25,  Beakers!$A$2:$B$151, 2, 0)</f>
        <v>9.3755000000000006</v>
      </c>
      <c r="O25" s="21">
        <v>20.710699999999999</v>
      </c>
      <c r="P25" s="26">
        <v>46053.727777777778</v>
      </c>
      <c r="Q25" s="21">
        <v>18.176100000000002</v>
      </c>
      <c r="R25" s="22" t="s">
        <v>388</v>
      </c>
      <c r="S25" s="22">
        <v>3</v>
      </c>
      <c r="T25" s="21">
        <v>7.3277000000000001</v>
      </c>
      <c r="V25" s="29">
        <f t="shared" si="34"/>
        <v>11.335199999999999</v>
      </c>
      <c r="W25" s="29">
        <f t="shared" si="35"/>
        <v>8.8006000000000011</v>
      </c>
      <c r="X25" s="29">
        <f t="shared" si="36"/>
        <v>2.6265284974093239</v>
      </c>
      <c r="Y25" s="29">
        <f t="shared" si="37"/>
        <v>9.1928497409326404E-2</v>
      </c>
      <c r="Z25" s="29">
        <f t="shared" si="38"/>
        <v>8.7086715025906756</v>
      </c>
      <c r="AA25" s="29">
        <f t="shared" si="8"/>
        <v>2.5649692357512928</v>
      </c>
      <c r="AB25" s="29">
        <f t="shared" si="19"/>
        <v>4.1409233067264142E-2</v>
      </c>
      <c r="AC25" s="29">
        <f>T25-VLOOKUP(M25, Beakers!$A$2:$C$151, 3, 0)</f>
        <v>3.123439910313901</v>
      </c>
      <c r="AD25" s="29">
        <f t="shared" si="20"/>
        <v>5.6469999129979298</v>
      </c>
      <c r="AE25" s="29">
        <f t="shared" si="21"/>
        <v>3.082030677246637</v>
      </c>
      <c r="AF25" s="29">
        <f t="shared" si="22"/>
        <v>0.23171434976086211</v>
      </c>
      <c r="AG25" s="29">
        <f t="shared" si="23"/>
        <v>0.30159921598006978</v>
      </c>
      <c r="AH25" s="29">
        <f t="shared" si="24"/>
        <v>2.0072959402583499</v>
      </c>
      <c r="AI25" s="29">
        <f t="shared" si="25"/>
        <v>1.542176666683768</v>
      </c>
      <c r="AJ25" s="29">
        <f t="shared" si="26"/>
        <v>2.8256277806977099</v>
      </c>
      <c r="AK25" s="29">
        <f t="shared" si="27"/>
        <v>0.45421804060017756</v>
      </c>
      <c r="AL25" s="29">
        <f t="shared" si="28"/>
        <v>0.8322335188573573</v>
      </c>
      <c r="AM25" s="28" t="s">
        <v>83</v>
      </c>
      <c r="AN25" s="28" t="s">
        <v>425</v>
      </c>
    </row>
    <row r="26" spans="1:40" x14ac:dyDescent="0.3">
      <c r="A26" s="30">
        <v>501</v>
      </c>
      <c r="B26" s="21" t="s">
        <v>60</v>
      </c>
      <c r="C26" s="21" t="s">
        <v>47</v>
      </c>
      <c r="D26" s="21">
        <v>36</v>
      </c>
      <c r="E26" s="21" t="s">
        <v>34</v>
      </c>
      <c r="F26" s="21">
        <v>1</v>
      </c>
      <c r="G26" s="21">
        <v>8</v>
      </c>
      <c r="H26" s="21">
        <v>10</v>
      </c>
      <c r="I26" s="22" t="str">
        <f t="shared" si="43"/>
        <v>M0112-B-36-1</v>
      </c>
      <c r="J26" s="22" t="str">
        <f t="shared" si="44"/>
        <v>501-M0112-B-36-1,8-10</v>
      </c>
      <c r="K26" s="22">
        <f>VLOOKUP(I26, 'Depth vlookup'!$G$2:$I$997,2,FALSE)+(G26/100)</f>
        <v>201.9</v>
      </c>
      <c r="L26" s="23">
        <f t="shared" si="31"/>
        <v>201.92000000000002</v>
      </c>
      <c r="M26" s="21">
        <v>214</v>
      </c>
      <c r="N26" s="25">
        <f>VLOOKUP(M26,  Beakers!$A$2:$B$151, 2, 0)</f>
        <v>9.9960000000000004</v>
      </c>
      <c r="O26" s="21">
        <v>21.282</v>
      </c>
      <c r="P26" s="26">
        <v>46053.727777777778</v>
      </c>
      <c r="Q26" s="21">
        <v>19.641200000000001</v>
      </c>
      <c r="R26" s="22" t="s">
        <v>388</v>
      </c>
      <c r="S26" s="22">
        <v>5</v>
      </c>
      <c r="T26" s="21">
        <v>8.1127000000000002</v>
      </c>
      <c r="V26" s="29">
        <f t="shared" si="34"/>
        <v>11.286</v>
      </c>
      <c r="W26" s="29">
        <f t="shared" si="35"/>
        <v>9.6452000000000009</v>
      </c>
      <c r="X26" s="29">
        <f t="shared" si="36"/>
        <v>1.7003108808290142</v>
      </c>
      <c r="Y26" s="29">
        <f t="shared" si="37"/>
        <v>5.9510880829015456E-2</v>
      </c>
      <c r="Z26" s="29">
        <f t="shared" si="38"/>
        <v>9.5856891191709863</v>
      </c>
      <c r="AA26" s="29">
        <f t="shared" si="8"/>
        <v>1.6604598445595842</v>
      </c>
      <c r="AB26" s="29">
        <f t="shared" si="19"/>
        <v>2.6806703076133087E-2</v>
      </c>
      <c r="AC26" s="29">
        <f>T26-VLOOKUP(M26, Beakers!$A$2:$C$151, 3, 0)</f>
        <v>3.6301887892376685</v>
      </c>
      <c r="AD26" s="29">
        <f t="shared" si="20"/>
        <v>5.2638419307211199</v>
      </c>
      <c r="AE26" s="29">
        <f t="shared" si="21"/>
        <v>3.6033820861615355</v>
      </c>
      <c r="AF26" s="29">
        <f t="shared" si="22"/>
        <v>0.1506566437027303</v>
      </c>
      <c r="AG26" s="29">
        <f t="shared" si="23"/>
        <v>0.17738014029982069</v>
      </c>
      <c r="AH26" s="29">
        <f t="shared" si="24"/>
        <v>2.1440613431288722</v>
      </c>
      <c r="AI26" s="29">
        <f t="shared" si="25"/>
        <v>1.8210442572803083</v>
      </c>
      <c r="AJ26" s="29">
        <f t="shared" si="26"/>
        <v>2.6601922554879658</v>
      </c>
      <c r="AK26" s="29">
        <f t="shared" si="27"/>
        <v>0.31544637289898814</v>
      </c>
      <c r="AL26" s="29">
        <f t="shared" si="28"/>
        <v>0.46080593310835138</v>
      </c>
      <c r="AM26" s="28" t="s">
        <v>83</v>
      </c>
      <c r="AN26" s="28" t="s">
        <v>425</v>
      </c>
    </row>
    <row r="27" spans="1:40" x14ac:dyDescent="0.3">
      <c r="A27" s="30">
        <v>501</v>
      </c>
      <c r="B27" s="21" t="s">
        <v>60</v>
      </c>
      <c r="C27" s="21" t="s">
        <v>47</v>
      </c>
      <c r="D27" s="21">
        <v>30</v>
      </c>
      <c r="E27" s="21" t="s">
        <v>34</v>
      </c>
      <c r="F27" s="21">
        <v>1</v>
      </c>
      <c r="G27" s="21">
        <v>57</v>
      </c>
      <c r="H27" s="21">
        <v>59</v>
      </c>
      <c r="I27" s="22" t="str">
        <f t="shared" ref="I27:I29" si="45">_xlfn.CONCAT(B27, "-", C27,"-", D27,"-", F27)</f>
        <v>M0112-B-30-1</v>
      </c>
      <c r="J27" s="22" t="str">
        <f t="shared" ref="J27:J29" si="46">_xlfn.CONCAT(A27, "-", I27, ",",G27, "-",H27)</f>
        <v>501-M0112-B-30-1,57-59</v>
      </c>
      <c r="K27" s="22">
        <f>VLOOKUP(I27, 'Depth vlookup'!$G$2:$I$997,2,FALSE)+(G27/100)</f>
        <v>147.57</v>
      </c>
      <c r="L27" s="23">
        <f t="shared" si="31"/>
        <v>147.59</v>
      </c>
      <c r="M27" s="21">
        <v>215</v>
      </c>
      <c r="N27" s="25">
        <f>VLOOKUP(M27,  Beakers!$A$2:$B$151, 2, 0)</f>
        <v>10.084</v>
      </c>
      <c r="O27" s="21">
        <v>21.3581</v>
      </c>
      <c r="P27" s="26">
        <v>46053.75</v>
      </c>
      <c r="Q27" s="21">
        <v>17.990600000000001</v>
      </c>
      <c r="R27" s="22" t="s">
        <v>388</v>
      </c>
      <c r="S27" s="22">
        <v>3</v>
      </c>
      <c r="T27" s="21">
        <v>7.5776000000000003</v>
      </c>
      <c r="V27" s="29">
        <f t="shared" si="34"/>
        <v>11.274100000000001</v>
      </c>
      <c r="W27" s="29">
        <f t="shared" si="35"/>
        <v>7.906600000000001</v>
      </c>
      <c r="X27" s="29">
        <f t="shared" si="36"/>
        <v>3.4896373056994818</v>
      </c>
      <c r="Y27" s="29">
        <f t="shared" si="37"/>
        <v>0.12213730569948211</v>
      </c>
      <c r="Z27" s="29">
        <f t="shared" si="38"/>
        <v>7.7844626943005188</v>
      </c>
      <c r="AA27" s="29">
        <f t="shared" si="8"/>
        <v>3.4078489313471501</v>
      </c>
      <c r="AB27" s="29">
        <f t="shared" si="19"/>
        <v>5.5016804369136085E-2</v>
      </c>
      <c r="AC27" s="29">
        <f>T27-VLOOKUP(M27, Beakers!$A$2:$C$151, 3, 0)</f>
        <v>3.0556269058295973</v>
      </c>
      <c r="AD27" s="29">
        <f t="shared" si="20"/>
        <v>6.4084590328076114</v>
      </c>
      <c r="AE27" s="29">
        <f t="shared" si="21"/>
        <v>3.0006101014604614</v>
      </c>
      <c r="AF27" s="29">
        <f t="shared" si="22"/>
        <v>0.3095269073096284</v>
      </c>
      <c r="AG27" s="29">
        <f t="shared" si="23"/>
        <v>0.44828235971308061</v>
      </c>
      <c r="AH27" s="29">
        <f t="shared" si="24"/>
        <v>1.7592528784662764</v>
      </c>
      <c r="AI27" s="29">
        <f t="shared" si="25"/>
        <v>1.2147167758190485</v>
      </c>
      <c r="AJ27" s="29">
        <f t="shared" si="26"/>
        <v>2.5942933040556166</v>
      </c>
      <c r="AK27" s="29">
        <f t="shared" si="27"/>
        <v>0.53177353774143366</v>
      </c>
      <c r="AL27" s="29">
        <f t="shared" si="28"/>
        <v>1.1357186759081017</v>
      </c>
      <c r="AM27" s="28" t="s">
        <v>83</v>
      </c>
      <c r="AN27" s="28" t="s">
        <v>425</v>
      </c>
    </row>
    <row r="28" spans="1:40" x14ac:dyDescent="0.3">
      <c r="A28" s="30">
        <v>501</v>
      </c>
      <c r="B28" s="21" t="s">
        <v>60</v>
      </c>
      <c r="C28" s="21" t="s">
        <v>47</v>
      </c>
      <c r="D28" s="21">
        <v>35</v>
      </c>
      <c r="E28" s="21" t="s">
        <v>34</v>
      </c>
      <c r="F28" s="21">
        <v>1</v>
      </c>
      <c r="G28" s="21">
        <v>19</v>
      </c>
      <c r="H28" s="21">
        <v>21</v>
      </c>
      <c r="I28" s="22" t="str">
        <f t="shared" si="45"/>
        <v>M0112-B-35-1</v>
      </c>
      <c r="J28" s="22" t="str">
        <f t="shared" si="46"/>
        <v>501-M0112-B-35-1,19-21</v>
      </c>
      <c r="K28" s="22">
        <f>VLOOKUP(I28, 'Depth vlookup'!$G$2:$I$997,2,FALSE)+(G28/100)</f>
        <v>200.19</v>
      </c>
      <c r="L28" s="23">
        <f t="shared" si="31"/>
        <v>200.21</v>
      </c>
      <c r="M28" s="21">
        <v>216</v>
      </c>
      <c r="N28" s="25">
        <f>VLOOKUP(M28,  Beakers!$A$2:$B$151, 2, 0)</f>
        <v>10.079499999999999</v>
      </c>
      <c r="O28" s="21">
        <v>21.251300000000001</v>
      </c>
      <c r="P28" s="26">
        <v>46053.75</v>
      </c>
      <c r="Q28" s="21">
        <v>19.203399999999998</v>
      </c>
      <c r="R28" s="22" t="s">
        <v>388</v>
      </c>
      <c r="S28" s="22">
        <v>5</v>
      </c>
      <c r="T28" s="21">
        <v>7.9622999999999999</v>
      </c>
      <c r="V28" s="29">
        <f t="shared" si="34"/>
        <v>11.171800000000001</v>
      </c>
      <c r="W28" s="29">
        <f t="shared" si="35"/>
        <v>9.123899999999999</v>
      </c>
      <c r="X28" s="29">
        <f t="shared" si="36"/>
        <v>2.1221761658031109</v>
      </c>
      <c r="Y28" s="29">
        <f t="shared" si="37"/>
        <v>7.4276165803108807E-2</v>
      </c>
      <c r="Z28" s="29">
        <f t="shared" si="38"/>
        <v>9.0496238341968898</v>
      </c>
      <c r="AA28" s="29">
        <f t="shared" si="8"/>
        <v>2.0724376619171005</v>
      </c>
      <c r="AB28" s="29">
        <f t="shared" si="19"/>
        <v>3.3457732343742705E-2</v>
      </c>
      <c r="AC28" s="29">
        <f>T28-VLOOKUP(M28, Beakers!$A$2:$C$151, 3, 0)</f>
        <v>3.4423448430493275</v>
      </c>
      <c r="AD28" s="29">
        <f t="shared" si="20"/>
        <v>5.4813247726226848</v>
      </c>
      <c r="AE28" s="29">
        <f t="shared" si="21"/>
        <v>3.4088871107055847</v>
      </c>
      <c r="AF28" s="29">
        <f t="shared" si="22"/>
        <v>0.18995830267307959</v>
      </c>
      <c r="AG28" s="29">
        <f t="shared" si="23"/>
        <v>0.23450435119565871</v>
      </c>
      <c r="AH28" s="29">
        <f t="shared" si="24"/>
        <v>2.038156917064879</v>
      </c>
      <c r="AI28" s="29">
        <f t="shared" si="25"/>
        <v>1.650992088517838</v>
      </c>
      <c r="AJ28" s="29">
        <f t="shared" si="26"/>
        <v>2.6547150258442449</v>
      </c>
      <c r="AK28" s="29">
        <f t="shared" si="27"/>
        <v>0.37809065287796984</v>
      </c>
      <c r="AL28" s="29">
        <f t="shared" si="28"/>
        <v>0.60795139135251075</v>
      </c>
      <c r="AM28" s="28" t="s">
        <v>83</v>
      </c>
      <c r="AN28" s="28" t="s">
        <v>425</v>
      </c>
    </row>
    <row r="29" spans="1:40" x14ac:dyDescent="0.3">
      <c r="A29" s="30">
        <v>501</v>
      </c>
      <c r="B29" s="21" t="s">
        <v>60</v>
      </c>
      <c r="C29" s="21" t="s">
        <v>47</v>
      </c>
      <c r="D29" s="21">
        <v>37</v>
      </c>
      <c r="E29" s="21" t="s">
        <v>34</v>
      </c>
      <c r="F29" s="21">
        <v>1</v>
      </c>
      <c r="G29" s="21">
        <v>40</v>
      </c>
      <c r="H29" s="21">
        <v>42</v>
      </c>
      <c r="I29" s="22" t="str">
        <f t="shared" si="45"/>
        <v>M0112-B-37-1</v>
      </c>
      <c r="J29" s="22" t="str">
        <f t="shared" si="46"/>
        <v>501-M0112-B-37-1,40-42</v>
      </c>
      <c r="K29" s="22">
        <f>VLOOKUP(I29, 'Depth vlookup'!$G$2:$I$997,2,FALSE)+(G29/100)</f>
        <v>203.72</v>
      </c>
      <c r="L29" s="23">
        <f t="shared" si="31"/>
        <v>203.74</v>
      </c>
      <c r="M29" s="21">
        <v>217</v>
      </c>
      <c r="N29" s="25">
        <f>VLOOKUP(M29,  Beakers!$A$2:$B$151, 2, 0)</f>
        <v>9.6670999999999996</v>
      </c>
      <c r="O29" s="21">
        <v>22.6358</v>
      </c>
      <c r="P29" s="26">
        <v>46053.75</v>
      </c>
      <c r="Q29" s="21">
        <v>19.937899999999999</v>
      </c>
      <c r="R29" s="22" t="s">
        <v>388</v>
      </c>
      <c r="S29" s="22">
        <v>1</v>
      </c>
      <c r="T29" s="21">
        <v>8.2474000000000007</v>
      </c>
      <c r="V29" s="29">
        <f t="shared" si="34"/>
        <v>12.9687</v>
      </c>
      <c r="W29" s="29">
        <f t="shared" si="35"/>
        <v>10.270799999999999</v>
      </c>
      <c r="X29" s="29">
        <f t="shared" si="36"/>
        <v>2.7957512953367885</v>
      </c>
      <c r="Y29" s="29">
        <f t="shared" si="37"/>
        <v>9.7851295336787825E-2</v>
      </c>
      <c r="Z29" s="29">
        <f t="shared" si="38"/>
        <v>10.172948704663211</v>
      </c>
      <c r="AA29" s="29">
        <f t="shared" si="8"/>
        <v>2.7302258743523322</v>
      </c>
      <c r="AB29" s="29">
        <f t="shared" si="19"/>
        <v>4.4077160061616133E-2</v>
      </c>
      <c r="AC29" s="29">
        <f>T29-VLOOKUP(M29, Beakers!$A$2:$C$151, 3, 0)</f>
        <v>3.9123775784753372</v>
      </c>
      <c r="AD29" s="29">
        <f t="shared" si="20"/>
        <v>6.5985262927660528</v>
      </c>
      <c r="AE29" s="29">
        <f t="shared" si="21"/>
        <v>3.8683004184137211</v>
      </c>
      <c r="AF29" s="29">
        <f t="shared" si="22"/>
        <v>0.21557683463545216</v>
      </c>
      <c r="AG29" s="29">
        <f t="shared" si="23"/>
        <v>0.27482211662536299</v>
      </c>
      <c r="AH29" s="29">
        <f t="shared" si="24"/>
        <v>1.9653933961311258</v>
      </c>
      <c r="AI29" s="29">
        <f t="shared" si="25"/>
        <v>1.5417001089797564</v>
      </c>
      <c r="AJ29" s="29">
        <f t="shared" si="26"/>
        <v>2.629823851384026</v>
      </c>
      <c r="AK29" s="29">
        <f t="shared" si="27"/>
        <v>0.4137629757337592</v>
      </c>
      <c r="AL29" s="29">
        <f t="shared" si="28"/>
        <v>0.70579468475509965</v>
      </c>
      <c r="AM29" s="28" t="s">
        <v>412</v>
      </c>
      <c r="AN29" s="28" t="s">
        <v>425</v>
      </c>
    </row>
    <row r="30" spans="1:40" x14ac:dyDescent="0.3">
      <c r="A30" s="30">
        <v>501</v>
      </c>
      <c r="B30" s="21" t="s">
        <v>60</v>
      </c>
      <c r="C30" s="21" t="s">
        <v>47</v>
      </c>
      <c r="D30" s="21">
        <v>40</v>
      </c>
      <c r="E30" s="21" t="s">
        <v>34</v>
      </c>
      <c r="F30" s="21">
        <v>1</v>
      </c>
      <c r="G30" s="21">
        <v>38</v>
      </c>
      <c r="H30" s="21">
        <v>40</v>
      </c>
      <c r="I30" s="22" t="str">
        <f t="shared" ref="I30:I32" si="47">_xlfn.CONCAT(B30, "-", C30,"-", D30,"-", F30)</f>
        <v>M0112-B-40-1</v>
      </c>
      <c r="J30" s="22" t="str">
        <f t="shared" ref="J30:J32" si="48">_xlfn.CONCAT(A30, "-", I30, ",",G30, "-",H30)</f>
        <v>501-M0112-B-40-1,38-40</v>
      </c>
      <c r="K30" s="22">
        <f>VLOOKUP(I30, 'Depth vlookup'!$G$2:$I$997,2,FALSE)+(G30/100)</f>
        <v>232.2</v>
      </c>
      <c r="L30" s="23">
        <f t="shared" si="31"/>
        <v>232.22</v>
      </c>
      <c r="M30" s="21">
        <v>218</v>
      </c>
      <c r="N30" s="25">
        <f>VLOOKUP(M30,  Beakers!$A$2:$B$151, 2, 0)</f>
        <v>10.0969</v>
      </c>
      <c r="O30" s="21">
        <v>21.165400000000002</v>
      </c>
      <c r="P30" s="26">
        <v>46053.761805555558</v>
      </c>
      <c r="Q30" s="21">
        <v>18.6645</v>
      </c>
      <c r="R30" s="22" t="s">
        <v>388</v>
      </c>
      <c r="S30" s="22">
        <v>5</v>
      </c>
      <c r="T30" s="21">
        <v>7.7884000000000002</v>
      </c>
      <c r="V30" s="29">
        <f t="shared" si="34"/>
        <v>11.068500000000002</v>
      </c>
      <c r="W30" s="29">
        <f t="shared" si="35"/>
        <v>8.5676000000000005</v>
      </c>
      <c r="X30" s="29">
        <f t="shared" si="36"/>
        <v>2.5916062176165817</v>
      </c>
      <c r="Y30" s="29">
        <f t="shared" si="37"/>
        <v>9.0706217616580265E-2</v>
      </c>
      <c r="Z30" s="29">
        <f t="shared" si="38"/>
        <v>8.4768937823834207</v>
      </c>
      <c r="AA30" s="29">
        <f t="shared" si="8"/>
        <v>2.5308654468911929</v>
      </c>
      <c r="AB30" s="29">
        <f t="shared" si="19"/>
        <v>4.085865658404516E-2</v>
      </c>
      <c r="AC30" s="29">
        <f>T30-VLOOKUP(M30, Beakers!$A$2:$C$151, 3, 0)</f>
        <v>3.2606421524663682</v>
      </c>
      <c r="AD30" s="29">
        <f t="shared" si="20"/>
        <v>5.7506489427735161</v>
      </c>
      <c r="AE30" s="29">
        <f t="shared" si="21"/>
        <v>3.2197834958823233</v>
      </c>
      <c r="AF30" s="29">
        <f t="shared" si="22"/>
        <v>0.23414249605787427</v>
      </c>
      <c r="AG30" s="29">
        <f t="shared" si="23"/>
        <v>0.30572592793393577</v>
      </c>
      <c r="AH30" s="29">
        <f t="shared" si="24"/>
        <v>1.9247392964074255</v>
      </c>
      <c r="AI30" s="29">
        <f t="shared" si="25"/>
        <v>1.4740760332859142</v>
      </c>
      <c r="AJ30" s="29">
        <f t="shared" si="26"/>
        <v>2.6327527280092733</v>
      </c>
      <c r="AK30" s="29">
        <f t="shared" si="27"/>
        <v>0.44010084289210083</v>
      </c>
      <c r="AL30" s="29">
        <f t="shared" si="28"/>
        <v>0.7860359089758161</v>
      </c>
      <c r="AM30" s="28" t="s">
        <v>412</v>
      </c>
      <c r="AN30" s="28" t="s">
        <v>425</v>
      </c>
    </row>
    <row r="31" spans="1:40" x14ac:dyDescent="0.3">
      <c r="A31" s="30">
        <v>501</v>
      </c>
      <c r="B31" s="21" t="s">
        <v>60</v>
      </c>
      <c r="C31" s="21" t="s">
        <v>47</v>
      </c>
      <c r="D31" s="21">
        <v>41</v>
      </c>
      <c r="E31" s="21" t="s">
        <v>34</v>
      </c>
      <c r="F31" s="21">
        <v>1</v>
      </c>
      <c r="G31" s="21">
        <v>38</v>
      </c>
      <c r="H31" s="21">
        <v>40</v>
      </c>
      <c r="I31" s="22" t="str">
        <f t="shared" si="47"/>
        <v>M0112-B-41-1</v>
      </c>
      <c r="J31" s="22" t="str">
        <f t="shared" si="48"/>
        <v>501-M0112-B-41-1,38-40</v>
      </c>
      <c r="K31" s="22">
        <f>VLOOKUP(I31, 'Depth vlookup'!$G$2:$I$997,2,FALSE)+(G31/100)</f>
        <v>235.2</v>
      </c>
      <c r="L31" s="23">
        <f t="shared" si="31"/>
        <v>235.22</v>
      </c>
      <c r="M31" s="21">
        <v>219</v>
      </c>
      <c r="N31" s="25">
        <f>VLOOKUP(M31,  Beakers!$A$2:$B$151, 2, 0)</f>
        <v>9.6616999999999997</v>
      </c>
      <c r="O31" s="21">
        <v>22.271999999999998</v>
      </c>
      <c r="P31" s="26">
        <v>46053.761805555558</v>
      </c>
      <c r="Q31" s="21">
        <v>19.568100000000001</v>
      </c>
      <c r="R31" s="22" t="s">
        <v>388</v>
      </c>
      <c r="S31" s="22">
        <v>1</v>
      </c>
      <c r="T31" s="21">
        <v>7.9550999999999998</v>
      </c>
      <c r="V31" s="29">
        <f t="shared" si="34"/>
        <v>12.610299999999999</v>
      </c>
      <c r="W31" s="29">
        <f t="shared" si="35"/>
        <v>9.9064000000000014</v>
      </c>
      <c r="X31" s="29">
        <f t="shared" si="36"/>
        <v>2.8019689119170956</v>
      </c>
      <c r="Y31" s="29">
        <f t="shared" si="37"/>
        <v>9.8068911917098323E-2</v>
      </c>
      <c r="Z31" s="29">
        <f t="shared" si="38"/>
        <v>9.8083310880829035</v>
      </c>
      <c r="AA31" s="29">
        <f t="shared" si="8"/>
        <v>2.7362977655440388</v>
      </c>
      <c r="AB31" s="29">
        <f t="shared" si="19"/>
        <v>4.4175185548242485E-2</v>
      </c>
      <c r="AC31" s="29">
        <f>T31-VLOOKUP(M31, Beakers!$A$2:$C$151, 3, 0)</f>
        <v>3.6224991031390132</v>
      </c>
      <c r="AD31" s="29">
        <f t="shared" si="20"/>
        <v>6.3146216831348099</v>
      </c>
      <c r="AE31" s="29">
        <f t="shared" si="21"/>
        <v>3.5783239175907706</v>
      </c>
      <c r="AF31" s="29">
        <f t="shared" si="22"/>
        <v>0.22219684796690767</v>
      </c>
      <c r="AG31" s="29">
        <f t="shared" si="23"/>
        <v>0.28567234188510221</v>
      </c>
      <c r="AH31" s="29">
        <f t="shared" si="24"/>
        <v>1.9970000789880706</v>
      </c>
      <c r="AI31" s="29">
        <f t="shared" si="25"/>
        <v>1.5532729560472558</v>
      </c>
      <c r="AJ31" s="29">
        <f t="shared" si="26"/>
        <v>2.7410405860313225</v>
      </c>
      <c r="AK31" s="29">
        <f t="shared" si="27"/>
        <v>0.43332726849688963</v>
      </c>
      <c r="AL31" s="29">
        <f t="shared" si="28"/>
        <v>0.7646869955211727</v>
      </c>
      <c r="AM31" s="28" t="s">
        <v>412</v>
      </c>
      <c r="AN31" s="28" t="s">
        <v>425</v>
      </c>
    </row>
    <row r="32" spans="1:40" x14ac:dyDescent="0.3">
      <c r="A32" s="30">
        <v>501</v>
      </c>
      <c r="B32" s="21" t="s">
        <v>60</v>
      </c>
      <c r="C32" s="21" t="s">
        <v>47</v>
      </c>
      <c r="D32" s="21">
        <v>42</v>
      </c>
      <c r="E32" s="21" t="s">
        <v>34</v>
      </c>
      <c r="F32" s="21">
        <v>1</v>
      </c>
      <c r="G32" s="21">
        <v>38</v>
      </c>
      <c r="H32" s="21">
        <v>40</v>
      </c>
      <c r="I32" s="22" t="str">
        <f t="shared" si="47"/>
        <v>M0112-B-42-1</v>
      </c>
      <c r="J32" s="22" t="str">
        <f t="shared" si="48"/>
        <v>501-M0112-B-42-1,38-40</v>
      </c>
      <c r="K32" s="22">
        <f>VLOOKUP(I32, 'Depth vlookup'!$G$2:$I$997,2,FALSE)+(G32/100)</f>
        <v>236.7</v>
      </c>
      <c r="L32" s="23">
        <f t="shared" si="31"/>
        <v>236.72</v>
      </c>
      <c r="M32" s="21">
        <v>243</v>
      </c>
      <c r="N32" s="25">
        <f>VLOOKUP(M32,  Beakers!$A$2:$B$151, 2, 0)</f>
        <v>9.8368000000000002</v>
      </c>
      <c r="O32" s="21">
        <v>20.093800000000002</v>
      </c>
      <c r="P32" s="26">
        <v>46053.761805555558</v>
      </c>
      <c r="Q32" s="21">
        <v>18.190999999999999</v>
      </c>
      <c r="R32" s="22" t="s">
        <v>388</v>
      </c>
      <c r="S32" s="22">
        <v>2</v>
      </c>
      <c r="T32" s="21">
        <v>7.5487000000000002</v>
      </c>
      <c r="V32" s="29">
        <f t="shared" si="34"/>
        <v>10.257000000000001</v>
      </c>
      <c r="W32" s="29">
        <f t="shared" si="35"/>
        <v>8.3541999999999987</v>
      </c>
      <c r="X32" s="29">
        <f t="shared" si="36"/>
        <v>1.9718134715025935</v>
      </c>
      <c r="Y32" s="29">
        <f t="shared" si="37"/>
        <v>6.901347150259074E-2</v>
      </c>
      <c r="Z32" s="29">
        <f t="shared" si="38"/>
        <v>8.2851865284974089</v>
      </c>
      <c r="AA32" s="29">
        <f t="shared" si="8"/>
        <v>1.9255990932642513</v>
      </c>
      <c r="AB32" s="29">
        <f t="shared" si="19"/>
        <v>3.1087149325491323E-2</v>
      </c>
      <c r="AC32" s="29">
        <f>T32-VLOOKUP(M32, Beakers!$A$2:$C$151, 3, 0)</f>
        <v>3.1375789237668164</v>
      </c>
      <c r="AD32" s="29">
        <f t="shared" si="20"/>
        <v>5.032090867705576</v>
      </c>
      <c r="AE32" s="29">
        <f t="shared" si="21"/>
        <v>3.106491774441325</v>
      </c>
      <c r="AF32" s="29">
        <f t="shared" si="22"/>
        <v>0.19224075962782425</v>
      </c>
      <c r="AG32" s="29">
        <f t="shared" si="23"/>
        <v>0.23799264684270169</v>
      </c>
      <c r="AH32" s="29">
        <f t="shared" si="24"/>
        <v>2.0383177231210783</v>
      </c>
      <c r="AI32" s="29">
        <f t="shared" si="25"/>
        <v>1.6464699756654253</v>
      </c>
      <c r="AJ32" s="29">
        <f t="shared" si="26"/>
        <v>2.6670556789056445</v>
      </c>
      <c r="AK32" s="29">
        <f t="shared" si="27"/>
        <v>0.38266381587466131</v>
      </c>
      <c r="AL32" s="29">
        <f t="shared" si="28"/>
        <v>0.61986292998009085</v>
      </c>
      <c r="AM32" s="28" t="s">
        <v>412</v>
      </c>
      <c r="AN32" s="28" t="s">
        <v>425</v>
      </c>
    </row>
    <row r="33" spans="1:40" x14ac:dyDescent="0.3">
      <c r="A33" s="30">
        <v>501</v>
      </c>
      <c r="B33" s="21" t="s">
        <v>60</v>
      </c>
      <c r="C33" s="21" t="s">
        <v>47</v>
      </c>
      <c r="D33" s="21">
        <v>39</v>
      </c>
      <c r="E33" s="21" t="s">
        <v>34</v>
      </c>
      <c r="F33" s="21">
        <v>1</v>
      </c>
      <c r="G33" s="21">
        <v>36</v>
      </c>
      <c r="H33" s="21">
        <v>38</v>
      </c>
      <c r="I33" s="22" t="str">
        <f t="shared" ref="I33:I51" si="49">_xlfn.CONCAT(B33, "-", C33,"-", D33,"-", F33)</f>
        <v>M0112-B-39-1</v>
      </c>
      <c r="J33" s="22" t="str">
        <f t="shared" ref="J33:J51" si="50">_xlfn.CONCAT(A33, "-", I33, ",",G33, "-",H33)</f>
        <v>501-M0112-B-39-1,36-38</v>
      </c>
      <c r="K33" s="22">
        <f>VLOOKUP(I33, 'Depth vlookup'!$G$2:$I$997,2,FALSE)+(G33/100)</f>
        <v>230.68</v>
      </c>
      <c r="L33" s="23">
        <f t="shared" si="31"/>
        <v>230.70000000000002</v>
      </c>
      <c r="M33" s="21">
        <v>242</v>
      </c>
      <c r="N33" s="25">
        <f>VLOOKUP(M33,  Beakers!$A$2:$B$151, 2, 0)</f>
        <v>9.9347999999999992</v>
      </c>
      <c r="O33" s="21">
        <v>20.946400000000001</v>
      </c>
      <c r="P33" s="26">
        <v>46055.329861111109</v>
      </c>
      <c r="Q33" s="21">
        <v>18.344000000000001</v>
      </c>
      <c r="R33" s="22" t="s">
        <v>391</v>
      </c>
      <c r="S33" s="22">
        <v>1</v>
      </c>
      <c r="T33" s="21">
        <v>7.6040000000000001</v>
      </c>
      <c r="V33" s="29">
        <f t="shared" si="34"/>
        <v>11.011600000000001</v>
      </c>
      <c r="W33" s="29">
        <f t="shared" si="35"/>
        <v>8.409200000000002</v>
      </c>
      <c r="X33" s="29">
        <f t="shared" si="36"/>
        <v>2.6967875647668387</v>
      </c>
      <c r="Y33" s="29">
        <f t="shared" si="37"/>
        <v>9.4387564766839294E-2</v>
      </c>
      <c r="Z33" s="29">
        <f t="shared" si="38"/>
        <v>8.3148124352331632</v>
      </c>
      <c r="AA33" s="29">
        <f t="shared" si="8"/>
        <v>2.6335816062176161</v>
      </c>
      <c r="AB33" s="29">
        <f t="shared" si="19"/>
        <v>4.2516921066143819E-2</v>
      </c>
      <c r="AC33" s="29">
        <f>T33-VLOOKUP(M33, Beakers!$A$2:$C$151, 3, 0)</f>
        <v>3.1489327354260093</v>
      </c>
      <c r="AD33" s="29">
        <f t="shared" si="20"/>
        <v>5.7399974205774811</v>
      </c>
      <c r="AE33" s="29">
        <f t="shared" si="21"/>
        <v>3.1064158143598655</v>
      </c>
      <c r="AF33" s="29">
        <f t="shared" si="22"/>
        <v>0.24490424323139584</v>
      </c>
      <c r="AG33" s="29">
        <f t="shared" si="23"/>
        <v>0.32433534559835392</v>
      </c>
      <c r="AH33" s="29">
        <f t="shared" si="24"/>
        <v>1.9183980746270375</v>
      </c>
      <c r="AI33" s="29">
        <f t="shared" si="25"/>
        <v>1.4485742459439361</v>
      </c>
      <c r="AJ33" s="29">
        <f t="shared" si="26"/>
        <v>2.6766579016230589</v>
      </c>
      <c r="AK33" s="29">
        <f t="shared" si="27"/>
        <v>0.45881233269834126</v>
      </c>
      <c r="AL33" s="29">
        <f t="shared" si="28"/>
        <v>0.84778785700339809</v>
      </c>
      <c r="AM33" s="28" t="s">
        <v>83</v>
      </c>
      <c r="AN33" s="28" t="s">
        <v>425</v>
      </c>
    </row>
    <row r="34" spans="1:40" x14ac:dyDescent="0.3">
      <c r="A34" s="30">
        <v>501</v>
      </c>
      <c r="B34" s="21" t="s">
        <v>60</v>
      </c>
      <c r="C34" s="21" t="s">
        <v>47</v>
      </c>
      <c r="D34" s="21">
        <v>43</v>
      </c>
      <c r="E34" s="21" t="s">
        <v>34</v>
      </c>
      <c r="F34" s="21">
        <v>1</v>
      </c>
      <c r="G34" s="21">
        <v>34</v>
      </c>
      <c r="H34" s="21">
        <v>36</v>
      </c>
      <c r="I34" s="22" t="str">
        <f t="shared" si="49"/>
        <v>M0112-B-43-1</v>
      </c>
      <c r="J34" s="22" t="str">
        <f t="shared" si="50"/>
        <v>501-M0112-B-43-1,34-36</v>
      </c>
      <c r="K34" s="22">
        <f>VLOOKUP(I34, 'Depth vlookup'!$G$2:$I$997,2,FALSE)+(G34/100)</f>
        <v>238.16</v>
      </c>
      <c r="L34" s="23">
        <f t="shared" si="31"/>
        <v>238.18</v>
      </c>
      <c r="M34" s="21">
        <v>241</v>
      </c>
      <c r="N34" s="25">
        <f>VLOOKUP(M34,  Beakers!$A$2:$B$151, 2, 0)</f>
        <v>9.8088999999999995</v>
      </c>
      <c r="O34" s="21">
        <v>21.088699999999999</v>
      </c>
      <c r="P34" s="26">
        <v>46055.329861111109</v>
      </c>
      <c r="Q34" s="21">
        <v>18.535299999999999</v>
      </c>
      <c r="R34" s="22" t="s">
        <v>391</v>
      </c>
      <c r="S34" s="22">
        <v>2</v>
      </c>
      <c r="T34" s="21">
        <v>7.6531000000000002</v>
      </c>
      <c r="V34" s="29">
        <f t="shared" si="34"/>
        <v>11.2798</v>
      </c>
      <c r="W34" s="29">
        <f t="shared" si="35"/>
        <v>8.7263999999999999</v>
      </c>
      <c r="X34" s="29">
        <f t="shared" si="36"/>
        <v>2.6460103626943003</v>
      </c>
      <c r="Y34" s="29">
        <f t="shared" si="37"/>
        <v>9.2610362694300452E-2</v>
      </c>
      <c r="Z34" s="29">
        <f t="shared" si="38"/>
        <v>8.6337896373056999</v>
      </c>
      <c r="AA34" s="29">
        <f t="shared" si="8"/>
        <v>2.5839944948186528</v>
      </c>
      <c r="AB34" s="29">
        <f t="shared" si="19"/>
        <v>4.1716379592027224E-2</v>
      </c>
      <c r="AC34" s="29">
        <f>T34-VLOOKUP(M34, Beakers!$A$2:$C$151, 3, 0)</f>
        <v>3.2544901345291484</v>
      </c>
      <c r="AD34" s="29">
        <f t="shared" si="20"/>
        <v>5.7967682497557735</v>
      </c>
      <c r="AE34" s="29">
        <f t="shared" si="21"/>
        <v>3.2127737549371211</v>
      </c>
      <c r="AF34" s="29">
        <f t="shared" si="22"/>
        <v>0.23457954597548719</v>
      </c>
      <c r="AG34" s="29">
        <f t="shared" si="23"/>
        <v>0.30647148863358531</v>
      </c>
      <c r="AH34" s="29">
        <f t="shared" si="24"/>
        <v>1.9458773430307887</v>
      </c>
      <c r="AI34" s="29">
        <f t="shared" si="25"/>
        <v>1.4894143193786391</v>
      </c>
      <c r="AJ34" s="29">
        <f t="shared" si="26"/>
        <v>2.6873319741354389</v>
      </c>
      <c r="AK34" s="29">
        <f t="shared" si="27"/>
        <v>0.44576467153530253</v>
      </c>
      <c r="AL34" s="29">
        <f t="shared" si="28"/>
        <v>0.80428772516203073</v>
      </c>
      <c r="AM34" s="28" t="s">
        <v>412</v>
      </c>
      <c r="AN34" s="28" t="s">
        <v>425</v>
      </c>
    </row>
    <row r="35" spans="1:40" x14ac:dyDescent="0.3">
      <c r="A35" s="30">
        <v>501</v>
      </c>
      <c r="B35" s="21" t="s">
        <v>60</v>
      </c>
      <c r="C35" s="21" t="s">
        <v>47</v>
      </c>
      <c r="D35" s="21">
        <v>44</v>
      </c>
      <c r="E35" s="21" t="s">
        <v>34</v>
      </c>
      <c r="F35" s="21">
        <v>1</v>
      </c>
      <c r="G35" s="21">
        <v>38</v>
      </c>
      <c r="H35" s="21">
        <v>40</v>
      </c>
      <c r="I35" s="22" t="str">
        <f t="shared" si="49"/>
        <v>M0112-B-44-1</v>
      </c>
      <c r="J35" s="22" t="str">
        <f t="shared" si="50"/>
        <v>501-M0112-B-44-1,38-40</v>
      </c>
      <c r="K35" s="22">
        <f>VLOOKUP(I35, 'Depth vlookup'!$G$2:$I$997,2,FALSE)+(G35/100)</f>
        <v>239.7</v>
      </c>
      <c r="L35" s="23">
        <f t="shared" si="31"/>
        <v>239.72</v>
      </c>
      <c r="M35" s="21">
        <v>240</v>
      </c>
      <c r="N35" s="25">
        <f>VLOOKUP(M35,  Beakers!$A$2:$B$151, 2, 0)</f>
        <v>9.859</v>
      </c>
      <c r="O35" s="21">
        <v>19.464700000000001</v>
      </c>
      <c r="P35" s="26">
        <v>46055.329861111109</v>
      </c>
      <c r="Q35" s="21">
        <v>17.555700000000002</v>
      </c>
      <c r="R35" s="22" t="s">
        <v>391</v>
      </c>
      <c r="S35" s="22">
        <v>3</v>
      </c>
      <c r="T35" s="21">
        <v>7.3304999999999998</v>
      </c>
      <c r="V35" s="29">
        <f t="shared" si="34"/>
        <v>9.6057000000000006</v>
      </c>
      <c r="W35" s="29">
        <f t="shared" si="35"/>
        <v>7.6967000000000017</v>
      </c>
      <c r="X35" s="29">
        <f t="shared" si="36"/>
        <v>1.9782383419689109</v>
      </c>
      <c r="Y35" s="29">
        <f t="shared" si="37"/>
        <v>6.9238341968911987E-2</v>
      </c>
      <c r="Z35" s="29">
        <f t="shared" si="38"/>
        <v>7.6274616580310894</v>
      </c>
      <c r="AA35" s="29">
        <f t="shared" si="8"/>
        <v>1.9318733808290145</v>
      </c>
      <c r="AB35" s="29">
        <f t="shared" si="19"/>
        <v>3.1188442328338731E-2</v>
      </c>
      <c r="AC35" s="29">
        <f>T35-VLOOKUP(M35, Beakers!$A$2:$C$151, 3, 0)</f>
        <v>2.9094237668161433</v>
      </c>
      <c r="AD35" s="29">
        <f t="shared" si="20"/>
        <v>4.8101087053168197</v>
      </c>
      <c r="AE35" s="29">
        <f t="shared" si="21"/>
        <v>2.8782353244878047</v>
      </c>
      <c r="AF35" s="29">
        <f t="shared" si="22"/>
        <v>0.20594421457768938</v>
      </c>
      <c r="AG35" s="29">
        <f t="shared" si="23"/>
        <v>0.25935736299454076</v>
      </c>
      <c r="AH35" s="29">
        <f t="shared" si="24"/>
        <v>1.9969818955198264</v>
      </c>
      <c r="AI35" s="29">
        <f t="shared" si="25"/>
        <v>1.5857150275211305</v>
      </c>
      <c r="AJ35" s="29">
        <f t="shared" si="26"/>
        <v>2.6500479627698375</v>
      </c>
      <c r="AK35" s="29">
        <f t="shared" si="27"/>
        <v>0.40162780077997651</v>
      </c>
      <c r="AL35" s="29">
        <f t="shared" si="28"/>
        <v>0.67120063616507808</v>
      </c>
      <c r="AM35" s="28" t="s">
        <v>83</v>
      </c>
      <c r="AN35" s="28" t="s">
        <v>425</v>
      </c>
    </row>
    <row r="36" spans="1:40" x14ac:dyDescent="0.3">
      <c r="A36" s="30">
        <v>501</v>
      </c>
      <c r="B36" s="21" t="s">
        <v>60</v>
      </c>
      <c r="C36" s="21" t="s">
        <v>47</v>
      </c>
      <c r="D36" s="21">
        <v>45</v>
      </c>
      <c r="E36" s="21" t="s">
        <v>34</v>
      </c>
      <c r="F36" s="21">
        <v>1</v>
      </c>
      <c r="G36" s="21">
        <v>38</v>
      </c>
      <c r="H36" s="21">
        <v>40</v>
      </c>
      <c r="I36" s="22" t="str">
        <f t="shared" si="49"/>
        <v>M0112-B-45-1</v>
      </c>
      <c r="J36" s="22" t="str">
        <f t="shared" si="50"/>
        <v>501-M0112-B-45-1,38-40</v>
      </c>
      <c r="K36" s="22">
        <f>VLOOKUP(I36, 'Depth vlookup'!$G$2:$I$997,2,FALSE)+(G36/100)</f>
        <v>241.2</v>
      </c>
      <c r="L36" s="23">
        <f t="shared" si="31"/>
        <v>241.22</v>
      </c>
      <c r="M36" s="21">
        <v>245</v>
      </c>
      <c r="N36" s="25">
        <f>VLOOKUP(M36,  Beakers!$A$2:$B$151, 2, 0)</f>
        <v>9.8491999999999997</v>
      </c>
      <c r="O36" s="21">
        <v>18.719899999999999</v>
      </c>
      <c r="P36" s="26">
        <v>46055.431944444441</v>
      </c>
      <c r="Q36" s="21">
        <v>16.3782</v>
      </c>
      <c r="R36" s="22" t="s">
        <v>391</v>
      </c>
      <c r="S36" s="22">
        <v>2</v>
      </c>
      <c r="T36" s="21">
        <v>6.8510999999999997</v>
      </c>
      <c r="V36" s="29">
        <f t="shared" si="34"/>
        <v>8.8706999999999994</v>
      </c>
      <c r="W36" s="29">
        <f t="shared" si="35"/>
        <v>6.5289999999999999</v>
      </c>
      <c r="X36" s="29">
        <f t="shared" si="36"/>
        <v>2.4266321243523312</v>
      </c>
      <c r="Y36" s="29">
        <f t="shared" si="37"/>
        <v>8.4932124352331773E-2</v>
      </c>
      <c r="Z36" s="29">
        <f t="shared" si="38"/>
        <v>6.4440678756476686</v>
      </c>
      <c r="AA36" s="29">
        <f t="shared" si="8"/>
        <v>2.3697579339378234</v>
      </c>
      <c r="AB36" s="29">
        <f t="shared" si="19"/>
        <v>3.8257713672221513E-2</v>
      </c>
      <c r="AC36" s="29">
        <f>T36-VLOOKUP(M36, Beakers!$A$2:$C$151, 3, 0)</f>
        <v>2.4344183856502237</v>
      </c>
      <c r="AD36" s="29">
        <f t="shared" si="20"/>
        <v>4.7659186059158252</v>
      </c>
      <c r="AE36" s="29">
        <f t="shared" si="21"/>
        <v>2.3961606719780022</v>
      </c>
      <c r="AF36" s="29">
        <f t="shared" si="22"/>
        <v>0.27355587770438988</v>
      </c>
      <c r="AG36" s="29">
        <f t="shared" si="23"/>
        <v>0.37656836817666817</v>
      </c>
      <c r="AH36" s="29">
        <f t="shared" si="24"/>
        <v>1.8612781151967228</v>
      </c>
      <c r="AI36" s="29">
        <f t="shared" si="25"/>
        <v>1.3521145467421107</v>
      </c>
      <c r="AJ36" s="29">
        <f t="shared" si="26"/>
        <v>2.6893304572636052</v>
      </c>
      <c r="AK36" s="29">
        <f t="shared" si="27"/>
        <v>0.49723004731895704</v>
      </c>
      <c r="AL36" s="29">
        <f t="shared" si="28"/>
        <v>0.98898123220661005</v>
      </c>
      <c r="AM36" s="28" t="s">
        <v>83</v>
      </c>
      <c r="AN36" s="28" t="s">
        <v>425</v>
      </c>
    </row>
    <row r="37" spans="1:40" x14ac:dyDescent="0.3">
      <c r="A37" s="30">
        <v>501</v>
      </c>
      <c r="B37" s="21" t="s">
        <v>60</v>
      </c>
      <c r="C37" s="21" t="s">
        <v>47</v>
      </c>
      <c r="D37" s="21">
        <v>46</v>
      </c>
      <c r="E37" s="21" t="s">
        <v>34</v>
      </c>
      <c r="F37" s="21">
        <v>1</v>
      </c>
      <c r="G37" s="21">
        <v>38</v>
      </c>
      <c r="H37" s="21">
        <v>40</v>
      </c>
      <c r="I37" s="22" t="str">
        <f t="shared" si="49"/>
        <v>M0112-B-46-1</v>
      </c>
      <c r="J37" s="22" t="str">
        <f t="shared" si="50"/>
        <v>501-M0112-B-46-1,38-40</v>
      </c>
      <c r="K37" s="22">
        <f>VLOOKUP(I37, 'Depth vlookup'!$G$2:$I$997,2,FALSE)+(G37/100)</f>
        <v>242.7</v>
      </c>
      <c r="L37" s="23">
        <f t="shared" si="31"/>
        <v>242.72</v>
      </c>
      <c r="M37" s="21">
        <v>246</v>
      </c>
      <c r="N37" s="25">
        <f>VLOOKUP(M37,  Beakers!$A$2:$B$151, 2, 0)</f>
        <v>9.7553000000000001</v>
      </c>
      <c r="O37" s="21">
        <v>17.604500000000002</v>
      </c>
      <c r="P37" s="26">
        <v>46055.431944444441</v>
      </c>
      <c r="Q37" s="21">
        <v>16.279699999999998</v>
      </c>
      <c r="R37" s="22" t="s">
        <v>391</v>
      </c>
      <c r="S37" s="22">
        <v>3</v>
      </c>
      <c r="T37" s="21">
        <v>6.8929</v>
      </c>
      <c r="V37" s="29">
        <f t="shared" si="34"/>
        <v>7.8492000000000015</v>
      </c>
      <c r="W37" s="29">
        <f t="shared" si="35"/>
        <v>6.5243999999999982</v>
      </c>
      <c r="X37" s="29">
        <f t="shared" si="36"/>
        <v>1.3728497409326459</v>
      </c>
      <c r="Y37" s="29">
        <f t="shared" si="37"/>
        <v>4.8049740932642582E-2</v>
      </c>
      <c r="Z37" s="29">
        <f t="shared" si="38"/>
        <v>6.4763502590673561</v>
      </c>
      <c r="AA37" s="29">
        <f t="shared" si="8"/>
        <v>1.3406735751295369</v>
      </c>
      <c r="AB37" s="29">
        <f t="shared" si="19"/>
        <v>2.1644027447136296E-2</v>
      </c>
      <c r="AC37" s="29">
        <f>T37-VLOOKUP(M37, Beakers!$A$2:$C$151, 3, 0)</f>
        <v>2.5183260089686099</v>
      </c>
      <c r="AD37" s="29">
        <f t="shared" ref="AD37:AD38" si="51">AC37-AB37+AA37</f>
        <v>3.8373555566510102</v>
      </c>
      <c r="AE37" s="29">
        <f t="shared" ref="AE37:AE38" si="52">AC37-AB37</f>
        <v>2.4966819815214736</v>
      </c>
      <c r="AF37" s="29">
        <f t="shared" si="22"/>
        <v>0.17490314184026978</v>
      </c>
      <c r="AG37" s="29">
        <f t="shared" si="23"/>
        <v>0.21197892115401842</v>
      </c>
      <c r="AH37" s="29">
        <f t="shared" ref="AH37:AH38" si="53">V37/AD37</f>
        <v>2.0454711282605937</v>
      </c>
      <c r="AI37" s="29">
        <f t="shared" ref="AI37:AI38" si="54">Z37/AD37</f>
        <v>1.6877118013842547</v>
      </c>
      <c r="AJ37" s="29">
        <f t="shared" ref="AJ37:AJ38" si="55">Z37/AE37</f>
        <v>2.593982856847743</v>
      </c>
      <c r="AK37" s="29">
        <f t="shared" ref="AK37:AK38" si="56">AA37/AD37</f>
        <v>0.34937434265267509</v>
      </c>
      <c r="AL37" s="29">
        <f>AA37/AE37</f>
        <v>0.53698211668613594</v>
      </c>
      <c r="AM37" s="28" t="s">
        <v>83</v>
      </c>
      <c r="AN37" s="28" t="s">
        <v>425</v>
      </c>
    </row>
    <row r="38" spans="1:40" x14ac:dyDescent="0.3">
      <c r="A38" s="30">
        <v>501</v>
      </c>
      <c r="B38" s="21" t="s">
        <v>60</v>
      </c>
      <c r="C38" s="21" t="s">
        <v>47</v>
      </c>
      <c r="D38" s="21">
        <v>48</v>
      </c>
      <c r="E38" s="21" t="s">
        <v>34</v>
      </c>
      <c r="F38" s="21">
        <v>1</v>
      </c>
      <c r="G38" s="21">
        <v>8</v>
      </c>
      <c r="H38" s="21">
        <v>10</v>
      </c>
      <c r="I38" s="22" t="str">
        <f t="shared" si="49"/>
        <v>M0112-B-48-1</v>
      </c>
      <c r="J38" s="22" t="str">
        <f t="shared" si="50"/>
        <v>501-M0112-B-48-1,8-10</v>
      </c>
      <c r="K38" s="22">
        <f>VLOOKUP(I38, 'Depth vlookup'!$G$2:$I$997,2,FALSE)+(G38/100)</f>
        <v>245.4</v>
      </c>
      <c r="L38" s="23">
        <f t="shared" si="31"/>
        <v>245.42000000000002</v>
      </c>
      <c r="M38" s="21">
        <v>247</v>
      </c>
      <c r="N38" s="25">
        <f>VLOOKUP(M38,  Beakers!$A$2:$B$151, 2, 0)</f>
        <v>9.8389000000000006</v>
      </c>
      <c r="O38" s="21">
        <v>17.343</v>
      </c>
      <c r="P38" s="26">
        <v>46055.431944444441</v>
      </c>
      <c r="Q38" s="21">
        <v>15.467700000000001</v>
      </c>
      <c r="R38" s="22" t="s">
        <v>391</v>
      </c>
      <c r="S38" s="22">
        <v>5</v>
      </c>
      <c r="T38" s="21">
        <v>6.4992999999999999</v>
      </c>
      <c r="V38" s="29">
        <f t="shared" si="34"/>
        <v>7.5040999999999993</v>
      </c>
      <c r="W38" s="29">
        <f t="shared" si="35"/>
        <v>5.6288</v>
      </c>
      <c r="X38" s="29">
        <f t="shared" si="36"/>
        <v>1.9433160621761651</v>
      </c>
      <c r="Y38" s="29">
        <f t="shared" si="37"/>
        <v>6.8016062176165848E-2</v>
      </c>
      <c r="Z38" s="29">
        <f t="shared" si="38"/>
        <v>5.5607839378238344</v>
      </c>
      <c r="AA38" s="29">
        <f t="shared" si="8"/>
        <v>1.8977695919689113</v>
      </c>
      <c r="AB38" s="29">
        <f t="shared" si="19"/>
        <v>3.0637865845119749E-2</v>
      </c>
      <c r="AC38" s="29">
        <f>T38-VLOOKUP(M38, Beakers!$A$2:$C$151, 3, 0)</f>
        <v>2.087237219730941</v>
      </c>
      <c r="AD38" s="29">
        <f t="shared" si="51"/>
        <v>3.9543689458547329</v>
      </c>
      <c r="AE38" s="29">
        <f t="shared" si="52"/>
        <v>2.0565993538858214</v>
      </c>
      <c r="AF38" s="29">
        <f t="shared" si="22"/>
        <v>0.25896723953254425</v>
      </c>
      <c r="AG38" s="29">
        <f t="shared" si="23"/>
        <v>0.34946800377514137</v>
      </c>
      <c r="AH38" s="29">
        <f t="shared" si="53"/>
        <v>1.8976732072171367</v>
      </c>
      <c r="AI38" s="29">
        <f t="shared" si="54"/>
        <v>1.4062380152092451</v>
      </c>
      <c r="AJ38" s="29">
        <f t="shared" si="55"/>
        <v>2.7038732300081034</v>
      </c>
      <c r="AK38" s="29">
        <f t="shared" si="56"/>
        <v>0.47991717969520681</v>
      </c>
      <c r="AL38" s="29">
        <f t="shared" si="28"/>
        <v>0.92277068374216364</v>
      </c>
      <c r="AM38" s="28" t="s">
        <v>412</v>
      </c>
      <c r="AN38" s="28" t="s">
        <v>425</v>
      </c>
    </row>
    <row r="39" spans="1:40" x14ac:dyDescent="0.3">
      <c r="A39" s="30">
        <v>501</v>
      </c>
      <c r="B39" s="21" t="s">
        <v>60</v>
      </c>
      <c r="C39" s="21" t="s">
        <v>47</v>
      </c>
      <c r="D39" s="21">
        <v>49</v>
      </c>
      <c r="E39" s="21" t="s">
        <v>34</v>
      </c>
      <c r="F39" s="21">
        <v>1</v>
      </c>
      <c r="G39" s="21">
        <v>60</v>
      </c>
      <c r="H39" s="21">
        <v>62</v>
      </c>
      <c r="I39" s="22" t="str">
        <f t="shared" si="49"/>
        <v>M0112-B-49-1</v>
      </c>
      <c r="J39" s="22" t="str">
        <f t="shared" si="50"/>
        <v>501-M0112-B-49-1,60-62</v>
      </c>
      <c r="K39" s="22">
        <f>VLOOKUP(I39, 'Depth vlookup'!$G$2:$I$997,2,FALSE)+(G39/100)</f>
        <v>247.42</v>
      </c>
      <c r="L39" s="23">
        <f t="shared" si="31"/>
        <v>247.44</v>
      </c>
      <c r="M39" s="21">
        <v>248</v>
      </c>
      <c r="N39" s="25">
        <f>VLOOKUP(M39,  Beakers!$A$2:$B$151, 2, 0)</f>
        <v>9.6745000000000001</v>
      </c>
      <c r="O39" s="21">
        <v>21.317699999999999</v>
      </c>
      <c r="P39" s="26">
        <v>46055.479166666664</v>
      </c>
      <c r="Q39" s="21">
        <v>19.1051</v>
      </c>
      <c r="R39" s="22" t="s">
        <v>391</v>
      </c>
      <c r="S39" s="22">
        <v>3</v>
      </c>
      <c r="T39" s="21">
        <v>7.9214000000000002</v>
      </c>
      <c r="V39" s="29">
        <f t="shared" si="34"/>
        <v>11.643199999999998</v>
      </c>
      <c r="W39" s="29">
        <f t="shared" ref="W39:W51" si="57">Q39-N39</f>
        <v>9.4306000000000001</v>
      </c>
      <c r="X39" s="29">
        <f t="shared" ref="X39:X51" si="58">(V39-W39)/(1-35/1000)</f>
        <v>2.2928497409326409</v>
      </c>
      <c r="Y39" s="29">
        <f t="shared" ref="Y39:Y51" si="59">X39-(V39-W39)</f>
        <v>8.0249740932642588E-2</v>
      </c>
      <c r="Z39" s="29">
        <f t="shared" ref="Z39:Z51" si="60">W39-Y39</f>
        <v>9.3503502590673584</v>
      </c>
      <c r="AA39" s="29">
        <f t="shared" ref="AA39:AA51" si="61">X39/1.024</f>
        <v>2.2391110751295322</v>
      </c>
      <c r="AB39" s="29">
        <f t="shared" ref="AB39:AB51" si="62">Y39/2.22</f>
        <v>3.6148531951640805E-2</v>
      </c>
      <c r="AC39" s="29">
        <f>T39-VLOOKUP(M39, Beakers!$A$2:$C$151, 3, 0)</f>
        <v>3.5830591928251119</v>
      </c>
      <c r="AD39" s="29">
        <f t="shared" ref="AD39:AD41" si="63">AC39-AB39+AA39</f>
        <v>5.7860217360030033</v>
      </c>
      <c r="AE39" s="29">
        <f t="shared" ref="AE39:AE41" si="64">AC39-AB39</f>
        <v>3.5469106608734711</v>
      </c>
      <c r="AF39" s="29">
        <f t="shared" ref="AF39:AF51" si="65">X39/V39</f>
        <v>0.19692608053908214</v>
      </c>
      <c r="AG39" s="29">
        <f t="shared" ref="AG39:AG51" si="66">X39/Z39</f>
        <v>0.24521538524283465</v>
      </c>
      <c r="AH39" s="29">
        <f t="shared" ref="AH39:AH41" si="67">V39/AD39</f>
        <v>2.0122980056488946</v>
      </c>
      <c r="AI39" s="29">
        <f t="shared" ref="AI39:AI41" si="68">Z39/AD39</f>
        <v>1.6160240465198461</v>
      </c>
      <c r="AJ39" s="29">
        <f t="shared" ref="AJ39:AJ41" si="69">Z39/AE39</f>
        <v>2.6361955947220608</v>
      </c>
      <c r="AK39" s="29">
        <f t="shared" ref="AK39:AK41" si="70">AA39/AD39</f>
        <v>0.38698628821196152</v>
      </c>
      <c r="AL39" s="29">
        <f t="shared" si="28"/>
        <v>0.63128488118675175</v>
      </c>
      <c r="AM39" s="28" t="s">
        <v>412</v>
      </c>
      <c r="AN39" s="28" t="s">
        <v>425</v>
      </c>
    </row>
    <row r="40" spans="1:40" x14ac:dyDescent="0.3">
      <c r="A40" s="30">
        <v>501</v>
      </c>
      <c r="B40" s="21" t="s">
        <v>60</v>
      </c>
      <c r="C40" s="21" t="s">
        <v>47</v>
      </c>
      <c r="D40" s="21">
        <v>50</v>
      </c>
      <c r="E40" s="21" t="s">
        <v>34</v>
      </c>
      <c r="F40" s="21">
        <v>1</v>
      </c>
      <c r="G40" s="21">
        <v>38</v>
      </c>
      <c r="H40" s="21">
        <v>40</v>
      </c>
      <c r="I40" s="22" t="str">
        <f t="shared" si="49"/>
        <v>M0112-B-50-1</v>
      </c>
      <c r="J40" s="22" t="str">
        <f t="shared" si="50"/>
        <v>501-M0112-B-50-1,38-40</v>
      </c>
      <c r="K40" s="22">
        <f>VLOOKUP(I40, 'Depth vlookup'!$G$2:$I$997,2,FALSE)+(G40/100)</f>
        <v>250.2</v>
      </c>
      <c r="L40" s="23">
        <f t="shared" si="31"/>
        <v>250.22</v>
      </c>
      <c r="M40" s="21">
        <v>249</v>
      </c>
      <c r="N40" s="25">
        <f>VLOOKUP(M40,  Beakers!$A$2:$B$151, 2, 0)</f>
        <v>9.9565000000000001</v>
      </c>
      <c r="O40" s="21">
        <v>20.957799999999999</v>
      </c>
      <c r="P40" s="26">
        <v>46055.479166666664</v>
      </c>
      <c r="Q40" s="21">
        <v>19.6494</v>
      </c>
      <c r="R40" s="22" t="s">
        <v>391</v>
      </c>
      <c r="S40" s="22">
        <v>5</v>
      </c>
      <c r="T40" s="21">
        <v>8.1037999999999997</v>
      </c>
      <c r="V40" s="29">
        <f t="shared" si="34"/>
        <v>11.001299999999999</v>
      </c>
      <c r="W40" s="29">
        <f t="shared" si="57"/>
        <v>9.6928999999999998</v>
      </c>
      <c r="X40" s="29">
        <f t="shared" si="58"/>
        <v>1.3558549222797915</v>
      </c>
      <c r="Y40" s="29">
        <f t="shared" si="59"/>
        <v>4.7454922279792644E-2</v>
      </c>
      <c r="Z40" s="29">
        <f t="shared" si="60"/>
        <v>9.6454450777202076</v>
      </c>
      <c r="AA40" s="29">
        <f t="shared" si="61"/>
        <v>1.3240770725388589</v>
      </c>
      <c r="AB40" s="29">
        <f t="shared" si="62"/>
        <v>2.137609111702371E-2</v>
      </c>
      <c r="AC40" s="29">
        <f>T40-VLOOKUP(M40, Beakers!$A$2:$C$151, 3, 0)</f>
        <v>3.639001793721973</v>
      </c>
      <c r="AD40" s="29">
        <f t="shared" si="63"/>
        <v>4.9417027751438081</v>
      </c>
      <c r="AE40" s="29">
        <f t="shared" si="64"/>
        <v>3.6176257026049492</v>
      </c>
      <c r="AF40" s="29">
        <f t="shared" si="65"/>
        <v>0.12324497307407231</v>
      </c>
      <c r="AG40" s="29">
        <f t="shared" si="66"/>
        <v>0.14056945131662713</v>
      </c>
      <c r="AH40" s="29">
        <f t="shared" si="67"/>
        <v>2.2262164481715212</v>
      </c>
      <c r="AI40" s="29">
        <f t="shared" si="68"/>
        <v>1.9518464619595655</v>
      </c>
      <c r="AJ40" s="29">
        <f t="shared" si="69"/>
        <v>2.6662363303021639</v>
      </c>
      <c r="AK40" s="29">
        <f t="shared" si="70"/>
        <v>0.2679394396601133</v>
      </c>
      <c r="AL40" s="29">
        <f t="shared" si="28"/>
        <v>0.36600720510843027</v>
      </c>
      <c r="AM40" s="28" t="s">
        <v>83</v>
      </c>
      <c r="AN40" s="28" t="s">
        <v>425</v>
      </c>
    </row>
    <row r="41" spans="1:40" x14ac:dyDescent="0.3">
      <c r="A41" s="30">
        <v>501</v>
      </c>
      <c r="B41" s="21" t="s">
        <v>60</v>
      </c>
      <c r="C41" s="21" t="s">
        <v>47</v>
      </c>
      <c r="D41" s="21">
        <v>56</v>
      </c>
      <c r="E41" s="21" t="s">
        <v>34</v>
      </c>
      <c r="F41" s="21">
        <v>1</v>
      </c>
      <c r="G41" s="21">
        <v>12</v>
      </c>
      <c r="H41" s="21">
        <v>14</v>
      </c>
      <c r="I41" s="22" t="str">
        <f t="shared" si="49"/>
        <v>M0112-B-56-1</v>
      </c>
      <c r="J41" s="22" t="str">
        <f t="shared" si="50"/>
        <v>501-M0112-B-56-1,12-14</v>
      </c>
      <c r="K41" s="22">
        <f>VLOOKUP(I41, 'Depth vlookup'!$G$2:$I$997,2,FALSE)+(G41/100)</f>
        <v>321.94</v>
      </c>
      <c r="L41" s="23">
        <f t="shared" si="31"/>
        <v>321.95999999999998</v>
      </c>
      <c r="M41" s="21">
        <v>154</v>
      </c>
      <c r="N41" s="25">
        <f>VLOOKUP(M41,  Beakers!$A$2:$B$151, 2, 0)</f>
        <v>9.7118000000000002</v>
      </c>
      <c r="O41" s="21">
        <v>18.897400000000001</v>
      </c>
      <c r="P41" s="26">
        <v>46055.479166666664</v>
      </c>
      <c r="Q41" s="21">
        <v>16.268699999999999</v>
      </c>
      <c r="R41" s="22" t="s">
        <v>391</v>
      </c>
      <c r="S41" s="22">
        <v>1</v>
      </c>
      <c r="T41" s="21">
        <v>6.7762000000000002</v>
      </c>
      <c r="V41" s="29">
        <f t="shared" si="34"/>
        <v>9.1856000000000009</v>
      </c>
      <c r="W41" s="29">
        <f t="shared" si="57"/>
        <v>6.5568999999999988</v>
      </c>
      <c r="X41" s="29">
        <f t="shared" si="58"/>
        <v>2.7240414507772042</v>
      </c>
      <c r="Y41" s="29">
        <f t="shared" si="59"/>
        <v>9.534145077720213E-2</v>
      </c>
      <c r="Z41" s="29">
        <f t="shared" si="60"/>
        <v>6.4615585492227972</v>
      </c>
      <c r="AA41" s="29">
        <f t="shared" si="61"/>
        <v>2.6601967292746136</v>
      </c>
      <c r="AB41" s="29">
        <f t="shared" si="62"/>
        <v>4.2946599449190145E-2</v>
      </c>
      <c r="AC41" s="29">
        <f>T41-VLOOKUP(M41, Beakers!$A$2:$C$151, 3, 0)</f>
        <v>2.421132735426009</v>
      </c>
      <c r="AD41" s="29">
        <f t="shared" si="63"/>
        <v>5.0383828652514326</v>
      </c>
      <c r="AE41" s="29">
        <f t="shared" si="64"/>
        <v>2.378186135976819</v>
      </c>
      <c r="AF41" s="29">
        <f t="shared" si="65"/>
        <v>0.29655563608008229</v>
      </c>
      <c r="AG41" s="29">
        <f t="shared" si="66"/>
        <v>0.42157653297204195</v>
      </c>
      <c r="AH41" s="29">
        <f t="shared" si="67"/>
        <v>1.8231246504411109</v>
      </c>
      <c r="AI41" s="29">
        <f t="shared" si="68"/>
        <v>1.2824667600762696</v>
      </c>
      <c r="AJ41" s="29">
        <f t="shared" si="69"/>
        <v>2.7170112765663603</v>
      </c>
      <c r="AK41" s="29">
        <f t="shared" si="70"/>
        <v>0.52798622105941539</v>
      </c>
      <c r="AL41" s="29">
        <f t="shared" si="28"/>
        <v>1.1185822207234259</v>
      </c>
      <c r="AM41" s="28" t="s">
        <v>412</v>
      </c>
      <c r="AN41" s="28" t="s">
        <v>425</v>
      </c>
    </row>
    <row r="42" spans="1:40" x14ac:dyDescent="0.3">
      <c r="A42" s="30">
        <v>501</v>
      </c>
      <c r="B42" s="21" t="s">
        <v>60</v>
      </c>
      <c r="C42" s="21" t="s">
        <v>47</v>
      </c>
      <c r="D42" s="21">
        <v>51</v>
      </c>
      <c r="E42" s="21" t="s">
        <v>34</v>
      </c>
      <c r="F42" s="21">
        <v>1</v>
      </c>
      <c r="G42" s="21">
        <v>10</v>
      </c>
      <c r="H42" s="21">
        <v>12</v>
      </c>
      <c r="I42" s="22" t="str">
        <f t="shared" si="49"/>
        <v>M0112-B-51-1</v>
      </c>
      <c r="J42" s="22" t="str">
        <f t="shared" si="50"/>
        <v>501-M0112-B-51-1,10-12</v>
      </c>
      <c r="K42" s="22">
        <f>VLOOKUP(I42, 'Depth vlookup'!$G$2:$I$997,2,FALSE)+(G42/100)</f>
        <v>250.92</v>
      </c>
      <c r="L42" s="23">
        <f t="shared" si="31"/>
        <v>250.94</v>
      </c>
      <c r="M42" s="21">
        <v>155</v>
      </c>
      <c r="N42" s="25">
        <f>VLOOKUP(M42,  Beakers!$A$2:$B$151, 2, 0)</f>
        <v>9.7377000000000002</v>
      </c>
      <c r="O42" s="21">
        <v>19.9788</v>
      </c>
      <c r="P42" s="26">
        <v>46055.509722222225</v>
      </c>
      <c r="Q42" s="21">
        <v>17.982099999999999</v>
      </c>
      <c r="R42" s="22" t="s">
        <v>391</v>
      </c>
      <c r="S42" s="22">
        <v>5</v>
      </c>
      <c r="T42" s="21">
        <v>7.4634</v>
      </c>
      <c r="V42" s="29">
        <f t="shared" si="34"/>
        <v>10.241099999999999</v>
      </c>
      <c r="W42" s="29">
        <f t="shared" si="57"/>
        <v>8.2443999999999988</v>
      </c>
      <c r="X42" s="29">
        <f t="shared" si="58"/>
        <v>2.0691191709844565</v>
      </c>
      <c r="Y42" s="29">
        <f t="shared" si="59"/>
        <v>7.2419170984455938E-2</v>
      </c>
      <c r="Z42" s="29">
        <f t="shared" si="60"/>
        <v>8.171980829015542</v>
      </c>
      <c r="AA42" s="29">
        <f t="shared" si="61"/>
        <v>2.0206241904145084</v>
      </c>
      <c r="AB42" s="29">
        <f t="shared" si="62"/>
        <v>3.2621248191196363E-2</v>
      </c>
      <c r="AC42" s="29">
        <f>T42-VLOOKUP(M42, Beakers!$A$2:$C$151, 3, 0)</f>
        <v>3.0967183856502238</v>
      </c>
      <c r="AD42" s="29">
        <f t="shared" ref="AD42:AD44" si="71">AC42-AB42+AA42</f>
        <v>5.0847213278735364</v>
      </c>
      <c r="AE42" s="29">
        <f t="shared" ref="AE42:AE44" si="72">AC42-AB42</f>
        <v>3.0640971374590276</v>
      </c>
      <c r="AF42" s="29">
        <f t="shared" si="65"/>
        <v>0.20204071544897098</v>
      </c>
      <c r="AG42" s="29">
        <f t="shared" si="66"/>
        <v>0.25319677251784717</v>
      </c>
      <c r="AH42" s="29">
        <f t="shared" ref="AH42:AH44" si="73">V42/AD42</f>
        <v>2.0140926787590332</v>
      </c>
      <c r="AI42" s="29">
        <f t="shared" ref="AI42:AI44" si="74">Z42/AD42</f>
        <v>1.6071639529620236</v>
      </c>
      <c r="AJ42" s="29">
        <f t="shared" ref="AJ42:AJ44" si="75">Z42/AE42</f>
        <v>2.6670110190411078</v>
      </c>
      <c r="AK42" s="29">
        <f t="shared" ref="AK42:AK44" si="76">AA42/AD42</f>
        <v>0.39739133378614211</v>
      </c>
      <c r="AL42" s="29">
        <f t="shared" ref="AL42:AL44" si="77">AA42/AE42</f>
        <v>0.65945174051830391</v>
      </c>
      <c r="AM42" s="28" t="s">
        <v>83</v>
      </c>
      <c r="AN42" s="28" t="s">
        <v>425</v>
      </c>
    </row>
    <row r="43" spans="1:40" x14ac:dyDescent="0.3">
      <c r="A43" s="30">
        <v>501</v>
      </c>
      <c r="B43" s="21" t="s">
        <v>60</v>
      </c>
      <c r="C43" s="21" t="s">
        <v>47</v>
      </c>
      <c r="D43" s="21">
        <v>52</v>
      </c>
      <c r="E43" s="21" t="s">
        <v>34</v>
      </c>
      <c r="F43" s="21">
        <v>1</v>
      </c>
      <c r="G43" s="21">
        <v>8</v>
      </c>
      <c r="H43" s="21">
        <v>10</v>
      </c>
      <c r="I43" s="22" t="str">
        <f t="shared" si="49"/>
        <v>M0112-B-52-1</v>
      </c>
      <c r="J43" s="22" t="str">
        <f t="shared" si="50"/>
        <v>501-M0112-B-52-1,8-10</v>
      </c>
      <c r="K43" s="22">
        <f>VLOOKUP(I43, 'Depth vlookup'!$G$2:$I$997,2,FALSE)+(G43/100)</f>
        <v>252.9</v>
      </c>
      <c r="L43" s="23">
        <f t="shared" si="31"/>
        <v>252.92000000000002</v>
      </c>
      <c r="M43" s="21">
        <v>156</v>
      </c>
      <c r="N43" s="25">
        <f>VLOOKUP(M43,  Beakers!$A$2:$B$151, 2, 0)</f>
        <v>9.6448999999999998</v>
      </c>
      <c r="O43" s="21">
        <v>14.1469</v>
      </c>
      <c r="P43" s="26">
        <v>46055.509722222225</v>
      </c>
      <c r="Q43" s="21">
        <v>13.4396</v>
      </c>
      <c r="R43" s="22" t="s">
        <v>391</v>
      </c>
      <c r="S43" s="22">
        <v>1</v>
      </c>
      <c r="T43" s="21">
        <v>5.7834000000000003</v>
      </c>
      <c r="V43" s="29">
        <f t="shared" si="34"/>
        <v>4.5020000000000007</v>
      </c>
      <c r="W43" s="29">
        <f t="shared" si="57"/>
        <v>3.7947000000000006</v>
      </c>
      <c r="X43" s="29">
        <f t="shared" si="58"/>
        <v>0.73295336787564769</v>
      </c>
      <c r="Y43" s="29">
        <f t="shared" si="59"/>
        <v>2.5653367875647648E-2</v>
      </c>
      <c r="Z43" s="29">
        <f t="shared" si="60"/>
        <v>3.7690466321243532</v>
      </c>
      <c r="AA43" s="29">
        <f t="shared" si="61"/>
        <v>0.71577477331606221</v>
      </c>
      <c r="AB43" s="29">
        <f t="shared" si="62"/>
        <v>1.1555571115156597E-2</v>
      </c>
      <c r="AC43" s="29">
        <f>T43-VLOOKUP(M43, Beakers!$A$2:$C$151, 3, 0)</f>
        <v>1.4583327354260094</v>
      </c>
      <c r="AD43" s="29">
        <f t="shared" si="71"/>
        <v>2.1625519376269149</v>
      </c>
      <c r="AE43" s="29">
        <f t="shared" si="72"/>
        <v>1.4467771643108527</v>
      </c>
      <c r="AF43" s="29">
        <f t="shared" si="65"/>
        <v>0.16280616789774491</v>
      </c>
      <c r="AG43" s="29">
        <f t="shared" si="66"/>
        <v>0.19446651618171468</v>
      </c>
      <c r="AH43" s="29">
        <f t="shared" si="73"/>
        <v>2.0817997115668301</v>
      </c>
      <c r="AI43" s="29">
        <f t="shared" si="74"/>
        <v>1.7428698781960039</v>
      </c>
      <c r="AJ43" s="29">
        <f t="shared" si="75"/>
        <v>2.6051327910747566</v>
      </c>
      <c r="AK43" s="29">
        <f t="shared" si="76"/>
        <v>0.33098616540119752</v>
      </c>
      <c r="AL43" s="29">
        <f t="shared" si="77"/>
        <v>0.4947374004600143</v>
      </c>
      <c r="AM43" s="28" t="s">
        <v>83</v>
      </c>
      <c r="AN43" s="28" t="s">
        <v>425</v>
      </c>
    </row>
    <row r="44" spans="1:40" x14ac:dyDescent="0.3">
      <c r="A44" s="30">
        <v>501</v>
      </c>
      <c r="B44" s="21" t="s">
        <v>60</v>
      </c>
      <c r="C44" s="21" t="s">
        <v>47</v>
      </c>
      <c r="D44" s="21">
        <v>53</v>
      </c>
      <c r="E44" s="21" t="s">
        <v>34</v>
      </c>
      <c r="F44" s="21">
        <v>1</v>
      </c>
      <c r="G44" s="21">
        <v>8</v>
      </c>
      <c r="H44" s="21">
        <v>10</v>
      </c>
      <c r="I44" s="22" t="str">
        <f t="shared" si="49"/>
        <v>M0112-B-53-1</v>
      </c>
      <c r="J44" s="22" t="str">
        <f t="shared" si="50"/>
        <v>501-M0112-B-53-1,8-10</v>
      </c>
      <c r="K44" s="22">
        <f>VLOOKUP(I44, 'Depth vlookup'!$G$2:$I$997,2,FALSE)+(G44/100)</f>
        <v>254.5</v>
      </c>
      <c r="L44" s="23">
        <f t="shared" si="31"/>
        <v>254.52</v>
      </c>
      <c r="M44" s="21">
        <v>157</v>
      </c>
      <c r="N44" s="25">
        <f>VLOOKUP(M44,  Beakers!$A$2:$B$151, 2, 0)</f>
        <v>9.6016999999999992</v>
      </c>
      <c r="O44" s="21">
        <v>17.700099999999999</v>
      </c>
      <c r="P44" s="26">
        <v>46055.509722222225</v>
      </c>
      <c r="Q44" s="21">
        <v>16.127800000000001</v>
      </c>
      <c r="R44" s="22" t="s">
        <v>391</v>
      </c>
      <c r="S44" s="22">
        <v>2</v>
      </c>
      <c r="T44" s="21">
        <v>6.7523999999999997</v>
      </c>
      <c r="V44" s="29">
        <f t="shared" si="34"/>
        <v>8.0983999999999998</v>
      </c>
      <c r="W44" s="29">
        <f t="shared" si="57"/>
        <v>6.5261000000000013</v>
      </c>
      <c r="X44" s="29">
        <f t="shared" si="58"/>
        <v>1.6293264248704649</v>
      </c>
      <c r="Y44" s="29">
        <f t="shared" si="59"/>
        <v>5.7026424870466386E-2</v>
      </c>
      <c r="Z44" s="29">
        <f t="shared" si="60"/>
        <v>6.469073575129535</v>
      </c>
      <c r="AA44" s="29">
        <f t="shared" si="61"/>
        <v>1.5911390867875632</v>
      </c>
      <c r="AB44" s="29">
        <f t="shared" si="62"/>
        <v>2.5687578770480352E-2</v>
      </c>
      <c r="AC44" s="29">
        <f>T44-VLOOKUP(M44, Beakers!$A$2:$C$151, 3, 0)</f>
        <v>2.4467049327354262</v>
      </c>
      <c r="AD44" s="29">
        <f t="shared" si="71"/>
        <v>4.0121564407525092</v>
      </c>
      <c r="AE44" s="29">
        <f t="shared" si="72"/>
        <v>2.4210173539649458</v>
      </c>
      <c r="AF44" s="29">
        <f t="shared" si="65"/>
        <v>0.20119115193994677</v>
      </c>
      <c r="AG44" s="29">
        <f t="shared" si="66"/>
        <v>0.25186395021606162</v>
      </c>
      <c r="AH44" s="29">
        <f t="shared" si="73"/>
        <v>2.0184656604469504</v>
      </c>
      <c r="AI44" s="29">
        <f t="shared" si="74"/>
        <v>1.6123682290704031</v>
      </c>
      <c r="AJ44" s="29">
        <f t="shared" si="75"/>
        <v>2.6720475855057426</v>
      </c>
      <c r="AK44" s="29">
        <f t="shared" si="76"/>
        <v>0.39657952282865955</v>
      </c>
      <c r="AL44" s="29">
        <f t="shared" si="77"/>
        <v>0.65721919926832606</v>
      </c>
      <c r="AM44" s="28" t="s">
        <v>83</v>
      </c>
      <c r="AN44" s="28" t="s">
        <v>425</v>
      </c>
    </row>
    <row r="45" spans="1:40" x14ac:dyDescent="0.3">
      <c r="A45" s="30">
        <v>501</v>
      </c>
      <c r="B45" s="21" t="s">
        <v>60</v>
      </c>
      <c r="C45" s="21" t="s">
        <v>47</v>
      </c>
      <c r="D45" s="21">
        <v>56</v>
      </c>
      <c r="E45" s="21" t="s">
        <v>34</v>
      </c>
      <c r="F45" s="21">
        <v>2</v>
      </c>
      <c r="G45" s="21">
        <v>41</v>
      </c>
      <c r="H45" s="21">
        <v>43</v>
      </c>
      <c r="I45" s="22" t="str">
        <f t="shared" si="49"/>
        <v>M0112-B-56-2</v>
      </c>
      <c r="J45" s="22" t="str">
        <f t="shared" si="50"/>
        <v>501-M0112-B-56-2,41-43</v>
      </c>
      <c r="K45" s="22">
        <f>VLOOKUP(I45, 'Depth vlookup'!$G$2:$I$997,2,FALSE)+(G45/100)</f>
        <v>323.24</v>
      </c>
      <c r="L45" s="23">
        <f t="shared" si="31"/>
        <v>323.26</v>
      </c>
      <c r="M45" s="21">
        <v>158</v>
      </c>
      <c r="N45" s="25">
        <f>VLOOKUP(M45,  Beakers!$A$2:$B$151, 2, 0)</f>
        <v>9.5899000000000001</v>
      </c>
      <c r="O45" s="21">
        <v>17.836600000000001</v>
      </c>
      <c r="P45" s="26">
        <v>46055.558333333334</v>
      </c>
      <c r="Q45" s="21">
        <v>16.658200000000001</v>
      </c>
      <c r="R45" s="22" t="s">
        <v>388</v>
      </c>
      <c r="S45" s="22">
        <v>1</v>
      </c>
      <c r="T45" s="21">
        <v>6.9124999999999996</v>
      </c>
      <c r="V45" s="29">
        <f t="shared" si="34"/>
        <v>8.2467000000000006</v>
      </c>
      <c r="W45" s="29">
        <f t="shared" si="57"/>
        <v>7.0683000000000007</v>
      </c>
      <c r="X45" s="29">
        <f t="shared" si="58"/>
        <v>1.2211398963730569</v>
      </c>
      <c r="Y45" s="29">
        <f t="shared" si="59"/>
        <v>4.2739896373056974E-2</v>
      </c>
      <c r="Z45" s="29">
        <f t="shared" si="60"/>
        <v>7.0255601036269439</v>
      </c>
      <c r="AA45" s="29">
        <f t="shared" si="61"/>
        <v>1.1925194300518134</v>
      </c>
      <c r="AB45" s="29">
        <f t="shared" si="62"/>
        <v>1.9252205573449085E-2</v>
      </c>
      <c r="AC45" s="29">
        <f>T45-VLOOKUP(M45, Beakers!$A$2:$C$151, 3, 0)</f>
        <v>2.6120964125560535</v>
      </c>
      <c r="AD45" s="29">
        <f t="shared" ref="AD45:AD48" si="78">AC45-AB45+AA45</f>
        <v>3.7853636370344175</v>
      </c>
      <c r="AE45" s="29">
        <f t="shared" ref="AE45:AE48" si="79">AC45-AB45</f>
        <v>2.5928442069826043</v>
      </c>
      <c r="AF45" s="29">
        <f t="shared" si="65"/>
        <v>0.14807618761117256</v>
      </c>
      <c r="AG45" s="29">
        <f t="shared" si="66"/>
        <v>0.17381388506556847</v>
      </c>
      <c r="AH45" s="29">
        <f t="shared" ref="AH45:AH50" si="80">V45/AD45</f>
        <v>2.1785753736623161</v>
      </c>
      <c r="AI45" s="29">
        <f t="shared" ref="AI45:AI50" si="81">Z45/AD45</f>
        <v>1.8559802379068149</v>
      </c>
      <c r="AJ45" s="29">
        <f t="shared" ref="AJ45:AJ50" si="82">Z45/AE45</f>
        <v>2.7095959274016184</v>
      </c>
      <c r="AK45" s="29">
        <f t="shared" ref="AK45:AK50" si="83">AA45/AD45</f>
        <v>0.31503431226123196</v>
      </c>
      <c r="AL45" s="29">
        <f t="shared" ref="AL45:AL50" si="84">AA45/AE45</f>
        <v>0.45992714365187237</v>
      </c>
      <c r="AM45" s="28" t="s">
        <v>412</v>
      </c>
      <c r="AN45" s="28" t="s">
        <v>425</v>
      </c>
    </row>
    <row r="46" spans="1:40" x14ac:dyDescent="0.3">
      <c r="A46" s="30">
        <v>501</v>
      </c>
      <c r="B46" s="21" t="s">
        <v>60</v>
      </c>
      <c r="C46" s="21" t="s">
        <v>47</v>
      </c>
      <c r="D46" s="21">
        <v>57</v>
      </c>
      <c r="E46" s="21" t="s">
        <v>34</v>
      </c>
      <c r="F46" s="21">
        <v>1</v>
      </c>
      <c r="G46" s="21">
        <v>25</v>
      </c>
      <c r="H46" s="21">
        <v>27</v>
      </c>
      <c r="I46" s="22" t="str">
        <f t="shared" si="49"/>
        <v>M0112-B-57-1</v>
      </c>
      <c r="J46" s="22" t="str">
        <f t="shared" si="50"/>
        <v>501-M0112-B-57-1,25-27</v>
      </c>
      <c r="K46" s="22">
        <f>VLOOKUP(I46, 'Depth vlookup'!$G$2:$I$997,2,FALSE)+(G46/100)</f>
        <v>323.87</v>
      </c>
      <c r="L46" s="23">
        <f t="shared" si="31"/>
        <v>323.89</v>
      </c>
      <c r="M46" s="21">
        <v>159</v>
      </c>
      <c r="N46" s="25">
        <f>VLOOKUP(M46,  Beakers!$A$2:$B$151, 2, 0)</f>
        <v>9.7159999999999993</v>
      </c>
      <c r="O46" s="21">
        <v>22.45</v>
      </c>
      <c r="P46" s="26">
        <v>46055.558333333334</v>
      </c>
      <c r="Q46" s="21">
        <v>20.679400000000001</v>
      </c>
      <c r="R46" s="22" t="s">
        <v>388</v>
      </c>
      <c r="S46" s="22">
        <v>2</v>
      </c>
      <c r="T46" s="21">
        <v>8.2426999999999992</v>
      </c>
      <c r="V46" s="29">
        <f t="shared" si="34"/>
        <v>12.734</v>
      </c>
      <c r="W46" s="29">
        <f t="shared" si="57"/>
        <v>10.963400000000002</v>
      </c>
      <c r="X46" s="29">
        <f t="shared" si="58"/>
        <v>1.834818652849739</v>
      </c>
      <c r="Y46" s="29">
        <f t="shared" si="59"/>
        <v>6.421865284974082E-2</v>
      </c>
      <c r="Z46" s="29">
        <f t="shared" si="60"/>
        <v>10.899181347150261</v>
      </c>
      <c r="AA46" s="29">
        <f t="shared" si="61"/>
        <v>1.7918150906735733</v>
      </c>
      <c r="AB46" s="29">
        <f t="shared" si="62"/>
        <v>2.8927321103486853E-2</v>
      </c>
      <c r="AC46" s="29">
        <f>T46-VLOOKUP(M46, Beakers!$A$2:$C$151, 3, 0)</f>
        <v>3.8857493273542598</v>
      </c>
      <c r="AD46" s="29">
        <f t="shared" si="78"/>
        <v>5.6486370969243467</v>
      </c>
      <c r="AE46" s="29">
        <f t="shared" si="79"/>
        <v>3.856822006250773</v>
      </c>
      <c r="AF46" s="29">
        <f t="shared" si="65"/>
        <v>0.14408816183836493</v>
      </c>
      <c r="AG46" s="29">
        <f t="shared" si="66"/>
        <v>0.16834463015238088</v>
      </c>
      <c r="AH46" s="29">
        <f t="shared" si="80"/>
        <v>2.2543491078464921</v>
      </c>
      <c r="AI46" s="29">
        <f t="shared" si="81"/>
        <v>1.9295240887549332</v>
      </c>
      <c r="AJ46" s="29">
        <f t="shared" si="82"/>
        <v>2.8259487550853777</v>
      </c>
      <c r="AK46" s="29">
        <f t="shared" si="83"/>
        <v>0.31721193270660053</v>
      </c>
      <c r="AL46" s="29">
        <f t="shared" si="84"/>
        <v>0.46458329883245025</v>
      </c>
      <c r="AM46" s="28" t="s">
        <v>412</v>
      </c>
      <c r="AN46" s="28" t="s">
        <v>425</v>
      </c>
    </row>
    <row r="47" spans="1:40" x14ac:dyDescent="0.3">
      <c r="A47" s="30">
        <v>501</v>
      </c>
      <c r="B47" s="21" t="s">
        <v>60</v>
      </c>
      <c r="C47" s="21" t="s">
        <v>47</v>
      </c>
      <c r="D47" s="21">
        <v>58</v>
      </c>
      <c r="E47" s="21" t="s">
        <v>34</v>
      </c>
      <c r="F47" s="21">
        <v>1</v>
      </c>
      <c r="G47" s="21">
        <v>38</v>
      </c>
      <c r="H47" s="21">
        <v>40</v>
      </c>
      <c r="I47" s="22" t="str">
        <f t="shared" si="49"/>
        <v>M0112-B-58-1</v>
      </c>
      <c r="J47" s="22" t="str">
        <f t="shared" si="50"/>
        <v>501-M0112-B-58-1,38-40</v>
      </c>
      <c r="K47" s="22">
        <f>VLOOKUP(I47, 'Depth vlookup'!$G$2:$I$997,2,FALSE)+(G47/100)</f>
        <v>325.2</v>
      </c>
      <c r="L47" s="23">
        <f t="shared" si="31"/>
        <v>325.21999999999997</v>
      </c>
      <c r="M47" s="21">
        <v>160</v>
      </c>
      <c r="N47" s="25">
        <f>VLOOKUP(M47,  Beakers!$A$2:$B$151, 2, 0)</f>
        <v>9.4581</v>
      </c>
      <c r="O47" s="21">
        <v>19.184000000000001</v>
      </c>
      <c r="P47" s="26">
        <v>46055.558333333334</v>
      </c>
      <c r="Q47" s="21">
        <v>17.844799999999999</v>
      </c>
      <c r="R47" s="22" t="s">
        <v>388</v>
      </c>
      <c r="S47" s="22">
        <v>3</v>
      </c>
      <c r="T47" s="21">
        <v>7.4798</v>
      </c>
      <c r="V47" s="29">
        <f t="shared" si="34"/>
        <v>9.7259000000000011</v>
      </c>
      <c r="W47" s="29">
        <f t="shared" si="57"/>
        <v>8.3866999999999994</v>
      </c>
      <c r="X47" s="29">
        <f t="shared" si="58"/>
        <v>1.3877720207253905</v>
      </c>
      <c r="Y47" s="29">
        <f t="shared" si="59"/>
        <v>4.8572020725388798E-2</v>
      </c>
      <c r="Z47" s="29">
        <f t="shared" si="60"/>
        <v>8.3381279792746099</v>
      </c>
      <c r="AA47" s="29">
        <f t="shared" si="61"/>
        <v>1.3552461139896392</v>
      </c>
      <c r="AB47" s="29">
        <f t="shared" si="62"/>
        <v>2.1879288615039998E-2</v>
      </c>
      <c r="AC47" s="29">
        <f>T47-VLOOKUP(M47, Beakers!$A$2:$C$151, 3, 0)</f>
        <v>3.2384995515695065</v>
      </c>
      <c r="AD47" s="29">
        <f t="shared" si="78"/>
        <v>4.5718663769441061</v>
      </c>
      <c r="AE47" s="29">
        <f t="shared" si="79"/>
        <v>3.2166202629544665</v>
      </c>
      <c r="AF47" s="29">
        <f t="shared" si="65"/>
        <v>0.14268828804793288</v>
      </c>
      <c r="AG47" s="29">
        <f t="shared" si="66"/>
        <v>0.16643688177668414</v>
      </c>
      <c r="AH47" s="29">
        <f t="shared" si="80"/>
        <v>2.127336890038531</v>
      </c>
      <c r="AI47" s="29">
        <f t="shared" si="81"/>
        <v>1.8237908310977193</v>
      </c>
      <c r="AJ47" s="29">
        <f t="shared" si="82"/>
        <v>2.5922015337974766</v>
      </c>
      <c r="AK47" s="29">
        <f t="shared" si="83"/>
        <v>0.29643169818438636</v>
      </c>
      <c r="AL47" s="29">
        <f t="shared" si="84"/>
        <v>0.421326113498037</v>
      </c>
      <c r="AM47" s="28" t="s">
        <v>83</v>
      </c>
      <c r="AN47" s="28" t="s">
        <v>425</v>
      </c>
    </row>
    <row r="48" spans="1:40" x14ac:dyDescent="0.3">
      <c r="A48" s="30">
        <v>501</v>
      </c>
      <c r="B48" s="21" t="s">
        <v>60</v>
      </c>
      <c r="C48" s="21" t="s">
        <v>47</v>
      </c>
      <c r="D48" s="21">
        <v>61</v>
      </c>
      <c r="E48" s="21" t="s">
        <v>34</v>
      </c>
      <c r="F48" s="21">
        <v>1</v>
      </c>
      <c r="G48" s="21">
        <v>38</v>
      </c>
      <c r="H48" s="21">
        <v>40</v>
      </c>
      <c r="I48" s="22" t="str">
        <f t="shared" si="49"/>
        <v>M0112-B-61-1</v>
      </c>
      <c r="J48" s="22" t="str">
        <f t="shared" si="50"/>
        <v>501-M0112-B-61-1,38-40</v>
      </c>
      <c r="K48" s="22">
        <f>VLOOKUP(I48, 'Depth vlookup'!$G$2:$I$997,2,FALSE)+(G48/100)</f>
        <v>331.2</v>
      </c>
      <c r="L48" s="23">
        <f t="shared" si="31"/>
        <v>331.21999999999997</v>
      </c>
      <c r="M48" s="21">
        <v>161</v>
      </c>
      <c r="N48" s="25">
        <f>VLOOKUP(M48,  Beakers!$A$2:$B$151, 2, 0)</f>
        <v>9.7497000000000007</v>
      </c>
      <c r="O48" s="21">
        <v>19.4846</v>
      </c>
      <c r="P48" s="26">
        <v>46055.590277777781</v>
      </c>
      <c r="Q48" s="21">
        <v>17.9513</v>
      </c>
      <c r="R48" s="22" t="s">
        <v>388</v>
      </c>
      <c r="S48" s="22">
        <v>2</v>
      </c>
      <c r="T48" s="21">
        <v>7.4401000000000002</v>
      </c>
      <c r="V48" s="29">
        <f t="shared" si="34"/>
        <v>9.7348999999999997</v>
      </c>
      <c r="W48" s="29">
        <f t="shared" si="57"/>
        <v>8.2015999999999991</v>
      </c>
      <c r="X48" s="29">
        <f t="shared" si="58"/>
        <v>1.5889119170984463</v>
      </c>
      <c r="Y48" s="29">
        <f t="shared" si="59"/>
        <v>5.5611917098445707E-2</v>
      </c>
      <c r="Z48" s="29">
        <f t="shared" si="60"/>
        <v>8.1459880829015532</v>
      </c>
      <c r="AA48" s="29">
        <f t="shared" si="61"/>
        <v>1.5516717940414515</v>
      </c>
      <c r="AB48" s="29">
        <f t="shared" si="62"/>
        <v>2.5050413107407975E-2</v>
      </c>
      <c r="AC48" s="29">
        <f>T48-VLOOKUP(M48, Beakers!$A$2:$C$151, 3, 0)</f>
        <v>3.0680372197309413</v>
      </c>
      <c r="AD48" s="29">
        <f t="shared" si="78"/>
        <v>4.5946586006649852</v>
      </c>
      <c r="AE48" s="29">
        <f t="shared" si="79"/>
        <v>3.0429868066235333</v>
      </c>
      <c r="AF48" s="29">
        <f t="shared" si="65"/>
        <v>0.16321810363726863</v>
      </c>
      <c r="AG48" s="29">
        <f t="shared" si="66"/>
        <v>0.19505453493524941</v>
      </c>
      <c r="AH48" s="29">
        <f t="shared" si="80"/>
        <v>2.1187428373004833</v>
      </c>
      <c r="AI48" s="29">
        <f t="shared" si="81"/>
        <v>1.7729256493012524</v>
      </c>
      <c r="AJ48" s="29">
        <f t="shared" si="82"/>
        <v>2.6769712130103702</v>
      </c>
      <c r="AK48" s="29">
        <f t="shared" si="83"/>
        <v>0.33771209765549892</v>
      </c>
      <c r="AL48" s="29">
        <f t="shared" si="84"/>
        <v>0.50991735838748853</v>
      </c>
      <c r="AM48" s="28" t="s">
        <v>83</v>
      </c>
      <c r="AN48" s="28" t="s">
        <v>425</v>
      </c>
    </row>
    <row r="49" spans="1:40" x14ac:dyDescent="0.3">
      <c r="A49" s="30">
        <v>501</v>
      </c>
      <c r="B49" s="21" t="s">
        <v>60</v>
      </c>
      <c r="C49" s="21" t="s">
        <v>47</v>
      </c>
      <c r="D49" s="21">
        <v>63</v>
      </c>
      <c r="E49" s="21" t="s">
        <v>34</v>
      </c>
      <c r="F49" s="21">
        <v>1</v>
      </c>
      <c r="G49" s="21">
        <v>12</v>
      </c>
      <c r="H49" s="21">
        <v>14</v>
      </c>
      <c r="I49" s="22" t="str">
        <f t="shared" si="49"/>
        <v>M0112-B-63-1</v>
      </c>
      <c r="J49" s="22" t="str">
        <f t="shared" si="50"/>
        <v>501-M0112-B-63-1,12-14</v>
      </c>
      <c r="K49" s="22">
        <f>VLOOKUP(I49, 'Depth vlookup'!$G$2:$I$997,2,FALSE)+(G49/100)</f>
        <v>333.94</v>
      </c>
      <c r="L49" s="23">
        <f t="shared" si="31"/>
        <v>333.96</v>
      </c>
      <c r="M49" s="21">
        <v>162</v>
      </c>
      <c r="N49" s="25">
        <f>VLOOKUP(M49,  Beakers!$A$2:$B$151, 2, 0)</f>
        <v>9.8841999999999999</v>
      </c>
      <c r="O49" s="21">
        <v>15.305899999999999</v>
      </c>
      <c r="P49" s="26">
        <v>46055.590277777781</v>
      </c>
      <c r="Q49" s="21">
        <v>14.2943</v>
      </c>
      <c r="R49" s="22" t="s">
        <v>388</v>
      </c>
      <c r="S49" s="22">
        <v>3</v>
      </c>
      <c r="T49" s="21">
        <v>6.1322000000000001</v>
      </c>
      <c r="V49" s="29">
        <f t="shared" si="34"/>
        <v>5.4216999999999995</v>
      </c>
      <c r="W49" s="29">
        <f t="shared" si="57"/>
        <v>4.4100999999999999</v>
      </c>
      <c r="X49" s="29">
        <f t="shared" si="58"/>
        <v>1.048290155440414</v>
      </c>
      <c r="Y49" s="29">
        <f t="shared" si="59"/>
        <v>3.6690155440414429E-2</v>
      </c>
      <c r="Z49" s="29">
        <f t="shared" si="60"/>
        <v>4.3734098445595855</v>
      </c>
      <c r="AA49" s="29">
        <f t="shared" si="61"/>
        <v>1.0237208549222794</v>
      </c>
      <c r="AB49" s="29">
        <f t="shared" si="62"/>
        <v>1.6527097045231722E-2</v>
      </c>
      <c r="AC49" s="29">
        <f>T49-VLOOKUP(M49, Beakers!$A$2:$C$151, 3, 0)</f>
        <v>1.6998233183856506</v>
      </c>
      <c r="AD49" s="29">
        <f t="shared" ref="AD49:AD50" si="85">AC49-AB49+AA49</f>
        <v>2.7070170762626979</v>
      </c>
      <c r="AE49" s="29">
        <f t="shared" ref="AE49:AE50" si="86">AC49-AB49</f>
        <v>1.6832962213404188</v>
      </c>
      <c r="AF49" s="29">
        <f t="shared" si="65"/>
        <v>0.1933508227014431</v>
      </c>
      <c r="AG49" s="29">
        <f t="shared" si="66"/>
        <v>0.2396962993862698</v>
      </c>
      <c r="AH49" s="29">
        <f t="shared" si="80"/>
        <v>2.0028318430429657</v>
      </c>
      <c r="AI49" s="29">
        <f t="shared" si="81"/>
        <v>1.6155826584579607</v>
      </c>
      <c r="AJ49" s="29">
        <f t="shared" si="82"/>
        <v>2.5981225342958432</v>
      </c>
      <c r="AK49" s="29">
        <f t="shared" si="83"/>
        <v>0.37817303182129397</v>
      </c>
      <c r="AL49" s="29">
        <f t="shared" si="84"/>
        <v>0.60816441095975626</v>
      </c>
      <c r="AM49" s="28" t="s">
        <v>83</v>
      </c>
      <c r="AN49" s="28" t="s">
        <v>425</v>
      </c>
    </row>
    <row r="50" spans="1:40" x14ac:dyDescent="0.3">
      <c r="A50" s="30">
        <v>501</v>
      </c>
      <c r="B50" s="21" t="s">
        <v>60</v>
      </c>
      <c r="C50" s="21" t="s">
        <v>47</v>
      </c>
      <c r="D50" s="21">
        <v>64</v>
      </c>
      <c r="E50" s="21" t="s">
        <v>34</v>
      </c>
      <c r="F50" s="21">
        <v>1</v>
      </c>
      <c r="G50" s="21">
        <v>32</v>
      </c>
      <c r="H50" s="21">
        <v>32</v>
      </c>
      <c r="I50" s="22" t="str">
        <f t="shared" si="49"/>
        <v>M0112-B-64-1</v>
      </c>
      <c r="J50" s="22" t="str">
        <f t="shared" si="50"/>
        <v>501-M0112-B-64-1,32-32</v>
      </c>
      <c r="K50" s="22">
        <f>VLOOKUP(I50, 'Depth vlookup'!$G$2:$I$997,2,FALSE)+(G50/100)</f>
        <v>335.64</v>
      </c>
      <c r="L50" s="23">
        <f t="shared" si="31"/>
        <v>335.65999999999997</v>
      </c>
      <c r="M50" s="21">
        <v>163</v>
      </c>
      <c r="N50" s="25">
        <f>VLOOKUP(M50,  Beakers!$A$2:$B$151, 2, 0)</f>
        <v>9.5631000000000004</v>
      </c>
      <c r="O50" s="21">
        <v>20.733799999999999</v>
      </c>
      <c r="P50" s="26">
        <v>46055.590277777781</v>
      </c>
      <c r="Q50" s="21">
        <v>19.082699999999999</v>
      </c>
      <c r="R50" s="22" t="s">
        <v>388</v>
      </c>
      <c r="S50" s="22">
        <v>5</v>
      </c>
      <c r="T50" s="21">
        <v>7.8486000000000002</v>
      </c>
      <c r="V50" s="29">
        <f t="shared" si="34"/>
        <v>11.170699999999998</v>
      </c>
      <c r="W50" s="29">
        <f t="shared" si="57"/>
        <v>9.5195999999999987</v>
      </c>
      <c r="X50" s="29">
        <f t="shared" si="58"/>
        <v>1.7109844559585488</v>
      </c>
      <c r="Y50" s="29">
        <f t="shared" si="59"/>
        <v>5.9884455958549188E-2</v>
      </c>
      <c r="Z50" s="29">
        <f t="shared" si="60"/>
        <v>9.4597155440414493</v>
      </c>
      <c r="AA50" s="29">
        <f t="shared" si="61"/>
        <v>1.6708832577720203</v>
      </c>
      <c r="AB50" s="29">
        <f t="shared" si="62"/>
        <v>2.6974980161508642E-2</v>
      </c>
      <c r="AC50" s="29">
        <f>T50-VLOOKUP(M50, Beakers!$A$2:$C$151, 3, 0)</f>
        <v>3.5602143497757845</v>
      </c>
      <c r="AD50" s="29">
        <f t="shared" si="85"/>
        <v>5.2041226273862966</v>
      </c>
      <c r="AE50" s="29">
        <f t="shared" si="86"/>
        <v>3.5332393696142761</v>
      </c>
      <c r="AF50" s="29">
        <f t="shared" si="65"/>
        <v>0.1531671655275452</v>
      </c>
      <c r="AG50" s="29">
        <f t="shared" si="66"/>
        <v>0.18087060313735073</v>
      </c>
      <c r="AH50" s="29">
        <f t="shared" si="80"/>
        <v>2.146509757709214</v>
      </c>
      <c r="AI50" s="29">
        <f t="shared" si="81"/>
        <v>1.8177349423436759</v>
      </c>
      <c r="AJ50" s="29">
        <f t="shared" si="82"/>
        <v>2.6773491842626465</v>
      </c>
      <c r="AK50" s="29">
        <f t="shared" si="83"/>
        <v>0.32106915563040833</v>
      </c>
      <c r="AL50" s="29">
        <f t="shared" si="84"/>
        <v>0.4729040642254676</v>
      </c>
      <c r="AM50" s="28" t="s">
        <v>83</v>
      </c>
      <c r="AN50" s="28" t="s">
        <v>425</v>
      </c>
    </row>
    <row r="51" spans="1:40" x14ac:dyDescent="0.3">
      <c r="A51" s="30">
        <v>501</v>
      </c>
      <c r="B51" s="21" t="s">
        <v>60</v>
      </c>
      <c r="C51" s="21" t="s">
        <v>47</v>
      </c>
      <c r="D51" s="21">
        <v>65</v>
      </c>
      <c r="E51" s="21" t="s">
        <v>34</v>
      </c>
      <c r="F51" s="21">
        <v>1</v>
      </c>
      <c r="G51" s="21">
        <v>38</v>
      </c>
      <c r="H51" s="21">
        <v>40</v>
      </c>
      <c r="I51" s="22" t="str">
        <f t="shared" si="49"/>
        <v>M0112-B-65-1</v>
      </c>
      <c r="J51" s="22" t="str">
        <f t="shared" si="50"/>
        <v>501-M0112-B-65-1,38-40</v>
      </c>
      <c r="K51" s="22">
        <f>VLOOKUP(I51, 'Depth vlookup'!$G$2:$I$997,2,FALSE)+(G51/100)</f>
        <v>337.2</v>
      </c>
      <c r="L51" s="23">
        <f t="shared" si="31"/>
        <v>337.21999999999997</v>
      </c>
      <c r="M51" s="21">
        <v>200</v>
      </c>
      <c r="N51" s="25">
        <f>VLOOKUP(M51,  Beakers!$A$2:$B$151, 2, 0)</f>
        <v>9.6303000000000001</v>
      </c>
      <c r="O51" s="21">
        <v>20.331199999999999</v>
      </c>
      <c r="P51" s="26">
        <v>46055.772916666669</v>
      </c>
      <c r="Q51" s="21">
        <v>18.548500000000001</v>
      </c>
      <c r="R51" s="22" t="s">
        <v>388</v>
      </c>
      <c r="S51" s="22">
        <v>3</v>
      </c>
      <c r="T51" s="21">
        <v>7.7500999999999998</v>
      </c>
      <c r="V51" s="29">
        <f t="shared" si="34"/>
        <v>10.700899999999999</v>
      </c>
      <c r="W51" s="29">
        <f t="shared" si="57"/>
        <v>8.9182000000000006</v>
      </c>
      <c r="X51" s="29">
        <f t="shared" si="58"/>
        <v>1.8473575129533664</v>
      </c>
      <c r="Y51" s="29">
        <f t="shared" si="59"/>
        <v>6.4657512953367968E-2</v>
      </c>
      <c r="Z51" s="29">
        <f t="shared" si="60"/>
        <v>8.8535424870466333</v>
      </c>
      <c r="AA51" s="29">
        <f t="shared" si="61"/>
        <v>1.8040600712435217</v>
      </c>
      <c r="AB51" s="29">
        <f t="shared" si="62"/>
        <v>2.9125005834850434E-2</v>
      </c>
      <c r="AC51" s="29">
        <f>T51-VLOOKUP(M51, Beakers!$A$2:$C$151, 3, 0)</f>
        <v>3.4315798206278023</v>
      </c>
      <c r="AD51" s="29">
        <f t="shared" ref="AD51" si="87">AC51-AB51+AA51</f>
        <v>5.2065148860364738</v>
      </c>
      <c r="AE51" s="29">
        <f t="shared" ref="AE51" si="88">AC51-AB51</f>
        <v>3.4024548147929519</v>
      </c>
      <c r="AF51" s="29">
        <f t="shared" si="65"/>
        <v>0.17263571409445622</v>
      </c>
      <c r="AG51" s="29">
        <f t="shared" si="66"/>
        <v>0.20865744030213698</v>
      </c>
      <c r="AH51" s="29">
        <f t="shared" ref="AH51" si="89">V51/AD51</f>
        <v>2.0552903879520446</v>
      </c>
      <c r="AI51" s="29">
        <f t="shared" ref="AI51" si="90">Z51/AD51</f>
        <v>1.7004738641564714</v>
      </c>
      <c r="AJ51" s="29">
        <f t="shared" ref="AJ51" si="91">Z51/AE51</f>
        <v>2.6021043537606521</v>
      </c>
      <c r="AK51" s="29">
        <f t="shared" ref="AK51" si="92">AA51/AD51</f>
        <v>0.34650051151911437</v>
      </c>
      <c r="AL51" s="29">
        <f t="shared" ref="AL51" si="93">AA51/AE51</f>
        <v>0.53022307993627349</v>
      </c>
      <c r="AM51" s="28" t="s">
        <v>83</v>
      </c>
      <c r="AN51" s="28" t="s">
        <v>425</v>
      </c>
    </row>
    <row r="52" spans="1:40" x14ac:dyDescent="0.3"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 spans="1:40" x14ac:dyDescent="0.3"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 spans="1:40" x14ac:dyDescent="0.3"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 spans="1:40" x14ac:dyDescent="0.3"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 spans="1:40" x14ac:dyDescent="0.3"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 spans="1:40" x14ac:dyDescent="0.3"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 spans="1:40" x14ac:dyDescent="0.3"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 spans="1:40" x14ac:dyDescent="0.3"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 spans="1:40" x14ac:dyDescent="0.3"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 spans="1:40" x14ac:dyDescent="0.3"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 spans="1:40" x14ac:dyDescent="0.3"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 spans="1:40" x14ac:dyDescent="0.3"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 spans="1:40" x14ac:dyDescent="0.3"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 spans="22:38" x14ac:dyDescent="0.3"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 spans="22:38" x14ac:dyDescent="0.3"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 spans="22:38" x14ac:dyDescent="0.3"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 spans="22:38" x14ac:dyDescent="0.3"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 spans="22:38" x14ac:dyDescent="0.3"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 spans="22:38" x14ac:dyDescent="0.3"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 spans="22:38" x14ac:dyDescent="0.3"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 spans="22:38" x14ac:dyDescent="0.3"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 spans="22:38" x14ac:dyDescent="0.3"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 spans="22:38" x14ac:dyDescent="0.3"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 spans="22:38" x14ac:dyDescent="0.3"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 spans="22:38" x14ac:dyDescent="0.3"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 spans="22:38" x14ac:dyDescent="0.3"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 spans="22:38" x14ac:dyDescent="0.3"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 spans="22:38" x14ac:dyDescent="0.3"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 spans="22:38" x14ac:dyDescent="0.3"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 spans="22:38" x14ac:dyDescent="0.3"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 spans="22:38" x14ac:dyDescent="0.3"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 spans="22:38" x14ac:dyDescent="0.3"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 spans="22:38" x14ac:dyDescent="0.3"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 spans="22:38" x14ac:dyDescent="0.3"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 spans="22:38" x14ac:dyDescent="0.3"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 spans="22:38" x14ac:dyDescent="0.3"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 spans="22:38" x14ac:dyDescent="0.3"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 spans="22:38" x14ac:dyDescent="0.3"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 spans="22:38" x14ac:dyDescent="0.3"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 spans="22:38" x14ac:dyDescent="0.3"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 spans="22:38" x14ac:dyDescent="0.3"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 spans="22:38" x14ac:dyDescent="0.3"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 spans="22:38" x14ac:dyDescent="0.3"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 spans="22:38" x14ac:dyDescent="0.3"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 spans="22:38" x14ac:dyDescent="0.3"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 spans="22:38" x14ac:dyDescent="0.3"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 spans="22:38" x14ac:dyDescent="0.3"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 spans="22:38" x14ac:dyDescent="0.3"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 spans="22:38" x14ac:dyDescent="0.3"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 spans="22:38" x14ac:dyDescent="0.3"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 spans="22:38" x14ac:dyDescent="0.3"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 spans="22:38" x14ac:dyDescent="0.3"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 spans="22:38" x14ac:dyDescent="0.3"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 spans="22:38" x14ac:dyDescent="0.3"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 spans="22:38" x14ac:dyDescent="0.3"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 spans="22:38" x14ac:dyDescent="0.3"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 spans="22:38" x14ac:dyDescent="0.3"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 spans="22:38" x14ac:dyDescent="0.3"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 spans="22:38" x14ac:dyDescent="0.3"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 spans="22:38" x14ac:dyDescent="0.3"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 spans="22:38" x14ac:dyDescent="0.3"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 spans="22:38" x14ac:dyDescent="0.3"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 spans="22:38" x14ac:dyDescent="0.3"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 spans="22:38" x14ac:dyDescent="0.3"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 spans="22:38" x14ac:dyDescent="0.3"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 spans="22:38" x14ac:dyDescent="0.3"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 spans="22:38" x14ac:dyDescent="0.3"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 spans="22:38" x14ac:dyDescent="0.3"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 spans="22:38" x14ac:dyDescent="0.3"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 spans="22:38" x14ac:dyDescent="0.3"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 spans="22:38" x14ac:dyDescent="0.3"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 spans="22:38" x14ac:dyDescent="0.3"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 spans="22:38" x14ac:dyDescent="0.3"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 spans="22:38" x14ac:dyDescent="0.3"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 spans="22:38" x14ac:dyDescent="0.3"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 spans="22:38" x14ac:dyDescent="0.3"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 spans="22:38" x14ac:dyDescent="0.3"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 spans="22:38" x14ac:dyDescent="0.3"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 spans="22:38" x14ac:dyDescent="0.3"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 spans="22:38" x14ac:dyDescent="0.3"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 spans="22:38" x14ac:dyDescent="0.3"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 spans="22:38" x14ac:dyDescent="0.3"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 spans="22:38" x14ac:dyDescent="0.3"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 spans="22:38" x14ac:dyDescent="0.3"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 spans="22:38" x14ac:dyDescent="0.3"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 spans="22:38" x14ac:dyDescent="0.3"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 spans="22:38" x14ac:dyDescent="0.3"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 spans="22:38" x14ac:dyDescent="0.3"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 spans="22:38" x14ac:dyDescent="0.3"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 spans="22:38" x14ac:dyDescent="0.3"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 spans="22:38" x14ac:dyDescent="0.3"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 spans="22:38" x14ac:dyDescent="0.3"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 spans="22:38" x14ac:dyDescent="0.3"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 spans="22:38" x14ac:dyDescent="0.3"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 spans="22:38" x14ac:dyDescent="0.3"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 spans="22:38" x14ac:dyDescent="0.3"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 spans="22:38" x14ac:dyDescent="0.3"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 spans="22:38" x14ac:dyDescent="0.3"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 spans="22:38" x14ac:dyDescent="0.3"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 spans="22:38" x14ac:dyDescent="0.3"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 spans="22:38" x14ac:dyDescent="0.3"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 spans="22:38" x14ac:dyDescent="0.3"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 spans="22:38" x14ac:dyDescent="0.3"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 spans="22:38" x14ac:dyDescent="0.3"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 spans="22:38" x14ac:dyDescent="0.3"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 spans="22:38" x14ac:dyDescent="0.3"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 spans="22:38" x14ac:dyDescent="0.3"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 spans="22:38" x14ac:dyDescent="0.3"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 spans="22:38" x14ac:dyDescent="0.3"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 spans="22:38" x14ac:dyDescent="0.3"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 spans="22:38" x14ac:dyDescent="0.3"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 spans="22:38" x14ac:dyDescent="0.3"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 spans="22:38" x14ac:dyDescent="0.3"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 spans="22:38" x14ac:dyDescent="0.3"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 spans="22:38" x14ac:dyDescent="0.3"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 spans="22:38" x14ac:dyDescent="0.3"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 spans="22:38" x14ac:dyDescent="0.3"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 spans="22:38" x14ac:dyDescent="0.3"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 spans="22:38" x14ac:dyDescent="0.3"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 spans="22:38" x14ac:dyDescent="0.3"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 spans="22:38" x14ac:dyDescent="0.3"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 spans="22:38" x14ac:dyDescent="0.3"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 spans="22:38" x14ac:dyDescent="0.3"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 spans="22:38" x14ac:dyDescent="0.3"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 spans="22:38" x14ac:dyDescent="0.3"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 spans="22:38" x14ac:dyDescent="0.3"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 spans="22:38" x14ac:dyDescent="0.3"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 spans="22:38" x14ac:dyDescent="0.3"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 spans="22:38" x14ac:dyDescent="0.3"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 spans="22:38" x14ac:dyDescent="0.3"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 spans="22:38" x14ac:dyDescent="0.3"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 spans="22:38" x14ac:dyDescent="0.3"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 spans="22:38" x14ac:dyDescent="0.3"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 spans="22:38" x14ac:dyDescent="0.3"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 spans="22:38" x14ac:dyDescent="0.3"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 spans="22:38" x14ac:dyDescent="0.3"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 spans="22:38" x14ac:dyDescent="0.3"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 spans="22:38" x14ac:dyDescent="0.3"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 spans="22:38" x14ac:dyDescent="0.3"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 spans="22:38" x14ac:dyDescent="0.3"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 spans="22:38" x14ac:dyDescent="0.3"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 spans="22:38" x14ac:dyDescent="0.3"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 spans="22:38" x14ac:dyDescent="0.3"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 spans="22:38" x14ac:dyDescent="0.3"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 spans="22:38" x14ac:dyDescent="0.3"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 spans="22:38" x14ac:dyDescent="0.3"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 spans="22:38" x14ac:dyDescent="0.3"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 spans="22:38" x14ac:dyDescent="0.3"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1108-1839-4B4B-A745-1D595A223B38}">
  <dimension ref="A1:M151"/>
  <sheetViews>
    <sheetView topLeftCell="A125" workbookViewId="0">
      <selection activeCell="E151" sqref="E151"/>
    </sheetView>
  </sheetViews>
  <sheetFormatPr defaultRowHeight="14.4" x14ac:dyDescent="0.3"/>
  <cols>
    <col min="1" max="1" width="15" customWidth="1"/>
    <col min="3" max="3" width="13.33203125" customWidth="1"/>
    <col min="7" max="7" width="13.33203125" customWidth="1"/>
    <col min="8" max="8" width="14.21875" customWidth="1"/>
  </cols>
  <sheetData>
    <row r="1" spans="1:13" x14ac:dyDescent="0.3">
      <c r="A1" t="s">
        <v>382</v>
      </c>
      <c r="B1" t="s">
        <v>383</v>
      </c>
      <c r="C1" t="s">
        <v>386</v>
      </c>
      <c r="D1" t="s">
        <v>387</v>
      </c>
      <c r="E1" t="s">
        <v>384</v>
      </c>
      <c r="G1" t="s">
        <v>392</v>
      </c>
      <c r="H1" t="s">
        <v>386</v>
      </c>
      <c r="I1">
        <v>9.2149000000000001</v>
      </c>
    </row>
    <row r="2" spans="1:13" x14ac:dyDescent="0.3">
      <c r="A2">
        <v>1</v>
      </c>
      <c r="B2">
        <v>5</v>
      </c>
      <c r="C2">
        <v>9.2014999999999993</v>
      </c>
      <c r="D2" s="59">
        <f>$I$1-C2</f>
        <v>1.3400000000000745E-2</v>
      </c>
      <c r="E2" t="s">
        <v>385</v>
      </c>
      <c r="F2" s="58">
        <v>0.64236111111111116</v>
      </c>
    </row>
    <row r="3" spans="1:13" x14ac:dyDescent="0.3">
      <c r="A3">
        <v>2</v>
      </c>
      <c r="B3">
        <v>1</v>
      </c>
      <c r="C3">
        <v>9.2175999999999991</v>
      </c>
      <c r="D3" s="59">
        <f>$I$1-C3</f>
        <v>-2.6999999999990365E-3</v>
      </c>
      <c r="E3" t="s">
        <v>385</v>
      </c>
      <c r="F3" s="58">
        <v>0.76041666666666663</v>
      </c>
    </row>
    <row r="4" spans="1:13" x14ac:dyDescent="0.3">
      <c r="A4">
        <v>3</v>
      </c>
      <c r="B4">
        <v>2</v>
      </c>
      <c r="C4">
        <v>9.2133000000000003</v>
      </c>
      <c r="D4" s="59">
        <f>$I$1-C4</f>
        <v>1.5999999999998238E-3</v>
      </c>
      <c r="E4" t="s">
        <v>385</v>
      </c>
      <c r="F4" s="58">
        <v>0.875</v>
      </c>
    </row>
    <row r="5" spans="1:13" x14ac:dyDescent="0.3">
      <c r="A5">
        <v>4</v>
      </c>
      <c r="B5">
        <v>3</v>
      </c>
      <c r="C5">
        <v>9.2299000000000007</v>
      </c>
      <c r="D5" s="59">
        <f t="shared" ref="D5:D8" si="0">$I$1-C5</f>
        <v>-1.5000000000000568E-2</v>
      </c>
      <c r="E5" t="s">
        <v>389</v>
      </c>
      <c r="F5" s="58">
        <v>0.37847222222222221</v>
      </c>
    </row>
    <row r="6" spans="1:13" x14ac:dyDescent="0.3">
      <c r="A6">
        <v>5</v>
      </c>
      <c r="B6">
        <v>4</v>
      </c>
      <c r="C6">
        <v>9.1655999999999995</v>
      </c>
      <c r="D6" s="59">
        <f t="shared" si="0"/>
        <v>4.9300000000000566E-2</v>
      </c>
      <c r="E6" t="s">
        <v>390</v>
      </c>
      <c r="F6" s="58">
        <v>0.44236111111111109</v>
      </c>
    </row>
    <row r="7" spans="1:13" x14ac:dyDescent="0.3">
      <c r="A7" t="s">
        <v>393</v>
      </c>
      <c r="B7">
        <v>4</v>
      </c>
      <c r="C7">
        <v>9.2058999999999997</v>
      </c>
      <c r="D7" s="59">
        <f t="shared" si="0"/>
        <v>9.0000000000003411E-3</v>
      </c>
      <c r="E7" t="s">
        <v>389</v>
      </c>
      <c r="F7" s="58">
        <v>0.50972222222222219</v>
      </c>
      <c r="G7" t="s">
        <v>394</v>
      </c>
      <c r="M7" s="59"/>
    </row>
    <row r="8" spans="1:13" x14ac:dyDescent="0.3">
      <c r="A8">
        <v>6</v>
      </c>
      <c r="B8">
        <v>4</v>
      </c>
      <c r="C8">
        <v>9.1879000000000008</v>
      </c>
      <c r="D8" s="59">
        <f t="shared" si="0"/>
        <v>2.6999999999999247E-2</v>
      </c>
      <c r="E8" t="s">
        <v>389</v>
      </c>
      <c r="F8" s="58">
        <v>0.58750000000000002</v>
      </c>
    </row>
    <row r="9" spans="1:13" x14ac:dyDescent="0.3">
      <c r="A9" t="s">
        <v>393</v>
      </c>
      <c r="B9">
        <v>4</v>
      </c>
      <c r="C9" t="s">
        <v>395</v>
      </c>
      <c r="G9" s="44" t="s">
        <v>402</v>
      </c>
    </row>
    <row r="10" spans="1:13" x14ac:dyDescent="0.3">
      <c r="A10" t="s">
        <v>400</v>
      </c>
      <c r="C10" t="s">
        <v>401</v>
      </c>
      <c r="K10">
        <v>19.010000000000002</v>
      </c>
      <c r="L10" t="s">
        <v>403</v>
      </c>
    </row>
    <row r="11" spans="1:13" x14ac:dyDescent="0.3">
      <c r="A11">
        <v>7</v>
      </c>
      <c r="B11">
        <v>5</v>
      </c>
      <c r="C11">
        <v>9.2126999999999999</v>
      </c>
      <c r="D11" s="59">
        <f t="shared" ref="D11:D16" si="1">$I$1-C11</f>
        <v>2.2000000000002018E-3</v>
      </c>
      <c r="E11" t="s">
        <v>389</v>
      </c>
      <c r="F11" s="58">
        <v>0.85138888888888886</v>
      </c>
      <c r="K11" t="s">
        <v>396</v>
      </c>
      <c r="L11">
        <v>9.1835000000000004</v>
      </c>
      <c r="M11" s="59">
        <f>$I$1-L11</f>
        <v>3.139999999999965E-2</v>
      </c>
    </row>
    <row r="12" spans="1:13" x14ac:dyDescent="0.3">
      <c r="A12">
        <v>8</v>
      </c>
      <c r="B12">
        <v>1</v>
      </c>
      <c r="C12">
        <v>9.1865000000000006</v>
      </c>
      <c r="D12" s="59">
        <f t="shared" si="1"/>
        <v>2.8399999999999537E-2</v>
      </c>
      <c r="E12" t="s">
        <v>404</v>
      </c>
      <c r="F12" s="58">
        <v>0.33888888888888891</v>
      </c>
      <c r="K12" t="s">
        <v>397</v>
      </c>
      <c r="L12">
        <v>9.2368000000000006</v>
      </c>
      <c r="M12" s="59">
        <f>$I$1-L12</f>
        <v>-2.1900000000000475E-2</v>
      </c>
    </row>
    <row r="13" spans="1:13" x14ac:dyDescent="0.3">
      <c r="A13" t="s">
        <v>393</v>
      </c>
      <c r="B13">
        <v>1</v>
      </c>
      <c r="C13">
        <v>9.2187999999999999</v>
      </c>
      <c r="D13" s="59">
        <f t="shared" si="1"/>
        <v>-3.8999999999997925E-3</v>
      </c>
      <c r="E13" t="s">
        <v>404</v>
      </c>
      <c r="F13" s="58">
        <v>0.40277777777777779</v>
      </c>
      <c r="G13" t="s">
        <v>409</v>
      </c>
      <c r="K13" t="s">
        <v>398</v>
      </c>
      <c r="L13">
        <v>9.2227999999999994</v>
      </c>
      <c r="M13" s="59">
        <f>$I$1-L13</f>
        <v>-7.899999999999352E-3</v>
      </c>
    </row>
    <row r="14" spans="1:13" x14ac:dyDescent="0.3">
      <c r="A14">
        <v>9</v>
      </c>
      <c r="B14">
        <v>1</v>
      </c>
      <c r="C14">
        <v>9.2164000000000001</v>
      </c>
      <c r="D14" s="59">
        <f t="shared" si="1"/>
        <v>-1.5000000000000568E-3</v>
      </c>
      <c r="E14" t="s">
        <v>404</v>
      </c>
      <c r="F14" s="58">
        <v>0.46805555555555556</v>
      </c>
      <c r="K14" t="s">
        <v>399</v>
      </c>
      <c r="L14">
        <v>9.2215000000000007</v>
      </c>
      <c r="M14" s="59">
        <f>$I$1-L14</f>
        <v>-6.6000000000006054E-3</v>
      </c>
    </row>
    <row r="15" spans="1:13" x14ac:dyDescent="0.3">
      <c r="A15" t="s">
        <v>393</v>
      </c>
      <c r="B15">
        <v>4</v>
      </c>
      <c r="C15">
        <v>9.2188999999999997</v>
      </c>
      <c r="D15" s="59">
        <f t="shared" si="1"/>
        <v>-3.9999999999995595E-3</v>
      </c>
      <c r="E15" t="s">
        <v>404</v>
      </c>
      <c r="F15" s="58">
        <v>0.52083333333333337</v>
      </c>
      <c r="G15" t="s">
        <v>406</v>
      </c>
    </row>
    <row r="16" spans="1:13" x14ac:dyDescent="0.3">
      <c r="A16">
        <v>10</v>
      </c>
      <c r="B16">
        <v>2</v>
      </c>
      <c r="C16">
        <v>9.2396999999999991</v>
      </c>
      <c r="D16" s="59">
        <f t="shared" si="1"/>
        <v>-2.4799999999999045E-2</v>
      </c>
      <c r="E16" t="s">
        <v>404</v>
      </c>
      <c r="F16" s="58">
        <v>0.53263888888888888</v>
      </c>
      <c r="K16">
        <v>20.010000000000002</v>
      </c>
      <c r="L16" t="s">
        <v>405</v>
      </c>
    </row>
    <row r="17" spans="1:13" x14ac:dyDescent="0.3">
      <c r="A17" t="s">
        <v>393</v>
      </c>
      <c r="B17">
        <v>2</v>
      </c>
      <c r="C17">
        <v>9.2111000000000001</v>
      </c>
      <c r="D17" s="59">
        <f t="shared" ref="D17:D29" si="2">$I$1-C17</f>
        <v>3.8000000000000256E-3</v>
      </c>
      <c r="E17" t="s">
        <v>404</v>
      </c>
      <c r="F17" s="58">
        <v>0.59027777777777779</v>
      </c>
      <c r="G17" t="s">
        <v>409</v>
      </c>
      <c r="K17" t="s">
        <v>396</v>
      </c>
      <c r="L17">
        <v>9.2188999999999997</v>
      </c>
      <c r="M17" s="59">
        <f t="shared" ref="M17:M27" si="3">$I$1-L17</f>
        <v>-3.9999999999995595E-3</v>
      </c>
    </row>
    <row r="18" spans="1:13" x14ac:dyDescent="0.3">
      <c r="A18">
        <v>11</v>
      </c>
      <c r="B18">
        <v>3</v>
      </c>
      <c r="C18">
        <v>9.2187000000000001</v>
      </c>
      <c r="D18" s="59">
        <f t="shared" si="2"/>
        <v>-3.8000000000000256E-3</v>
      </c>
      <c r="E18" t="s">
        <v>404</v>
      </c>
      <c r="F18" s="58">
        <v>0.65208333333333335</v>
      </c>
      <c r="L18">
        <v>9.2224000000000004</v>
      </c>
      <c r="M18" s="59">
        <f t="shared" si="3"/>
        <v>-7.5000000000002842E-3</v>
      </c>
    </row>
    <row r="19" spans="1:13" x14ac:dyDescent="0.3">
      <c r="A19">
        <v>12</v>
      </c>
      <c r="B19">
        <v>5</v>
      </c>
      <c r="C19">
        <v>9.2231000000000005</v>
      </c>
      <c r="D19" s="59">
        <f t="shared" si="2"/>
        <v>-8.2000000000004292E-3</v>
      </c>
      <c r="E19" t="s">
        <v>404</v>
      </c>
      <c r="F19" s="58">
        <v>0.70138888888888884</v>
      </c>
      <c r="G19" t="s">
        <v>410</v>
      </c>
      <c r="L19">
        <v>9.2199000000000009</v>
      </c>
      <c r="M19" s="59">
        <f t="shared" si="3"/>
        <v>-5.0000000000007816E-3</v>
      </c>
    </row>
    <row r="20" spans="1:13" x14ac:dyDescent="0.3">
      <c r="A20">
        <v>13</v>
      </c>
      <c r="B20">
        <v>1</v>
      </c>
      <c r="C20">
        <v>9.2204999999999995</v>
      </c>
      <c r="D20" s="59">
        <f t="shared" si="2"/>
        <v>-5.5999999999993832E-3</v>
      </c>
      <c r="E20" t="s">
        <v>404</v>
      </c>
      <c r="F20" s="58">
        <v>0.74930555555555556</v>
      </c>
      <c r="L20">
        <v>9.2179000000000002</v>
      </c>
      <c r="M20" s="59">
        <f t="shared" si="3"/>
        <v>-3.0000000000001137E-3</v>
      </c>
    </row>
    <row r="21" spans="1:13" x14ac:dyDescent="0.3">
      <c r="A21">
        <v>14</v>
      </c>
      <c r="B21">
        <v>2</v>
      </c>
      <c r="C21">
        <v>9.2141000000000002</v>
      </c>
      <c r="D21" s="59">
        <f t="shared" si="2"/>
        <v>7.9999999999991189E-4</v>
      </c>
      <c r="E21" t="s">
        <v>404</v>
      </c>
      <c r="F21" s="58">
        <v>0.79027777777777775</v>
      </c>
      <c r="L21">
        <v>9.2187000000000001</v>
      </c>
      <c r="M21" s="59">
        <f t="shared" si="3"/>
        <v>-3.8000000000000256E-3</v>
      </c>
    </row>
    <row r="22" spans="1:13" x14ac:dyDescent="0.3">
      <c r="A22">
        <v>15</v>
      </c>
      <c r="B22">
        <v>3</v>
      </c>
      <c r="C22">
        <v>9.1812000000000005</v>
      </c>
      <c r="D22" s="59">
        <f t="shared" si="2"/>
        <v>3.3699999999999619E-2</v>
      </c>
      <c r="E22" t="s">
        <v>404</v>
      </c>
      <c r="F22" s="58">
        <v>0.83333333333333337</v>
      </c>
      <c r="L22" t="s">
        <v>407</v>
      </c>
    </row>
    <row r="23" spans="1:13" x14ac:dyDescent="0.3">
      <c r="A23">
        <v>16</v>
      </c>
      <c r="B23">
        <v>5</v>
      </c>
      <c r="C23">
        <v>9.2207000000000008</v>
      </c>
      <c r="D23" s="59">
        <f t="shared" si="2"/>
        <v>-5.8000000000006935E-3</v>
      </c>
      <c r="E23" t="s">
        <v>404</v>
      </c>
      <c r="F23" s="58">
        <v>0.875</v>
      </c>
      <c r="K23" t="s">
        <v>408</v>
      </c>
      <c r="L23">
        <v>9.2225000000000001</v>
      </c>
      <c r="M23" s="59">
        <f t="shared" si="3"/>
        <v>-7.6000000000000512E-3</v>
      </c>
    </row>
    <row r="24" spans="1:13" x14ac:dyDescent="0.3">
      <c r="A24">
        <v>17</v>
      </c>
      <c r="B24">
        <v>1</v>
      </c>
      <c r="C24">
        <v>9.2044999999999995</v>
      </c>
      <c r="D24" s="59">
        <f t="shared" si="2"/>
        <v>1.0400000000000631E-2</v>
      </c>
      <c r="E24" t="s">
        <v>413</v>
      </c>
      <c r="F24" s="58">
        <v>0.35902777777777778</v>
      </c>
      <c r="L24">
        <v>9.2212999999999994</v>
      </c>
      <c r="M24" s="59">
        <f t="shared" si="3"/>
        <v>-6.3999999999992951E-3</v>
      </c>
    </row>
    <row r="25" spans="1:13" x14ac:dyDescent="0.3">
      <c r="A25">
        <v>18</v>
      </c>
      <c r="B25">
        <v>2</v>
      </c>
      <c r="C25">
        <v>9.2030999999999992</v>
      </c>
      <c r="D25" s="59">
        <f t="shared" si="2"/>
        <v>1.1800000000000921E-2</v>
      </c>
      <c r="E25" t="s">
        <v>413</v>
      </c>
      <c r="F25" s="58">
        <v>0.40208333333333335</v>
      </c>
      <c r="L25">
        <v>9.2134999999999998</v>
      </c>
      <c r="M25" s="59">
        <f t="shared" si="3"/>
        <v>1.4000000000002899E-3</v>
      </c>
    </row>
    <row r="26" spans="1:13" x14ac:dyDescent="0.3">
      <c r="A26">
        <v>19</v>
      </c>
      <c r="B26">
        <v>3</v>
      </c>
      <c r="C26">
        <v>9.2131000000000007</v>
      </c>
      <c r="D26" s="59">
        <f t="shared" si="2"/>
        <v>1.7999999999993577E-3</v>
      </c>
      <c r="E26" t="s">
        <v>413</v>
      </c>
      <c r="F26" s="58">
        <v>0.48472222222222222</v>
      </c>
      <c r="L26">
        <v>9.2188999999999997</v>
      </c>
      <c r="M26" s="59">
        <f t="shared" si="3"/>
        <v>-3.9999999999995595E-3</v>
      </c>
    </row>
    <row r="27" spans="1:13" x14ac:dyDescent="0.3">
      <c r="A27">
        <v>20</v>
      </c>
      <c r="B27">
        <v>5</v>
      </c>
      <c r="C27">
        <v>9.2149999999999999</v>
      </c>
      <c r="D27" s="59">
        <f t="shared" si="2"/>
        <v>-9.9999999999766942E-5</v>
      </c>
      <c r="E27" t="s">
        <v>413</v>
      </c>
      <c r="F27" s="58">
        <v>0.6333333333333333</v>
      </c>
      <c r="L27">
        <v>9.2242999999999995</v>
      </c>
      <c r="M27" s="59">
        <f t="shared" si="3"/>
        <v>-9.3999999999994088E-3</v>
      </c>
    </row>
    <row r="28" spans="1:13" x14ac:dyDescent="0.3">
      <c r="A28">
        <v>21</v>
      </c>
      <c r="B28">
        <v>1</v>
      </c>
      <c r="C28">
        <v>9.2215000000000007</v>
      </c>
      <c r="D28" s="59">
        <f t="shared" si="2"/>
        <v>-6.6000000000006054E-3</v>
      </c>
      <c r="E28" t="s">
        <v>413</v>
      </c>
      <c r="F28" s="58">
        <v>0.71527777777777779</v>
      </c>
    </row>
    <row r="29" spans="1:13" x14ac:dyDescent="0.3">
      <c r="A29">
        <v>22</v>
      </c>
      <c r="B29">
        <v>2</v>
      </c>
      <c r="C29">
        <v>9.2304999999999993</v>
      </c>
      <c r="D29" s="59">
        <f t="shared" si="2"/>
        <v>-1.559999999999917E-2</v>
      </c>
      <c r="E29" t="s">
        <v>413</v>
      </c>
      <c r="F29" s="58">
        <v>0.75763888888888886</v>
      </c>
      <c r="K29">
        <v>27.01</v>
      </c>
      <c r="L29" t="s">
        <v>423</v>
      </c>
    </row>
    <row r="30" spans="1:13" x14ac:dyDescent="0.3">
      <c r="A30">
        <v>23</v>
      </c>
      <c r="B30">
        <v>3</v>
      </c>
      <c r="C30">
        <v>9.2050999999999998</v>
      </c>
      <c r="D30" s="59">
        <f t="shared" ref="D30:D150" si="4">$I$1-C30</f>
        <v>9.800000000000253E-3</v>
      </c>
      <c r="E30" t="s">
        <v>413</v>
      </c>
      <c r="F30" s="58">
        <v>0.79583333333333328</v>
      </c>
      <c r="K30" t="s">
        <v>397</v>
      </c>
      <c r="L30">
        <v>9.2134</v>
      </c>
      <c r="M30" s="59">
        <f t="shared" ref="M30:M34" si="5">$I$1-L30</f>
        <v>1.5000000000000568E-3</v>
      </c>
    </row>
    <row r="31" spans="1:13" x14ac:dyDescent="0.3">
      <c r="A31">
        <v>24</v>
      </c>
      <c r="B31">
        <v>5</v>
      </c>
      <c r="C31">
        <v>9.2265999999999995</v>
      </c>
      <c r="D31" s="59">
        <f t="shared" si="4"/>
        <v>-1.1699999999999378E-2</v>
      </c>
      <c r="E31" t="s">
        <v>413</v>
      </c>
      <c r="F31" s="58">
        <v>0.85833333333333328</v>
      </c>
      <c r="L31">
        <v>9.2196999999999996</v>
      </c>
      <c r="M31" s="59">
        <f t="shared" si="5"/>
        <v>-4.7999999999994714E-3</v>
      </c>
    </row>
    <row r="32" spans="1:13" x14ac:dyDescent="0.3">
      <c r="A32">
        <v>25</v>
      </c>
      <c r="B32">
        <v>1</v>
      </c>
      <c r="C32">
        <v>9.2236999999999991</v>
      </c>
      <c r="D32" s="59">
        <f t="shared" si="4"/>
        <v>-8.7999999999990308E-3</v>
      </c>
      <c r="E32" t="s">
        <v>417</v>
      </c>
      <c r="F32" s="58">
        <v>0.35555555555555557</v>
      </c>
      <c r="L32">
        <v>9.2050999999999998</v>
      </c>
      <c r="M32" s="59">
        <f t="shared" si="5"/>
        <v>9.800000000000253E-3</v>
      </c>
    </row>
    <row r="33" spans="1:13" x14ac:dyDescent="0.3">
      <c r="A33">
        <v>26</v>
      </c>
      <c r="B33">
        <v>2</v>
      </c>
      <c r="C33">
        <v>9.2152999999999992</v>
      </c>
      <c r="D33" s="59">
        <f t="shared" si="4"/>
        <v>-3.9999999999906777E-4</v>
      </c>
      <c r="E33" t="s">
        <v>417</v>
      </c>
      <c r="F33" s="58">
        <v>0.51180555555555551</v>
      </c>
      <c r="L33">
        <v>9.2088999999999999</v>
      </c>
      <c r="M33" s="59">
        <f t="shared" si="5"/>
        <v>6.0000000000002274E-3</v>
      </c>
    </row>
    <row r="34" spans="1:13" x14ac:dyDescent="0.3">
      <c r="A34">
        <v>27</v>
      </c>
      <c r="B34">
        <v>3</v>
      </c>
      <c r="C34">
        <v>9.2260000000000009</v>
      </c>
      <c r="D34" s="59">
        <f t="shared" si="4"/>
        <v>-1.1100000000000776E-2</v>
      </c>
      <c r="E34" t="s">
        <v>417</v>
      </c>
      <c r="F34" s="58">
        <v>0.65347222222222223</v>
      </c>
      <c r="L34">
        <v>9.2163000000000004</v>
      </c>
      <c r="M34" s="59">
        <f t="shared" si="5"/>
        <v>-1.4000000000002899E-3</v>
      </c>
    </row>
    <row r="35" spans="1:13" x14ac:dyDescent="0.3">
      <c r="A35">
        <v>28</v>
      </c>
      <c r="B35">
        <v>5</v>
      </c>
      <c r="C35">
        <v>9.2234999999999996</v>
      </c>
      <c r="D35" s="59">
        <f t="shared" si="4"/>
        <v>-8.5999999999994969E-3</v>
      </c>
      <c r="E35" t="s">
        <v>417</v>
      </c>
      <c r="F35" s="58">
        <v>0.75763888888888886</v>
      </c>
    </row>
    <row r="36" spans="1:13" x14ac:dyDescent="0.3">
      <c r="A36">
        <v>29</v>
      </c>
      <c r="B36">
        <v>1</v>
      </c>
      <c r="C36">
        <v>9.2303999999999995</v>
      </c>
      <c r="D36" s="59">
        <f t="shared" si="4"/>
        <v>-1.5499999999999403E-2</v>
      </c>
      <c r="E36" t="s">
        <v>417</v>
      </c>
      <c r="F36" s="58">
        <v>0.80902777777777779</v>
      </c>
    </row>
    <row r="37" spans="1:13" x14ac:dyDescent="0.3">
      <c r="A37">
        <v>30</v>
      </c>
      <c r="B37">
        <v>2</v>
      </c>
      <c r="C37">
        <v>9.1928000000000001</v>
      </c>
      <c r="D37" s="59">
        <f t="shared" si="4"/>
        <v>2.2100000000000009E-2</v>
      </c>
      <c r="E37" t="s">
        <v>417</v>
      </c>
      <c r="F37" s="58">
        <v>0.86805555555555558</v>
      </c>
    </row>
    <row r="38" spans="1:13" x14ac:dyDescent="0.3">
      <c r="A38">
        <v>31</v>
      </c>
      <c r="B38">
        <v>3</v>
      </c>
      <c r="C38">
        <v>9.2201000000000004</v>
      </c>
      <c r="D38" s="59">
        <f t="shared" si="4"/>
        <v>-5.2000000000003155E-3</v>
      </c>
      <c r="E38" t="s">
        <v>417</v>
      </c>
      <c r="F38" s="58">
        <v>0.90694444444444444</v>
      </c>
    </row>
    <row r="39" spans="1:13" x14ac:dyDescent="0.3">
      <c r="A39">
        <v>32</v>
      </c>
      <c r="B39">
        <v>5</v>
      </c>
      <c r="C39">
        <v>9.2217000000000002</v>
      </c>
      <c r="D39" s="59">
        <f t="shared" si="4"/>
        <v>-6.8000000000001393E-3</v>
      </c>
      <c r="E39" t="s">
        <v>418</v>
      </c>
      <c r="F39" s="58">
        <v>0.36041666666666666</v>
      </c>
    </row>
    <row r="40" spans="1:13" x14ac:dyDescent="0.3">
      <c r="A40">
        <v>33</v>
      </c>
      <c r="B40">
        <v>1</v>
      </c>
      <c r="C40">
        <v>9.2264999999999997</v>
      </c>
      <c r="D40" s="59">
        <f t="shared" si="4"/>
        <v>-1.1599999999999611E-2</v>
      </c>
      <c r="E40" t="s">
        <v>418</v>
      </c>
      <c r="F40" s="58">
        <v>0.48194444444444445</v>
      </c>
    </row>
    <row r="41" spans="1:13" x14ac:dyDescent="0.3">
      <c r="A41">
        <v>34</v>
      </c>
      <c r="B41">
        <v>2</v>
      </c>
      <c r="C41">
        <v>9.2164000000000001</v>
      </c>
      <c r="D41" s="59">
        <f t="shared" si="4"/>
        <v>-1.5000000000000568E-3</v>
      </c>
      <c r="E41" t="s">
        <v>418</v>
      </c>
      <c r="F41" s="58">
        <v>0.51666666666666672</v>
      </c>
    </row>
    <row r="42" spans="1:13" x14ac:dyDescent="0.3">
      <c r="A42">
        <v>35</v>
      </c>
      <c r="B42">
        <v>3</v>
      </c>
      <c r="C42">
        <v>9.1983999999999995</v>
      </c>
      <c r="D42" s="59">
        <f t="shared" si="4"/>
        <v>1.6500000000000625E-2</v>
      </c>
      <c r="E42" t="s">
        <v>418</v>
      </c>
      <c r="F42" s="58">
        <v>0.6645833333333333</v>
      </c>
    </row>
    <row r="43" spans="1:13" x14ac:dyDescent="0.3">
      <c r="A43">
        <v>36</v>
      </c>
      <c r="B43">
        <v>5</v>
      </c>
      <c r="C43">
        <v>9.2075999999999993</v>
      </c>
      <c r="D43" s="59">
        <f t="shared" si="4"/>
        <v>7.3000000000007503E-3</v>
      </c>
      <c r="E43" t="s">
        <v>418</v>
      </c>
      <c r="F43" s="58">
        <v>0.77083333333333337</v>
      </c>
    </row>
    <row r="44" spans="1:13" x14ac:dyDescent="0.3">
      <c r="A44">
        <v>37</v>
      </c>
      <c r="B44">
        <v>1</v>
      </c>
      <c r="C44">
        <v>9.2241999999999997</v>
      </c>
      <c r="D44" s="59">
        <f t="shared" si="4"/>
        <v>-9.2999999999996419E-3</v>
      </c>
      <c r="E44" t="s">
        <v>418</v>
      </c>
      <c r="F44" s="58">
        <v>0.80972222222222223</v>
      </c>
    </row>
    <row r="45" spans="1:13" x14ac:dyDescent="0.3">
      <c r="A45">
        <v>38</v>
      </c>
      <c r="B45">
        <v>2</v>
      </c>
      <c r="C45">
        <v>9.2096</v>
      </c>
      <c r="D45" s="59">
        <f t="shared" si="4"/>
        <v>5.3000000000000824E-3</v>
      </c>
      <c r="E45" t="s">
        <v>418</v>
      </c>
      <c r="F45" s="58">
        <v>0.8208333333333333</v>
      </c>
    </row>
    <row r="46" spans="1:13" x14ac:dyDescent="0.3">
      <c r="A46">
        <v>39</v>
      </c>
      <c r="B46">
        <v>3</v>
      </c>
      <c r="C46">
        <v>9.2056000000000004</v>
      </c>
      <c r="D46" s="59">
        <f t="shared" si="4"/>
        <v>9.2999999999996419E-3</v>
      </c>
      <c r="E46" t="s">
        <v>419</v>
      </c>
      <c r="F46" s="58">
        <v>0.40138888888888891</v>
      </c>
    </row>
    <row r="47" spans="1:13" x14ac:dyDescent="0.3">
      <c r="A47">
        <v>40</v>
      </c>
      <c r="B47">
        <v>5</v>
      </c>
      <c r="C47">
        <v>9.2175999999999991</v>
      </c>
      <c r="D47" s="59">
        <f t="shared" si="4"/>
        <v>-2.6999999999990365E-3</v>
      </c>
      <c r="E47" t="s">
        <v>419</v>
      </c>
      <c r="F47" s="58">
        <v>0.4375</v>
      </c>
    </row>
    <row r="48" spans="1:13" x14ac:dyDescent="0.3">
      <c r="A48">
        <v>41</v>
      </c>
      <c r="B48">
        <v>1</v>
      </c>
      <c r="C48">
        <v>9.2273999999999994</v>
      </c>
      <c r="D48" s="59">
        <f t="shared" si="4"/>
        <v>-1.2499999999999289E-2</v>
      </c>
      <c r="E48" t="s">
        <v>419</v>
      </c>
      <c r="F48" s="58">
        <v>0.47499999999999998</v>
      </c>
    </row>
    <row r="49" spans="1:6" x14ac:dyDescent="0.3">
      <c r="A49">
        <v>42</v>
      </c>
      <c r="B49">
        <v>2</v>
      </c>
      <c r="C49">
        <v>9.1991999999999994</v>
      </c>
      <c r="D49" s="59">
        <f t="shared" si="4"/>
        <v>1.5700000000000713E-2</v>
      </c>
      <c r="E49" t="s">
        <v>419</v>
      </c>
      <c r="F49" s="58">
        <v>0.50972222222222219</v>
      </c>
    </row>
    <row r="50" spans="1:6" x14ac:dyDescent="0.3">
      <c r="A50">
        <v>43</v>
      </c>
      <c r="B50">
        <v>3</v>
      </c>
      <c r="C50">
        <v>9.2077000000000009</v>
      </c>
      <c r="D50" s="59">
        <f t="shared" si="4"/>
        <v>7.199999999999207E-3</v>
      </c>
      <c r="E50" t="s">
        <v>419</v>
      </c>
      <c r="F50" s="58">
        <v>0.55625000000000002</v>
      </c>
    </row>
    <row r="51" spans="1:6" x14ac:dyDescent="0.3">
      <c r="A51">
        <v>44</v>
      </c>
      <c r="B51">
        <v>5</v>
      </c>
      <c r="C51">
        <v>9.2193000000000005</v>
      </c>
      <c r="D51" s="59">
        <f t="shared" si="4"/>
        <v>-4.4000000000004036E-3</v>
      </c>
      <c r="E51" t="s">
        <v>419</v>
      </c>
      <c r="F51" s="58">
        <v>0.63541666666666663</v>
      </c>
    </row>
    <row r="52" spans="1:6" x14ac:dyDescent="0.3">
      <c r="A52">
        <v>45</v>
      </c>
      <c r="B52">
        <v>1</v>
      </c>
      <c r="C52">
        <v>9.2089999999999996</v>
      </c>
      <c r="D52" s="59">
        <f t="shared" si="4"/>
        <v>5.9000000000004604E-3</v>
      </c>
      <c r="E52" t="s">
        <v>419</v>
      </c>
      <c r="F52" s="58">
        <v>0.67291666666666672</v>
      </c>
    </row>
    <row r="53" spans="1:6" x14ac:dyDescent="0.3">
      <c r="A53">
        <v>46</v>
      </c>
      <c r="B53">
        <v>2</v>
      </c>
      <c r="C53">
        <v>9.2095000000000002</v>
      </c>
      <c r="D53" s="59">
        <f t="shared" si="4"/>
        <v>5.3999999999998494E-3</v>
      </c>
      <c r="E53" t="s">
        <v>419</v>
      </c>
      <c r="F53" s="58">
        <v>0.7104166666666667</v>
      </c>
    </row>
    <row r="54" spans="1:6" x14ac:dyDescent="0.3">
      <c r="A54">
        <v>47</v>
      </c>
      <c r="B54">
        <v>3</v>
      </c>
      <c r="C54" s="65"/>
      <c r="D54" s="59">
        <f t="shared" si="4"/>
        <v>9.2149000000000001</v>
      </c>
      <c r="E54" t="s">
        <v>419</v>
      </c>
      <c r="F54" s="58">
        <v>0.74513888888888891</v>
      </c>
    </row>
    <row r="55" spans="1:6" x14ac:dyDescent="0.3">
      <c r="A55">
        <v>48</v>
      </c>
      <c r="B55">
        <v>5</v>
      </c>
      <c r="C55">
        <v>9.2250999999999994</v>
      </c>
      <c r="D55" s="59">
        <f t="shared" si="4"/>
        <v>-1.0199999999999321E-2</v>
      </c>
      <c r="E55" t="s">
        <v>419</v>
      </c>
      <c r="F55" s="58">
        <v>0.78194444444444444</v>
      </c>
    </row>
    <row r="56" spans="1:6" x14ac:dyDescent="0.3">
      <c r="A56">
        <v>49</v>
      </c>
      <c r="B56">
        <v>1</v>
      </c>
      <c r="C56">
        <v>9.2175999999999991</v>
      </c>
      <c r="D56" s="59">
        <f t="shared" si="4"/>
        <v>-2.6999999999990365E-3</v>
      </c>
      <c r="E56" t="s">
        <v>419</v>
      </c>
      <c r="F56" s="58">
        <v>0.82152777777777775</v>
      </c>
    </row>
    <row r="57" spans="1:6" x14ac:dyDescent="0.3">
      <c r="A57">
        <v>50</v>
      </c>
      <c r="B57">
        <v>3</v>
      </c>
      <c r="C57">
        <v>9.1775000000000002</v>
      </c>
      <c r="D57" s="59">
        <f t="shared" si="4"/>
        <v>3.7399999999999878E-2</v>
      </c>
      <c r="E57" t="s">
        <v>419</v>
      </c>
      <c r="F57" s="58">
        <v>0.85763888888888884</v>
      </c>
    </row>
    <row r="58" spans="1:6" x14ac:dyDescent="0.3">
      <c r="A58">
        <v>51</v>
      </c>
      <c r="B58">
        <v>5</v>
      </c>
      <c r="C58">
        <v>9.1936999999999998</v>
      </c>
      <c r="D58" s="59">
        <f t="shared" si="4"/>
        <v>2.120000000000033E-2</v>
      </c>
      <c r="E58" t="s">
        <v>420</v>
      </c>
      <c r="F58" s="58">
        <v>0.35</v>
      </c>
    </row>
    <row r="59" spans="1:6" x14ac:dyDescent="0.3">
      <c r="A59">
        <v>52</v>
      </c>
      <c r="B59">
        <v>1</v>
      </c>
      <c r="C59">
        <v>9.2287999999999997</v>
      </c>
      <c r="D59" s="59">
        <f t="shared" si="4"/>
        <v>-1.3899999999999579E-2</v>
      </c>
      <c r="E59" t="s">
        <v>420</v>
      </c>
      <c r="F59" s="58">
        <v>0.38541666666666669</v>
      </c>
    </row>
    <row r="60" spans="1:6" x14ac:dyDescent="0.3">
      <c r="A60">
        <v>53</v>
      </c>
      <c r="B60">
        <v>2</v>
      </c>
      <c r="C60">
        <v>9.1920999999999999</v>
      </c>
      <c r="D60" s="59">
        <f t="shared" si="4"/>
        <v>2.2800000000000153E-2</v>
      </c>
      <c r="E60" t="s">
        <v>420</v>
      </c>
      <c r="F60" s="58">
        <v>0.4236111111111111</v>
      </c>
    </row>
    <row r="61" spans="1:6" x14ac:dyDescent="0.3">
      <c r="A61">
        <v>54</v>
      </c>
      <c r="B61">
        <v>3</v>
      </c>
      <c r="C61">
        <v>9.2041000000000004</v>
      </c>
      <c r="D61" s="59">
        <f t="shared" si="4"/>
        <v>1.0799999999999699E-2</v>
      </c>
      <c r="E61" t="s">
        <v>420</v>
      </c>
      <c r="F61" s="58">
        <v>0.46111111111111114</v>
      </c>
    </row>
    <row r="62" spans="1:6" x14ac:dyDescent="0.3">
      <c r="A62">
        <v>55</v>
      </c>
      <c r="B62">
        <v>5</v>
      </c>
      <c r="C62">
        <v>9.2050999999999998</v>
      </c>
      <c r="D62" s="59">
        <f t="shared" si="4"/>
        <v>9.800000000000253E-3</v>
      </c>
      <c r="E62" t="s">
        <v>420</v>
      </c>
      <c r="F62" s="58">
        <v>0.49305555555555558</v>
      </c>
    </row>
    <row r="63" spans="1:6" x14ac:dyDescent="0.3">
      <c r="A63">
        <v>56</v>
      </c>
      <c r="B63">
        <v>1</v>
      </c>
      <c r="C63">
        <v>9.2271000000000001</v>
      </c>
      <c r="D63" s="59">
        <f t="shared" si="4"/>
        <v>-1.2199999999999989E-2</v>
      </c>
      <c r="E63" t="s">
        <v>420</v>
      </c>
      <c r="F63" s="58">
        <v>0.5541666666666667</v>
      </c>
    </row>
    <row r="64" spans="1:6" x14ac:dyDescent="0.3">
      <c r="A64">
        <v>57</v>
      </c>
      <c r="B64">
        <v>2</v>
      </c>
      <c r="C64">
        <v>9.1940000000000008</v>
      </c>
      <c r="D64" s="59">
        <f t="shared" si="4"/>
        <v>2.0899999999999253E-2</v>
      </c>
      <c r="E64" t="s">
        <v>420</v>
      </c>
      <c r="F64" s="58">
        <v>0.63472222222222219</v>
      </c>
    </row>
    <row r="65" spans="1:7" x14ac:dyDescent="0.3">
      <c r="A65">
        <v>58</v>
      </c>
      <c r="B65">
        <v>3</v>
      </c>
      <c r="C65">
        <v>9.1979000000000006</v>
      </c>
      <c r="D65" s="59">
        <f t="shared" si="4"/>
        <v>1.699999999999946E-2</v>
      </c>
      <c r="E65" t="s">
        <v>420</v>
      </c>
      <c r="F65" s="58">
        <v>0.67638888888888893</v>
      </c>
    </row>
    <row r="66" spans="1:7" x14ac:dyDescent="0.3">
      <c r="A66">
        <v>59</v>
      </c>
      <c r="B66">
        <v>5</v>
      </c>
      <c r="C66">
        <v>9.2134999999999998</v>
      </c>
      <c r="D66">
        <f t="shared" si="4"/>
        <v>1.4000000000002899E-3</v>
      </c>
      <c r="E66" t="s">
        <v>420</v>
      </c>
      <c r="F66" s="58">
        <v>0.71250000000000002</v>
      </c>
    </row>
    <row r="67" spans="1:7" x14ac:dyDescent="0.3">
      <c r="A67">
        <v>60</v>
      </c>
      <c r="B67">
        <v>1</v>
      </c>
      <c r="C67">
        <v>9.2086000000000006</v>
      </c>
      <c r="D67" s="59">
        <f t="shared" si="4"/>
        <v>6.2999999999995282E-3</v>
      </c>
      <c r="E67" t="s">
        <v>421</v>
      </c>
      <c r="F67" s="58">
        <v>0.35555555555555557</v>
      </c>
    </row>
    <row r="68" spans="1:7" x14ac:dyDescent="0.3">
      <c r="A68">
        <v>61</v>
      </c>
      <c r="B68">
        <v>2</v>
      </c>
      <c r="C68">
        <v>9.1569000000000003</v>
      </c>
      <c r="D68" s="59">
        <f t="shared" si="4"/>
        <v>5.7999999999999829E-2</v>
      </c>
      <c r="E68" t="s">
        <v>421</v>
      </c>
      <c r="F68" s="58">
        <v>0.42708333333333331</v>
      </c>
    </row>
    <row r="69" spans="1:7" x14ac:dyDescent="0.3">
      <c r="A69" t="s">
        <v>393</v>
      </c>
      <c r="B69">
        <v>2</v>
      </c>
      <c r="C69">
        <v>9.2101000000000006</v>
      </c>
      <c r="D69" s="59">
        <f t="shared" si="4"/>
        <v>4.7999999999994714E-3</v>
      </c>
      <c r="E69" t="s">
        <v>421</v>
      </c>
      <c r="F69" s="58">
        <v>0.47916666666666669</v>
      </c>
      <c r="G69" t="s">
        <v>422</v>
      </c>
    </row>
    <row r="70" spans="1:7" x14ac:dyDescent="0.3">
      <c r="A70">
        <v>62</v>
      </c>
      <c r="B70">
        <v>3</v>
      </c>
      <c r="C70">
        <v>9.1914999999999996</v>
      </c>
      <c r="D70" s="59">
        <f t="shared" si="4"/>
        <v>2.3400000000000531E-2</v>
      </c>
      <c r="E70" t="s">
        <v>421</v>
      </c>
      <c r="F70" s="58">
        <v>0.48680555555555555</v>
      </c>
    </row>
    <row r="71" spans="1:7" x14ac:dyDescent="0.3">
      <c r="A71">
        <v>63</v>
      </c>
      <c r="B71">
        <v>5</v>
      </c>
      <c r="C71">
        <v>9.2005999999999997</v>
      </c>
      <c r="D71" s="59">
        <f t="shared" si="4"/>
        <v>1.4300000000000423E-2</v>
      </c>
      <c r="E71" t="s">
        <v>421</v>
      </c>
      <c r="F71" s="58">
        <v>0.52430555555555558</v>
      </c>
    </row>
    <row r="72" spans="1:7" x14ac:dyDescent="0.3">
      <c r="A72">
        <v>64</v>
      </c>
      <c r="B72">
        <v>1</v>
      </c>
      <c r="C72">
        <v>9.2266999999999992</v>
      </c>
      <c r="D72" s="59">
        <f t="shared" si="4"/>
        <v>-1.1799999999999145E-2</v>
      </c>
      <c r="E72" t="s">
        <v>421</v>
      </c>
      <c r="F72" s="58">
        <v>0.56527777777777777</v>
      </c>
    </row>
    <row r="73" spans="1:7" x14ac:dyDescent="0.3">
      <c r="A73">
        <v>65</v>
      </c>
      <c r="B73">
        <v>2</v>
      </c>
      <c r="C73">
        <v>9.2249999999999996</v>
      </c>
      <c r="D73" s="59">
        <f t="shared" si="4"/>
        <v>-1.0099999999999554E-2</v>
      </c>
      <c r="E73" t="s">
        <v>421</v>
      </c>
      <c r="F73" s="58">
        <v>0.66666666666666663</v>
      </c>
    </row>
    <row r="74" spans="1:7" x14ac:dyDescent="0.3">
      <c r="A74">
        <v>66</v>
      </c>
      <c r="B74">
        <v>3</v>
      </c>
      <c r="C74">
        <v>9.1849000000000007</v>
      </c>
      <c r="D74" s="59">
        <f t="shared" si="4"/>
        <v>2.9999999999999361E-2</v>
      </c>
      <c r="E74" t="s">
        <v>421</v>
      </c>
      <c r="F74" s="58">
        <v>0.70347222222222228</v>
      </c>
    </row>
    <row r="75" spans="1:7" x14ac:dyDescent="0.3">
      <c r="A75">
        <v>67</v>
      </c>
      <c r="B75">
        <v>5</v>
      </c>
      <c r="C75">
        <v>9.2134</v>
      </c>
      <c r="D75" s="59">
        <f t="shared" si="4"/>
        <v>1.5000000000000568E-3</v>
      </c>
      <c r="E75" t="s">
        <v>421</v>
      </c>
      <c r="F75" s="58">
        <v>0.74861111111111112</v>
      </c>
    </row>
    <row r="76" spans="1:7" x14ac:dyDescent="0.3">
      <c r="A76">
        <v>68</v>
      </c>
      <c r="B76">
        <v>1</v>
      </c>
      <c r="C76">
        <v>9.2367000000000008</v>
      </c>
      <c r="D76" s="59">
        <f t="shared" si="4"/>
        <v>-2.1800000000000708E-2</v>
      </c>
      <c r="E76" t="s">
        <v>421</v>
      </c>
      <c r="F76" s="58">
        <v>0.80902777777777779</v>
      </c>
    </row>
    <row r="77" spans="1:7" x14ac:dyDescent="0.3">
      <c r="A77">
        <v>69</v>
      </c>
      <c r="B77">
        <v>2</v>
      </c>
      <c r="C77">
        <v>9.2108000000000008</v>
      </c>
      <c r="D77" s="59">
        <f t="shared" si="4"/>
        <v>4.0999999999993264E-3</v>
      </c>
      <c r="E77" t="s">
        <v>421</v>
      </c>
      <c r="F77" s="58">
        <v>0.84027777777777779</v>
      </c>
    </row>
    <row r="78" spans="1:7" x14ac:dyDescent="0.3">
      <c r="A78">
        <v>70</v>
      </c>
      <c r="B78">
        <v>3</v>
      </c>
      <c r="C78">
        <v>9.1587999999999994</v>
      </c>
      <c r="D78" s="59">
        <f t="shared" si="4"/>
        <v>5.6100000000000705E-2</v>
      </c>
      <c r="E78" t="s">
        <v>421</v>
      </c>
      <c r="F78" s="58">
        <v>0.87638888888888888</v>
      </c>
    </row>
    <row r="79" spans="1:7" x14ac:dyDescent="0.3">
      <c r="A79" t="s">
        <v>393</v>
      </c>
      <c r="B79">
        <v>3</v>
      </c>
      <c r="C79">
        <v>9.2118000000000002</v>
      </c>
      <c r="D79" s="59">
        <f t="shared" si="4"/>
        <v>3.0999999999998806E-3</v>
      </c>
      <c r="E79" t="s">
        <v>421</v>
      </c>
      <c r="F79" s="58">
        <v>0.9145833333333333</v>
      </c>
    </row>
    <row r="80" spans="1:7" x14ac:dyDescent="0.3">
      <c r="A80">
        <v>71</v>
      </c>
      <c r="B80">
        <v>3</v>
      </c>
      <c r="C80">
        <v>9.2125000000000004</v>
      </c>
      <c r="D80" s="59">
        <f t="shared" si="4"/>
        <v>2.3999999999997357E-3</v>
      </c>
      <c r="E80" t="s">
        <v>421</v>
      </c>
    </row>
    <row r="81" spans="1:6" x14ac:dyDescent="0.3">
      <c r="A81">
        <v>72</v>
      </c>
      <c r="B81">
        <v>5</v>
      </c>
      <c r="C81">
        <v>9.2106999999999992</v>
      </c>
      <c r="D81" s="59">
        <f t="shared" si="4"/>
        <v>4.2000000000008697E-3</v>
      </c>
      <c r="E81" t="s">
        <v>424</v>
      </c>
      <c r="F81" s="58">
        <v>0.35069444444444442</v>
      </c>
    </row>
    <row r="82" spans="1:6" x14ac:dyDescent="0.3">
      <c r="A82">
        <v>73</v>
      </c>
      <c r="B82">
        <v>1</v>
      </c>
      <c r="C82">
        <v>9.2279999999999998</v>
      </c>
      <c r="D82" s="59">
        <f t="shared" si="4"/>
        <v>-1.3099999999999667E-2</v>
      </c>
      <c r="E82" t="s">
        <v>424</v>
      </c>
      <c r="F82" s="58">
        <v>0.375</v>
      </c>
    </row>
    <row r="83" spans="1:6" x14ac:dyDescent="0.3">
      <c r="A83">
        <v>74</v>
      </c>
      <c r="B83">
        <v>2</v>
      </c>
      <c r="C83">
        <v>9.2103000000000002</v>
      </c>
      <c r="D83" s="59">
        <f t="shared" si="4"/>
        <v>4.5999999999999375E-3</v>
      </c>
      <c r="E83" t="s">
        <v>424</v>
      </c>
      <c r="F83" s="58">
        <v>0.4152777777777778</v>
      </c>
    </row>
    <row r="84" spans="1:6" x14ac:dyDescent="0.3">
      <c r="A84">
        <v>75</v>
      </c>
      <c r="B84">
        <v>3</v>
      </c>
      <c r="C84">
        <v>9.2396999999999991</v>
      </c>
      <c r="D84" s="59">
        <f t="shared" si="4"/>
        <v>-2.4799999999999045E-2</v>
      </c>
      <c r="E84" t="s">
        <v>424</v>
      </c>
      <c r="F84" s="58">
        <v>0.44791666666666669</v>
      </c>
    </row>
    <row r="85" spans="1:6" x14ac:dyDescent="0.3">
      <c r="A85">
        <v>76</v>
      </c>
      <c r="B85">
        <v>5</v>
      </c>
      <c r="C85">
        <v>9.2072000000000003</v>
      </c>
      <c r="D85" s="59">
        <f t="shared" si="4"/>
        <v>7.6999999999998181E-3</v>
      </c>
      <c r="E85" t="s">
        <v>424</v>
      </c>
      <c r="F85" s="58">
        <v>0.55208333333333337</v>
      </c>
    </row>
    <row r="86" spans="1:6" x14ac:dyDescent="0.3">
      <c r="A86">
        <v>77</v>
      </c>
      <c r="B86">
        <v>1</v>
      </c>
      <c r="C86">
        <v>9.2116000000000007</v>
      </c>
      <c r="D86" s="59">
        <f t="shared" si="4"/>
        <v>3.2999999999994145E-3</v>
      </c>
      <c r="E86" t="s">
        <v>424</v>
      </c>
      <c r="F86" s="58">
        <v>0.6333333333333333</v>
      </c>
    </row>
    <row r="87" spans="1:6" x14ac:dyDescent="0.3">
      <c r="A87">
        <v>78</v>
      </c>
      <c r="B87">
        <v>2</v>
      </c>
      <c r="C87">
        <v>9.2334999999999994</v>
      </c>
      <c r="D87" s="59">
        <f t="shared" si="4"/>
        <v>-1.8599999999999284E-2</v>
      </c>
      <c r="E87" t="s">
        <v>424</v>
      </c>
      <c r="F87" s="58">
        <v>0.66597222222222219</v>
      </c>
    </row>
    <row r="88" spans="1:6" x14ac:dyDescent="0.3">
      <c r="A88">
        <v>79</v>
      </c>
      <c r="B88">
        <v>3</v>
      </c>
      <c r="C88">
        <v>9.1946999999999992</v>
      </c>
      <c r="D88" s="59">
        <f t="shared" si="4"/>
        <v>2.0200000000000884E-2</v>
      </c>
      <c r="E88" t="s">
        <v>424</v>
      </c>
      <c r="F88" s="58">
        <v>0.79236111111111107</v>
      </c>
    </row>
    <row r="89" spans="1:6" x14ac:dyDescent="0.3">
      <c r="A89">
        <v>80</v>
      </c>
      <c r="B89">
        <v>5</v>
      </c>
      <c r="C89">
        <v>9.2171000000000003</v>
      </c>
      <c r="D89" s="59">
        <f t="shared" si="4"/>
        <v>-2.2000000000002018E-3</v>
      </c>
      <c r="E89" t="s">
        <v>424</v>
      </c>
      <c r="F89" s="58">
        <v>0.81874999999999998</v>
      </c>
    </row>
    <row r="90" spans="1:6" x14ac:dyDescent="0.3">
      <c r="A90">
        <v>81</v>
      </c>
      <c r="B90">
        <v>1</v>
      </c>
      <c r="C90">
        <v>9.2058999999999997</v>
      </c>
      <c r="D90" s="59">
        <f t="shared" si="4"/>
        <v>9.0000000000003411E-3</v>
      </c>
      <c r="E90" t="s">
        <v>424</v>
      </c>
      <c r="F90" s="58">
        <v>0.84513888888888888</v>
      </c>
    </row>
    <row r="91" spans="1:6" x14ac:dyDescent="0.3">
      <c r="A91">
        <v>82</v>
      </c>
      <c r="B91">
        <v>2</v>
      </c>
      <c r="C91">
        <v>9.2438000000000002</v>
      </c>
      <c r="D91" s="59">
        <f t="shared" si="4"/>
        <v>-2.8900000000000148E-2</v>
      </c>
      <c r="E91" t="s">
        <v>424</v>
      </c>
      <c r="F91" s="58">
        <v>0.87152777777777779</v>
      </c>
    </row>
    <row r="92" spans="1:6" x14ac:dyDescent="0.3">
      <c r="A92">
        <v>83</v>
      </c>
      <c r="B92">
        <v>3</v>
      </c>
      <c r="C92">
        <v>9.2786000000000008</v>
      </c>
      <c r="D92" s="59">
        <f t="shared" si="4"/>
        <v>-6.3700000000000756E-2</v>
      </c>
      <c r="E92" t="s">
        <v>424</v>
      </c>
      <c r="F92" s="58">
        <v>0.89375000000000004</v>
      </c>
    </row>
    <row r="93" spans="1:6" x14ac:dyDescent="0.3">
      <c r="A93">
        <v>84</v>
      </c>
      <c r="B93">
        <v>5</v>
      </c>
      <c r="C93">
        <v>9.2109000000000005</v>
      </c>
      <c r="D93" s="59">
        <f t="shared" si="4"/>
        <v>3.9999999999995595E-3</v>
      </c>
      <c r="E93" t="s">
        <v>426</v>
      </c>
      <c r="F93" s="58">
        <v>0.34791666666666665</v>
      </c>
    </row>
    <row r="94" spans="1:6" x14ac:dyDescent="0.3">
      <c r="A94">
        <v>85</v>
      </c>
      <c r="B94">
        <v>1</v>
      </c>
      <c r="C94">
        <v>9.2350999999999992</v>
      </c>
      <c r="D94" s="59">
        <f t="shared" si="4"/>
        <v>-2.0199999999999108E-2</v>
      </c>
      <c r="E94" t="s">
        <v>426</v>
      </c>
      <c r="F94" s="58">
        <v>0.37638888888888888</v>
      </c>
    </row>
    <row r="95" spans="1:6" x14ac:dyDescent="0.3">
      <c r="A95">
        <v>86</v>
      </c>
      <c r="B95">
        <v>2</v>
      </c>
      <c r="C95">
        <v>9.2217000000000002</v>
      </c>
      <c r="D95" s="59">
        <f t="shared" si="4"/>
        <v>-6.8000000000001393E-3</v>
      </c>
      <c r="E95" t="s">
        <v>426</v>
      </c>
      <c r="F95" s="58">
        <v>0.40138888888888891</v>
      </c>
    </row>
    <row r="96" spans="1:6" x14ac:dyDescent="0.3">
      <c r="A96">
        <v>87</v>
      </c>
      <c r="B96">
        <v>3</v>
      </c>
      <c r="C96">
        <v>9.2597000000000005</v>
      </c>
      <c r="D96" s="59">
        <f t="shared" si="4"/>
        <v>-4.4800000000000395E-2</v>
      </c>
      <c r="E96" t="s">
        <v>426</v>
      </c>
      <c r="F96" s="58">
        <v>0.42569444444444443</v>
      </c>
    </row>
    <row r="97" spans="1:6" x14ac:dyDescent="0.3">
      <c r="A97">
        <v>88</v>
      </c>
      <c r="B97">
        <v>5</v>
      </c>
      <c r="C97">
        <v>9.1902000000000008</v>
      </c>
      <c r="D97" s="59">
        <f t="shared" si="4"/>
        <v>2.4699999999999278E-2</v>
      </c>
      <c r="E97" t="s">
        <v>426</v>
      </c>
      <c r="F97" s="58">
        <v>0.45069444444444445</v>
      </c>
    </row>
    <row r="98" spans="1:6" x14ac:dyDescent="0.3">
      <c r="A98">
        <v>89</v>
      </c>
      <c r="B98">
        <v>1</v>
      </c>
      <c r="C98">
        <v>9.2230000000000008</v>
      </c>
      <c r="D98" s="59">
        <f t="shared" si="4"/>
        <v>-8.1000000000006622E-3</v>
      </c>
      <c r="E98" t="s">
        <v>426</v>
      </c>
      <c r="F98" s="58">
        <v>0.48472222222222222</v>
      </c>
    </row>
    <row r="99" spans="1:6" x14ac:dyDescent="0.3">
      <c r="A99">
        <v>90</v>
      </c>
      <c r="B99">
        <v>2</v>
      </c>
      <c r="C99">
        <v>9.2118000000000002</v>
      </c>
      <c r="D99" s="59">
        <f t="shared" si="4"/>
        <v>3.0999999999998806E-3</v>
      </c>
      <c r="E99" t="s">
        <v>426</v>
      </c>
      <c r="F99" s="58">
        <v>0.57152777777777775</v>
      </c>
    </row>
    <row r="100" spans="1:6" x14ac:dyDescent="0.3">
      <c r="A100">
        <v>91</v>
      </c>
      <c r="B100">
        <v>3</v>
      </c>
      <c r="C100">
        <v>9.2342999999999993</v>
      </c>
      <c r="D100" s="59">
        <f t="shared" si="4"/>
        <v>-1.9399999999999196E-2</v>
      </c>
      <c r="E100" t="s">
        <v>426</v>
      </c>
      <c r="F100" s="58">
        <v>0.69444444444444442</v>
      </c>
    </row>
    <row r="101" spans="1:6" x14ac:dyDescent="0.3">
      <c r="A101">
        <v>92</v>
      </c>
      <c r="B101">
        <v>5</v>
      </c>
      <c r="C101">
        <v>9.2172000000000001</v>
      </c>
      <c r="D101" s="59">
        <f t="shared" si="4"/>
        <v>-2.2999999999999687E-3</v>
      </c>
      <c r="E101" t="s">
        <v>426</v>
      </c>
      <c r="F101" s="58">
        <v>0.72083333333333333</v>
      </c>
    </row>
    <row r="102" spans="1:6" x14ac:dyDescent="0.3">
      <c r="A102">
        <v>93</v>
      </c>
      <c r="B102">
        <v>1</v>
      </c>
      <c r="C102">
        <v>9.1966000000000001</v>
      </c>
      <c r="D102" s="59">
        <f t="shared" si="4"/>
        <v>1.8299999999999983E-2</v>
      </c>
      <c r="E102" t="s">
        <v>426</v>
      </c>
      <c r="F102" s="58">
        <v>0.74583333333333335</v>
      </c>
    </row>
    <row r="103" spans="1:6" x14ac:dyDescent="0.3">
      <c r="A103">
        <v>94</v>
      </c>
      <c r="B103">
        <v>2</v>
      </c>
      <c r="C103">
        <v>9.2332999999999998</v>
      </c>
      <c r="D103" s="59">
        <f t="shared" si="4"/>
        <v>-1.839999999999975E-2</v>
      </c>
      <c r="E103" t="s">
        <v>426</v>
      </c>
      <c r="F103" s="58">
        <v>0.77013888888888893</v>
      </c>
    </row>
    <row r="104" spans="1:6" x14ac:dyDescent="0.3">
      <c r="A104">
        <v>95</v>
      </c>
      <c r="B104">
        <v>3</v>
      </c>
      <c r="C104">
        <v>9.1890999999999998</v>
      </c>
      <c r="D104" s="59">
        <f t="shared" si="4"/>
        <v>2.5800000000000267E-2</v>
      </c>
      <c r="E104" t="s">
        <v>426</v>
      </c>
      <c r="F104" s="58">
        <v>0.85</v>
      </c>
    </row>
    <row r="105" spans="1:6" x14ac:dyDescent="0.3">
      <c r="A105">
        <v>96</v>
      </c>
      <c r="B105">
        <v>5</v>
      </c>
      <c r="C105">
        <v>9.2246000000000006</v>
      </c>
      <c r="D105" s="59">
        <f t="shared" si="4"/>
        <v>-9.700000000000486E-3</v>
      </c>
      <c r="E105" t="s">
        <v>426</v>
      </c>
      <c r="F105" s="58">
        <v>0.875</v>
      </c>
    </row>
    <row r="106" spans="1:6" x14ac:dyDescent="0.3">
      <c r="A106">
        <v>97</v>
      </c>
      <c r="B106">
        <v>1</v>
      </c>
      <c r="C106">
        <v>9.1925000000000008</v>
      </c>
      <c r="D106" s="59">
        <f t="shared" si="4"/>
        <v>2.2399999999999309E-2</v>
      </c>
      <c r="E106" t="s">
        <v>426</v>
      </c>
    </row>
    <row r="107" spans="1:6" x14ac:dyDescent="0.3">
      <c r="A107">
        <v>98</v>
      </c>
      <c r="B107">
        <v>2</v>
      </c>
      <c r="C107">
        <v>9.2073999999999998</v>
      </c>
      <c r="D107" s="59">
        <f t="shared" si="4"/>
        <v>7.5000000000002842E-3</v>
      </c>
      <c r="E107" t="s">
        <v>427</v>
      </c>
      <c r="F107" s="58">
        <v>0.34513888888888888</v>
      </c>
    </row>
    <row r="108" spans="1:6" x14ac:dyDescent="0.3">
      <c r="A108">
        <v>99</v>
      </c>
      <c r="B108">
        <v>3</v>
      </c>
      <c r="C108">
        <v>9.2017000000000007</v>
      </c>
      <c r="D108" s="59">
        <f t="shared" si="4"/>
        <v>1.3199999999999434E-2</v>
      </c>
      <c r="E108" t="s">
        <v>427</v>
      </c>
      <c r="F108" s="58">
        <v>0.37013888888888891</v>
      </c>
    </row>
    <row r="109" spans="1:6" x14ac:dyDescent="0.3">
      <c r="A109">
        <v>100</v>
      </c>
      <c r="B109">
        <v>5</v>
      </c>
      <c r="C109">
        <v>9.1972000000000005</v>
      </c>
      <c r="D109" s="59">
        <f t="shared" si="4"/>
        <v>1.7699999999999605E-2</v>
      </c>
      <c r="E109" t="s">
        <v>427</v>
      </c>
      <c r="F109" s="58">
        <v>0.4152777777777778</v>
      </c>
    </row>
    <row r="110" spans="1:6" x14ac:dyDescent="0.3">
      <c r="A110">
        <v>101</v>
      </c>
      <c r="B110">
        <v>1</v>
      </c>
      <c r="C110">
        <v>9.2187000000000001</v>
      </c>
      <c r="D110" s="59">
        <f t="shared" si="4"/>
        <v>-3.8000000000000256E-3</v>
      </c>
      <c r="E110" t="s">
        <v>427</v>
      </c>
      <c r="F110" s="58">
        <v>0.43958333333333333</v>
      </c>
    </row>
    <row r="111" spans="1:6" x14ac:dyDescent="0.3">
      <c r="A111">
        <v>102</v>
      </c>
      <c r="B111">
        <v>2</v>
      </c>
      <c r="C111">
        <v>9.2158999999999995</v>
      </c>
      <c r="D111" s="59">
        <f t="shared" si="4"/>
        <v>-9.9999999999944578E-4</v>
      </c>
      <c r="E111" t="s">
        <v>427</v>
      </c>
      <c r="F111" s="58">
        <v>0.4909722222222222</v>
      </c>
    </row>
    <row r="112" spans="1:6" x14ac:dyDescent="0.3">
      <c r="A112">
        <v>103</v>
      </c>
      <c r="B112">
        <v>3</v>
      </c>
      <c r="C112">
        <v>9.2349999999999994</v>
      </c>
      <c r="D112" s="59">
        <f t="shared" si="4"/>
        <v>-2.0099999999999341E-2</v>
      </c>
      <c r="E112" t="s">
        <v>427</v>
      </c>
      <c r="F112" s="58">
        <v>0.51527777777777772</v>
      </c>
    </row>
    <row r="113" spans="1:7" x14ac:dyDescent="0.3">
      <c r="A113">
        <v>104</v>
      </c>
      <c r="B113">
        <v>5</v>
      </c>
      <c r="C113">
        <v>9.1960999999999995</v>
      </c>
      <c r="D113" s="59">
        <f t="shared" si="4"/>
        <v>1.8800000000000594E-2</v>
      </c>
      <c r="E113" t="s">
        <v>427</v>
      </c>
      <c r="F113" s="58">
        <v>0.5756944444444444</v>
      </c>
    </row>
    <row r="114" spans="1:7" x14ac:dyDescent="0.3">
      <c r="A114">
        <v>105</v>
      </c>
      <c r="B114">
        <v>1</v>
      </c>
      <c r="C114">
        <v>9.2242999999999995</v>
      </c>
      <c r="D114" s="59">
        <f t="shared" si="4"/>
        <v>-9.3999999999994088E-3</v>
      </c>
      <c r="E114" t="s">
        <v>427</v>
      </c>
      <c r="F114" s="58">
        <v>0.63541666666666663</v>
      </c>
    </row>
    <row r="115" spans="1:7" x14ac:dyDescent="0.3">
      <c r="A115">
        <v>106</v>
      </c>
      <c r="B115">
        <v>2</v>
      </c>
      <c r="C115">
        <v>9.2202999999999999</v>
      </c>
      <c r="D115" s="59">
        <f t="shared" si="4"/>
        <v>-5.3999999999998494E-3</v>
      </c>
      <c r="E115" t="s">
        <v>427</v>
      </c>
      <c r="F115" s="58">
        <v>0.67708333333333337</v>
      </c>
    </row>
    <row r="116" spans="1:7" x14ac:dyDescent="0.3">
      <c r="A116">
        <v>107</v>
      </c>
      <c r="B116">
        <v>3</v>
      </c>
      <c r="C116">
        <v>9.2042000000000002</v>
      </c>
      <c r="D116" s="59">
        <f t="shared" si="4"/>
        <v>1.0699999999999932E-2</v>
      </c>
      <c r="E116" t="s">
        <v>427</v>
      </c>
      <c r="F116" s="58">
        <v>0.7944444444444444</v>
      </c>
    </row>
    <row r="117" spans="1:7" x14ac:dyDescent="0.3">
      <c r="A117">
        <v>108</v>
      </c>
      <c r="B117">
        <v>5</v>
      </c>
      <c r="C117">
        <v>9.1866000000000003</v>
      </c>
      <c r="D117" s="59">
        <f t="shared" si="4"/>
        <v>2.829999999999977E-2</v>
      </c>
      <c r="E117" t="s">
        <v>427</v>
      </c>
      <c r="F117" s="58">
        <v>0.86111111111111116</v>
      </c>
    </row>
    <row r="118" spans="1:7" x14ac:dyDescent="0.3">
      <c r="A118">
        <v>109</v>
      </c>
      <c r="B118">
        <v>1</v>
      </c>
      <c r="C118">
        <v>9.1887000000000008</v>
      </c>
      <c r="D118" s="59">
        <f t="shared" si="4"/>
        <v>2.6199999999999335E-2</v>
      </c>
      <c r="E118" t="s">
        <v>427</v>
      </c>
      <c r="F118" s="58">
        <v>0.91180555555555554</v>
      </c>
    </row>
    <row r="119" spans="1:7" x14ac:dyDescent="0.3">
      <c r="A119">
        <v>110</v>
      </c>
      <c r="B119">
        <v>2</v>
      </c>
      <c r="C119">
        <v>9.2006999999999994</v>
      </c>
      <c r="D119" s="59">
        <f t="shared" si="4"/>
        <v>1.4200000000000657E-2</v>
      </c>
      <c r="E119" t="s">
        <v>428</v>
      </c>
      <c r="F119" s="58">
        <v>0.38750000000000001</v>
      </c>
    </row>
    <row r="120" spans="1:7" x14ac:dyDescent="0.3">
      <c r="A120">
        <v>111</v>
      </c>
      <c r="B120">
        <v>3</v>
      </c>
      <c r="C120">
        <v>9.2073999999999998</v>
      </c>
      <c r="D120" s="59">
        <f t="shared" si="4"/>
        <v>7.5000000000002842E-3</v>
      </c>
      <c r="E120" t="s">
        <v>428</v>
      </c>
      <c r="F120" s="58">
        <v>0.41319444444444442</v>
      </c>
    </row>
    <row r="121" spans="1:7" x14ac:dyDescent="0.3">
      <c r="A121">
        <v>112</v>
      </c>
      <c r="B121">
        <v>5</v>
      </c>
      <c r="C121">
        <v>9.1887000000000008</v>
      </c>
      <c r="D121" s="59">
        <f t="shared" si="4"/>
        <v>2.6199999999999335E-2</v>
      </c>
      <c r="E121" t="s">
        <v>428</v>
      </c>
      <c r="F121" s="58">
        <v>0.4375</v>
      </c>
    </row>
    <row r="122" spans="1:7" x14ac:dyDescent="0.3">
      <c r="A122">
        <v>113</v>
      </c>
      <c r="B122">
        <v>1</v>
      </c>
      <c r="C122">
        <v>9.1722000000000001</v>
      </c>
      <c r="D122" s="59">
        <f t="shared" si="4"/>
        <v>4.269999999999996E-2</v>
      </c>
      <c r="E122" t="s">
        <v>428</v>
      </c>
      <c r="F122" s="58">
        <v>0.48055555555555557</v>
      </c>
    </row>
    <row r="123" spans="1:7" x14ac:dyDescent="0.3">
      <c r="A123" t="s">
        <v>393</v>
      </c>
      <c r="B123">
        <v>1</v>
      </c>
      <c r="C123">
        <v>9.2163000000000004</v>
      </c>
      <c r="D123" s="59">
        <f t="shared" si="4"/>
        <v>-1.4000000000002899E-3</v>
      </c>
      <c r="E123" t="s">
        <v>428</v>
      </c>
      <c r="F123" s="58">
        <v>0.50694444444444442</v>
      </c>
      <c r="G123" t="s">
        <v>409</v>
      </c>
    </row>
    <row r="124" spans="1:7" x14ac:dyDescent="0.3">
      <c r="A124">
        <v>114</v>
      </c>
      <c r="B124">
        <v>1</v>
      </c>
      <c r="C124">
        <v>9.2119</v>
      </c>
      <c r="D124" s="59">
        <f t="shared" si="4"/>
        <v>3.0000000000001137E-3</v>
      </c>
      <c r="E124" t="s">
        <v>428</v>
      </c>
      <c r="F124" s="58">
        <v>0.51388888888888884</v>
      </c>
    </row>
    <row r="125" spans="1:7" x14ac:dyDescent="0.3">
      <c r="A125">
        <v>115</v>
      </c>
      <c r="B125">
        <v>2</v>
      </c>
      <c r="C125">
        <v>9.1989000000000001</v>
      </c>
      <c r="D125" s="59">
        <f t="shared" si="4"/>
        <v>1.6000000000000014E-2</v>
      </c>
      <c r="E125" t="s">
        <v>428</v>
      </c>
      <c r="F125" s="58">
        <v>0.60416666666666663</v>
      </c>
    </row>
    <row r="126" spans="1:7" x14ac:dyDescent="0.3">
      <c r="A126">
        <v>116</v>
      </c>
      <c r="B126">
        <v>3</v>
      </c>
      <c r="C126">
        <v>9.2271999999999998</v>
      </c>
      <c r="D126" s="59">
        <f t="shared" si="4"/>
        <v>-1.2299999999999756E-2</v>
      </c>
      <c r="E126" t="s">
        <v>428</v>
      </c>
      <c r="F126" s="58">
        <v>0.62916666666666665</v>
      </c>
    </row>
    <row r="127" spans="1:7" x14ac:dyDescent="0.3">
      <c r="A127">
        <v>117</v>
      </c>
      <c r="B127">
        <v>5</v>
      </c>
      <c r="C127">
        <v>9.2157</v>
      </c>
      <c r="D127" s="59">
        <f t="shared" si="4"/>
        <v>-7.9999999999991189E-4</v>
      </c>
      <c r="E127" t="s">
        <v>428</v>
      </c>
      <c r="F127" s="58">
        <v>0.65277777777777779</v>
      </c>
    </row>
    <row r="128" spans="1:7" x14ac:dyDescent="0.3">
      <c r="A128">
        <v>118</v>
      </c>
      <c r="B128">
        <v>1</v>
      </c>
      <c r="C128">
        <v>9.1941000000000006</v>
      </c>
      <c r="D128" s="59">
        <f t="shared" si="4"/>
        <v>2.0799999999999486E-2</v>
      </c>
      <c r="E128" t="s">
        <v>429</v>
      </c>
      <c r="F128" s="58">
        <v>0.34861111111111109</v>
      </c>
    </row>
    <row r="129" spans="1:7" x14ac:dyDescent="0.3">
      <c r="A129">
        <v>119</v>
      </c>
      <c r="B129">
        <v>2</v>
      </c>
      <c r="C129">
        <v>9.2042999999999999</v>
      </c>
      <c r="D129" s="59">
        <f t="shared" si="4"/>
        <v>1.0600000000000165E-2</v>
      </c>
      <c r="E129" t="s">
        <v>429</v>
      </c>
      <c r="F129" s="58">
        <v>0.37291666666666667</v>
      </c>
    </row>
    <row r="130" spans="1:7" x14ac:dyDescent="0.3">
      <c r="A130">
        <v>120</v>
      </c>
      <c r="B130">
        <v>3</v>
      </c>
      <c r="C130">
        <v>9.2138000000000009</v>
      </c>
      <c r="D130" s="59">
        <f t="shared" si="4"/>
        <v>1.0999999999992127E-3</v>
      </c>
      <c r="E130" t="s">
        <v>429</v>
      </c>
      <c r="F130" s="58">
        <v>0.3972222222222222</v>
      </c>
    </row>
    <row r="131" spans="1:7" x14ac:dyDescent="0.3">
      <c r="A131">
        <v>121</v>
      </c>
      <c r="B131">
        <v>5</v>
      </c>
      <c r="C131">
        <v>9.1847999999999992</v>
      </c>
      <c r="D131" s="59">
        <f t="shared" si="4"/>
        <v>3.0100000000000904E-2</v>
      </c>
      <c r="E131" t="s">
        <v>429</v>
      </c>
      <c r="F131" s="58">
        <v>0.42083333333333334</v>
      </c>
    </row>
    <row r="132" spans="1:7" x14ac:dyDescent="0.3">
      <c r="A132">
        <v>122</v>
      </c>
      <c r="B132">
        <v>1</v>
      </c>
      <c r="C132">
        <v>9.2193000000000005</v>
      </c>
      <c r="D132" s="59">
        <f t="shared" si="4"/>
        <v>-4.4000000000004036E-3</v>
      </c>
      <c r="E132" t="s">
        <v>429</v>
      </c>
      <c r="F132" s="58">
        <v>0.44444444444444442</v>
      </c>
    </row>
    <row r="133" spans="1:7" x14ac:dyDescent="0.3">
      <c r="A133">
        <v>123</v>
      </c>
      <c r="B133">
        <v>2</v>
      </c>
      <c r="C133">
        <v>9.2030999999999992</v>
      </c>
      <c r="D133" s="59">
        <f t="shared" si="4"/>
        <v>1.1800000000000921E-2</v>
      </c>
      <c r="E133" t="s">
        <v>429</v>
      </c>
      <c r="F133" s="58">
        <v>0.46875</v>
      </c>
    </row>
    <row r="134" spans="1:7" x14ac:dyDescent="0.3">
      <c r="A134">
        <v>124</v>
      </c>
      <c r="B134">
        <v>3</v>
      </c>
      <c r="C134">
        <v>9.2036999999999995</v>
      </c>
      <c r="D134" s="59">
        <f t="shared" si="4"/>
        <v>1.1200000000000543E-2</v>
      </c>
      <c r="E134" t="s">
        <v>429</v>
      </c>
      <c r="F134" s="58">
        <v>0.49236111111111114</v>
      </c>
    </row>
    <row r="135" spans="1:7" x14ac:dyDescent="0.3">
      <c r="A135">
        <v>125</v>
      </c>
      <c r="B135">
        <v>5</v>
      </c>
      <c r="C135">
        <v>9.1938999999999993</v>
      </c>
      <c r="D135" s="59">
        <f t="shared" si="4"/>
        <v>2.1000000000000796E-2</v>
      </c>
      <c r="E135" t="s">
        <v>429</v>
      </c>
      <c r="F135" s="58">
        <v>0.51666666666666672</v>
      </c>
    </row>
    <row r="136" spans="1:7" x14ac:dyDescent="0.3">
      <c r="A136">
        <v>126</v>
      </c>
      <c r="B136">
        <v>1</v>
      </c>
      <c r="C136">
        <v>9.2467000000000006</v>
      </c>
      <c r="D136" s="59">
        <f t="shared" si="4"/>
        <v>-3.1800000000000495E-2</v>
      </c>
      <c r="E136" t="s">
        <v>429</v>
      </c>
      <c r="F136" s="58">
        <v>0.55833333333333335</v>
      </c>
    </row>
    <row r="137" spans="1:7" x14ac:dyDescent="0.3">
      <c r="A137">
        <v>127</v>
      </c>
      <c r="B137">
        <v>2</v>
      </c>
      <c r="C137">
        <v>9.2073999999999998</v>
      </c>
      <c r="D137" s="59">
        <f t="shared" si="4"/>
        <v>7.5000000000002842E-3</v>
      </c>
      <c r="E137" t="s">
        <v>429</v>
      </c>
      <c r="F137" s="58">
        <v>0.6333333333333333</v>
      </c>
    </row>
    <row r="138" spans="1:7" x14ac:dyDescent="0.3">
      <c r="A138">
        <v>128</v>
      </c>
      <c r="B138">
        <v>3</v>
      </c>
      <c r="C138">
        <v>9.2441999999999993</v>
      </c>
      <c r="D138" s="59">
        <f t="shared" si="4"/>
        <v>-2.9299999999999216E-2</v>
      </c>
      <c r="E138" t="s">
        <v>429</v>
      </c>
      <c r="F138" s="58">
        <v>0.67500000000000004</v>
      </c>
    </row>
    <row r="139" spans="1:7" x14ac:dyDescent="0.3">
      <c r="A139">
        <v>129</v>
      </c>
      <c r="B139">
        <v>5</v>
      </c>
      <c r="C139">
        <v>9.1933000000000007</v>
      </c>
      <c r="D139" s="59">
        <f t="shared" si="4"/>
        <v>2.1599999999999397E-2</v>
      </c>
      <c r="E139" t="s">
        <v>429</v>
      </c>
      <c r="F139" s="58">
        <v>0.71875</v>
      </c>
    </row>
    <row r="140" spans="1:7" x14ac:dyDescent="0.3">
      <c r="A140">
        <v>130</v>
      </c>
      <c r="B140">
        <v>1</v>
      </c>
      <c r="C140">
        <v>9.2428000000000008</v>
      </c>
      <c r="D140" s="59">
        <f t="shared" si="4"/>
        <v>-2.7900000000000702E-2</v>
      </c>
      <c r="E140" t="s">
        <v>429</v>
      </c>
      <c r="F140" s="58">
        <v>0.75763888888888886</v>
      </c>
    </row>
    <row r="141" spans="1:7" x14ac:dyDescent="0.3">
      <c r="A141">
        <v>131</v>
      </c>
      <c r="B141">
        <v>2</v>
      </c>
      <c r="C141">
        <v>9.1822999999999997</v>
      </c>
      <c r="D141" s="59">
        <f t="shared" si="4"/>
        <v>3.2600000000000406E-2</v>
      </c>
      <c r="E141" t="s">
        <v>429</v>
      </c>
      <c r="F141" s="58">
        <v>0.78125</v>
      </c>
    </row>
    <row r="142" spans="1:7" x14ac:dyDescent="0.3">
      <c r="A142">
        <v>132</v>
      </c>
      <c r="B142">
        <v>3</v>
      </c>
      <c r="C142">
        <v>9.3687000000000005</v>
      </c>
      <c r="D142" s="59">
        <f t="shared" si="4"/>
        <v>-0.15380000000000038</v>
      </c>
      <c r="E142" t="s">
        <v>429</v>
      </c>
      <c r="F142" s="58">
        <v>0.80347222222222225</v>
      </c>
      <c r="G142" s="64"/>
    </row>
    <row r="143" spans="1:7" x14ac:dyDescent="0.3">
      <c r="A143">
        <v>133</v>
      </c>
      <c r="B143">
        <v>5</v>
      </c>
      <c r="C143">
        <v>9.1842000000000006</v>
      </c>
      <c r="D143" s="59">
        <f t="shared" si="4"/>
        <v>3.0699999999999505E-2</v>
      </c>
      <c r="E143" t="s">
        <v>430</v>
      </c>
      <c r="F143" s="58">
        <v>0.35486111111111113</v>
      </c>
    </row>
    <row r="144" spans="1:7" x14ac:dyDescent="0.3">
      <c r="A144">
        <v>134</v>
      </c>
      <c r="B144">
        <v>1</v>
      </c>
      <c r="C144">
        <v>9.2339000000000002</v>
      </c>
      <c r="D144" s="59">
        <f t="shared" si="4"/>
        <v>-1.9000000000000128E-2</v>
      </c>
      <c r="E144" t="s">
        <v>430</v>
      </c>
      <c r="F144" s="58">
        <v>0.4548611111111111</v>
      </c>
    </row>
    <row r="145" spans="1:6" x14ac:dyDescent="0.3">
      <c r="A145">
        <v>135</v>
      </c>
      <c r="B145">
        <v>2</v>
      </c>
      <c r="C145">
        <v>9.1914999999999996</v>
      </c>
      <c r="D145" s="59">
        <f t="shared" si="4"/>
        <v>2.3400000000000531E-2</v>
      </c>
      <c r="E145" t="s">
        <v>430</v>
      </c>
      <c r="F145" s="58">
        <v>0.50347222222222221</v>
      </c>
    </row>
    <row r="146" spans="1:6" x14ac:dyDescent="0.3">
      <c r="A146">
        <v>136</v>
      </c>
      <c r="B146">
        <v>3</v>
      </c>
      <c r="C146">
        <v>9.2592999999999996</v>
      </c>
      <c r="D146" s="59">
        <f t="shared" si="4"/>
        <v>-4.4399999999999551E-2</v>
      </c>
      <c r="E146" t="s">
        <v>430</v>
      </c>
      <c r="F146" s="58">
        <v>0.55763888888888891</v>
      </c>
    </row>
    <row r="147" spans="1:6" x14ac:dyDescent="0.3">
      <c r="A147">
        <v>137</v>
      </c>
      <c r="B147">
        <v>5</v>
      </c>
      <c r="C147">
        <v>9.1883999999999997</v>
      </c>
      <c r="D147" s="59">
        <f t="shared" si="4"/>
        <v>2.6500000000000412E-2</v>
      </c>
      <c r="E147" t="s">
        <v>430</v>
      </c>
      <c r="F147" s="58">
        <v>0.63194444444444442</v>
      </c>
    </row>
    <row r="148" spans="1:6" x14ac:dyDescent="0.3">
      <c r="A148">
        <v>138</v>
      </c>
      <c r="B148">
        <v>1</v>
      </c>
      <c r="C148">
        <v>9.2119999999999997</v>
      </c>
      <c r="D148" s="59">
        <f t="shared" si="4"/>
        <v>2.9000000000003467E-3</v>
      </c>
      <c r="E148" t="s">
        <v>430</v>
      </c>
      <c r="F148" s="58">
        <v>0.65972222222222221</v>
      </c>
    </row>
    <row r="149" spans="1:6" x14ac:dyDescent="0.3">
      <c r="A149">
        <v>139</v>
      </c>
      <c r="B149">
        <v>2</v>
      </c>
      <c r="C149">
        <v>9.1986000000000008</v>
      </c>
      <c r="D149" s="59">
        <f t="shared" si="4"/>
        <v>1.6299999999999315E-2</v>
      </c>
      <c r="E149" t="s">
        <v>430</v>
      </c>
      <c r="F149" s="58">
        <v>0.79583333333333328</v>
      </c>
    </row>
    <row r="150" spans="1:6" x14ac:dyDescent="0.3">
      <c r="A150">
        <v>140</v>
      </c>
      <c r="B150">
        <v>3</v>
      </c>
      <c r="C150">
        <v>9.3252000000000006</v>
      </c>
      <c r="D150" s="59">
        <f t="shared" si="4"/>
        <v>-0.11030000000000051</v>
      </c>
      <c r="E150" t="s">
        <v>430</v>
      </c>
      <c r="F150" s="58">
        <v>0.82291666666666663</v>
      </c>
    </row>
    <row r="151" spans="1:6" x14ac:dyDescent="0.3">
      <c r="A151">
        <v>141</v>
      </c>
      <c r="B151">
        <v>5</v>
      </c>
      <c r="E151" t="s">
        <v>430</v>
      </c>
    </row>
  </sheetData>
  <phoneticPr fontId="7" type="noConversion"/>
  <conditionalFormatting sqref="D2:D8 M7 M11:M14">
    <cfRule type="cellIs" dxfId="4" priority="7" operator="greaterThan">
      <formula>0.04</formula>
    </cfRule>
  </conditionalFormatting>
  <conditionalFormatting sqref="D11:D65 D67:D150">
    <cfRule type="cellIs" dxfId="3" priority="5" operator="greaterThan">
      <formula>0.04</formula>
    </cfRule>
  </conditionalFormatting>
  <conditionalFormatting sqref="M17:M21">
    <cfRule type="cellIs" dxfId="2" priority="4" operator="greaterThan">
      <formula>0.04</formula>
    </cfRule>
  </conditionalFormatting>
  <conditionalFormatting sqref="M23:M27">
    <cfRule type="cellIs" dxfId="1" priority="3" operator="greaterThan">
      <formula>0.04</formula>
    </cfRule>
  </conditionalFormatting>
  <conditionalFormatting sqref="M30:M34">
    <cfRule type="cellIs" dxfId="0" priority="1" operator="greaterThan">
      <formula>0.04</formula>
    </cfRule>
  </conditionalFormatting>
  <pageMargins left="0.7" right="0.7" top="0.75" bottom="0.75" header="0.3" footer="0.3"/>
  <pageSetup paperSize="2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44B0-C9CD-41AA-9147-8912F553FD53}">
  <dimension ref="A1:I1049"/>
  <sheetViews>
    <sheetView topLeftCell="A225" workbookViewId="0">
      <selection activeCell="N242" sqref="N242"/>
    </sheetView>
  </sheetViews>
  <sheetFormatPr defaultRowHeight="14.4" x14ac:dyDescent="0.3"/>
  <cols>
    <col min="7" max="7" width="16.33203125" customWidth="1"/>
    <col min="8" max="8" width="12.109375" customWidth="1"/>
    <col min="9" max="9" width="15" customWidth="1"/>
  </cols>
  <sheetData>
    <row r="1" spans="1:9" x14ac:dyDescent="0.3">
      <c r="A1" t="s">
        <v>52</v>
      </c>
      <c r="B1" t="s">
        <v>29</v>
      </c>
      <c r="C1" t="s">
        <v>30</v>
      </c>
      <c r="D1" t="s">
        <v>53</v>
      </c>
      <c r="E1" t="s">
        <v>33</v>
      </c>
      <c r="F1" t="s">
        <v>3</v>
      </c>
      <c r="G1" t="s">
        <v>54</v>
      </c>
      <c r="H1" t="s">
        <v>49</v>
      </c>
      <c r="I1" t="s">
        <v>55</v>
      </c>
    </row>
    <row r="2" spans="1:9" x14ac:dyDescent="0.3">
      <c r="A2">
        <v>501</v>
      </c>
      <c r="B2" t="s">
        <v>56</v>
      </c>
      <c r="C2" t="s">
        <v>31</v>
      </c>
      <c r="D2">
        <v>1</v>
      </c>
      <c r="E2" t="s">
        <v>57</v>
      </c>
      <c r="F2">
        <v>1</v>
      </c>
      <c r="G2" t="str">
        <f>CONCATENATE(B2, "-",C2, "-", D2, "-", F2)</f>
        <v>M0111-A-1-1</v>
      </c>
      <c r="H2">
        <v>0</v>
      </c>
      <c r="I2">
        <v>1.5</v>
      </c>
    </row>
    <row r="3" spans="1:9" x14ac:dyDescent="0.3">
      <c r="A3">
        <v>501</v>
      </c>
      <c r="B3" t="s">
        <v>56</v>
      </c>
      <c r="C3" t="s">
        <v>31</v>
      </c>
      <c r="D3">
        <v>1</v>
      </c>
      <c r="E3" t="s">
        <v>57</v>
      </c>
      <c r="F3">
        <v>2</v>
      </c>
      <c r="G3" t="str">
        <f t="shared" ref="G3:G66" si="0">CONCATENATE(B3, "-",C3, "-", D3, "-", F3)</f>
        <v>M0111-A-1-2</v>
      </c>
      <c r="H3">
        <v>1.5</v>
      </c>
      <c r="I3">
        <v>2.9</v>
      </c>
    </row>
    <row r="4" spans="1:9" x14ac:dyDescent="0.3">
      <c r="A4">
        <v>501</v>
      </c>
      <c r="B4" t="s">
        <v>56</v>
      </c>
      <c r="C4" t="s">
        <v>31</v>
      </c>
      <c r="D4">
        <v>2</v>
      </c>
      <c r="E4" t="s">
        <v>57</v>
      </c>
      <c r="F4">
        <v>1</v>
      </c>
      <c r="G4" t="str">
        <f t="shared" si="0"/>
        <v>M0111-A-2-1</v>
      </c>
      <c r="H4">
        <v>2.4</v>
      </c>
      <c r="I4">
        <v>3.91</v>
      </c>
    </row>
    <row r="5" spans="1:9" x14ac:dyDescent="0.3">
      <c r="A5">
        <v>501</v>
      </c>
      <c r="B5" t="s">
        <v>56</v>
      </c>
      <c r="C5" t="s">
        <v>31</v>
      </c>
      <c r="D5">
        <v>2</v>
      </c>
      <c r="E5" t="s">
        <v>57</v>
      </c>
      <c r="F5">
        <v>2</v>
      </c>
      <c r="G5" t="str">
        <f t="shared" si="0"/>
        <v>M0111-A-2-2</v>
      </c>
      <c r="H5">
        <v>3.91</v>
      </c>
      <c r="I5">
        <v>4.99</v>
      </c>
    </row>
    <row r="6" spans="1:9" x14ac:dyDescent="0.3">
      <c r="A6">
        <v>501</v>
      </c>
      <c r="B6" t="s">
        <v>56</v>
      </c>
      <c r="C6" t="s">
        <v>31</v>
      </c>
      <c r="D6">
        <v>3</v>
      </c>
      <c r="E6" t="s">
        <v>57</v>
      </c>
      <c r="F6">
        <v>1</v>
      </c>
      <c r="G6" t="str">
        <f t="shared" si="0"/>
        <v>M0111-A-3-1</v>
      </c>
      <c r="H6">
        <v>4.46</v>
      </c>
      <c r="I6">
        <v>5.97</v>
      </c>
    </row>
    <row r="7" spans="1:9" x14ac:dyDescent="0.3">
      <c r="A7">
        <v>501</v>
      </c>
      <c r="B7" t="s">
        <v>56</v>
      </c>
      <c r="C7" t="s">
        <v>31</v>
      </c>
      <c r="D7">
        <v>3</v>
      </c>
      <c r="E7" t="s">
        <v>57</v>
      </c>
      <c r="F7">
        <v>2</v>
      </c>
      <c r="G7" t="str">
        <f t="shared" si="0"/>
        <v>M0111-A-3-2</v>
      </c>
      <c r="H7">
        <v>5.97</v>
      </c>
      <c r="I7">
        <v>7.1</v>
      </c>
    </row>
    <row r="8" spans="1:9" x14ac:dyDescent="0.3">
      <c r="A8">
        <v>501</v>
      </c>
      <c r="B8" t="s">
        <v>56</v>
      </c>
      <c r="C8" t="s">
        <v>31</v>
      </c>
      <c r="D8">
        <v>4</v>
      </c>
      <c r="E8" t="s">
        <v>57</v>
      </c>
      <c r="F8">
        <v>1</v>
      </c>
      <c r="G8" t="str">
        <f t="shared" si="0"/>
        <v>M0111-A-4-1</v>
      </c>
      <c r="H8">
        <v>6.89</v>
      </c>
      <c r="I8">
        <v>8.4</v>
      </c>
    </row>
    <row r="9" spans="1:9" x14ac:dyDescent="0.3">
      <c r="A9">
        <v>501</v>
      </c>
      <c r="B9" t="s">
        <v>56</v>
      </c>
      <c r="C9" t="s">
        <v>31</v>
      </c>
      <c r="D9">
        <v>4</v>
      </c>
      <c r="E9" t="s">
        <v>57</v>
      </c>
      <c r="F9">
        <v>2</v>
      </c>
      <c r="G9" t="str">
        <f t="shared" si="0"/>
        <v>M0111-A-4-2</v>
      </c>
      <c r="H9">
        <v>8.4</v>
      </c>
      <c r="I9">
        <v>9.6</v>
      </c>
    </row>
    <row r="10" spans="1:9" x14ac:dyDescent="0.3">
      <c r="A10">
        <v>501</v>
      </c>
      <c r="B10" t="s">
        <v>56</v>
      </c>
      <c r="C10" t="s">
        <v>31</v>
      </c>
      <c r="D10">
        <v>5</v>
      </c>
      <c r="E10" t="s">
        <v>57</v>
      </c>
      <c r="F10">
        <v>1</v>
      </c>
      <c r="G10" t="str">
        <f t="shared" si="0"/>
        <v>M0111-A-5-1</v>
      </c>
      <c r="H10">
        <v>9.6</v>
      </c>
      <c r="I10">
        <v>11.1</v>
      </c>
    </row>
    <row r="11" spans="1:9" x14ac:dyDescent="0.3">
      <c r="A11">
        <v>501</v>
      </c>
      <c r="B11" t="s">
        <v>56</v>
      </c>
      <c r="C11" t="s">
        <v>31</v>
      </c>
      <c r="D11">
        <v>5</v>
      </c>
      <c r="E11" t="s">
        <v>57</v>
      </c>
      <c r="F11">
        <v>2</v>
      </c>
      <c r="G11" t="str">
        <f t="shared" si="0"/>
        <v>M0111-A-5-2</v>
      </c>
      <c r="H11">
        <v>11.1</v>
      </c>
      <c r="I11">
        <v>12.05</v>
      </c>
    </row>
    <row r="12" spans="1:9" x14ac:dyDescent="0.3">
      <c r="A12">
        <v>501</v>
      </c>
      <c r="B12" t="s">
        <v>56</v>
      </c>
      <c r="C12" t="s">
        <v>31</v>
      </c>
      <c r="D12">
        <v>6</v>
      </c>
      <c r="E12" t="s">
        <v>57</v>
      </c>
      <c r="F12">
        <v>1</v>
      </c>
      <c r="G12" t="str">
        <f t="shared" si="0"/>
        <v>M0111-A-6-1</v>
      </c>
      <c r="H12">
        <v>11.7</v>
      </c>
      <c r="I12">
        <v>13.2</v>
      </c>
    </row>
    <row r="13" spans="1:9" x14ac:dyDescent="0.3">
      <c r="A13">
        <v>501</v>
      </c>
      <c r="B13" t="s">
        <v>56</v>
      </c>
      <c r="C13" t="s">
        <v>31</v>
      </c>
      <c r="D13">
        <v>6</v>
      </c>
      <c r="E13" t="s">
        <v>57</v>
      </c>
      <c r="F13">
        <v>2</v>
      </c>
      <c r="G13" t="str">
        <f t="shared" si="0"/>
        <v>M0111-A-6-2</v>
      </c>
      <c r="H13">
        <v>13.2</v>
      </c>
      <c r="I13">
        <v>13.94</v>
      </c>
    </row>
    <row r="14" spans="1:9" x14ac:dyDescent="0.3">
      <c r="A14">
        <v>501</v>
      </c>
      <c r="B14" t="s">
        <v>56</v>
      </c>
      <c r="C14" t="s">
        <v>31</v>
      </c>
      <c r="D14">
        <v>7</v>
      </c>
      <c r="E14" t="s">
        <v>57</v>
      </c>
      <c r="F14">
        <v>1</v>
      </c>
      <c r="G14" t="str">
        <f t="shared" si="0"/>
        <v>M0111-A-7-1</v>
      </c>
      <c r="H14">
        <v>13.94</v>
      </c>
      <c r="I14">
        <v>14.17</v>
      </c>
    </row>
    <row r="15" spans="1:9" x14ac:dyDescent="0.3">
      <c r="A15">
        <v>501</v>
      </c>
      <c r="B15" t="s">
        <v>56</v>
      </c>
      <c r="C15" t="s">
        <v>31</v>
      </c>
      <c r="D15">
        <v>8</v>
      </c>
      <c r="E15" t="s">
        <v>57</v>
      </c>
      <c r="F15">
        <v>1</v>
      </c>
      <c r="G15" t="str">
        <f t="shared" si="0"/>
        <v>M0111-A-8-1</v>
      </c>
      <c r="H15">
        <v>14.77</v>
      </c>
      <c r="I15">
        <v>14.77</v>
      </c>
    </row>
    <row r="16" spans="1:9" x14ac:dyDescent="0.3">
      <c r="A16">
        <v>501</v>
      </c>
      <c r="B16" t="s">
        <v>56</v>
      </c>
      <c r="C16" t="s">
        <v>31</v>
      </c>
      <c r="D16">
        <v>9</v>
      </c>
      <c r="E16" t="s">
        <v>58</v>
      </c>
      <c r="F16">
        <v>1</v>
      </c>
      <c r="G16" t="str">
        <f t="shared" si="0"/>
        <v>M0111-A-9-1</v>
      </c>
      <c r="H16">
        <v>14.77</v>
      </c>
      <c r="I16">
        <v>15.05</v>
      </c>
    </row>
    <row r="17" spans="1:9" x14ac:dyDescent="0.3">
      <c r="A17">
        <v>501</v>
      </c>
      <c r="B17" t="s">
        <v>56</v>
      </c>
      <c r="C17" t="s">
        <v>31</v>
      </c>
      <c r="D17">
        <v>10</v>
      </c>
      <c r="E17" t="s">
        <v>34</v>
      </c>
      <c r="F17">
        <v>1</v>
      </c>
      <c r="G17" t="str">
        <f t="shared" si="0"/>
        <v>M0111-A-10-1</v>
      </c>
      <c r="H17">
        <v>15.21</v>
      </c>
      <c r="I17">
        <v>16.54</v>
      </c>
    </row>
    <row r="18" spans="1:9" x14ac:dyDescent="0.3">
      <c r="A18">
        <v>501</v>
      </c>
      <c r="B18" t="s">
        <v>56</v>
      </c>
      <c r="C18" t="s">
        <v>31</v>
      </c>
      <c r="D18">
        <v>11</v>
      </c>
      <c r="E18" t="s">
        <v>34</v>
      </c>
      <c r="F18">
        <v>1</v>
      </c>
      <c r="G18" t="str">
        <f t="shared" si="0"/>
        <v>M0111-A-11-1</v>
      </c>
      <c r="H18">
        <v>16.36</v>
      </c>
      <c r="I18">
        <v>16.84</v>
      </c>
    </row>
    <row r="19" spans="1:9" x14ac:dyDescent="0.3">
      <c r="A19">
        <v>501</v>
      </c>
      <c r="B19" t="s">
        <v>56</v>
      </c>
      <c r="C19" t="s">
        <v>31</v>
      </c>
      <c r="D19">
        <v>12</v>
      </c>
      <c r="E19" t="s">
        <v>34</v>
      </c>
      <c r="F19">
        <v>1</v>
      </c>
      <c r="G19" t="str">
        <f t="shared" si="0"/>
        <v>M0111-A-12-1</v>
      </c>
      <c r="H19">
        <v>32.25</v>
      </c>
      <c r="I19">
        <v>33.020000000000003</v>
      </c>
    </row>
    <row r="20" spans="1:9" x14ac:dyDescent="0.3">
      <c r="A20">
        <v>501</v>
      </c>
      <c r="B20" t="s">
        <v>56</v>
      </c>
      <c r="C20" t="s">
        <v>31</v>
      </c>
      <c r="D20">
        <v>13</v>
      </c>
      <c r="E20" t="s">
        <v>57</v>
      </c>
      <c r="F20">
        <v>1</v>
      </c>
      <c r="G20" t="str">
        <f t="shared" si="0"/>
        <v>M0111-A-13-1</v>
      </c>
      <c r="H20">
        <v>33.799999999999997</v>
      </c>
      <c r="I20">
        <v>34.9</v>
      </c>
    </row>
    <row r="21" spans="1:9" x14ac:dyDescent="0.3">
      <c r="A21">
        <v>501</v>
      </c>
      <c r="B21" t="s">
        <v>56</v>
      </c>
      <c r="C21" t="s">
        <v>31</v>
      </c>
      <c r="D21">
        <v>13</v>
      </c>
      <c r="E21" t="s">
        <v>57</v>
      </c>
      <c r="F21">
        <v>2</v>
      </c>
      <c r="G21" t="str">
        <f t="shared" si="0"/>
        <v>M0111-A-13-2</v>
      </c>
      <c r="H21">
        <v>34.9</v>
      </c>
      <c r="I21">
        <v>35.35</v>
      </c>
    </row>
    <row r="22" spans="1:9" x14ac:dyDescent="0.3">
      <c r="A22">
        <v>501</v>
      </c>
      <c r="B22" t="s">
        <v>56</v>
      </c>
      <c r="C22" t="s">
        <v>31</v>
      </c>
      <c r="D22">
        <v>14</v>
      </c>
      <c r="E22" t="s">
        <v>57</v>
      </c>
      <c r="F22">
        <v>1</v>
      </c>
      <c r="G22" t="str">
        <f t="shared" si="0"/>
        <v>M0111-A-14-1</v>
      </c>
      <c r="H22">
        <v>33.35</v>
      </c>
      <c r="I22">
        <v>34.85</v>
      </c>
    </row>
    <row r="23" spans="1:9" x14ac:dyDescent="0.3">
      <c r="A23">
        <v>501</v>
      </c>
      <c r="B23" t="s">
        <v>56</v>
      </c>
      <c r="C23" t="s">
        <v>31</v>
      </c>
      <c r="D23">
        <v>14</v>
      </c>
      <c r="E23" t="s">
        <v>57</v>
      </c>
      <c r="F23">
        <v>2</v>
      </c>
      <c r="G23" t="str">
        <f t="shared" si="0"/>
        <v>M0111-A-14-2</v>
      </c>
      <c r="H23">
        <v>34.85</v>
      </c>
      <c r="I23">
        <v>36.119999999999997</v>
      </c>
    </row>
    <row r="24" spans="1:9" x14ac:dyDescent="0.3">
      <c r="A24">
        <v>501</v>
      </c>
      <c r="B24" t="s">
        <v>56</v>
      </c>
      <c r="C24" t="s">
        <v>31</v>
      </c>
      <c r="D24">
        <v>15</v>
      </c>
      <c r="E24" t="s">
        <v>57</v>
      </c>
      <c r="F24">
        <v>1</v>
      </c>
      <c r="G24" t="str">
        <f t="shared" si="0"/>
        <v>M0111-A-15-1</v>
      </c>
      <c r="H24">
        <v>38.119999999999997</v>
      </c>
      <c r="I24">
        <v>39.630000000000003</v>
      </c>
    </row>
    <row r="25" spans="1:9" x14ac:dyDescent="0.3">
      <c r="A25">
        <v>501</v>
      </c>
      <c r="B25" t="s">
        <v>56</v>
      </c>
      <c r="C25" t="s">
        <v>31</v>
      </c>
      <c r="D25">
        <v>15</v>
      </c>
      <c r="E25" t="s">
        <v>57</v>
      </c>
      <c r="F25">
        <v>2</v>
      </c>
      <c r="G25" t="str">
        <f t="shared" si="0"/>
        <v>M0111-A-15-2</v>
      </c>
      <c r="H25">
        <v>39.630000000000003</v>
      </c>
      <c r="I25">
        <v>40.450000000000003</v>
      </c>
    </row>
    <row r="26" spans="1:9" x14ac:dyDescent="0.3">
      <c r="A26">
        <v>501</v>
      </c>
      <c r="B26" t="s">
        <v>56</v>
      </c>
      <c r="C26" t="s">
        <v>31</v>
      </c>
      <c r="D26">
        <v>16</v>
      </c>
      <c r="E26" t="s">
        <v>57</v>
      </c>
      <c r="F26">
        <v>1</v>
      </c>
      <c r="G26" t="str">
        <f t="shared" si="0"/>
        <v>M0111-A-16-1</v>
      </c>
      <c r="H26">
        <v>40.450000000000003</v>
      </c>
      <c r="I26">
        <v>41.19</v>
      </c>
    </row>
    <row r="27" spans="1:9" x14ac:dyDescent="0.3">
      <c r="A27">
        <v>501</v>
      </c>
      <c r="B27" t="s">
        <v>56</v>
      </c>
      <c r="C27" t="s">
        <v>31</v>
      </c>
      <c r="D27">
        <v>17</v>
      </c>
      <c r="E27" t="s">
        <v>57</v>
      </c>
      <c r="F27">
        <v>1</v>
      </c>
      <c r="G27" t="str">
        <f t="shared" si="0"/>
        <v>M0111-A-17-1</v>
      </c>
      <c r="H27">
        <v>41.19</v>
      </c>
      <c r="I27">
        <v>42.69</v>
      </c>
    </row>
    <row r="28" spans="1:9" x14ac:dyDescent="0.3">
      <c r="A28">
        <v>501</v>
      </c>
      <c r="B28" t="s">
        <v>56</v>
      </c>
      <c r="C28" t="s">
        <v>31</v>
      </c>
      <c r="D28">
        <v>17</v>
      </c>
      <c r="E28" t="s">
        <v>57</v>
      </c>
      <c r="F28">
        <v>2</v>
      </c>
      <c r="G28" t="str">
        <f t="shared" si="0"/>
        <v>M0111-A-17-2</v>
      </c>
      <c r="H28">
        <v>42.69</v>
      </c>
      <c r="I28">
        <v>43.32</v>
      </c>
    </row>
    <row r="29" spans="1:9" x14ac:dyDescent="0.3">
      <c r="A29">
        <v>501</v>
      </c>
      <c r="B29" t="s">
        <v>56</v>
      </c>
      <c r="C29" t="s">
        <v>31</v>
      </c>
      <c r="D29">
        <v>18</v>
      </c>
      <c r="E29" t="s">
        <v>57</v>
      </c>
      <c r="F29">
        <v>1</v>
      </c>
      <c r="G29" t="str">
        <f t="shared" si="0"/>
        <v>M0111-A-18-1</v>
      </c>
      <c r="H29">
        <v>43.32</v>
      </c>
      <c r="I29">
        <v>43.83</v>
      </c>
    </row>
    <row r="30" spans="1:9" x14ac:dyDescent="0.3">
      <c r="A30">
        <v>501</v>
      </c>
      <c r="B30" t="s">
        <v>56</v>
      </c>
      <c r="C30" t="s">
        <v>31</v>
      </c>
      <c r="D30">
        <v>19</v>
      </c>
      <c r="E30" t="s">
        <v>57</v>
      </c>
      <c r="F30">
        <v>1</v>
      </c>
      <c r="G30" t="str">
        <f t="shared" si="0"/>
        <v>M0111-A-19-1</v>
      </c>
      <c r="H30">
        <v>43.83</v>
      </c>
      <c r="I30">
        <v>45.33</v>
      </c>
    </row>
    <row r="31" spans="1:9" x14ac:dyDescent="0.3">
      <c r="A31">
        <v>501</v>
      </c>
      <c r="B31" t="s">
        <v>56</v>
      </c>
      <c r="C31" t="s">
        <v>31</v>
      </c>
      <c r="D31">
        <v>19</v>
      </c>
      <c r="E31" t="s">
        <v>57</v>
      </c>
      <c r="F31">
        <v>2</v>
      </c>
      <c r="G31" t="str">
        <f t="shared" si="0"/>
        <v>M0111-A-19-2</v>
      </c>
      <c r="H31">
        <v>45.33</v>
      </c>
      <c r="I31">
        <v>46.2</v>
      </c>
    </row>
    <row r="32" spans="1:9" x14ac:dyDescent="0.3">
      <c r="A32">
        <v>501</v>
      </c>
      <c r="B32" t="s">
        <v>56</v>
      </c>
      <c r="C32" t="s">
        <v>31</v>
      </c>
      <c r="D32">
        <v>20</v>
      </c>
      <c r="E32" t="s">
        <v>57</v>
      </c>
      <c r="F32">
        <v>1</v>
      </c>
      <c r="G32" t="str">
        <f t="shared" si="0"/>
        <v>M0111-A-20-1</v>
      </c>
      <c r="H32">
        <v>46.2</v>
      </c>
      <c r="I32">
        <v>47.7</v>
      </c>
    </row>
    <row r="33" spans="1:9" x14ac:dyDescent="0.3">
      <c r="A33">
        <v>501</v>
      </c>
      <c r="B33" t="s">
        <v>56</v>
      </c>
      <c r="C33" t="s">
        <v>31</v>
      </c>
      <c r="D33">
        <v>20</v>
      </c>
      <c r="E33" t="s">
        <v>57</v>
      </c>
      <c r="F33">
        <v>2</v>
      </c>
      <c r="G33" t="str">
        <f t="shared" si="0"/>
        <v>M0111-A-20-2</v>
      </c>
      <c r="H33">
        <v>47.7</v>
      </c>
      <c r="I33">
        <v>48.67</v>
      </c>
    </row>
    <row r="34" spans="1:9" x14ac:dyDescent="0.3">
      <c r="A34">
        <v>501</v>
      </c>
      <c r="B34" t="s">
        <v>56</v>
      </c>
      <c r="C34" t="s">
        <v>31</v>
      </c>
      <c r="D34">
        <v>21</v>
      </c>
      <c r="E34" t="s">
        <v>57</v>
      </c>
      <c r="F34">
        <v>1</v>
      </c>
      <c r="G34" t="str">
        <f t="shared" si="0"/>
        <v>M0111-A-21-1</v>
      </c>
      <c r="H34">
        <v>48.67</v>
      </c>
      <c r="I34">
        <v>48.77</v>
      </c>
    </row>
    <row r="35" spans="1:9" x14ac:dyDescent="0.3">
      <c r="A35">
        <v>501</v>
      </c>
      <c r="B35" t="s">
        <v>56</v>
      </c>
      <c r="C35" t="s">
        <v>31</v>
      </c>
      <c r="D35">
        <v>21</v>
      </c>
      <c r="E35" t="s">
        <v>57</v>
      </c>
      <c r="F35">
        <v>2</v>
      </c>
      <c r="G35" t="str">
        <f t="shared" si="0"/>
        <v>M0111-A-21-2</v>
      </c>
      <c r="H35">
        <v>48.77</v>
      </c>
      <c r="I35">
        <v>50.08</v>
      </c>
    </row>
    <row r="36" spans="1:9" x14ac:dyDescent="0.3">
      <c r="A36">
        <v>501</v>
      </c>
      <c r="B36" t="s">
        <v>56</v>
      </c>
      <c r="C36" t="s">
        <v>31</v>
      </c>
      <c r="D36">
        <v>21</v>
      </c>
      <c r="E36" t="s">
        <v>57</v>
      </c>
      <c r="F36">
        <v>3</v>
      </c>
      <c r="G36" t="str">
        <f t="shared" si="0"/>
        <v>M0111-A-21-3</v>
      </c>
      <c r="H36">
        <v>50.08</v>
      </c>
      <c r="I36">
        <v>50.9</v>
      </c>
    </row>
    <row r="37" spans="1:9" x14ac:dyDescent="0.3">
      <c r="A37">
        <v>501</v>
      </c>
      <c r="B37" t="s">
        <v>56</v>
      </c>
      <c r="C37" t="s">
        <v>31</v>
      </c>
      <c r="D37">
        <v>22</v>
      </c>
      <c r="E37" t="s">
        <v>57</v>
      </c>
      <c r="F37">
        <v>1</v>
      </c>
      <c r="G37" t="str">
        <f t="shared" si="0"/>
        <v>M0111-A-22-1</v>
      </c>
      <c r="H37">
        <v>50.9</v>
      </c>
      <c r="I37">
        <v>51.07</v>
      </c>
    </row>
    <row r="38" spans="1:9" x14ac:dyDescent="0.3">
      <c r="A38">
        <v>501</v>
      </c>
      <c r="B38" t="s">
        <v>56</v>
      </c>
      <c r="C38" t="s">
        <v>31</v>
      </c>
      <c r="D38">
        <v>22</v>
      </c>
      <c r="E38" t="s">
        <v>57</v>
      </c>
      <c r="F38">
        <v>2</v>
      </c>
      <c r="G38" t="str">
        <f t="shared" si="0"/>
        <v>M0111-A-22-2</v>
      </c>
      <c r="H38">
        <v>51.07</v>
      </c>
      <c r="I38">
        <v>52.42</v>
      </c>
    </row>
    <row r="39" spans="1:9" x14ac:dyDescent="0.3">
      <c r="A39">
        <v>501</v>
      </c>
      <c r="B39" t="s">
        <v>56</v>
      </c>
      <c r="C39" t="s">
        <v>31</v>
      </c>
      <c r="D39">
        <v>23</v>
      </c>
      <c r="E39" t="s">
        <v>57</v>
      </c>
      <c r="F39">
        <v>1</v>
      </c>
      <c r="G39" t="str">
        <f t="shared" si="0"/>
        <v>M0111-A-23-1</v>
      </c>
      <c r="H39">
        <v>52.42</v>
      </c>
      <c r="I39">
        <v>53.92</v>
      </c>
    </row>
    <row r="40" spans="1:9" x14ac:dyDescent="0.3">
      <c r="A40">
        <v>501</v>
      </c>
      <c r="B40" t="s">
        <v>56</v>
      </c>
      <c r="C40" t="s">
        <v>31</v>
      </c>
      <c r="D40">
        <v>23</v>
      </c>
      <c r="E40" t="s">
        <v>57</v>
      </c>
      <c r="F40">
        <v>2</v>
      </c>
      <c r="G40" t="str">
        <f t="shared" si="0"/>
        <v>M0111-A-23-2</v>
      </c>
      <c r="H40">
        <v>53.92</v>
      </c>
      <c r="I40">
        <v>54.92</v>
      </c>
    </row>
    <row r="41" spans="1:9" x14ac:dyDescent="0.3">
      <c r="A41">
        <v>501</v>
      </c>
      <c r="B41" t="s">
        <v>56</v>
      </c>
      <c r="C41" t="s">
        <v>31</v>
      </c>
      <c r="D41">
        <v>24</v>
      </c>
      <c r="E41" t="s">
        <v>57</v>
      </c>
      <c r="F41">
        <v>1</v>
      </c>
      <c r="G41" t="str">
        <f t="shared" si="0"/>
        <v>M0111-A-24-1</v>
      </c>
      <c r="H41">
        <v>54.92</v>
      </c>
      <c r="I41">
        <v>55.92</v>
      </c>
    </row>
    <row r="42" spans="1:9" x14ac:dyDescent="0.3">
      <c r="A42">
        <v>501</v>
      </c>
      <c r="B42" t="s">
        <v>56</v>
      </c>
      <c r="C42" t="s">
        <v>31</v>
      </c>
      <c r="D42">
        <v>24</v>
      </c>
      <c r="E42" t="s">
        <v>57</v>
      </c>
      <c r="F42">
        <v>2</v>
      </c>
      <c r="G42" t="str">
        <f t="shared" si="0"/>
        <v>M0111-A-24-2</v>
      </c>
      <c r="H42">
        <v>55.92</v>
      </c>
      <c r="I42">
        <v>56.66</v>
      </c>
    </row>
    <row r="43" spans="1:9" x14ac:dyDescent="0.3">
      <c r="A43">
        <v>501</v>
      </c>
      <c r="B43" t="s">
        <v>56</v>
      </c>
      <c r="C43" t="s">
        <v>31</v>
      </c>
      <c r="D43">
        <v>25</v>
      </c>
      <c r="E43" t="s">
        <v>57</v>
      </c>
      <c r="F43">
        <v>1</v>
      </c>
      <c r="G43" t="str">
        <f t="shared" si="0"/>
        <v>M0111-A-25-1</v>
      </c>
      <c r="H43">
        <v>56.66</v>
      </c>
      <c r="I43">
        <v>58.17</v>
      </c>
    </row>
    <row r="44" spans="1:9" x14ac:dyDescent="0.3">
      <c r="A44">
        <v>501</v>
      </c>
      <c r="B44" t="s">
        <v>56</v>
      </c>
      <c r="C44" t="s">
        <v>31</v>
      </c>
      <c r="D44">
        <v>25</v>
      </c>
      <c r="E44" t="s">
        <v>57</v>
      </c>
      <c r="F44">
        <v>2</v>
      </c>
      <c r="G44" t="str">
        <f t="shared" si="0"/>
        <v>M0111-A-25-2</v>
      </c>
      <c r="H44">
        <v>58.17</v>
      </c>
      <c r="I44">
        <v>58.88</v>
      </c>
    </row>
    <row r="45" spans="1:9" x14ac:dyDescent="0.3">
      <c r="A45">
        <v>501</v>
      </c>
      <c r="B45" t="s">
        <v>56</v>
      </c>
      <c r="C45" t="s">
        <v>31</v>
      </c>
      <c r="D45">
        <v>26</v>
      </c>
      <c r="E45" t="s">
        <v>57</v>
      </c>
      <c r="F45">
        <v>1</v>
      </c>
      <c r="G45" t="str">
        <f t="shared" si="0"/>
        <v>M0111-A-26-1</v>
      </c>
      <c r="H45">
        <v>58.88</v>
      </c>
      <c r="I45">
        <v>60.39</v>
      </c>
    </row>
    <row r="46" spans="1:9" x14ac:dyDescent="0.3">
      <c r="A46">
        <v>501</v>
      </c>
      <c r="B46" t="s">
        <v>56</v>
      </c>
      <c r="C46" t="s">
        <v>31</v>
      </c>
      <c r="D46">
        <v>26</v>
      </c>
      <c r="E46" t="s">
        <v>57</v>
      </c>
      <c r="F46">
        <v>2</v>
      </c>
      <c r="G46" t="str">
        <f t="shared" si="0"/>
        <v>M0111-A-26-2</v>
      </c>
      <c r="H46">
        <v>60.39</v>
      </c>
      <c r="I46">
        <v>61.9</v>
      </c>
    </row>
    <row r="47" spans="1:9" x14ac:dyDescent="0.3">
      <c r="A47">
        <v>501</v>
      </c>
      <c r="B47" t="s">
        <v>56</v>
      </c>
      <c r="C47" t="s">
        <v>31</v>
      </c>
      <c r="D47">
        <v>27</v>
      </c>
      <c r="E47" t="s">
        <v>57</v>
      </c>
      <c r="F47">
        <v>1</v>
      </c>
      <c r="G47" t="str">
        <f t="shared" si="0"/>
        <v>M0111-A-27-1</v>
      </c>
      <c r="H47">
        <v>61.2</v>
      </c>
      <c r="I47">
        <v>62.7</v>
      </c>
    </row>
    <row r="48" spans="1:9" x14ac:dyDescent="0.3">
      <c r="A48">
        <v>501</v>
      </c>
      <c r="B48" t="s">
        <v>56</v>
      </c>
      <c r="C48" t="s">
        <v>31</v>
      </c>
      <c r="D48">
        <v>27</v>
      </c>
      <c r="E48" t="s">
        <v>57</v>
      </c>
      <c r="F48">
        <v>2</v>
      </c>
      <c r="G48" t="str">
        <f t="shared" si="0"/>
        <v>M0111-A-27-2</v>
      </c>
      <c r="H48">
        <v>62.7</v>
      </c>
      <c r="I48">
        <v>64.2</v>
      </c>
    </row>
    <row r="49" spans="1:9" x14ac:dyDescent="0.3">
      <c r="A49">
        <v>501</v>
      </c>
      <c r="B49" t="s">
        <v>56</v>
      </c>
      <c r="C49" t="s">
        <v>31</v>
      </c>
      <c r="D49">
        <v>28</v>
      </c>
      <c r="E49" t="s">
        <v>57</v>
      </c>
      <c r="F49">
        <v>1</v>
      </c>
      <c r="G49" t="str">
        <f t="shared" si="0"/>
        <v>M0111-A-28-1</v>
      </c>
      <c r="H49">
        <v>63.38</v>
      </c>
      <c r="I49">
        <v>63.76</v>
      </c>
    </row>
    <row r="50" spans="1:9" x14ac:dyDescent="0.3">
      <c r="A50">
        <v>501</v>
      </c>
      <c r="B50" t="s">
        <v>56</v>
      </c>
      <c r="C50" t="s">
        <v>31</v>
      </c>
      <c r="D50">
        <v>29</v>
      </c>
      <c r="E50" t="s">
        <v>57</v>
      </c>
      <c r="F50">
        <v>1</v>
      </c>
      <c r="G50" t="str">
        <f t="shared" si="0"/>
        <v>M0111-A-29-1</v>
      </c>
      <c r="H50">
        <v>63.38</v>
      </c>
      <c r="I50">
        <v>63.65</v>
      </c>
    </row>
    <row r="51" spans="1:9" x14ac:dyDescent="0.3">
      <c r="A51">
        <v>501</v>
      </c>
      <c r="B51" t="s">
        <v>56</v>
      </c>
      <c r="C51" t="s">
        <v>47</v>
      </c>
      <c r="D51">
        <v>1</v>
      </c>
      <c r="E51" t="s">
        <v>57</v>
      </c>
      <c r="F51">
        <v>1</v>
      </c>
      <c r="G51" t="str">
        <f t="shared" si="0"/>
        <v>M0111-B-1-1</v>
      </c>
      <c r="H51">
        <v>62</v>
      </c>
      <c r="I51">
        <v>63.5</v>
      </c>
    </row>
    <row r="52" spans="1:9" x14ac:dyDescent="0.3">
      <c r="A52">
        <v>501</v>
      </c>
      <c r="B52" t="s">
        <v>56</v>
      </c>
      <c r="C52" t="s">
        <v>47</v>
      </c>
      <c r="D52">
        <v>1</v>
      </c>
      <c r="E52" t="s">
        <v>57</v>
      </c>
      <c r="F52">
        <v>2</v>
      </c>
      <c r="G52" t="str">
        <f t="shared" si="0"/>
        <v>M0111-B-1-2</v>
      </c>
      <c r="H52">
        <v>63.5</v>
      </c>
      <c r="I52">
        <v>64.239999999999995</v>
      </c>
    </row>
    <row r="53" spans="1:9" x14ac:dyDescent="0.3">
      <c r="A53">
        <v>501</v>
      </c>
      <c r="B53" t="s">
        <v>56</v>
      </c>
      <c r="C53" t="s">
        <v>47</v>
      </c>
      <c r="D53">
        <v>2</v>
      </c>
      <c r="E53" t="s">
        <v>57</v>
      </c>
      <c r="F53">
        <v>1</v>
      </c>
      <c r="G53" t="str">
        <f t="shared" si="0"/>
        <v>M0111-B-2-1</v>
      </c>
      <c r="H53">
        <v>64.14</v>
      </c>
      <c r="I53">
        <v>65.14</v>
      </c>
    </row>
    <row r="54" spans="1:9" x14ac:dyDescent="0.3">
      <c r="A54">
        <v>501</v>
      </c>
      <c r="B54" t="s">
        <v>56</v>
      </c>
      <c r="C54" t="s">
        <v>47</v>
      </c>
      <c r="D54">
        <v>2</v>
      </c>
      <c r="E54" t="s">
        <v>57</v>
      </c>
      <c r="F54">
        <v>2</v>
      </c>
      <c r="G54" t="str">
        <f t="shared" si="0"/>
        <v>M0111-B-2-2</v>
      </c>
      <c r="H54">
        <v>65.14</v>
      </c>
      <c r="I54">
        <v>66.06</v>
      </c>
    </row>
    <row r="55" spans="1:9" x14ac:dyDescent="0.3">
      <c r="A55">
        <v>501</v>
      </c>
      <c r="B55" t="s">
        <v>56</v>
      </c>
      <c r="C55" t="s">
        <v>47</v>
      </c>
      <c r="D55">
        <v>3</v>
      </c>
      <c r="E55" t="s">
        <v>57</v>
      </c>
      <c r="F55">
        <v>1</v>
      </c>
      <c r="G55" t="str">
        <f t="shared" si="0"/>
        <v>M0111-B-3-1</v>
      </c>
      <c r="H55">
        <v>66.06</v>
      </c>
      <c r="I55">
        <v>67.56</v>
      </c>
    </row>
    <row r="56" spans="1:9" x14ac:dyDescent="0.3">
      <c r="A56">
        <v>501</v>
      </c>
      <c r="B56" t="s">
        <v>56</v>
      </c>
      <c r="C56" t="s">
        <v>47</v>
      </c>
      <c r="D56">
        <v>3</v>
      </c>
      <c r="E56" t="s">
        <v>57</v>
      </c>
      <c r="F56">
        <v>2</v>
      </c>
      <c r="G56" t="str">
        <f t="shared" si="0"/>
        <v>M0111-B-3-2</v>
      </c>
      <c r="H56">
        <v>67.56</v>
      </c>
      <c r="I56">
        <v>68.2</v>
      </c>
    </row>
    <row r="57" spans="1:9" x14ac:dyDescent="0.3">
      <c r="A57">
        <v>501</v>
      </c>
      <c r="B57" t="s">
        <v>56</v>
      </c>
      <c r="C57" t="s">
        <v>47</v>
      </c>
      <c r="D57">
        <v>4</v>
      </c>
      <c r="E57" t="s">
        <v>57</v>
      </c>
      <c r="F57">
        <v>1</v>
      </c>
      <c r="G57" t="str">
        <f t="shared" si="0"/>
        <v>M0111-B-4-1</v>
      </c>
      <c r="H57">
        <v>68.2</v>
      </c>
      <c r="I57">
        <v>69.650000000000006</v>
      </c>
    </row>
    <row r="58" spans="1:9" x14ac:dyDescent="0.3">
      <c r="A58">
        <v>501</v>
      </c>
      <c r="B58" t="s">
        <v>56</v>
      </c>
      <c r="C58" t="s">
        <v>47</v>
      </c>
      <c r="D58">
        <v>5</v>
      </c>
      <c r="E58" t="s">
        <v>57</v>
      </c>
      <c r="F58">
        <v>1</v>
      </c>
      <c r="G58" t="str">
        <f t="shared" si="0"/>
        <v>M0111-B-5-1</v>
      </c>
      <c r="H58">
        <v>69.650000000000006</v>
      </c>
      <c r="I58">
        <v>70.540000000000006</v>
      </c>
    </row>
    <row r="59" spans="1:9" x14ac:dyDescent="0.3">
      <c r="A59">
        <v>501</v>
      </c>
      <c r="B59" t="s">
        <v>56</v>
      </c>
      <c r="C59" t="s">
        <v>47</v>
      </c>
      <c r="D59">
        <v>5</v>
      </c>
      <c r="E59" t="s">
        <v>57</v>
      </c>
      <c r="F59">
        <v>2</v>
      </c>
      <c r="G59" t="str">
        <f t="shared" si="0"/>
        <v>M0111-B-5-2</v>
      </c>
      <c r="H59">
        <v>70.540000000000006</v>
      </c>
      <c r="I59">
        <v>71.540000000000006</v>
      </c>
    </row>
    <row r="60" spans="1:9" x14ac:dyDescent="0.3">
      <c r="A60">
        <v>501</v>
      </c>
      <c r="B60" t="s">
        <v>56</v>
      </c>
      <c r="C60" t="s">
        <v>47</v>
      </c>
      <c r="D60">
        <v>6</v>
      </c>
      <c r="E60" t="s">
        <v>57</v>
      </c>
      <c r="F60">
        <v>1</v>
      </c>
      <c r="G60" t="str">
        <f t="shared" si="0"/>
        <v>M0111-B-6-1</v>
      </c>
      <c r="H60">
        <v>71.540000000000006</v>
      </c>
      <c r="I60">
        <v>72.260000000000005</v>
      </c>
    </row>
    <row r="61" spans="1:9" x14ac:dyDescent="0.3">
      <c r="A61">
        <v>501</v>
      </c>
      <c r="B61" t="s">
        <v>56</v>
      </c>
      <c r="C61" t="s">
        <v>47</v>
      </c>
      <c r="D61">
        <v>7</v>
      </c>
      <c r="E61" t="s">
        <v>57</v>
      </c>
      <c r="F61">
        <v>1</v>
      </c>
      <c r="G61" t="str">
        <f t="shared" si="0"/>
        <v>M0111-B-7-1</v>
      </c>
      <c r="H61">
        <v>72.260000000000005</v>
      </c>
      <c r="I61">
        <v>72.760000000000005</v>
      </c>
    </row>
    <row r="62" spans="1:9" x14ac:dyDescent="0.3">
      <c r="A62">
        <v>501</v>
      </c>
      <c r="B62" t="s">
        <v>56</v>
      </c>
      <c r="C62" t="s">
        <v>47</v>
      </c>
      <c r="D62">
        <v>8</v>
      </c>
      <c r="E62" t="s">
        <v>58</v>
      </c>
      <c r="F62">
        <v>1</v>
      </c>
      <c r="G62" t="str">
        <f t="shared" si="0"/>
        <v>M0111-B-8-1</v>
      </c>
      <c r="H62">
        <v>72.760000000000005</v>
      </c>
      <c r="I62">
        <v>72.260000000000005</v>
      </c>
    </row>
    <row r="63" spans="1:9" x14ac:dyDescent="0.3">
      <c r="A63">
        <v>501</v>
      </c>
      <c r="B63" t="s">
        <v>56</v>
      </c>
      <c r="C63" t="s">
        <v>47</v>
      </c>
      <c r="D63">
        <v>9</v>
      </c>
      <c r="E63" t="s">
        <v>34</v>
      </c>
      <c r="F63">
        <v>1</v>
      </c>
      <c r="G63" t="str">
        <f t="shared" si="0"/>
        <v>M0111-B-9-1</v>
      </c>
      <c r="H63">
        <v>72.760000000000005</v>
      </c>
      <c r="I63">
        <v>74.08</v>
      </c>
    </row>
    <row r="64" spans="1:9" x14ac:dyDescent="0.3">
      <c r="A64">
        <v>501</v>
      </c>
      <c r="B64" t="s">
        <v>56</v>
      </c>
      <c r="C64" t="s">
        <v>47</v>
      </c>
      <c r="D64">
        <v>11</v>
      </c>
      <c r="E64" t="s">
        <v>57</v>
      </c>
      <c r="F64">
        <v>1</v>
      </c>
      <c r="G64" t="str">
        <f t="shared" si="0"/>
        <v>M0111-B-11-1</v>
      </c>
      <c r="H64">
        <v>76.400000000000006</v>
      </c>
      <c r="I64">
        <v>76.69</v>
      </c>
    </row>
    <row r="65" spans="1:9" x14ac:dyDescent="0.3">
      <c r="A65">
        <v>501</v>
      </c>
      <c r="B65" t="s">
        <v>56</v>
      </c>
      <c r="C65" t="s">
        <v>47</v>
      </c>
      <c r="D65">
        <v>12</v>
      </c>
      <c r="E65" t="s">
        <v>34</v>
      </c>
      <c r="F65">
        <v>1</v>
      </c>
      <c r="G65" t="str">
        <f t="shared" si="0"/>
        <v>M0111-B-12-1</v>
      </c>
      <c r="H65">
        <v>76.69</v>
      </c>
      <c r="I65">
        <v>77.38</v>
      </c>
    </row>
    <row r="66" spans="1:9" x14ac:dyDescent="0.3">
      <c r="A66">
        <v>501</v>
      </c>
      <c r="B66" t="s">
        <v>56</v>
      </c>
      <c r="C66" t="s">
        <v>47</v>
      </c>
      <c r="D66">
        <v>12</v>
      </c>
      <c r="E66" t="s">
        <v>34</v>
      </c>
      <c r="F66">
        <v>2</v>
      </c>
      <c r="G66" t="str">
        <f t="shared" si="0"/>
        <v>M0111-B-12-2</v>
      </c>
      <c r="H66">
        <v>77.38</v>
      </c>
      <c r="I66">
        <v>77.510000000000005</v>
      </c>
    </row>
    <row r="67" spans="1:9" x14ac:dyDescent="0.3">
      <c r="A67">
        <v>501</v>
      </c>
      <c r="B67" t="s">
        <v>56</v>
      </c>
      <c r="C67" t="s">
        <v>47</v>
      </c>
      <c r="D67">
        <v>13</v>
      </c>
      <c r="E67" t="s">
        <v>34</v>
      </c>
      <c r="F67">
        <v>1</v>
      </c>
      <c r="G67" t="str">
        <f t="shared" ref="G67:G130" si="1">CONCATENATE(B67, "-",C67, "-", D67, "-", F67)</f>
        <v>M0111-B-13-1</v>
      </c>
      <c r="H67">
        <v>79.599999999999994</v>
      </c>
      <c r="I67">
        <v>80.5</v>
      </c>
    </row>
    <row r="68" spans="1:9" x14ac:dyDescent="0.3">
      <c r="A68">
        <v>501</v>
      </c>
      <c r="B68" t="s">
        <v>56</v>
      </c>
      <c r="C68" t="s">
        <v>47</v>
      </c>
      <c r="D68">
        <v>13</v>
      </c>
      <c r="E68" t="s">
        <v>34</v>
      </c>
      <c r="F68">
        <v>2</v>
      </c>
      <c r="G68" t="str">
        <f t="shared" si="1"/>
        <v>M0111-B-13-2</v>
      </c>
      <c r="H68">
        <v>80.5</v>
      </c>
      <c r="I68">
        <v>80.66</v>
      </c>
    </row>
    <row r="69" spans="1:9" x14ac:dyDescent="0.3">
      <c r="A69">
        <v>501</v>
      </c>
      <c r="B69" t="s">
        <v>56</v>
      </c>
      <c r="C69" t="s">
        <v>47</v>
      </c>
      <c r="D69">
        <v>14</v>
      </c>
      <c r="E69" t="s">
        <v>34</v>
      </c>
      <c r="F69">
        <v>1</v>
      </c>
      <c r="G69" t="str">
        <f t="shared" si="1"/>
        <v>M0111-B-14-1</v>
      </c>
      <c r="H69">
        <v>82.6</v>
      </c>
      <c r="I69">
        <v>84.08</v>
      </c>
    </row>
    <row r="70" spans="1:9" x14ac:dyDescent="0.3">
      <c r="A70">
        <v>501</v>
      </c>
      <c r="B70" t="s">
        <v>56</v>
      </c>
      <c r="C70" t="s">
        <v>47</v>
      </c>
      <c r="D70">
        <v>15</v>
      </c>
      <c r="E70" t="s">
        <v>34</v>
      </c>
      <c r="F70">
        <v>1</v>
      </c>
      <c r="G70" t="str">
        <f t="shared" si="1"/>
        <v>M0111-B-15-1</v>
      </c>
      <c r="H70">
        <v>84.6</v>
      </c>
      <c r="I70">
        <v>86.1</v>
      </c>
    </row>
    <row r="71" spans="1:9" x14ac:dyDescent="0.3">
      <c r="A71">
        <v>501</v>
      </c>
      <c r="B71" t="s">
        <v>56</v>
      </c>
      <c r="C71" t="s">
        <v>47</v>
      </c>
      <c r="D71">
        <v>15</v>
      </c>
      <c r="E71" t="s">
        <v>34</v>
      </c>
      <c r="F71">
        <v>2</v>
      </c>
      <c r="G71" t="str">
        <f t="shared" si="1"/>
        <v>M0111-B-15-2</v>
      </c>
      <c r="H71">
        <v>86.1</v>
      </c>
      <c r="I71">
        <v>86.82</v>
      </c>
    </row>
    <row r="72" spans="1:9" x14ac:dyDescent="0.3">
      <c r="A72">
        <v>501</v>
      </c>
      <c r="B72" t="s">
        <v>56</v>
      </c>
      <c r="C72" t="s">
        <v>47</v>
      </c>
      <c r="D72">
        <v>16</v>
      </c>
      <c r="E72" t="s">
        <v>34</v>
      </c>
      <c r="F72">
        <v>1</v>
      </c>
      <c r="G72" t="str">
        <f t="shared" si="1"/>
        <v>M0111-B-16-1</v>
      </c>
      <c r="H72">
        <v>86.6</v>
      </c>
      <c r="I72">
        <v>88</v>
      </c>
    </row>
    <row r="73" spans="1:9" x14ac:dyDescent="0.3">
      <c r="A73">
        <v>501</v>
      </c>
      <c r="B73" t="s">
        <v>56</v>
      </c>
      <c r="C73" t="s">
        <v>47</v>
      </c>
      <c r="D73">
        <v>17</v>
      </c>
      <c r="E73" t="s">
        <v>34</v>
      </c>
      <c r="F73">
        <v>1</v>
      </c>
      <c r="G73" t="str">
        <f t="shared" si="1"/>
        <v>M0111-B-17-1</v>
      </c>
      <c r="H73">
        <v>88.4</v>
      </c>
      <c r="I73">
        <v>89.4</v>
      </c>
    </row>
    <row r="74" spans="1:9" x14ac:dyDescent="0.3">
      <c r="A74">
        <v>501</v>
      </c>
      <c r="B74" t="s">
        <v>56</v>
      </c>
      <c r="C74" t="s">
        <v>47</v>
      </c>
      <c r="D74">
        <v>17</v>
      </c>
      <c r="E74" t="s">
        <v>34</v>
      </c>
      <c r="F74">
        <v>2</v>
      </c>
      <c r="G74" t="str">
        <f t="shared" si="1"/>
        <v>M0111-B-17-2</v>
      </c>
      <c r="H74">
        <v>89.4</v>
      </c>
      <c r="I74">
        <v>90.4</v>
      </c>
    </row>
    <row r="75" spans="1:9" x14ac:dyDescent="0.3">
      <c r="A75">
        <v>501</v>
      </c>
      <c r="B75" t="s">
        <v>56</v>
      </c>
      <c r="C75" t="s">
        <v>47</v>
      </c>
      <c r="D75">
        <v>18</v>
      </c>
      <c r="E75" t="s">
        <v>34</v>
      </c>
      <c r="F75">
        <v>1</v>
      </c>
      <c r="G75" t="str">
        <f t="shared" si="1"/>
        <v>M0111-B-18-1</v>
      </c>
      <c r="H75">
        <v>91.1</v>
      </c>
      <c r="I75">
        <v>92.56</v>
      </c>
    </row>
    <row r="76" spans="1:9" x14ac:dyDescent="0.3">
      <c r="A76">
        <v>501</v>
      </c>
      <c r="B76" t="s">
        <v>56</v>
      </c>
      <c r="C76" t="s">
        <v>47</v>
      </c>
      <c r="D76">
        <v>19</v>
      </c>
      <c r="E76" t="s">
        <v>34</v>
      </c>
      <c r="F76">
        <v>1</v>
      </c>
      <c r="G76" t="str">
        <f t="shared" si="1"/>
        <v>M0111-B-19-1</v>
      </c>
      <c r="H76">
        <v>94.1</v>
      </c>
      <c r="I76">
        <v>94.49</v>
      </c>
    </row>
    <row r="77" spans="1:9" x14ac:dyDescent="0.3">
      <c r="A77">
        <v>501</v>
      </c>
      <c r="B77" t="s">
        <v>56</v>
      </c>
      <c r="C77" t="s">
        <v>47</v>
      </c>
      <c r="D77">
        <v>21</v>
      </c>
      <c r="E77" t="s">
        <v>57</v>
      </c>
      <c r="F77">
        <v>1</v>
      </c>
      <c r="G77" t="str">
        <f t="shared" si="1"/>
        <v>M0111-B-21-1</v>
      </c>
      <c r="H77">
        <v>96.45</v>
      </c>
      <c r="I77">
        <v>97.95</v>
      </c>
    </row>
    <row r="78" spans="1:9" x14ac:dyDescent="0.3">
      <c r="A78">
        <v>501</v>
      </c>
      <c r="B78" t="s">
        <v>56</v>
      </c>
      <c r="C78" t="s">
        <v>47</v>
      </c>
      <c r="D78">
        <v>21</v>
      </c>
      <c r="E78" t="s">
        <v>57</v>
      </c>
      <c r="F78">
        <v>2</v>
      </c>
      <c r="G78" t="str">
        <f t="shared" si="1"/>
        <v>M0111-B-21-2</v>
      </c>
      <c r="H78">
        <v>97.95</v>
      </c>
      <c r="I78">
        <v>98.76</v>
      </c>
    </row>
    <row r="79" spans="1:9" x14ac:dyDescent="0.3">
      <c r="A79">
        <v>501</v>
      </c>
      <c r="B79" t="s">
        <v>56</v>
      </c>
      <c r="C79" t="s">
        <v>47</v>
      </c>
      <c r="D79">
        <v>22</v>
      </c>
      <c r="E79" t="s">
        <v>57</v>
      </c>
      <c r="F79">
        <v>1</v>
      </c>
      <c r="G79" t="str">
        <f t="shared" si="1"/>
        <v>M0111-B-22-1</v>
      </c>
      <c r="H79">
        <v>98.76</v>
      </c>
      <c r="I79">
        <v>99.76</v>
      </c>
    </row>
    <row r="80" spans="1:9" x14ac:dyDescent="0.3">
      <c r="A80">
        <v>501</v>
      </c>
      <c r="B80" t="s">
        <v>56</v>
      </c>
      <c r="C80" t="s">
        <v>47</v>
      </c>
      <c r="D80">
        <v>22</v>
      </c>
      <c r="E80" t="s">
        <v>57</v>
      </c>
      <c r="F80">
        <v>2</v>
      </c>
      <c r="G80" t="str">
        <f t="shared" si="1"/>
        <v>M0111-B-22-2</v>
      </c>
      <c r="H80">
        <v>99.76</v>
      </c>
      <c r="I80">
        <v>100.54</v>
      </c>
    </row>
    <row r="81" spans="1:9" x14ac:dyDescent="0.3">
      <c r="A81">
        <v>501</v>
      </c>
      <c r="B81" t="s">
        <v>56</v>
      </c>
      <c r="C81" t="s">
        <v>47</v>
      </c>
      <c r="D81">
        <v>23</v>
      </c>
      <c r="E81" t="s">
        <v>57</v>
      </c>
      <c r="F81">
        <v>1</v>
      </c>
      <c r="G81" t="str">
        <f t="shared" si="1"/>
        <v>M0111-B-23-1</v>
      </c>
      <c r="H81">
        <v>100.49</v>
      </c>
      <c r="I81">
        <v>101.75</v>
      </c>
    </row>
    <row r="82" spans="1:9" x14ac:dyDescent="0.3">
      <c r="A82">
        <v>501</v>
      </c>
      <c r="B82" t="s">
        <v>56</v>
      </c>
      <c r="C82" t="s">
        <v>47</v>
      </c>
      <c r="D82">
        <v>23</v>
      </c>
      <c r="E82" t="s">
        <v>57</v>
      </c>
      <c r="F82">
        <v>2</v>
      </c>
      <c r="G82" t="str">
        <f t="shared" si="1"/>
        <v>M0111-B-23-2</v>
      </c>
      <c r="H82">
        <v>101.75</v>
      </c>
      <c r="I82">
        <v>101.84</v>
      </c>
    </row>
    <row r="83" spans="1:9" x14ac:dyDescent="0.3">
      <c r="A83">
        <v>501</v>
      </c>
      <c r="B83" t="s">
        <v>56</v>
      </c>
      <c r="C83" t="s">
        <v>47</v>
      </c>
      <c r="D83">
        <v>24</v>
      </c>
      <c r="E83" t="s">
        <v>34</v>
      </c>
      <c r="F83">
        <v>1</v>
      </c>
      <c r="G83" t="str">
        <f t="shared" si="1"/>
        <v>M0111-B-24-1</v>
      </c>
      <c r="H83">
        <v>101.84</v>
      </c>
      <c r="I83">
        <v>102.91</v>
      </c>
    </row>
    <row r="84" spans="1:9" x14ac:dyDescent="0.3">
      <c r="A84">
        <v>501</v>
      </c>
      <c r="B84" t="s">
        <v>56</v>
      </c>
      <c r="C84" t="s">
        <v>47</v>
      </c>
      <c r="D84">
        <v>24</v>
      </c>
      <c r="E84" t="s">
        <v>34</v>
      </c>
      <c r="F84">
        <v>2</v>
      </c>
      <c r="G84" t="str">
        <f t="shared" si="1"/>
        <v>M0111-B-24-2</v>
      </c>
      <c r="H84">
        <v>102.91</v>
      </c>
      <c r="I84">
        <v>103.98</v>
      </c>
    </row>
    <row r="85" spans="1:9" x14ac:dyDescent="0.3">
      <c r="A85">
        <v>501</v>
      </c>
      <c r="B85" t="s">
        <v>56</v>
      </c>
      <c r="C85" t="s">
        <v>47</v>
      </c>
      <c r="D85">
        <v>25</v>
      </c>
      <c r="E85" t="s">
        <v>34</v>
      </c>
      <c r="F85">
        <v>1</v>
      </c>
      <c r="G85" t="str">
        <f t="shared" si="1"/>
        <v>M0111-B-25-1</v>
      </c>
      <c r="H85">
        <v>103.6</v>
      </c>
      <c r="I85">
        <v>103.75</v>
      </c>
    </row>
    <row r="86" spans="1:9" x14ac:dyDescent="0.3">
      <c r="A86">
        <v>501</v>
      </c>
      <c r="B86" t="s">
        <v>56</v>
      </c>
      <c r="C86" t="s">
        <v>47</v>
      </c>
      <c r="D86">
        <v>26</v>
      </c>
      <c r="E86" t="s">
        <v>34</v>
      </c>
      <c r="F86">
        <v>1</v>
      </c>
      <c r="G86" t="str">
        <f t="shared" si="1"/>
        <v>M0111-B-26-1</v>
      </c>
      <c r="H86">
        <v>106.6</v>
      </c>
      <c r="I86">
        <v>108.1</v>
      </c>
    </row>
    <row r="87" spans="1:9" x14ac:dyDescent="0.3">
      <c r="A87">
        <v>501</v>
      </c>
      <c r="B87" t="s">
        <v>56</v>
      </c>
      <c r="C87" t="s">
        <v>47</v>
      </c>
      <c r="D87">
        <v>26</v>
      </c>
      <c r="E87" t="s">
        <v>34</v>
      </c>
      <c r="F87">
        <v>2</v>
      </c>
      <c r="G87" t="str">
        <f t="shared" si="1"/>
        <v>M0111-B-26-2</v>
      </c>
      <c r="H87">
        <v>108.1</v>
      </c>
      <c r="I87">
        <v>109.06</v>
      </c>
    </row>
    <row r="88" spans="1:9" x14ac:dyDescent="0.3">
      <c r="A88">
        <v>501</v>
      </c>
      <c r="B88" t="s">
        <v>56</v>
      </c>
      <c r="C88" t="s">
        <v>47</v>
      </c>
      <c r="D88">
        <v>27</v>
      </c>
      <c r="E88" t="s">
        <v>34</v>
      </c>
      <c r="F88">
        <v>1</v>
      </c>
      <c r="G88" t="str">
        <f t="shared" si="1"/>
        <v>M0111-B-27-1</v>
      </c>
      <c r="H88">
        <v>109.6</v>
      </c>
      <c r="I88">
        <v>111.1</v>
      </c>
    </row>
    <row r="89" spans="1:9" x14ac:dyDescent="0.3">
      <c r="A89">
        <v>501</v>
      </c>
      <c r="B89" t="s">
        <v>56</v>
      </c>
      <c r="C89" t="s">
        <v>47</v>
      </c>
      <c r="D89">
        <v>27</v>
      </c>
      <c r="E89" t="s">
        <v>34</v>
      </c>
      <c r="F89">
        <v>2</v>
      </c>
      <c r="G89" t="str">
        <f t="shared" si="1"/>
        <v>M0111-B-27-2</v>
      </c>
      <c r="H89">
        <v>111.1</v>
      </c>
      <c r="I89">
        <v>112.39</v>
      </c>
    </row>
    <row r="90" spans="1:9" x14ac:dyDescent="0.3">
      <c r="A90">
        <v>501</v>
      </c>
      <c r="B90" t="s">
        <v>56</v>
      </c>
      <c r="C90" t="s">
        <v>47</v>
      </c>
      <c r="D90">
        <v>28</v>
      </c>
      <c r="E90" t="s">
        <v>34</v>
      </c>
      <c r="F90">
        <v>1</v>
      </c>
      <c r="G90" t="str">
        <f t="shared" si="1"/>
        <v>M0111-B-28-1</v>
      </c>
      <c r="H90">
        <v>112.3</v>
      </c>
      <c r="I90">
        <v>113.8</v>
      </c>
    </row>
    <row r="91" spans="1:9" x14ac:dyDescent="0.3">
      <c r="A91">
        <v>501</v>
      </c>
      <c r="B91" t="s">
        <v>56</v>
      </c>
      <c r="C91" t="s">
        <v>47</v>
      </c>
      <c r="D91">
        <v>28</v>
      </c>
      <c r="E91" t="s">
        <v>34</v>
      </c>
      <c r="F91">
        <v>2</v>
      </c>
      <c r="G91" t="str">
        <f t="shared" si="1"/>
        <v>M0111-B-28-2</v>
      </c>
      <c r="H91">
        <v>113.8</v>
      </c>
      <c r="I91">
        <v>115.25</v>
      </c>
    </row>
    <row r="92" spans="1:9" x14ac:dyDescent="0.3">
      <c r="A92">
        <v>501</v>
      </c>
      <c r="B92" t="s">
        <v>56</v>
      </c>
      <c r="C92" t="s">
        <v>47</v>
      </c>
      <c r="D92">
        <v>29</v>
      </c>
      <c r="E92" t="s">
        <v>34</v>
      </c>
      <c r="F92">
        <v>1</v>
      </c>
      <c r="G92" t="str">
        <f t="shared" si="1"/>
        <v>M0111-B-29-1</v>
      </c>
      <c r="H92">
        <v>115.3</v>
      </c>
      <c r="I92">
        <v>116.81</v>
      </c>
    </row>
    <row r="93" spans="1:9" x14ac:dyDescent="0.3">
      <c r="A93">
        <v>501</v>
      </c>
      <c r="B93" t="s">
        <v>56</v>
      </c>
      <c r="C93" t="s">
        <v>47</v>
      </c>
      <c r="D93">
        <v>29</v>
      </c>
      <c r="E93" t="s">
        <v>34</v>
      </c>
      <c r="F93">
        <v>2</v>
      </c>
      <c r="G93" t="str">
        <f t="shared" si="1"/>
        <v>M0111-B-29-2</v>
      </c>
      <c r="H93">
        <v>116.81</v>
      </c>
      <c r="I93">
        <v>117.81</v>
      </c>
    </row>
    <row r="94" spans="1:9" x14ac:dyDescent="0.3">
      <c r="A94">
        <v>501</v>
      </c>
      <c r="B94" t="s">
        <v>56</v>
      </c>
      <c r="C94" t="s">
        <v>47</v>
      </c>
      <c r="D94">
        <v>29</v>
      </c>
      <c r="E94" t="s">
        <v>34</v>
      </c>
      <c r="F94">
        <v>3</v>
      </c>
      <c r="G94" t="str">
        <f t="shared" si="1"/>
        <v>M0111-B-29-3</v>
      </c>
      <c r="H94">
        <v>117.81</v>
      </c>
      <c r="I94">
        <v>118.53</v>
      </c>
    </row>
    <row r="95" spans="1:9" x14ac:dyDescent="0.3">
      <c r="A95">
        <v>501</v>
      </c>
      <c r="B95" t="s">
        <v>56</v>
      </c>
      <c r="C95" t="s">
        <v>47</v>
      </c>
      <c r="D95">
        <v>30</v>
      </c>
      <c r="E95" t="s">
        <v>34</v>
      </c>
      <c r="F95">
        <v>1</v>
      </c>
      <c r="G95" t="str">
        <f t="shared" si="1"/>
        <v>M0111-B-30-1</v>
      </c>
      <c r="H95">
        <v>118.3</v>
      </c>
      <c r="I95">
        <v>119.8</v>
      </c>
    </row>
    <row r="96" spans="1:9" x14ac:dyDescent="0.3">
      <c r="A96">
        <v>501</v>
      </c>
      <c r="B96" t="s">
        <v>56</v>
      </c>
      <c r="C96" t="s">
        <v>47</v>
      </c>
      <c r="D96">
        <v>30</v>
      </c>
      <c r="E96" t="s">
        <v>34</v>
      </c>
      <c r="F96">
        <v>2</v>
      </c>
      <c r="G96" t="str">
        <f t="shared" si="1"/>
        <v>M0111-B-30-2</v>
      </c>
      <c r="H96">
        <v>119.8</v>
      </c>
      <c r="I96">
        <v>120.76</v>
      </c>
    </row>
    <row r="97" spans="1:9" x14ac:dyDescent="0.3">
      <c r="A97">
        <v>501</v>
      </c>
      <c r="B97" t="s">
        <v>56</v>
      </c>
      <c r="C97" t="s">
        <v>47</v>
      </c>
      <c r="D97">
        <v>31</v>
      </c>
      <c r="E97" t="s">
        <v>34</v>
      </c>
      <c r="F97">
        <v>1</v>
      </c>
      <c r="G97" t="str">
        <f t="shared" si="1"/>
        <v>M0111-B-31-1</v>
      </c>
      <c r="H97">
        <v>121.3</v>
      </c>
      <c r="I97">
        <v>122.8</v>
      </c>
    </row>
    <row r="98" spans="1:9" x14ac:dyDescent="0.3">
      <c r="A98">
        <v>501</v>
      </c>
      <c r="B98" t="s">
        <v>56</v>
      </c>
      <c r="C98" t="s">
        <v>47</v>
      </c>
      <c r="D98">
        <v>31</v>
      </c>
      <c r="E98" t="s">
        <v>34</v>
      </c>
      <c r="F98">
        <v>2</v>
      </c>
      <c r="G98" t="str">
        <f t="shared" si="1"/>
        <v>M0111-B-31-2</v>
      </c>
      <c r="H98">
        <v>122.8</v>
      </c>
      <c r="I98">
        <v>123.82</v>
      </c>
    </row>
    <row r="99" spans="1:9" x14ac:dyDescent="0.3">
      <c r="A99">
        <v>501</v>
      </c>
      <c r="B99" t="s">
        <v>56</v>
      </c>
      <c r="C99" t="s">
        <v>47</v>
      </c>
      <c r="D99">
        <v>32</v>
      </c>
      <c r="E99" t="s">
        <v>34</v>
      </c>
      <c r="F99">
        <v>1</v>
      </c>
      <c r="G99" t="str">
        <f t="shared" si="1"/>
        <v>M0111-B-32-1</v>
      </c>
      <c r="H99">
        <v>124.3</v>
      </c>
      <c r="I99">
        <v>124.64</v>
      </c>
    </row>
    <row r="100" spans="1:9" x14ac:dyDescent="0.3">
      <c r="A100">
        <v>501</v>
      </c>
      <c r="B100" t="s">
        <v>56</v>
      </c>
      <c r="C100" t="s">
        <v>47</v>
      </c>
      <c r="D100">
        <v>33</v>
      </c>
      <c r="E100" t="s">
        <v>34</v>
      </c>
      <c r="F100">
        <v>1</v>
      </c>
      <c r="G100" t="str">
        <f t="shared" si="1"/>
        <v>M0111-B-33-1</v>
      </c>
      <c r="H100">
        <v>126.7</v>
      </c>
      <c r="I100">
        <v>127.31</v>
      </c>
    </row>
    <row r="101" spans="1:9" x14ac:dyDescent="0.3">
      <c r="A101">
        <v>501</v>
      </c>
      <c r="B101" t="s">
        <v>56</v>
      </c>
      <c r="C101" t="s">
        <v>47</v>
      </c>
      <c r="D101">
        <v>33</v>
      </c>
      <c r="E101" t="s">
        <v>34</v>
      </c>
      <c r="F101">
        <v>2</v>
      </c>
      <c r="G101" t="str">
        <f t="shared" si="1"/>
        <v>M0111-B-33-2</v>
      </c>
      <c r="H101">
        <v>127.31</v>
      </c>
      <c r="I101">
        <v>127.48</v>
      </c>
    </row>
    <row r="102" spans="1:9" x14ac:dyDescent="0.3">
      <c r="A102">
        <v>501</v>
      </c>
      <c r="B102" t="s">
        <v>56</v>
      </c>
      <c r="C102" t="s">
        <v>47</v>
      </c>
      <c r="D102">
        <v>34</v>
      </c>
      <c r="E102" t="s">
        <v>34</v>
      </c>
      <c r="F102">
        <v>1</v>
      </c>
      <c r="G102" t="str">
        <f t="shared" si="1"/>
        <v>M0111-B-34-1</v>
      </c>
      <c r="H102">
        <v>121.52</v>
      </c>
      <c r="I102">
        <v>122.49</v>
      </c>
    </row>
    <row r="103" spans="1:9" x14ac:dyDescent="0.3">
      <c r="A103">
        <v>501</v>
      </c>
      <c r="B103" t="s">
        <v>56</v>
      </c>
      <c r="C103" t="s">
        <v>47</v>
      </c>
      <c r="D103">
        <v>34</v>
      </c>
      <c r="E103" t="s">
        <v>34</v>
      </c>
      <c r="F103">
        <v>2</v>
      </c>
      <c r="G103" t="str">
        <f t="shared" si="1"/>
        <v>M0111-B-34-2</v>
      </c>
      <c r="H103">
        <v>122.49</v>
      </c>
      <c r="I103">
        <v>123.1</v>
      </c>
    </row>
    <row r="104" spans="1:9" x14ac:dyDescent="0.3">
      <c r="A104">
        <v>501</v>
      </c>
      <c r="B104" t="s">
        <v>56</v>
      </c>
      <c r="C104" t="s">
        <v>47</v>
      </c>
      <c r="D104">
        <v>35</v>
      </c>
      <c r="E104" t="s">
        <v>34</v>
      </c>
      <c r="F104">
        <v>1</v>
      </c>
      <c r="G104" t="str">
        <f t="shared" si="1"/>
        <v>M0111-B-35-1</v>
      </c>
      <c r="H104">
        <v>122.52</v>
      </c>
      <c r="I104">
        <v>124.02</v>
      </c>
    </row>
    <row r="105" spans="1:9" x14ac:dyDescent="0.3">
      <c r="A105">
        <v>501</v>
      </c>
      <c r="B105" t="s">
        <v>56</v>
      </c>
      <c r="C105" t="s">
        <v>47</v>
      </c>
      <c r="D105">
        <v>35</v>
      </c>
      <c r="E105" t="s">
        <v>34</v>
      </c>
      <c r="F105">
        <v>2</v>
      </c>
      <c r="G105" t="str">
        <f t="shared" si="1"/>
        <v>M0111-B-35-2</v>
      </c>
      <c r="H105">
        <v>124.02</v>
      </c>
      <c r="I105">
        <v>125.02</v>
      </c>
    </row>
    <row r="106" spans="1:9" x14ac:dyDescent="0.3">
      <c r="A106">
        <v>501</v>
      </c>
      <c r="B106" t="s">
        <v>56</v>
      </c>
      <c r="C106" t="s">
        <v>47</v>
      </c>
      <c r="D106">
        <v>35</v>
      </c>
      <c r="E106" t="s">
        <v>34</v>
      </c>
      <c r="F106">
        <v>3</v>
      </c>
      <c r="G106" t="str">
        <f t="shared" si="1"/>
        <v>M0111-B-35-3</v>
      </c>
      <c r="H106">
        <v>125.02</v>
      </c>
      <c r="I106">
        <v>125.67</v>
      </c>
    </row>
    <row r="107" spans="1:9" x14ac:dyDescent="0.3">
      <c r="A107">
        <v>501</v>
      </c>
      <c r="B107" t="s">
        <v>56</v>
      </c>
      <c r="C107" t="s">
        <v>47</v>
      </c>
      <c r="D107">
        <v>36</v>
      </c>
      <c r="E107" t="s">
        <v>34</v>
      </c>
      <c r="F107">
        <v>1</v>
      </c>
      <c r="G107" t="str">
        <f t="shared" si="1"/>
        <v>M0111-B-36-1</v>
      </c>
      <c r="H107">
        <v>125.57</v>
      </c>
      <c r="I107">
        <v>126.57</v>
      </c>
    </row>
    <row r="108" spans="1:9" x14ac:dyDescent="0.3">
      <c r="A108">
        <v>501</v>
      </c>
      <c r="B108" t="s">
        <v>56</v>
      </c>
      <c r="C108" t="s">
        <v>47</v>
      </c>
      <c r="D108">
        <v>36</v>
      </c>
      <c r="E108" t="s">
        <v>34</v>
      </c>
      <c r="F108">
        <v>2</v>
      </c>
      <c r="G108" t="str">
        <f t="shared" si="1"/>
        <v>M0111-B-36-2</v>
      </c>
      <c r="H108">
        <v>126.57</v>
      </c>
      <c r="I108">
        <v>127.48</v>
      </c>
    </row>
    <row r="109" spans="1:9" x14ac:dyDescent="0.3">
      <c r="A109">
        <v>501</v>
      </c>
      <c r="B109" t="s">
        <v>56</v>
      </c>
      <c r="C109" t="s">
        <v>47</v>
      </c>
      <c r="D109">
        <v>37</v>
      </c>
      <c r="E109" t="s">
        <v>34</v>
      </c>
      <c r="F109">
        <v>1</v>
      </c>
      <c r="G109" t="str">
        <f t="shared" si="1"/>
        <v>M0111-B-37-1</v>
      </c>
      <c r="H109">
        <v>127.64</v>
      </c>
      <c r="I109">
        <v>128.71</v>
      </c>
    </row>
    <row r="110" spans="1:9" x14ac:dyDescent="0.3">
      <c r="A110">
        <v>501</v>
      </c>
      <c r="B110" t="s">
        <v>56</v>
      </c>
      <c r="C110" t="s">
        <v>47</v>
      </c>
      <c r="D110">
        <v>38</v>
      </c>
      <c r="E110" t="s">
        <v>34</v>
      </c>
      <c r="F110">
        <v>1</v>
      </c>
      <c r="G110" t="str">
        <f t="shared" si="1"/>
        <v>M0111-B-38-1</v>
      </c>
      <c r="H110">
        <v>129.38999999999999</v>
      </c>
      <c r="I110">
        <v>130.88999999999999</v>
      </c>
    </row>
    <row r="111" spans="1:9" x14ac:dyDescent="0.3">
      <c r="A111">
        <v>501</v>
      </c>
      <c r="B111" t="s">
        <v>56</v>
      </c>
      <c r="C111" t="s">
        <v>47</v>
      </c>
      <c r="D111">
        <v>38</v>
      </c>
      <c r="E111" t="s">
        <v>34</v>
      </c>
      <c r="F111">
        <v>2</v>
      </c>
      <c r="G111" t="str">
        <f t="shared" si="1"/>
        <v>M0111-B-38-2</v>
      </c>
      <c r="H111">
        <v>130.88999999999999</v>
      </c>
      <c r="I111">
        <v>131.49</v>
      </c>
    </row>
    <row r="112" spans="1:9" x14ac:dyDescent="0.3">
      <c r="A112">
        <v>501</v>
      </c>
      <c r="B112" t="s">
        <v>56</v>
      </c>
      <c r="C112" t="s">
        <v>47</v>
      </c>
      <c r="D112">
        <v>39</v>
      </c>
      <c r="E112" t="s">
        <v>34</v>
      </c>
      <c r="F112">
        <v>1</v>
      </c>
      <c r="G112" t="str">
        <f t="shared" si="1"/>
        <v>M0111-B-39-1</v>
      </c>
      <c r="H112">
        <v>131.66999999999999</v>
      </c>
      <c r="I112">
        <v>133.16</v>
      </c>
    </row>
    <row r="113" spans="1:9" x14ac:dyDescent="0.3">
      <c r="A113">
        <v>501</v>
      </c>
      <c r="B113" t="s">
        <v>56</v>
      </c>
      <c r="C113" t="s">
        <v>47</v>
      </c>
      <c r="D113">
        <v>39</v>
      </c>
      <c r="E113" t="s">
        <v>34</v>
      </c>
      <c r="F113">
        <v>2</v>
      </c>
      <c r="G113" t="str">
        <f t="shared" si="1"/>
        <v>M0111-B-39-2</v>
      </c>
      <c r="H113">
        <v>133.16</v>
      </c>
      <c r="I113">
        <v>134.46</v>
      </c>
    </row>
    <row r="114" spans="1:9" x14ac:dyDescent="0.3">
      <c r="A114">
        <v>501</v>
      </c>
      <c r="B114" t="s">
        <v>56</v>
      </c>
      <c r="C114" t="s">
        <v>47</v>
      </c>
      <c r="D114">
        <v>40</v>
      </c>
      <c r="E114" t="s">
        <v>34</v>
      </c>
      <c r="F114">
        <v>1</v>
      </c>
      <c r="G114" t="str">
        <f t="shared" si="1"/>
        <v>M0111-B-40-1</v>
      </c>
      <c r="H114">
        <v>134.72</v>
      </c>
      <c r="I114">
        <v>135.87</v>
      </c>
    </row>
    <row r="115" spans="1:9" x14ac:dyDescent="0.3">
      <c r="A115">
        <v>501</v>
      </c>
      <c r="B115" t="s">
        <v>56</v>
      </c>
      <c r="C115" t="s">
        <v>47</v>
      </c>
      <c r="D115">
        <v>41</v>
      </c>
      <c r="E115" t="s">
        <v>34</v>
      </c>
      <c r="F115">
        <v>1</v>
      </c>
      <c r="G115" t="str">
        <f t="shared" si="1"/>
        <v>M0111-B-41-1</v>
      </c>
      <c r="H115">
        <v>137.77000000000001</v>
      </c>
      <c r="I115">
        <v>139.27000000000001</v>
      </c>
    </row>
    <row r="116" spans="1:9" x14ac:dyDescent="0.3">
      <c r="A116">
        <v>501</v>
      </c>
      <c r="B116" t="s">
        <v>56</v>
      </c>
      <c r="C116" t="s">
        <v>47</v>
      </c>
      <c r="D116">
        <v>41</v>
      </c>
      <c r="E116" t="s">
        <v>34</v>
      </c>
      <c r="F116">
        <v>2</v>
      </c>
      <c r="G116" t="str">
        <f t="shared" si="1"/>
        <v>M0111-B-41-2</v>
      </c>
      <c r="H116">
        <v>139.27000000000001</v>
      </c>
      <c r="I116">
        <v>140.22999999999999</v>
      </c>
    </row>
    <row r="117" spans="1:9" x14ac:dyDescent="0.3">
      <c r="A117">
        <v>501</v>
      </c>
      <c r="B117" t="s">
        <v>56</v>
      </c>
      <c r="C117" t="s">
        <v>47</v>
      </c>
      <c r="D117">
        <v>42</v>
      </c>
      <c r="E117" t="s">
        <v>34</v>
      </c>
      <c r="F117">
        <v>1</v>
      </c>
      <c r="G117" t="str">
        <f t="shared" si="1"/>
        <v>M0111-B-42-1</v>
      </c>
      <c r="H117">
        <v>140.82</v>
      </c>
      <c r="I117">
        <v>141.87</v>
      </c>
    </row>
    <row r="118" spans="1:9" x14ac:dyDescent="0.3">
      <c r="A118">
        <v>501</v>
      </c>
      <c r="B118" t="s">
        <v>56</v>
      </c>
      <c r="C118" t="s">
        <v>47</v>
      </c>
      <c r="D118">
        <v>43</v>
      </c>
      <c r="E118" t="s">
        <v>34</v>
      </c>
      <c r="F118">
        <v>1</v>
      </c>
      <c r="G118" t="str">
        <f t="shared" si="1"/>
        <v>M0111-B-43-1</v>
      </c>
      <c r="H118">
        <v>143.87</v>
      </c>
      <c r="I118">
        <v>144.72</v>
      </c>
    </row>
    <row r="119" spans="1:9" x14ac:dyDescent="0.3">
      <c r="A119">
        <v>501</v>
      </c>
      <c r="B119" t="s">
        <v>56</v>
      </c>
      <c r="C119" t="s">
        <v>47</v>
      </c>
      <c r="D119">
        <v>43</v>
      </c>
      <c r="E119" t="s">
        <v>34</v>
      </c>
      <c r="F119">
        <v>2</v>
      </c>
      <c r="G119" t="str">
        <f t="shared" si="1"/>
        <v>M0111-B-43-2</v>
      </c>
      <c r="H119">
        <v>144.72</v>
      </c>
      <c r="I119">
        <v>145.26</v>
      </c>
    </row>
    <row r="120" spans="1:9" x14ac:dyDescent="0.3">
      <c r="A120">
        <v>501</v>
      </c>
      <c r="B120" t="s">
        <v>56</v>
      </c>
      <c r="C120" t="s">
        <v>47</v>
      </c>
      <c r="D120">
        <v>44</v>
      </c>
      <c r="E120" t="s">
        <v>34</v>
      </c>
      <c r="F120">
        <v>1</v>
      </c>
      <c r="G120" t="str">
        <f t="shared" si="1"/>
        <v>M0111-B-44-1</v>
      </c>
      <c r="H120">
        <v>146.11000000000001</v>
      </c>
      <c r="I120">
        <v>147.61000000000001</v>
      </c>
    </row>
    <row r="121" spans="1:9" x14ac:dyDescent="0.3">
      <c r="A121">
        <v>501</v>
      </c>
      <c r="B121" t="s">
        <v>56</v>
      </c>
      <c r="C121" t="s">
        <v>47</v>
      </c>
      <c r="D121">
        <v>44</v>
      </c>
      <c r="E121" t="s">
        <v>34</v>
      </c>
      <c r="F121">
        <v>2</v>
      </c>
      <c r="G121" t="str">
        <f t="shared" si="1"/>
        <v>M0111-B-44-2</v>
      </c>
      <c r="H121">
        <v>147.61000000000001</v>
      </c>
      <c r="I121">
        <v>148.4</v>
      </c>
    </row>
    <row r="122" spans="1:9" x14ac:dyDescent="0.3">
      <c r="A122">
        <v>501</v>
      </c>
      <c r="B122" t="s">
        <v>56</v>
      </c>
      <c r="C122" t="s">
        <v>47</v>
      </c>
      <c r="D122">
        <v>45</v>
      </c>
      <c r="E122" t="s">
        <v>34</v>
      </c>
      <c r="F122">
        <v>1</v>
      </c>
      <c r="G122" t="str">
        <f t="shared" si="1"/>
        <v>M0111-B-45-1</v>
      </c>
      <c r="H122">
        <v>149.16</v>
      </c>
      <c r="I122">
        <v>150.13999999999999</v>
      </c>
    </row>
    <row r="123" spans="1:9" x14ac:dyDescent="0.3">
      <c r="A123">
        <v>501</v>
      </c>
      <c r="B123" t="s">
        <v>56</v>
      </c>
      <c r="C123" t="s">
        <v>47</v>
      </c>
      <c r="D123">
        <v>46</v>
      </c>
      <c r="E123" t="s">
        <v>34</v>
      </c>
      <c r="F123">
        <v>1</v>
      </c>
      <c r="G123" t="str">
        <f t="shared" si="1"/>
        <v>M0111-B-46-1</v>
      </c>
      <c r="H123">
        <v>149.54</v>
      </c>
      <c r="I123">
        <v>151.04</v>
      </c>
    </row>
    <row r="124" spans="1:9" x14ac:dyDescent="0.3">
      <c r="A124">
        <v>501</v>
      </c>
      <c r="B124" t="s">
        <v>56</v>
      </c>
      <c r="C124" t="s">
        <v>47</v>
      </c>
      <c r="D124">
        <v>46</v>
      </c>
      <c r="E124" t="s">
        <v>34</v>
      </c>
      <c r="F124">
        <v>2</v>
      </c>
      <c r="G124" t="str">
        <f t="shared" si="1"/>
        <v>M0111-B-46-2</v>
      </c>
      <c r="H124">
        <v>151.04</v>
      </c>
      <c r="I124">
        <v>152.29</v>
      </c>
    </row>
    <row r="125" spans="1:9" x14ac:dyDescent="0.3">
      <c r="A125">
        <v>501</v>
      </c>
      <c r="B125" t="s">
        <v>56</v>
      </c>
      <c r="C125" t="s">
        <v>47</v>
      </c>
      <c r="D125">
        <v>47</v>
      </c>
      <c r="E125" t="s">
        <v>34</v>
      </c>
      <c r="F125">
        <v>1</v>
      </c>
      <c r="G125" t="str">
        <f t="shared" si="1"/>
        <v>M0111-B-47-1</v>
      </c>
      <c r="H125">
        <v>152.21</v>
      </c>
      <c r="I125">
        <v>153.71</v>
      </c>
    </row>
    <row r="126" spans="1:9" x14ac:dyDescent="0.3">
      <c r="A126">
        <v>501</v>
      </c>
      <c r="B126" t="s">
        <v>56</v>
      </c>
      <c r="C126" t="s">
        <v>47</v>
      </c>
      <c r="D126">
        <v>47</v>
      </c>
      <c r="E126" t="s">
        <v>34</v>
      </c>
      <c r="F126">
        <v>2</v>
      </c>
      <c r="G126" t="str">
        <f t="shared" si="1"/>
        <v>M0111-B-47-2</v>
      </c>
      <c r="H126">
        <v>153.71</v>
      </c>
      <c r="I126">
        <v>154.71</v>
      </c>
    </row>
    <row r="127" spans="1:9" x14ac:dyDescent="0.3">
      <c r="A127">
        <v>501</v>
      </c>
      <c r="B127" t="s">
        <v>56</v>
      </c>
      <c r="C127" t="s">
        <v>47</v>
      </c>
      <c r="D127">
        <v>47</v>
      </c>
      <c r="E127" t="s">
        <v>34</v>
      </c>
      <c r="F127">
        <v>3</v>
      </c>
      <c r="G127" t="str">
        <f t="shared" si="1"/>
        <v>M0111-B-47-3</v>
      </c>
      <c r="H127">
        <v>154.71</v>
      </c>
      <c r="I127">
        <v>155.35</v>
      </c>
    </row>
    <row r="128" spans="1:9" x14ac:dyDescent="0.3">
      <c r="A128">
        <v>501</v>
      </c>
      <c r="B128" t="s">
        <v>56</v>
      </c>
      <c r="C128" t="s">
        <v>47</v>
      </c>
      <c r="D128">
        <v>48</v>
      </c>
      <c r="E128" t="s">
        <v>34</v>
      </c>
      <c r="F128">
        <v>1</v>
      </c>
      <c r="G128" t="str">
        <f t="shared" si="1"/>
        <v>M0111-B-48-1</v>
      </c>
      <c r="H128">
        <v>155.26</v>
      </c>
      <c r="I128">
        <v>155.72999999999999</v>
      </c>
    </row>
    <row r="129" spans="1:9" x14ac:dyDescent="0.3">
      <c r="A129">
        <v>501</v>
      </c>
      <c r="B129" t="s">
        <v>56</v>
      </c>
      <c r="C129" t="s">
        <v>47</v>
      </c>
      <c r="D129">
        <v>49</v>
      </c>
      <c r="E129" t="s">
        <v>34</v>
      </c>
      <c r="F129">
        <v>1</v>
      </c>
      <c r="G129" t="str">
        <f t="shared" si="1"/>
        <v>M0111-B-49-1</v>
      </c>
      <c r="H129">
        <v>158.31</v>
      </c>
      <c r="I129">
        <v>158.5</v>
      </c>
    </row>
    <row r="130" spans="1:9" x14ac:dyDescent="0.3">
      <c r="A130">
        <v>501</v>
      </c>
      <c r="B130" t="s">
        <v>56</v>
      </c>
      <c r="C130" t="s">
        <v>47</v>
      </c>
      <c r="D130">
        <v>50</v>
      </c>
      <c r="E130" t="s">
        <v>34</v>
      </c>
      <c r="F130">
        <v>1</v>
      </c>
      <c r="G130" t="str">
        <f t="shared" si="1"/>
        <v>M0111-B-50-1</v>
      </c>
      <c r="H130">
        <v>158.56</v>
      </c>
      <c r="I130">
        <v>158.75</v>
      </c>
    </row>
    <row r="131" spans="1:9" x14ac:dyDescent="0.3">
      <c r="A131">
        <v>501</v>
      </c>
      <c r="B131" t="s">
        <v>56</v>
      </c>
      <c r="C131" t="s">
        <v>47</v>
      </c>
      <c r="D131">
        <v>51</v>
      </c>
      <c r="E131" t="s">
        <v>34</v>
      </c>
      <c r="F131">
        <v>1</v>
      </c>
      <c r="G131" t="str">
        <f t="shared" ref="G131:G247" si="2">CONCATENATE(B131, "-",C131, "-", D131, "-", F131)</f>
        <v>M0111-B-51-1</v>
      </c>
      <c r="H131">
        <v>161.36000000000001</v>
      </c>
      <c r="I131">
        <v>161.96</v>
      </c>
    </row>
    <row r="132" spans="1:9" x14ac:dyDescent="0.3">
      <c r="A132">
        <v>501</v>
      </c>
      <c r="B132" t="s">
        <v>56</v>
      </c>
      <c r="C132" t="s">
        <v>47</v>
      </c>
      <c r="D132">
        <v>52</v>
      </c>
      <c r="E132" t="s">
        <v>34</v>
      </c>
      <c r="F132">
        <v>1</v>
      </c>
      <c r="G132" t="str">
        <f t="shared" si="2"/>
        <v>M0111-B-52-1</v>
      </c>
      <c r="H132">
        <v>162.06</v>
      </c>
      <c r="I132">
        <v>162.32</v>
      </c>
    </row>
    <row r="133" spans="1:9" x14ac:dyDescent="0.3">
      <c r="A133">
        <v>501</v>
      </c>
      <c r="B133" t="s">
        <v>56</v>
      </c>
      <c r="C133" t="s">
        <v>47</v>
      </c>
      <c r="D133">
        <v>53</v>
      </c>
      <c r="E133" t="s">
        <v>34</v>
      </c>
      <c r="F133">
        <v>1</v>
      </c>
      <c r="G133" t="str">
        <f t="shared" si="2"/>
        <v>M0111-B-53-1</v>
      </c>
      <c r="H133">
        <v>163.84</v>
      </c>
      <c r="I133">
        <v>164.1</v>
      </c>
    </row>
    <row r="134" spans="1:9" x14ac:dyDescent="0.3">
      <c r="A134">
        <v>501</v>
      </c>
      <c r="B134" t="s">
        <v>56</v>
      </c>
      <c r="C134" t="s">
        <v>47</v>
      </c>
      <c r="D134">
        <v>54</v>
      </c>
      <c r="E134" t="s">
        <v>34</v>
      </c>
      <c r="F134">
        <v>1</v>
      </c>
      <c r="G134" t="str">
        <f t="shared" si="2"/>
        <v>M0111-B-54-1</v>
      </c>
      <c r="H134">
        <v>165.46</v>
      </c>
      <c r="I134">
        <v>165.84</v>
      </c>
    </row>
    <row r="135" spans="1:9" x14ac:dyDescent="0.3">
      <c r="A135">
        <v>501</v>
      </c>
      <c r="B135" t="s">
        <v>56</v>
      </c>
      <c r="C135" t="s">
        <v>47</v>
      </c>
      <c r="D135">
        <v>55</v>
      </c>
      <c r="E135" t="s">
        <v>34</v>
      </c>
      <c r="F135">
        <v>1</v>
      </c>
      <c r="G135" t="str">
        <f t="shared" si="2"/>
        <v>M0111-B-55-1</v>
      </c>
      <c r="H135">
        <v>165.81</v>
      </c>
      <c r="I135">
        <v>166.31</v>
      </c>
    </row>
    <row r="136" spans="1:9" x14ac:dyDescent="0.3">
      <c r="A136">
        <v>501</v>
      </c>
      <c r="B136" t="s">
        <v>56</v>
      </c>
      <c r="C136" t="s">
        <v>47</v>
      </c>
      <c r="D136">
        <v>56</v>
      </c>
      <c r="E136" t="s">
        <v>34</v>
      </c>
      <c r="F136">
        <v>1</v>
      </c>
      <c r="G136" t="str">
        <f t="shared" si="2"/>
        <v>M0111-B-56-1</v>
      </c>
      <c r="H136">
        <v>166.21</v>
      </c>
      <c r="I136">
        <v>166.52</v>
      </c>
    </row>
    <row r="137" spans="1:9" x14ac:dyDescent="0.3">
      <c r="A137">
        <v>501</v>
      </c>
      <c r="B137" t="s">
        <v>56</v>
      </c>
      <c r="C137" t="s">
        <v>47</v>
      </c>
      <c r="D137">
        <v>57</v>
      </c>
      <c r="E137" t="s">
        <v>34</v>
      </c>
      <c r="F137">
        <v>1</v>
      </c>
      <c r="G137" t="str">
        <f t="shared" si="2"/>
        <v>M0111-B-57-1</v>
      </c>
      <c r="H137">
        <v>167.46</v>
      </c>
      <c r="I137">
        <v>168.16</v>
      </c>
    </row>
    <row r="138" spans="1:9" x14ac:dyDescent="0.3">
      <c r="A138">
        <v>501</v>
      </c>
      <c r="B138" t="s">
        <v>56</v>
      </c>
      <c r="C138" t="s">
        <v>47</v>
      </c>
      <c r="D138">
        <v>58</v>
      </c>
      <c r="E138" t="s">
        <v>34</v>
      </c>
      <c r="F138">
        <v>1</v>
      </c>
      <c r="G138" t="str">
        <f t="shared" si="2"/>
        <v>M0111-B-58-1</v>
      </c>
      <c r="H138">
        <v>168.51</v>
      </c>
      <c r="I138">
        <v>169.33</v>
      </c>
    </row>
    <row r="139" spans="1:9" x14ac:dyDescent="0.3">
      <c r="A139">
        <v>501</v>
      </c>
      <c r="B139" t="s">
        <v>56</v>
      </c>
      <c r="C139" t="s">
        <v>47</v>
      </c>
      <c r="D139">
        <v>59</v>
      </c>
      <c r="E139" t="s">
        <v>34</v>
      </c>
      <c r="F139">
        <v>1</v>
      </c>
      <c r="G139" t="str">
        <f t="shared" si="2"/>
        <v>M0111-B-59-1</v>
      </c>
      <c r="H139">
        <v>169.51</v>
      </c>
      <c r="I139">
        <v>170.22</v>
      </c>
    </row>
    <row r="140" spans="1:9" x14ac:dyDescent="0.3">
      <c r="A140">
        <v>501</v>
      </c>
      <c r="B140" t="s">
        <v>56</v>
      </c>
      <c r="C140" t="s">
        <v>47</v>
      </c>
      <c r="D140">
        <v>59</v>
      </c>
      <c r="E140" t="s">
        <v>34</v>
      </c>
      <c r="F140">
        <v>2</v>
      </c>
      <c r="G140" t="str">
        <f t="shared" si="2"/>
        <v>M0111-B-59-2</v>
      </c>
      <c r="H140">
        <v>170.22</v>
      </c>
      <c r="I140">
        <v>170.76</v>
      </c>
    </row>
    <row r="141" spans="1:9" x14ac:dyDescent="0.3">
      <c r="A141">
        <v>501</v>
      </c>
      <c r="B141" t="s">
        <v>56</v>
      </c>
      <c r="C141" t="s">
        <v>47</v>
      </c>
      <c r="D141">
        <v>59</v>
      </c>
      <c r="E141" t="s">
        <v>34</v>
      </c>
      <c r="F141">
        <v>3</v>
      </c>
      <c r="G141" t="str">
        <f t="shared" si="2"/>
        <v>M0111-B-59-3</v>
      </c>
      <c r="H141">
        <v>170.76</v>
      </c>
      <c r="I141">
        <v>170.9</v>
      </c>
    </row>
    <row r="142" spans="1:9" x14ac:dyDescent="0.3">
      <c r="A142">
        <v>501</v>
      </c>
      <c r="B142" t="s">
        <v>56</v>
      </c>
      <c r="C142" t="s">
        <v>47</v>
      </c>
      <c r="D142">
        <v>60</v>
      </c>
      <c r="E142" t="s">
        <v>34</v>
      </c>
      <c r="F142">
        <v>1</v>
      </c>
      <c r="G142" t="str">
        <f t="shared" si="2"/>
        <v>M0111-B-60-1</v>
      </c>
      <c r="H142">
        <v>172.56</v>
      </c>
      <c r="I142">
        <v>173.28</v>
      </c>
    </row>
    <row r="143" spans="1:9" x14ac:dyDescent="0.3">
      <c r="A143">
        <v>501</v>
      </c>
      <c r="B143" t="s">
        <v>56</v>
      </c>
      <c r="C143" t="s">
        <v>47</v>
      </c>
      <c r="D143">
        <v>60</v>
      </c>
      <c r="E143" t="s">
        <v>34</v>
      </c>
      <c r="F143">
        <v>2</v>
      </c>
      <c r="G143" t="str">
        <f t="shared" si="2"/>
        <v>M0111-B-60-2</v>
      </c>
      <c r="H143">
        <v>173.28</v>
      </c>
      <c r="I143">
        <v>174.76</v>
      </c>
    </row>
    <row r="144" spans="1:9" x14ac:dyDescent="0.3">
      <c r="A144">
        <v>501</v>
      </c>
      <c r="B144" t="s">
        <v>56</v>
      </c>
      <c r="C144" t="s">
        <v>47</v>
      </c>
      <c r="D144">
        <v>60</v>
      </c>
      <c r="E144" t="s">
        <v>34</v>
      </c>
      <c r="F144">
        <v>3</v>
      </c>
      <c r="G144" t="str">
        <f t="shared" si="2"/>
        <v>M0111-B-60-3</v>
      </c>
      <c r="H144">
        <v>174.76</v>
      </c>
      <c r="I144">
        <v>175.58</v>
      </c>
    </row>
    <row r="145" spans="1:9" x14ac:dyDescent="0.3">
      <c r="A145">
        <v>501</v>
      </c>
      <c r="B145" t="s">
        <v>56</v>
      </c>
      <c r="C145" t="s">
        <v>47</v>
      </c>
      <c r="D145">
        <v>60</v>
      </c>
      <c r="E145" t="s">
        <v>34</v>
      </c>
      <c r="F145">
        <v>4</v>
      </c>
      <c r="G145" t="str">
        <f t="shared" si="2"/>
        <v>M0111-B-60-4</v>
      </c>
      <c r="H145">
        <v>175.58</v>
      </c>
      <c r="I145">
        <v>175.78</v>
      </c>
    </row>
    <row r="146" spans="1:9" x14ac:dyDescent="0.3">
      <c r="A146">
        <v>501</v>
      </c>
      <c r="B146" t="s">
        <v>56</v>
      </c>
      <c r="C146" t="s">
        <v>47</v>
      </c>
      <c r="D146">
        <v>61</v>
      </c>
      <c r="E146" t="s">
        <v>34</v>
      </c>
      <c r="F146">
        <v>1</v>
      </c>
      <c r="G146" t="str">
        <f t="shared" si="2"/>
        <v>M0111-B-61-1</v>
      </c>
      <c r="H146">
        <v>175.61</v>
      </c>
      <c r="I146">
        <v>177.11</v>
      </c>
    </row>
    <row r="147" spans="1:9" x14ac:dyDescent="0.3">
      <c r="A147">
        <v>501</v>
      </c>
      <c r="B147" t="s">
        <v>56</v>
      </c>
      <c r="C147" t="s">
        <v>47</v>
      </c>
      <c r="D147">
        <v>61</v>
      </c>
      <c r="E147" t="s">
        <v>34</v>
      </c>
      <c r="F147">
        <v>2</v>
      </c>
      <c r="G147" t="str">
        <f t="shared" si="2"/>
        <v>M0111-B-61-2</v>
      </c>
      <c r="H147">
        <v>177.11</v>
      </c>
      <c r="I147">
        <v>178.11</v>
      </c>
    </row>
    <row r="148" spans="1:9" x14ac:dyDescent="0.3">
      <c r="A148">
        <v>501</v>
      </c>
      <c r="B148" t="s">
        <v>56</v>
      </c>
      <c r="C148" t="s">
        <v>47</v>
      </c>
      <c r="D148">
        <v>61</v>
      </c>
      <c r="E148" t="s">
        <v>34</v>
      </c>
      <c r="F148">
        <v>3</v>
      </c>
      <c r="G148" t="str">
        <f t="shared" si="2"/>
        <v>M0111-B-61-3</v>
      </c>
      <c r="H148">
        <v>178.11</v>
      </c>
      <c r="I148">
        <v>178.68</v>
      </c>
    </row>
    <row r="149" spans="1:9" x14ac:dyDescent="0.3">
      <c r="A149">
        <v>501</v>
      </c>
      <c r="B149" t="s">
        <v>56</v>
      </c>
      <c r="C149" t="s">
        <v>47</v>
      </c>
      <c r="D149">
        <v>61</v>
      </c>
      <c r="E149" t="s">
        <v>34</v>
      </c>
      <c r="F149">
        <v>4</v>
      </c>
      <c r="G149" t="str">
        <f t="shared" si="2"/>
        <v>M0111-B-61-4</v>
      </c>
      <c r="H149">
        <v>178.68</v>
      </c>
      <c r="I149">
        <v>178.85</v>
      </c>
    </row>
    <row r="150" spans="1:9" x14ac:dyDescent="0.3">
      <c r="A150">
        <v>501</v>
      </c>
      <c r="B150" t="s">
        <v>56</v>
      </c>
      <c r="C150" t="s">
        <v>47</v>
      </c>
      <c r="D150">
        <v>62</v>
      </c>
      <c r="E150" t="s">
        <v>34</v>
      </c>
      <c r="F150">
        <v>1</v>
      </c>
      <c r="G150" t="str">
        <f t="shared" si="2"/>
        <v>M0111-B-62-1</v>
      </c>
      <c r="H150">
        <v>178.66</v>
      </c>
      <c r="I150">
        <v>180.16</v>
      </c>
    </row>
    <row r="151" spans="1:9" x14ac:dyDescent="0.3">
      <c r="A151">
        <v>501</v>
      </c>
      <c r="B151" t="s">
        <v>56</v>
      </c>
      <c r="C151" t="s">
        <v>47</v>
      </c>
      <c r="D151">
        <v>63</v>
      </c>
      <c r="E151" t="s">
        <v>34</v>
      </c>
      <c r="F151">
        <v>1</v>
      </c>
      <c r="G151" t="str">
        <f t="shared" si="2"/>
        <v>M0111-B-63-1</v>
      </c>
      <c r="H151">
        <v>181.71</v>
      </c>
      <c r="I151">
        <v>183.21</v>
      </c>
    </row>
    <row r="152" spans="1:9" x14ac:dyDescent="0.3">
      <c r="A152">
        <v>501</v>
      </c>
      <c r="B152" t="s">
        <v>56</v>
      </c>
      <c r="C152" t="s">
        <v>47</v>
      </c>
      <c r="D152">
        <v>63</v>
      </c>
      <c r="E152" t="s">
        <v>34</v>
      </c>
      <c r="F152">
        <v>2</v>
      </c>
      <c r="G152" t="str">
        <f t="shared" si="2"/>
        <v>M0111-B-63-2</v>
      </c>
      <c r="H152">
        <v>183.21</v>
      </c>
      <c r="I152">
        <v>184.21</v>
      </c>
    </row>
    <row r="153" spans="1:9" x14ac:dyDescent="0.3">
      <c r="A153">
        <v>501</v>
      </c>
      <c r="B153" t="s">
        <v>56</v>
      </c>
      <c r="C153" t="s">
        <v>47</v>
      </c>
      <c r="D153">
        <v>63</v>
      </c>
      <c r="E153" t="s">
        <v>34</v>
      </c>
      <c r="F153">
        <v>3</v>
      </c>
      <c r="G153" t="str">
        <f t="shared" si="2"/>
        <v>M0111-B-63-3</v>
      </c>
      <c r="H153">
        <v>184.21</v>
      </c>
      <c r="I153">
        <v>184.79</v>
      </c>
    </row>
    <row r="154" spans="1:9" x14ac:dyDescent="0.3">
      <c r="A154">
        <v>501</v>
      </c>
      <c r="B154" t="s">
        <v>56</v>
      </c>
      <c r="C154" t="s">
        <v>47</v>
      </c>
      <c r="D154">
        <v>63</v>
      </c>
      <c r="E154" t="s">
        <v>34</v>
      </c>
      <c r="F154">
        <v>4</v>
      </c>
      <c r="G154" t="str">
        <f t="shared" si="2"/>
        <v>M0111-B-63-4</v>
      </c>
      <c r="H154">
        <v>184.79</v>
      </c>
      <c r="I154">
        <v>184.92</v>
      </c>
    </row>
    <row r="155" spans="1:9" x14ac:dyDescent="0.3">
      <c r="A155">
        <v>501</v>
      </c>
      <c r="B155" t="s">
        <v>56</v>
      </c>
      <c r="C155" t="s">
        <v>47</v>
      </c>
      <c r="D155">
        <v>64</v>
      </c>
      <c r="E155" t="s">
        <v>34</v>
      </c>
      <c r="F155">
        <v>1</v>
      </c>
      <c r="G155" t="str">
        <f t="shared" si="2"/>
        <v>M0111-B-64-1</v>
      </c>
      <c r="H155">
        <v>184.76</v>
      </c>
      <c r="I155">
        <v>185.33</v>
      </c>
    </row>
    <row r="156" spans="1:9" x14ac:dyDescent="0.3">
      <c r="A156">
        <v>501</v>
      </c>
      <c r="B156" t="s">
        <v>56</v>
      </c>
      <c r="C156" t="s">
        <v>47</v>
      </c>
      <c r="D156">
        <v>64</v>
      </c>
      <c r="E156" t="s">
        <v>34</v>
      </c>
      <c r="F156">
        <v>2</v>
      </c>
      <c r="G156" t="str">
        <f t="shared" si="2"/>
        <v>M0111-B-64-2</v>
      </c>
      <c r="H156">
        <v>185.33</v>
      </c>
      <c r="I156">
        <v>185.66</v>
      </c>
    </row>
    <row r="157" spans="1:9" x14ac:dyDescent="0.3">
      <c r="A157">
        <v>501</v>
      </c>
      <c r="B157" t="s">
        <v>56</v>
      </c>
      <c r="C157" t="s">
        <v>47</v>
      </c>
      <c r="D157">
        <v>65</v>
      </c>
      <c r="E157" t="s">
        <v>34</v>
      </c>
      <c r="F157">
        <v>1</v>
      </c>
      <c r="G157" t="str">
        <f t="shared" si="2"/>
        <v>M0111-B-65-1</v>
      </c>
      <c r="H157">
        <v>187.81</v>
      </c>
      <c r="I157">
        <v>189.3</v>
      </c>
    </row>
    <row r="158" spans="1:9" x14ac:dyDescent="0.3">
      <c r="A158">
        <v>501</v>
      </c>
      <c r="B158" t="s">
        <v>56</v>
      </c>
      <c r="C158" t="s">
        <v>47</v>
      </c>
      <c r="D158">
        <v>65</v>
      </c>
      <c r="E158" t="s">
        <v>34</v>
      </c>
      <c r="F158">
        <v>2</v>
      </c>
      <c r="G158" t="str">
        <f t="shared" si="2"/>
        <v>M0111-B-65-2</v>
      </c>
      <c r="H158">
        <v>189.3</v>
      </c>
      <c r="I158">
        <v>190.22</v>
      </c>
    </row>
    <row r="159" spans="1:9" x14ac:dyDescent="0.3">
      <c r="A159">
        <v>501</v>
      </c>
      <c r="B159" t="s">
        <v>56</v>
      </c>
      <c r="C159" t="s">
        <v>47</v>
      </c>
      <c r="D159">
        <v>65</v>
      </c>
      <c r="E159" t="s">
        <v>34</v>
      </c>
      <c r="F159">
        <v>3</v>
      </c>
      <c r="G159" t="str">
        <f t="shared" si="2"/>
        <v>M0111-B-65-3</v>
      </c>
      <c r="H159">
        <v>190.22</v>
      </c>
      <c r="I159">
        <v>190.87</v>
      </c>
    </row>
    <row r="160" spans="1:9" x14ac:dyDescent="0.3">
      <c r="A160">
        <v>501</v>
      </c>
      <c r="B160" t="s">
        <v>56</v>
      </c>
      <c r="C160" t="s">
        <v>47</v>
      </c>
      <c r="D160">
        <v>65</v>
      </c>
      <c r="E160" t="s">
        <v>34</v>
      </c>
      <c r="F160">
        <v>4</v>
      </c>
      <c r="G160" t="str">
        <f t="shared" si="2"/>
        <v>M0111-B-65-4</v>
      </c>
      <c r="H160">
        <v>190.87</v>
      </c>
      <c r="I160">
        <v>190.98</v>
      </c>
    </row>
    <row r="161" spans="1:9" x14ac:dyDescent="0.3">
      <c r="A161">
        <v>501</v>
      </c>
      <c r="B161" t="s">
        <v>56</v>
      </c>
      <c r="C161" t="s">
        <v>47</v>
      </c>
      <c r="D161">
        <v>66</v>
      </c>
      <c r="E161" t="s">
        <v>34</v>
      </c>
      <c r="F161">
        <v>1</v>
      </c>
      <c r="G161" t="str">
        <f t="shared" si="2"/>
        <v>M0111-B-66-1</v>
      </c>
      <c r="H161">
        <v>190.86</v>
      </c>
      <c r="I161">
        <v>192.35</v>
      </c>
    </row>
    <row r="162" spans="1:9" x14ac:dyDescent="0.3">
      <c r="A162">
        <v>501</v>
      </c>
      <c r="B162" t="s">
        <v>56</v>
      </c>
      <c r="C162" t="s">
        <v>47</v>
      </c>
      <c r="D162">
        <v>66</v>
      </c>
      <c r="E162" t="s">
        <v>34</v>
      </c>
      <c r="F162">
        <v>2</v>
      </c>
      <c r="G162" t="str">
        <f t="shared" si="2"/>
        <v>M0111-B-66-2</v>
      </c>
      <c r="H162">
        <v>192.35</v>
      </c>
      <c r="I162">
        <v>193.25</v>
      </c>
    </row>
    <row r="163" spans="1:9" x14ac:dyDescent="0.3">
      <c r="A163">
        <v>501</v>
      </c>
      <c r="B163" t="s">
        <v>56</v>
      </c>
      <c r="C163" t="s">
        <v>47</v>
      </c>
      <c r="D163">
        <v>66</v>
      </c>
      <c r="E163" t="s">
        <v>34</v>
      </c>
      <c r="F163">
        <v>3</v>
      </c>
      <c r="G163" t="str">
        <f t="shared" si="2"/>
        <v>M0111-B-66-3</v>
      </c>
      <c r="H163">
        <v>193.25</v>
      </c>
      <c r="I163">
        <v>193.93</v>
      </c>
    </row>
    <row r="164" spans="1:9" x14ac:dyDescent="0.3">
      <c r="A164">
        <v>501</v>
      </c>
      <c r="B164" t="s">
        <v>56</v>
      </c>
      <c r="C164" t="s">
        <v>47</v>
      </c>
      <c r="D164">
        <v>66</v>
      </c>
      <c r="E164" t="s">
        <v>34</v>
      </c>
      <c r="F164">
        <v>4</v>
      </c>
      <c r="G164" t="str">
        <f t="shared" si="2"/>
        <v>M0111-B-66-4</v>
      </c>
      <c r="H164">
        <v>193.93</v>
      </c>
      <c r="I164">
        <v>194.05</v>
      </c>
    </row>
    <row r="165" spans="1:9" x14ac:dyDescent="0.3">
      <c r="A165">
        <v>501</v>
      </c>
      <c r="B165" t="s">
        <v>56</v>
      </c>
      <c r="C165" t="s">
        <v>47</v>
      </c>
      <c r="D165">
        <v>67</v>
      </c>
      <c r="E165" t="s">
        <v>34</v>
      </c>
      <c r="F165">
        <v>1</v>
      </c>
      <c r="G165" t="str">
        <f t="shared" si="2"/>
        <v>M0111-B-67-1</v>
      </c>
      <c r="H165">
        <v>193.91</v>
      </c>
      <c r="I165">
        <v>195.4</v>
      </c>
    </row>
    <row r="166" spans="1:9" x14ac:dyDescent="0.3">
      <c r="A166">
        <v>501</v>
      </c>
      <c r="B166" t="s">
        <v>56</v>
      </c>
      <c r="C166" t="s">
        <v>47</v>
      </c>
      <c r="D166">
        <v>67</v>
      </c>
      <c r="E166" t="s">
        <v>34</v>
      </c>
      <c r="F166">
        <v>2</v>
      </c>
      <c r="G166" t="str">
        <f t="shared" si="2"/>
        <v>M0111-B-67-2</v>
      </c>
      <c r="H166">
        <v>195.4</v>
      </c>
      <c r="I166">
        <v>196.23</v>
      </c>
    </row>
    <row r="167" spans="1:9" x14ac:dyDescent="0.3">
      <c r="A167">
        <v>501</v>
      </c>
      <c r="B167" t="s">
        <v>56</v>
      </c>
      <c r="C167" t="s">
        <v>47</v>
      </c>
      <c r="D167">
        <v>67</v>
      </c>
      <c r="E167" t="s">
        <v>34</v>
      </c>
      <c r="F167">
        <v>3</v>
      </c>
      <c r="G167" t="str">
        <f t="shared" si="2"/>
        <v>M0111-B-67-3</v>
      </c>
      <c r="H167">
        <v>196.23</v>
      </c>
      <c r="I167">
        <v>196.33</v>
      </c>
    </row>
    <row r="168" spans="1:9" x14ac:dyDescent="0.3">
      <c r="A168">
        <v>501</v>
      </c>
      <c r="B168" t="s">
        <v>56</v>
      </c>
      <c r="C168" t="s">
        <v>47</v>
      </c>
      <c r="D168">
        <v>68</v>
      </c>
      <c r="E168" t="s">
        <v>34</v>
      </c>
      <c r="F168">
        <v>1</v>
      </c>
      <c r="G168" t="str">
        <f t="shared" si="2"/>
        <v>M0111-B-68-1</v>
      </c>
      <c r="H168">
        <v>196.96</v>
      </c>
      <c r="I168">
        <v>198.46</v>
      </c>
    </row>
    <row r="169" spans="1:9" x14ac:dyDescent="0.3">
      <c r="A169">
        <v>501</v>
      </c>
      <c r="B169" t="s">
        <v>56</v>
      </c>
      <c r="C169" t="s">
        <v>47</v>
      </c>
      <c r="D169">
        <v>68</v>
      </c>
      <c r="E169" t="s">
        <v>34</v>
      </c>
      <c r="F169">
        <v>2</v>
      </c>
      <c r="G169" t="str">
        <f t="shared" si="2"/>
        <v>M0111-B-68-2</v>
      </c>
      <c r="H169">
        <v>198.46</v>
      </c>
      <c r="I169">
        <v>199.67</v>
      </c>
    </row>
    <row r="170" spans="1:9" x14ac:dyDescent="0.3">
      <c r="A170">
        <v>501</v>
      </c>
      <c r="B170" t="s">
        <v>56</v>
      </c>
      <c r="C170" t="s">
        <v>47</v>
      </c>
      <c r="D170">
        <v>69</v>
      </c>
      <c r="E170" t="s">
        <v>34</v>
      </c>
      <c r="F170">
        <v>1</v>
      </c>
      <c r="G170" t="str">
        <f t="shared" si="2"/>
        <v>M0111-B-69-1</v>
      </c>
      <c r="H170">
        <v>200.01</v>
      </c>
      <c r="I170">
        <v>201.51</v>
      </c>
    </row>
    <row r="171" spans="1:9" x14ac:dyDescent="0.3">
      <c r="A171">
        <v>501</v>
      </c>
      <c r="B171" t="s">
        <v>56</v>
      </c>
      <c r="C171" t="s">
        <v>47</v>
      </c>
      <c r="D171">
        <v>69</v>
      </c>
      <c r="E171" t="s">
        <v>34</v>
      </c>
      <c r="F171">
        <v>2</v>
      </c>
      <c r="G171" t="str">
        <f t="shared" si="2"/>
        <v>M0111-B-69-2</v>
      </c>
      <c r="H171">
        <v>201.51</v>
      </c>
      <c r="I171">
        <v>202.99</v>
      </c>
    </row>
    <row r="172" spans="1:9" x14ac:dyDescent="0.3">
      <c r="A172">
        <v>501</v>
      </c>
      <c r="B172" t="s">
        <v>56</v>
      </c>
      <c r="C172" t="s">
        <v>47</v>
      </c>
      <c r="D172">
        <v>70</v>
      </c>
      <c r="E172" t="s">
        <v>34</v>
      </c>
      <c r="F172">
        <v>1</v>
      </c>
      <c r="G172" t="str">
        <f t="shared" si="2"/>
        <v>M0111-B-70-1</v>
      </c>
      <c r="H172">
        <v>203.06</v>
      </c>
      <c r="I172">
        <v>204.32</v>
      </c>
    </row>
    <row r="173" spans="1:9" x14ac:dyDescent="0.3">
      <c r="A173">
        <v>501</v>
      </c>
      <c r="B173" t="s">
        <v>56</v>
      </c>
      <c r="C173" t="s">
        <v>47</v>
      </c>
      <c r="D173">
        <v>70</v>
      </c>
      <c r="E173" t="s">
        <v>34</v>
      </c>
      <c r="F173">
        <v>2</v>
      </c>
      <c r="G173" t="str">
        <f t="shared" si="2"/>
        <v>M0111-B-70-2</v>
      </c>
      <c r="H173">
        <v>204.32</v>
      </c>
      <c r="I173">
        <v>204.5</v>
      </c>
    </row>
    <row r="174" spans="1:9" x14ac:dyDescent="0.3">
      <c r="A174">
        <v>501</v>
      </c>
      <c r="B174" t="s">
        <v>56</v>
      </c>
      <c r="C174" t="s">
        <v>47</v>
      </c>
      <c r="D174">
        <v>71</v>
      </c>
      <c r="E174" t="s">
        <v>34</v>
      </c>
      <c r="F174">
        <v>1</v>
      </c>
      <c r="G174" t="str">
        <f t="shared" si="2"/>
        <v>M0111-B-71-1</v>
      </c>
      <c r="H174">
        <v>206.11</v>
      </c>
      <c r="I174">
        <v>207.29</v>
      </c>
    </row>
    <row r="175" spans="1:9" x14ac:dyDescent="0.3">
      <c r="A175">
        <v>501</v>
      </c>
      <c r="B175" t="s">
        <v>56</v>
      </c>
      <c r="C175" t="s">
        <v>47</v>
      </c>
      <c r="D175">
        <v>72</v>
      </c>
      <c r="E175" t="s">
        <v>34</v>
      </c>
      <c r="F175">
        <v>1</v>
      </c>
      <c r="G175" t="str">
        <f t="shared" si="2"/>
        <v>M0111-B-72-1</v>
      </c>
      <c r="H175">
        <v>207.33</v>
      </c>
      <c r="I175">
        <v>208.46</v>
      </c>
    </row>
    <row r="176" spans="1:9" x14ac:dyDescent="0.3">
      <c r="A176">
        <v>501</v>
      </c>
      <c r="B176" t="s">
        <v>56</v>
      </c>
      <c r="C176" t="s">
        <v>47</v>
      </c>
      <c r="D176">
        <v>73</v>
      </c>
      <c r="E176" t="s">
        <v>34</v>
      </c>
      <c r="F176">
        <v>1</v>
      </c>
      <c r="G176" t="str">
        <f t="shared" si="2"/>
        <v>M0111-B-73-1</v>
      </c>
      <c r="H176">
        <v>209.83</v>
      </c>
      <c r="I176">
        <v>211.33</v>
      </c>
    </row>
    <row r="177" spans="1:9" x14ac:dyDescent="0.3">
      <c r="A177">
        <v>501</v>
      </c>
      <c r="B177" t="s">
        <v>56</v>
      </c>
      <c r="C177" t="s">
        <v>47</v>
      </c>
      <c r="D177">
        <v>73</v>
      </c>
      <c r="E177" t="s">
        <v>34</v>
      </c>
      <c r="F177">
        <v>2</v>
      </c>
      <c r="G177" t="str">
        <f t="shared" si="2"/>
        <v>M0111-B-73-2</v>
      </c>
      <c r="H177">
        <v>211.33</v>
      </c>
      <c r="I177">
        <v>212.38</v>
      </c>
    </row>
    <row r="178" spans="1:9" x14ac:dyDescent="0.3">
      <c r="A178">
        <v>501</v>
      </c>
      <c r="B178" t="s">
        <v>56</v>
      </c>
      <c r="C178" t="s">
        <v>47</v>
      </c>
      <c r="D178">
        <v>74</v>
      </c>
      <c r="E178" t="s">
        <v>34</v>
      </c>
      <c r="F178">
        <v>1</v>
      </c>
      <c r="G178" t="str">
        <f t="shared" si="2"/>
        <v>M0111-B-74-1</v>
      </c>
      <c r="H178">
        <v>212.88</v>
      </c>
      <c r="I178">
        <v>213.67</v>
      </c>
    </row>
    <row r="179" spans="1:9" x14ac:dyDescent="0.3">
      <c r="A179">
        <v>501</v>
      </c>
      <c r="B179" t="s">
        <v>56</v>
      </c>
      <c r="C179" t="s">
        <v>47</v>
      </c>
      <c r="D179">
        <v>75</v>
      </c>
      <c r="E179" t="s">
        <v>34</v>
      </c>
      <c r="F179">
        <v>1</v>
      </c>
      <c r="G179" t="str">
        <f t="shared" si="2"/>
        <v>M0111-B-75-1</v>
      </c>
      <c r="H179">
        <v>215.33</v>
      </c>
      <c r="I179">
        <v>216.1</v>
      </c>
    </row>
    <row r="180" spans="1:9" x14ac:dyDescent="0.3">
      <c r="A180">
        <v>501</v>
      </c>
      <c r="B180" t="s">
        <v>56</v>
      </c>
      <c r="C180" t="s">
        <v>47</v>
      </c>
      <c r="D180">
        <v>78</v>
      </c>
      <c r="E180" t="s">
        <v>34</v>
      </c>
      <c r="F180">
        <v>1</v>
      </c>
      <c r="G180" t="str">
        <f t="shared" si="2"/>
        <v>M0111-B-78-1</v>
      </c>
      <c r="H180">
        <v>219.93</v>
      </c>
      <c r="I180">
        <v>220.62</v>
      </c>
    </row>
    <row r="181" spans="1:9" x14ac:dyDescent="0.3">
      <c r="A181">
        <v>501</v>
      </c>
      <c r="B181" t="s">
        <v>56</v>
      </c>
      <c r="C181" t="s">
        <v>47</v>
      </c>
      <c r="D181">
        <v>81</v>
      </c>
      <c r="E181" t="s">
        <v>34</v>
      </c>
      <c r="F181">
        <v>1</v>
      </c>
      <c r="G181" t="str">
        <f t="shared" si="2"/>
        <v>M0111-B-81-1</v>
      </c>
      <c r="H181">
        <v>224.09</v>
      </c>
      <c r="I181">
        <v>224.42</v>
      </c>
    </row>
    <row r="182" spans="1:9" x14ac:dyDescent="0.3">
      <c r="A182">
        <v>501</v>
      </c>
      <c r="B182" t="s">
        <v>56</v>
      </c>
      <c r="C182" t="s">
        <v>47</v>
      </c>
      <c r="D182">
        <v>82</v>
      </c>
      <c r="E182" t="s">
        <v>34</v>
      </c>
      <c r="F182">
        <v>1</v>
      </c>
      <c r="G182" t="str">
        <f t="shared" si="2"/>
        <v>M0111-B-82-1</v>
      </c>
      <c r="H182">
        <v>224.58</v>
      </c>
      <c r="I182">
        <v>225.42</v>
      </c>
    </row>
    <row r="183" spans="1:9" x14ac:dyDescent="0.3">
      <c r="A183">
        <v>501</v>
      </c>
      <c r="B183" t="s">
        <v>56</v>
      </c>
      <c r="C183" t="s">
        <v>47</v>
      </c>
      <c r="D183">
        <v>83</v>
      </c>
      <c r="E183" t="s">
        <v>34</v>
      </c>
      <c r="F183">
        <v>1</v>
      </c>
      <c r="G183" t="str">
        <f t="shared" si="2"/>
        <v>M0111-B-83-1</v>
      </c>
      <c r="H183">
        <v>224.58</v>
      </c>
      <c r="I183">
        <v>225.04</v>
      </c>
    </row>
    <row r="184" spans="1:9" x14ac:dyDescent="0.3">
      <c r="A184">
        <v>501</v>
      </c>
      <c r="B184" t="s">
        <v>56</v>
      </c>
      <c r="C184" t="s">
        <v>47</v>
      </c>
      <c r="D184">
        <v>84</v>
      </c>
      <c r="E184" t="s">
        <v>34</v>
      </c>
      <c r="F184">
        <v>1</v>
      </c>
      <c r="G184" t="str">
        <f t="shared" si="2"/>
        <v>M0111-B-84-1</v>
      </c>
      <c r="H184">
        <v>227.63</v>
      </c>
      <c r="I184">
        <v>228.63</v>
      </c>
    </row>
    <row r="185" spans="1:9" x14ac:dyDescent="0.3">
      <c r="A185">
        <v>501</v>
      </c>
      <c r="B185" t="s">
        <v>56</v>
      </c>
      <c r="C185" t="s">
        <v>47</v>
      </c>
      <c r="D185">
        <v>84</v>
      </c>
      <c r="E185" t="s">
        <v>34</v>
      </c>
      <c r="F185">
        <v>2</v>
      </c>
      <c r="G185" t="str">
        <f t="shared" si="2"/>
        <v>M0111-B-84-2</v>
      </c>
      <c r="H185">
        <v>228.63</v>
      </c>
      <c r="I185">
        <v>229.24</v>
      </c>
    </row>
    <row r="186" spans="1:9" x14ac:dyDescent="0.3">
      <c r="A186">
        <v>501</v>
      </c>
      <c r="B186" t="s">
        <v>56</v>
      </c>
      <c r="C186" t="s">
        <v>47</v>
      </c>
      <c r="D186">
        <v>85</v>
      </c>
      <c r="E186" t="s">
        <v>34</v>
      </c>
      <c r="F186">
        <v>1</v>
      </c>
      <c r="G186" t="str">
        <f t="shared" si="2"/>
        <v>M0111-B-85-1</v>
      </c>
      <c r="H186">
        <v>230.68</v>
      </c>
      <c r="I186">
        <v>231.08</v>
      </c>
    </row>
    <row r="187" spans="1:9" x14ac:dyDescent="0.3">
      <c r="A187">
        <v>501</v>
      </c>
      <c r="B187" t="s">
        <v>56</v>
      </c>
      <c r="C187" t="s">
        <v>47</v>
      </c>
      <c r="D187">
        <v>86</v>
      </c>
      <c r="E187" t="s">
        <v>34</v>
      </c>
      <c r="F187">
        <v>1</v>
      </c>
      <c r="G187" t="str">
        <f t="shared" si="2"/>
        <v>M0111-B-86-1</v>
      </c>
      <c r="H187">
        <v>230.68</v>
      </c>
      <c r="I187">
        <v>232.18</v>
      </c>
    </row>
    <row r="188" spans="1:9" x14ac:dyDescent="0.3">
      <c r="A188">
        <v>501</v>
      </c>
      <c r="B188" t="s">
        <v>56</v>
      </c>
      <c r="C188" t="s">
        <v>47</v>
      </c>
      <c r="D188">
        <v>86</v>
      </c>
      <c r="E188" t="s">
        <v>34</v>
      </c>
      <c r="F188">
        <v>2</v>
      </c>
      <c r="G188" t="str">
        <f t="shared" si="2"/>
        <v>M0111-B-86-2</v>
      </c>
      <c r="H188">
        <v>232.18</v>
      </c>
      <c r="I188">
        <v>233.49</v>
      </c>
    </row>
    <row r="189" spans="1:9" x14ac:dyDescent="0.3">
      <c r="A189">
        <v>501</v>
      </c>
      <c r="B189" t="s">
        <v>56</v>
      </c>
      <c r="C189" t="s">
        <v>47</v>
      </c>
      <c r="D189">
        <v>87</v>
      </c>
      <c r="E189" t="s">
        <v>34</v>
      </c>
      <c r="F189">
        <v>1</v>
      </c>
      <c r="G189" t="str">
        <f t="shared" si="2"/>
        <v>M0111-B-87-1</v>
      </c>
      <c r="H189">
        <v>233.73</v>
      </c>
      <c r="I189">
        <v>234.67</v>
      </c>
    </row>
    <row r="190" spans="1:9" x14ac:dyDescent="0.3">
      <c r="A190">
        <v>501</v>
      </c>
      <c r="B190" t="s">
        <v>56</v>
      </c>
      <c r="C190" t="s">
        <v>47</v>
      </c>
      <c r="D190">
        <v>88</v>
      </c>
      <c r="E190" t="s">
        <v>34</v>
      </c>
      <c r="F190">
        <v>1</v>
      </c>
      <c r="G190" t="str">
        <f t="shared" si="2"/>
        <v>M0111-B-88-1</v>
      </c>
      <c r="H190">
        <v>234.53</v>
      </c>
      <c r="I190">
        <v>235.75</v>
      </c>
    </row>
    <row r="191" spans="1:9" x14ac:dyDescent="0.3">
      <c r="A191">
        <v>501</v>
      </c>
      <c r="B191" t="s">
        <v>56</v>
      </c>
      <c r="C191" t="s">
        <v>47</v>
      </c>
      <c r="D191">
        <v>88</v>
      </c>
      <c r="E191" t="s">
        <v>34</v>
      </c>
      <c r="F191">
        <v>2</v>
      </c>
      <c r="G191" t="str">
        <f t="shared" si="2"/>
        <v>M0111-B-88-2</v>
      </c>
      <c r="H191">
        <v>235.75</v>
      </c>
      <c r="I191">
        <v>236.52</v>
      </c>
    </row>
    <row r="192" spans="1:9" x14ac:dyDescent="0.3">
      <c r="A192">
        <v>501</v>
      </c>
      <c r="B192" t="s">
        <v>56</v>
      </c>
      <c r="C192" t="s">
        <v>47</v>
      </c>
      <c r="D192">
        <v>89</v>
      </c>
      <c r="E192" t="s">
        <v>34</v>
      </c>
      <c r="F192">
        <v>1</v>
      </c>
      <c r="G192" t="str">
        <f t="shared" si="2"/>
        <v>M0111-B-89-1</v>
      </c>
      <c r="H192">
        <v>237.58</v>
      </c>
      <c r="I192">
        <v>239.08</v>
      </c>
    </row>
    <row r="193" spans="1:9" x14ac:dyDescent="0.3">
      <c r="A193">
        <v>501</v>
      </c>
      <c r="B193" t="s">
        <v>56</v>
      </c>
      <c r="C193" t="s">
        <v>47</v>
      </c>
      <c r="D193">
        <v>89</v>
      </c>
      <c r="E193" t="s">
        <v>34</v>
      </c>
      <c r="F193">
        <v>2</v>
      </c>
      <c r="G193" t="str">
        <f t="shared" si="2"/>
        <v>M0111-B-89-2</v>
      </c>
      <c r="H193">
        <v>239.08</v>
      </c>
      <c r="I193">
        <v>240.02</v>
      </c>
    </row>
    <row r="194" spans="1:9" x14ac:dyDescent="0.3">
      <c r="A194">
        <v>501</v>
      </c>
      <c r="B194" t="s">
        <v>56</v>
      </c>
      <c r="C194" t="s">
        <v>47</v>
      </c>
      <c r="D194">
        <v>92</v>
      </c>
      <c r="E194" t="s">
        <v>34</v>
      </c>
      <c r="F194">
        <v>1</v>
      </c>
      <c r="G194" t="str">
        <f t="shared" si="2"/>
        <v>M0111-B-92-1</v>
      </c>
      <c r="H194">
        <v>244.93</v>
      </c>
      <c r="I194">
        <v>245.35</v>
      </c>
    </row>
    <row r="195" spans="1:9" x14ac:dyDescent="0.3">
      <c r="A195">
        <v>501</v>
      </c>
      <c r="B195" t="s">
        <v>56</v>
      </c>
      <c r="C195" t="s">
        <v>47</v>
      </c>
      <c r="D195">
        <v>93</v>
      </c>
      <c r="E195" t="s">
        <v>34</v>
      </c>
      <c r="F195">
        <v>1</v>
      </c>
      <c r="G195" t="str">
        <f t="shared" si="2"/>
        <v>M0111-B-93-1</v>
      </c>
      <c r="H195">
        <v>245.28</v>
      </c>
      <c r="I195">
        <v>245.83</v>
      </c>
    </row>
    <row r="196" spans="1:9" x14ac:dyDescent="0.3">
      <c r="A196">
        <v>501</v>
      </c>
      <c r="B196" t="s">
        <v>56</v>
      </c>
      <c r="C196" t="s">
        <v>47</v>
      </c>
      <c r="D196">
        <v>93</v>
      </c>
      <c r="E196" t="s">
        <v>34</v>
      </c>
      <c r="F196">
        <v>2</v>
      </c>
      <c r="G196" t="str">
        <f t="shared" si="2"/>
        <v>M0111-B-93-2</v>
      </c>
      <c r="H196">
        <v>245.83</v>
      </c>
      <c r="I196">
        <v>245.92</v>
      </c>
    </row>
    <row r="197" spans="1:9" x14ac:dyDescent="0.3">
      <c r="A197">
        <v>501</v>
      </c>
      <c r="B197" t="s">
        <v>56</v>
      </c>
      <c r="C197" t="s">
        <v>47</v>
      </c>
      <c r="D197">
        <v>94</v>
      </c>
      <c r="E197" t="s">
        <v>34</v>
      </c>
      <c r="F197">
        <v>1</v>
      </c>
      <c r="G197" t="str">
        <f t="shared" si="2"/>
        <v>M0111-B-94-1</v>
      </c>
      <c r="H197">
        <v>246.73</v>
      </c>
      <c r="I197">
        <v>248.24</v>
      </c>
    </row>
    <row r="198" spans="1:9" x14ac:dyDescent="0.3">
      <c r="A198">
        <v>501</v>
      </c>
      <c r="B198" t="s">
        <v>56</v>
      </c>
      <c r="C198" t="s">
        <v>47</v>
      </c>
      <c r="D198">
        <v>94</v>
      </c>
      <c r="E198" t="s">
        <v>34</v>
      </c>
      <c r="F198">
        <v>2</v>
      </c>
      <c r="G198" t="str">
        <f t="shared" si="2"/>
        <v>M0111-B-94-2</v>
      </c>
      <c r="H198">
        <v>248.24</v>
      </c>
      <c r="I198">
        <v>249.44</v>
      </c>
    </row>
    <row r="199" spans="1:9" x14ac:dyDescent="0.3">
      <c r="A199">
        <v>501</v>
      </c>
      <c r="B199" t="s">
        <v>56</v>
      </c>
      <c r="C199" t="s">
        <v>47</v>
      </c>
      <c r="D199">
        <v>94</v>
      </c>
      <c r="E199" t="s">
        <v>34</v>
      </c>
      <c r="F199">
        <v>3</v>
      </c>
      <c r="G199" t="str">
        <f t="shared" si="2"/>
        <v>M0111-B-94-3</v>
      </c>
      <c r="H199">
        <v>249.44</v>
      </c>
      <c r="I199">
        <v>249.89</v>
      </c>
    </row>
    <row r="200" spans="1:9" x14ac:dyDescent="0.3">
      <c r="A200">
        <v>501</v>
      </c>
      <c r="B200" t="s">
        <v>56</v>
      </c>
      <c r="C200" t="s">
        <v>47</v>
      </c>
      <c r="D200">
        <v>95</v>
      </c>
      <c r="E200" t="s">
        <v>34</v>
      </c>
      <c r="F200">
        <v>1</v>
      </c>
      <c r="G200" t="str">
        <f t="shared" si="2"/>
        <v>M0111-B-95-1</v>
      </c>
      <c r="H200">
        <v>249.78</v>
      </c>
      <c r="I200">
        <v>250.78</v>
      </c>
    </row>
    <row r="201" spans="1:9" x14ac:dyDescent="0.3">
      <c r="A201">
        <v>501</v>
      </c>
      <c r="B201" t="s">
        <v>56</v>
      </c>
      <c r="C201" t="s">
        <v>47</v>
      </c>
      <c r="D201">
        <v>95</v>
      </c>
      <c r="E201" t="s">
        <v>34</v>
      </c>
      <c r="F201">
        <v>2</v>
      </c>
      <c r="G201" t="str">
        <f t="shared" si="2"/>
        <v>M0111-B-95-2</v>
      </c>
      <c r="H201">
        <v>250.78</v>
      </c>
      <c r="I201">
        <v>251.32</v>
      </c>
    </row>
    <row r="202" spans="1:9" x14ac:dyDescent="0.3">
      <c r="A202">
        <v>501</v>
      </c>
      <c r="B202" t="s">
        <v>56</v>
      </c>
      <c r="C202" t="s">
        <v>47</v>
      </c>
      <c r="D202">
        <v>96</v>
      </c>
      <c r="E202" t="s">
        <v>34</v>
      </c>
      <c r="F202">
        <v>1</v>
      </c>
      <c r="G202" t="str">
        <f t="shared" si="2"/>
        <v>M0111-B-96-1</v>
      </c>
      <c r="H202">
        <v>251.53</v>
      </c>
      <c r="I202">
        <v>252.38</v>
      </c>
    </row>
    <row r="203" spans="1:9" x14ac:dyDescent="0.3">
      <c r="A203">
        <v>501</v>
      </c>
      <c r="B203" t="s">
        <v>56</v>
      </c>
      <c r="C203" t="s">
        <v>47</v>
      </c>
      <c r="D203">
        <v>97</v>
      </c>
      <c r="E203" t="s">
        <v>34</v>
      </c>
      <c r="F203">
        <v>1</v>
      </c>
      <c r="G203" t="str">
        <f t="shared" si="2"/>
        <v>M0111-B-97-1</v>
      </c>
      <c r="H203">
        <v>252.83</v>
      </c>
      <c r="I203">
        <v>254.16</v>
      </c>
    </row>
    <row r="204" spans="1:9" x14ac:dyDescent="0.3">
      <c r="A204">
        <v>501</v>
      </c>
      <c r="B204" t="s">
        <v>56</v>
      </c>
      <c r="C204" t="s">
        <v>47</v>
      </c>
      <c r="D204">
        <v>98</v>
      </c>
      <c r="E204" t="s">
        <v>34</v>
      </c>
      <c r="F204">
        <v>1</v>
      </c>
      <c r="G204" t="str">
        <f t="shared" si="2"/>
        <v>M0111-B-98-1</v>
      </c>
      <c r="H204">
        <v>255.53</v>
      </c>
      <c r="I204">
        <v>256.27</v>
      </c>
    </row>
    <row r="205" spans="1:9" x14ac:dyDescent="0.3">
      <c r="A205">
        <v>501</v>
      </c>
      <c r="B205" t="s">
        <v>56</v>
      </c>
      <c r="C205" t="s">
        <v>47</v>
      </c>
      <c r="D205">
        <v>99</v>
      </c>
      <c r="E205" t="s">
        <v>34</v>
      </c>
      <c r="F205">
        <v>1</v>
      </c>
      <c r="G205" t="str">
        <f t="shared" si="2"/>
        <v>M0111-B-99-1</v>
      </c>
      <c r="H205">
        <v>256.27999999999997</v>
      </c>
      <c r="I205">
        <v>257.2</v>
      </c>
    </row>
    <row r="206" spans="1:9" x14ac:dyDescent="0.3">
      <c r="A206">
        <v>501</v>
      </c>
      <c r="B206" t="s">
        <v>56</v>
      </c>
      <c r="C206" t="s">
        <v>47</v>
      </c>
      <c r="D206">
        <v>100</v>
      </c>
      <c r="E206" t="s">
        <v>34</v>
      </c>
      <c r="F206">
        <v>1</v>
      </c>
      <c r="G206" t="str">
        <f t="shared" si="2"/>
        <v>M0111-B-100-1</v>
      </c>
      <c r="H206">
        <v>258.93</v>
      </c>
      <c r="I206">
        <v>260.43</v>
      </c>
    </row>
    <row r="207" spans="1:9" x14ac:dyDescent="0.3">
      <c r="A207">
        <v>501</v>
      </c>
      <c r="B207" t="s">
        <v>56</v>
      </c>
      <c r="C207" t="s">
        <v>47</v>
      </c>
      <c r="D207">
        <v>100</v>
      </c>
      <c r="E207" t="s">
        <v>34</v>
      </c>
      <c r="F207">
        <v>2</v>
      </c>
      <c r="G207" t="str">
        <f t="shared" si="2"/>
        <v>M0111-B-100-2</v>
      </c>
      <c r="H207">
        <v>260.43</v>
      </c>
      <c r="I207">
        <v>261.02</v>
      </c>
    </row>
    <row r="208" spans="1:9" x14ac:dyDescent="0.3">
      <c r="A208">
        <v>501</v>
      </c>
      <c r="B208" t="s">
        <v>56</v>
      </c>
      <c r="C208" t="s">
        <v>47</v>
      </c>
      <c r="D208">
        <v>101</v>
      </c>
      <c r="E208" t="s">
        <v>34</v>
      </c>
      <c r="F208">
        <v>1</v>
      </c>
      <c r="G208" t="str">
        <f t="shared" si="2"/>
        <v>M0111-B-101-1</v>
      </c>
      <c r="H208">
        <v>261.98</v>
      </c>
      <c r="I208">
        <v>263.45999999999998</v>
      </c>
    </row>
    <row r="209" spans="1:9" x14ac:dyDescent="0.3">
      <c r="A209">
        <v>501</v>
      </c>
      <c r="B209" t="s">
        <v>56</v>
      </c>
      <c r="C209" t="s">
        <v>47</v>
      </c>
      <c r="D209">
        <v>101</v>
      </c>
      <c r="E209" t="s">
        <v>34</v>
      </c>
      <c r="F209">
        <v>2</v>
      </c>
      <c r="G209" t="str">
        <f t="shared" si="2"/>
        <v>M0111-B-101-2</v>
      </c>
      <c r="H209">
        <v>263.45999999999998</v>
      </c>
      <c r="I209">
        <v>264.3</v>
      </c>
    </row>
    <row r="210" spans="1:9" x14ac:dyDescent="0.3">
      <c r="A210">
        <v>501</v>
      </c>
      <c r="B210" t="s">
        <v>56</v>
      </c>
      <c r="C210" t="s">
        <v>47</v>
      </c>
      <c r="D210">
        <v>102</v>
      </c>
      <c r="E210" t="s">
        <v>34</v>
      </c>
      <c r="F210">
        <v>1</v>
      </c>
      <c r="G210" t="str">
        <f t="shared" si="2"/>
        <v>M0111-B-102-1</v>
      </c>
      <c r="H210">
        <v>265.02999999999997</v>
      </c>
      <c r="I210">
        <v>265.93</v>
      </c>
    </row>
    <row r="211" spans="1:9" x14ac:dyDescent="0.3">
      <c r="A211">
        <v>501</v>
      </c>
      <c r="B211" t="s">
        <v>56</v>
      </c>
      <c r="C211" t="s">
        <v>47</v>
      </c>
      <c r="D211">
        <v>103</v>
      </c>
      <c r="E211" t="s">
        <v>34</v>
      </c>
      <c r="F211">
        <v>1</v>
      </c>
      <c r="G211" t="str">
        <f t="shared" si="2"/>
        <v>M0111-B-103-1</v>
      </c>
      <c r="H211">
        <v>268.08</v>
      </c>
      <c r="I211">
        <v>268.83999999999997</v>
      </c>
    </row>
    <row r="212" spans="1:9" x14ac:dyDescent="0.3">
      <c r="A212">
        <v>501</v>
      </c>
      <c r="B212" t="s">
        <v>56</v>
      </c>
      <c r="C212" t="s">
        <v>47</v>
      </c>
      <c r="D212">
        <v>103</v>
      </c>
      <c r="E212" t="s">
        <v>34</v>
      </c>
      <c r="F212">
        <v>2</v>
      </c>
      <c r="G212" t="str">
        <f t="shared" si="2"/>
        <v>M0111-B-103-2</v>
      </c>
      <c r="H212">
        <v>268.83999999999997</v>
      </c>
      <c r="I212">
        <v>270.33999999999997</v>
      </c>
    </row>
    <row r="213" spans="1:9" x14ac:dyDescent="0.3">
      <c r="A213">
        <v>501</v>
      </c>
      <c r="B213" t="s">
        <v>56</v>
      </c>
      <c r="C213" t="s">
        <v>47</v>
      </c>
      <c r="D213">
        <v>103</v>
      </c>
      <c r="E213" t="s">
        <v>34</v>
      </c>
      <c r="F213">
        <v>3</v>
      </c>
      <c r="G213" t="str">
        <f t="shared" si="2"/>
        <v>M0111-B-103-3</v>
      </c>
      <c r="H213">
        <v>270.33999999999997</v>
      </c>
      <c r="I213">
        <v>271.13</v>
      </c>
    </row>
    <row r="214" spans="1:9" x14ac:dyDescent="0.3">
      <c r="A214">
        <v>501</v>
      </c>
      <c r="B214" t="s">
        <v>56</v>
      </c>
      <c r="C214" t="s">
        <v>47</v>
      </c>
      <c r="D214">
        <v>103</v>
      </c>
      <c r="E214" t="s">
        <v>34</v>
      </c>
      <c r="F214">
        <v>4</v>
      </c>
      <c r="G214" t="str">
        <f t="shared" si="2"/>
        <v>M0111-B-103-4</v>
      </c>
      <c r="H214">
        <v>271.13</v>
      </c>
      <c r="I214">
        <v>271.2</v>
      </c>
    </row>
    <row r="215" spans="1:9" x14ac:dyDescent="0.3">
      <c r="A215">
        <v>501</v>
      </c>
      <c r="B215" t="s">
        <v>56</v>
      </c>
      <c r="C215" t="s">
        <v>47</v>
      </c>
      <c r="D215">
        <v>104</v>
      </c>
      <c r="E215" t="s">
        <v>34</v>
      </c>
      <c r="F215">
        <v>1</v>
      </c>
      <c r="G215" t="str">
        <f t="shared" si="2"/>
        <v>M0111-B-104-1</v>
      </c>
      <c r="H215">
        <v>271.13</v>
      </c>
      <c r="I215">
        <v>271.42</v>
      </c>
    </row>
    <row r="216" spans="1:9" x14ac:dyDescent="0.3">
      <c r="A216">
        <v>501</v>
      </c>
      <c r="B216" t="s">
        <v>56</v>
      </c>
      <c r="C216" t="s">
        <v>47</v>
      </c>
      <c r="D216">
        <v>104</v>
      </c>
      <c r="E216" t="s">
        <v>34</v>
      </c>
      <c r="F216">
        <v>2</v>
      </c>
      <c r="G216" t="str">
        <f t="shared" si="2"/>
        <v>M0111-B-104-2</v>
      </c>
      <c r="H216">
        <v>271.42</v>
      </c>
      <c r="I216">
        <v>272.92</v>
      </c>
    </row>
    <row r="217" spans="1:9" x14ac:dyDescent="0.3">
      <c r="A217">
        <v>501</v>
      </c>
      <c r="B217" t="s">
        <v>56</v>
      </c>
      <c r="C217" t="s">
        <v>47</v>
      </c>
      <c r="D217">
        <v>104</v>
      </c>
      <c r="E217" t="s">
        <v>34</v>
      </c>
      <c r="F217">
        <v>3</v>
      </c>
      <c r="G217" t="str">
        <f t="shared" si="2"/>
        <v>M0111-B-104-3</v>
      </c>
      <c r="H217">
        <v>272.92</v>
      </c>
      <c r="I217">
        <v>273.89999999999998</v>
      </c>
    </row>
    <row r="218" spans="1:9" x14ac:dyDescent="0.3">
      <c r="A218">
        <v>501</v>
      </c>
      <c r="B218" t="s">
        <v>56</v>
      </c>
      <c r="C218" t="s">
        <v>47</v>
      </c>
      <c r="D218">
        <v>105</v>
      </c>
      <c r="E218" t="s">
        <v>34</v>
      </c>
      <c r="F218">
        <v>1</v>
      </c>
      <c r="G218" t="str">
        <f t="shared" si="2"/>
        <v>M0111-B-105-1</v>
      </c>
      <c r="H218">
        <v>274.18</v>
      </c>
      <c r="I218">
        <v>274.66000000000003</v>
      </c>
    </row>
    <row r="219" spans="1:9" x14ac:dyDescent="0.3">
      <c r="A219">
        <v>501</v>
      </c>
      <c r="B219" t="s">
        <v>56</v>
      </c>
      <c r="C219" t="s">
        <v>47</v>
      </c>
      <c r="D219">
        <v>106</v>
      </c>
      <c r="E219" t="s">
        <v>34</v>
      </c>
      <c r="F219">
        <v>1</v>
      </c>
      <c r="G219" t="str">
        <f t="shared" si="2"/>
        <v>M0111-B-106-1</v>
      </c>
      <c r="H219">
        <v>275.18</v>
      </c>
      <c r="I219">
        <v>276.68</v>
      </c>
    </row>
    <row r="220" spans="1:9" x14ac:dyDescent="0.3">
      <c r="A220">
        <v>501</v>
      </c>
      <c r="B220" t="s">
        <v>56</v>
      </c>
      <c r="C220" t="s">
        <v>47</v>
      </c>
      <c r="D220">
        <v>106</v>
      </c>
      <c r="E220" t="s">
        <v>34</v>
      </c>
      <c r="F220">
        <v>2</v>
      </c>
      <c r="G220" t="str">
        <f t="shared" si="2"/>
        <v>M0111-B-106-2</v>
      </c>
      <c r="H220">
        <v>276.68</v>
      </c>
      <c r="I220">
        <v>277.47000000000003</v>
      </c>
    </row>
    <row r="221" spans="1:9" x14ac:dyDescent="0.3">
      <c r="A221">
        <v>501</v>
      </c>
      <c r="B221" t="s">
        <v>56</v>
      </c>
      <c r="C221" t="s">
        <v>47</v>
      </c>
      <c r="D221">
        <v>107</v>
      </c>
      <c r="E221" t="s">
        <v>34</v>
      </c>
      <c r="F221">
        <v>1</v>
      </c>
      <c r="G221" t="str">
        <f t="shared" si="2"/>
        <v>M0111-B-107-1</v>
      </c>
      <c r="H221">
        <v>277.23</v>
      </c>
      <c r="I221">
        <v>278.19</v>
      </c>
    </row>
    <row r="222" spans="1:9" x14ac:dyDescent="0.3">
      <c r="A222">
        <v>501</v>
      </c>
      <c r="B222" t="s">
        <v>56</v>
      </c>
      <c r="C222" t="s">
        <v>47</v>
      </c>
      <c r="D222">
        <v>108</v>
      </c>
      <c r="E222" t="s">
        <v>34</v>
      </c>
      <c r="F222">
        <v>1</v>
      </c>
      <c r="G222" t="str">
        <f t="shared" si="2"/>
        <v>M0111-B-108-1</v>
      </c>
      <c r="H222">
        <v>278.13</v>
      </c>
      <c r="I222">
        <v>278.51</v>
      </c>
    </row>
    <row r="223" spans="1:9" x14ac:dyDescent="0.3">
      <c r="A223">
        <v>501</v>
      </c>
      <c r="B223" t="s">
        <v>56</v>
      </c>
      <c r="C223" t="s">
        <v>47</v>
      </c>
      <c r="D223">
        <v>109</v>
      </c>
      <c r="E223" t="s">
        <v>34</v>
      </c>
      <c r="F223">
        <v>1</v>
      </c>
      <c r="G223" t="str">
        <f t="shared" si="2"/>
        <v>M0111-B-109-1</v>
      </c>
      <c r="H223">
        <v>278.38</v>
      </c>
      <c r="I223">
        <v>278.98</v>
      </c>
    </row>
    <row r="224" spans="1:9" x14ac:dyDescent="0.3">
      <c r="A224">
        <v>501</v>
      </c>
      <c r="B224" t="s">
        <v>56</v>
      </c>
      <c r="C224" t="s">
        <v>47</v>
      </c>
      <c r="D224">
        <v>110</v>
      </c>
      <c r="E224" t="s">
        <v>34</v>
      </c>
      <c r="F224">
        <v>1</v>
      </c>
      <c r="G224" t="str">
        <f t="shared" si="2"/>
        <v>M0111-B-110-1</v>
      </c>
      <c r="H224">
        <v>280.27999999999997</v>
      </c>
      <c r="I224">
        <v>280.5</v>
      </c>
    </row>
    <row r="225" spans="1:9" x14ac:dyDescent="0.3">
      <c r="A225">
        <v>501</v>
      </c>
      <c r="B225" t="s">
        <v>56</v>
      </c>
      <c r="C225" t="s">
        <v>47</v>
      </c>
      <c r="D225">
        <v>113</v>
      </c>
      <c r="E225" t="s">
        <v>34</v>
      </c>
      <c r="F225">
        <v>1</v>
      </c>
      <c r="G225" t="str">
        <f t="shared" si="2"/>
        <v>M0111-B-113-1</v>
      </c>
      <c r="H225">
        <v>281.52999999999997</v>
      </c>
      <c r="I225">
        <v>282.69</v>
      </c>
    </row>
    <row r="226" spans="1:9" x14ac:dyDescent="0.3">
      <c r="A226">
        <v>501</v>
      </c>
      <c r="B226" t="s">
        <v>56</v>
      </c>
      <c r="C226" t="s">
        <v>47</v>
      </c>
      <c r="D226">
        <v>114</v>
      </c>
      <c r="E226" t="s">
        <v>34</v>
      </c>
      <c r="F226">
        <v>1</v>
      </c>
      <c r="G226" t="str">
        <f t="shared" si="2"/>
        <v>M0111-B-114-1</v>
      </c>
      <c r="H226">
        <v>281.52999999999997</v>
      </c>
      <c r="I226">
        <v>282.54000000000002</v>
      </c>
    </row>
    <row r="227" spans="1:9" x14ac:dyDescent="0.3">
      <c r="A227">
        <v>501</v>
      </c>
      <c r="B227" t="s">
        <v>56</v>
      </c>
      <c r="C227" t="s">
        <v>47</v>
      </c>
      <c r="D227">
        <v>114</v>
      </c>
      <c r="E227" t="s">
        <v>34</v>
      </c>
      <c r="F227">
        <v>1</v>
      </c>
      <c r="G227" t="str">
        <f t="shared" si="2"/>
        <v>M0111-B-114-1</v>
      </c>
      <c r="H227">
        <v>282.54000000000002</v>
      </c>
      <c r="I227">
        <v>283.3</v>
      </c>
    </row>
    <row r="228" spans="1:9" x14ac:dyDescent="0.3">
      <c r="A228">
        <v>501</v>
      </c>
      <c r="B228" t="s">
        <v>56</v>
      </c>
      <c r="C228" t="s">
        <v>47</v>
      </c>
      <c r="D228">
        <v>115</v>
      </c>
      <c r="E228" t="s">
        <v>34</v>
      </c>
      <c r="F228">
        <v>2</v>
      </c>
      <c r="G228" t="str">
        <f t="shared" si="2"/>
        <v>M0111-B-115-2</v>
      </c>
      <c r="H228">
        <v>284.93</v>
      </c>
      <c r="I228">
        <v>286.38</v>
      </c>
    </row>
    <row r="229" spans="1:9" x14ac:dyDescent="0.3">
      <c r="A229">
        <v>501</v>
      </c>
      <c r="B229" t="s">
        <v>56</v>
      </c>
      <c r="C229" t="s">
        <v>47</v>
      </c>
      <c r="D229">
        <v>115</v>
      </c>
      <c r="E229" t="s">
        <v>34</v>
      </c>
      <c r="F229">
        <v>1</v>
      </c>
      <c r="G229" t="str">
        <f t="shared" si="2"/>
        <v>M0111-B-115-1</v>
      </c>
      <c r="H229">
        <v>284.93</v>
      </c>
      <c r="I229">
        <v>286.38</v>
      </c>
    </row>
    <row r="230" spans="1:9" x14ac:dyDescent="0.3">
      <c r="A230">
        <v>501</v>
      </c>
      <c r="B230" t="s">
        <v>56</v>
      </c>
      <c r="C230" t="s">
        <v>47</v>
      </c>
      <c r="D230">
        <v>116</v>
      </c>
      <c r="E230" t="s">
        <v>34</v>
      </c>
      <c r="F230">
        <v>2</v>
      </c>
      <c r="G230" t="str">
        <f t="shared" si="2"/>
        <v>M0111-B-116-2</v>
      </c>
      <c r="H230">
        <v>286.48</v>
      </c>
      <c r="I230">
        <v>287.99</v>
      </c>
    </row>
    <row r="231" spans="1:9" x14ac:dyDescent="0.3">
      <c r="A231">
        <v>501</v>
      </c>
      <c r="B231" t="s">
        <v>56</v>
      </c>
      <c r="C231" t="s">
        <v>47</v>
      </c>
      <c r="D231">
        <v>116</v>
      </c>
      <c r="E231" t="s">
        <v>34</v>
      </c>
      <c r="F231">
        <v>1</v>
      </c>
      <c r="G231" t="str">
        <f t="shared" si="2"/>
        <v>M0111-B-116-1</v>
      </c>
      <c r="H231">
        <v>287.99</v>
      </c>
      <c r="I231">
        <v>288.62</v>
      </c>
    </row>
    <row r="232" spans="1:9" x14ac:dyDescent="0.3">
      <c r="A232">
        <v>501</v>
      </c>
      <c r="B232" t="s">
        <v>56</v>
      </c>
      <c r="C232" t="s">
        <v>47</v>
      </c>
      <c r="D232">
        <v>116</v>
      </c>
      <c r="E232" t="s">
        <v>34</v>
      </c>
      <c r="F232">
        <v>2</v>
      </c>
      <c r="G232" t="str">
        <f t="shared" si="2"/>
        <v>M0111-B-116-2</v>
      </c>
      <c r="H232">
        <v>288.62</v>
      </c>
      <c r="I232">
        <v>288.77999999999997</v>
      </c>
    </row>
    <row r="233" spans="1:9" x14ac:dyDescent="0.3">
      <c r="A233">
        <v>501</v>
      </c>
      <c r="B233" t="s">
        <v>56</v>
      </c>
      <c r="C233" t="s">
        <v>47</v>
      </c>
      <c r="D233">
        <v>117</v>
      </c>
      <c r="E233" t="s">
        <v>34</v>
      </c>
      <c r="F233">
        <v>1</v>
      </c>
      <c r="G233" t="str">
        <f t="shared" si="2"/>
        <v>M0111-B-117-1</v>
      </c>
      <c r="H233">
        <v>289.33</v>
      </c>
      <c r="I233">
        <v>290.29000000000002</v>
      </c>
    </row>
    <row r="234" spans="1:9" x14ac:dyDescent="0.3">
      <c r="A234">
        <v>501</v>
      </c>
      <c r="B234" t="s">
        <v>56</v>
      </c>
      <c r="C234" t="s">
        <v>47</v>
      </c>
      <c r="D234">
        <v>119</v>
      </c>
      <c r="E234" t="s">
        <v>34</v>
      </c>
      <c r="F234">
        <v>1</v>
      </c>
      <c r="G234" t="str">
        <f t="shared" si="2"/>
        <v>M0111-B-119-1</v>
      </c>
      <c r="H234">
        <v>292.83</v>
      </c>
      <c r="I234">
        <v>293.49</v>
      </c>
    </row>
    <row r="235" spans="1:9" x14ac:dyDescent="0.3">
      <c r="A235">
        <v>501</v>
      </c>
      <c r="B235" t="s">
        <v>56</v>
      </c>
      <c r="C235" t="s">
        <v>47</v>
      </c>
      <c r="D235">
        <v>120</v>
      </c>
      <c r="E235" t="s">
        <v>34</v>
      </c>
      <c r="F235">
        <v>1</v>
      </c>
      <c r="G235" t="str">
        <f t="shared" si="2"/>
        <v>M0111-B-120-1</v>
      </c>
      <c r="H235">
        <v>295.63</v>
      </c>
      <c r="I235">
        <v>296.70999999999998</v>
      </c>
    </row>
    <row r="236" spans="1:9" x14ac:dyDescent="0.3">
      <c r="A236">
        <v>501</v>
      </c>
      <c r="B236" t="s">
        <v>56</v>
      </c>
      <c r="C236" t="s">
        <v>47</v>
      </c>
      <c r="D236">
        <v>121</v>
      </c>
      <c r="E236" t="s">
        <v>34</v>
      </c>
      <c r="F236">
        <v>1</v>
      </c>
      <c r="G236" t="str">
        <f t="shared" si="2"/>
        <v>M0111-B-121-1</v>
      </c>
      <c r="H236">
        <v>298.68</v>
      </c>
      <c r="I236">
        <v>299.68</v>
      </c>
    </row>
    <row r="237" spans="1:9" x14ac:dyDescent="0.3">
      <c r="A237">
        <v>501</v>
      </c>
      <c r="B237" t="s">
        <v>56</v>
      </c>
      <c r="C237" t="s">
        <v>47</v>
      </c>
      <c r="D237">
        <v>121</v>
      </c>
      <c r="E237" t="s">
        <v>34</v>
      </c>
      <c r="F237">
        <v>1</v>
      </c>
      <c r="G237" t="str">
        <f t="shared" si="2"/>
        <v>M0111-B-121-1</v>
      </c>
      <c r="H237">
        <v>299.68</v>
      </c>
      <c r="I237">
        <v>300.33999999999997</v>
      </c>
    </row>
    <row r="238" spans="1:9" x14ac:dyDescent="0.3">
      <c r="A238">
        <v>501</v>
      </c>
      <c r="B238" t="s">
        <v>56</v>
      </c>
      <c r="C238" t="s">
        <v>47</v>
      </c>
      <c r="D238">
        <v>122</v>
      </c>
      <c r="E238" t="s">
        <v>34</v>
      </c>
      <c r="F238">
        <v>2</v>
      </c>
      <c r="G238" t="str">
        <f t="shared" si="2"/>
        <v>M0111-B-122-2</v>
      </c>
      <c r="H238">
        <v>300.23</v>
      </c>
      <c r="I238">
        <v>301.14</v>
      </c>
    </row>
    <row r="239" spans="1:9" x14ac:dyDescent="0.3">
      <c r="A239">
        <v>501</v>
      </c>
      <c r="B239" t="s">
        <v>56</v>
      </c>
      <c r="C239" t="s">
        <v>47</v>
      </c>
      <c r="D239">
        <v>122</v>
      </c>
      <c r="E239" t="s">
        <v>34</v>
      </c>
      <c r="F239">
        <v>1</v>
      </c>
      <c r="G239" t="str">
        <f t="shared" si="2"/>
        <v>M0111-B-122-1</v>
      </c>
      <c r="H239">
        <v>301.14</v>
      </c>
      <c r="I239">
        <v>301.64999999999998</v>
      </c>
    </row>
    <row r="240" spans="1:9" x14ac:dyDescent="0.3">
      <c r="A240">
        <v>501</v>
      </c>
      <c r="B240" t="s">
        <v>56</v>
      </c>
      <c r="C240" t="s">
        <v>47</v>
      </c>
      <c r="D240">
        <v>125</v>
      </c>
      <c r="E240" t="s">
        <v>34</v>
      </c>
      <c r="F240">
        <v>1</v>
      </c>
      <c r="G240" t="str">
        <f t="shared" si="2"/>
        <v>M0111-B-125-1</v>
      </c>
      <c r="H240">
        <v>306.33</v>
      </c>
      <c r="I240">
        <v>306.8</v>
      </c>
    </row>
    <row r="241" spans="1:9" x14ac:dyDescent="0.3">
      <c r="A241">
        <v>501</v>
      </c>
      <c r="B241" t="s">
        <v>56</v>
      </c>
      <c r="C241" t="s">
        <v>47</v>
      </c>
      <c r="D241">
        <v>126</v>
      </c>
      <c r="E241" t="s">
        <v>34</v>
      </c>
      <c r="F241">
        <v>1</v>
      </c>
      <c r="G241" t="str">
        <f t="shared" si="2"/>
        <v>M0111-B-126-1</v>
      </c>
      <c r="H241">
        <v>307.08</v>
      </c>
      <c r="I241">
        <v>307.5</v>
      </c>
    </row>
    <row r="242" spans="1:9" x14ac:dyDescent="0.3">
      <c r="A242">
        <v>501</v>
      </c>
      <c r="B242" t="s">
        <v>56</v>
      </c>
      <c r="C242" t="s">
        <v>47</v>
      </c>
      <c r="D242">
        <v>127</v>
      </c>
      <c r="E242" t="s">
        <v>34</v>
      </c>
      <c r="F242">
        <v>1</v>
      </c>
      <c r="G242" t="str">
        <f t="shared" si="2"/>
        <v>M0111-B-127-1</v>
      </c>
      <c r="H242">
        <v>310.13</v>
      </c>
      <c r="I242">
        <v>311.13</v>
      </c>
    </row>
    <row r="243" spans="1:9" x14ac:dyDescent="0.3">
      <c r="A243">
        <v>501</v>
      </c>
      <c r="B243" t="s">
        <v>56</v>
      </c>
      <c r="C243" t="s">
        <v>47</v>
      </c>
      <c r="D243">
        <v>127</v>
      </c>
      <c r="E243" t="s">
        <v>34</v>
      </c>
      <c r="F243">
        <v>1</v>
      </c>
      <c r="G243" t="str">
        <f t="shared" si="2"/>
        <v>M0111-B-127-1</v>
      </c>
      <c r="H243">
        <v>311.13</v>
      </c>
      <c r="I243">
        <v>311.97000000000003</v>
      </c>
    </row>
    <row r="244" spans="1:9" x14ac:dyDescent="0.3">
      <c r="A244">
        <v>501</v>
      </c>
      <c r="B244" t="s">
        <v>56</v>
      </c>
      <c r="C244" t="s">
        <v>47</v>
      </c>
      <c r="D244">
        <v>128</v>
      </c>
      <c r="E244" t="s">
        <v>34</v>
      </c>
      <c r="F244">
        <v>2</v>
      </c>
      <c r="G244" t="str">
        <f t="shared" si="2"/>
        <v>M0111-B-128-2</v>
      </c>
      <c r="H244">
        <v>312.77999999999997</v>
      </c>
      <c r="I244">
        <v>314.29000000000002</v>
      </c>
    </row>
    <row r="245" spans="1:9" x14ac:dyDescent="0.3">
      <c r="A245">
        <v>501</v>
      </c>
      <c r="B245" t="s">
        <v>56</v>
      </c>
      <c r="C245" t="s">
        <v>47</v>
      </c>
      <c r="D245">
        <v>128</v>
      </c>
      <c r="E245" t="s">
        <v>34</v>
      </c>
      <c r="F245">
        <v>1</v>
      </c>
      <c r="G245" t="str">
        <f t="shared" si="2"/>
        <v>M0111-B-128-1</v>
      </c>
      <c r="H245">
        <v>314.29000000000002</v>
      </c>
      <c r="I245">
        <v>315.3</v>
      </c>
    </row>
    <row r="246" spans="1:9" x14ac:dyDescent="0.3">
      <c r="A246">
        <v>501</v>
      </c>
      <c r="B246" t="s">
        <v>56</v>
      </c>
      <c r="C246" t="s">
        <v>47</v>
      </c>
      <c r="D246">
        <v>128</v>
      </c>
      <c r="E246" t="s">
        <v>34</v>
      </c>
      <c r="F246">
        <v>2</v>
      </c>
      <c r="G246" t="str">
        <f t="shared" si="2"/>
        <v>M0111-B-128-2</v>
      </c>
      <c r="H246">
        <v>315.3</v>
      </c>
      <c r="I246">
        <v>315.95999999999998</v>
      </c>
    </row>
    <row r="247" spans="1:9" x14ac:dyDescent="0.3">
      <c r="A247">
        <v>501</v>
      </c>
      <c r="B247" t="s">
        <v>56</v>
      </c>
      <c r="C247" t="s">
        <v>47</v>
      </c>
      <c r="D247">
        <v>129</v>
      </c>
      <c r="E247" t="s">
        <v>34</v>
      </c>
      <c r="F247">
        <v>1</v>
      </c>
      <c r="G247" t="str">
        <f t="shared" si="2"/>
        <v>M0111-B-129-1</v>
      </c>
      <c r="H247">
        <v>315.83</v>
      </c>
      <c r="I247">
        <v>317.33</v>
      </c>
    </row>
    <row r="248" spans="1:9" x14ac:dyDescent="0.3">
      <c r="A248">
        <v>501</v>
      </c>
      <c r="B248" t="s">
        <v>56</v>
      </c>
      <c r="C248" t="s">
        <v>47</v>
      </c>
      <c r="D248">
        <v>129</v>
      </c>
      <c r="E248" t="s">
        <v>34</v>
      </c>
      <c r="F248">
        <v>2</v>
      </c>
      <c r="G248" t="str">
        <f t="shared" ref="G248:G311" si="3">CONCATENATE(B248, "-",C248, "-", D248, "-", F248)</f>
        <v>M0111-B-129-2</v>
      </c>
      <c r="H248">
        <v>317.33</v>
      </c>
      <c r="I248">
        <v>318.64</v>
      </c>
    </row>
    <row r="249" spans="1:9" x14ac:dyDescent="0.3">
      <c r="A249">
        <v>501</v>
      </c>
      <c r="B249" t="s">
        <v>56</v>
      </c>
      <c r="C249" t="s">
        <v>47</v>
      </c>
      <c r="D249">
        <v>130</v>
      </c>
      <c r="E249" t="s">
        <v>34</v>
      </c>
      <c r="F249">
        <v>1</v>
      </c>
      <c r="G249" t="str">
        <f t="shared" si="3"/>
        <v>M0111-B-130-1</v>
      </c>
      <c r="H249">
        <v>318.88</v>
      </c>
      <c r="I249">
        <v>320.38</v>
      </c>
    </row>
    <row r="250" spans="1:9" x14ac:dyDescent="0.3">
      <c r="A250">
        <v>501</v>
      </c>
      <c r="B250" t="s">
        <v>56</v>
      </c>
      <c r="C250" t="s">
        <v>47</v>
      </c>
      <c r="D250">
        <v>130</v>
      </c>
      <c r="E250" t="s">
        <v>34</v>
      </c>
      <c r="F250">
        <v>2</v>
      </c>
      <c r="G250" t="str">
        <f t="shared" si="3"/>
        <v>M0111-B-130-2</v>
      </c>
      <c r="H250">
        <v>320.38</v>
      </c>
      <c r="I250">
        <v>321.45999999999998</v>
      </c>
    </row>
    <row r="251" spans="1:9" x14ac:dyDescent="0.3">
      <c r="A251">
        <v>501</v>
      </c>
      <c r="B251" t="s">
        <v>56</v>
      </c>
      <c r="C251" t="s">
        <v>47</v>
      </c>
      <c r="D251">
        <v>131</v>
      </c>
      <c r="E251" t="s">
        <v>34</v>
      </c>
      <c r="F251">
        <v>1</v>
      </c>
      <c r="G251" t="str">
        <f t="shared" si="3"/>
        <v>M0111-B-131-1</v>
      </c>
      <c r="H251">
        <v>321.93</v>
      </c>
      <c r="I251">
        <v>322.47000000000003</v>
      </c>
    </row>
    <row r="252" spans="1:9" x14ac:dyDescent="0.3">
      <c r="A252">
        <v>501</v>
      </c>
      <c r="B252" t="s">
        <v>56</v>
      </c>
      <c r="C252" t="s">
        <v>47</v>
      </c>
      <c r="D252">
        <v>132</v>
      </c>
      <c r="E252" t="s">
        <v>34</v>
      </c>
      <c r="F252">
        <v>1</v>
      </c>
      <c r="G252" t="str">
        <f t="shared" si="3"/>
        <v>M0111-B-132-1</v>
      </c>
      <c r="H252">
        <v>323.83</v>
      </c>
      <c r="I252">
        <v>324.06</v>
      </c>
    </row>
    <row r="253" spans="1:9" x14ac:dyDescent="0.3">
      <c r="A253">
        <v>501</v>
      </c>
      <c r="B253" t="s">
        <v>56</v>
      </c>
      <c r="C253" t="s">
        <v>47</v>
      </c>
      <c r="D253">
        <v>133</v>
      </c>
      <c r="E253" t="s">
        <v>34</v>
      </c>
      <c r="F253">
        <v>1</v>
      </c>
      <c r="G253" t="str">
        <f t="shared" si="3"/>
        <v>M0111-B-133-1</v>
      </c>
      <c r="H253">
        <v>326.13</v>
      </c>
      <c r="I253">
        <v>327.63</v>
      </c>
    </row>
    <row r="254" spans="1:9" x14ac:dyDescent="0.3">
      <c r="A254">
        <v>501</v>
      </c>
      <c r="B254" t="s">
        <v>56</v>
      </c>
      <c r="C254" t="s">
        <v>47</v>
      </c>
      <c r="D254">
        <v>133</v>
      </c>
      <c r="E254" t="s">
        <v>34</v>
      </c>
      <c r="F254">
        <v>2</v>
      </c>
      <c r="G254" t="str">
        <f t="shared" si="3"/>
        <v>M0111-B-133-2</v>
      </c>
      <c r="H254">
        <v>327.63</v>
      </c>
      <c r="I254">
        <v>328.33</v>
      </c>
    </row>
    <row r="255" spans="1:9" x14ac:dyDescent="0.3">
      <c r="A255">
        <v>501</v>
      </c>
      <c r="B255" t="s">
        <v>56</v>
      </c>
      <c r="C255" t="s">
        <v>47</v>
      </c>
      <c r="D255">
        <v>134</v>
      </c>
      <c r="E255" t="s">
        <v>34</v>
      </c>
      <c r="F255">
        <v>1</v>
      </c>
      <c r="G255" t="str">
        <f t="shared" si="3"/>
        <v>M0111-B-134-1</v>
      </c>
      <c r="H255">
        <v>328.98</v>
      </c>
      <c r="I255">
        <v>329.69</v>
      </c>
    </row>
    <row r="256" spans="1:9" x14ac:dyDescent="0.3">
      <c r="A256">
        <v>501</v>
      </c>
      <c r="B256" t="s">
        <v>56</v>
      </c>
      <c r="C256" t="s">
        <v>47</v>
      </c>
      <c r="D256">
        <v>135</v>
      </c>
      <c r="E256" t="s">
        <v>34</v>
      </c>
      <c r="F256">
        <v>1</v>
      </c>
      <c r="G256" t="str">
        <f t="shared" si="3"/>
        <v>M0111-B-135-1</v>
      </c>
      <c r="H256">
        <v>330.83</v>
      </c>
      <c r="I256">
        <v>331.55</v>
      </c>
    </row>
    <row r="257" spans="1:9" x14ac:dyDescent="0.3">
      <c r="A257">
        <v>501</v>
      </c>
      <c r="B257" t="s">
        <v>56</v>
      </c>
      <c r="C257" t="s">
        <v>47</v>
      </c>
      <c r="D257">
        <v>137</v>
      </c>
      <c r="E257" t="s">
        <v>34</v>
      </c>
      <c r="F257">
        <v>1</v>
      </c>
      <c r="G257" t="str">
        <f t="shared" si="3"/>
        <v>M0111-B-137-1</v>
      </c>
      <c r="H257">
        <v>332.58</v>
      </c>
      <c r="I257">
        <v>333.22</v>
      </c>
    </row>
    <row r="258" spans="1:9" x14ac:dyDescent="0.3">
      <c r="A258">
        <v>501</v>
      </c>
      <c r="B258" t="s">
        <v>56</v>
      </c>
      <c r="C258" t="s">
        <v>47</v>
      </c>
      <c r="D258">
        <v>138</v>
      </c>
      <c r="E258" t="s">
        <v>34</v>
      </c>
      <c r="F258">
        <v>1</v>
      </c>
      <c r="G258" t="str">
        <f t="shared" si="3"/>
        <v>M0111-B-138-1</v>
      </c>
      <c r="H258">
        <v>334.98</v>
      </c>
      <c r="I258">
        <v>336.37</v>
      </c>
    </row>
    <row r="259" spans="1:9" x14ac:dyDescent="0.3">
      <c r="A259">
        <v>501</v>
      </c>
      <c r="B259" t="s">
        <v>56</v>
      </c>
      <c r="C259" t="s">
        <v>47</v>
      </c>
      <c r="D259">
        <v>139</v>
      </c>
      <c r="E259" t="s">
        <v>34</v>
      </c>
      <c r="F259">
        <v>1</v>
      </c>
      <c r="G259" t="str">
        <f t="shared" si="3"/>
        <v>M0111-B-139-1</v>
      </c>
      <c r="H259">
        <v>336.33</v>
      </c>
      <c r="I259">
        <v>337.24</v>
      </c>
    </row>
    <row r="260" spans="1:9" x14ac:dyDescent="0.3">
      <c r="A260">
        <v>501</v>
      </c>
      <c r="B260" t="s">
        <v>56</v>
      </c>
      <c r="C260" t="s">
        <v>47</v>
      </c>
      <c r="D260">
        <v>140</v>
      </c>
      <c r="E260" t="s">
        <v>34</v>
      </c>
      <c r="F260">
        <v>1</v>
      </c>
      <c r="G260" t="str">
        <f t="shared" si="3"/>
        <v>M0111-B-140-1</v>
      </c>
      <c r="H260">
        <v>338.03</v>
      </c>
      <c r="I260">
        <v>338.65</v>
      </c>
    </row>
    <row r="261" spans="1:9" x14ac:dyDescent="0.3">
      <c r="A261">
        <v>501</v>
      </c>
      <c r="B261" t="s">
        <v>56</v>
      </c>
      <c r="C261" t="s">
        <v>47</v>
      </c>
      <c r="D261">
        <v>141</v>
      </c>
      <c r="E261" t="s">
        <v>34</v>
      </c>
      <c r="F261">
        <v>1</v>
      </c>
      <c r="G261" t="str">
        <f t="shared" si="3"/>
        <v>M0111-B-141-1</v>
      </c>
      <c r="H261">
        <v>339.68</v>
      </c>
      <c r="I261">
        <v>339.81</v>
      </c>
    </row>
    <row r="262" spans="1:9" x14ac:dyDescent="0.3">
      <c r="A262">
        <v>501</v>
      </c>
      <c r="B262" t="s">
        <v>56</v>
      </c>
      <c r="C262" t="s">
        <v>47</v>
      </c>
      <c r="D262">
        <v>144</v>
      </c>
      <c r="E262" t="s">
        <v>34</v>
      </c>
      <c r="F262">
        <v>1</v>
      </c>
      <c r="G262" t="str">
        <f t="shared" si="3"/>
        <v>M0111-B-144-1</v>
      </c>
      <c r="H262">
        <v>344.43</v>
      </c>
      <c r="I262">
        <v>344.89</v>
      </c>
    </row>
    <row r="263" spans="1:9" x14ac:dyDescent="0.3">
      <c r="A263">
        <v>501</v>
      </c>
      <c r="B263" t="s">
        <v>56</v>
      </c>
      <c r="C263" t="s">
        <v>47</v>
      </c>
      <c r="D263">
        <v>146</v>
      </c>
      <c r="E263" t="s">
        <v>34</v>
      </c>
      <c r="F263">
        <v>1</v>
      </c>
      <c r="G263" t="str">
        <f t="shared" si="3"/>
        <v>M0111-B-146-1</v>
      </c>
      <c r="H263">
        <v>345.78</v>
      </c>
      <c r="I263">
        <v>345.82</v>
      </c>
    </row>
    <row r="264" spans="1:9" x14ac:dyDescent="0.3">
      <c r="A264">
        <v>501</v>
      </c>
      <c r="B264" t="s">
        <v>56</v>
      </c>
      <c r="C264" t="s">
        <v>47</v>
      </c>
      <c r="D264">
        <v>147</v>
      </c>
      <c r="E264" t="s">
        <v>34</v>
      </c>
      <c r="F264">
        <v>1</v>
      </c>
      <c r="G264" t="str">
        <f t="shared" si="3"/>
        <v>M0111-B-147-1</v>
      </c>
      <c r="H264">
        <v>346.13</v>
      </c>
      <c r="I264">
        <v>346.57</v>
      </c>
    </row>
    <row r="265" spans="1:9" x14ac:dyDescent="0.3">
      <c r="A265">
        <v>501</v>
      </c>
      <c r="B265" t="s">
        <v>56</v>
      </c>
      <c r="C265" t="s">
        <v>47</v>
      </c>
      <c r="D265">
        <v>149</v>
      </c>
      <c r="E265" t="s">
        <v>34</v>
      </c>
      <c r="F265">
        <v>1</v>
      </c>
      <c r="G265" t="str">
        <f t="shared" si="3"/>
        <v>M0111-B-149-1</v>
      </c>
      <c r="H265">
        <v>348.03</v>
      </c>
      <c r="I265">
        <v>349.15</v>
      </c>
    </row>
    <row r="266" spans="1:9" x14ac:dyDescent="0.3">
      <c r="A266">
        <v>501</v>
      </c>
      <c r="B266" t="s">
        <v>56</v>
      </c>
      <c r="C266" t="s">
        <v>47</v>
      </c>
      <c r="D266">
        <v>150</v>
      </c>
      <c r="E266" t="s">
        <v>34</v>
      </c>
      <c r="F266">
        <v>1</v>
      </c>
      <c r="G266" t="str">
        <f t="shared" si="3"/>
        <v>M0111-B-150-1</v>
      </c>
      <c r="H266">
        <v>349.03</v>
      </c>
      <c r="I266">
        <v>349.13</v>
      </c>
    </row>
    <row r="267" spans="1:9" x14ac:dyDescent="0.3">
      <c r="A267">
        <v>501</v>
      </c>
      <c r="B267" t="s">
        <v>56</v>
      </c>
      <c r="C267" t="s">
        <v>47</v>
      </c>
      <c r="D267">
        <v>151</v>
      </c>
      <c r="E267" t="s">
        <v>34</v>
      </c>
      <c r="F267">
        <v>1</v>
      </c>
      <c r="G267" t="str">
        <f t="shared" si="3"/>
        <v>M0111-B-151-1</v>
      </c>
      <c r="H267">
        <v>350.03</v>
      </c>
      <c r="I267">
        <v>350.67</v>
      </c>
    </row>
    <row r="268" spans="1:9" x14ac:dyDescent="0.3">
      <c r="A268">
        <v>501</v>
      </c>
      <c r="B268" t="s">
        <v>56</v>
      </c>
      <c r="C268" t="s">
        <v>47</v>
      </c>
      <c r="D268">
        <v>152</v>
      </c>
      <c r="E268" t="s">
        <v>34</v>
      </c>
      <c r="F268">
        <v>1</v>
      </c>
      <c r="G268" t="str">
        <f t="shared" si="3"/>
        <v>M0111-B-152-1</v>
      </c>
      <c r="H268">
        <v>351.28</v>
      </c>
      <c r="I268">
        <v>351.62</v>
      </c>
    </row>
    <row r="269" spans="1:9" x14ac:dyDescent="0.3">
      <c r="A269">
        <v>501</v>
      </c>
      <c r="B269" t="s">
        <v>56</v>
      </c>
      <c r="C269" t="s">
        <v>47</v>
      </c>
      <c r="D269">
        <v>154</v>
      </c>
      <c r="E269" t="s">
        <v>34</v>
      </c>
      <c r="F269">
        <v>1</v>
      </c>
      <c r="G269" t="str">
        <f t="shared" si="3"/>
        <v>M0111-B-154-1</v>
      </c>
      <c r="H269">
        <v>353.58</v>
      </c>
      <c r="I269">
        <v>353.81</v>
      </c>
    </row>
    <row r="270" spans="1:9" x14ac:dyDescent="0.3">
      <c r="A270">
        <v>501</v>
      </c>
      <c r="B270" t="s">
        <v>56</v>
      </c>
      <c r="C270" t="s">
        <v>47</v>
      </c>
      <c r="D270">
        <v>155</v>
      </c>
      <c r="E270" t="s">
        <v>34</v>
      </c>
      <c r="F270">
        <v>1</v>
      </c>
      <c r="G270" t="str">
        <f t="shared" si="3"/>
        <v>M0111-B-155-1</v>
      </c>
      <c r="H270">
        <v>355.55</v>
      </c>
      <c r="I270">
        <v>356.52</v>
      </c>
    </row>
    <row r="271" spans="1:9" x14ac:dyDescent="0.3">
      <c r="A271">
        <v>501</v>
      </c>
      <c r="B271" t="s">
        <v>56</v>
      </c>
      <c r="C271" t="s">
        <v>47</v>
      </c>
      <c r="D271">
        <v>156</v>
      </c>
      <c r="E271" t="s">
        <v>34</v>
      </c>
      <c r="F271">
        <v>1</v>
      </c>
      <c r="G271" t="str">
        <f t="shared" si="3"/>
        <v>M0111-B-156-1</v>
      </c>
      <c r="H271">
        <v>358.6</v>
      </c>
      <c r="I271">
        <v>358.75</v>
      </c>
    </row>
    <row r="272" spans="1:9" x14ac:dyDescent="0.3">
      <c r="A272">
        <v>501</v>
      </c>
      <c r="B272" t="s">
        <v>56</v>
      </c>
      <c r="C272" t="s">
        <v>47</v>
      </c>
      <c r="D272">
        <v>157</v>
      </c>
      <c r="E272" t="s">
        <v>34</v>
      </c>
      <c r="F272">
        <v>1</v>
      </c>
      <c r="G272" t="str">
        <f t="shared" si="3"/>
        <v>M0111-B-157-1</v>
      </c>
      <c r="H272">
        <v>360.83</v>
      </c>
      <c r="I272">
        <v>361.57</v>
      </c>
    </row>
    <row r="273" spans="1:9" x14ac:dyDescent="0.3">
      <c r="A273">
        <v>501</v>
      </c>
      <c r="B273" t="s">
        <v>56</v>
      </c>
      <c r="C273" t="s">
        <v>47</v>
      </c>
      <c r="D273">
        <v>158</v>
      </c>
      <c r="E273" t="s">
        <v>34</v>
      </c>
      <c r="F273">
        <v>1</v>
      </c>
      <c r="G273" t="str">
        <f t="shared" si="3"/>
        <v>M0111-B-158-1</v>
      </c>
      <c r="H273">
        <v>361.73</v>
      </c>
      <c r="I273">
        <v>362.35</v>
      </c>
    </row>
    <row r="274" spans="1:9" x14ac:dyDescent="0.3">
      <c r="A274">
        <v>501</v>
      </c>
      <c r="B274" t="s">
        <v>56</v>
      </c>
      <c r="C274" t="s">
        <v>47</v>
      </c>
      <c r="D274">
        <v>158</v>
      </c>
      <c r="E274" t="s">
        <v>34</v>
      </c>
      <c r="F274">
        <v>2</v>
      </c>
      <c r="G274" t="str">
        <f t="shared" si="3"/>
        <v>M0111-B-158-2</v>
      </c>
      <c r="H274">
        <v>362.35</v>
      </c>
      <c r="I274">
        <v>362.72</v>
      </c>
    </row>
    <row r="275" spans="1:9" x14ac:dyDescent="0.3">
      <c r="A275">
        <v>501</v>
      </c>
      <c r="B275" t="s">
        <v>56</v>
      </c>
      <c r="C275" t="s">
        <v>47</v>
      </c>
      <c r="D275">
        <v>159</v>
      </c>
      <c r="E275" t="s">
        <v>34</v>
      </c>
      <c r="F275">
        <v>1</v>
      </c>
      <c r="G275" t="str">
        <f t="shared" si="3"/>
        <v>M0111-B-159-1</v>
      </c>
      <c r="H275">
        <v>364.78</v>
      </c>
      <c r="I275">
        <v>365.38</v>
      </c>
    </row>
    <row r="276" spans="1:9" x14ac:dyDescent="0.3">
      <c r="A276">
        <v>501</v>
      </c>
      <c r="B276" t="s">
        <v>56</v>
      </c>
      <c r="C276" t="s">
        <v>47</v>
      </c>
      <c r="D276">
        <v>160</v>
      </c>
      <c r="E276" t="s">
        <v>34</v>
      </c>
      <c r="F276">
        <v>1</v>
      </c>
      <c r="G276" t="str">
        <f t="shared" si="3"/>
        <v>M0111-B-160-1</v>
      </c>
      <c r="H276">
        <v>366.08</v>
      </c>
      <c r="I276">
        <v>366.5</v>
      </c>
    </row>
    <row r="277" spans="1:9" x14ac:dyDescent="0.3">
      <c r="A277">
        <v>501</v>
      </c>
      <c r="B277" t="s">
        <v>56</v>
      </c>
      <c r="C277" t="s">
        <v>47</v>
      </c>
      <c r="D277">
        <v>161</v>
      </c>
      <c r="E277" t="s">
        <v>34</v>
      </c>
      <c r="F277">
        <v>1</v>
      </c>
      <c r="G277" t="str">
        <f t="shared" si="3"/>
        <v>M0111-B-161-1</v>
      </c>
      <c r="H277">
        <v>368.83</v>
      </c>
      <c r="I277">
        <v>369.83</v>
      </c>
    </row>
    <row r="278" spans="1:9" x14ac:dyDescent="0.3">
      <c r="A278">
        <v>501</v>
      </c>
      <c r="B278" t="s">
        <v>56</v>
      </c>
      <c r="C278" t="s">
        <v>47</v>
      </c>
      <c r="D278">
        <v>165</v>
      </c>
      <c r="E278" t="s">
        <v>34</v>
      </c>
      <c r="F278">
        <v>1</v>
      </c>
      <c r="G278" t="str">
        <f t="shared" si="3"/>
        <v>M0111-B-165-1</v>
      </c>
      <c r="H278">
        <v>377.98</v>
      </c>
      <c r="I278">
        <v>379.48</v>
      </c>
    </row>
    <row r="279" spans="1:9" x14ac:dyDescent="0.3">
      <c r="A279">
        <v>501</v>
      </c>
      <c r="B279" t="s">
        <v>56</v>
      </c>
      <c r="C279" t="s">
        <v>47</v>
      </c>
      <c r="D279">
        <v>165</v>
      </c>
      <c r="E279" t="s">
        <v>34</v>
      </c>
      <c r="F279">
        <v>2</v>
      </c>
      <c r="G279" t="str">
        <f t="shared" si="3"/>
        <v>M0111-B-165-2</v>
      </c>
      <c r="H279">
        <v>379.48</v>
      </c>
      <c r="I279">
        <v>379.91</v>
      </c>
    </row>
    <row r="280" spans="1:9" x14ac:dyDescent="0.3">
      <c r="A280">
        <v>501</v>
      </c>
      <c r="B280" t="s">
        <v>56</v>
      </c>
      <c r="C280" t="s">
        <v>47</v>
      </c>
      <c r="D280">
        <v>166</v>
      </c>
      <c r="E280" t="s">
        <v>34</v>
      </c>
      <c r="F280">
        <v>1</v>
      </c>
      <c r="G280" t="str">
        <f t="shared" si="3"/>
        <v>M0111-B-166-1</v>
      </c>
      <c r="H280">
        <v>381.03</v>
      </c>
      <c r="I280">
        <v>381.93</v>
      </c>
    </row>
    <row r="281" spans="1:9" x14ac:dyDescent="0.3">
      <c r="A281">
        <v>501</v>
      </c>
      <c r="B281" t="s">
        <v>56</v>
      </c>
      <c r="C281" t="s">
        <v>47</v>
      </c>
      <c r="D281">
        <v>168</v>
      </c>
      <c r="E281" t="s">
        <v>34</v>
      </c>
      <c r="F281">
        <v>1</v>
      </c>
      <c r="G281" t="str">
        <f t="shared" si="3"/>
        <v>M0111-B-168-1</v>
      </c>
      <c r="H281">
        <v>383.08</v>
      </c>
      <c r="I281">
        <v>383.25</v>
      </c>
    </row>
    <row r="282" spans="1:9" x14ac:dyDescent="0.3">
      <c r="A282">
        <v>501</v>
      </c>
      <c r="B282" t="s">
        <v>56</v>
      </c>
      <c r="C282" t="s">
        <v>47</v>
      </c>
      <c r="D282">
        <v>169</v>
      </c>
      <c r="E282" t="s">
        <v>34</v>
      </c>
      <c r="F282">
        <v>1</v>
      </c>
      <c r="G282" t="str">
        <f t="shared" si="3"/>
        <v>M0111-B-169-1</v>
      </c>
      <c r="H282">
        <v>384.08</v>
      </c>
      <c r="I282">
        <v>384.26</v>
      </c>
    </row>
    <row r="283" spans="1:9" x14ac:dyDescent="0.3">
      <c r="A283">
        <v>501</v>
      </c>
      <c r="B283" t="s">
        <v>56</v>
      </c>
      <c r="C283" t="s">
        <v>47</v>
      </c>
      <c r="D283">
        <v>171</v>
      </c>
      <c r="E283" t="s">
        <v>34</v>
      </c>
      <c r="F283">
        <v>1</v>
      </c>
      <c r="G283" t="str">
        <f t="shared" si="3"/>
        <v>M0111-B-171-1</v>
      </c>
      <c r="H283">
        <v>389.18</v>
      </c>
      <c r="I283">
        <v>389.3</v>
      </c>
    </row>
    <row r="284" spans="1:9" x14ac:dyDescent="0.3">
      <c r="A284">
        <v>501</v>
      </c>
      <c r="B284" t="s">
        <v>56</v>
      </c>
      <c r="C284" t="s">
        <v>48</v>
      </c>
      <c r="D284">
        <v>1</v>
      </c>
      <c r="E284" t="s">
        <v>57</v>
      </c>
      <c r="F284">
        <v>1</v>
      </c>
      <c r="G284" t="str">
        <f t="shared" si="3"/>
        <v>M0111-C-1-1</v>
      </c>
      <c r="H284">
        <v>45.56</v>
      </c>
      <c r="I284">
        <v>47.06</v>
      </c>
    </row>
    <row r="285" spans="1:9" x14ac:dyDescent="0.3">
      <c r="A285">
        <v>501</v>
      </c>
      <c r="B285" t="s">
        <v>56</v>
      </c>
      <c r="C285" t="s">
        <v>48</v>
      </c>
      <c r="D285">
        <v>1</v>
      </c>
      <c r="E285" t="s">
        <v>57</v>
      </c>
      <c r="F285">
        <v>2</v>
      </c>
      <c r="G285" t="str">
        <f t="shared" si="3"/>
        <v>M0111-C-1-2</v>
      </c>
      <c r="H285">
        <v>47.06</v>
      </c>
      <c r="I285">
        <v>47.67</v>
      </c>
    </row>
    <row r="286" spans="1:9" x14ac:dyDescent="0.3">
      <c r="A286">
        <v>501</v>
      </c>
      <c r="B286" t="s">
        <v>56</v>
      </c>
      <c r="C286" t="s">
        <v>48</v>
      </c>
      <c r="D286">
        <v>2</v>
      </c>
      <c r="E286" t="s">
        <v>57</v>
      </c>
      <c r="F286">
        <v>1</v>
      </c>
      <c r="G286" t="str">
        <f t="shared" si="3"/>
        <v>M0111-C-2-1</v>
      </c>
      <c r="H286">
        <v>47.67</v>
      </c>
      <c r="I286">
        <v>48.24</v>
      </c>
    </row>
    <row r="287" spans="1:9" x14ac:dyDescent="0.3">
      <c r="A287">
        <v>501</v>
      </c>
      <c r="B287" t="s">
        <v>56</v>
      </c>
      <c r="C287" t="s">
        <v>48</v>
      </c>
      <c r="D287">
        <v>2</v>
      </c>
      <c r="E287" t="s">
        <v>57</v>
      </c>
      <c r="F287">
        <v>2</v>
      </c>
      <c r="G287" t="str">
        <f t="shared" si="3"/>
        <v>M0111-C-2-2</v>
      </c>
      <c r="H287">
        <v>48.24</v>
      </c>
      <c r="I287">
        <v>48.56</v>
      </c>
    </row>
    <row r="288" spans="1:9" x14ac:dyDescent="0.3">
      <c r="A288">
        <v>501</v>
      </c>
      <c r="B288" t="s">
        <v>56</v>
      </c>
      <c r="C288" t="s">
        <v>48</v>
      </c>
      <c r="D288">
        <v>3</v>
      </c>
      <c r="E288" t="s">
        <v>57</v>
      </c>
      <c r="F288">
        <v>1</v>
      </c>
      <c r="G288" t="str">
        <f t="shared" si="3"/>
        <v>M0111-C-3-1</v>
      </c>
      <c r="H288">
        <v>48.56</v>
      </c>
      <c r="I288">
        <v>49.77</v>
      </c>
    </row>
    <row r="289" spans="1:9" x14ac:dyDescent="0.3">
      <c r="A289">
        <v>501</v>
      </c>
      <c r="B289" t="s">
        <v>56</v>
      </c>
      <c r="C289" t="s">
        <v>48</v>
      </c>
      <c r="D289">
        <v>3</v>
      </c>
      <c r="E289" t="s">
        <v>57</v>
      </c>
      <c r="F289">
        <v>2</v>
      </c>
      <c r="G289" t="str">
        <f t="shared" si="3"/>
        <v>M0111-C-3-2</v>
      </c>
      <c r="H289">
        <v>49.77</v>
      </c>
      <c r="I289">
        <v>50</v>
      </c>
    </row>
    <row r="290" spans="1:9" x14ac:dyDescent="0.3">
      <c r="A290">
        <v>501</v>
      </c>
      <c r="B290" t="s">
        <v>56</v>
      </c>
      <c r="C290" t="s">
        <v>48</v>
      </c>
      <c r="D290">
        <v>4</v>
      </c>
      <c r="E290" t="s">
        <v>57</v>
      </c>
      <c r="F290">
        <v>1</v>
      </c>
      <c r="G290" t="str">
        <f t="shared" si="3"/>
        <v>M0111-C-4-1</v>
      </c>
      <c r="H290">
        <v>50</v>
      </c>
      <c r="I290">
        <v>51.1</v>
      </c>
    </row>
    <row r="291" spans="1:9" x14ac:dyDescent="0.3">
      <c r="A291">
        <v>501</v>
      </c>
      <c r="B291" t="s">
        <v>56</v>
      </c>
      <c r="C291" t="s">
        <v>48</v>
      </c>
      <c r="D291">
        <v>5</v>
      </c>
      <c r="E291" t="s">
        <v>57</v>
      </c>
      <c r="F291">
        <v>1</v>
      </c>
      <c r="G291" t="str">
        <f t="shared" si="3"/>
        <v>M0111-C-5-1</v>
      </c>
      <c r="H291">
        <v>110</v>
      </c>
      <c r="I291">
        <v>110.77</v>
      </c>
    </row>
    <row r="292" spans="1:9" x14ac:dyDescent="0.3">
      <c r="A292">
        <v>501</v>
      </c>
      <c r="B292" t="s">
        <v>56</v>
      </c>
      <c r="C292" t="s">
        <v>48</v>
      </c>
      <c r="D292">
        <v>6</v>
      </c>
      <c r="E292" t="s">
        <v>57</v>
      </c>
      <c r="F292">
        <v>1</v>
      </c>
      <c r="G292" t="str">
        <f t="shared" si="3"/>
        <v>M0111-C-6-1</v>
      </c>
      <c r="H292">
        <v>111.36</v>
      </c>
      <c r="I292">
        <v>112.09</v>
      </c>
    </row>
    <row r="293" spans="1:9" x14ac:dyDescent="0.3">
      <c r="A293">
        <v>501</v>
      </c>
      <c r="B293" t="s">
        <v>56</v>
      </c>
      <c r="C293" t="s">
        <v>48</v>
      </c>
      <c r="D293">
        <v>6</v>
      </c>
      <c r="E293" t="s">
        <v>57</v>
      </c>
      <c r="F293">
        <v>2</v>
      </c>
      <c r="G293" t="str">
        <f t="shared" si="3"/>
        <v>M0111-C-6-2</v>
      </c>
      <c r="H293">
        <v>112.09</v>
      </c>
      <c r="I293">
        <v>112.66</v>
      </c>
    </row>
    <row r="294" spans="1:9" x14ac:dyDescent="0.3">
      <c r="A294">
        <v>501</v>
      </c>
      <c r="B294" t="s">
        <v>56</v>
      </c>
      <c r="C294" t="s">
        <v>48</v>
      </c>
      <c r="D294">
        <v>7</v>
      </c>
      <c r="E294" t="s">
        <v>34</v>
      </c>
      <c r="F294">
        <v>1</v>
      </c>
      <c r="G294" t="str">
        <f t="shared" si="3"/>
        <v>M0111-C-7-1</v>
      </c>
      <c r="H294">
        <v>120.36</v>
      </c>
      <c r="I294">
        <v>121.87</v>
      </c>
    </row>
    <row r="295" spans="1:9" x14ac:dyDescent="0.3">
      <c r="A295">
        <v>501</v>
      </c>
      <c r="B295" t="s">
        <v>56</v>
      </c>
      <c r="C295" t="s">
        <v>48</v>
      </c>
      <c r="D295">
        <v>7</v>
      </c>
      <c r="E295" t="s">
        <v>34</v>
      </c>
      <c r="F295">
        <v>2</v>
      </c>
      <c r="G295" t="str">
        <f t="shared" si="3"/>
        <v>M0111-C-7-2</v>
      </c>
      <c r="H295">
        <v>121.87</v>
      </c>
      <c r="I295">
        <v>123.29</v>
      </c>
    </row>
    <row r="296" spans="1:9" x14ac:dyDescent="0.3">
      <c r="A296">
        <v>501</v>
      </c>
      <c r="B296" t="s">
        <v>56</v>
      </c>
      <c r="C296" t="s">
        <v>48</v>
      </c>
      <c r="D296">
        <v>8</v>
      </c>
      <c r="E296" t="s">
        <v>34</v>
      </c>
      <c r="F296">
        <v>1</v>
      </c>
      <c r="G296" t="str">
        <f t="shared" si="3"/>
        <v>M0111-C-8-1</v>
      </c>
      <c r="H296">
        <v>125</v>
      </c>
      <c r="I296">
        <v>126.01</v>
      </c>
    </row>
    <row r="297" spans="1:9" x14ac:dyDescent="0.3">
      <c r="A297">
        <v>501</v>
      </c>
      <c r="B297" t="s">
        <v>56</v>
      </c>
      <c r="C297" t="s">
        <v>48</v>
      </c>
      <c r="D297">
        <v>8</v>
      </c>
      <c r="E297" t="s">
        <v>34</v>
      </c>
      <c r="F297">
        <v>2</v>
      </c>
      <c r="G297" t="str">
        <f t="shared" si="3"/>
        <v>M0111-C-8-2</v>
      </c>
      <c r="H297">
        <v>126.01</v>
      </c>
      <c r="I297">
        <v>126.45</v>
      </c>
    </row>
    <row r="298" spans="1:9" x14ac:dyDescent="0.3">
      <c r="A298">
        <v>501</v>
      </c>
      <c r="B298" t="s">
        <v>56</v>
      </c>
      <c r="C298" t="s">
        <v>48</v>
      </c>
      <c r="D298">
        <v>9</v>
      </c>
      <c r="E298" t="s">
        <v>34</v>
      </c>
      <c r="F298">
        <v>1</v>
      </c>
      <c r="G298" t="str">
        <f t="shared" si="3"/>
        <v>M0111-C-9-1</v>
      </c>
      <c r="H298">
        <v>126.36</v>
      </c>
      <c r="I298">
        <v>127.87</v>
      </c>
    </row>
    <row r="299" spans="1:9" x14ac:dyDescent="0.3">
      <c r="A299">
        <v>501</v>
      </c>
      <c r="B299" t="s">
        <v>56</v>
      </c>
      <c r="C299" t="s">
        <v>48</v>
      </c>
      <c r="D299">
        <v>9</v>
      </c>
      <c r="E299" t="s">
        <v>34</v>
      </c>
      <c r="F299">
        <v>2</v>
      </c>
      <c r="G299" t="str">
        <f t="shared" si="3"/>
        <v>M0111-C-9-2</v>
      </c>
      <c r="H299">
        <v>127.87</v>
      </c>
      <c r="I299">
        <v>129.19</v>
      </c>
    </row>
    <row r="300" spans="1:9" x14ac:dyDescent="0.3">
      <c r="A300">
        <v>501</v>
      </c>
      <c r="B300" t="s">
        <v>56</v>
      </c>
      <c r="C300" t="s">
        <v>48</v>
      </c>
      <c r="D300">
        <v>10</v>
      </c>
      <c r="E300" t="s">
        <v>34</v>
      </c>
      <c r="F300">
        <v>1</v>
      </c>
      <c r="G300" t="str">
        <f t="shared" si="3"/>
        <v>M0111-C-10-1</v>
      </c>
      <c r="H300">
        <v>150</v>
      </c>
      <c r="I300">
        <v>151.5</v>
      </c>
    </row>
    <row r="301" spans="1:9" x14ac:dyDescent="0.3">
      <c r="A301">
        <v>501</v>
      </c>
      <c r="B301" t="s">
        <v>56</v>
      </c>
      <c r="C301" t="s">
        <v>48</v>
      </c>
      <c r="D301">
        <v>10</v>
      </c>
      <c r="E301" t="s">
        <v>34</v>
      </c>
      <c r="F301">
        <v>2</v>
      </c>
      <c r="G301" t="str">
        <f t="shared" si="3"/>
        <v>M0111-C-10-2</v>
      </c>
      <c r="H301">
        <v>151.5</v>
      </c>
      <c r="I301">
        <v>152.5</v>
      </c>
    </row>
    <row r="302" spans="1:9" x14ac:dyDescent="0.3">
      <c r="A302">
        <v>501</v>
      </c>
      <c r="B302" t="s">
        <v>56</v>
      </c>
      <c r="C302" t="s">
        <v>48</v>
      </c>
      <c r="D302">
        <v>10</v>
      </c>
      <c r="E302" t="s">
        <v>34</v>
      </c>
      <c r="F302">
        <v>3</v>
      </c>
      <c r="G302" t="str">
        <f t="shared" si="3"/>
        <v>M0111-C-10-3</v>
      </c>
      <c r="H302">
        <v>152.5</v>
      </c>
      <c r="I302">
        <v>153.12</v>
      </c>
    </row>
    <row r="303" spans="1:9" x14ac:dyDescent="0.3">
      <c r="A303">
        <v>501</v>
      </c>
      <c r="B303" t="s">
        <v>56</v>
      </c>
      <c r="C303" t="s">
        <v>48</v>
      </c>
      <c r="D303">
        <v>11</v>
      </c>
      <c r="E303" t="s">
        <v>34</v>
      </c>
      <c r="F303">
        <v>1</v>
      </c>
      <c r="G303" t="str">
        <f t="shared" si="3"/>
        <v>M0111-C-11-1</v>
      </c>
      <c r="H303">
        <v>153</v>
      </c>
      <c r="I303">
        <v>154.5</v>
      </c>
    </row>
    <row r="304" spans="1:9" x14ac:dyDescent="0.3">
      <c r="A304">
        <v>501</v>
      </c>
      <c r="B304" t="s">
        <v>56</v>
      </c>
      <c r="C304" t="s">
        <v>48</v>
      </c>
      <c r="D304">
        <v>11</v>
      </c>
      <c r="E304" t="s">
        <v>34</v>
      </c>
      <c r="F304">
        <v>2</v>
      </c>
      <c r="G304" t="str">
        <f t="shared" si="3"/>
        <v>M0111-C-11-2</v>
      </c>
      <c r="H304">
        <v>154.5</v>
      </c>
      <c r="I304">
        <v>155.49</v>
      </c>
    </row>
    <row r="305" spans="1:9" x14ac:dyDescent="0.3">
      <c r="A305">
        <v>501</v>
      </c>
      <c r="B305" t="s">
        <v>56</v>
      </c>
      <c r="C305" t="s">
        <v>48</v>
      </c>
      <c r="D305">
        <v>11</v>
      </c>
      <c r="E305" t="s">
        <v>34</v>
      </c>
      <c r="F305">
        <v>3</v>
      </c>
      <c r="G305" t="str">
        <f t="shared" si="3"/>
        <v>M0111-C-11-3</v>
      </c>
      <c r="H305">
        <v>155.49</v>
      </c>
      <c r="I305">
        <v>156.12</v>
      </c>
    </row>
    <row r="306" spans="1:9" x14ac:dyDescent="0.3">
      <c r="A306">
        <v>501</v>
      </c>
      <c r="B306" t="s">
        <v>56</v>
      </c>
      <c r="C306" t="s">
        <v>48</v>
      </c>
      <c r="D306">
        <v>12</v>
      </c>
      <c r="E306" t="s">
        <v>34</v>
      </c>
      <c r="F306">
        <v>1</v>
      </c>
      <c r="G306" t="str">
        <f t="shared" si="3"/>
        <v>M0111-C-12-1</v>
      </c>
      <c r="H306">
        <v>156</v>
      </c>
      <c r="I306">
        <v>157.47999999999999</v>
      </c>
    </row>
    <row r="307" spans="1:9" x14ac:dyDescent="0.3">
      <c r="A307">
        <v>501</v>
      </c>
      <c r="B307" t="s">
        <v>56</v>
      </c>
      <c r="C307" t="s">
        <v>48</v>
      </c>
      <c r="D307">
        <v>12</v>
      </c>
      <c r="E307" t="s">
        <v>34</v>
      </c>
      <c r="F307">
        <v>2</v>
      </c>
      <c r="G307" t="str">
        <f t="shared" si="3"/>
        <v>M0111-C-12-2</v>
      </c>
      <c r="H307">
        <v>157.47999999999999</v>
      </c>
      <c r="I307">
        <v>158.11000000000001</v>
      </c>
    </row>
    <row r="308" spans="1:9" x14ac:dyDescent="0.3">
      <c r="A308">
        <v>501</v>
      </c>
      <c r="B308" t="s">
        <v>56</v>
      </c>
      <c r="C308" t="s">
        <v>48</v>
      </c>
      <c r="D308">
        <v>13</v>
      </c>
      <c r="E308" t="s">
        <v>34</v>
      </c>
      <c r="F308">
        <v>1</v>
      </c>
      <c r="G308" t="str">
        <f t="shared" si="3"/>
        <v>M0111-C-13-1</v>
      </c>
      <c r="H308">
        <v>159</v>
      </c>
      <c r="I308">
        <v>159.83000000000001</v>
      </c>
    </row>
    <row r="309" spans="1:9" x14ac:dyDescent="0.3">
      <c r="A309">
        <v>501</v>
      </c>
      <c r="B309" t="s">
        <v>56</v>
      </c>
      <c r="C309" t="s">
        <v>48</v>
      </c>
      <c r="D309">
        <v>14</v>
      </c>
      <c r="E309" t="s">
        <v>34</v>
      </c>
      <c r="F309">
        <v>1</v>
      </c>
      <c r="G309" t="str">
        <f t="shared" si="3"/>
        <v>M0111-C-14-1</v>
      </c>
      <c r="H309">
        <v>161.16</v>
      </c>
      <c r="I309">
        <v>162.13999999999999</v>
      </c>
    </row>
    <row r="310" spans="1:9" x14ac:dyDescent="0.3">
      <c r="A310">
        <v>501</v>
      </c>
      <c r="B310" t="s">
        <v>56</v>
      </c>
      <c r="C310" t="s">
        <v>48</v>
      </c>
      <c r="D310">
        <v>15</v>
      </c>
      <c r="E310" t="s">
        <v>34</v>
      </c>
      <c r="F310">
        <v>1</v>
      </c>
      <c r="G310" t="str">
        <f t="shared" si="3"/>
        <v>M0111-C-15-1</v>
      </c>
      <c r="H310">
        <v>162.36000000000001</v>
      </c>
      <c r="I310">
        <v>163.25</v>
      </c>
    </row>
    <row r="311" spans="1:9" x14ac:dyDescent="0.3">
      <c r="A311">
        <v>501</v>
      </c>
      <c r="B311" t="s">
        <v>56</v>
      </c>
      <c r="C311" t="s">
        <v>48</v>
      </c>
      <c r="D311">
        <v>17</v>
      </c>
      <c r="E311" t="s">
        <v>34</v>
      </c>
      <c r="F311">
        <v>1</v>
      </c>
      <c r="G311" t="str">
        <f t="shared" si="3"/>
        <v>M0111-C-17-1</v>
      </c>
      <c r="H311">
        <v>166.36</v>
      </c>
      <c r="I311">
        <v>166.53</v>
      </c>
    </row>
    <row r="312" spans="1:9" x14ac:dyDescent="0.3">
      <c r="A312">
        <v>501</v>
      </c>
      <c r="B312" t="s">
        <v>56</v>
      </c>
      <c r="C312" t="s">
        <v>48</v>
      </c>
      <c r="D312">
        <v>18</v>
      </c>
      <c r="E312" t="s">
        <v>34</v>
      </c>
      <c r="F312">
        <v>1</v>
      </c>
      <c r="G312" t="str">
        <f t="shared" ref="G312:G375" si="4">CONCATENATE(B312, "-",C312, "-", D312, "-", F312)</f>
        <v>M0111-C-18-1</v>
      </c>
      <c r="H312">
        <v>168.36</v>
      </c>
      <c r="I312">
        <v>169.86</v>
      </c>
    </row>
    <row r="313" spans="1:9" x14ac:dyDescent="0.3">
      <c r="A313">
        <v>501</v>
      </c>
      <c r="B313" t="s">
        <v>56</v>
      </c>
      <c r="C313" t="s">
        <v>48</v>
      </c>
      <c r="D313">
        <v>18</v>
      </c>
      <c r="E313" t="s">
        <v>34</v>
      </c>
      <c r="F313">
        <v>2</v>
      </c>
      <c r="G313" t="str">
        <f t="shared" si="4"/>
        <v>M0111-C-18-2</v>
      </c>
      <c r="H313">
        <v>169.86</v>
      </c>
      <c r="I313">
        <v>171.22</v>
      </c>
    </row>
    <row r="314" spans="1:9" x14ac:dyDescent="0.3">
      <c r="A314">
        <v>501</v>
      </c>
      <c r="B314" t="s">
        <v>56</v>
      </c>
      <c r="C314" t="s">
        <v>48</v>
      </c>
      <c r="D314">
        <v>19</v>
      </c>
      <c r="E314" t="s">
        <v>59</v>
      </c>
      <c r="F314">
        <v>1</v>
      </c>
      <c r="G314" t="str">
        <f t="shared" si="4"/>
        <v>M0111-C-19-1</v>
      </c>
      <c r="H314">
        <v>150.36000000000001</v>
      </c>
      <c r="I314">
        <v>165.36</v>
      </c>
    </row>
    <row r="315" spans="1:9" x14ac:dyDescent="0.3">
      <c r="A315">
        <v>501</v>
      </c>
      <c r="B315" t="s">
        <v>56</v>
      </c>
      <c r="C315" t="s">
        <v>48</v>
      </c>
      <c r="D315">
        <v>20</v>
      </c>
      <c r="E315" t="s">
        <v>34</v>
      </c>
      <c r="F315">
        <v>1</v>
      </c>
      <c r="G315" t="str">
        <f t="shared" si="4"/>
        <v>M0111-C-20-1</v>
      </c>
      <c r="H315">
        <v>171.36</v>
      </c>
      <c r="I315">
        <v>172.86</v>
      </c>
    </row>
    <row r="316" spans="1:9" x14ac:dyDescent="0.3">
      <c r="A316">
        <v>501</v>
      </c>
      <c r="B316" t="s">
        <v>56</v>
      </c>
      <c r="C316" t="s">
        <v>48</v>
      </c>
      <c r="D316">
        <v>20</v>
      </c>
      <c r="E316" t="s">
        <v>34</v>
      </c>
      <c r="F316">
        <v>2</v>
      </c>
      <c r="G316" t="str">
        <f t="shared" si="4"/>
        <v>M0111-C-20-2</v>
      </c>
      <c r="H316">
        <v>172.86</v>
      </c>
      <c r="I316">
        <v>174.36</v>
      </c>
    </row>
    <row r="317" spans="1:9" x14ac:dyDescent="0.3">
      <c r="A317">
        <v>501</v>
      </c>
      <c r="B317" t="s">
        <v>56</v>
      </c>
      <c r="C317" t="s">
        <v>48</v>
      </c>
      <c r="D317">
        <v>20</v>
      </c>
      <c r="E317" t="s">
        <v>34</v>
      </c>
      <c r="F317">
        <v>3</v>
      </c>
      <c r="G317" t="str">
        <f t="shared" si="4"/>
        <v>M0111-C-20-3</v>
      </c>
      <c r="H317">
        <v>174.36</v>
      </c>
      <c r="I317">
        <v>174.68</v>
      </c>
    </row>
    <row r="318" spans="1:9" x14ac:dyDescent="0.3">
      <c r="A318">
        <v>501</v>
      </c>
      <c r="B318" t="s">
        <v>56</v>
      </c>
      <c r="C318" t="s">
        <v>48</v>
      </c>
      <c r="D318">
        <v>21</v>
      </c>
      <c r="E318" t="s">
        <v>34</v>
      </c>
      <c r="F318">
        <v>1</v>
      </c>
      <c r="G318" t="str">
        <f t="shared" si="4"/>
        <v>M0111-C-21-1</v>
      </c>
      <c r="H318">
        <v>177.36</v>
      </c>
      <c r="I318">
        <v>178.88</v>
      </c>
    </row>
    <row r="319" spans="1:9" x14ac:dyDescent="0.3">
      <c r="A319">
        <v>501</v>
      </c>
      <c r="B319" t="s">
        <v>56</v>
      </c>
      <c r="C319" t="s">
        <v>48</v>
      </c>
      <c r="D319">
        <v>21</v>
      </c>
      <c r="E319" t="s">
        <v>34</v>
      </c>
      <c r="F319">
        <v>2</v>
      </c>
      <c r="G319" t="str">
        <f t="shared" si="4"/>
        <v>M0111-C-21-2</v>
      </c>
      <c r="H319">
        <v>178.88</v>
      </c>
      <c r="I319">
        <v>180.39</v>
      </c>
    </row>
    <row r="320" spans="1:9" x14ac:dyDescent="0.3">
      <c r="A320">
        <v>501</v>
      </c>
      <c r="B320" t="s">
        <v>56</v>
      </c>
      <c r="C320" t="s">
        <v>48</v>
      </c>
      <c r="D320">
        <v>21</v>
      </c>
      <c r="E320" t="s">
        <v>34</v>
      </c>
      <c r="F320">
        <v>3</v>
      </c>
      <c r="G320" t="str">
        <f t="shared" si="4"/>
        <v>M0111-C-21-3</v>
      </c>
      <c r="H320">
        <v>180.39</v>
      </c>
      <c r="I320">
        <v>180.72</v>
      </c>
    </row>
    <row r="321" spans="1:9" x14ac:dyDescent="0.3">
      <c r="A321">
        <v>501</v>
      </c>
      <c r="B321" t="s">
        <v>56</v>
      </c>
      <c r="C321" t="s">
        <v>48</v>
      </c>
      <c r="D321">
        <v>22</v>
      </c>
      <c r="E321" t="s">
        <v>34</v>
      </c>
      <c r="F321">
        <v>1</v>
      </c>
      <c r="G321" t="str">
        <f t="shared" si="4"/>
        <v>M0111-C-22-1</v>
      </c>
      <c r="H321">
        <v>185</v>
      </c>
      <c r="I321">
        <v>185.79</v>
      </c>
    </row>
    <row r="322" spans="1:9" x14ac:dyDescent="0.3">
      <c r="A322">
        <v>501</v>
      </c>
      <c r="B322" t="s">
        <v>56</v>
      </c>
      <c r="C322" t="s">
        <v>48</v>
      </c>
      <c r="D322">
        <v>23</v>
      </c>
      <c r="E322" t="s">
        <v>34</v>
      </c>
      <c r="F322">
        <v>1</v>
      </c>
      <c r="G322" t="str">
        <f t="shared" si="4"/>
        <v>M0111-C-23-1</v>
      </c>
      <c r="H322">
        <v>186.36</v>
      </c>
      <c r="I322">
        <v>187.87</v>
      </c>
    </row>
    <row r="323" spans="1:9" x14ac:dyDescent="0.3">
      <c r="A323">
        <v>501</v>
      </c>
      <c r="B323" t="s">
        <v>56</v>
      </c>
      <c r="C323" t="s">
        <v>48</v>
      </c>
      <c r="D323">
        <v>23</v>
      </c>
      <c r="E323" t="s">
        <v>34</v>
      </c>
      <c r="F323">
        <v>2</v>
      </c>
      <c r="G323" t="str">
        <f t="shared" si="4"/>
        <v>M0111-C-23-2</v>
      </c>
      <c r="H323">
        <v>187.87</v>
      </c>
      <c r="I323">
        <v>189.37</v>
      </c>
    </row>
    <row r="324" spans="1:9" x14ac:dyDescent="0.3">
      <c r="A324">
        <v>501</v>
      </c>
      <c r="B324" t="s">
        <v>56</v>
      </c>
      <c r="C324" t="s">
        <v>48</v>
      </c>
      <c r="D324">
        <v>23</v>
      </c>
      <c r="E324" t="s">
        <v>34</v>
      </c>
      <c r="F324">
        <v>3</v>
      </c>
      <c r="G324" t="str">
        <f t="shared" si="4"/>
        <v>M0111-C-23-3</v>
      </c>
      <c r="H324">
        <v>189.37</v>
      </c>
      <c r="I324">
        <v>189.71</v>
      </c>
    </row>
    <row r="325" spans="1:9" x14ac:dyDescent="0.3">
      <c r="A325">
        <v>501</v>
      </c>
      <c r="B325" t="s">
        <v>56</v>
      </c>
      <c r="C325" t="s">
        <v>48</v>
      </c>
      <c r="D325">
        <v>24</v>
      </c>
      <c r="E325" t="s">
        <v>34</v>
      </c>
      <c r="F325">
        <v>1</v>
      </c>
      <c r="G325" t="str">
        <f t="shared" si="4"/>
        <v>M0111-C-24-1</v>
      </c>
      <c r="H325">
        <v>189.36</v>
      </c>
      <c r="I325">
        <v>190.86</v>
      </c>
    </row>
    <row r="326" spans="1:9" x14ac:dyDescent="0.3">
      <c r="A326">
        <v>501</v>
      </c>
      <c r="B326" t="s">
        <v>56</v>
      </c>
      <c r="C326" t="s">
        <v>48</v>
      </c>
      <c r="D326">
        <v>24</v>
      </c>
      <c r="E326" t="s">
        <v>34</v>
      </c>
      <c r="F326">
        <v>2</v>
      </c>
      <c r="G326" t="str">
        <f t="shared" si="4"/>
        <v>M0111-C-24-2</v>
      </c>
      <c r="H326">
        <v>190.86</v>
      </c>
      <c r="I326">
        <v>192.36</v>
      </c>
    </row>
    <row r="327" spans="1:9" x14ac:dyDescent="0.3">
      <c r="A327">
        <v>501</v>
      </c>
      <c r="B327" t="s">
        <v>56</v>
      </c>
      <c r="C327" t="s">
        <v>48</v>
      </c>
      <c r="D327">
        <v>24</v>
      </c>
      <c r="E327" t="s">
        <v>34</v>
      </c>
      <c r="F327">
        <v>3</v>
      </c>
      <c r="G327" t="str">
        <f t="shared" si="4"/>
        <v>M0111-C-24-3</v>
      </c>
      <c r="H327">
        <v>192.36</v>
      </c>
      <c r="I327">
        <v>192.51</v>
      </c>
    </row>
    <row r="328" spans="1:9" x14ac:dyDescent="0.3">
      <c r="A328">
        <v>501</v>
      </c>
      <c r="B328" t="s">
        <v>56</v>
      </c>
      <c r="C328" t="s">
        <v>48</v>
      </c>
      <c r="D328">
        <v>25</v>
      </c>
      <c r="E328" t="s">
        <v>34</v>
      </c>
      <c r="F328">
        <v>1</v>
      </c>
      <c r="G328" t="str">
        <f t="shared" si="4"/>
        <v>M0111-C-25-1</v>
      </c>
      <c r="H328">
        <v>192.36</v>
      </c>
      <c r="I328">
        <v>193.86</v>
      </c>
    </row>
    <row r="329" spans="1:9" x14ac:dyDescent="0.3">
      <c r="A329">
        <v>501</v>
      </c>
      <c r="B329" t="s">
        <v>56</v>
      </c>
      <c r="C329" t="s">
        <v>48</v>
      </c>
      <c r="D329">
        <v>25</v>
      </c>
      <c r="E329" t="s">
        <v>34</v>
      </c>
      <c r="F329">
        <v>2</v>
      </c>
      <c r="G329" t="str">
        <f t="shared" si="4"/>
        <v>M0111-C-25-2</v>
      </c>
      <c r="H329">
        <v>193.86</v>
      </c>
      <c r="I329">
        <v>195.17</v>
      </c>
    </row>
    <row r="330" spans="1:9" x14ac:dyDescent="0.3">
      <c r="A330">
        <v>501</v>
      </c>
      <c r="B330" t="s">
        <v>56</v>
      </c>
      <c r="C330" t="s">
        <v>48</v>
      </c>
      <c r="D330">
        <v>26</v>
      </c>
      <c r="E330" t="s">
        <v>34</v>
      </c>
      <c r="F330">
        <v>1</v>
      </c>
      <c r="G330" t="str">
        <f t="shared" si="4"/>
        <v>M0111-C-26-1</v>
      </c>
      <c r="H330">
        <v>195.36</v>
      </c>
      <c r="I330">
        <v>196.87</v>
      </c>
    </row>
    <row r="331" spans="1:9" x14ac:dyDescent="0.3">
      <c r="A331">
        <v>501</v>
      </c>
      <c r="B331" t="s">
        <v>56</v>
      </c>
      <c r="C331" t="s">
        <v>48</v>
      </c>
      <c r="D331">
        <v>26</v>
      </c>
      <c r="E331" t="s">
        <v>34</v>
      </c>
      <c r="F331">
        <v>2</v>
      </c>
      <c r="G331" t="str">
        <f t="shared" si="4"/>
        <v>M0111-C-26-2</v>
      </c>
      <c r="H331">
        <v>196.87</v>
      </c>
      <c r="I331">
        <v>197.67</v>
      </c>
    </row>
    <row r="332" spans="1:9" x14ac:dyDescent="0.3">
      <c r="A332">
        <v>501</v>
      </c>
      <c r="B332" t="s">
        <v>56</v>
      </c>
      <c r="C332" t="s">
        <v>48</v>
      </c>
      <c r="D332">
        <v>27</v>
      </c>
      <c r="E332" t="s">
        <v>34</v>
      </c>
      <c r="F332">
        <v>1</v>
      </c>
      <c r="G332" t="str">
        <f t="shared" si="4"/>
        <v>M0111-C-27-1</v>
      </c>
      <c r="H332">
        <v>198.36</v>
      </c>
      <c r="I332">
        <v>199.86</v>
      </c>
    </row>
    <row r="333" spans="1:9" x14ac:dyDescent="0.3">
      <c r="A333">
        <v>501</v>
      </c>
      <c r="B333" t="s">
        <v>56</v>
      </c>
      <c r="C333" t="s">
        <v>48</v>
      </c>
      <c r="D333">
        <v>27</v>
      </c>
      <c r="E333" t="s">
        <v>34</v>
      </c>
      <c r="F333">
        <v>2</v>
      </c>
      <c r="G333" t="str">
        <f t="shared" si="4"/>
        <v>M0111-C-27-2</v>
      </c>
      <c r="H333">
        <v>199.86</v>
      </c>
      <c r="I333">
        <v>200.97</v>
      </c>
    </row>
    <row r="334" spans="1:9" x14ac:dyDescent="0.3">
      <c r="A334">
        <v>501</v>
      </c>
      <c r="B334" t="s">
        <v>56</v>
      </c>
      <c r="C334" t="s">
        <v>48</v>
      </c>
      <c r="D334">
        <v>28</v>
      </c>
      <c r="E334" t="s">
        <v>34</v>
      </c>
      <c r="F334">
        <v>1</v>
      </c>
      <c r="G334" t="str">
        <f t="shared" si="4"/>
        <v>M0111-C-28-1</v>
      </c>
      <c r="H334">
        <v>201.36</v>
      </c>
      <c r="I334">
        <v>202.86</v>
      </c>
    </row>
    <row r="335" spans="1:9" x14ac:dyDescent="0.3">
      <c r="A335">
        <v>501</v>
      </c>
      <c r="B335" t="s">
        <v>56</v>
      </c>
      <c r="C335" t="s">
        <v>48</v>
      </c>
      <c r="D335">
        <v>28</v>
      </c>
      <c r="E335" t="s">
        <v>34</v>
      </c>
      <c r="F335">
        <v>2</v>
      </c>
      <c r="G335" t="str">
        <f t="shared" si="4"/>
        <v>M0111-C-28-2</v>
      </c>
      <c r="H335">
        <v>202.86</v>
      </c>
      <c r="I335">
        <v>204.33</v>
      </c>
    </row>
    <row r="336" spans="1:9" x14ac:dyDescent="0.3">
      <c r="A336">
        <v>501</v>
      </c>
      <c r="B336" t="s">
        <v>56</v>
      </c>
      <c r="C336" t="s">
        <v>48</v>
      </c>
      <c r="D336">
        <v>28</v>
      </c>
      <c r="E336" t="s">
        <v>34</v>
      </c>
      <c r="F336">
        <v>3</v>
      </c>
      <c r="G336" t="str">
        <f t="shared" si="4"/>
        <v>M0111-C-28-3</v>
      </c>
      <c r="H336">
        <v>204.33</v>
      </c>
      <c r="I336">
        <v>204.51</v>
      </c>
    </row>
    <row r="337" spans="1:9" x14ac:dyDescent="0.3">
      <c r="A337">
        <v>501</v>
      </c>
      <c r="B337" t="s">
        <v>56</v>
      </c>
      <c r="C337" t="s">
        <v>48</v>
      </c>
      <c r="D337">
        <v>29</v>
      </c>
      <c r="E337" t="s">
        <v>34</v>
      </c>
      <c r="F337">
        <v>1</v>
      </c>
      <c r="G337" t="str">
        <f t="shared" si="4"/>
        <v>M0111-C-29-1</v>
      </c>
      <c r="H337">
        <v>204.36</v>
      </c>
      <c r="I337">
        <v>204.69</v>
      </c>
    </row>
    <row r="338" spans="1:9" x14ac:dyDescent="0.3">
      <c r="A338">
        <v>501</v>
      </c>
      <c r="B338" t="s">
        <v>56</v>
      </c>
      <c r="C338" t="s">
        <v>48</v>
      </c>
      <c r="D338">
        <v>30</v>
      </c>
      <c r="E338" t="s">
        <v>34</v>
      </c>
      <c r="F338">
        <v>1</v>
      </c>
      <c r="G338" t="str">
        <f t="shared" si="4"/>
        <v>M0111-C-30-1</v>
      </c>
      <c r="H338">
        <v>207.36</v>
      </c>
      <c r="I338">
        <v>208.87</v>
      </c>
    </row>
    <row r="339" spans="1:9" x14ac:dyDescent="0.3">
      <c r="A339">
        <v>501</v>
      </c>
      <c r="B339" t="s">
        <v>56</v>
      </c>
      <c r="C339" t="s">
        <v>48</v>
      </c>
      <c r="D339">
        <v>30</v>
      </c>
      <c r="E339" t="s">
        <v>34</v>
      </c>
      <c r="F339">
        <v>2</v>
      </c>
      <c r="G339" t="str">
        <f t="shared" si="4"/>
        <v>M0111-C-30-2</v>
      </c>
      <c r="H339">
        <v>208.87</v>
      </c>
      <c r="I339">
        <v>209.97</v>
      </c>
    </row>
    <row r="340" spans="1:9" x14ac:dyDescent="0.3">
      <c r="A340">
        <v>501</v>
      </c>
      <c r="B340" t="s">
        <v>56</v>
      </c>
      <c r="C340" t="s">
        <v>48</v>
      </c>
      <c r="D340">
        <v>30</v>
      </c>
      <c r="E340" t="s">
        <v>34</v>
      </c>
      <c r="F340">
        <v>3</v>
      </c>
      <c r="G340" t="str">
        <f t="shared" si="4"/>
        <v>M0111-C-30-3</v>
      </c>
      <c r="H340">
        <v>209.97</v>
      </c>
      <c r="I340">
        <v>210.25</v>
      </c>
    </row>
    <row r="341" spans="1:9" x14ac:dyDescent="0.3">
      <c r="A341">
        <v>501</v>
      </c>
      <c r="B341" t="s">
        <v>56</v>
      </c>
      <c r="C341" t="s">
        <v>48</v>
      </c>
      <c r="D341">
        <v>31</v>
      </c>
      <c r="E341" t="s">
        <v>34</v>
      </c>
      <c r="F341">
        <v>1</v>
      </c>
      <c r="G341" t="str">
        <f t="shared" si="4"/>
        <v>M0111-C-31-1</v>
      </c>
      <c r="H341">
        <v>210.36</v>
      </c>
      <c r="I341">
        <v>211.67</v>
      </c>
    </row>
    <row r="342" spans="1:9" x14ac:dyDescent="0.3">
      <c r="A342">
        <v>501</v>
      </c>
      <c r="B342" t="s">
        <v>56</v>
      </c>
      <c r="C342" t="s">
        <v>48</v>
      </c>
      <c r="D342">
        <v>32</v>
      </c>
      <c r="E342" t="s">
        <v>34</v>
      </c>
      <c r="F342">
        <v>1</v>
      </c>
      <c r="G342" t="str">
        <f t="shared" si="4"/>
        <v>M0111-C-32-1</v>
      </c>
      <c r="H342">
        <v>213.36</v>
      </c>
      <c r="I342">
        <v>213.83</v>
      </c>
    </row>
    <row r="343" spans="1:9" x14ac:dyDescent="0.3">
      <c r="A343">
        <v>501</v>
      </c>
      <c r="B343" t="s">
        <v>56</v>
      </c>
      <c r="C343" t="s">
        <v>48</v>
      </c>
      <c r="D343">
        <v>33</v>
      </c>
      <c r="E343" t="s">
        <v>34</v>
      </c>
      <c r="F343">
        <v>1</v>
      </c>
      <c r="G343" t="str">
        <f t="shared" si="4"/>
        <v>M0111-C-33-1</v>
      </c>
      <c r="H343">
        <v>216.36</v>
      </c>
      <c r="I343">
        <v>217.79</v>
      </c>
    </row>
    <row r="344" spans="1:9" x14ac:dyDescent="0.3">
      <c r="A344">
        <v>501</v>
      </c>
      <c r="B344" t="s">
        <v>56</v>
      </c>
      <c r="C344" t="s">
        <v>48</v>
      </c>
      <c r="D344">
        <v>33</v>
      </c>
      <c r="E344" t="s">
        <v>34</v>
      </c>
      <c r="F344">
        <v>2</v>
      </c>
      <c r="G344" t="str">
        <f t="shared" si="4"/>
        <v>M0111-C-33-2</v>
      </c>
      <c r="H344">
        <v>217.79</v>
      </c>
      <c r="I344">
        <v>218.68</v>
      </c>
    </row>
    <row r="345" spans="1:9" x14ac:dyDescent="0.3">
      <c r="A345">
        <v>501</v>
      </c>
      <c r="B345" t="s">
        <v>56</v>
      </c>
      <c r="C345" t="s">
        <v>48</v>
      </c>
      <c r="D345">
        <v>34</v>
      </c>
      <c r="E345" t="s">
        <v>34</v>
      </c>
      <c r="F345">
        <v>1</v>
      </c>
      <c r="G345" t="str">
        <f t="shared" si="4"/>
        <v>M0111-C-34-1</v>
      </c>
      <c r="H345">
        <v>219.36</v>
      </c>
      <c r="I345">
        <v>220.86</v>
      </c>
    </row>
    <row r="346" spans="1:9" x14ac:dyDescent="0.3">
      <c r="A346">
        <v>501</v>
      </c>
      <c r="B346" t="s">
        <v>56</v>
      </c>
      <c r="C346" t="s">
        <v>48</v>
      </c>
      <c r="D346">
        <v>34</v>
      </c>
      <c r="E346" t="s">
        <v>34</v>
      </c>
      <c r="F346">
        <v>2</v>
      </c>
      <c r="G346" t="str">
        <f t="shared" si="4"/>
        <v>M0111-C-34-2</v>
      </c>
      <c r="H346">
        <v>220.86</v>
      </c>
      <c r="I346">
        <v>221.74</v>
      </c>
    </row>
    <row r="347" spans="1:9" x14ac:dyDescent="0.3">
      <c r="A347">
        <v>501</v>
      </c>
      <c r="B347" t="s">
        <v>56</v>
      </c>
      <c r="C347" t="s">
        <v>48</v>
      </c>
      <c r="D347">
        <v>35</v>
      </c>
      <c r="E347" t="s">
        <v>34</v>
      </c>
      <c r="F347">
        <v>1</v>
      </c>
      <c r="G347" t="str">
        <f t="shared" si="4"/>
        <v>M0111-C-35-1</v>
      </c>
      <c r="H347">
        <v>222.36</v>
      </c>
      <c r="I347">
        <v>222.99</v>
      </c>
    </row>
    <row r="348" spans="1:9" x14ac:dyDescent="0.3">
      <c r="A348">
        <v>501</v>
      </c>
      <c r="B348" t="s">
        <v>56</v>
      </c>
      <c r="C348" t="s">
        <v>48</v>
      </c>
      <c r="D348">
        <v>36</v>
      </c>
      <c r="E348" t="s">
        <v>34</v>
      </c>
      <c r="F348">
        <v>1</v>
      </c>
      <c r="G348" t="str">
        <f t="shared" si="4"/>
        <v>M0111-C-36-1</v>
      </c>
      <c r="H348">
        <v>223.16</v>
      </c>
      <c r="I348">
        <v>223.66</v>
      </c>
    </row>
    <row r="349" spans="1:9" x14ac:dyDescent="0.3">
      <c r="A349">
        <v>501</v>
      </c>
      <c r="B349" t="s">
        <v>56</v>
      </c>
      <c r="C349" t="s">
        <v>48</v>
      </c>
      <c r="D349">
        <v>37</v>
      </c>
      <c r="E349" t="s">
        <v>34</v>
      </c>
      <c r="F349">
        <v>1</v>
      </c>
      <c r="G349" t="str">
        <f t="shared" si="4"/>
        <v>M0111-C-37-1</v>
      </c>
      <c r="H349">
        <v>225.36</v>
      </c>
      <c r="I349">
        <v>225.39</v>
      </c>
    </row>
    <row r="350" spans="1:9" x14ac:dyDescent="0.3">
      <c r="A350">
        <v>501</v>
      </c>
      <c r="B350" t="s">
        <v>56</v>
      </c>
      <c r="C350" t="s">
        <v>48</v>
      </c>
      <c r="D350">
        <v>38</v>
      </c>
      <c r="E350" t="s">
        <v>34</v>
      </c>
      <c r="F350">
        <v>1</v>
      </c>
      <c r="G350" t="str">
        <f t="shared" si="4"/>
        <v>M0111-C-38-1</v>
      </c>
      <c r="H350">
        <v>228.36</v>
      </c>
      <c r="I350">
        <v>228.38</v>
      </c>
    </row>
    <row r="351" spans="1:9" x14ac:dyDescent="0.3">
      <c r="A351">
        <v>501</v>
      </c>
      <c r="B351" t="s">
        <v>56</v>
      </c>
      <c r="C351" t="s">
        <v>48</v>
      </c>
      <c r="D351">
        <v>39</v>
      </c>
      <c r="E351" t="s">
        <v>34</v>
      </c>
      <c r="F351">
        <v>1</v>
      </c>
      <c r="G351" t="str">
        <f t="shared" si="4"/>
        <v>M0111-C-39-1</v>
      </c>
      <c r="H351">
        <v>229.36</v>
      </c>
      <c r="I351">
        <v>230.3</v>
      </c>
    </row>
    <row r="352" spans="1:9" x14ac:dyDescent="0.3">
      <c r="A352">
        <v>501</v>
      </c>
      <c r="B352" t="s">
        <v>60</v>
      </c>
      <c r="C352" t="s">
        <v>31</v>
      </c>
      <c r="D352">
        <v>1</v>
      </c>
      <c r="E352" t="s">
        <v>57</v>
      </c>
      <c r="F352">
        <v>1</v>
      </c>
      <c r="G352" t="str">
        <f t="shared" si="4"/>
        <v>M0112-A-1-1</v>
      </c>
      <c r="H352">
        <v>0</v>
      </c>
      <c r="I352">
        <v>0.71</v>
      </c>
    </row>
    <row r="353" spans="1:9" x14ac:dyDescent="0.3">
      <c r="A353">
        <v>501</v>
      </c>
      <c r="B353" t="s">
        <v>60</v>
      </c>
      <c r="C353" t="s">
        <v>31</v>
      </c>
      <c r="D353">
        <v>1</v>
      </c>
      <c r="E353" t="s">
        <v>57</v>
      </c>
      <c r="F353">
        <v>2</v>
      </c>
      <c r="G353" t="str">
        <f t="shared" si="4"/>
        <v>M0112-A-1-2</v>
      </c>
      <c r="H353">
        <v>0.71</v>
      </c>
      <c r="I353">
        <v>2.21</v>
      </c>
    </row>
    <row r="354" spans="1:9" x14ac:dyDescent="0.3">
      <c r="A354">
        <v>501</v>
      </c>
      <c r="B354" t="s">
        <v>60</v>
      </c>
      <c r="C354" t="s">
        <v>31</v>
      </c>
      <c r="D354">
        <v>2</v>
      </c>
      <c r="E354" t="s">
        <v>57</v>
      </c>
      <c r="F354">
        <v>1</v>
      </c>
      <c r="G354" t="str">
        <f t="shared" si="4"/>
        <v>M0112-A-2-1</v>
      </c>
      <c r="H354">
        <v>2.21</v>
      </c>
      <c r="I354">
        <v>3.71</v>
      </c>
    </row>
    <row r="355" spans="1:9" x14ac:dyDescent="0.3">
      <c r="A355">
        <v>501</v>
      </c>
      <c r="B355" t="s">
        <v>60</v>
      </c>
      <c r="C355" t="s">
        <v>31</v>
      </c>
      <c r="D355">
        <v>2</v>
      </c>
      <c r="E355" t="s">
        <v>57</v>
      </c>
      <c r="F355">
        <v>2</v>
      </c>
      <c r="G355" t="str">
        <f t="shared" si="4"/>
        <v>M0112-A-2-2</v>
      </c>
      <c r="H355">
        <v>3.71</v>
      </c>
      <c r="I355">
        <v>5.01</v>
      </c>
    </row>
    <row r="356" spans="1:9" x14ac:dyDescent="0.3">
      <c r="A356">
        <v>501</v>
      </c>
      <c r="B356" t="s">
        <v>60</v>
      </c>
      <c r="C356" t="s">
        <v>31</v>
      </c>
      <c r="D356">
        <v>3</v>
      </c>
      <c r="E356" t="s">
        <v>57</v>
      </c>
      <c r="F356">
        <v>1</v>
      </c>
      <c r="G356" t="str">
        <f t="shared" si="4"/>
        <v>M0112-A-3-1</v>
      </c>
      <c r="H356">
        <v>5.01</v>
      </c>
      <c r="I356">
        <v>6.52</v>
      </c>
    </row>
    <row r="357" spans="1:9" x14ac:dyDescent="0.3">
      <c r="A357">
        <v>501</v>
      </c>
      <c r="B357" t="s">
        <v>60</v>
      </c>
      <c r="C357" t="s">
        <v>31</v>
      </c>
      <c r="D357">
        <v>3</v>
      </c>
      <c r="E357" t="s">
        <v>57</v>
      </c>
      <c r="F357">
        <v>2</v>
      </c>
      <c r="G357" t="str">
        <f t="shared" si="4"/>
        <v>M0112-A-3-2</v>
      </c>
      <c r="H357">
        <v>6.52</v>
      </c>
      <c r="I357">
        <v>7.17</v>
      </c>
    </row>
    <row r="358" spans="1:9" x14ac:dyDescent="0.3">
      <c r="A358">
        <v>501</v>
      </c>
      <c r="B358" t="s">
        <v>60</v>
      </c>
      <c r="C358" t="s">
        <v>31</v>
      </c>
      <c r="D358">
        <v>4</v>
      </c>
      <c r="E358" t="s">
        <v>57</v>
      </c>
      <c r="F358">
        <v>1</v>
      </c>
      <c r="G358" t="str">
        <f t="shared" si="4"/>
        <v>M0112-A-4-1</v>
      </c>
      <c r="H358">
        <v>7.17</v>
      </c>
      <c r="I358">
        <v>8.67</v>
      </c>
    </row>
    <row r="359" spans="1:9" x14ac:dyDescent="0.3">
      <c r="A359">
        <v>501</v>
      </c>
      <c r="B359" t="s">
        <v>60</v>
      </c>
      <c r="C359" t="s">
        <v>31</v>
      </c>
      <c r="D359">
        <v>4</v>
      </c>
      <c r="E359" t="s">
        <v>57</v>
      </c>
      <c r="F359">
        <v>2</v>
      </c>
      <c r="G359" t="str">
        <f t="shared" si="4"/>
        <v>M0112-A-4-2</v>
      </c>
      <c r="H359">
        <v>8.67</v>
      </c>
      <c r="I359">
        <v>9.25</v>
      </c>
    </row>
    <row r="360" spans="1:9" x14ac:dyDescent="0.3">
      <c r="A360">
        <v>501</v>
      </c>
      <c r="B360" t="s">
        <v>60</v>
      </c>
      <c r="C360" t="s">
        <v>31</v>
      </c>
      <c r="D360">
        <v>5</v>
      </c>
      <c r="E360" t="s">
        <v>57</v>
      </c>
      <c r="F360">
        <v>1</v>
      </c>
      <c r="G360" t="str">
        <f t="shared" si="4"/>
        <v>M0112-A-5-1</v>
      </c>
      <c r="H360">
        <v>9.25</v>
      </c>
      <c r="I360">
        <v>10.5</v>
      </c>
    </row>
    <row r="361" spans="1:9" x14ac:dyDescent="0.3">
      <c r="A361">
        <v>501</v>
      </c>
      <c r="B361" t="s">
        <v>60</v>
      </c>
      <c r="C361" t="s">
        <v>31</v>
      </c>
      <c r="D361">
        <v>5</v>
      </c>
      <c r="E361" t="s">
        <v>57</v>
      </c>
      <c r="F361">
        <v>2</v>
      </c>
      <c r="G361" t="str">
        <f t="shared" si="4"/>
        <v>M0112-A-5-2</v>
      </c>
      <c r="H361">
        <v>10.5</v>
      </c>
      <c r="I361">
        <v>11.45</v>
      </c>
    </row>
    <row r="362" spans="1:9" x14ac:dyDescent="0.3">
      <c r="A362">
        <v>501</v>
      </c>
      <c r="B362" t="s">
        <v>60</v>
      </c>
      <c r="C362" t="s">
        <v>31</v>
      </c>
      <c r="D362">
        <v>6</v>
      </c>
      <c r="E362" t="s">
        <v>57</v>
      </c>
      <c r="F362">
        <v>1</v>
      </c>
      <c r="G362" t="str">
        <f t="shared" si="4"/>
        <v>M0112-A-6-1</v>
      </c>
      <c r="H362">
        <v>11.45</v>
      </c>
      <c r="I362">
        <v>12.21</v>
      </c>
    </row>
    <row r="363" spans="1:9" x14ac:dyDescent="0.3">
      <c r="A363">
        <v>501</v>
      </c>
      <c r="B363" t="s">
        <v>60</v>
      </c>
      <c r="C363" t="s">
        <v>31</v>
      </c>
      <c r="D363">
        <v>7</v>
      </c>
      <c r="E363" t="s">
        <v>57</v>
      </c>
      <c r="F363">
        <v>1</v>
      </c>
      <c r="G363" t="str">
        <f t="shared" si="4"/>
        <v>M0112-A-7-1</v>
      </c>
      <c r="H363">
        <v>12.21</v>
      </c>
      <c r="I363">
        <v>13.71</v>
      </c>
    </row>
    <row r="364" spans="1:9" x14ac:dyDescent="0.3">
      <c r="A364">
        <v>501</v>
      </c>
      <c r="B364" t="s">
        <v>60</v>
      </c>
      <c r="C364" t="s">
        <v>31</v>
      </c>
      <c r="D364">
        <v>7</v>
      </c>
      <c r="E364" t="s">
        <v>57</v>
      </c>
      <c r="F364">
        <v>2</v>
      </c>
      <c r="G364" t="str">
        <f t="shared" si="4"/>
        <v>M0112-A-7-2</v>
      </c>
      <c r="H364">
        <v>13.71</v>
      </c>
      <c r="I364">
        <v>14.58</v>
      </c>
    </row>
    <row r="365" spans="1:9" x14ac:dyDescent="0.3">
      <c r="A365">
        <v>501</v>
      </c>
      <c r="B365" t="s">
        <v>60</v>
      </c>
      <c r="C365" t="s">
        <v>31</v>
      </c>
      <c r="D365">
        <v>8</v>
      </c>
      <c r="E365" t="s">
        <v>57</v>
      </c>
      <c r="F365">
        <v>1</v>
      </c>
      <c r="G365" t="str">
        <f t="shared" si="4"/>
        <v>M0112-A-8-1</v>
      </c>
      <c r="H365">
        <v>14.58</v>
      </c>
      <c r="I365">
        <v>16.07</v>
      </c>
    </row>
    <row r="366" spans="1:9" x14ac:dyDescent="0.3">
      <c r="A366">
        <v>501</v>
      </c>
      <c r="B366" t="s">
        <v>60</v>
      </c>
      <c r="C366" t="s">
        <v>31</v>
      </c>
      <c r="D366">
        <v>8</v>
      </c>
      <c r="E366" t="s">
        <v>57</v>
      </c>
      <c r="F366">
        <v>2</v>
      </c>
      <c r="G366" t="str">
        <f t="shared" si="4"/>
        <v>M0112-A-8-2</v>
      </c>
      <c r="H366">
        <v>16.07</v>
      </c>
      <c r="I366">
        <v>17.23</v>
      </c>
    </row>
    <row r="367" spans="1:9" x14ac:dyDescent="0.3">
      <c r="A367">
        <v>501</v>
      </c>
      <c r="B367" t="s">
        <v>60</v>
      </c>
      <c r="C367" t="s">
        <v>31</v>
      </c>
      <c r="D367">
        <v>9</v>
      </c>
      <c r="E367" t="s">
        <v>57</v>
      </c>
      <c r="F367">
        <v>1</v>
      </c>
      <c r="G367" t="str">
        <f t="shared" si="4"/>
        <v>M0112-A-9-1</v>
      </c>
      <c r="H367">
        <v>17.23</v>
      </c>
      <c r="I367">
        <v>18.73</v>
      </c>
    </row>
    <row r="368" spans="1:9" x14ac:dyDescent="0.3">
      <c r="A368">
        <v>501</v>
      </c>
      <c r="B368" t="s">
        <v>60</v>
      </c>
      <c r="C368" t="s">
        <v>31</v>
      </c>
      <c r="D368">
        <v>9</v>
      </c>
      <c r="E368" t="s">
        <v>57</v>
      </c>
      <c r="F368">
        <v>2</v>
      </c>
      <c r="G368" t="str">
        <f t="shared" si="4"/>
        <v>M0112-A-9-2</v>
      </c>
      <c r="H368">
        <v>18.73</v>
      </c>
      <c r="I368">
        <v>19.87</v>
      </c>
    </row>
    <row r="369" spans="1:9" x14ac:dyDescent="0.3">
      <c r="A369">
        <v>501</v>
      </c>
      <c r="B369" t="s">
        <v>60</v>
      </c>
      <c r="C369" t="s">
        <v>31</v>
      </c>
      <c r="D369">
        <v>10</v>
      </c>
      <c r="E369" t="s">
        <v>57</v>
      </c>
      <c r="F369">
        <v>1</v>
      </c>
      <c r="G369" t="str">
        <f t="shared" si="4"/>
        <v>M0112-A-10-1</v>
      </c>
      <c r="H369">
        <v>19.87</v>
      </c>
      <c r="I369">
        <v>21.28</v>
      </c>
    </row>
    <row r="370" spans="1:9" x14ac:dyDescent="0.3">
      <c r="A370">
        <v>501</v>
      </c>
      <c r="B370" t="s">
        <v>60</v>
      </c>
      <c r="C370" t="s">
        <v>31</v>
      </c>
      <c r="D370">
        <v>11</v>
      </c>
      <c r="E370" t="s">
        <v>57</v>
      </c>
      <c r="F370">
        <v>1</v>
      </c>
      <c r="G370" t="str">
        <f t="shared" si="4"/>
        <v>M0112-A-11-1</v>
      </c>
      <c r="H370">
        <v>21.28</v>
      </c>
      <c r="I370">
        <v>22.79</v>
      </c>
    </row>
    <row r="371" spans="1:9" x14ac:dyDescent="0.3">
      <c r="A371">
        <v>501</v>
      </c>
      <c r="B371" t="s">
        <v>60</v>
      </c>
      <c r="C371" t="s">
        <v>31</v>
      </c>
      <c r="D371">
        <v>11</v>
      </c>
      <c r="E371" t="s">
        <v>57</v>
      </c>
      <c r="F371">
        <v>2</v>
      </c>
      <c r="G371" t="str">
        <f t="shared" si="4"/>
        <v>M0112-A-11-2</v>
      </c>
      <c r="H371">
        <v>22.79</v>
      </c>
      <c r="I371">
        <v>23.91</v>
      </c>
    </row>
    <row r="372" spans="1:9" x14ac:dyDescent="0.3">
      <c r="A372">
        <v>501</v>
      </c>
      <c r="B372" t="s">
        <v>60</v>
      </c>
      <c r="C372" t="s">
        <v>31</v>
      </c>
      <c r="D372">
        <v>12</v>
      </c>
      <c r="E372" t="s">
        <v>57</v>
      </c>
      <c r="F372">
        <v>1</v>
      </c>
      <c r="G372" t="str">
        <f t="shared" si="4"/>
        <v>M0112-A-12-1</v>
      </c>
      <c r="H372">
        <v>23.91</v>
      </c>
      <c r="I372">
        <v>23.92</v>
      </c>
    </row>
    <row r="373" spans="1:9" x14ac:dyDescent="0.3">
      <c r="A373">
        <v>501</v>
      </c>
      <c r="B373" t="s">
        <v>60</v>
      </c>
      <c r="C373" t="s">
        <v>31</v>
      </c>
      <c r="D373">
        <v>13</v>
      </c>
      <c r="E373" t="s">
        <v>57</v>
      </c>
      <c r="F373">
        <v>1</v>
      </c>
      <c r="G373" t="str">
        <f t="shared" si="4"/>
        <v>M0112-A-13-1</v>
      </c>
      <c r="H373">
        <v>23.92</v>
      </c>
      <c r="I373">
        <v>24.33</v>
      </c>
    </row>
    <row r="374" spans="1:9" x14ac:dyDescent="0.3">
      <c r="A374">
        <v>501</v>
      </c>
      <c r="B374" t="s">
        <v>60</v>
      </c>
      <c r="C374" t="s">
        <v>31</v>
      </c>
      <c r="D374">
        <v>14</v>
      </c>
      <c r="E374" t="s">
        <v>57</v>
      </c>
      <c r="F374">
        <v>1</v>
      </c>
      <c r="G374" t="str">
        <f t="shared" si="4"/>
        <v>M0112-A-14-1</v>
      </c>
      <c r="H374">
        <v>24.33</v>
      </c>
      <c r="I374">
        <v>25.79</v>
      </c>
    </row>
    <row r="375" spans="1:9" x14ac:dyDescent="0.3">
      <c r="A375">
        <v>501</v>
      </c>
      <c r="B375" t="s">
        <v>60</v>
      </c>
      <c r="C375" t="s">
        <v>31</v>
      </c>
      <c r="D375">
        <v>15</v>
      </c>
      <c r="E375" t="s">
        <v>57</v>
      </c>
      <c r="F375">
        <v>1</v>
      </c>
      <c r="G375" t="str">
        <f t="shared" si="4"/>
        <v>M0112-A-15-1</v>
      </c>
      <c r="H375">
        <v>25.79</v>
      </c>
      <c r="I375">
        <v>27.3</v>
      </c>
    </row>
    <row r="376" spans="1:9" x14ac:dyDescent="0.3">
      <c r="A376">
        <v>501</v>
      </c>
      <c r="B376" t="s">
        <v>60</v>
      </c>
      <c r="C376" t="s">
        <v>31</v>
      </c>
      <c r="D376">
        <v>15</v>
      </c>
      <c r="E376" t="s">
        <v>57</v>
      </c>
      <c r="F376">
        <v>2</v>
      </c>
      <c r="G376" t="str">
        <f t="shared" ref="G376:G439" si="5">CONCATENATE(B376, "-",C376, "-", D376, "-", F376)</f>
        <v>M0112-A-15-2</v>
      </c>
      <c r="H376">
        <v>27.3</v>
      </c>
      <c r="I376">
        <v>27.67</v>
      </c>
    </row>
    <row r="377" spans="1:9" x14ac:dyDescent="0.3">
      <c r="A377">
        <v>501</v>
      </c>
      <c r="B377" t="s">
        <v>60</v>
      </c>
      <c r="C377" t="s">
        <v>31</v>
      </c>
      <c r="D377">
        <v>16</v>
      </c>
      <c r="E377" t="s">
        <v>57</v>
      </c>
      <c r="F377">
        <v>1</v>
      </c>
      <c r="G377" t="str">
        <f t="shared" si="5"/>
        <v>M0112-A-16-1</v>
      </c>
      <c r="H377">
        <v>27.67</v>
      </c>
      <c r="I377">
        <v>29.16</v>
      </c>
    </row>
    <row r="378" spans="1:9" x14ac:dyDescent="0.3">
      <c r="A378">
        <v>501</v>
      </c>
      <c r="B378" t="s">
        <v>60</v>
      </c>
      <c r="C378" t="s">
        <v>31</v>
      </c>
      <c r="D378">
        <v>16</v>
      </c>
      <c r="E378" t="s">
        <v>57</v>
      </c>
      <c r="F378">
        <v>2</v>
      </c>
      <c r="G378" t="str">
        <f t="shared" si="5"/>
        <v>M0112-A-16-2</v>
      </c>
      <c r="H378">
        <v>29.16</v>
      </c>
      <c r="I378">
        <v>29.48</v>
      </c>
    </row>
    <row r="379" spans="1:9" x14ac:dyDescent="0.3">
      <c r="A379">
        <v>501</v>
      </c>
      <c r="B379" t="s">
        <v>60</v>
      </c>
      <c r="C379" t="s">
        <v>31</v>
      </c>
      <c r="D379">
        <v>17</v>
      </c>
      <c r="E379" t="s">
        <v>57</v>
      </c>
      <c r="F379">
        <v>1</v>
      </c>
      <c r="G379" t="str">
        <f t="shared" si="5"/>
        <v>M0112-A-17-1</v>
      </c>
      <c r="H379">
        <v>29.48</v>
      </c>
      <c r="I379">
        <v>30.1</v>
      </c>
    </row>
    <row r="380" spans="1:9" x14ac:dyDescent="0.3">
      <c r="A380">
        <v>501</v>
      </c>
      <c r="B380" t="s">
        <v>60</v>
      </c>
      <c r="C380" t="s">
        <v>31</v>
      </c>
      <c r="D380">
        <v>19</v>
      </c>
      <c r="E380" t="s">
        <v>57</v>
      </c>
      <c r="F380">
        <v>1</v>
      </c>
      <c r="G380" t="str">
        <f t="shared" si="5"/>
        <v>M0112-A-19-1</v>
      </c>
      <c r="H380">
        <v>32.21</v>
      </c>
      <c r="I380">
        <v>32.799999999999997</v>
      </c>
    </row>
    <row r="381" spans="1:9" x14ac:dyDescent="0.3">
      <c r="A381">
        <v>501</v>
      </c>
      <c r="B381" t="s">
        <v>60</v>
      </c>
      <c r="C381" t="s">
        <v>31</v>
      </c>
      <c r="D381">
        <v>19</v>
      </c>
      <c r="E381" t="s">
        <v>57</v>
      </c>
      <c r="F381">
        <v>2</v>
      </c>
      <c r="G381" t="str">
        <f t="shared" si="5"/>
        <v>M0112-A-19-2</v>
      </c>
      <c r="H381">
        <v>32.799999999999997</v>
      </c>
      <c r="I381">
        <v>33.130000000000003</v>
      </c>
    </row>
    <row r="382" spans="1:9" x14ac:dyDescent="0.3">
      <c r="A382">
        <v>501</v>
      </c>
      <c r="B382" t="s">
        <v>60</v>
      </c>
      <c r="C382" t="s">
        <v>31</v>
      </c>
      <c r="D382">
        <v>20</v>
      </c>
      <c r="E382" t="s">
        <v>57</v>
      </c>
      <c r="F382">
        <v>1</v>
      </c>
      <c r="G382" t="str">
        <f t="shared" si="5"/>
        <v>M0112-A-20-1</v>
      </c>
      <c r="H382">
        <v>33.130000000000003</v>
      </c>
      <c r="I382">
        <v>34.61</v>
      </c>
    </row>
    <row r="383" spans="1:9" x14ac:dyDescent="0.3">
      <c r="A383">
        <v>501</v>
      </c>
      <c r="B383" t="s">
        <v>60</v>
      </c>
      <c r="C383" t="s">
        <v>31</v>
      </c>
      <c r="D383">
        <v>20</v>
      </c>
      <c r="E383" t="s">
        <v>57</v>
      </c>
      <c r="F383">
        <v>2</v>
      </c>
      <c r="G383" t="str">
        <f t="shared" si="5"/>
        <v>M0112-A-20-2</v>
      </c>
      <c r="H383">
        <v>34.61</v>
      </c>
      <c r="I383">
        <v>34.81</v>
      </c>
    </row>
    <row r="384" spans="1:9" x14ac:dyDescent="0.3">
      <c r="A384">
        <v>501</v>
      </c>
      <c r="B384" t="s">
        <v>60</v>
      </c>
      <c r="C384" t="s">
        <v>31</v>
      </c>
      <c r="D384">
        <v>21</v>
      </c>
      <c r="E384" t="s">
        <v>57</v>
      </c>
      <c r="F384">
        <v>1</v>
      </c>
      <c r="G384" t="str">
        <f t="shared" si="5"/>
        <v>M0112-A-21-1</v>
      </c>
      <c r="H384">
        <v>34.81</v>
      </c>
      <c r="I384">
        <v>36.31</v>
      </c>
    </row>
    <row r="385" spans="1:9" x14ac:dyDescent="0.3">
      <c r="A385">
        <v>501</v>
      </c>
      <c r="B385" t="s">
        <v>60</v>
      </c>
      <c r="C385" t="s">
        <v>31</v>
      </c>
      <c r="D385">
        <v>21</v>
      </c>
      <c r="E385" t="s">
        <v>57</v>
      </c>
      <c r="F385">
        <v>2</v>
      </c>
      <c r="G385" t="str">
        <f t="shared" si="5"/>
        <v>M0112-A-21-2</v>
      </c>
      <c r="H385">
        <v>36.31</v>
      </c>
      <c r="I385">
        <v>36.79</v>
      </c>
    </row>
    <row r="386" spans="1:9" x14ac:dyDescent="0.3">
      <c r="A386">
        <v>501</v>
      </c>
      <c r="B386" t="s">
        <v>60</v>
      </c>
      <c r="C386" t="s">
        <v>31</v>
      </c>
      <c r="D386">
        <v>22</v>
      </c>
      <c r="E386" t="s">
        <v>57</v>
      </c>
      <c r="F386">
        <v>1</v>
      </c>
      <c r="G386" t="str">
        <f t="shared" si="5"/>
        <v>M0112-A-22-1</v>
      </c>
      <c r="H386">
        <v>36.79</v>
      </c>
      <c r="I386">
        <v>38.229999999999997</v>
      </c>
    </row>
    <row r="387" spans="1:9" x14ac:dyDescent="0.3">
      <c r="A387">
        <v>501</v>
      </c>
      <c r="B387" t="s">
        <v>60</v>
      </c>
      <c r="C387" t="s">
        <v>31</v>
      </c>
      <c r="D387">
        <v>22</v>
      </c>
      <c r="E387" t="s">
        <v>57</v>
      </c>
      <c r="F387">
        <v>2</v>
      </c>
      <c r="G387" t="str">
        <f t="shared" si="5"/>
        <v>M0112-A-22-2</v>
      </c>
      <c r="H387">
        <v>38.229999999999997</v>
      </c>
      <c r="I387">
        <v>38.590000000000003</v>
      </c>
    </row>
    <row r="388" spans="1:9" x14ac:dyDescent="0.3">
      <c r="A388">
        <v>501</v>
      </c>
      <c r="B388" t="s">
        <v>60</v>
      </c>
      <c r="C388" t="s">
        <v>31</v>
      </c>
      <c r="D388">
        <v>23</v>
      </c>
      <c r="E388" t="s">
        <v>57</v>
      </c>
      <c r="F388">
        <v>1</v>
      </c>
      <c r="G388" t="str">
        <f t="shared" si="5"/>
        <v>M0112-A-23-1</v>
      </c>
      <c r="H388">
        <v>38.590000000000003</v>
      </c>
      <c r="I388">
        <v>40.07</v>
      </c>
    </row>
    <row r="389" spans="1:9" x14ac:dyDescent="0.3">
      <c r="A389">
        <v>501</v>
      </c>
      <c r="B389" t="s">
        <v>60</v>
      </c>
      <c r="C389" t="s">
        <v>31</v>
      </c>
      <c r="D389">
        <v>23</v>
      </c>
      <c r="E389" t="s">
        <v>57</v>
      </c>
      <c r="F389">
        <v>2</v>
      </c>
      <c r="G389" t="str">
        <f t="shared" si="5"/>
        <v>M0112-A-23-2</v>
      </c>
      <c r="H389">
        <v>40.07</v>
      </c>
      <c r="I389">
        <v>41.48</v>
      </c>
    </row>
    <row r="390" spans="1:9" x14ac:dyDescent="0.3">
      <c r="A390">
        <v>501</v>
      </c>
      <c r="B390" t="s">
        <v>60</v>
      </c>
      <c r="C390" t="s">
        <v>31</v>
      </c>
      <c r="D390">
        <v>24</v>
      </c>
      <c r="E390" t="s">
        <v>57</v>
      </c>
      <c r="F390">
        <v>1</v>
      </c>
      <c r="G390" t="str">
        <f t="shared" si="5"/>
        <v>M0112-A-24-1</v>
      </c>
      <c r="H390">
        <v>41.38</v>
      </c>
      <c r="I390">
        <v>42.87</v>
      </c>
    </row>
    <row r="391" spans="1:9" x14ac:dyDescent="0.3">
      <c r="A391">
        <v>501</v>
      </c>
      <c r="B391" t="s">
        <v>60</v>
      </c>
      <c r="C391" t="s">
        <v>31</v>
      </c>
      <c r="D391">
        <v>24</v>
      </c>
      <c r="E391" t="s">
        <v>57</v>
      </c>
      <c r="F391">
        <v>2</v>
      </c>
      <c r="G391" t="str">
        <f t="shared" si="5"/>
        <v>M0112-A-24-2</v>
      </c>
      <c r="H391">
        <v>42.87</v>
      </c>
      <c r="I391">
        <v>44.31</v>
      </c>
    </row>
    <row r="392" spans="1:9" x14ac:dyDescent="0.3">
      <c r="A392">
        <v>501</v>
      </c>
      <c r="B392" t="s">
        <v>60</v>
      </c>
      <c r="C392" t="s">
        <v>31</v>
      </c>
      <c r="D392">
        <v>25</v>
      </c>
      <c r="E392" t="s">
        <v>57</v>
      </c>
      <c r="F392">
        <v>1</v>
      </c>
      <c r="G392" t="str">
        <f t="shared" si="5"/>
        <v>M0112-A-25-1</v>
      </c>
      <c r="H392">
        <v>44.14</v>
      </c>
      <c r="I392">
        <v>45.36</v>
      </c>
    </row>
    <row r="393" spans="1:9" x14ac:dyDescent="0.3">
      <c r="A393">
        <v>501</v>
      </c>
      <c r="B393" t="s">
        <v>60</v>
      </c>
      <c r="C393" t="s">
        <v>31</v>
      </c>
      <c r="D393">
        <v>27</v>
      </c>
      <c r="E393" t="s">
        <v>57</v>
      </c>
      <c r="F393">
        <v>1</v>
      </c>
      <c r="G393" t="str">
        <f t="shared" si="5"/>
        <v>M0112-A-27-1</v>
      </c>
      <c r="H393">
        <v>45.36</v>
      </c>
      <c r="I393">
        <v>46.43</v>
      </c>
    </row>
    <row r="394" spans="1:9" x14ac:dyDescent="0.3">
      <c r="A394">
        <v>501</v>
      </c>
      <c r="B394" t="s">
        <v>60</v>
      </c>
      <c r="C394" t="s">
        <v>31</v>
      </c>
      <c r="D394">
        <v>28</v>
      </c>
      <c r="E394" t="s">
        <v>57</v>
      </c>
      <c r="F394">
        <v>1</v>
      </c>
      <c r="G394" t="str">
        <f t="shared" si="5"/>
        <v>M0112-A-28-1</v>
      </c>
      <c r="H394">
        <v>46.43</v>
      </c>
      <c r="I394">
        <v>47.43</v>
      </c>
    </row>
    <row r="395" spans="1:9" x14ac:dyDescent="0.3">
      <c r="A395">
        <v>501</v>
      </c>
      <c r="B395" t="s">
        <v>60</v>
      </c>
      <c r="C395" t="s">
        <v>31</v>
      </c>
      <c r="D395">
        <v>29</v>
      </c>
      <c r="E395" t="s">
        <v>57</v>
      </c>
      <c r="F395">
        <v>1</v>
      </c>
      <c r="G395" t="str">
        <f t="shared" si="5"/>
        <v>M0112-A-29-1</v>
      </c>
      <c r="H395">
        <v>47.43</v>
      </c>
      <c r="I395">
        <v>47.96</v>
      </c>
    </row>
    <row r="396" spans="1:9" x14ac:dyDescent="0.3">
      <c r="A396">
        <v>501</v>
      </c>
      <c r="B396" t="s">
        <v>60</v>
      </c>
      <c r="C396" t="s">
        <v>31</v>
      </c>
      <c r="D396">
        <v>30</v>
      </c>
      <c r="E396" t="s">
        <v>57</v>
      </c>
      <c r="F396">
        <v>1</v>
      </c>
      <c r="G396" t="str">
        <f t="shared" si="5"/>
        <v>M0112-A-30-1</v>
      </c>
      <c r="H396">
        <v>47.96</v>
      </c>
      <c r="I396">
        <v>48.18</v>
      </c>
    </row>
    <row r="397" spans="1:9" x14ac:dyDescent="0.3">
      <c r="A397">
        <v>501</v>
      </c>
      <c r="B397" t="s">
        <v>60</v>
      </c>
      <c r="C397" t="s">
        <v>31</v>
      </c>
      <c r="D397">
        <v>31</v>
      </c>
      <c r="E397" t="s">
        <v>57</v>
      </c>
      <c r="F397">
        <v>1</v>
      </c>
      <c r="G397" t="str">
        <f t="shared" si="5"/>
        <v>M0112-A-31-1</v>
      </c>
      <c r="H397">
        <v>49.96</v>
      </c>
      <c r="I397">
        <v>51.45</v>
      </c>
    </row>
    <row r="398" spans="1:9" x14ac:dyDescent="0.3">
      <c r="A398">
        <v>501</v>
      </c>
      <c r="B398" t="s">
        <v>60</v>
      </c>
      <c r="C398" t="s">
        <v>31</v>
      </c>
      <c r="D398">
        <v>32</v>
      </c>
      <c r="E398" t="s">
        <v>57</v>
      </c>
      <c r="F398">
        <v>1</v>
      </c>
      <c r="G398" t="str">
        <f t="shared" si="5"/>
        <v>M0112-A-32-1</v>
      </c>
      <c r="H398">
        <v>51.45</v>
      </c>
      <c r="I398">
        <v>52.95</v>
      </c>
    </row>
    <row r="399" spans="1:9" x14ac:dyDescent="0.3">
      <c r="A399">
        <v>501</v>
      </c>
      <c r="B399" t="s">
        <v>60</v>
      </c>
      <c r="C399" t="s">
        <v>31</v>
      </c>
      <c r="D399">
        <v>32</v>
      </c>
      <c r="E399" t="s">
        <v>57</v>
      </c>
      <c r="F399">
        <v>2</v>
      </c>
      <c r="G399" t="str">
        <f t="shared" si="5"/>
        <v>M0112-A-32-2</v>
      </c>
      <c r="H399">
        <v>52.95</v>
      </c>
      <c r="I399">
        <v>53.61</v>
      </c>
    </row>
    <row r="400" spans="1:9" x14ac:dyDescent="0.3">
      <c r="A400">
        <v>501</v>
      </c>
      <c r="B400" t="s">
        <v>60</v>
      </c>
      <c r="C400" t="s">
        <v>31</v>
      </c>
      <c r="D400">
        <v>33</v>
      </c>
      <c r="E400" t="s">
        <v>57</v>
      </c>
      <c r="F400">
        <v>1</v>
      </c>
      <c r="G400" t="str">
        <f t="shared" si="5"/>
        <v>M0112-A-33-1</v>
      </c>
      <c r="H400">
        <v>53.61</v>
      </c>
      <c r="I400">
        <v>54.51</v>
      </c>
    </row>
    <row r="401" spans="1:9" x14ac:dyDescent="0.3">
      <c r="A401">
        <v>501</v>
      </c>
      <c r="B401" t="s">
        <v>60</v>
      </c>
      <c r="C401" t="s">
        <v>31</v>
      </c>
      <c r="D401">
        <v>33</v>
      </c>
      <c r="E401" t="s">
        <v>57</v>
      </c>
      <c r="F401">
        <v>2</v>
      </c>
      <c r="G401" t="str">
        <f t="shared" si="5"/>
        <v>M0112-A-33-2</v>
      </c>
      <c r="H401">
        <v>54.51</v>
      </c>
      <c r="I401">
        <v>55.15</v>
      </c>
    </row>
    <row r="402" spans="1:9" x14ac:dyDescent="0.3">
      <c r="A402">
        <v>501</v>
      </c>
      <c r="B402" t="s">
        <v>60</v>
      </c>
      <c r="C402" t="s">
        <v>31</v>
      </c>
      <c r="D402">
        <v>34</v>
      </c>
      <c r="E402" t="s">
        <v>57</v>
      </c>
      <c r="F402">
        <v>1</v>
      </c>
      <c r="G402" t="str">
        <f t="shared" si="5"/>
        <v>M0112-A-34-1</v>
      </c>
      <c r="H402">
        <v>55.15</v>
      </c>
      <c r="I402">
        <v>56.15</v>
      </c>
    </row>
    <row r="403" spans="1:9" x14ac:dyDescent="0.3">
      <c r="A403">
        <v>501</v>
      </c>
      <c r="B403" t="s">
        <v>60</v>
      </c>
      <c r="C403" t="s">
        <v>31</v>
      </c>
      <c r="D403">
        <v>34</v>
      </c>
      <c r="E403" t="s">
        <v>57</v>
      </c>
      <c r="F403">
        <v>2</v>
      </c>
      <c r="G403" t="str">
        <f t="shared" si="5"/>
        <v>M0112-A-34-2</v>
      </c>
      <c r="H403">
        <v>56.15</v>
      </c>
      <c r="I403">
        <v>56.31</v>
      </c>
    </row>
    <row r="404" spans="1:9" x14ac:dyDescent="0.3">
      <c r="A404">
        <v>501</v>
      </c>
      <c r="B404" t="s">
        <v>60</v>
      </c>
      <c r="C404" t="s">
        <v>31</v>
      </c>
      <c r="D404">
        <v>35</v>
      </c>
      <c r="E404" t="s">
        <v>34</v>
      </c>
      <c r="F404">
        <v>1</v>
      </c>
      <c r="G404" t="str">
        <f t="shared" si="5"/>
        <v>M0112-A-35-1</v>
      </c>
      <c r="H404">
        <v>56.3</v>
      </c>
      <c r="I404">
        <v>56.68</v>
      </c>
    </row>
    <row r="405" spans="1:9" x14ac:dyDescent="0.3">
      <c r="A405">
        <v>501</v>
      </c>
      <c r="B405" t="s">
        <v>60</v>
      </c>
      <c r="C405" t="s">
        <v>31</v>
      </c>
      <c r="D405">
        <v>36</v>
      </c>
      <c r="E405" t="s">
        <v>34</v>
      </c>
      <c r="F405">
        <v>1</v>
      </c>
      <c r="G405" t="str">
        <f t="shared" si="5"/>
        <v>M0112-A-36-1</v>
      </c>
      <c r="H405">
        <v>56.3</v>
      </c>
      <c r="I405">
        <v>57.8</v>
      </c>
    </row>
    <row r="406" spans="1:9" x14ac:dyDescent="0.3">
      <c r="A406">
        <v>501</v>
      </c>
      <c r="B406" t="s">
        <v>60</v>
      </c>
      <c r="C406" t="s">
        <v>31</v>
      </c>
      <c r="D406">
        <v>36</v>
      </c>
      <c r="E406" t="s">
        <v>34</v>
      </c>
      <c r="F406">
        <v>2</v>
      </c>
      <c r="G406" t="str">
        <f t="shared" si="5"/>
        <v>M0112-A-36-2</v>
      </c>
      <c r="H406">
        <v>57.8</v>
      </c>
      <c r="I406">
        <v>59.3</v>
      </c>
    </row>
    <row r="407" spans="1:9" x14ac:dyDescent="0.3">
      <c r="A407">
        <v>501</v>
      </c>
      <c r="B407" t="s">
        <v>60</v>
      </c>
      <c r="C407" t="s">
        <v>31</v>
      </c>
      <c r="D407">
        <v>37</v>
      </c>
      <c r="E407" t="s">
        <v>34</v>
      </c>
      <c r="F407">
        <v>1</v>
      </c>
      <c r="G407" t="str">
        <f t="shared" si="5"/>
        <v>M0112-A-37-1</v>
      </c>
      <c r="H407">
        <v>59.21</v>
      </c>
      <c r="I407">
        <v>59.52</v>
      </c>
    </row>
    <row r="408" spans="1:9" x14ac:dyDescent="0.3">
      <c r="A408">
        <v>501</v>
      </c>
      <c r="B408" t="s">
        <v>60</v>
      </c>
      <c r="C408" t="s">
        <v>31</v>
      </c>
      <c r="D408">
        <v>38</v>
      </c>
      <c r="E408" t="s">
        <v>34</v>
      </c>
      <c r="F408">
        <v>1</v>
      </c>
      <c r="G408" t="str">
        <f t="shared" si="5"/>
        <v>M0112-A-38-1</v>
      </c>
      <c r="H408">
        <v>59.61</v>
      </c>
      <c r="I408">
        <v>60.11</v>
      </c>
    </row>
    <row r="409" spans="1:9" x14ac:dyDescent="0.3">
      <c r="A409">
        <v>501</v>
      </c>
      <c r="B409" t="s">
        <v>60</v>
      </c>
      <c r="C409" t="s">
        <v>31</v>
      </c>
      <c r="D409">
        <v>39</v>
      </c>
      <c r="E409" t="s">
        <v>34</v>
      </c>
      <c r="F409">
        <v>1</v>
      </c>
      <c r="G409" t="str">
        <f t="shared" si="5"/>
        <v>M0112-A-39-1</v>
      </c>
      <c r="H409">
        <v>60.51</v>
      </c>
      <c r="I409">
        <v>61.27</v>
      </c>
    </row>
    <row r="410" spans="1:9" x14ac:dyDescent="0.3">
      <c r="A410">
        <v>501</v>
      </c>
      <c r="B410" t="s">
        <v>60</v>
      </c>
      <c r="C410" t="s">
        <v>31</v>
      </c>
      <c r="D410">
        <v>40</v>
      </c>
      <c r="E410" t="s">
        <v>34</v>
      </c>
      <c r="F410">
        <v>1</v>
      </c>
      <c r="G410" t="str">
        <f t="shared" si="5"/>
        <v>M0112-A-40-1</v>
      </c>
      <c r="H410">
        <v>62.21</v>
      </c>
      <c r="I410">
        <v>63.21</v>
      </c>
    </row>
    <row r="411" spans="1:9" x14ac:dyDescent="0.3">
      <c r="A411">
        <v>501</v>
      </c>
      <c r="B411" t="s">
        <v>60</v>
      </c>
      <c r="C411" t="s">
        <v>31</v>
      </c>
      <c r="D411">
        <v>40</v>
      </c>
      <c r="E411" t="s">
        <v>34</v>
      </c>
      <c r="F411">
        <v>2</v>
      </c>
      <c r="G411" t="str">
        <f t="shared" si="5"/>
        <v>M0112-A-40-2</v>
      </c>
      <c r="H411">
        <v>63.21</v>
      </c>
      <c r="I411">
        <v>63.56</v>
      </c>
    </row>
    <row r="412" spans="1:9" x14ac:dyDescent="0.3">
      <c r="A412">
        <v>501</v>
      </c>
      <c r="B412" t="s">
        <v>60</v>
      </c>
      <c r="C412" t="s">
        <v>31</v>
      </c>
      <c r="D412">
        <v>41</v>
      </c>
      <c r="E412" t="s">
        <v>57</v>
      </c>
      <c r="F412">
        <v>1</v>
      </c>
      <c r="G412" t="str">
        <f t="shared" si="5"/>
        <v>M0112-A-41-1</v>
      </c>
      <c r="H412">
        <v>65.209999999999994</v>
      </c>
      <c r="I412">
        <v>66.7</v>
      </c>
    </row>
    <row r="413" spans="1:9" x14ac:dyDescent="0.3">
      <c r="A413">
        <v>501</v>
      </c>
      <c r="B413" t="s">
        <v>60</v>
      </c>
      <c r="C413" t="s">
        <v>31</v>
      </c>
      <c r="D413">
        <v>41</v>
      </c>
      <c r="E413" t="s">
        <v>57</v>
      </c>
      <c r="F413">
        <v>2</v>
      </c>
      <c r="G413" t="str">
        <f t="shared" si="5"/>
        <v>M0112-A-41-2</v>
      </c>
      <c r="H413">
        <v>66.7</v>
      </c>
      <c r="I413">
        <v>68.09</v>
      </c>
    </row>
    <row r="414" spans="1:9" x14ac:dyDescent="0.3">
      <c r="A414">
        <v>501</v>
      </c>
      <c r="B414" t="s">
        <v>60</v>
      </c>
      <c r="C414" t="s">
        <v>31</v>
      </c>
      <c r="D414">
        <v>42</v>
      </c>
      <c r="E414" t="s">
        <v>57</v>
      </c>
      <c r="F414">
        <v>1</v>
      </c>
      <c r="G414" t="str">
        <f t="shared" si="5"/>
        <v>M0112-A-42-1</v>
      </c>
      <c r="H414">
        <v>67.59</v>
      </c>
      <c r="I414">
        <v>68.34</v>
      </c>
    </row>
    <row r="415" spans="1:9" x14ac:dyDescent="0.3">
      <c r="A415">
        <v>501</v>
      </c>
      <c r="B415" t="s">
        <v>60</v>
      </c>
      <c r="C415" t="s">
        <v>31</v>
      </c>
      <c r="D415">
        <v>43</v>
      </c>
      <c r="E415" t="s">
        <v>57</v>
      </c>
      <c r="F415">
        <v>1</v>
      </c>
      <c r="G415" t="str">
        <f t="shared" si="5"/>
        <v>M0112-A-43-1</v>
      </c>
      <c r="H415">
        <v>68.34</v>
      </c>
      <c r="I415">
        <v>69.14</v>
      </c>
    </row>
    <row r="416" spans="1:9" x14ac:dyDescent="0.3">
      <c r="A416">
        <v>501</v>
      </c>
      <c r="B416" t="s">
        <v>60</v>
      </c>
      <c r="C416" t="s">
        <v>31</v>
      </c>
      <c r="D416">
        <v>43</v>
      </c>
      <c r="E416" t="s">
        <v>57</v>
      </c>
      <c r="F416">
        <v>2</v>
      </c>
      <c r="G416" t="str">
        <f t="shared" si="5"/>
        <v>M0112-A-43-2</v>
      </c>
      <c r="H416">
        <v>69.14</v>
      </c>
      <c r="I416">
        <v>69.42</v>
      </c>
    </row>
    <row r="417" spans="1:9" x14ac:dyDescent="0.3">
      <c r="A417">
        <v>501</v>
      </c>
      <c r="B417" t="s">
        <v>60</v>
      </c>
      <c r="C417" t="s">
        <v>31</v>
      </c>
      <c r="D417">
        <v>44</v>
      </c>
      <c r="E417" t="s">
        <v>57</v>
      </c>
      <c r="F417">
        <v>1</v>
      </c>
      <c r="G417" t="str">
        <f t="shared" si="5"/>
        <v>M0112-A-44-1</v>
      </c>
      <c r="H417">
        <v>69.42</v>
      </c>
      <c r="I417">
        <v>70.290000000000006</v>
      </c>
    </row>
    <row r="418" spans="1:9" x14ac:dyDescent="0.3">
      <c r="A418">
        <v>501</v>
      </c>
      <c r="B418" t="s">
        <v>60</v>
      </c>
      <c r="C418" t="s">
        <v>31</v>
      </c>
      <c r="D418">
        <v>45</v>
      </c>
      <c r="E418" t="s">
        <v>57</v>
      </c>
      <c r="F418">
        <v>1</v>
      </c>
      <c r="G418" t="str">
        <f t="shared" si="5"/>
        <v>M0112-A-45-1</v>
      </c>
      <c r="H418">
        <v>70.08</v>
      </c>
      <c r="I418">
        <v>71.11</v>
      </c>
    </row>
    <row r="419" spans="1:9" x14ac:dyDescent="0.3">
      <c r="A419">
        <v>501</v>
      </c>
      <c r="B419" t="s">
        <v>60</v>
      </c>
      <c r="C419" t="s">
        <v>31</v>
      </c>
      <c r="D419">
        <v>46</v>
      </c>
      <c r="E419" t="s">
        <v>57</v>
      </c>
      <c r="F419">
        <v>1</v>
      </c>
      <c r="G419" t="str">
        <f t="shared" si="5"/>
        <v>M0112-A-46-1</v>
      </c>
      <c r="H419">
        <v>71.11</v>
      </c>
      <c r="I419">
        <v>71.959999999999994</v>
      </c>
    </row>
    <row r="420" spans="1:9" x14ac:dyDescent="0.3">
      <c r="A420">
        <v>501</v>
      </c>
      <c r="B420" t="s">
        <v>60</v>
      </c>
      <c r="C420" t="s">
        <v>31</v>
      </c>
      <c r="D420">
        <v>46</v>
      </c>
      <c r="E420" t="s">
        <v>57</v>
      </c>
      <c r="F420">
        <v>2</v>
      </c>
      <c r="G420" t="str">
        <f t="shared" si="5"/>
        <v>M0112-A-46-2</v>
      </c>
      <c r="H420">
        <v>71.959999999999994</v>
      </c>
      <c r="I420">
        <v>72.180000000000007</v>
      </c>
    </row>
    <row r="421" spans="1:9" x14ac:dyDescent="0.3">
      <c r="A421">
        <v>501</v>
      </c>
      <c r="B421" t="s">
        <v>60</v>
      </c>
      <c r="C421" t="s">
        <v>31</v>
      </c>
      <c r="D421">
        <v>47</v>
      </c>
      <c r="E421" t="s">
        <v>57</v>
      </c>
      <c r="F421">
        <v>1</v>
      </c>
      <c r="G421" t="str">
        <f t="shared" si="5"/>
        <v>M0112-A-47-1</v>
      </c>
      <c r="H421">
        <v>72.180000000000007</v>
      </c>
      <c r="I421">
        <v>72.86</v>
      </c>
    </row>
    <row r="422" spans="1:9" x14ac:dyDescent="0.3">
      <c r="A422">
        <v>501</v>
      </c>
      <c r="B422" t="s">
        <v>60</v>
      </c>
      <c r="C422" t="s">
        <v>31</v>
      </c>
      <c r="D422">
        <v>48</v>
      </c>
      <c r="E422" t="s">
        <v>57</v>
      </c>
      <c r="F422">
        <v>1</v>
      </c>
      <c r="G422" t="str">
        <f t="shared" si="5"/>
        <v>M0112-A-48-1</v>
      </c>
      <c r="H422">
        <v>72.86</v>
      </c>
      <c r="I422">
        <v>73.010000000000005</v>
      </c>
    </row>
    <row r="423" spans="1:9" x14ac:dyDescent="0.3">
      <c r="A423">
        <v>501</v>
      </c>
      <c r="B423" t="s">
        <v>60</v>
      </c>
      <c r="C423" t="s">
        <v>31</v>
      </c>
      <c r="D423">
        <v>48</v>
      </c>
      <c r="E423" t="s">
        <v>57</v>
      </c>
      <c r="F423">
        <v>2</v>
      </c>
      <c r="G423" t="str">
        <f t="shared" si="5"/>
        <v>M0112-A-48-2</v>
      </c>
      <c r="H423">
        <v>73.010000000000005</v>
      </c>
      <c r="I423">
        <v>74.19</v>
      </c>
    </row>
    <row r="424" spans="1:9" x14ac:dyDescent="0.3">
      <c r="A424">
        <v>501</v>
      </c>
      <c r="B424" t="s">
        <v>60</v>
      </c>
      <c r="C424" t="s">
        <v>31</v>
      </c>
      <c r="D424">
        <v>49</v>
      </c>
      <c r="E424" t="s">
        <v>57</v>
      </c>
      <c r="F424">
        <v>1</v>
      </c>
      <c r="G424" t="str">
        <f t="shared" si="5"/>
        <v>M0112-A-49-1</v>
      </c>
      <c r="H424">
        <v>74.19</v>
      </c>
      <c r="I424">
        <v>75.39</v>
      </c>
    </row>
    <row r="425" spans="1:9" x14ac:dyDescent="0.3">
      <c r="A425">
        <v>501</v>
      </c>
      <c r="B425" t="s">
        <v>60</v>
      </c>
      <c r="C425" t="s">
        <v>31</v>
      </c>
      <c r="D425">
        <v>50</v>
      </c>
      <c r="E425" t="s">
        <v>34</v>
      </c>
      <c r="F425">
        <v>1</v>
      </c>
      <c r="G425" t="str">
        <f t="shared" si="5"/>
        <v>M0112-A-50-1</v>
      </c>
      <c r="H425">
        <v>75.39</v>
      </c>
      <c r="I425">
        <v>76.69</v>
      </c>
    </row>
    <row r="426" spans="1:9" x14ac:dyDescent="0.3">
      <c r="A426">
        <v>501</v>
      </c>
      <c r="B426" t="s">
        <v>60</v>
      </c>
      <c r="C426" t="s">
        <v>31</v>
      </c>
      <c r="D426">
        <v>50</v>
      </c>
      <c r="E426" t="s">
        <v>34</v>
      </c>
      <c r="F426">
        <v>2</v>
      </c>
      <c r="G426" t="str">
        <f t="shared" si="5"/>
        <v>M0112-A-50-2</v>
      </c>
      <c r="H426">
        <v>76.69</v>
      </c>
      <c r="I426">
        <v>77.42</v>
      </c>
    </row>
    <row r="427" spans="1:9" x14ac:dyDescent="0.3">
      <c r="A427">
        <v>501</v>
      </c>
      <c r="B427" t="s">
        <v>60</v>
      </c>
      <c r="C427" t="s">
        <v>31</v>
      </c>
      <c r="D427">
        <v>51</v>
      </c>
      <c r="E427" t="s">
        <v>34</v>
      </c>
      <c r="F427">
        <v>1</v>
      </c>
      <c r="G427" t="str">
        <f t="shared" si="5"/>
        <v>M0112-A-51-1</v>
      </c>
      <c r="H427">
        <v>77.239999999999995</v>
      </c>
      <c r="I427">
        <v>78.739999999999995</v>
      </c>
    </row>
    <row r="428" spans="1:9" x14ac:dyDescent="0.3">
      <c r="A428">
        <v>501</v>
      </c>
      <c r="B428" t="s">
        <v>60</v>
      </c>
      <c r="C428" t="s">
        <v>31</v>
      </c>
      <c r="D428">
        <v>51</v>
      </c>
      <c r="E428" t="s">
        <v>34</v>
      </c>
      <c r="F428">
        <v>2</v>
      </c>
      <c r="G428" t="str">
        <f t="shared" si="5"/>
        <v>M0112-A-51-2</v>
      </c>
      <c r="H428">
        <v>78.739999999999995</v>
      </c>
      <c r="I428">
        <v>79.989999999999995</v>
      </c>
    </row>
    <row r="429" spans="1:9" x14ac:dyDescent="0.3">
      <c r="A429">
        <v>501</v>
      </c>
      <c r="B429" t="s">
        <v>60</v>
      </c>
      <c r="C429" t="s">
        <v>31</v>
      </c>
      <c r="D429">
        <v>51</v>
      </c>
      <c r="E429" t="s">
        <v>34</v>
      </c>
      <c r="F429">
        <v>3</v>
      </c>
      <c r="G429" t="str">
        <f t="shared" si="5"/>
        <v>M0112-A-51-3</v>
      </c>
      <c r="H429">
        <v>79.989999999999995</v>
      </c>
      <c r="I429">
        <v>80.34</v>
      </c>
    </row>
    <row r="430" spans="1:9" x14ac:dyDescent="0.3">
      <c r="A430">
        <v>501</v>
      </c>
      <c r="B430" t="s">
        <v>60</v>
      </c>
      <c r="C430" t="s">
        <v>31</v>
      </c>
      <c r="D430">
        <v>52</v>
      </c>
      <c r="E430" t="s">
        <v>34</v>
      </c>
      <c r="F430">
        <v>1</v>
      </c>
      <c r="G430" t="str">
        <f t="shared" si="5"/>
        <v>M0112-A-52-1</v>
      </c>
      <c r="H430">
        <v>80.209999999999994</v>
      </c>
      <c r="I430">
        <v>81.709999999999994</v>
      </c>
    </row>
    <row r="431" spans="1:9" x14ac:dyDescent="0.3">
      <c r="A431">
        <v>501</v>
      </c>
      <c r="B431" t="s">
        <v>60</v>
      </c>
      <c r="C431" t="s">
        <v>31</v>
      </c>
      <c r="D431">
        <v>52</v>
      </c>
      <c r="E431" t="s">
        <v>34</v>
      </c>
      <c r="F431">
        <v>2</v>
      </c>
      <c r="G431" t="str">
        <f t="shared" si="5"/>
        <v>M0112-A-52-2</v>
      </c>
      <c r="H431">
        <v>81.709999999999994</v>
      </c>
      <c r="I431">
        <v>82.56</v>
      </c>
    </row>
    <row r="432" spans="1:9" x14ac:dyDescent="0.3">
      <c r="A432">
        <v>501</v>
      </c>
      <c r="B432" t="s">
        <v>60</v>
      </c>
      <c r="C432" t="s">
        <v>31</v>
      </c>
      <c r="D432">
        <v>53</v>
      </c>
      <c r="E432" t="s">
        <v>34</v>
      </c>
      <c r="F432">
        <v>1</v>
      </c>
      <c r="G432" t="str">
        <f t="shared" si="5"/>
        <v>M0112-A-53-1</v>
      </c>
      <c r="H432">
        <v>83.21</v>
      </c>
      <c r="I432">
        <v>83.93</v>
      </c>
    </row>
    <row r="433" spans="1:9" x14ac:dyDescent="0.3">
      <c r="A433">
        <v>501</v>
      </c>
      <c r="B433" t="s">
        <v>60</v>
      </c>
      <c r="C433" t="s">
        <v>31</v>
      </c>
      <c r="D433">
        <v>54</v>
      </c>
      <c r="E433" t="s">
        <v>34</v>
      </c>
      <c r="F433">
        <v>1</v>
      </c>
      <c r="G433" t="str">
        <f t="shared" si="5"/>
        <v>M0112-A-54-1</v>
      </c>
      <c r="H433">
        <v>86.21</v>
      </c>
      <c r="I433">
        <v>86.98</v>
      </c>
    </row>
    <row r="434" spans="1:9" x14ac:dyDescent="0.3">
      <c r="A434">
        <v>501</v>
      </c>
      <c r="B434" t="s">
        <v>60</v>
      </c>
      <c r="C434" t="s">
        <v>31</v>
      </c>
      <c r="D434">
        <v>55</v>
      </c>
      <c r="E434" t="s">
        <v>34</v>
      </c>
      <c r="F434">
        <v>1</v>
      </c>
      <c r="G434" t="str">
        <f t="shared" si="5"/>
        <v>M0112-A-55-1</v>
      </c>
      <c r="H434">
        <v>87.71</v>
      </c>
      <c r="I434">
        <v>88.89</v>
      </c>
    </row>
    <row r="435" spans="1:9" x14ac:dyDescent="0.3">
      <c r="A435">
        <v>501</v>
      </c>
      <c r="B435" t="s">
        <v>60</v>
      </c>
      <c r="C435" t="s">
        <v>31</v>
      </c>
      <c r="D435">
        <v>55</v>
      </c>
      <c r="E435" t="s">
        <v>34</v>
      </c>
      <c r="F435">
        <v>2</v>
      </c>
      <c r="G435" t="str">
        <f t="shared" si="5"/>
        <v>M0112-A-55-2</v>
      </c>
      <c r="H435">
        <v>88.89</v>
      </c>
      <c r="I435">
        <v>89.24</v>
      </c>
    </row>
    <row r="436" spans="1:9" x14ac:dyDescent="0.3">
      <c r="A436">
        <v>501</v>
      </c>
      <c r="B436" t="s">
        <v>60</v>
      </c>
      <c r="C436" t="s">
        <v>31</v>
      </c>
      <c r="D436">
        <v>56</v>
      </c>
      <c r="E436" t="s">
        <v>34</v>
      </c>
      <c r="F436">
        <v>1</v>
      </c>
      <c r="G436" t="str">
        <f t="shared" si="5"/>
        <v>M0112-A-56-1</v>
      </c>
      <c r="H436">
        <v>89.21</v>
      </c>
      <c r="I436">
        <v>90.69</v>
      </c>
    </row>
    <row r="437" spans="1:9" x14ac:dyDescent="0.3">
      <c r="A437">
        <v>501</v>
      </c>
      <c r="B437" t="s">
        <v>60</v>
      </c>
      <c r="C437" t="s">
        <v>31</v>
      </c>
      <c r="D437">
        <v>57</v>
      </c>
      <c r="E437" t="s">
        <v>34</v>
      </c>
      <c r="F437">
        <v>1</v>
      </c>
      <c r="G437" t="str">
        <f t="shared" si="5"/>
        <v>M0112-A-57-1</v>
      </c>
      <c r="H437">
        <v>90.71</v>
      </c>
      <c r="I437">
        <v>91.94</v>
      </c>
    </row>
    <row r="438" spans="1:9" x14ac:dyDescent="0.3">
      <c r="A438">
        <v>501</v>
      </c>
      <c r="B438" t="s">
        <v>60</v>
      </c>
      <c r="C438" t="s">
        <v>31</v>
      </c>
      <c r="D438">
        <v>57</v>
      </c>
      <c r="E438" t="s">
        <v>34</v>
      </c>
      <c r="F438">
        <v>2</v>
      </c>
      <c r="G438" t="str">
        <f t="shared" si="5"/>
        <v>M0112-A-57-2</v>
      </c>
      <c r="H438">
        <v>91.94</v>
      </c>
      <c r="I438">
        <v>92.37</v>
      </c>
    </row>
    <row r="439" spans="1:9" x14ac:dyDescent="0.3">
      <c r="A439">
        <v>501</v>
      </c>
      <c r="B439" t="s">
        <v>60</v>
      </c>
      <c r="C439" t="s">
        <v>31</v>
      </c>
      <c r="D439">
        <v>58</v>
      </c>
      <c r="E439" t="s">
        <v>34</v>
      </c>
      <c r="F439">
        <v>1</v>
      </c>
      <c r="G439" t="str">
        <f t="shared" si="5"/>
        <v>M0112-A-58-1</v>
      </c>
      <c r="H439">
        <v>92.21</v>
      </c>
      <c r="I439">
        <v>93.27</v>
      </c>
    </row>
    <row r="440" spans="1:9" x14ac:dyDescent="0.3">
      <c r="A440">
        <v>501</v>
      </c>
      <c r="B440" t="s">
        <v>60</v>
      </c>
      <c r="C440" t="s">
        <v>31</v>
      </c>
      <c r="D440">
        <v>58</v>
      </c>
      <c r="E440" t="s">
        <v>34</v>
      </c>
      <c r="F440">
        <v>2</v>
      </c>
      <c r="G440" t="str">
        <f t="shared" ref="G440:G503" si="6">CONCATENATE(B440, "-",C440, "-", D440, "-", F440)</f>
        <v>M0112-A-58-2</v>
      </c>
      <c r="H440">
        <v>93.27</v>
      </c>
      <c r="I440">
        <v>93.86</v>
      </c>
    </row>
    <row r="441" spans="1:9" x14ac:dyDescent="0.3">
      <c r="A441">
        <v>501</v>
      </c>
      <c r="B441" t="s">
        <v>60</v>
      </c>
      <c r="C441" t="s">
        <v>31</v>
      </c>
      <c r="D441">
        <v>59</v>
      </c>
      <c r="E441" t="s">
        <v>34</v>
      </c>
      <c r="F441">
        <v>1</v>
      </c>
      <c r="G441" t="str">
        <f t="shared" si="6"/>
        <v>M0112-A-59-1</v>
      </c>
      <c r="H441">
        <v>93.71</v>
      </c>
      <c r="I441">
        <v>95.13</v>
      </c>
    </row>
    <row r="442" spans="1:9" x14ac:dyDescent="0.3">
      <c r="A442">
        <v>501</v>
      </c>
      <c r="B442" t="s">
        <v>60</v>
      </c>
      <c r="C442" t="s">
        <v>31</v>
      </c>
      <c r="D442">
        <v>60</v>
      </c>
      <c r="E442" t="s">
        <v>34</v>
      </c>
      <c r="F442">
        <v>1</v>
      </c>
      <c r="G442" t="str">
        <f t="shared" si="6"/>
        <v>M0112-A-60-1</v>
      </c>
      <c r="H442">
        <v>95.21</v>
      </c>
      <c r="I442">
        <v>95.88</v>
      </c>
    </row>
    <row r="443" spans="1:9" x14ac:dyDescent="0.3">
      <c r="A443">
        <v>501</v>
      </c>
      <c r="B443" t="s">
        <v>60</v>
      </c>
      <c r="C443" t="s">
        <v>31</v>
      </c>
      <c r="D443">
        <v>62</v>
      </c>
      <c r="E443" t="s">
        <v>57</v>
      </c>
      <c r="F443">
        <v>1</v>
      </c>
      <c r="G443" t="str">
        <f t="shared" si="6"/>
        <v>M0112-A-62-1</v>
      </c>
      <c r="H443">
        <v>97.41</v>
      </c>
      <c r="I443">
        <v>98.61</v>
      </c>
    </row>
    <row r="444" spans="1:9" x14ac:dyDescent="0.3">
      <c r="A444">
        <v>501</v>
      </c>
      <c r="B444" t="s">
        <v>60</v>
      </c>
      <c r="C444" t="s">
        <v>31</v>
      </c>
      <c r="D444">
        <v>62</v>
      </c>
      <c r="E444" t="s">
        <v>57</v>
      </c>
      <c r="F444">
        <v>2</v>
      </c>
      <c r="G444" t="str">
        <f t="shared" si="6"/>
        <v>M0112-A-62-2</v>
      </c>
      <c r="H444">
        <v>98.61</v>
      </c>
      <c r="I444">
        <v>99.26</v>
      </c>
    </row>
    <row r="445" spans="1:9" x14ac:dyDescent="0.3">
      <c r="A445">
        <v>501</v>
      </c>
      <c r="B445" t="s">
        <v>60</v>
      </c>
      <c r="C445" t="s">
        <v>31</v>
      </c>
      <c r="D445">
        <v>63</v>
      </c>
      <c r="E445" t="s">
        <v>34</v>
      </c>
      <c r="F445">
        <v>1</v>
      </c>
      <c r="G445" t="str">
        <f t="shared" si="6"/>
        <v>M0112-A-63-1</v>
      </c>
      <c r="H445">
        <v>98.86</v>
      </c>
      <c r="I445">
        <v>98.98</v>
      </c>
    </row>
    <row r="446" spans="1:9" x14ac:dyDescent="0.3">
      <c r="A446">
        <v>501</v>
      </c>
      <c r="B446" t="s">
        <v>60</v>
      </c>
      <c r="C446" t="s">
        <v>31</v>
      </c>
      <c r="D446">
        <v>64</v>
      </c>
      <c r="E446" t="s">
        <v>34</v>
      </c>
      <c r="F446">
        <v>1</v>
      </c>
      <c r="G446" t="str">
        <f t="shared" si="6"/>
        <v>M0112-A-64-1</v>
      </c>
      <c r="H446">
        <v>99.46</v>
      </c>
      <c r="I446">
        <v>99.73</v>
      </c>
    </row>
    <row r="447" spans="1:9" x14ac:dyDescent="0.3">
      <c r="A447">
        <v>501</v>
      </c>
      <c r="B447" t="s">
        <v>60</v>
      </c>
      <c r="C447" t="s">
        <v>31</v>
      </c>
      <c r="D447">
        <v>66</v>
      </c>
      <c r="E447" t="s">
        <v>57</v>
      </c>
      <c r="F447">
        <v>1</v>
      </c>
      <c r="G447" t="str">
        <f t="shared" si="6"/>
        <v>M0112-A-66-1</v>
      </c>
      <c r="H447">
        <v>102.21</v>
      </c>
      <c r="I447">
        <v>102.33</v>
      </c>
    </row>
    <row r="448" spans="1:9" x14ac:dyDescent="0.3">
      <c r="A448">
        <v>501</v>
      </c>
      <c r="B448" t="s">
        <v>60</v>
      </c>
      <c r="C448" t="s">
        <v>31</v>
      </c>
      <c r="D448">
        <v>67</v>
      </c>
      <c r="E448" t="s">
        <v>57</v>
      </c>
      <c r="F448">
        <v>1</v>
      </c>
      <c r="G448" t="str">
        <f t="shared" si="6"/>
        <v>M0112-A-67-1</v>
      </c>
      <c r="H448">
        <v>102.33</v>
      </c>
      <c r="I448">
        <v>103.24</v>
      </c>
    </row>
    <row r="449" spans="1:9" x14ac:dyDescent="0.3">
      <c r="A449">
        <v>501</v>
      </c>
      <c r="B449" t="s">
        <v>60</v>
      </c>
      <c r="C449" t="s">
        <v>31</v>
      </c>
      <c r="D449">
        <v>68</v>
      </c>
      <c r="E449" t="s">
        <v>57</v>
      </c>
      <c r="F449">
        <v>1</v>
      </c>
      <c r="G449" t="str">
        <f t="shared" si="6"/>
        <v>M0112-A-68-1</v>
      </c>
      <c r="H449">
        <v>103.24</v>
      </c>
      <c r="I449">
        <v>103.38</v>
      </c>
    </row>
    <row r="450" spans="1:9" x14ac:dyDescent="0.3">
      <c r="A450">
        <v>501</v>
      </c>
      <c r="B450" t="s">
        <v>60</v>
      </c>
      <c r="C450" t="s">
        <v>31</v>
      </c>
      <c r="D450">
        <v>69</v>
      </c>
      <c r="E450" t="s">
        <v>34</v>
      </c>
      <c r="F450">
        <v>1</v>
      </c>
      <c r="G450" t="str">
        <f t="shared" si="6"/>
        <v>M0112-A-69-1</v>
      </c>
      <c r="H450">
        <v>103.38</v>
      </c>
      <c r="I450">
        <v>103.65</v>
      </c>
    </row>
    <row r="451" spans="1:9" x14ac:dyDescent="0.3">
      <c r="A451">
        <v>501</v>
      </c>
      <c r="B451" t="s">
        <v>60</v>
      </c>
      <c r="C451" t="s">
        <v>31</v>
      </c>
      <c r="D451">
        <v>70</v>
      </c>
      <c r="E451" t="s">
        <v>34</v>
      </c>
      <c r="F451">
        <v>1</v>
      </c>
      <c r="G451" t="str">
        <f t="shared" si="6"/>
        <v>M0112-A-70-1</v>
      </c>
      <c r="H451">
        <v>104.28</v>
      </c>
      <c r="I451">
        <v>104.91</v>
      </c>
    </row>
    <row r="452" spans="1:9" x14ac:dyDescent="0.3">
      <c r="A452">
        <v>501</v>
      </c>
      <c r="B452" t="s">
        <v>60</v>
      </c>
      <c r="C452" t="s">
        <v>31</v>
      </c>
      <c r="D452">
        <v>71</v>
      </c>
      <c r="E452" t="s">
        <v>34</v>
      </c>
      <c r="F452">
        <v>1</v>
      </c>
      <c r="G452" t="str">
        <f t="shared" si="6"/>
        <v>M0112-A-71-1</v>
      </c>
      <c r="H452">
        <v>107.21</v>
      </c>
      <c r="I452">
        <v>107.47</v>
      </c>
    </row>
    <row r="453" spans="1:9" x14ac:dyDescent="0.3">
      <c r="A453">
        <v>501</v>
      </c>
      <c r="B453" t="s">
        <v>60</v>
      </c>
      <c r="C453" t="s">
        <v>31</v>
      </c>
      <c r="D453">
        <v>72</v>
      </c>
      <c r="E453" t="s">
        <v>57</v>
      </c>
      <c r="F453">
        <v>1</v>
      </c>
      <c r="G453" t="str">
        <f t="shared" si="6"/>
        <v>M0112-A-72-1</v>
      </c>
      <c r="H453">
        <v>110.21</v>
      </c>
      <c r="I453">
        <v>110.54</v>
      </c>
    </row>
    <row r="454" spans="1:9" x14ac:dyDescent="0.3">
      <c r="A454">
        <v>501</v>
      </c>
      <c r="B454" t="s">
        <v>60</v>
      </c>
      <c r="C454" t="s">
        <v>31</v>
      </c>
      <c r="D454">
        <v>75</v>
      </c>
      <c r="E454" t="s">
        <v>57</v>
      </c>
      <c r="F454">
        <v>1</v>
      </c>
      <c r="G454" t="str">
        <f t="shared" si="6"/>
        <v>M0112-A-75-1</v>
      </c>
      <c r="H454">
        <v>113.21</v>
      </c>
      <c r="I454">
        <v>113.35</v>
      </c>
    </row>
    <row r="455" spans="1:9" x14ac:dyDescent="0.3">
      <c r="A455">
        <v>501</v>
      </c>
      <c r="B455" t="s">
        <v>60</v>
      </c>
      <c r="C455" t="s">
        <v>31</v>
      </c>
      <c r="D455">
        <v>77</v>
      </c>
      <c r="E455" t="s">
        <v>57</v>
      </c>
      <c r="F455">
        <v>1</v>
      </c>
      <c r="G455" t="str">
        <f t="shared" si="6"/>
        <v>M0112-A-77-1</v>
      </c>
      <c r="H455">
        <v>115.21</v>
      </c>
      <c r="I455">
        <v>115.23</v>
      </c>
    </row>
    <row r="456" spans="1:9" x14ac:dyDescent="0.3">
      <c r="A456">
        <v>501</v>
      </c>
      <c r="B456" t="s">
        <v>60</v>
      </c>
      <c r="C456" t="s">
        <v>31</v>
      </c>
      <c r="D456">
        <v>78</v>
      </c>
      <c r="E456" t="s">
        <v>57</v>
      </c>
      <c r="F456">
        <v>1</v>
      </c>
      <c r="G456" t="str">
        <f t="shared" si="6"/>
        <v>M0112-A-78-1</v>
      </c>
      <c r="H456">
        <v>115.21</v>
      </c>
      <c r="I456">
        <v>116.7</v>
      </c>
    </row>
    <row r="457" spans="1:9" x14ac:dyDescent="0.3">
      <c r="A457">
        <v>501</v>
      </c>
      <c r="B457" t="s">
        <v>60</v>
      </c>
      <c r="C457" t="s">
        <v>31</v>
      </c>
      <c r="D457">
        <v>78</v>
      </c>
      <c r="E457" t="s">
        <v>57</v>
      </c>
      <c r="F457">
        <v>2</v>
      </c>
      <c r="G457" t="str">
        <f t="shared" si="6"/>
        <v>M0112-A-78-2</v>
      </c>
      <c r="H457">
        <v>116.7</v>
      </c>
      <c r="I457">
        <v>117.2</v>
      </c>
    </row>
    <row r="458" spans="1:9" x14ac:dyDescent="0.3">
      <c r="A458">
        <v>501</v>
      </c>
      <c r="B458" t="s">
        <v>60</v>
      </c>
      <c r="C458" t="s">
        <v>31</v>
      </c>
      <c r="D458">
        <v>80</v>
      </c>
      <c r="E458" t="s">
        <v>57</v>
      </c>
      <c r="F458">
        <v>1</v>
      </c>
      <c r="G458" t="str">
        <f t="shared" si="6"/>
        <v>M0112-A-80-1</v>
      </c>
      <c r="H458">
        <v>117.2</v>
      </c>
      <c r="I458">
        <v>117.22</v>
      </c>
    </row>
    <row r="459" spans="1:9" x14ac:dyDescent="0.3">
      <c r="A459">
        <v>501</v>
      </c>
      <c r="B459" t="s">
        <v>60</v>
      </c>
      <c r="C459" t="s">
        <v>31</v>
      </c>
      <c r="D459">
        <v>81</v>
      </c>
      <c r="E459" t="s">
        <v>34</v>
      </c>
      <c r="F459">
        <v>1</v>
      </c>
      <c r="G459" t="str">
        <f t="shared" si="6"/>
        <v>M0112-A-81-1</v>
      </c>
      <c r="H459">
        <v>117.2</v>
      </c>
      <c r="I459">
        <v>117.36</v>
      </c>
    </row>
    <row r="460" spans="1:9" x14ac:dyDescent="0.3">
      <c r="A460">
        <v>501</v>
      </c>
      <c r="B460" t="s">
        <v>60</v>
      </c>
      <c r="C460" t="s">
        <v>31</v>
      </c>
      <c r="D460">
        <v>82</v>
      </c>
      <c r="E460" t="s">
        <v>57</v>
      </c>
      <c r="F460">
        <v>1</v>
      </c>
      <c r="G460" t="str">
        <f t="shared" si="6"/>
        <v>M0112-A-82-1</v>
      </c>
      <c r="H460">
        <v>119.21</v>
      </c>
      <c r="I460">
        <v>120.24</v>
      </c>
    </row>
    <row r="461" spans="1:9" x14ac:dyDescent="0.3">
      <c r="A461">
        <v>501</v>
      </c>
      <c r="B461" t="s">
        <v>60</v>
      </c>
      <c r="C461" t="s">
        <v>31</v>
      </c>
      <c r="D461">
        <v>83</v>
      </c>
      <c r="E461" t="s">
        <v>57</v>
      </c>
      <c r="F461">
        <v>1</v>
      </c>
      <c r="G461" t="str">
        <f t="shared" si="6"/>
        <v>M0112-A-83-1</v>
      </c>
      <c r="H461">
        <v>120.24</v>
      </c>
      <c r="I461">
        <v>120.36</v>
      </c>
    </row>
    <row r="462" spans="1:9" x14ac:dyDescent="0.3">
      <c r="A462">
        <v>501</v>
      </c>
      <c r="B462" t="s">
        <v>60</v>
      </c>
      <c r="C462" t="s">
        <v>31</v>
      </c>
      <c r="D462">
        <v>84</v>
      </c>
      <c r="E462" t="s">
        <v>57</v>
      </c>
      <c r="F462">
        <v>1</v>
      </c>
      <c r="G462" t="str">
        <f t="shared" si="6"/>
        <v>M0112-A-84-1</v>
      </c>
      <c r="H462">
        <v>120.36</v>
      </c>
      <c r="I462">
        <v>121.57</v>
      </c>
    </row>
    <row r="463" spans="1:9" x14ac:dyDescent="0.3">
      <c r="A463">
        <v>501</v>
      </c>
      <c r="B463" t="s">
        <v>60</v>
      </c>
      <c r="C463" t="s">
        <v>31</v>
      </c>
      <c r="D463">
        <v>85</v>
      </c>
      <c r="E463" t="s">
        <v>57</v>
      </c>
      <c r="F463">
        <v>1</v>
      </c>
      <c r="G463" t="str">
        <f t="shared" si="6"/>
        <v>M0112-A-85-1</v>
      </c>
      <c r="H463">
        <v>121.57</v>
      </c>
      <c r="I463">
        <v>122.12</v>
      </c>
    </row>
    <row r="464" spans="1:9" x14ac:dyDescent="0.3">
      <c r="A464">
        <v>501</v>
      </c>
      <c r="B464" t="s">
        <v>60</v>
      </c>
      <c r="C464" t="s">
        <v>31</v>
      </c>
      <c r="D464">
        <v>86</v>
      </c>
      <c r="E464" t="s">
        <v>57</v>
      </c>
      <c r="F464">
        <v>1</v>
      </c>
      <c r="G464" t="str">
        <f t="shared" si="6"/>
        <v>M0112-A-86-1</v>
      </c>
      <c r="H464">
        <v>122.12</v>
      </c>
      <c r="I464">
        <v>123.62</v>
      </c>
    </row>
    <row r="465" spans="1:9" x14ac:dyDescent="0.3">
      <c r="A465">
        <v>501</v>
      </c>
      <c r="B465" t="s">
        <v>60</v>
      </c>
      <c r="C465" t="s">
        <v>31</v>
      </c>
      <c r="D465">
        <v>86</v>
      </c>
      <c r="E465" t="s">
        <v>57</v>
      </c>
      <c r="F465">
        <v>2</v>
      </c>
      <c r="G465" t="str">
        <f t="shared" si="6"/>
        <v>M0112-A-86-2</v>
      </c>
      <c r="H465">
        <v>123.62</v>
      </c>
      <c r="I465">
        <v>124.15</v>
      </c>
    </row>
    <row r="466" spans="1:9" x14ac:dyDescent="0.3">
      <c r="A466">
        <v>501</v>
      </c>
      <c r="B466" t="s">
        <v>60</v>
      </c>
      <c r="C466" t="s">
        <v>31</v>
      </c>
      <c r="D466">
        <v>87</v>
      </c>
      <c r="E466" t="s">
        <v>57</v>
      </c>
      <c r="F466">
        <v>1</v>
      </c>
      <c r="G466" t="str">
        <f t="shared" si="6"/>
        <v>M0112-A-87-1</v>
      </c>
      <c r="H466">
        <v>124.15</v>
      </c>
      <c r="I466">
        <v>124.34</v>
      </c>
    </row>
    <row r="467" spans="1:9" x14ac:dyDescent="0.3">
      <c r="A467">
        <v>501</v>
      </c>
      <c r="B467" t="s">
        <v>60</v>
      </c>
      <c r="C467" t="s">
        <v>31</v>
      </c>
      <c r="D467">
        <v>88</v>
      </c>
      <c r="E467" t="s">
        <v>57</v>
      </c>
      <c r="F467">
        <v>1</v>
      </c>
      <c r="G467" t="str">
        <f t="shared" si="6"/>
        <v>M0112-A-88-1</v>
      </c>
      <c r="H467">
        <v>124.34</v>
      </c>
      <c r="I467">
        <v>124.47</v>
      </c>
    </row>
    <row r="468" spans="1:9" x14ac:dyDescent="0.3">
      <c r="A468">
        <v>501</v>
      </c>
      <c r="B468" t="s">
        <v>60</v>
      </c>
      <c r="C468" t="s">
        <v>31</v>
      </c>
      <c r="D468">
        <v>89</v>
      </c>
      <c r="E468" t="s">
        <v>57</v>
      </c>
      <c r="F468">
        <v>1</v>
      </c>
      <c r="G468" t="str">
        <f t="shared" si="6"/>
        <v>M0112-A-89-1</v>
      </c>
      <c r="H468">
        <v>124.47</v>
      </c>
      <c r="I468">
        <v>125.13</v>
      </c>
    </row>
    <row r="469" spans="1:9" x14ac:dyDescent="0.3">
      <c r="A469">
        <v>501</v>
      </c>
      <c r="B469" t="s">
        <v>60</v>
      </c>
      <c r="C469" t="s">
        <v>31</v>
      </c>
      <c r="D469">
        <v>89</v>
      </c>
      <c r="E469" t="s">
        <v>57</v>
      </c>
      <c r="F469">
        <v>2</v>
      </c>
      <c r="G469" t="str">
        <f t="shared" si="6"/>
        <v>M0112-A-89-2</v>
      </c>
      <c r="H469">
        <v>125.13</v>
      </c>
      <c r="I469">
        <v>125.89</v>
      </c>
    </row>
    <row r="470" spans="1:9" x14ac:dyDescent="0.3">
      <c r="A470">
        <v>501</v>
      </c>
      <c r="B470" t="s">
        <v>60</v>
      </c>
      <c r="C470" t="s">
        <v>31</v>
      </c>
      <c r="D470">
        <v>90</v>
      </c>
      <c r="E470" t="s">
        <v>57</v>
      </c>
      <c r="F470">
        <v>1</v>
      </c>
      <c r="G470" t="str">
        <f t="shared" si="6"/>
        <v>M0112-A-90-1</v>
      </c>
      <c r="H470">
        <v>125.89</v>
      </c>
      <c r="I470">
        <v>126.41</v>
      </c>
    </row>
    <row r="471" spans="1:9" x14ac:dyDescent="0.3">
      <c r="A471">
        <v>501</v>
      </c>
      <c r="B471" t="s">
        <v>60</v>
      </c>
      <c r="C471" t="s">
        <v>31</v>
      </c>
      <c r="D471">
        <v>91</v>
      </c>
      <c r="E471" t="s">
        <v>57</v>
      </c>
      <c r="F471">
        <v>1</v>
      </c>
      <c r="G471" t="str">
        <f t="shared" si="6"/>
        <v>M0112-A-91-1</v>
      </c>
      <c r="H471">
        <v>126.41</v>
      </c>
      <c r="I471">
        <v>126.88</v>
      </c>
    </row>
    <row r="472" spans="1:9" x14ac:dyDescent="0.3">
      <c r="A472">
        <v>501</v>
      </c>
      <c r="B472" t="s">
        <v>60</v>
      </c>
      <c r="C472" t="s">
        <v>31</v>
      </c>
      <c r="D472">
        <v>91</v>
      </c>
      <c r="E472" t="s">
        <v>57</v>
      </c>
      <c r="F472">
        <v>2</v>
      </c>
      <c r="G472" t="str">
        <f t="shared" si="6"/>
        <v>M0112-A-91-2</v>
      </c>
      <c r="H472">
        <v>126.88</v>
      </c>
      <c r="I472">
        <v>127.89</v>
      </c>
    </row>
    <row r="473" spans="1:9" x14ac:dyDescent="0.3">
      <c r="A473">
        <v>501</v>
      </c>
      <c r="B473" t="s">
        <v>60</v>
      </c>
      <c r="C473" t="s">
        <v>31</v>
      </c>
      <c r="D473">
        <v>91</v>
      </c>
      <c r="E473" t="s">
        <v>57</v>
      </c>
      <c r="F473">
        <v>3</v>
      </c>
      <c r="G473" t="str">
        <f t="shared" si="6"/>
        <v>M0112-A-91-3</v>
      </c>
      <c r="H473">
        <v>127.89</v>
      </c>
      <c r="I473">
        <v>128.43</v>
      </c>
    </row>
    <row r="474" spans="1:9" x14ac:dyDescent="0.3">
      <c r="A474">
        <v>501</v>
      </c>
      <c r="B474" t="s">
        <v>60</v>
      </c>
      <c r="C474" t="s">
        <v>31</v>
      </c>
      <c r="D474">
        <v>92</v>
      </c>
      <c r="E474" t="s">
        <v>57</v>
      </c>
      <c r="F474">
        <v>1</v>
      </c>
      <c r="G474" t="str">
        <f t="shared" si="6"/>
        <v>M0112-A-92-1</v>
      </c>
      <c r="H474">
        <v>128.43</v>
      </c>
      <c r="I474">
        <v>129.93</v>
      </c>
    </row>
    <row r="475" spans="1:9" x14ac:dyDescent="0.3">
      <c r="A475">
        <v>501</v>
      </c>
      <c r="B475" t="s">
        <v>60</v>
      </c>
      <c r="C475" t="s">
        <v>31</v>
      </c>
      <c r="D475">
        <v>92</v>
      </c>
      <c r="E475" t="s">
        <v>57</v>
      </c>
      <c r="F475">
        <v>2</v>
      </c>
      <c r="G475" t="str">
        <f t="shared" si="6"/>
        <v>M0112-A-92-2</v>
      </c>
      <c r="H475">
        <v>129.93</v>
      </c>
      <c r="I475">
        <v>130.72999999999999</v>
      </c>
    </row>
    <row r="476" spans="1:9" x14ac:dyDescent="0.3">
      <c r="A476">
        <v>501</v>
      </c>
      <c r="B476" t="s">
        <v>60</v>
      </c>
      <c r="C476" t="s">
        <v>31</v>
      </c>
      <c r="D476">
        <v>93</v>
      </c>
      <c r="E476" t="s">
        <v>57</v>
      </c>
      <c r="F476">
        <v>1</v>
      </c>
      <c r="G476" t="str">
        <f t="shared" si="6"/>
        <v>M0112-A-93-1</v>
      </c>
      <c r="H476">
        <v>130.72999999999999</v>
      </c>
      <c r="I476">
        <v>132.22999999999999</v>
      </c>
    </row>
    <row r="477" spans="1:9" x14ac:dyDescent="0.3">
      <c r="A477">
        <v>501</v>
      </c>
      <c r="B477" t="s">
        <v>60</v>
      </c>
      <c r="C477" t="s">
        <v>31</v>
      </c>
      <c r="D477">
        <v>93</v>
      </c>
      <c r="E477" t="s">
        <v>57</v>
      </c>
      <c r="F477">
        <v>2</v>
      </c>
      <c r="G477" t="str">
        <f t="shared" si="6"/>
        <v>M0112-A-93-2</v>
      </c>
      <c r="H477">
        <v>132.22999999999999</v>
      </c>
      <c r="I477">
        <v>133.59</v>
      </c>
    </row>
    <row r="478" spans="1:9" x14ac:dyDescent="0.3">
      <c r="A478">
        <v>501</v>
      </c>
      <c r="B478" t="s">
        <v>60</v>
      </c>
      <c r="C478" t="s">
        <v>31</v>
      </c>
      <c r="D478">
        <v>94</v>
      </c>
      <c r="E478" t="s">
        <v>57</v>
      </c>
      <c r="F478">
        <v>1</v>
      </c>
      <c r="G478" t="str">
        <f t="shared" si="6"/>
        <v>M0112-A-94-1</v>
      </c>
      <c r="H478">
        <v>133.59</v>
      </c>
      <c r="I478">
        <v>135.09</v>
      </c>
    </row>
    <row r="479" spans="1:9" x14ac:dyDescent="0.3">
      <c r="A479">
        <v>501</v>
      </c>
      <c r="B479" t="s">
        <v>60</v>
      </c>
      <c r="C479" t="s">
        <v>31</v>
      </c>
      <c r="D479">
        <v>94</v>
      </c>
      <c r="E479" t="s">
        <v>57</v>
      </c>
      <c r="F479">
        <v>2</v>
      </c>
      <c r="G479" t="str">
        <f t="shared" si="6"/>
        <v>M0112-A-94-2</v>
      </c>
      <c r="H479">
        <v>135.09</v>
      </c>
      <c r="I479">
        <v>136.34</v>
      </c>
    </row>
    <row r="480" spans="1:9" x14ac:dyDescent="0.3">
      <c r="A480">
        <v>501</v>
      </c>
      <c r="B480" t="s">
        <v>60</v>
      </c>
      <c r="C480" t="s">
        <v>31</v>
      </c>
      <c r="D480">
        <v>95</v>
      </c>
      <c r="E480" t="s">
        <v>57</v>
      </c>
      <c r="F480">
        <v>1</v>
      </c>
      <c r="G480" t="str">
        <f t="shared" si="6"/>
        <v>M0112-A-95-1</v>
      </c>
      <c r="H480">
        <v>136.24</v>
      </c>
      <c r="I480">
        <v>136.79</v>
      </c>
    </row>
    <row r="481" spans="1:9" x14ac:dyDescent="0.3">
      <c r="A481">
        <v>501</v>
      </c>
      <c r="B481" t="s">
        <v>60</v>
      </c>
      <c r="C481" t="s">
        <v>31</v>
      </c>
      <c r="D481">
        <v>95</v>
      </c>
      <c r="E481" t="s">
        <v>57</v>
      </c>
      <c r="F481">
        <v>2</v>
      </c>
      <c r="G481" t="str">
        <f t="shared" si="6"/>
        <v>M0112-A-95-2</v>
      </c>
      <c r="H481">
        <v>136.79</v>
      </c>
      <c r="I481">
        <v>138.22</v>
      </c>
    </row>
    <row r="482" spans="1:9" x14ac:dyDescent="0.3">
      <c r="A482">
        <v>501</v>
      </c>
      <c r="B482" t="s">
        <v>60</v>
      </c>
      <c r="C482" t="s">
        <v>31</v>
      </c>
      <c r="D482">
        <v>96</v>
      </c>
      <c r="E482" t="s">
        <v>57</v>
      </c>
      <c r="F482">
        <v>1</v>
      </c>
      <c r="G482" t="str">
        <f t="shared" si="6"/>
        <v>M0112-A-96-1</v>
      </c>
      <c r="H482">
        <v>138.22</v>
      </c>
      <c r="I482">
        <v>139.04</v>
      </c>
    </row>
    <row r="483" spans="1:9" x14ac:dyDescent="0.3">
      <c r="A483">
        <v>501</v>
      </c>
      <c r="B483" t="s">
        <v>60</v>
      </c>
      <c r="C483" t="s">
        <v>31</v>
      </c>
      <c r="D483">
        <v>96</v>
      </c>
      <c r="E483" t="s">
        <v>57</v>
      </c>
      <c r="F483">
        <v>2</v>
      </c>
      <c r="G483" t="str">
        <f t="shared" si="6"/>
        <v>M0112-A-96-2</v>
      </c>
      <c r="H483">
        <v>139.04</v>
      </c>
      <c r="I483">
        <v>139.16</v>
      </c>
    </row>
    <row r="484" spans="1:9" x14ac:dyDescent="0.3">
      <c r="A484">
        <v>501</v>
      </c>
      <c r="B484" t="s">
        <v>60</v>
      </c>
      <c r="C484" t="s">
        <v>31</v>
      </c>
      <c r="D484">
        <v>98</v>
      </c>
      <c r="E484" t="s">
        <v>57</v>
      </c>
      <c r="F484">
        <v>1</v>
      </c>
      <c r="G484" t="str">
        <f t="shared" si="6"/>
        <v>M0112-A-98-1</v>
      </c>
      <c r="H484">
        <v>140.21</v>
      </c>
      <c r="I484">
        <v>140.33000000000001</v>
      </c>
    </row>
    <row r="485" spans="1:9" x14ac:dyDescent="0.3">
      <c r="A485">
        <v>501</v>
      </c>
      <c r="B485" t="s">
        <v>60</v>
      </c>
      <c r="C485" t="s">
        <v>31</v>
      </c>
      <c r="D485">
        <v>99</v>
      </c>
      <c r="E485" t="s">
        <v>34</v>
      </c>
      <c r="F485">
        <v>1</v>
      </c>
      <c r="G485" t="str">
        <f t="shared" si="6"/>
        <v>M0112-A-99-1</v>
      </c>
      <c r="H485">
        <v>141.21</v>
      </c>
      <c r="I485">
        <v>142.41999999999999</v>
      </c>
    </row>
    <row r="486" spans="1:9" x14ac:dyDescent="0.3">
      <c r="A486">
        <v>501</v>
      </c>
      <c r="B486" t="s">
        <v>60</v>
      </c>
      <c r="C486" t="s">
        <v>31</v>
      </c>
      <c r="D486">
        <v>99</v>
      </c>
      <c r="E486" t="s">
        <v>34</v>
      </c>
      <c r="F486">
        <v>2</v>
      </c>
      <c r="G486" t="str">
        <f t="shared" si="6"/>
        <v>M0112-A-99-2</v>
      </c>
      <c r="H486">
        <v>142.41999999999999</v>
      </c>
      <c r="I486">
        <v>142.88</v>
      </c>
    </row>
    <row r="487" spans="1:9" x14ac:dyDescent="0.3">
      <c r="A487">
        <v>501</v>
      </c>
      <c r="B487" t="s">
        <v>60</v>
      </c>
      <c r="C487" t="s">
        <v>31</v>
      </c>
      <c r="D487">
        <v>100</v>
      </c>
      <c r="E487" t="s">
        <v>34</v>
      </c>
      <c r="F487">
        <v>1</v>
      </c>
      <c r="G487" t="str">
        <f t="shared" si="6"/>
        <v>M0112-A-100-1</v>
      </c>
      <c r="H487">
        <v>142.21</v>
      </c>
      <c r="I487">
        <v>143.18</v>
      </c>
    </row>
    <row r="488" spans="1:9" x14ac:dyDescent="0.3">
      <c r="A488">
        <v>501</v>
      </c>
      <c r="B488" t="s">
        <v>60</v>
      </c>
      <c r="C488" t="s">
        <v>31</v>
      </c>
      <c r="D488">
        <v>101</v>
      </c>
      <c r="E488" t="s">
        <v>34</v>
      </c>
      <c r="F488">
        <v>1</v>
      </c>
      <c r="G488" t="str">
        <f t="shared" si="6"/>
        <v>M0112-A-101-1</v>
      </c>
      <c r="H488">
        <v>143.21</v>
      </c>
      <c r="I488">
        <v>144.4</v>
      </c>
    </row>
    <row r="489" spans="1:9" x14ac:dyDescent="0.3">
      <c r="A489">
        <v>501</v>
      </c>
      <c r="B489" t="s">
        <v>60</v>
      </c>
      <c r="C489" t="s">
        <v>31</v>
      </c>
      <c r="D489">
        <v>101</v>
      </c>
      <c r="E489" t="s">
        <v>34</v>
      </c>
      <c r="F489">
        <v>2</v>
      </c>
      <c r="G489" t="str">
        <f t="shared" si="6"/>
        <v>M0112-A-101-2</v>
      </c>
      <c r="H489">
        <v>144.4</v>
      </c>
      <c r="I489">
        <v>144.97</v>
      </c>
    </row>
    <row r="490" spans="1:9" x14ac:dyDescent="0.3">
      <c r="A490">
        <v>501</v>
      </c>
      <c r="B490" t="s">
        <v>60</v>
      </c>
      <c r="C490" t="s">
        <v>31</v>
      </c>
      <c r="D490">
        <v>102</v>
      </c>
      <c r="E490" t="s">
        <v>34</v>
      </c>
      <c r="F490">
        <v>1</v>
      </c>
      <c r="G490" t="str">
        <f t="shared" si="6"/>
        <v>M0112-A-102-1</v>
      </c>
      <c r="H490">
        <v>146.21</v>
      </c>
      <c r="I490">
        <v>147.26</v>
      </c>
    </row>
    <row r="491" spans="1:9" x14ac:dyDescent="0.3">
      <c r="A491">
        <v>501</v>
      </c>
      <c r="B491" t="s">
        <v>60</v>
      </c>
      <c r="C491" t="s">
        <v>31</v>
      </c>
      <c r="D491">
        <v>103</v>
      </c>
      <c r="E491" t="s">
        <v>34</v>
      </c>
      <c r="F491">
        <v>1</v>
      </c>
      <c r="G491" t="str">
        <f t="shared" si="6"/>
        <v>M0112-A-103-1</v>
      </c>
      <c r="H491">
        <v>148.21</v>
      </c>
      <c r="I491">
        <v>149.09</v>
      </c>
    </row>
    <row r="492" spans="1:9" x14ac:dyDescent="0.3">
      <c r="A492">
        <v>501</v>
      </c>
      <c r="B492" t="s">
        <v>60</v>
      </c>
      <c r="C492" t="s">
        <v>31</v>
      </c>
      <c r="D492">
        <v>104</v>
      </c>
      <c r="E492" t="s">
        <v>34</v>
      </c>
      <c r="F492">
        <v>1</v>
      </c>
      <c r="G492" t="str">
        <f t="shared" si="6"/>
        <v>M0112-A-104-1</v>
      </c>
      <c r="H492">
        <v>150.21</v>
      </c>
      <c r="I492">
        <v>150.62</v>
      </c>
    </row>
    <row r="493" spans="1:9" x14ac:dyDescent="0.3">
      <c r="A493">
        <v>501</v>
      </c>
      <c r="B493" t="s">
        <v>60</v>
      </c>
      <c r="C493" t="s">
        <v>31</v>
      </c>
      <c r="D493">
        <v>106</v>
      </c>
      <c r="E493" t="s">
        <v>57</v>
      </c>
      <c r="F493">
        <v>1</v>
      </c>
      <c r="G493" t="str">
        <f t="shared" si="6"/>
        <v>M0112-A-106-1</v>
      </c>
      <c r="H493">
        <v>153.36000000000001</v>
      </c>
      <c r="I493">
        <v>153.5</v>
      </c>
    </row>
    <row r="494" spans="1:9" x14ac:dyDescent="0.3">
      <c r="A494">
        <v>501</v>
      </c>
      <c r="B494" t="s">
        <v>60</v>
      </c>
      <c r="C494" t="s">
        <v>31</v>
      </c>
      <c r="D494">
        <v>107</v>
      </c>
      <c r="E494" t="s">
        <v>57</v>
      </c>
      <c r="F494">
        <v>1</v>
      </c>
      <c r="G494" t="str">
        <f t="shared" si="6"/>
        <v>M0112-A-107-1</v>
      </c>
      <c r="H494">
        <v>153.5</v>
      </c>
      <c r="I494">
        <v>153.69999999999999</v>
      </c>
    </row>
    <row r="495" spans="1:9" x14ac:dyDescent="0.3">
      <c r="A495">
        <v>501</v>
      </c>
      <c r="B495" t="s">
        <v>60</v>
      </c>
      <c r="C495" t="s">
        <v>31</v>
      </c>
      <c r="D495">
        <v>108</v>
      </c>
      <c r="E495" t="s">
        <v>34</v>
      </c>
      <c r="F495">
        <v>1</v>
      </c>
      <c r="G495" t="str">
        <f t="shared" si="6"/>
        <v>M0112-A-108-1</v>
      </c>
      <c r="H495">
        <v>153.69999999999999</v>
      </c>
      <c r="I495">
        <v>153.80000000000001</v>
      </c>
    </row>
    <row r="496" spans="1:9" x14ac:dyDescent="0.3">
      <c r="A496">
        <v>501</v>
      </c>
      <c r="B496" t="s">
        <v>60</v>
      </c>
      <c r="C496" t="s">
        <v>31</v>
      </c>
      <c r="D496">
        <v>109</v>
      </c>
      <c r="E496" t="s">
        <v>57</v>
      </c>
      <c r="F496">
        <v>1</v>
      </c>
      <c r="G496" t="str">
        <f t="shared" si="6"/>
        <v>M0112-A-109-1</v>
      </c>
      <c r="H496">
        <v>155.21</v>
      </c>
      <c r="I496">
        <v>155.37</v>
      </c>
    </row>
    <row r="497" spans="1:9" x14ac:dyDescent="0.3">
      <c r="A497">
        <v>501</v>
      </c>
      <c r="B497" t="s">
        <v>60</v>
      </c>
      <c r="C497" t="s">
        <v>31</v>
      </c>
      <c r="D497">
        <v>110</v>
      </c>
      <c r="E497" t="s">
        <v>57</v>
      </c>
      <c r="F497">
        <v>1</v>
      </c>
      <c r="G497" t="str">
        <f t="shared" si="6"/>
        <v>M0112-A-110-1</v>
      </c>
      <c r="H497">
        <v>155.37</v>
      </c>
      <c r="I497">
        <v>155.49</v>
      </c>
    </row>
    <row r="498" spans="1:9" x14ac:dyDescent="0.3">
      <c r="A498">
        <v>501</v>
      </c>
      <c r="B498" t="s">
        <v>60</v>
      </c>
      <c r="C498" t="s">
        <v>31</v>
      </c>
      <c r="D498">
        <v>111</v>
      </c>
      <c r="E498" t="s">
        <v>57</v>
      </c>
      <c r="F498">
        <v>1</v>
      </c>
      <c r="G498" t="str">
        <f t="shared" si="6"/>
        <v>M0112-A-111-1</v>
      </c>
      <c r="H498">
        <v>155.49</v>
      </c>
      <c r="I498">
        <v>156.36000000000001</v>
      </c>
    </row>
    <row r="499" spans="1:9" x14ac:dyDescent="0.3">
      <c r="A499">
        <v>501</v>
      </c>
      <c r="B499" t="s">
        <v>60</v>
      </c>
      <c r="C499" t="s">
        <v>31</v>
      </c>
      <c r="D499">
        <v>111</v>
      </c>
      <c r="E499" t="s">
        <v>57</v>
      </c>
      <c r="F499">
        <v>2</v>
      </c>
      <c r="G499" t="str">
        <f t="shared" si="6"/>
        <v>M0112-A-111-2</v>
      </c>
      <c r="H499">
        <v>156.36000000000001</v>
      </c>
      <c r="I499">
        <v>157.54</v>
      </c>
    </row>
    <row r="500" spans="1:9" x14ac:dyDescent="0.3">
      <c r="A500">
        <v>501</v>
      </c>
      <c r="B500" t="s">
        <v>60</v>
      </c>
      <c r="C500" t="s">
        <v>31</v>
      </c>
      <c r="D500">
        <v>112</v>
      </c>
      <c r="E500" t="s">
        <v>57</v>
      </c>
      <c r="F500">
        <v>1</v>
      </c>
      <c r="G500" t="str">
        <f t="shared" si="6"/>
        <v>M0112-A-112-1</v>
      </c>
      <c r="H500">
        <v>157.54</v>
      </c>
      <c r="I500">
        <v>158.79</v>
      </c>
    </row>
    <row r="501" spans="1:9" x14ac:dyDescent="0.3">
      <c r="A501">
        <v>501</v>
      </c>
      <c r="B501" t="s">
        <v>60</v>
      </c>
      <c r="C501" t="s">
        <v>31</v>
      </c>
      <c r="D501">
        <v>113</v>
      </c>
      <c r="E501" t="s">
        <v>57</v>
      </c>
      <c r="F501">
        <v>1</v>
      </c>
      <c r="G501" t="str">
        <f t="shared" si="6"/>
        <v>M0112-A-113-1</v>
      </c>
      <c r="H501">
        <v>158.79</v>
      </c>
      <c r="I501">
        <v>159.79</v>
      </c>
    </row>
    <row r="502" spans="1:9" x14ac:dyDescent="0.3">
      <c r="A502">
        <v>501</v>
      </c>
      <c r="B502" t="s">
        <v>60</v>
      </c>
      <c r="C502" t="s">
        <v>31</v>
      </c>
      <c r="D502">
        <v>113</v>
      </c>
      <c r="E502" t="s">
        <v>57</v>
      </c>
      <c r="F502">
        <v>2</v>
      </c>
      <c r="G502" t="str">
        <f t="shared" si="6"/>
        <v>M0112-A-113-2</v>
      </c>
      <c r="H502">
        <v>159.79</v>
      </c>
      <c r="I502">
        <v>160.6</v>
      </c>
    </row>
    <row r="503" spans="1:9" x14ac:dyDescent="0.3">
      <c r="A503">
        <v>501</v>
      </c>
      <c r="B503" t="s">
        <v>60</v>
      </c>
      <c r="C503" t="s">
        <v>31</v>
      </c>
      <c r="D503">
        <v>114</v>
      </c>
      <c r="E503" t="s">
        <v>57</v>
      </c>
      <c r="F503">
        <v>1</v>
      </c>
      <c r="G503" t="str">
        <f t="shared" si="6"/>
        <v>M0112-A-114-1</v>
      </c>
      <c r="H503">
        <v>160.6</v>
      </c>
      <c r="I503">
        <v>160.78</v>
      </c>
    </row>
    <row r="504" spans="1:9" x14ac:dyDescent="0.3">
      <c r="A504">
        <v>501</v>
      </c>
      <c r="B504" t="s">
        <v>60</v>
      </c>
      <c r="C504" t="s">
        <v>31</v>
      </c>
      <c r="D504">
        <v>115</v>
      </c>
      <c r="E504" t="s">
        <v>57</v>
      </c>
      <c r="F504">
        <v>1</v>
      </c>
      <c r="G504" t="str">
        <f t="shared" ref="G504:G567" si="7">CONCATENATE(B504, "-",C504, "-", D504, "-", F504)</f>
        <v>M0112-A-115-1</v>
      </c>
      <c r="H504">
        <v>160.78</v>
      </c>
      <c r="I504">
        <v>161.97999999999999</v>
      </c>
    </row>
    <row r="505" spans="1:9" x14ac:dyDescent="0.3">
      <c r="A505">
        <v>501</v>
      </c>
      <c r="B505" t="s">
        <v>60</v>
      </c>
      <c r="C505" t="s">
        <v>31</v>
      </c>
      <c r="D505">
        <v>115</v>
      </c>
      <c r="E505" t="s">
        <v>57</v>
      </c>
      <c r="F505">
        <v>2</v>
      </c>
      <c r="G505" t="str">
        <f t="shared" si="7"/>
        <v>M0112-A-115-2</v>
      </c>
      <c r="H505">
        <v>161.97999999999999</v>
      </c>
      <c r="I505">
        <v>162.62</v>
      </c>
    </row>
    <row r="506" spans="1:9" x14ac:dyDescent="0.3">
      <c r="A506">
        <v>501</v>
      </c>
      <c r="B506" t="s">
        <v>60</v>
      </c>
      <c r="C506" t="s">
        <v>31</v>
      </c>
      <c r="D506">
        <v>116</v>
      </c>
      <c r="E506" t="s">
        <v>57</v>
      </c>
      <c r="F506">
        <v>1</v>
      </c>
      <c r="G506" t="str">
        <f t="shared" si="7"/>
        <v>M0112-A-116-1</v>
      </c>
      <c r="H506">
        <v>162.62</v>
      </c>
      <c r="I506">
        <v>164.14</v>
      </c>
    </row>
    <row r="507" spans="1:9" x14ac:dyDescent="0.3">
      <c r="A507">
        <v>501</v>
      </c>
      <c r="B507" t="s">
        <v>60</v>
      </c>
      <c r="C507" t="s">
        <v>31</v>
      </c>
      <c r="D507">
        <v>116</v>
      </c>
      <c r="E507" t="s">
        <v>57</v>
      </c>
      <c r="F507">
        <v>2</v>
      </c>
      <c r="G507" t="str">
        <f t="shared" si="7"/>
        <v>M0112-A-116-2</v>
      </c>
      <c r="H507">
        <v>164.14</v>
      </c>
      <c r="I507">
        <v>164.78</v>
      </c>
    </row>
    <row r="508" spans="1:9" x14ac:dyDescent="0.3">
      <c r="A508">
        <v>501</v>
      </c>
      <c r="B508" t="s">
        <v>60</v>
      </c>
      <c r="C508" t="s">
        <v>31</v>
      </c>
      <c r="D508">
        <v>117</v>
      </c>
      <c r="E508" t="s">
        <v>57</v>
      </c>
      <c r="F508">
        <v>1</v>
      </c>
      <c r="G508" t="str">
        <f t="shared" si="7"/>
        <v>M0112-A-117-1</v>
      </c>
      <c r="H508">
        <v>164.78</v>
      </c>
      <c r="I508">
        <v>166.28</v>
      </c>
    </row>
    <row r="509" spans="1:9" x14ac:dyDescent="0.3">
      <c r="A509">
        <v>501</v>
      </c>
      <c r="B509" t="s">
        <v>60</v>
      </c>
      <c r="C509" t="s">
        <v>31</v>
      </c>
      <c r="D509">
        <v>117</v>
      </c>
      <c r="E509" t="s">
        <v>57</v>
      </c>
      <c r="F509">
        <v>2</v>
      </c>
      <c r="G509" t="str">
        <f t="shared" si="7"/>
        <v>M0112-A-117-2</v>
      </c>
      <c r="H509">
        <v>166.28</v>
      </c>
      <c r="I509">
        <v>167.54</v>
      </c>
    </row>
    <row r="510" spans="1:9" x14ac:dyDescent="0.3">
      <c r="A510">
        <v>501</v>
      </c>
      <c r="B510" t="s">
        <v>60</v>
      </c>
      <c r="C510" t="s">
        <v>31</v>
      </c>
      <c r="D510">
        <v>118</v>
      </c>
      <c r="E510" t="s">
        <v>57</v>
      </c>
      <c r="F510">
        <v>1</v>
      </c>
      <c r="G510" t="str">
        <f t="shared" si="7"/>
        <v>M0112-A-118-1</v>
      </c>
      <c r="H510">
        <v>167.54</v>
      </c>
      <c r="I510">
        <v>169.04</v>
      </c>
    </row>
    <row r="511" spans="1:9" x14ac:dyDescent="0.3">
      <c r="A511">
        <v>501</v>
      </c>
      <c r="B511" t="s">
        <v>60</v>
      </c>
      <c r="C511" t="s">
        <v>31</v>
      </c>
      <c r="D511">
        <v>118</v>
      </c>
      <c r="E511" t="s">
        <v>57</v>
      </c>
      <c r="F511">
        <v>2</v>
      </c>
      <c r="G511" t="str">
        <f t="shared" si="7"/>
        <v>M0112-A-118-2</v>
      </c>
      <c r="H511">
        <v>169.04</v>
      </c>
      <c r="I511">
        <v>170.4</v>
      </c>
    </row>
    <row r="512" spans="1:9" x14ac:dyDescent="0.3">
      <c r="A512">
        <v>501</v>
      </c>
      <c r="B512" t="s">
        <v>60</v>
      </c>
      <c r="C512" t="s">
        <v>31</v>
      </c>
      <c r="D512">
        <v>119</v>
      </c>
      <c r="E512" t="s">
        <v>57</v>
      </c>
      <c r="F512">
        <v>1</v>
      </c>
      <c r="G512" t="str">
        <f t="shared" si="7"/>
        <v>M0112-A-119-1</v>
      </c>
      <c r="H512">
        <v>170.4</v>
      </c>
      <c r="I512">
        <v>171.9</v>
      </c>
    </row>
    <row r="513" spans="1:9" x14ac:dyDescent="0.3">
      <c r="A513">
        <v>501</v>
      </c>
      <c r="B513" t="s">
        <v>60</v>
      </c>
      <c r="C513" t="s">
        <v>31</v>
      </c>
      <c r="D513">
        <v>119</v>
      </c>
      <c r="E513" t="s">
        <v>57</v>
      </c>
      <c r="F513">
        <v>2</v>
      </c>
      <c r="G513" t="str">
        <f t="shared" si="7"/>
        <v>M0112-A-119-2</v>
      </c>
      <c r="H513">
        <v>171.9</v>
      </c>
      <c r="I513">
        <v>173.02</v>
      </c>
    </row>
    <row r="514" spans="1:9" x14ac:dyDescent="0.3">
      <c r="A514">
        <v>501</v>
      </c>
      <c r="B514" t="s">
        <v>60</v>
      </c>
      <c r="C514" t="s">
        <v>31</v>
      </c>
      <c r="D514">
        <v>120</v>
      </c>
      <c r="E514" t="s">
        <v>57</v>
      </c>
      <c r="F514">
        <v>1</v>
      </c>
      <c r="G514" t="str">
        <f t="shared" si="7"/>
        <v>M0112-A-120-1</v>
      </c>
      <c r="H514">
        <v>173.02</v>
      </c>
      <c r="I514">
        <v>174.46</v>
      </c>
    </row>
    <row r="515" spans="1:9" x14ac:dyDescent="0.3">
      <c r="A515">
        <v>501</v>
      </c>
      <c r="B515" t="s">
        <v>60</v>
      </c>
      <c r="C515" t="s">
        <v>31</v>
      </c>
      <c r="D515">
        <v>120</v>
      </c>
      <c r="E515" t="s">
        <v>57</v>
      </c>
      <c r="F515">
        <v>2</v>
      </c>
      <c r="G515" t="str">
        <f t="shared" si="7"/>
        <v>M0112-A-120-2</v>
      </c>
      <c r="H515">
        <v>174.46</v>
      </c>
      <c r="I515">
        <v>175.65</v>
      </c>
    </row>
    <row r="516" spans="1:9" x14ac:dyDescent="0.3">
      <c r="A516">
        <v>501</v>
      </c>
      <c r="B516" t="s">
        <v>60</v>
      </c>
      <c r="C516" t="s">
        <v>31</v>
      </c>
      <c r="D516">
        <v>121</v>
      </c>
      <c r="E516" t="s">
        <v>57</v>
      </c>
      <c r="F516">
        <v>1</v>
      </c>
      <c r="G516" t="str">
        <f t="shared" si="7"/>
        <v>M0112-A-121-1</v>
      </c>
      <c r="H516">
        <v>175.65</v>
      </c>
      <c r="I516">
        <v>177.09</v>
      </c>
    </row>
    <row r="517" spans="1:9" x14ac:dyDescent="0.3">
      <c r="A517">
        <v>501</v>
      </c>
      <c r="B517" t="s">
        <v>60</v>
      </c>
      <c r="C517" t="s">
        <v>31</v>
      </c>
      <c r="D517">
        <v>121</v>
      </c>
      <c r="E517" t="s">
        <v>57</v>
      </c>
      <c r="F517">
        <v>2</v>
      </c>
      <c r="G517" t="str">
        <f t="shared" si="7"/>
        <v>M0112-A-121-2</v>
      </c>
      <c r="H517">
        <v>177.09</v>
      </c>
      <c r="I517">
        <v>177.89</v>
      </c>
    </row>
    <row r="518" spans="1:9" x14ac:dyDescent="0.3">
      <c r="A518">
        <v>501</v>
      </c>
      <c r="B518" t="s">
        <v>60</v>
      </c>
      <c r="C518" t="s">
        <v>31</v>
      </c>
      <c r="D518">
        <v>122</v>
      </c>
      <c r="E518" t="s">
        <v>57</v>
      </c>
      <c r="F518">
        <v>1</v>
      </c>
      <c r="G518" t="str">
        <f t="shared" si="7"/>
        <v>M0112-A-122-1</v>
      </c>
      <c r="H518">
        <v>177.89</v>
      </c>
      <c r="I518">
        <v>179.39</v>
      </c>
    </row>
    <row r="519" spans="1:9" x14ac:dyDescent="0.3">
      <c r="A519">
        <v>501</v>
      </c>
      <c r="B519" t="s">
        <v>60</v>
      </c>
      <c r="C519" t="s">
        <v>31</v>
      </c>
      <c r="D519">
        <v>122</v>
      </c>
      <c r="E519" t="s">
        <v>57</v>
      </c>
      <c r="F519">
        <v>2</v>
      </c>
      <c r="G519" t="str">
        <f t="shared" si="7"/>
        <v>M0112-A-122-2</v>
      </c>
      <c r="H519">
        <v>179.39</v>
      </c>
      <c r="I519">
        <v>180.25</v>
      </c>
    </row>
    <row r="520" spans="1:9" x14ac:dyDescent="0.3">
      <c r="A520">
        <v>501</v>
      </c>
      <c r="B520" t="s">
        <v>60</v>
      </c>
      <c r="C520" t="s">
        <v>31</v>
      </c>
      <c r="D520">
        <v>123</v>
      </c>
      <c r="E520" t="s">
        <v>57</v>
      </c>
      <c r="F520">
        <v>1</v>
      </c>
      <c r="G520" t="str">
        <f t="shared" si="7"/>
        <v>M0112-A-123-1</v>
      </c>
      <c r="H520">
        <v>180.25</v>
      </c>
      <c r="I520">
        <v>181.74</v>
      </c>
    </row>
    <row r="521" spans="1:9" x14ac:dyDescent="0.3">
      <c r="A521">
        <v>501</v>
      </c>
      <c r="B521" t="s">
        <v>60</v>
      </c>
      <c r="C521" t="s">
        <v>31</v>
      </c>
      <c r="D521">
        <v>123</v>
      </c>
      <c r="E521" t="s">
        <v>57</v>
      </c>
      <c r="F521">
        <v>2</v>
      </c>
      <c r="G521" t="str">
        <f t="shared" si="7"/>
        <v>M0112-A-123-2</v>
      </c>
      <c r="H521">
        <v>181.74</v>
      </c>
      <c r="I521">
        <v>182.93</v>
      </c>
    </row>
    <row r="522" spans="1:9" x14ac:dyDescent="0.3">
      <c r="A522">
        <v>501</v>
      </c>
      <c r="B522" t="s">
        <v>60</v>
      </c>
      <c r="C522" t="s">
        <v>31</v>
      </c>
      <c r="D522">
        <v>124</v>
      </c>
      <c r="E522" t="s">
        <v>57</v>
      </c>
      <c r="F522">
        <v>1</v>
      </c>
      <c r="G522" t="str">
        <f t="shared" si="7"/>
        <v>M0112-A-124-1</v>
      </c>
      <c r="H522">
        <v>182.93</v>
      </c>
      <c r="I522">
        <v>184.43</v>
      </c>
    </row>
    <row r="523" spans="1:9" x14ac:dyDescent="0.3">
      <c r="A523">
        <v>501</v>
      </c>
      <c r="B523" t="s">
        <v>60</v>
      </c>
      <c r="C523" t="s">
        <v>31</v>
      </c>
      <c r="D523">
        <v>124</v>
      </c>
      <c r="E523" t="s">
        <v>57</v>
      </c>
      <c r="F523">
        <v>2</v>
      </c>
      <c r="G523" t="str">
        <f t="shared" si="7"/>
        <v>M0112-A-124-2</v>
      </c>
      <c r="H523">
        <v>184.43</v>
      </c>
      <c r="I523">
        <v>185.42</v>
      </c>
    </row>
    <row r="524" spans="1:9" x14ac:dyDescent="0.3">
      <c r="A524">
        <v>501</v>
      </c>
      <c r="B524" t="s">
        <v>60</v>
      </c>
      <c r="C524" t="s">
        <v>31</v>
      </c>
      <c r="D524">
        <v>125</v>
      </c>
      <c r="E524" t="s">
        <v>57</v>
      </c>
      <c r="F524">
        <v>1</v>
      </c>
      <c r="G524" t="str">
        <f t="shared" si="7"/>
        <v>M0112-A-125-1</v>
      </c>
      <c r="H524">
        <v>185.42</v>
      </c>
      <c r="I524">
        <v>186.92</v>
      </c>
    </row>
    <row r="525" spans="1:9" x14ac:dyDescent="0.3">
      <c r="A525">
        <v>501</v>
      </c>
      <c r="B525" t="s">
        <v>60</v>
      </c>
      <c r="C525" t="s">
        <v>31</v>
      </c>
      <c r="D525">
        <v>125</v>
      </c>
      <c r="E525" t="s">
        <v>57</v>
      </c>
      <c r="F525">
        <v>2</v>
      </c>
      <c r="G525" t="str">
        <f t="shared" si="7"/>
        <v>M0112-A-125-2</v>
      </c>
      <c r="H525">
        <v>186.92</v>
      </c>
      <c r="I525">
        <v>188.09</v>
      </c>
    </row>
    <row r="526" spans="1:9" x14ac:dyDescent="0.3">
      <c r="A526">
        <v>501</v>
      </c>
      <c r="B526" t="s">
        <v>60</v>
      </c>
      <c r="C526" t="s">
        <v>31</v>
      </c>
      <c r="D526">
        <v>126</v>
      </c>
      <c r="E526" t="s">
        <v>57</v>
      </c>
      <c r="F526">
        <v>1</v>
      </c>
      <c r="G526" t="str">
        <f t="shared" si="7"/>
        <v>M0112-A-126-1</v>
      </c>
      <c r="H526">
        <v>197.88</v>
      </c>
      <c r="I526">
        <v>188.63</v>
      </c>
    </row>
    <row r="527" spans="1:9" x14ac:dyDescent="0.3">
      <c r="A527">
        <v>501</v>
      </c>
      <c r="B527" t="s">
        <v>60</v>
      </c>
      <c r="C527" t="s">
        <v>31</v>
      </c>
      <c r="D527">
        <v>127</v>
      </c>
      <c r="E527" t="s">
        <v>57</v>
      </c>
      <c r="F527">
        <v>1</v>
      </c>
      <c r="G527" t="str">
        <f t="shared" si="7"/>
        <v>M0112-A-127-1</v>
      </c>
      <c r="H527">
        <v>188.63</v>
      </c>
      <c r="I527">
        <v>190.13</v>
      </c>
    </row>
    <row r="528" spans="1:9" x14ac:dyDescent="0.3">
      <c r="A528">
        <v>501</v>
      </c>
      <c r="B528" t="s">
        <v>60</v>
      </c>
      <c r="C528" t="s">
        <v>31</v>
      </c>
      <c r="D528">
        <v>127</v>
      </c>
      <c r="E528" t="s">
        <v>57</v>
      </c>
      <c r="F528">
        <v>2</v>
      </c>
      <c r="G528" t="str">
        <f t="shared" si="7"/>
        <v>M0112-A-127-2</v>
      </c>
      <c r="H528">
        <v>190.13</v>
      </c>
      <c r="I528">
        <v>191.38</v>
      </c>
    </row>
    <row r="529" spans="1:9" x14ac:dyDescent="0.3">
      <c r="A529">
        <v>501</v>
      </c>
      <c r="B529" t="s">
        <v>60</v>
      </c>
      <c r="C529" t="s">
        <v>31</v>
      </c>
      <c r="D529">
        <v>128</v>
      </c>
      <c r="E529" t="s">
        <v>57</v>
      </c>
      <c r="F529">
        <v>1</v>
      </c>
      <c r="G529" t="str">
        <f t="shared" si="7"/>
        <v>M0112-A-128-1</v>
      </c>
      <c r="H529">
        <v>191.38</v>
      </c>
      <c r="I529">
        <v>192.7</v>
      </c>
    </row>
    <row r="530" spans="1:9" x14ac:dyDescent="0.3">
      <c r="A530">
        <v>501</v>
      </c>
      <c r="B530" t="s">
        <v>60</v>
      </c>
      <c r="C530" t="s">
        <v>31</v>
      </c>
      <c r="D530">
        <v>128</v>
      </c>
      <c r="E530" t="s">
        <v>57</v>
      </c>
      <c r="F530">
        <v>2</v>
      </c>
      <c r="G530" t="str">
        <f t="shared" si="7"/>
        <v>M0112-A-128-2</v>
      </c>
      <c r="H530">
        <v>192.7</v>
      </c>
      <c r="I530">
        <v>192.88</v>
      </c>
    </row>
    <row r="531" spans="1:9" x14ac:dyDescent="0.3">
      <c r="A531">
        <v>501</v>
      </c>
      <c r="B531" t="s">
        <v>60</v>
      </c>
      <c r="C531" t="s">
        <v>31</v>
      </c>
      <c r="D531">
        <v>129</v>
      </c>
      <c r="E531" t="s">
        <v>57</v>
      </c>
      <c r="F531">
        <v>1</v>
      </c>
      <c r="G531" t="str">
        <f t="shared" si="7"/>
        <v>M0112-A-129-1</v>
      </c>
      <c r="H531">
        <v>192.88</v>
      </c>
      <c r="I531">
        <v>193.73</v>
      </c>
    </row>
    <row r="532" spans="1:9" x14ac:dyDescent="0.3">
      <c r="A532">
        <v>501</v>
      </c>
      <c r="B532" t="s">
        <v>60</v>
      </c>
      <c r="C532" t="s">
        <v>31</v>
      </c>
      <c r="D532">
        <v>130</v>
      </c>
      <c r="E532" t="s">
        <v>57</v>
      </c>
      <c r="F532">
        <v>1</v>
      </c>
      <c r="G532" t="str">
        <f t="shared" si="7"/>
        <v>M0112-A-130-1</v>
      </c>
      <c r="H532">
        <v>193.73</v>
      </c>
      <c r="I532">
        <v>194.25</v>
      </c>
    </row>
    <row r="533" spans="1:9" x14ac:dyDescent="0.3">
      <c r="A533">
        <v>501</v>
      </c>
      <c r="B533" t="s">
        <v>60</v>
      </c>
      <c r="C533" t="s">
        <v>31</v>
      </c>
      <c r="D533">
        <v>131</v>
      </c>
      <c r="E533" t="s">
        <v>34</v>
      </c>
      <c r="F533">
        <v>1</v>
      </c>
      <c r="G533" t="str">
        <f t="shared" si="7"/>
        <v>M0112-A-131-1</v>
      </c>
      <c r="H533">
        <v>194.25</v>
      </c>
      <c r="I533">
        <v>195.14</v>
      </c>
    </row>
    <row r="534" spans="1:9" x14ac:dyDescent="0.3">
      <c r="A534">
        <v>501</v>
      </c>
      <c r="B534" t="s">
        <v>60</v>
      </c>
      <c r="C534" t="s">
        <v>31</v>
      </c>
      <c r="D534">
        <v>132</v>
      </c>
      <c r="E534" t="s">
        <v>34</v>
      </c>
      <c r="F534">
        <v>1</v>
      </c>
      <c r="G534" t="str">
        <f t="shared" si="7"/>
        <v>M0112-A-132-1</v>
      </c>
      <c r="H534">
        <v>195.21</v>
      </c>
      <c r="I534">
        <v>196.71</v>
      </c>
    </row>
    <row r="535" spans="1:9" x14ac:dyDescent="0.3">
      <c r="A535">
        <v>501</v>
      </c>
      <c r="B535" t="s">
        <v>60</v>
      </c>
      <c r="C535" t="s">
        <v>31</v>
      </c>
      <c r="D535">
        <v>132</v>
      </c>
      <c r="E535" t="s">
        <v>34</v>
      </c>
      <c r="F535">
        <v>2</v>
      </c>
      <c r="G535" t="str">
        <f t="shared" si="7"/>
        <v>M0112-A-132-2</v>
      </c>
      <c r="H535">
        <v>196.71</v>
      </c>
      <c r="I535">
        <v>197.21</v>
      </c>
    </row>
    <row r="536" spans="1:9" x14ac:dyDescent="0.3">
      <c r="A536">
        <v>501</v>
      </c>
      <c r="B536" t="s">
        <v>60</v>
      </c>
      <c r="C536" t="s">
        <v>31</v>
      </c>
      <c r="D536">
        <v>133</v>
      </c>
      <c r="E536" t="s">
        <v>34</v>
      </c>
      <c r="F536">
        <v>1</v>
      </c>
      <c r="G536" t="str">
        <f t="shared" si="7"/>
        <v>M0112-A-133-1</v>
      </c>
      <c r="H536">
        <v>197.21</v>
      </c>
      <c r="I536">
        <v>197.81</v>
      </c>
    </row>
    <row r="537" spans="1:9" x14ac:dyDescent="0.3">
      <c r="A537">
        <v>501</v>
      </c>
      <c r="B537" t="s">
        <v>60</v>
      </c>
      <c r="C537" t="s">
        <v>31</v>
      </c>
      <c r="D537">
        <v>133</v>
      </c>
      <c r="E537" t="s">
        <v>34</v>
      </c>
      <c r="F537">
        <v>2</v>
      </c>
      <c r="G537" t="str">
        <f t="shared" si="7"/>
        <v>M0112-A-133-2</v>
      </c>
      <c r="H537">
        <v>197.81</v>
      </c>
      <c r="I537">
        <v>198.36</v>
      </c>
    </row>
    <row r="538" spans="1:9" x14ac:dyDescent="0.3">
      <c r="A538">
        <v>501</v>
      </c>
      <c r="B538" t="s">
        <v>60</v>
      </c>
      <c r="C538" t="s">
        <v>31</v>
      </c>
      <c r="D538">
        <v>134</v>
      </c>
      <c r="E538" t="s">
        <v>34</v>
      </c>
      <c r="F538">
        <v>1</v>
      </c>
      <c r="G538" t="str">
        <f t="shared" si="7"/>
        <v>M0112-A-134-1</v>
      </c>
      <c r="H538">
        <v>200.21</v>
      </c>
      <c r="I538">
        <v>200.55</v>
      </c>
    </row>
    <row r="539" spans="1:9" x14ac:dyDescent="0.3">
      <c r="A539">
        <v>501</v>
      </c>
      <c r="B539" t="s">
        <v>60</v>
      </c>
      <c r="C539" t="s">
        <v>31</v>
      </c>
      <c r="D539">
        <v>136</v>
      </c>
      <c r="E539" t="s">
        <v>57</v>
      </c>
      <c r="F539">
        <v>1</v>
      </c>
      <c r="G539" t="str">
        <f t="shared" si="7"/>
        <v>M0112-A-136-1</v>
      </c>
      <c r="H539">
        <v>203.21</v>
      </c>
      <c r="I539">
        <v>204.78</v>
      </c>
    </row>
    <row r="540" spans="1:9" x14ac:dyDescent="0.3">
      <c r="A540">
        <v>501</v>
      </c>
      <c r="B540" t="s">
        <v>60</v>
      </c>
      <c r="C540" t="s">
        <v>31</v>
      </c>
      <c r="D540">
        <v>136</v>
      </c>
      <c r="E540" t="s">
        <v>57</v>
      </c>
      <c r="F540">
        <v>2</v>
      </c>
      <c r="G540" t="str">
        <f t="shared" si="7"/>
        <v>M0112-A-136-2</v>
      </c>
      <c r="H540">
        <v>204.78</v>
      </c>
      <c r="I540">
        <v>205.28</v>
      </c>
    </row>
    <row r="541" spans="1:9" x14ac:dyDescent="0.3">
      <c r="A541">
        <v>501</v>
      </c>
      <c r="B541" t="s">
        <v>60</v>
      </c>
      <c r="C541" t="s">
        <v>31</v>
      </c>
      <c r="D541">
        <v>137</v>
      </c>
      <c r="E541" t="s">
        <v>57</v>
      </c>
      <c r="F541">
        <v>1</v>
      </c>
      <c r="G541" t="str">
        <f t="shared" si="7"/>
        <v>M0112-A-137-1</v>
      </c>
      <c r="H541">
        <v>205.28</v>
      </c>
      <c r="I541">
        <v>206.2</v>
      </c>
    </row>
    <row r="542" spans="1:9" x14ac:dyDescent="0.3">
      <c r="A542">
        <v>501</v>
      </c>
      <c r="B542" t="s">
        <v>60</v>
      </c>
      <c r="C542" t="s">
        <v>31</v>
      </c>
      <c r="D542">
        <v>137</v>
      </c>
      <c r="E542" t="s">
        <v>57</v>
      </c>
      <c r="F542">
        <v>2</v>
      </c>
      <c r="G542" t="str">
        <f t="shared" si="7"/>
        <v>M0112-A-137-2</v>
      </c>
      <c r="H542">
        <v>206.2</v>
      </c>
      <c r="I542">
        <v>207.71</v>
      </c>
    </row>
    <row r="543" spans="1:9" x14ac:dyDescent="0.3">
      <c r="A543">
        <v>501</v>
      </c>
      <c r="B543" t="s">
        <v>60</v>
      </c>
      <c r="C543" t="s">
        <v>31</v>
      </c>
      <c r="D543">
        <v>138</v>
      </c>
      <c r="E543" t="s">
        <v>57</v>
      </c>
      <c r="F543">
        <v>1</v>
      </c>
      <c r="G543" t="str">
        <f t="shared" si="7"/>
        <v>M0112-A-138-1</v>
      </c>
      <c r="H543">
        <v>207.71</v>
      </c>
      <c r="I543">
        <v>208.14</v>
      </c>
    </row>
    <row r="544" spans="1:9" x14ac:dyDescent="0.3">
      <c r="A544">
        <v>501</v>
      </c>
      <c r="B544" t="s">
        <v>60</v>
      </c>
      <c r="C544" t="s">
        <v>31</v>
      </c>
      <c r="D544">
        <v>139</v>
      </c>
      <c r="E544" t="s">
        <v>57</v>
      </c>
      <c r="F544">
        <v>1</v>
      </c>
      <c r="G544" t="str">
        <f t="shared" si="7"/>
        <v>M0112-A-139-1</v>
      </c>
      <c r="H544">
        <v>208.14</v>
      </c>
      <c r="I544">
        <v>209.64</v>
      </c>
    </row>
    <row r="545" spans="1:9" x14ac:dyDescent="0.3">
      <c r="A545">
        <v>501</v>
      </c>
      <c r="B545" t="s">
        <v>60</v>
      </c>
      <c r="C545" t="s">
        <v>31</v>
      </c>
      <c r="D545">
        <v>139</v>
      </c>
      <c r="E545" t="s">
        <v>57</v>
      </c>
      <c r="F545">
        <v>2</v>
      </c>
      <c r="G545" t="str">
        <f t="shared" si="7"/>
        <v>M0112-A-139-2</v>
      </c>
      <c r="H545">
        <v>209.64</v>
      </c>
      <c r="I545">
        <v>210.33</v>
      </c>
    </row>
    <row r="546" spans="1:9" x14ac:dyDescent="0.3">
      <c r="A546">
        <v>501</v>
      </c>
      <c r="B546" t="s">
        <v>60</v>
      </c>
      <c r="C546" t="s">
        <v>31</v>
      </c>
      <c r="D546">
        <v>140</v>
      </c>
      <c r="E546" t="s">
        <v>57</v>
      </c>
      <c r="F546">
        <v>1</v>
      </c>
      <c r="G546" t="str">
        <f t="shared" si="7"/>
        <v>M0112-A-140-1</v>
      </c>
      <c r="H546">
        <v>210.33</v>
      </c>
      <c r="I546">
        <v>211.83</v>
      </c>
    </row>
    <row r="547" spans="1:9" x14ac:dyDescent="0.3">
      <c r="A547">
        <v>501</v>
      </c>
      <c r="B547" t="s">
        <v>60</v>
      </c>
      <c r="C547" t="s">
        <v>31</v>
      </c>
      <c r="D547">
        <v>140</v>
      </c>
      <c r="E547" t="s">
        <v>57</v>
      </c>
      <c r="F547">
        <v>2</v>
      </c>
      <c r="G547" t="str">
        <f t="shared" si="7"/>
        <v>M0112-A-140-2</v>
      </c>
      <c r="H547">
        <v>211.83</v>
      </c>
      <c r="I547">
        <v>212.68</v>
      </c>
    </row>
    <row r="548" spans="1:9" x14ac:dyDescent="0.3">
      <c r="A548">
        <v>501</v>
      </c>
      <c r="B548" t="s">
        <v>60</v>
      </c>
      <c r="C548" t="s">
        <v>31</v>
      </c>
      <c r="D548">
        <v>141</v>
      </c>
      <c r="E548" t="s">
        <v>57</v>
      </c>
      <c r="F548">
        <v>1</v>
      </c>
      <c r="G548" t="str">
        <f t="shared" si="7"/>
        <v>M0112-A-141-1</v>
      </c>
      <c r="H548">
        <v>212.68</v>
      </c>
      <c r="I548">
        <v>214.18</v>
      </c>
    </row>
    <row r="549" spans="1:9" x14ac:dyDescent="0.3">
      <c r="A549">
        <v>501</v>
      </c>
      <c r="B549" t="s">
        <v>60</v>
      </c>
      <c r="C549" t="s">
        <v>31</v>
      </c>
      <c r="D549">
        <v>141</v>
      </c>
      <c r="E549" t="s">
        <v>57</v>
      </c>
      <c r="F549">
        <v>2</v>
      </c>
      <c r="G549" t="str">
        <f t="shared" si="7"/>
        <v>M0112-A-141-2</v>
      </c>
      <c r="H549">
        <v>214.18</v>
      </c>
      <c r="I549">
        <v>215.34</v>
      </c>
    </row>
    <row r="550" spans="1:9" x14ac:dyDescent="0.3">
      <c r="A550">
        <v>501</v>
      </c>
      <c r="B550" t="s">
        <v>60</v>
      </c>
      <c r="C550" t="s">
        <v>31</v>
      </c>
      <c r="D550">
        <v>142</v>
      </c>
      <c r="E550" t="s">
        <v>57</v>
      </c>
      <c r="F550">
        <v>1</v>
      </c>
      <c r="G550" t="str">
        <f t="shared" si="7"/>
        <v>M0112-A-142-1</v>
      </c>
      <c r="H550">
        <v>215.34</v>
      </c>
      <c r="I550">
        <v>216.11</v>
      </c>
    </row>
    <row r="551" spans="1:9" x14ac:dyDescent="0.3">
      <c r="A551">
        <v>501</v>
      </c>
      <c r="B551" t="s">
        <v>60</v>
      </c>
      <c r="C551" t="s">
        <v>31</v>
      </c>
      <c r="D551">
        <v>143</v>
      </c>
      <c r="E551" t="s">
        <v>34</v>
      </c>
      <c r="F551">
        <v>1</v>
      </c>
      <c r="G551" t="str">
        <f t="shared" si="7"/>
        <v>M0112-A-143-1</v>
      </c>
      <c r="H551">
        <v>216.11</v>
      </c>
      <c r="I551">
        <v>216.66</v>
      </c>
    </row>
    <row r="552" spans="1:9" x14ac:dyDescent="0.3">
      <c r="A552">
        <v>501</v>
      </c>
      <c r="B552" t="s">
        <v>60</v>
      </c>
      <c r="C552" t="s">
        <v>31</v>
      </c>
      <c r="D552">
        <v>144</v>
      </c>
      <c r="E552" t="s">
        <v>34</v>
      </c>
      <c r="F552">
        <v>1</v>
      </c>
      <c r="G552" t="str">
        <f t="shared" si="7"/>
        <v>M0112-A-144-1</v>
      </c>
      <c r="H552">
        <v>216.36</v>
      </c>
      <c r="I552">
        <v>217.36</v>
      </c>
    </row>
    <row r="553" spans="1:9" x14ac:dyDescent="0.3">
      <c r="A553">
        <v>501</v>
      </c>
      <c r="B553" t="s">
        <v>60</v>
      </c>
      <c r="C553" t="s">
        <v>31</v>
      </c>
      <c r="D553">
        <v>144</v>
      </c>
      <c r="E553" t="s">
        <v>34</v>
      </c>
      <c r="F553">
        <v>2</v>
      </c>
      <c r="G553" t="str">
        <f t="shared" si="7"/>
        <v>M0112-A-144-2</v>
      </c>
      <c r="H553">
        <v>217.36</v>
      </c>
      <c r="I553">
        <v>218.18</v>
      </c>
    </row>
    <row r="554" spans="1:9" x14ac:dyDescent="0.3">
      <c r="A554">
        <v>501</v>
      </c>
      <c r="B554" t="s">
        <v>60</v>
      </c>
      <c r="C554" t="s">
        <v>31</v>
      </c>
      <c r="D554">
        <v>145</v>
      </c>
      <c r="E554" t="s">
        <v>34</v>
      </c>
      <c r="F554">
        <v>1</v>
      </c>
      <c r="G554" t="str">
        <f t="shared" si="7"/>
        <v>M0112-A-145-1</v>
      </c>
      <c r="H554">
        <v>218.21</v>
      </c>
      <c r="I554">
        <v>218.96</v>
      </c>
    </row>
    <row r="555" spans="1:9" x14ac:dyDescent="0.3">
      <c r="A555">
        <v>501</v>
      </c>
      <c r="B555" t="s">
        <v>60</v>
      </c>
      <c r="C555" t="s">
        <v>31</v>
      </c>
      <c r="D555">
        <v>145</v>
      </c>
      <c r="E555" t="s">
        <v>34</v>
      </c>
      <c r="F555">
        <v>2</v>
      </c>
      <c r="G555" t="str">
        <f t="shared" si="7"/>
        <v>M0112-A-145-2</v>
      </c>
      <c r="H555">
        <v>218.96</v>
      </c>
      <c r="I555">
        <v>219.49</v>
      </c>
    </row>
    <row r="556" spans="1:9" x14ac:dyDescent="0.3">
      <c r="A556">
        <v>501</v>
      </c>
      <c r="B556" t="s">
        <v>60</v>
      </c>
      <c r="C556" t="s">
        <v>31</v>
      </c>
      <c r="D556">
        <v>145</v>
      </c>
      <c r="E556" t="s">
        <v>34</v>
      </c>
      <c r="F556">
        <v>3</v>
      </c>
      <c r="G556" t="str">
        <f t="shared" si="7"/>
        <v>M0112-A-145-3</v>
      </c>
      <c r="H556">
        <v>219.49</v>
      </c>
      <c r="I556">
        <v>219.58</v>
      </c>
    </row>
    <row r="557" spans="1:9" x14ac:dyDescent="0.3">
      <c r="A557">
        <v>501</v>
      </c>
      <c r="B557" t="s">
        <v>60</v>
      </c>
      <c r="C557" t="s">
        <v>31</v>
      </c>
      <c r="D557">
        <v>146</v>
      </c>
      <c r="E557" t="s">
        <v>34</v>
      </c>
      <c r="F557">
        <v>1</v>
      </c>
      <c r="G557" t="str">
        <f t="shared" si="7"/>
        <v>M0112-A-146-1</v>
      </c>
      <c r="H557">
        <v>219.61</v>
      </c>
      <c r="I557">
        <v>219.62</v>
      </c>
    </row>
    <row r="558" spans="1:9" x14ac:dyDescent="0.3">
      <c r="A558">
        <v>501</v>
      </c>
      <c r="B558" t="s">
        <v>60</v>
      </c>
      <c r="C558" t="s">
        <v>31</v>
      </c>
      <c r="D558">
        <v>147</v>
      </c>
      <c r="E558" t="s">
        <v>34</v>
      </c>
      <c r="F558">
        <v>1</v>
      </c>
      <c r="G558" t="str">
        <f t="shared" si="7"/>
        <v>M0112-A-147-1</v>
      </c>
      <c r="H558">
        <v>219.81</v>
      </c>
      <c r="I558">
        <v>220.06</v>
      </c>
    </row>
    <row r="559" spans="1:9" x14ac:dyDescent="0.3">
      <c r="A559">
        <v>501</v>
      </c>
      <c r="B559" t="s">
        <v>60</v>
      </c>
      <c r="C559" t="s">
        <v>31</v>
      </c>
      <c r="D559">
        <v>148</v>
      </c>
      <c r="E559" t="s">
        <v>34</v>
      </c>
      <c r="F559">
        <v>1</v>
      </c>
      <c r="G559" t="str">
        <f t="shared" si="7"/>
        <v>M0112-A-148-1</v>
      </c>
      <c r="H559">
        <v>221.21</v>
      </c>
      <c r="I559">
        <v>221.42</v>
      </c>
    </row>
    <row r="560" spans="1:9" x14ac:dyDescent="0.3">
      <c r="A560">
        <v>501</v>
      </c>
      <c r="B560" t="s">
        <v>60</v>
      </c>
      <c r="C560" t="s">
        <v>31</v>
      </c>
      <c r="D560">
        <v>149</v>
      </c>
      <c r="E560" t="s">
        <v>34</v>
      </c>
      <c r="F560">
        <v>1</v>
      </c>
      <c r="G560" t="str">
        <f t="shared" si="7"/>
        <v>M0112-A-149-1</v>
      </c>
      <c r="H560">
        <v>223.21</v>
      </c>
      <c r="I560">
        <v>223.23</v>
      </c>
    </row>
    <row r="561" spans="1:9" x14ac:dyDescent="0.3">
      <c r="A561">
        <v>501</v>
      </c>
      <c r="B561" t="s">
        <v>60</v>
      </c>
      <c r="C561" t="s">
        <v>31</v>
      </c>
      <c r="D561">
        <v>150</v>
      </c>
      <c r="E561" t="s">
        <v>57</v>
      </c>
      <c r="F561">
        <v>1</v>
      </c>
      <c r="G561" t="str">
        <f t="shared" si="7"/>
        <v>M0112-A-150-1</v>
      </c>
      <c r="H561">
        <v>224.21</v>
      </c>
      <c r="I561">
        <v>224.66</v>
      </c>
    </row>
    <row r="562" spans="1:9" x14ac:dyDescent="0.3">
      <c r="A562">
        <v>501</v>
      </c>
      <c r="B562" t="s">
        <v>60</v>
      </c>
      <c r="C562" t="s">
        <v>31</v>
      </c>
      <c r="D562">
        <v>151</v>
      </c>
      <c r="E562" t="s">
        <v>34</v>
      </c>
      <c r="F562">
        <v>1</v>
      </c>
      <c r="G562" t="str">
        <f t="shared" si="7"/>
        <v>M0112-A-151-1</v>
      </c>
      <c r="H562">
        <v>224.66</v>
      </c>
      <c r="I562">
        <v>225.92</v>
      </c>
    </row>
    <row r="563" spans="1:9" x14ac:dyDescent="0.3">
      <c r="A563">
        <v>501</v>
      </c>
      <c r="B563" t="s">
        <v>60</v>
      </c>
      <c r="C563" t="s">
        <v>31</v>
      </c>
      <c r="D563">
        <v>152</v>
      </c>
      <c r="E563" t="s">
        <v>34</v>
      </c>
      <c r="F563">
        <v>1</v>
      </c>
      <c r="G563" t="str">
        <f t="shared" si="7"/>
        <v>M0112-A-152-1</v>
      </c>
      <c r="H563">
        <v>225.66</v>
      </c>
      <c r="I563">
        <v>225.94</v>
      </c>
    </row>
    <row r="564" spans="1:9" x14ac:dyDescent="0.3">
      <c r="A564">
        <v>501</v>
      </c>
      <c r="B564" t="s">
        <v>60</v>
      </c>
      <c r="C564" t="s">
        <v>31</v>
      </c>
      <c r="D564">
        <v>153</v>
      </c>
      <c r="E564" t="s">
        <v>34</v>
      </c>
      <c r="F564">
        <v>1</v>
      </c>
      <c r="G564" t="str">
        <f t="shared" si="7"/>
        <v>M0112-A-153-1</v>
      </c>
      <c r="H564">
        <v>227.21</v>
      </c>
      <c r="I564">
        <v>227.87</v>
      </c>
    </row>
    <row r="565" spans="1:9" x14ac:dyDescent="0.3">
      <c r="A565">
        <v>501</v>
      </c>
      <c r="B565" t="s">
        <v>60</v>
      </c>
      <c r="C565" t="s">
        <v>31</v>
      </c>
      <c r="D565">
        <v>154</v>
      </c>
      <c r="E565" t="s">
        <v>57</v>
      </c>
      <c r="F565">
        <v>1</v>
      </c>
      <c r="G565" t="str">
        <f t="shared" si="7"/>
        <v>M0112-A-154-1</v>
      </c>
      <c r="H565">
        <v>228.21</v>
      </c>
      <c r="I565">
        <v>228.84</v>
      </c>
    </row>
    <row r="566" spans="1:9" x14ac:dyDescent="0.3">
      <c r="A566">
        <v>501</v>
      </c>
      <c r="B566" t="s">
        <v>60</v>
      </c>
      <c r="C566" t="s">
        <v>31</v>
      </c>
      <c r="D566">
        <v>155</v>
      </c>
      <c r="E566" t="s">
        <v>57</v>
      </c>
      <c r="F566">
        <v>1</v>
      </c>
      <c r="G566" t="str">
        <f t="shared" si="7"/>
        <v>M0112-A-155-1</v>
      </c>
      <c r="H566">
        <v>228.84</v>
      </c>
      <c r="I566">
        <v>229.09</v>
      </c>
    </row>
    <row r="567" spans="1:9" x14ac:dyDescent="0.3">
      <c r="A567">
        <v>501</v>
      </c>
      <c r="B567" t="s">
        <v>60</v>
      </c>
      <c r="C567" t="s">
        <v>31</v>
      </c>
      <c r="D567">
        <v>155</v>
      </c>
      <c r="E567" t="s">
        <v>57</v>
      </c>
      <c r="F567">
        <v>2</v>
      </c>
      <c r="G567" t="str">
        <f t="shared" si="7"/>
        <v>M0112-A-155-2</v>
      </c>
      <c r="H567">
        <v>229.09</v>
      </c>
      <c r="I567">
        <v>230.45</v>
      </c>
    </row>
    <row r="568" spans="1:9" x14ac:dyDescent="0.3">
      <c r="A568">
        <v>501</v>
      </c>
      <c r="B568" t="s">
        <v>60</v>
      </c>
      <c r="C568" t="s">
        <v>31</v>
      </c>
      <c r="D568">
        <v>156</v>
      </c>
      <c r="E568" t="s">
        <v>57</v>
      </c>
      <c r="F568">
        <v>1</v>
      </c>
      <c r="G568" t="str">
        <f t="shared" ref="G568:G631" si="8">CONCATENATE(B568, "-",C568, "-", D568, "-", F568)</f>
        <v>M0112-A-156-1</v>
      </c>
      <c r="H568">
        <v>230.45</v>
      </c>
      <c r="I568">
        <v>231.18</v>
      </c>
    </row>
    <row r="569" spans="1:9" x14ac:dyDescent="0.3">
      <c r="A569">
        <v>501</v>
      </c>
      <c r="B569" t="s">
        <v>60</v>
      </c>
      <c r="C569" t="s">
        <v>31</v>
      </c>
      <c r="D569">
        <v>157</v>
      </c>
      <c r="E569" t="s">
        <v>57</v>
      </c>
      <c r="F569">
        <v>1</v>
      </c>
      <c r="G569" t="str">
        <f t="shared" si="8"/>
        <v>M0112-A-157-1</v>
      </c>
      <c r="H569">
        <v>231.18</v>
      </c>
      <c r="I569">
        <v>231.83</v>
      </c>
    </row>
    <row r="570" spans="1:9" x14ac:dyDescent="0.3">
      <c r="A570">
        <v>501</v>
      </c>
      <c r="B570" t="s">
        <v>60</v>
      </c>
      <c r="C570" t="s">
        <v>31</v>
      </c>
      <c r="D570">
        <v>157</v>
      </c>
      <c r="E570" t="s">
        <v>57</v>
      </c>
      <c r="F570">
        <v>2</v>
      </c>
      <c r="G570" t="str">
        <f t="shared" si="8"/>
        <v>M0112-A-157-2</v>
      </c>
      <c r="H570">
        <v>231.83</v>
      </c>
      <c r="I570">
        <v>232.37</v>
      </c>
    </row>
    <row r="571" spans="1:9" x14ac:dyDescent="0.3">
      <c r="A571">
        <v>501</v>
      </c>
      <c r="B571" t="s">
        <v>60</v>
      </c>
      <c r="C571" t="s">
        <v>31</v>
      </c>
      <c r="D571">
        <v>158</v>
      </c>
      <c r="E571" t="s">
        <v>57</v>
      </c>
      <c r="F571">
        <v>1</v>
      </c>
      <c r="G571" t="str">
        <f t="shared" si="8"/>
        <v>M0112-A-158-1</v>
      </c>
      <c r="H571">
        <v>232.37</v>
      </c>
      <c r="I571">
        <v>233.07</v>
      </c>
    </row>
    <row r="572" spans="1:9" x14ac:dyDescent="0.3">
      <c r="A572">
        <v>501</v>
      </c>
      <c r="B572" t="s">
        <v>60</v>
      </c>
      <c r="C572" t="s">
        <v>31</v>
      </c>
      <c r="D572">
        <v>159</v>
      </c>
      <c r="E572" t="s">
        <v>34</v>
      </c>
      <c r="F572">
        <v>1</v>
      </c>
      <c r="G572" t="str">
        <f t="shared" si="8"/>
        <v>M0112-A-159-1</v>
      </c>
      <c r="H572">
        <v>233.07</v>
      </c>
      <c r="I572">
        <v>234.21</v>
      </c>
    </row>
    <row r="573" spans="1:9" x14ac:dyDescent="0.3">
      <c r="A573">
        <v>501</v>
      </c>
      <c r="B573" t="s">
        <v>60</v>
      </c>
      <c r="C573" t="s">
        <v>31</v>
      </c>
      <c r="D573">
        <v>159</v>
      </c>
      <c r="E573" t="s">
        <v>34</v>
      </c>
      <c r="F573">
        <v>2</v>
      </c>
      <c r="G573" t="str">
        <f t="shared" si="8"/>
        <v>M0112-A-159-2</v>
      </c>
      <c r="H573">
        <v>234.21</v>
      </c>
      <c r="I573">
        <v>234.83</v>
      </c>
    </row>
    <row r="574" spans="1:9" x14ac:dyDescent="0.3">
      <c r="A574">
        <v>501</v>
      </c>
      <c r="B574" t="s">
        <v>60</v>
      </c>
      <c r="C574" t="s">
        <v>31</v>
      </c>
      <c r="D574">
        <v>160</v>
      </c>
      <c r="E574" t="s">
        <v>34</v>
      </c>
      <c r="F574">
        <v>1</v>
      </c>
      <c r="G574" t="str">
        <f t="shared" si="8"/>
        <v>M0112-A-160-1</v>
      </c>
      <c r="H574">
        <v>235.21</v>
      </c>
      <c r="I574">
        <v>236.31</v>
      </c>
    </row>
    <row r="575" spans="1:9" x14ac:dyDescent="0.3">
      <c r="A575">
        <v>501</v>
      </c>
      <c r="B575" t="s">
        <v>60</v>
      </c>
      <c r="C575" t="s">
        <v>31</v>
      </c>
      <c r="D575">
        <v>160</v>
      </c>
      <c r="E575" t="s">
        <v>34</v>
      </c>
      <c r="F575">
        <v>2</v>
      </c>
      <c r="G575" t="str">
        <f t="shared" si="8"/>
        <v>M0112-A-160-2</v>
      </c>
      <c r="H575">
        <v>236.31</v>
      </c>
      <c r="I575">
        <v>237.03</v>
      </c>
    </row>
    <row r="576" spans="1:9" x14ac:dyDescent="0.3">
      <c r="A576">
        <v>501</v>
      </c>
      <c r="B576" t="s">
        <v>60</v>
      </c>
      <c r="C576" t="s">
        <v>31</v>
      </c>
      <c r="D576">
        <v>161</v>
      </c>
      <c r="E576" t="s">
        <v>34</v>
      </c>
      <c r="F576">
        <v>1</v>
      </c>
      <c r="G576" t="str">
        <f t="shared" si="8"/>
        <v>M0112-A-161-1</v>
      </c>
      <c r="H576">
        <v>238.21</v>
      </c>
      <c r="I576">
        <v>238.86</v>
      </c>
    </row>
    <row r="577" spans="1:9" x14ac:dyDescent="0.3">
      <c r="A577">
        <v>501</v>
      </c>
      <c r="B577" t="s">
        <v>60</v>
      </c>
      <c r="C577" t="s">
        <v>31</v>
      </c>
      <c r="D577">
        <v>161</v>
      </c>
      <c r="E577" t="s">
        <v>34</v>
      </c>
      <c r="F577">
        <v>2</v>
      </c>
      <c r="G577" t="str">
        <f t="shared" si="8"/>
        <v>M0112-A-161-2</v>
      </c>
      <c r="H577">
        <v>238.86</v>
      </c>
      <c r="I577">
        <v>239.36</v>
      </c>
    </row>
    <row r="578" spans="1:9" x14ac:dyDescent="0.3">
      <c r="A578">
        <v>501</v>
      </c>
      <c r="B578" t="s">
        <v>60</v>
      </c>
      <c r="C578" t="s">
        <v>31</v>
      </c>
      <c r="D578">
        <v>162</v>
      </c>
      <c r="E578" t="s">
        <v>34</v>
      </c>
      <c r="F578">
        <v>1</v>
      </c>
      <c r="G578" t="str">
        <f t="shared" si="8"/>
        <v>M0112-A-162-1</v>
      </c>
      <c r="H578">
        <v>240.21</v>
      </c>
      <c r="I578">
        <v>240.83</v>
      </c>
    </row>
    <row r="579" spans="1:9" x14ac:dyDescent="0.3">
      <c r="A579">
        <v>501</v>
      </c>
      <c r="B579" t="s">
        <v>60</v>
      </c>
      <c r="C579" t="s">
        <v>31</v>
      </c>
      <c r="D579">
        <v>163</v>
      </c>
      <c r="E579" t="s">
        <v>34</v>
      </c>
      <c r="F579">
        <v>1</v>
      </c>
      <c r="G579" t="str">
        <f t="shared" si="8"/>
        <v>M0112-A-163-1</v>
      </c>
      <c r="H579">
        <v>242.21</v>
      </c>
      <c r="I579">
        <v>242.64</v>
      </c>
    </row>
    <row r="580" spans="1:9" x14ac:dyDescent="0.3">
      <c r="A580">
        <v>501</v>
      </c>
      <c r="B580" t="s">
        <v>60</v>
      </c>
      <c r="C580" t="s">
        <v>31</v>
      </c>
      <c r="D580">
        <v>163</v>
      </c>
      <c r="E580" t="s">
        <v>34</v>
      </c>
      <c r="F580">
        <v>2</v>
      </c>
      <c r="G580" t="str">
        <f t="shared" si="8"/>
        <v>M0112-A-163-2</v>
      </c>
      <c r="H580">
        <v>242.64</v>
      </c>
      <c r="I580">
        <v>242.73</v>
      </c>
    </row>
    <row r="581" spans="1:9" x14ac:dyDescent="0.3">
      <c r="A581">
        <v>501</v>
      </c>
      <c r="B581" t="s">
        <v>60</v>
      </c>
      <c r="C581" t="s">
        <v>31</v>
      </c>
      <c r="D581">
        <v>164</v>
      </c>
      <c r="E581" t="s">
        <v>34</v>
      </c>
      <c r="F581">
        <v>1</v>
      </c>
      <c r="G581" t="str">
        <f t="shared" si="8"/>
        <v>M0112-A-164-1</v>
      </c>
      <c r="H581">
        <v>243.71</v>
      </c>
      <c r="I581">
        <v>244.51</v>
      </c>
    </row>
    <row r="582" spans="1:9" x14ac:dyDescent="0.3">
      <c r="A582">
        <v>501</v>
      </c>
      <c r="B582" t="s">
        <v>60</v>
      </c>
      <c r="C582" t="s">
        <v>31</v>
      </c>
      <c r="D582">
        <v>164</v>
      </c>
      <c r="E582" t="s">
        <v>34</v>
      </c>
      <c r="F582">
        <v>2</v>
      </c>
      <c r="G582" t="str">
        <f t="shared" si="8"/>
        <v>M0112-A-164-2</v>
      </c>
      <c r="H582">
        <v>244.51</v>
      </c>
      <c r="I582">
        <v>245.09</v>
      </c>
    </row>
    <row r="583" spans="1:9" x14ac:dyDescent="0.3">
      <c r="A583">
        <v>501</v>
      </c>
      <c r="B583" t="s">
        <v>60</v>
      </c>
      <c r="C583" t="s">
        <v>31</v>
      </c>
      <c r="D583">
        <v>165</v>
      </c>
      <c r="E583" t="s">
        <v>34</v>
      </c>
      <c r="F583">
        <v>1</v>
      </c>
      <c r="G583" t="str">
        <f t="shared" si="8"/>
        <v>M0112-A-165-1</v>
      </c>
      <c r="H583">
        <v>245.21</v>
      </c>
      <c r="I583">
        <v>246.71</v>
      </c>
    </row>
    <row r="584" spans="1:9" x14ac:dyDescent="0.3">
      <c r="A584">
        <v>501</v>
      </c>
      <c r="B584" t="s">
        <v>60</v>
      </c>
      <c r="C584" t="s">
        <v>31</v>
      </c>
      <c r="D584">
        <v>165</v>
      </c>
      <c r="E584" t="s">
        <v>34</v>
      </c>
      <c r="F584">
        <v>2</v>
      </c>
      <c r="G584" t="str">
        <f t="shared" si="8"/>
        <v>M0112-A-165-2</v>
      </c>
      <c r="H584">
        <v>246.71</v>
      </c>
      <c r="I584">
        <v>247.73</v>
      </c>
    </row>
    <row r="585" spans="1:9" x14ac:dyDescent="0.3">
      <c r="A585">
        <v>501</v>
      </c>
      <c r="B585" t="s">
        <v>60</v>
      </c>
      <c r="C585" t="s">
        <v>31</v>
      </c>
      <c r="D585">
        <v>166</v>
      </c>
      <c r="E585" t="s">
        <v>34</v>
      </c>
      <c r="F585">
        <v>1</v>
      </c>
      <c r="G585" t="str">
        <f t="shared" si="8"/>
        <v>M0112-A-166-1</v>
      </c>
      <c r="H585">
        <v>247.56</v>
      </c>
      <c r="I585">
        <v>248.11</v>
      </c>
    </row>
    <row r="586" spans="1:9" x14ac:dyDescent="0.3">
      <c r="A586">
        <v>501</v>
      </c>
      <c r="B586" t="s">
        <v>60</v>
      </c>
      <c r="C586" t="s">
        <v>31</v>
      </c>
      <c r="D586">
        <v>167</v>
      </c>
      <c r="E586" t="s">
        <v>57</v>
      </c>
      <c r="F586">
        <v>1</v>
      </c>
      <c r="G586" t="str">
        <f t="shared" si="8"/>
        <v>M0112-A-167-1</v>
      </c>
      <c r="H586">
        <v>248.81</v>
      </c>
      <c r="I586">
        <v>250.31</v>
      </c>
    </row>
    <row r="587" spans="1:9" x14ac:dyDescent="0.3">
      <c r="A587">
        <v>501</v>
      </c>
      <c r="B587" t="s">
        <v>60</v>
      </c>
      <c r="C587" t="s">
        <v>31</v>
      </c>
      <c r="D587">
        <v>167</v>
      </c>
      <c r="E587" t="s">
        <v>57</v>
      </c>
      <c r="F587">
        <v>2</v>
      </c>
      <c r="G587" t="str">
        <f t="shared" si="8"/>
        <v>M0112-A-167-2</v>
      </c>
      <c r="H587">
        <v>250.31</v>
      </c>
      <c r="I587">
        <v>251.64</v>
      </c>
    </row>
    <row r="588" spans="1:9" x14ac:dyDescent="0.3">
      <c r="A588">
        <v>501</v>
      </c>
      <c r="B588" t="s">
        <v>60</v>
      </c>
      <c r="C588" t="s">
        <v>31</v>
      </c>
      <c r="D588">
        <v>168</v>
      </c>
      <c r="E588" t="s">
        <v>57</v>
      </c>
      <c r="F588">
        <v>1</v>
      </c>
      <c r="G588" t="str">
        <f t="shared" si="8"/>
        <v>M0112-A-168-1</v>
      </c>
      <c r="H588">
        <v>251.64</v>
      </c>
      <c r="I588">
        <v>253.14</v>
      </c>
    </row>
    <row r="589" spans="1:9" x14ac:dyDescent="0.3">
      <c r="A589">
        <v>501</v>
      </c>
      <c r="B589" t="s">
        <v>60</v>
      </c>
      <c r="C589" t="s">
        <v>31</v>
      </c>
      <c r="D589">
        <v>168</v>
      </c>
      <c r="E589" t="s">
        <v>57</v>
      </c>
      <c r="F589">
        <v>2</v>
      </c>
      <c r="G589" t="str">
        <f t="shared" si="8"/>
        <v>M0112-A-168-2</v>
      </c>
      <c r="H589">
        <v>253.14</v>
      </c>
      <c r="I589">
        <v>254.06</v>
      </c>
    </row>
    <row r="590" spans="1:9" x14ac:dyDescent="0.3">
      <c r="A590">
        <v>501</v>
      </c>
      <c r="B590" t="s">
        <v>60</v>
      </c>
      <c r="C590" t="s">
        <v>31</v>
      </c>
      <c r="D590">
        <v>169</v>
      </c>
      <c r="E590" t="s">
        <v>57</v>
      </c>
      <c r="F590">
        <v>1</v>
      </c>
      <c r="G590" t="str">
        <f t="shared" si="8"/>
        <v>M0112-A-169-1</v>
      </c>
      <c r="H590">
        <v>254.06</v>
      </c>
      <c r="I590">
        <v>255.56</v>
      </c>
    </row>
    <row r="591" spans="1:9" x14ac:dyDescent="0.3">
      <c r="A591">
        <v>501</v>
      </c>
      <c r="B591" t="s">
        <v>60</v>
      </c>
      <c r="C591" t="s">
        <v>31</v>
      </c>
      <c r="D591">
        <v>169</v>
      </c>
      <c r="E591" t="s">
        <v>57</v>
      </c>
      <c r="F591">
        <v>2</v>
      </c>
      <c r="G591" t="str">
        <f t="shared" si="8"/>
        <v>M0112-A-169-2</v>
      </c>
      <c r="H591">
        <v>255.56</v>
      </c>
      <c r="I591">
        <v>257.02</v>
      </c>
    </row>
    <row r="592" spans="1:9" x14ac:dyDescent="0.3">
      <c r="A592">
        <v>501</v>
      </c>
      <c r="B592" t="s">
        <v>60</v>
      </c>
      <c r="C592" t="s">
        <v>31</v>
      </c>
      <c r="D592">
        <v>170</v>
      </c>
      <c r="E592" t="s">
        <v>57</v>
      </c>
      <c r="F592">
        <v>1</v>
      </c>
      <c r="G592" t="str">
        <f t="shared" si="8"/>
        <v>M0112-A-170-1</v>
      </c>
      <c r="H592">
        <v>257.02</v>
      </c>
      <c r="I592">
        <v>258.52</v>
      </c>
    </row>
    <row r="593" spans="1:9" x14ac:dyDescent="0.3">
      <c r="A593">
        <v>501</v>
      </c>
      <c r="B593" t="s">
        <v>60</v>
      </c>
      <c r="C593" t="s">
        <v>31</v>
      </c>
      <c r="D593">
        <v>170</v>
      </c>
      <c r="E593" t="s">
        <v>57</v>
      </c>
      <c r="F593">
        <v>2</v>
      </c>
      <c r="G593" t="str">
        <f t="shared" si="8"/>
        <v>M0112-A-170-2</v>
      </c>
      <c r="H593">
        <v>258.52</v>
      </c>
      <c r="I593">
        <v>259.52</v>
      </c>
    </row>
    <row r="594" spans="1:9" x14ac:dyDescent="0.3">
      <c r="A594">
        <v>501</v>
      </c>
      <c r="B594" t="s">
        <v>60</v>
      </c>
      <c r="C594" t="s">
        <v>31</v>
      </c>
      <c r="D594">
        <v>171</v>
      </c>
      <c r="E594" t="s">
        <v>57</v>
      </c>
      <c r="F594">
        <v>1</v>
      </c>
      <c r="G594" t="str">
        <f t="shared" si="8"/>
        <v>M0112-A-171-1</v>
      </c>
      <c r="H594">
        <v>259.52</v>
      </c>
      <c r="I594">
        <v>261.01</v>
      </c>
    </row>
    <row r="595" spans="1:9" x14ac:dyDescent="0.3">
      <c r="A595">
        <v>501</v>
      </c>
      <c r="B595" t="s">
        <v>60</v>
      </c>
      <c r="C595" t="s">
        <v>31</v>
      </c>
      <c r="D595">
        <v>171</v>
      </c>
      <c r="E595" t="s">
        <v>57</v>
      </c>
      <c r="F595">
        <v>2</v>
      </c>
      <c r="G595" t="str">
        <f t="shared" si="8"/>
        <v>M0112-A-171-2</v>
      </c>
      <c r="H595">
        <v>261.01</v>
      </c>
      <c r="I595">
        <v>261.82</v>
      </c>
    </row>
    <row r="596" spans="1:9" x14ac:dyDescent="0.3">
      <c r="A596">
        <v>501</v>
      </c>
      <c r="B596" t="s">
        <v>60</v>
      </c>
      <c r="C596" t="s">
        <v>31</v>
      </c>
      <c r="D596">
        <v>172</v>
      </c>
      <c r="E596" t="s">
        <v>57</v>
      </c>
      <c r="F596">
        <v>1</v>
      </c>
      <c r="G596" t="str">
        <f t="shared" si="8"/>
        <v>M0112-A-172-1</v>
      </c>
      <c r="H596">
        <v>261.82</v>
      </c>
      <c r="I596">
        <v>263.31</v>
      </c>
    </row>
    <row r="597" spans="1:9" x14ac:dyDescent="0.3">
      <c r="A597">
        <v>501</v>
      </c>
      <c r="B597" t="s">
        <v>60</v>
      </c>
      <c r="C597" t="s">
        <v>31</v>
      </c>
      <c r="D597">
        <v>172</v>
      </c>
      <c r="E597" t="s">
        <v>57</v>
      </c>
      <c r="F597">
        <v>2</v>
      </c>
      <c r="G597" t="str">
        <f t="shared" si="8"/>
        <v>M0112-A-172-2</v>
      </c>
      <c r="H597">
        <v>263.31</v>
      </c>
      <c r="I597">
        <v>263.86</v>
      </c>
    </row>
    <row r="598" spans="1:9" x14ac:dyDescent="0.3">
      <c r="A598">
        <v>501</v>
      </c>
      <c r="B598" t="s">
        <v>60</v>
      </c>
      <c r="C598" t="s">
        <v>31</v>
      </c>
      <c r="D598">
        <v>173</v>
      </c>
      <c r="E598" t="s">
        <v>57</v>
      </c>
      <c r="F598">
        <v>1</v>
      </c>
      <c r="G598" t="str">
        <f t="shared" si="8"/>
        <v>M0112-A-173-1</v>
      </c>
      <c r="H598">
        <v>263.86</v>
      </c>
      <c r="I598">
        <v>264.7</v>
      </c>
    </row>
    <row r="599" spans="1:9" x14ac:dyDescent="0.3">
      <c r="A599">
        <v>501</v>
      </c>
      <c r="B599" t="s">
        <v>60</v>
      </c>
      <c r="C599" t="s">
        <v>31</v>
      </c>
      <c r="D599">
        <v>174</v>
      </c>
      <c r="E599" t="s">
        <v>57</v>
      </c>
      <c r="F599">
        <v>1</v>
      </c>
      <c r="G599" t="str">
        <f t="shared" si="8"/>
        <v>M0112-A-174-1</v>
      </c>
      <c r="H599">
        <v>264.7</v>
      </c>
      <c r="I599">
        <v>265.25</v>
      </c>
    </row>
    <row r="600" spans="1:9" x14ac:dyDescent="0.3">
      <c r="A600">
        <v>501</v>
      </c>
      <c r="B600" t="s">
        <v>60</v>
      </c>
      <c r="C600" t="s">
        <v>31</v>
      </c>
      <c r="D600">
        <v>174</v>
      </c>
      <c r="E600" t="s">
        <v>57</v>
      </c>
      <c r="F600">
        <v>2</v>
      </c>
      <c r="G600" t="str">
        <f t="shared" si="8"/>
        <v>M0112-A-174-2</v>
      </c>
      <c r="H600">
        <v>265.25</v>
      </c>
      <c r="I600">
        <v>266.43</v>
      </c>
    </row>
    <row r="601" spans="1:9" x14ac:dyDescent="0.3">
      <c r="A601">
        <v>501</v>
      </c>
      <c r="B601" t="s">
        <v>60</v>
      </c>
      <c r="C601" t="s">
        <v>31</v>
      </c>
      <c r="D601">
        <v>175</v>
      </c>
      <c r="E601" t="s">
        <v>57</v>
      </c>
      <c r="F601">
        <v>1</v>
      </c>
      <c r="G601" t="str">
        <f t="shared" si="8"/>
        <v>M0112-A-175-1</v>
      </c>
      <c r="H601">
        <v>266.43</v>
      </c>
      <c r="I601">
        <v>267.92</v>
      </c>
    </row>
    <row r="602" spans="1:9" x14ac:dyDescent="0.3">
      <c r="A602">
        <v>501</v>
      </c>
      <c r="B602" t="s">
        <v>60</v>
      </c>
      <c r="C602" t="s">
        <v>31</v>
      </c>
      <c r="D602">
        <v>175</v>
      </c>
      <c r="E602" t="s">
        <v>57</v>
      </c>
      <c r="F602">
        <v>2</v>
      </c>
      <c r="G602" t="str">
        <f t="shared" si="8"/>
        <v>M0112-A-175-2</v>
      </c>
      <c r="H602">
        <v>267.92</v>
      </c>
      <c r="I602">
        <v>269.33999999999997</v>
      </c>
    </row>
    <row r="603" spans="1:9" x14ac:dyDescent="0.3">
      <c r="A603">
        <v>501</v>
      </c>
      <c r="B603" t="s">
        <v>60</v>
      </c>
      <c r="C603" t="s">
        <v>31</v>
      </c>
      <c r="D603">
        <v>176</v>
      </c>
      <c r="E603" t="s">
        <v>57</v>
      </c>
      <c r="F603">
        <v>1</v>
      </c>
      <c r="G603" t="str">
        <f t="shared" si="8"/>
        <v>M0112-A-176-1</v>
      </c>
      <c r="H603">
        <v>269.33999999999997</v>
      </c>
      <c r="I603">
        <v>269.58999999999997</v>
      </c>
    </row>
    <row r="604" spans="1:9" x14ac:dyDescent="0.3">
      <c r="A604">
        <v>501</v>
      </c>
      <c r="B604" t="s">
        <v>60</v>
      </c>
      <c r="C604" t="s">
        <v>31</v>
      </c>
      <c r="D604">
        <v>176</v>
      </c>
      <c r="E604" t="s">
        <v>57</v>
      </c>
      <c r="F604">
        <v>2</v>
      </c>
      <c r="G604" t="str">
        <f t="shared" si="8"/>
        <v>M0112-A-176-2</v>
      </c>
      <c r="H604">
        <v>269.58999999999997</v>
      </c>
      <c r="I604">
        <v>270.54000000000002</v>
      </c>
    </row>
    <row r="605" spans="1:9" x14ac:dyDescent="0.3">
      <c r="A605">
        <v>501</v>
      </c>
      <c r="B605" t="s">
        <v>60</v>
      </c>
      <c r="C605" t="s">
        <v>31</v>
      </c>
      <c r="D605">
        <v>177</v>
      </c>
      <c r="E605" t="s">
        <v>57</v>
      </c>
      <c r="F605">
        <v>1</v>
      </c>
      <c r="G605" t="str">
        <f t="shared" si="8"/>
        <v>M0112-A-177-1</v>
      </c>
      <c r="H605">
        <v>270.54000000000002</v>
      </c>
      <c r="I605">
        <v>270.68</v>
      </c>
    </row>
    <row r="606" spans="1:9" x14ac:dyDescent="0.3">
      <c r="A606">
        <v>501</v>
      </c>
      <c r="B606" t="s">
        <v>60</v>
      </c>
      <c r="C606" t="s">
        <v>31</v>
      </c>
      <c r="D606">
        <v>177</v>
      </c>
      <c r="E606" t="s">
        <v>57</v>
      </c>
      <c r="F606">
        <v>2</v>
      </c>
      <c r="G606" t="str">
        <f t="shared" si="8"/>
        <v>M0112-A-177-2</v>
      </c>
      <c r="H606">
        <v>270.68</v>
      </c>
      <c r="I606">
        <v>272.18</v>
      </c>
    </row>
    <row r="607" spans="1:9" x14ac:dyDescent="0.3">
      <c r="A607">
        <v>501</v>
      </c>
      <c r="B607" t="s">
        <v>60</v>
      </c>
      <c r="C607" t="s">
        <v>31</v>
      </c>
      <c r="D607">
        <v>177</v>
      </c>
      <c r="E607" t="s">
        <v>57</v>
      </c>
      <c r="F607">
        <v>3</v>
      </c>
      <c r="G607" t="str">
        <f t="shared" si="8"/>
        <v>M0112-A-177-3</v>
      </c>
      <c r="H607">
        <v>272.18</v>
      </c>
      <c r="I607">
        <v>273.35000000000002</v>
      </c>
    </row>
    <row r="608" spans="1:9" x14ac:dyDescent="0.3">
      <c r="A608">
        <v>501</v>
      </c>
      <c r="B608" t="s">
        <v>60</v>
      </c>
      <c r="C608" t="s">
        <v>31</v>
      </c>
      <c r="D608">
        <v>178</v>
      </c>
      <c r="E608" t="s">
        <v>57</v>
      </c>
      <c r="F608">
        <v>1</v>
      </c>
      <c r="G608" t="str">
        <f t="shared" si="8"/>
        <v>M0112-A-178-1</v>
      </c>
      <c r="H608">
        <v>273.35000000000002</v>
      </c>
      <c r="I608">
        <v>274.83999999999997</v>
      </c>
    </row>
    <row r="609" spans="1:9" x14ac:dyDescent="0.3">
      <c r="A609">
        <v>501</v>
      </c>
      <c r="B609" t="s">
        <v>60</v>
      </c>
      <c r="C609" t="s">
        <v>31</v>
      </c>
      <c r="D609">
        <v>178</v>
      </c>
      <c r="E609" t="s">
        <v>57</v>
      </c>
      <c r="F609">
        <v>2</v>
      </c>
      <c r="G609" t="str">
        <f t="shared" si="8"/>
        <v>M0112-A-178-2</v>
      </c>
      <c r="H609">
        <v>274.83999999999997</v>
      </c>
      <c r="I609">
        <v>275.93</v>
      </c>
    </row>
    <row r="610" spans="1:9" x14ac:dyDescent="0.3">
      <c r="A610">
        <v>501</v>
      </c>
      <c r="B610" t="s">
        <v>60</v>
      </c>
      <c r="C610" t="s">
        <v>31</v>
      </c>
      <c r="D610">
        <v>179</v>
      </c>
      <c r="E610" t="s">
        <v>57</v>
      </c>
      <c r="F610">
        <v>1</v>
      </c>
      <c r="G610" t="str">
        <f t="shared" si="8"/>
        <v>M0112-A-179-1</v>
      </c>
      <c r="H610">
        <v>275.93</v>
      </c>
      <c r="I610">
        <v>276.93</v>
      </c>
    </row>
    <row r="611" spans="1:9" x14ac:dyDescent="0.3">
      <c r="A611">
        <v>501</v>
      </c>
      <c r="B611" t="s">
        <v>60</v>
      </c>
      <c r="C611" t="s">
        <v>31</v>
      </c>
      <c r="D611">
        <v>179</v>
      </c>
      <c r="E611" t="s">
        <v>57</v>
      </c>
      <c r="F611">
        <v>2</v>
      </c>
      <c r="G611" t="str">
        <f t="shared" si="8"/>
        <v>M0112-A-179-2</v>
      </c>
      <c r="H611">
        <v>276.93</v>
      </c>
      <c r="I611">
        <v>277.74</v>
      </c>
    </row>
    <row r="612" spans="1:9" x14ac:dyDescent="0.3">
      <c r="A612">
        <v>501</v>
      </c>
      <c r="B612" t="s">
        <v>60</v>
      </c>
      <c r="C612" t="s">
        <v>31</v>
      </c>
      <c r="D612">
        <v>180</v>
      </c>
      <c r="E612" t="s">
        <v>57</v>
      </c>
      <c r="F612">
        <v>1</v>
      </c>
      <c r="G612" t="str">
        <f t="shared" si="8"/>
        <v>M0112-A-180-1</v>
      </c>
      <c r="H612">
        <v>277.74</v>
      </c>
      <c r="I612">
        <v>278.24</v>
      </c>
    </row>
    <row r="613" spans="1:9" x14ac:dyDescent="0.3">
      <c r="A613">
        <v>501</v>
      </c>
      <c r="B613" t="s">
        <v>60</v>
      </c>
      <c r="C613" t="s">
        <v>31</v>
      </c>
      <c r="D613">
        <v>181</v>
      </c>
      <c r="E613" t="s">
        <v>34</v>
      </c>
      <c r="F613">
        <v>1</v>
      </c>
      <c r="G613" t="str">
        <f t="shared" si="8"/>
        <v>M0112-A-181-1</v>
      </c>
      <c r="H613">
        <v>278.24</v>
      </c>
      <c r="I613">
        <v>278.45</v>
      </c>
    </row>
    <row r="614" spans="1:9" x14ac:dyDescent="0.3">
      <c r="A614">
        <v>501</v>
      </c>
      <c r="B614" t="s">
        <v>60</v>
      </c>
      <c r="C614" t="s">
        <v>31</v>
      </c>
      <c r="D614">
        <v>182</v>
      </c>
      <c r="E614" t="s">
        <v>34</v>
      </c>
      <c r="F614">
        <v>1</v>
      </c>
      <c r="G614" t="str">
        <f t="shared" si="8"/>
        <v>M0112-A-182-1</v>
      </c>
      <c r="H614">
        <v>279.74</v>
      </c>
      <c r="I614">
        <v>279.87</v>
      </c>
    </row>
    <row r="615" spans="1:9" x14ac:dyDescent="0.3">
      <c r="A615">
        <v>501</v>
      </c>
      <c r="B615" t="s">
        <v>60</v>
      </c>
      <c r="C615" t="s">
        <v>31</v>
      </c>
      <c r="D615">
        <v>183</v>
      </c>
      <c r="E615" t="s">
        <v>34</v>
      </c>
      <c r="F615">
        <v>1</v>
      </c>
      <c r="G615" t="str">
        <f t="shared" si="8"/>
        <v>M0112-A-183-1</v>
      </c>
      <c r="H615">
        <v>281.20999999999998</v>
      </c>
      <c r="I615">
        <v>281.29000000000002</v>
      </c>
    </row>
    <row r="616" spans="1:9" x14ac:dyDescent="0.3">
      <c r="A616">
        <v>501</v>
      </c>
      <c r="B616" t="s">
        <v>60</v>
      </c>
      <c r="C616" t="s">
        <v>31</v>
      </c>
      <c r="D616">
        <v>185</v>
      </c>
      <c r="E616" t="s">
        <v>34</v>
      </c>
      <c r="F616">
        <v>1</v>
      </c>
      <c r="G616" t="str">
        <f t="shared" si="8"/>
        <v>M0112-A-185-1</v>
      </c>
      <c r="H616">
        <v>284.20999999999998</v>
      </c>
      <c r="I616">
        <v>285.36</v>
      </c>
    </row>
    <row r="617" spans="1:9" x14ac:dyDescent="0.3">
      <c r="A617">
        <v>501</v>
      </c>
      <c r="B617" t="s">
        <v>60</v>
      </c>
      <c r="C617" t="s">
        <v>31</v>
      </c>
      <c r="D617">
        <v>185</v>
      </c>
      <c r="E617" t="s">
        <v>34</v>
      </c>
      <c r="F617">
        <v>2</v>
      </c>
      <c r="G617" t="str">
        <f t="shared" si="8"/>
        <v>M0112-A-185-2</v>
      </c>
      <c r="H617">
        <v>285.36</v>
      </c>
      <c r="I617">
        <v>285.95999999999998</v>
      </c>
    </row>
    <row r="618" spans="1:9" x14ac:dyDescent="0.3">
      <c r="A618">
        <v>501</v>
      </c>
      <c r="B618" t="s">
        <v>60</v>
      </c>
      <c r="C618" t="s">
        <v>31</v>
      </c>
      <c r="D618">
        <v>186</v>
      </c>
      <c r="E618" t="s">
        <v>34</v>
      </c>
      <c r="F618">
        <v>1</v>
      </c>
      <c r="G618" t="str">
        <f t="shared" si="8"/>
        <v>M0112-A-186-1</v>
      </c>
      <c r="H618">
        <v>286.20999999999998</v>
      </c>
      <c r="I618">
        <v>286.81</v>
      </c>
    </row>
    <row r="619" spans="1:9" x14ac:dyDescent="0.3">
      <c r="A619">
        <v>501</v>
      </c>
      <c r="B619" t="s">
        <v>60</v>
      </c>
      <c r="C619" t="s">
        <v>31</v>
      </c>
      <c r="D619">
        <v>187</v>
      </c>
      <c r="E619" t="s">
        <v>34</v>
      </c>
      <c r="F619">
        <v>1</v>
      </c>
      <c r="G619" t="str">
        <f t="shared" si="8"/>
        <v>M0112-A-187-1</v>
      </c>
      <c r="H619">
        <v>288.20999999999998</v>
      </c>
      <c r="I619">
        <v>288.35000000000002</v>
      </c>
    </row>
    <row r="620" spans="1:9" x14ac:dyDescent="0.3">
      <c r="A620">
        <v>501</v>
      </c>
      <c r="B620" t="s">
        <v>60</v>
      </c>
      <c r="C620" t="s">
        <v>31</v>
      </c>
      <c r="D620">
        <v>189</v>
      </c>
      <c r="E620" t="s">
        <v>34</v>
      </c>
      <c r="F620">
        <v>1</v>
      </c>
      <c r="G620" t="str">
        <f t="shared" si="8"/>
        <v>M0112-A-189-1</v>
      </c>
      <c r="H620">
        <v>290.20999999999998</v>
      </c>
      <c r="I620">
        <v>290.88</v>
      </c>
    </row>
    <row r="621" spans="1:9" x14ac:dyDescent="0.3">
      <c r="A621">
        <v>501</v>
      </c>
      <c r="B621" t="s">
        <v>60</v>
      </c>
      <c r="C621" t="s">
        <v>31</v>
      </c>
      <c r="D621">
        <v>190</v>
      </c>
      <c r="E621" t="s">
        <v>34</v>
      </c>
      <c r="F621">
        <v>1</v>
      </c>
      <c r="G621" t="str">
        <f t="shared" si="8"/>
        <v>M0112-A-190-1</v>
      </c>
      <c r="H621">
        <v>291.20999999999998</v>
      </c>
      <c r="I621">
        <v>291.36</v>
      </c>
    </row>
    <row r="622" spans="1:9" x14ac:dyDescent="0.3">
      <c r="A622">
        <v>501</v>
      </c>
      <c r="B622" t="s">
        <v>60</v>
      </c>
      <c r="C622" t="s">
        <v>31</v>
      </c>
      <c r="D622">
        <v>191</v>
      </c>
      <c r="E622" t="s">
        <v>34</v>
      </c>
      <c r="F622">
        <v>1</v>
      </c>
      <c r="G622" t="str">
        <f t="shared" si="8"/>
        <v>M0112-A-191-1</v>
      </c>
      <c r="H622">
        <v>292.20999999999998</v>
      </c>
      <c r="I622">
        <v>292.35000000000002</v>
      </c>
    </row>
    <row r="623" spans="1:9" x14ac:dyDescent="0.3">
      <c r="A623">
        <v>501</v>
      </c>
      <c r="B623" t="s">
        <v>60</v>
      </c>
      <c r="C623" t="s">
        <v>31</v>
      </c>
      <c r="D623">
        <v>194</v>
      </c>
      <c r="E623" t="s">
        <v>34</v>
      </c>
      <c r="F623">
        <v>1</v>
      </c>
      <c r="G623" t="str">
        <f t="shared" si="8"/>
        <v>M0112-A-194-1</v>
      </c>
      <c r="H623">
        <v>294.41000000000003</v>
      </c>
      <c r="I623">
        <v>294.43</v>
      </c>
    </row>
    <row r="624" spans="1:9" x14ac:dyDescent="0.3">
      <c r="A624">
        <v>501</v>
      </c>
      <c r="B624" t="s">
        <v>60</v>
      </c>
      <c r="C624" t="s">
        <v>31</v>
      </c>
      <c r="D624">
        <v>195</v>
      </c>
      <c r="E624" t="s">
        <v>34</v>
      </c>
      <c r="F624">
        <v>1</v>
      </c>
      <c r="G624" t="str">
        <f t="shared" si="8"/>
        <v>M0112-A-195-1</v>
      </c>
      <c r="H624">
        <v>295.41000000000003</v>
      </c>
      <c r="I624">
        <v>295.7</v>
      </c>
    </row>
    <row r="625" spans="1:9" x14ac:dyDescent="0.3">
      <c r="A625">
        <v>501</v>
      </c>
      <c r="B625" t="s">
        <v>60</v>
      </c>
      <c r="C625" t="s">
        <v>31</v>
      </c>
      <c r="D625">
        <v>196</v>
      </c>
      <c r="E625" t="s">
        <v>34</v>
      </c>
      <c r="F625">
        <v>1</v>
      </c>
      <c r="G625" t="str">
        <f t="shared" si="8"/>
        <v>M0112-A-196-1</v>
      </c>
      <c r="H625">
        <v>295.66000000000003</v>
      </c>
      <c r="I625">
        <v>296.5</v>
      </c>
    </row>
    <row r="626" spans="1:9" x14ac:dyDescent="0.3">
      <c r="A626">
        <v>501</v>
      </c>
      <c r="B626" t="s">
        <v>60</v>
      </c>
      <c r="C626" t="s">
        <v>31</v>
      </c>
      <c r="D626">
        <v>197</v>
      </c>
      <c r="E626" t="s">
        <v>34</v>
      </c>
      <c r="F626">
        <v>1</v>
      </c>
      <c r="G626" t="str">
        <f t="shared" si="8"/>
        <v>M0112-A-197-1</v>
      </c>
      <c r="H626">
        <v>297.20999999999998</v>
      </c>
      <c r="I626">
        <v>298.16000000000003</v>
      </c>
    </row>
    <row r="627" spans="1:9" x14ac:dyDescent="0.3">
      <c r="A627">
        <v>501</v>
      </c>
      <c r="B627" t="s">
        <v>60</v>
      </c>
      <c r="C627" t="s">
        <v>31</v>
      </c>
      <c r="D627">
        <v>198</v>
      </c>
      <c r="E627" t="s">
        <v>34</v>
      </c>
      <c r="F627">
        <v>1</v>
      </c>
      <c r="G627" t="str">
        <f t="shared" si="8"/>
        <v>M0112-A-198-1</v>
      </c>
      <c r="H627">
        <v>298.20999999999998</v>
      </c>
      <c r="I627">
        <v>299.20999999999998</v>
      </c>
    </row>
    <row r="628" spans="1:9" x14ac:dyDescent="0.3">
      <c r="A628">
        <v>501</v>
      </c>
      <c r="B628" t="s">
        <v>60</v>
      </c>
      <c r="C628" t="s">
        <v>31</v>
      </c>
      <c r="D628">
        <v>199</v>
      </c>
      <c r="E628" t="s">
        <v>34</v>
      </c>
      <c r="F628">
        <v>1</v>
      </c>
      <c r="G628" t="str">
        <f t="shared" si="8"/>
        <v>M0112-A-199-1</v>
      </c>
      <c r="H628">
        <v>299.20999999999998</v>
      </c>
      <c r="I628">
        <v>299.51</v>
      </c>
    </row>
    <row r="629" spans="1:9" x14ac:dyDescent="0.3">
      <c r="A629">
        <v>501</v>
      </c>
      <c r="B629" t="s">
        <v>60</v>
      </c>
      <c r="C629" t="s">
        <v>31</v>
      </c>
      <c r="D629">
        <v>200</v>
      </c>
      <c r="E629" t="s">
        <v>34</v>
      </c>
      <c r="F629">
        <v>1</v>
      </c>
      <c r="G629" t="str">
        <f t="shared" si="8"/>
        <v>M0112-A-200-1</v>
      </c>
      <c r="H629">
        <v>300.20999999999998</v>
      </c>
      <c r="I629">
        <v>300.68</v>
      </c>
    </row>
    <row r="630" spans="1:9" x14ac:dyDescent="0.3">
      <c r="A630">
        <v>501</v>
      </c>
      <c r="B630" t="s">
        <v>60</v>
      </c>
      <c r="C630" t="s">
        <v>31</v>
      </c>
      <c r="D630">
        <v>201</v>
      </c>
      <c r="E630" t="s">
        <v>34</v>
      </c>
      <c r="F630">
        <v>1</v>
      </c>
      <c r="G630" t="str">
        <f t="shared" si="8"/>
        <v>M0112-A-201-1</v>
      </c>
      <c r="H630">
        <v>301.20999999999998</v>
      </c>
      <c r="I630">
        <v>301.27999999999997</v>
      </c>
    </row>
    <row r="631" spans="1:9" x14ac:dyDescent="0.3">
      <c r="A631">
        <v>501</v>
      </c>
      <c r="B631" t="s">
        <v>60</v>
      </c>
      <c r="C631" t="s">
        <v>31</v>
      </c>
      <c r="D631">
        <v>202</v>
      </c>
      <c r="E631" t="s">
        <v>34</v>
      </c>
      <c r="F631">
        <v>1</v>
      </c>
      <c r="G631" t="str">
        <f t="shared" si="8"/>
        <v>M0112-A-202-1</v>
      </c>
      <c r="H631">
        <v>302.20999999999998</v>
      </c>
      <c r="I631">
        <v>302.25</v>
      </c>
    </row>
    <row r="632" spans="1:9" x14ac:dyDescent="0.3">
      <c r="A632">
        <v>501</v>
      </c>
      <c r="B632" t="s">
        <v>60</v>
      </c>
      <c r="C632" t="s">
        <v>31</v>
      </c>
      <c r="D632">
        <v>204</v>
      </c>
      <c r="E632" t="s">
        <v>34</v>
      </c>
      <c r="F632">
        <v>1</v>
      </c>
      <c r="G632" t="str">
        <f t="shared" ref="G632:G695" si="9">CONCATENATE(B632, "-",C632, "-", D632, "-", F632)</f>
        <v>M0112-A-204-1</v>
      </c>
      <c r="H632">
        <v>304.20999999999998</v>
      </c>
      <c r="I632">
        <v>305.75</v>
      </c>
    </row>
    <row r="633" spans="1:9" x14ac:dyDescent="0.3">
      <c r="A633">
        <v>501</v>
      </c>
      <c r="B633" t="s">
        <v>60</v>
      </c>
      <c r="C633" t="s">
        <v>31</v>
      </c>
      <c r="D633">
        <v>205</v>
      </c>
      <c r="E633" t="s">
        <v>34</v>
      </c>
      <c r="F633">
        <v>1</v>
      </c>
      <c r="G633" t="str">
        <f t="shared" si="9"/>
        <v>M0112-A-205-1</v>
      </c>
      <c r="H633">
        <v>305.20999999999998</v>
      </c>
      <c r="I633">
        <v>306.14999999999998</v>
      </c>
    </row>
    <row r="634" spans="1:9" x14ac:dyDescent="0.3">
      <c r="A634">
        <v>501</v>
      </c>
      <c r="B634" t="s">
        <v>60</v>
      </c>
      <c r="C634" t="s">
        <v>31</v>
      </c>
      <c r="D634">
        <v>206</v>
      </c>
      <c r="E634" t="s">
        <v>34</v>
      </c>
      <c r="F634">
        <v>1</v>
      </c>
      <c r="G634" t="str">
        <f t="shared" si="9"/>
        <v>M0112-A-206-1</v>
      </c>
      <c r="H634">
        <v>306.20999999999998</v>
      </c>
      <c r="I634">
        <v>306.72000000000003</v>
      </c>
    </row>
    <row r="635" spans="1:9" x14ac:dyDescent="0.3">
      <c r="A635">
        <v>501</v>
      </c>
      <c r="B635" t="s">
        <v>60</v>
      </c>
      <c r="C635" t="s">
        <v>31</v>
      </c>
      <c r="D635">
        <v>207</v>
      </c>
      <c r="E635" t="s">
        <v>34</v>
      </c>
      <c r="F635">
        <v>1</v>
      </c>
      <c r="G635" t="str">
        <f t="shared" si="9"/>
        <v>M0112-A-207-1</v>
      </c>
      <c r="H635">
        <v>307.20999999999998</v>
      </c>
      <c r="I635">
        <v>307.22000000000003</v>
      </c>
    </row>
    <row r="636" spans="1:9" x14ac:dyDescent="0.3">
      <c r="A636">
        <v>501</v>
      </c>
      <c r="B636" t="s">
        <v>60</v>
      </c>
      <c r="C636" t="s">
        <v>31</v>
      </c>
      <c r="D636">
        <v>209</v>
      </c>
      <c r="E636" t="s">
        <v>34</v>
      </c>
      <c r="F636">
        <v>1</v>
      </c>
      <c r="G636" t="str">
        <f t="shared" si="9"/>
        <v>M0112-A-209-1</v>
      </c>
      <c r="H636">
        <v>309.20999999999998</v>
      </c>
      <c r="I636">
        <v>309.41000000000003</v>
      </c>
    </row>
    <row r="637" spans="1:9" x14ac:dyDescent="0.3">
      <c r="A637">
        <v>501</v>
      </c>
      <c r="B637" t="s">
        <v>60</v>
      </c>
      <c r="C637" t="s">
        <v>31</v>
      </c>
      <c r="D637">
        <v>210</v>
      </c>
      <c r="E637" t="s">
        <v>34</v>
      </c>
      <c r="F637">
        <v>1</v>
      </c>
      <c r="G637" t="str">
        <f t="shared" si="9"/>
        <v>M0112-A-210-1</v>
      </c>
      <c r="H637">
        <v>310.20999999999998</v>
      </c>
      <c r="I637">
        <v>310.49</v>
      </c>
    </row>
    <row r="638" spans="1:9" x14ac:dyDescent="0.3">
      <c r="A638">
        <v>501</v>
      </c>
      <c r="B638" t="s">
        <v>60</v>
      </c>
      <c r="C638" t="s">
        <v>31</v>
      </c>
      <c r="D638">
        <v>211</v>
      </c>
      <c r="E638" t="s">
        <v>34</v>
      </c>
      <c r="F638">
        <v>1</v>
      </c>
      <c r="G638" t="str">
        <f t="shared" si="9"/>
        <v>M0112-A-211-1</v>
      </c>
      <c r="H638">
        <v>311.20999999999998</v>
      </c>
      <c r="I638">
        <v>311.29000000000002</v>
      </c>
    </row>
    <row r="639" spans="1:9" x14ac:dyDescent="0.3">
      <c r="A639">
        <v>501</v>
      </c>
      <c r="B639" t="s">
        <v>60</v>
      </c>
      <c r="C639" t="s">
        <v>31</v>
      </c>
      <c r="D639">
        <v>212</v>
      </c>
      <c r="E639" t="s">
        <v>34</v>
      </c>
      <c r="F639">
        <v>1</v>
      </c>
      <c r="G639" t="str">
        <f t="shared" si="9"/>
        <v>M0112-A-212-1</v>
      </c>
      <c r="H639">
        <v>312.20999999999998</v>
      </c>
      <c r="I639">
        <v>313.01</v>
      </c>
    </row>
    <row r="640" spans="1:9" x14ac:dyDescent="0.3">
      <c r="A640">
        <v>501</v>
      </c>
      <c r="B640" t="s">
        <v>60</v>
      </c>
      <c r="C640" t="s">
        <v>31</v>
      </c>
      <c r="D640">
        <v>212</v>
      </c>
      <c r="E640" t="s">
        <v>34</v>
      </c>
      <c r="F640">
        <v>2</v>
      </c>
      <c r="G640" t="str">
        <f t="shared" si="9"/>
        <v>M0112-A-212-2</v>
      </c>
      <c r="H640">
        <v>313.01</v>
      </c>
      <c r="I640">
        <v>313.52999999999997</v>
      </c>
    </row>
    <row r="641" spans="1:9" x14ac:dyDescent="0.3">
      <c r="A641">
        <v>501</v>
      </c>
      <c r="B641" t="s">
        <v>60</v>
      </c>
      <c r="C641" t="s">
        <v>31</v>
      </c>
      <c r="D641">
        <v>213</v>
      </c>
      <c r="E641" t="s">
        <v>34</v>
      </c>
      <c r="F641">
        <v>1</v>
      </c>
      <c r="G641" t="str">
        <f t="shared" si="9"/>
        <v>M0112-A-213-1</v>
      </c>
      <c r="H641">
        <v>313.20999999999998</v>
      </c>
      <c r="I641">
        <v>313.22000000000003</v>
      </c>
    </row>
    <row r="642" spans="1:9" x14ac:dyDescent="0.3">
      <c r="A642">
        <v>501</v>
      </c>
      <c r="B642" t="s">
        <v>60</v>
      </c>
      <c r="C642" t="s">
        <v>31</v>
      </c>
      <c r="D642">
        <v>214</v>
      </c>
      <c r="E642" t="s">
        <v>34</v>
      </c>
      <c r="F642">
        <v>1</v>
      </c>
      <c r="G642" t="str">
        <f t="shared" si="9"/>
        <v>M0112-A-214-1</v>
      </c>
      <c r="H642">
        <v>314.20999999999998</v>
      </c>
      <c r="I642">
        <v>315.70999999999998</v>
      </c>
    </row>
    <row r="643" spans="1:9" x14ac:dyDescent="0.3">
      <c r="A643">
        <v>501</v>
      </c>
      <c r="B643" t="s">
        <v>60</v>
      </c>
      <c r="C643" t="s">
        <v>31</v>
      </c>
      <c r="D643">
        <v>214</v>
      </c>
      <c r="E643" t="s">
        <v>34</v>
      </c>
      <c r="F643">
        <v>2</v>
      </c>
      <c r="G643" t="str">
        <f t="shared" si="9"/>
        <v>M0112-A-214-2</v>
      </c>
      <c r="H643">
        <v>315.70999999999998</v>
      </c>
      <c r="I643">
        <v>316.39</v>
      </c>
    </row>
    <row r="644" spans="1:9" x14ac:dyDescent="0.3">
      <c r="A644">
        <v>501</v>
      </c>
      <c r="B644" t="s">
        <v>60</v>
      </c>
      <c r="C644" t="s">
        <v>31</v>
      </c>
      <c r="D644">
        <v>215</v>
      </c>
      <c r="E644" t="s">
        <v>34</v>
      </c>
      <c r="F644">
        <v>1</v>
      </c>
      <c r="G644" t="str">
        <f t="shared" si="9"/>
        <v>M0112-A-215-1</v>
      </c>
      <c r="H644">
        <v>315.20999999999998</v>
      </c>
      <c r="I644">
        <v>316.47000000000003</v>
      </c>
    </row>
    <row r="645" spans="1:9" x14ac:dyDescent="0.3">
      <c r="A645">
        <v>501</v>
      </c>
      <c r="B645" t="s">
        <v>60</v>
      </c>
      <c r="C645" t="s">
        <v>31</v>
      </c>
      <c r="D645">
        <v>215</v>
      </c>
      <c r="E645" t="s">
        <v>34</v>
      </c>
      <c r="F645">
        <v>2</v>
      </c>
      <c r="G645" t="str">
        <f t="shared" si="9"/>
        <v>M0112-A-215-2</v>
      </c>
      <c r="H645">
        <v>316.47000000000003</v>
      </c>
      <c r="I645">
        <v>317.02</v>
      </c>
    </row>
    <row r="646" spans="1:9" x14ac:dyDescent="0.3">
      <c r="A646">
        <v>501</v>
      </c>
      <c r="B646" t="s">
        <v>60</v>
      </c>
      <c r="C646" t="s">
        <v>31</v>
      </c>
      <c r="D646">
        <v>216</v>
      </c>
      <c r="E646" t="s">
        <v>34</v>
      </c>
      <c r="F646">
        <v>1</v>
      </c>
      <c r="G646" t="str">
        <f t="shared" si="9"/>
        <v>M0112-A-216-1</v>
      </c>
      <c r="H646">
        <v>317.20999999999998</v>
      </c>
      <c r="I646">
        <v>318.70999999999998</v>
      </c>
    </row>
    <row r="647" spans="1:9" x14ac:dyDescent="0.3">
      <c r="A647">
        <v>501</v>
      </c>
      <c r="B647" t="s">
        <v>60</v>
      </c>
      <c r="C647" t="s">
        <v>31</v>
      </c>
      <c r="D647">
        <v>216</v>
      </c>
      <c r="E647" t="s">
        <v>34</v>
      </c>
      <c r="F647">
        <v>2</v>
      </c>
      <c r="G647" t="str">
        <f t="shared" si="9"/>
        <v>M0112-A-216-2</v>
      </c>
      <c r="H647">
        <v>318.70999999999998</v>
      </c>
      <c r="I647">
        <v>319.66000000000003</v>
      </c>
    </row>
    <row r="648" spans="1:9" x14ac:dyDescent="0.3">
      <c r="A648">
        <v>501</v>
      </c>
      <c r="B648" t="s">
        <v>60</v>
      </c>
      <c r="C648" t="s">
        <v>31</v>
      </c>
      <c r="D648">
        <v>217</v>
      </c>
      <c r="E648" t="s">
        <v>34</v>
      </c>
      <c r="F648">
        <v>1</v>
      </c>
      <c r="G648" t="str">
        <f t="shared" si="9"/>
        <v>M0112-A-217-1</v>
      </c>
      <c r="H648">
        <v>320.20999999999998</v>
      </c>
      <c r="I648">
        <v>321.70999999999998</v>
      </c>
    </row>
    <row r="649" spans="1:9" x14ac:dyDescent="0.3">
      <c r="A649">
        <v>501</v>
      </c>
      <c r="B649" t="s">
        <v>60</v>
      </c>
      <c r="C649" t="s">
        <v>31</v>
      </c>
      <c r="D649">
        <v>217</v>
      </c>
      <c r="E649" t="s">
        <v>34</v>
      </c>
      <c r="F649">
        <v>2</v>
      </c>
      <c r="G649" t="str">
        <f t="shared" si="9"/>
        <v>M0112-A-217-2</v>
      </c>
      <c r="H649">
        <v>321.70999999999998</v>
      </c>
      <c r="I649">
        <v>323.18</v>
      </c>
    </row>
    <row r="650" spans="1:9" x14ac:dyDescent="0.3">
      <c r="A650">
        <v>501</v>
      </c>
      <c r="B650" t="s">
        <v>60</v>
      </c>
      <c r="C650" t="s">
        <v>31</v>
      </c>
      <c r="D650">
        <v>218</v>
      </c>
      <c r="E650" t="s">
        <v>34</v>
      </c>
      <c r="F650">
        <v>1</v>
      </c>
      <c r="G650" t="str">
        <f t="shared" si="9"/>
        <v>M0112-A-218-1</v>
      </c>
      <c r="H650">
        <v>322.20999999999998</v>
      </c>
      <c r="I650">
        <v>323.52999999999997</v>
      </c>
    </row>
    <row r="651" spans="1:9" x14ac:dyDescent="0.3">
      <c r="A651">
        <v>501</v>
      </c>
      <c r="B651" t="s">
        <v>60</v>
      </c>
      <c r="C651" t="s">
        <v>31</v>
      </c>
      <c r="D651">
        <v>218</v>
      </c>
      <c r="E651" t="s">
        <v>34</v>
      </c>
      <c r="F651">
        <v>2</v>
      </c>
      <c r="G651" t="str">
        <f t="shared" si="9"/>
        <v>M0112-A-218-2</v>
      </c>
      <c r="H651">
        <v>322.20999999999998</v>
      </c>
      <c r="I651">
        <v>323.52999999999997</v>
      </c>
    </row>
    <row r="652" spans="1:9" x14ac:dyDescent="0.3">
      <c r="A652">
        <v>501</v>
      </c>
      <c r="B652" t="s">
        <v>60</v>
      </c>
      <c r="C652" t="s">
        <v>31</v>
      </c>
      <c r="D652">
        <v>219</v>
      </c>
      <c r="E652" t="s">
        <v>34</v>
      </c>
      <c r="F652">
        <v>1</v>
      </c>
      <c r="G652" t="str">
        <f t="shared" si="9"/>
        <v>M0112-A-219-1</v>
      </c>
      <c r="H652">
        <v>324.01</v>
      </c>
      <c r="I652">
        <v>324.95999999999998</v>
      </c>
    </row>
    <row r="653" spans="1:9" x14ac:dyDescent="0.3">
      <c r="A653">
        <v>501</v>
      </c>
      <c r="B653" t="s">
        <v>60</v>
      </c>
      <c r="C653" t="s">
        <v>31</v>
      </c>
      <c r="D653">
        <v>219</v>
      </c>
      <c r="E653" t="s">
        <v>34</v>
      </c>
      <c r="F653">
        <v>2</v>
      </c>
      <c r="G653" t="str">
        <f t="shared" si="9"/>
        <v>M0112-A-219-2</v>
      </c>
      <c r="H653">
        <v>324.95999999999998</v>
      </c>
      <c r="I653">
        <v>325.81</v>
      </c>
    </row>
    <row r="654" spans="1:9" x14ac:dyDescent="0.3">
      <c r="A654">
        <v>501</v>
      </c>
      <c r="B654" t="s">
        <v>60</v>
      </c>
      <c r="C654" t="s">
        <v>31</v>
      </c>
      <c r="D654">
        <v>221</v>
      </c>
      <c r="E654" t="s">
        <v>34</v>
      </c>
      <c r="F654">
        <v>1</v>
      </c>
      <c r="G654" t="str">
        <f t="shared" si="9"/>
        <v>M0112-A-221-1</v>
      </c>
      <c r="H654">
        <v>328.21</v>
      </c>
      <c r="I654">
        <v>328.49</v>
      </c>
    </row>
    <row r="655" spans="1:9" x14ac:dyDescent="0.3">
      <c r="A655">
        <v>501</v>
      </c>
      <c r="B655" t="s">
        <v>60</v>
      </c>
      <c r="C655" t="s">
        <v>47</v>
      </c>
      <c r="D655">
        <v>2</v>
      </c>
      <c r="E655" t="s">
        <v>57</v>
      </c>
      <c r="F655">
        <v>1</v>
      </c>
      <c r="G655" t="str">
        <f t="shared" si="9"/>
        <v>M0112-B-2-1</v>
      </c>
      <c r="H655">
        <v>28.22</v>
      </c>
      <c r="I655">
        <v>29.73</v>
      </c>
    </row>
    <row r="656" spans="1:9" x14ac:dyDescent="0.3">
      <c r="A656">
        <v>501</v>
      </c>
      <c r="B656" t="s">
        <v>60</v>
      </c>
      <c r="C656" t="s">
        <v>47</v>
      </c>
      <c r="D656">
        <v>2</v>
      </c>
      <c r="E656" t="s">
        <v>57</v>
      </c>
      <c r="F656">
        <v>2</v>
      </c>
      <c r="G656" t="str">
        <f t="shared" si="9"/>
        <v>M0112-B-2-2</v>
      </c>
      <c r="H656">
        <v>29.73</v>
      </c>
      <c r="I656">
        <v>30.39</v>
      </c>
    </row>
    <row r="657" spans="1:9" x14ac:dyDescent="0.3">
      <c r="A657">
        <v>501</v>
      </c>
      <c r="B657" t="s">
        <v>60</v>
      </c>
      <c r="C657" t="s">
        <v>47</v>
      </c>
      <c r="D657">
        <v>3</v>
      </c>
      <c r="E657" t="s">
        <v>57</v>
      </c>
      <c r="F657">
        <v>1</v>
      </c>
      <c r="G657" t="str">
        <f t="shared" si="9"/>
        <v>M0112-B-3-1</v>
      </c>
      <c r="H657">
        <v>30.39</v>
      </c>
      <c r="I657">
        <v>31.9</v>
      </c>
    </row>
    <row r="658" spans="1:9" x14ac:dyDescent="0.3">
      <c r="A658">
        <v>501</v>
      </c>
      <c r="B658" t="s">
        <v>60</v>
      </c>
      <c r="C658" t="s">
        <v>47</v>
      </c>
      <c r="D658">
        <v>3</v>
      </c>
      <c r="E658" t="s">
        <v>57</v>
      </c>
      <c r="F658">
        <v>2</v>
      </c>
      <c r="G658" t="str">
        <f t="shared" si="9"/>
        <v>M0112-B-3-2</v>
      </c>
      <c r="H658">
        <v>31.9</v>
      </c>
      <c r="I658">
        <v>32.72</v>
      </c>
    </row>
    <row r="659" spans="1:9" x14ac:dyDescent="0.3">
      <c r="A659">
        <v>501</v>
      </c>
      <c r="B659" t="s">
        <v>60</v>
      </c>
      <c r="C659" t="s">
        <v>47</v>
      </c>
      <c r="D659">
        <v>5</v>
      </c>
      <c r="E659" t="s">
        <v>57</v>
      </c>
      <c r="F659">
        <v>1</v>
      </c>
      <c r="G659" t="str">
        <f t="shared" si="9"/>
        <v>M0112-B-5-1</v>
      </c>
      <c r="H659">
        <v>54</v>
      </c>
      <c r="I659">
        <v>55.19</v>
      </c>
    </row>
    <row r="660" spans="1:9" x14ac:dyDescent="0.3">
      <c r="A660">
        <v>501</v>
      </c>
      <c r="B660" t="s">
        <v>60</v>
      </c>
      <c r="C660" t="s">
        <v>47</v>
      </c>
      <c r="D660">
        <v>5</v>
      </c>
      <c r="E660" t="s">
        <v>57</v>
      </c>
      <c r="F660">
        <v>2</v>
      </c>
      <c r="G660" t="str">
        <f t="shared" si="9"/>
        <v>M0112-B-5-2</v>
      </c>
      <c r="H660">
        <v>55.19</v>
      </c>
      <c r="I660">
        <v>55.52</v>
      </c>
    </row>
    <row r="661" spans="1:9" x14ac:dyDescent="0.3">
      <c r="A661">
        <v>501</v>
      </c>
      <c r="B661" t="s">
        <v>60</v>
      </c>
      <c r="C661" t="s">
        <v>47</v>
      </c>
      <c r="D661">
        <v>6</v>
      </c>
      <c r="E661" t="s">
        <v>34</v>
      </c>
      <c r="F661">
        <v>1</v>
      </c>
      <c r="G661" t="str">
        <f t="shared" si="9"/>
        <v>M0112-B-6-1</v>
      </c>
      <c r="H661">
        <v>55.52</v>
      </c>
      <c r="I661">
        <v>56.32</v>
      </c>
    </row>
    <row r="662" spans="1:9" x14ac:dyDescent="0.3">
      <c r="A662">
        <v>501</v>
      </c>
      <c r="B662" t="s">
        <v>60</v>
      </c>
      <c r="C662" t="s">
        <v>47</v>
      </c>
      <c r="D662">
        <v>7</v>
      </c>
      <c r="E662" t="s">
        <v>34</v>
      </c>
      <c r="F662">
        <v>1</v>
      </c>
      <c r="G662" t="str">
        <f t="shared" si="9"/>
        <v>M0112-B-7-1</v>
      </c>
      <c r="H662">
        <v>56.82</v>
      </c>
      <c r="I662">
        <v>57.4</v>
      </c>
    </row>
    <row r="663" spans="1:9" x14ac:dyDescent="0.3">
      <c r="A663">
        <v>501</v>
      </c>
      <c r="B663" t="s">
        <v>60</v>
      </c>
      <c r="C663" t="s">
        <v>47</v>
      </c>
      <c r="D663">
        <v>8</v>
      </c>
      <c r="E663" t="s">
        <v>34</v>
      </c>
      <c r="F663">
        <v>1</v>
      </c>
      <c r="G663" t="str">
        <f t="shared" si="9"/>
        <v>M0112-B-8-1</v>
      </c>
      <c r="H663">
        <v>58.32</v>
      </c>
      <c r="I663">
        <v>58.72</v>
      </c>
    </row>
    <row r="664" spans="1:9" x14ac:dyDescent="0.3">
      <c r="A664">
        <v>501</v>
      </c>
      <c r="B664" t="s">
        <v>60</v>
      </c>
      <c r="C664" t="s">
        <v>47</v>
      </c>
      <c r="D664">
        <v>9</v>
      </c>
      <c r="E664" t="s">
        <v>34</v>
      </c>
      <c r="F664">
        <v>1</v>
      </c>
      <c r="G664" t="str">
        <f t="shared" si="9"/>
        <v>M0112-B-9-1</v>
      </c>
      <c r="H664">
        <v>59.82</v>
      </c>
      <c r="I664">
        <v>60.89</v>
      </c>
    </row>
    <row r="665" spans="1:9" x14ac:dyDescent="0.3">
      <c r="A665">
        <v>501</v>
      </c>
      <c r="B665" t="s">
        <v>60</v>
      </c>
      <c r="C665" t="s">
        <v>47</v>
      </c>
      <c r="D665">
        <v>9</v>
      </c>
      <c r="E665" t="s">
        <v>34</v>
      </c>
      <c r="F665">
        <v>2</v>
      </c>
      <c r="G665" t="str">
        <f t="shared" si="9"/>
        <v>M0112-B-9-2</v>
      </c>
      <c r="H665">
        <v>60.89</v>
      </c>
      <c r="I665">
        <v>61.37</v>
      </c>
    </row>
    <row r="666" spans="1:9" x14ac:dyDescent="0.3">
      <c r="A666">
        <v>501</v>
      </c>
      <c r="B666" t="s">
        <v>60</v>
      </c>
      <c r="C666" t="s">
        <v>47</v>
      </c>
      <c r="D666">
        <v>10</v>
      </c>
      <c r="E666" t="s">
        <v>34</v>
      </c>
      <c r="F666">
        <v>1</v>
      </c>
      <c r="G666" t="str">
        <f t="shared" si="9"/>
        <v>M0112-B-10-1</v>
      </c>
      <c r="H666">
        <v>61.32</v>
      </c>
      <c r="I666">
        <v>62.82</v>
      </c>
    </row>
    <row r="667" spans="1:9" x14ac:dyDescent="0.3">
      <c r="A667">
        <v>501</v>
      </c>
      <c r="B667" t="s">
        <v>60</v>
      </c>
      <c r="C667" t="s">
        <v>47</v>
      </c>
      <c r="D667">
        <v>12</v>
      </c>
      <c r="E667" t="s">
        <v>34</v>
      </c>
      <c r="F667">
        <v>1</v>
      </c>
      <c r="G667" t="str">
        <f t="shared" si="9"/>
        <v>M0112-B-12-1</v>
      </c>
      <c r="H667">
        <v>82</v>
      </c>
      <c r="I667">
        <v>83.48</v>
      </c>
    </row>
    <row r="668" spans="1:9" x14ac:dyDescent="0.3">
      <c r="A668">
        <v>501</v>
      </c>
      <c r="B668" t="s">
        <v>60</v>
      </c>
      <c r="C668" t="s">
        <v>47</v>
      </c>
      <c r="D668">
        <v>13</v>
      </c>
      <c r="E668" t="s">
        <v>34</v>
      </c>
      <c r="F668">
        <v>1</v>
      </c>
      <c r="G668" t="str">
        <f t="shared" si="9"/>
        <v>M0112-B-13-1</v>
      </c>
      <c r="H668">
        <v>83.5</v>
      </c>
      <c r="I668">
        <v>85</v>
      </c>
    </row>
    <row r="669" spans="1:9" x14ac:dyDescent="0.3">
      <c r="A669">
        <v>501</v>
      </c>
      <c r="B669" t="s">
        <v>60</v>
      </c>
      <c r="C669" t="s">
        <v>47</v>
      </c>
      <c r="D669">
        <v>13</v>
      </c>
      <c r="E669" t="s">
        <v>34</v>
      </c>
      <c r="F669">
        <v>2</v>
      </c>
      <c r="G669" t="str">
        <f t="shared" si="9"/>
        <v>M0112-B-13-2</v>
      </c>
      <c r="H669">
        <v>85</v>
      </c>
      <c r="I669">
        <v>86.02</v>
      </c>
    </row>
    <row r="670" spans="1:9" x14ac:dyDescent="0.3">
      <c r="A670">
        <v>501</v>
      </c>
      <c r="B670" t="s">
        <v>60</v>
      </c>
      <c r="C670" t="s">
        <v>47</v>
      </c>
      <c r="D670">
        <v>14</v>
      </c>
      <c r="E670" t="s">
        <v>34</v>
      </c>
      <c r="F670">
        <v>1</v>
      </c>
      <c r="G670" t="str">
        <f t="shared" si="9"/>
        <v>M0112-B-14-1</v>
      </c>
      <c r="H670">
        <v>86.5</v>
      </c>
      <c r="I670">
        <v>87.75</v>
      </c>
    </row>
    <row r="671" spans="1:9" x14ac:dyDescent="0.3">
      <c r="A671">
        <v>501</v>
      </c>
      <c r="B671" t="s">
        <v>60</v>
      </c>
      <c r="C671" t="s">
        <v>47</v>
      </c>
      <c r="D671">
        <v>15</v>
      </c>
      <c r="E671" t="s">
        <v>34</v>
      </c>
      <c r="F671">
        <v>1</v>
      </c>
      <c r="G671" t="str">
        <f t="shared" si="9"/>
        <v>M0112-B-15-1</v>
      </c>
      <c r="H671">
        <v>89.5</v>
      </c>
      <c r="I671">
        <v>91</v>
      </c>
    </row>
    <row r="672" spans="1:9" x14ac:dyDescent="0.3">
      <c r="A672">
        <v>501</v>
      </c>
      <c r="B672" t="s">
        <v>60</v>
      </c>
      <c r="C672" t="s">
        <v>47</v>
      </c>
      <c r="D672">
        <v>15</v>
      </c>
      <c r="E672" t="s">
        <v>34</v>
      </c>
      <c r="F672">
        <v>2</v>
      </c>
      <c r="G672" t="str">
        <f t="shared" si="9"/>
        <v>M0112-B-15-2</v>
      </c>
      <c r="H672">
        <v>91</v>
      </c>
      <c r="I672">
        <v>92.27</v>
      </c>
    </row>
    <row r="673" spans="1:9" x14ac:dyDescent="0.3">
      <c r="A673">
        <v>501</v>
      </c>
      <c r="B673" t="s">
        <v>60</v>
      </c>
      <c r="C673" t="s">
        <v>47</v>
      </c>
      <c r="D673">
        <v>16</v>
      </c>
      <c r="E673" t="s">
        <v>34</v>
      </c>
      <c r="F673">
        <v>1</v>
      </c>
      <c r="G673" t="str">
        <f t="shared" si="9"/>
        <v>M0112-B-16-1</v>
      </c>
      <c r="H673">
        <v>92.5</v>
      </c>
      <c r="I673">
        <v>94</v>
      </c>
    </row>
    <row r="674" spans="1:9" x14ac:dyDescent="0.3">
      <c r="A674">
        <v>501</v>
      </c>
      <c r="B674" t="s">
        <v>60</v>
      </c>
      <c r="C674" t="s">
        <v>47</v>
      </c>
      <c r="D674">
        <v>16</v>
      </c>
      <c r="E674" t="s">
        <v>34</v>
      </c>
      <c r="F674">
        <v>2</v>
      </c>
      <c r="G674" t="str">
        <f t="shared" si="9"/>
        <v>M0112-B-16-2</v>
      </c>
      <c r="H674">
        <v>94</v>
      </c>
      <c r="I674">
        <v>94.91</v>
      </c>
    </row>
    <row r="675" spans="1:9" x14ac:dyDescent="0.3">
      <c r="A675">
        <v>501</v>
      </c>
      <c r="B675" t="s">
        <v>60</v>
      </c>
      <c r="C675" t="s">
        <v>47</v>
      </c>
      <c r="D675">
        <v>17</v>
      </c>
      <c r="E675" t="s">
        <v>34</v>
      </c>
      <c r="F675">
        <v>1</v>
      </c>
      <c r="G675" t="str">
        <f t="shared" si="9"/>
        <v>M0112-B-17-1</v>
      </c>
      <c r="H675">
        <v>95.5</v>
      </c>
      <c r="I675">
        <v>96.91</v>
      </c>
    </row>
    <row r="676" spans="1:9" x14ac:dyDescent="0.3">
      <c r="A676">
        <v>501</v>
      </c>
      <c r="B676" t="s">
        <v>60</v>
      </c>
      <c r="C676" t="s">
        <v>47</v>
      </c>
      <c r="D676">
        <v>18</v>
      </c>
      <c r="E676" t="s">
        <v>34</v>
      </c>
      <c r="F676">
        <v>1</v>
      </c>
      <c r="G676" t="str">
        <f t="shared" si="9"/>
        <v>M0112-B-18-1</v>
      </c>
      <c r="H676">
        <v>98.5</v>
      </c>
      <c r="I676">
        <v>98.82</v>
      </c>
    </row>
    <row r="677" spans="1:9" x14ac:dyDescent="0.3">
      <c r="A677">
        <v>501</v>
      </c>
      <c r="B677" t="s">
        <v>60</v>
      </c>
      <c r="C677" t="s">
        <v>47</v>
      </c>
      <c r="D677">
        <v>19</v>
      </c>
      <c r="E677" t="s">
        <v>34</v>
      </c>
      <c r="F677">
        <v>1</v>
      </c>
      <c r="G677" t="str">
        <f t="shared" si="9"/>
        <v>M0112-B-19-1</v>
      </c>
      <c r="H677">
        <v>101.5</v>
      </c>
      <c r="I677">
        <v>102.11</v>
      </c>
    </row>
    <row r="678" spans="1:9" x14ac:dyDescent="0.3">
      <c r="A678">
        <v>501</v>
      </c>
      <c r="B678" t="s">
        <v>60</v>
      </c>
      <c r="C678" t="s">
        <v>47</v>
      </c>
      <c r="D678">
        <v>19</v>
      </c>
      <c r="E678" t="s">
        <v>34</v>
      </c>
      <c r="F678">
        <v>2</v>
      </c>
      <c r="G678" t="str">
        <f t="shared" si="9"/>
        <v>M0112-B-19-2</v>
      </c>
      <c r="H678">
        <v>102.11</v>
      </c>
      <c r="I678">
        <v>102.55</v>
      </c>
    </row>
    <row r="679" spans="1:9" x14ac:dyDescent="0.3">
      <c r="A679">
        <v>501</v>
      </c>
      <c r="B679" t="s">
        <v>60</v>
      </c>
      <c r="C679" t="s">
        <v>47</v>
      </c>
      <c r="D679">
        <v>20</v>
      </c>
      <c r="E679" t="s">
        <v>34</v>
      </c>
      <c r="F679">
        <v>1</v>
      </c>
      <c r="G679" t="str">
        <f t="shared" si="9"/>
        <v>M0112-B-20-1</v>
      </c>
      <c r="H679">
        <v>103.42</v>
      </c>
      <c r="I679">
        <v>103.6</v>
      </c>
    </row>
    <row r="680" spans="1:9" x14ac:dyDescent="0.3">
      <c r="A680">
        <v>501</v>
      </c>
      <c r="B680" t="s">
        <v>60</v>
      </c>
      <c r="C680" t="s">
        <v>47</v>
      </c>
      <c r="D680">
        <v>21</v>
      </c>
      <c r="E680" t="s">
        <v>34</v>
      </c>
      <c r="F680">
        <v>1</v>
      </c>
      <c r="G680" t="str">
        <f t="shared" si="9"/>
        <v>M0112-B-21-1</v>
      </c>
      <c r="H680">
        <v>104.82</v>
      </c>
      <c r="I680">
        <v>105.06</v>
      </c>
    </row>
    <row r="681" spans="1:9" x14ac:dyDescent="0.3">
      <c r="A681">
        <v>501</v>
      </c>
      <c r="B681" t="s">
        <v>60</v>
      </c>
      <c r="C681" t="s">
        <v>47</v>
      </c>
      <c r="D681">
        <v>22</v>
      </c>
      <c r="E681" t="s">
        <v>34</v>
      </c>
      <c r="F681">
        <v>1</v>
      </c>
      <c r="G681" t="str">
        <f t="shared" si="9"/>
        <v>M0112-B-22-1</v>
      </c>
      <c r="H681">
        <v>107.82</v>
      </c>
      <c r="I681">
        <v>107.93</v>
      </c>
    </row>
    <row r="682" spans="1:9" x14ac:dyDescent="0.3">
      <c r="A682">
        <v>501</v>
      </c>
      <c r="B682" t="s">
        <v>60</v>
      </c>
      <c r="C682" t="s">
        <v>47</v>
      </c>
      <c r="D682">
        <v>24</v>
      </c>
      <c r="E682" t="s">
        <v>34</v>
      </c>
      <c r="F682">
        <v>1</v>
      </c>
      <c r="G682" t="str">
        <f t="shared" si="9"/>
        <v>M0112-B-24-1</v>
      </c>
      <c r="H682">
        <v>110.22</v>
      </c>
      <c r="I682">
        <v>110.77</v>
      </c>
    </row>
    <row r="683" spans="1:9" x14ac:dyDescent="0.3">
      <c r="A683">
        <v>501</v>
      </c>
      <c r="B683" t="s">
        <v>60</v>
      </c>
      <c r="C683" t="s">
        <v>47</v>
      </c>
      <c r="D683">
        <v>25</v>
      </c>
      <c r="E683" t="s">
        <v>59</v>
      </c>
      <c r="F683">
        <v>1</v>
      </c>
      <c r="G683" t="str">
        <f t="shared" si="9"/>
        <v>M0112-B-25-1</v>
      </c>
      <c r="H683">
        <v>80.819999999999993</v>
      </c>
      <c r="I683">
        <v>110.82</v>
      </c>
    </row>
    <row r="684" spans="1:9" x14ac:dyDescent="0.3">
      <c r="A684">
        <v>501</v>
      </c>
      <c r="B684" t="s">
        <v>60</v>
      </c>
      <c r="C684" t="s">
        <v>47</v>
      </c>
      <c r="D684">
        <v>27</v>
      </c>
      <c r="E684" t="s">
        <v>34</v>
      </c>
      <c r="F684">
        <v>1</v>
      </c>
      <c r="G684" t="str">
        <f t="shared" si="9"/>
        <v>M0112-B-27-1</v>
      </c>
      <c r="H684">
        <v>138</v>
      </c>
      <c r="I684">
        <v>139.5</v>
      </c>
    </row>
    <row r="685" spans="1:9" x14ac:dyDescent="0.3">
      <c r="A685">
        <v>501</v>
      </c>
      <c r="B685" t="s">
        <v>60</v>
      </c>
      <c r="C685" t="s">
        <v>47</v>
      </c>
      <c r="D685">
        <v>27</v>
      </c>
      <c r="E685" t="s">
        <v>34</v>
      </c>
      <c r="F685">
        <v>2</v>
      </c>
      <c r="G685" t="str">
        <f t="shared" si="9"/>
        <v>M0112-B-27-2</v>
      </c>
      <c r="H685">
        <v>139.5</v>
      </c>
      <c r="I685">
        <v>140.66</v>
      </c>
    </row>
    <row r="686" spans="1:9" x14ac:dyDescent="0.3">
      <c r="A686">
        <v>501</v>
      </c>
      <c r="B686" t="s">
        <v>60</v>
      </c>
      <c r="C686" t="s">
        <v>47</v>
      </c>
      <c r="D686">
        <v>28</v>
      </c>
      <c r="E686" t="s">
        <v>34</v>
      </c>
      <c r="F686">
        <v>1</v>
      </c>
      <c r="G686" t="str">
        <f t="shared" si="9"/>
        <v>M0112-B-28-1</v>
      </c>
      <c r="H686">
        <v>141</v>
      </c>
      <c r="I686">
        <v>142.5</v>
      </c>
    </row>
    <row r="687" spans="1:9" x14ac:dyDescent="0.3">
      <c r="A687">
        <v>501</v>
      </c>
      <c r="B687" t="s">
        <v>60</v>
      </c>
      <c r="C687" t="s">
        <v>47</v>
      </c>
      <c r="D687">
        <v>28</v>
      </c>
      <c r="E687" t="s">
        <v>34</v>
      </c>
      <c r="F687">
        <v>2</v>
      </c>
      <c r="G687" t="str">
        <f t="shared" si="9"/>
        <v>M0112-B-28-2</v>
      </c>
      <c r="H687">
        <v>142.5</v>
      </c>
      <c r="I687">
        <v>143.5</v>
      </c>
    </row>
    <row r="688" spans="1:9" x14ac:dyDescent="0.3">
      <c r="A688">
        <v>501</v>
      </c>
      <c r="B688" t="s">
        <v>60</v>
      </c>
      <c r="C688" t="s">
        <v>47</v>
      </c>
      <c r="D688">
        <v>28</v>
      </c>
      <c r="E688" t="s">
        <v>34</v>
      </c>
      <c r="F688">
        <v>3</v>
      </c>
      <c r="G688" t="str">
        <f t="shared" si="9"/>
        <v>M0112-B-28-3</v>
      </c>
      <c r="H688">
        <v>143.5</v>
      </c>
      <c r="I688">
        <v>144.13999999999999</v>
      </c>
    </row>
    <row r="689" spans="1:9" x14ac:dyDescent="0.3">
      <c r="A689">
        <v>501</v>
      </c>
      <c r="B689" t="s">
        <v>60</v>
      </c>
      <c r="C689" t="s">
        <v>47</v>
      </c>
      <c r="D689">
        <v>29</v>
      </c>
      <c r="E689" t="s">
        <v>34</v>
      </c>
      <c r="F689">
        <v>1</v>
      </c>
      <c r="G689" t="str">
        <f t="shared" si="9"/>
        <v>M0112-B-29-1</v>
      </c>
      <c r="H689">
        <v>144</v>
      </c>
      <c r="I689">
        <v>145.5</v>
      </c>
    </row>
    <row r="690" spans="1:9" x14ac:dyDescent="0.3">
      <c r="A690">
        <v>501</v>
      </c>
      <c r="B690" t="s">
        <v>60</v>
      </c>
      <c r="C690" t="s">
        <v>47</v>
      </c>
      <c r="D690">
        <v>29</v>
      </c>
      <c r="E690" t="s">
        <v>34</v>
      </c>
      <c r="F690">
        <v>2</v>
      </c>
      <c r="G690" t="str">
        <f t="shared" si="9"/>
        <v>M0112-B-29-2</v>
      </c>
      <c r="H690">
        <v>145.5</v>
      </c>
      <c r="I690">
        <v>146.5</v>
      </c>
    </row>
    <row r="691" spans="1:9" x14ac:dyDescent="0.3">
      <c r="A691">
        <v>501</v>
      </c>
      <c r="B691" t="s">
        <v>60</v>
      </c>
      <c r="C691" t="s">
        <v>47</v>
      </c>
      <c r="D691">
        <v>29</v>
      </c>
      <c r="E691" t="s">
        <v>34</v>
      </c>
      <c r="F691">
        <v>3</v>
      </c>
      <c r="G691" t="str">
        <f t="shared" si="9"/>
        <v>M0112-B-29-3</v>
      </c>
      <c r="H691">
        <v>146.5</v>
      </c>
      <c r="I691">
        <v>147.09</v>
      </c>
    </row>
    <row r="692" spans="1:9" x14ac:dyDescent="0.3">
      <c r="A692">
        <v>501</v>
      </c>
      <c r="B692" t="s">
        <v>60</v>
      </c>
      <c r="C692" t="s">
        <v>47</v>
      </c>
      <c r="D692">
        <v>30</v>
      </c>
      <c r="E692" t="s">
        <v>34</v>
      </c>
      <c r="F692">
        <v>1</v>
      </c>
      <c r="G692" t="str">
        <f t="shared" si="9"/>
        <v>M0112-B-30-1</v>
      </c>
      <c r="H692">
        <v>147</v>
      </c>
      <c r="I692">
        <v>148.5</v>
      </c>
    </row>
    <row r="693" spans="1:9" x14ac:dyDescent="0.3">
      <c r="A693">
        <v>501</v>
      </c>
      <c r="B693" t="s">
        <v>60</v>
      </c>
      <c r="C693" t="s">
        <v>47</v>
      </c>
      <c r="D693">
        <v>30</v>
      </c>
      <c r="E693" t="s">
        <v>34</v>
      </c>
      <c r="F693">
        <v>2</v>
      </c>
      <c r="G693" t="str">
        <f t="shared" si="9"/>
        <v>M0112-B-30-2</v>
      </c>
      <c r="H693">
        <v>148.5</v>
      </c>
      <c r="I693">
        <v>149.54</v>
      </c>
    </row>
    <row r="694" spans="1:9" x14ac:dyDescent="0.3">
      <c r="A694">
        <v>501</v>
      </c>
      <c r="B694" t="s">
        <v>60</v>
      </c>
      <c r="C694" t="s">
        <v>47</v>
      </c>
      <c r="D694">
        <v>31</v>
      </c>
      <c r="E694" t="s">
        <v>34</v>
      </c>
      <c r="F694">
        <v>1</v>
      </c>
      <c r="G694" t="str">
        <f t="shared" si="9"/>
        <v>M0112-B-31-1</v>
      </c>
      <c r="H694">
        <v>149.37</v>
      </c>
      <c r="I694">
        <v>150.37</v>
      </c>
    </row>
    <row r="695" spans="1:9" x14ac:dyDescent="0.3">
      <c r="A695">
        <v>501</v>
      </c>
      <c r="B695" t="s">
        <v>60</v>
      </c>
      <c r="C695" t="s">
        <v>47</v>
      </c>
      <c r="D695">
        <v>31</v>
      </c>
      <c r="E695" t="s">
        <v>34</v>
      </c>
      <c r="F695">
        <v>2</v>
      </c>
      <c r="G695" t="str">
        <f t="shared" si="9"/>
        <v>M0112-B-31-2</v>
      </c>
      <c r="H695">
        <v>150.37</v>
      </c>
      <c r="I695">
        <v>150.91999999999999</v>
      </c>
    </row>
    <row r="696" spans="1:9" x14ac:dyDescent="0.3">
      <c r="A696">
        <v>501</v>
      </c>
      <c r="B696" t="s">
        <v>60</v>
      </c>
      <c r="C696" t="s">
        <v>47</v>
      </c>
      <c r="D696">
        <v>35</v>
      </c>
      <c r="E696" t="s">
        <v>34</v>
      </c>
      <c r="F696">
        <v>1</v>
      </c>
      <c r="G696" t="str">
        <f t="shared" ref="G696:G759" si="10">CONCATENATE(B696, "-",C696, "-", D696, "-", F696)</f>
        <v>M0112-B-35-1</v>
      </c>
      <c r="H696">
        <v>200</v>
      </c>
      <c r="I696">
        <v>200.27</v>
      </c>
    </row>
    <row r="697" spans="1:9" x14ac:dyDescent="0.3">
      <c r="A697">
        <v>501</v>
      </c>
      <c r="B697" t="s">
        <v>60</v>
      </c>
      <c r="C697" t="s">
        <v>47</v>
      </c>
      <c r="D697">
        <v>36</v>
      </c>
      <c r="E697" t="s">
        <v>34</v>
      </c>
      <c r="F697">
        <v>1</v>
      </c>
      <c r="G697" t="str">
        <f t="shared" si="10"/>
        <v>M0112-B-36-1</v>
      </c>
      <c r="H697">
        <v>201.82</v>
      </c>
      <c r="I697">
        <v>201.97</v>
      </c>
    </row>
    <row r="698" spans="1:9" x14ac:dyDescent="0.3">
      <c r="A698">
        <v>501</v>
      </c>
      <c r="B698" t="s">
        <v>60</v>
      </c>
      <c r="C698" t="s">
        <v>47</v>
      </c>
      <c r="D698">
        <v>37</v>
      </c>
      <c r="E698" t="s">
        <v>34</v>
      </c>
      <c r="F698">
        <v>1</v>
      </c>
      <c r="G698" t="str">
        <f t="shared" si="10"/>
        <v>M0112-B-37-1</v>
      </c>
      <c r="H698">
        <v>203.32</v>
      </c>
      <c r="I698">
        <v>203.77</v>
      </c>
    </row>
    <row r="699" spans="1:9" x14ac:dyDescent="0.3">
      <c r="A699">
        <v>501</v>
      </c>
      <c r="B699" t="s">
        <v>60</v>
      </c>
      <c r="C699" t="s">
        <v>47</v>
      </c>
      <c r="D699">
        <v>39</v>
      </c>
      <c r="E699" t="s">
        <v>34</v>
      </c>
      <c r="F699">
        <v>1</v>
      </c>
      <c r="G699" t="str">
        <f t="shared" si="10"/>
        <v>M0112-B-39-1</v>
      </c>
      <c r="H699">
        <v>230.32</v>
      </c>
      <c r="I699">
        <v>231.39</v>
      </c>
    </row>
    <row r="700" spans="1:9" x14ac:dyDescent="0.3">
      <c r="A700">
        <v>501</v>
      </c>
      <c r="B700" t="s">
        <v>60</v>
      </c>
      <c r="C700" t="s">
        <v>47</v>
      </c>
      <c r="D700">
        <v>40</v>
      </c>
      <c r="E700" t="s">
        <v>34</v>
      </c>
      <c r="F700">
        <v>1</v>
      </c>
      <c r="G700" t="str">
        <f t="shared" si="10"/>
        <v>M0112-B-40-1</v>
      </c>
      <c r="H700">
        <v>231.82</v>
      </c>
      <c r="I700">
        <v>232.72</v>
      </c>
    </row>
    <row r="701" spans="1:9" x14ac:dyDescent="0.3">
      <c r="A701">
        <v>501</v>
      </c>
      <c r="B701" t="s">
        <v>60</v>
      </c>
      <c r="C701" t="s">
        <v>47</v>
      </c>
      <c r="D701">
        <v>40</v>
      </c>
      <c r="E701" t="s">
        <v>34</v>
      </c>
      <c r="F701">
        <v>2</v>
      </c>
      <c r="G701" t="str">
        <f t="shared" si="10"/>
        <v>M0112-B-40-2</v>
      </c>
      <c r="H701">
        <v>232.72</v>
      </c>
      <c r="I701">
        <v>232.79</v>
      </c>
    </row>
    <row r="702" spans="1:9" x14ac:dyDescent="0.3">
      <c r="A702">
        <v>501</v>
      </c>
      <c r="B702" t="s">
        <v>60</v>
      </c>
      <c r="C702" t="s">
        <v>47</v>
      </c>
      <c r="D702">
        <v>41</v>
      </c>
      <c r="E702" t="s">
        <v>34</v>
      </c>
      <c r="F702">
        <v>1</v>
      </c>
      <c r="G702" t="str">
        <f t="shared" si="10"/>
        <v>M0112-B-41-1</v>
      </c>
      <c r="H702">
        <v>234.82</v>
      </c>
      <c r="I702">
        <v>235.7</v>
      </c>
    </row>
    <row r="703" spans="1:9" x14ac:dyDescent="0.3">
      <c r="A703">
        <v>501</v>
      </c>
      <c r="B703" t="s">
        <v>60</v>
      </c>
      <c r="C703" t="s">
        <v>47</v>
      </c>
      <c r="D703">
        <v>41</v>
      </c>
      <c r="E703" t="s">
        <v>34</v>
      </c>
      <c r="F703">
        <v>2</v>
      </c>
      <c r="G703" t="str">
        <f t="shared" si="10"/>
        <v>M0112-B-41-2</v>
      </c>
      <c r="H703">
        <v>235.7</v>
      </c>
      <c r="I703">
        <v>236.25</v>
      </c>
    </row>
    <row r="704" spans="1:9" x14ac:dyDescent="0.3">
      <c r="A704">
        <v>501</v>
      </c>
      <c r="B704" t="s">
        <v>60</v>
      </c>
      <c r="C704" t="s">
        <v>47</v>
      </c>
      <c r="D704">
        <v>42</v>
      </c>
      <c r="E704" t="s">
        <v>34</v>
      </c>
      <c r="F704">
        <v>1</v>
      </c>
      <c r="G704" t="str">
        <f t="shared" si="10"/>
        <v>M0112-B-42-1</v>
      </c>
      <c r="H704">
        <v>236.32</v>
      </c>
      <c r="I704">
        <v>236.93</v>
      </c>
    </row>
    <row r="705" spans="1:9" x14ac:dyDescent="0.3">
      <c r="A705">
        <v>501</v>
      </c>
      <c r="B705" t="s">
        <v>60</v>
      </c>
      <c r="C705" t="s">
        <v>47</v>
      </c>
      <c r="D705">
        <v>42</v>
      </c>
      <c r="E705" t="s">
        <v>34</v>
      </c>
      <c r="F705">
        <v>2</v>
      </c>
      <c r="G705" t="str">
        <f t="shared" si="10"/>
        <v>M0112-B-42-2</v>
      </c>
      <c r="H705">
        <v>236.93</v>
      </c>
      <c r="I705">
        <v>237.05</v>
      </c>
    </row>
    <row r="706" spans="1:9" x14ac:dyDescent="0.3">
      <c r="A706">
        <v>501</v>
      </c>
      <c r="B706" t="s">
        <v>60</v>
      </c>
      <c r="C706" t="s">
        <v>47</v>
      </c>
      <c r="D706">
        <v>43</v>
      </c>
      <c r="E706" t="s">
        <v>34</v>
      </c>
      <c r="F706">
        <v>1</v>
      </c>
      <c r="G706" t="str">
        <f t="shared" si="10"/>
        <v>M0112-B-43-1</v>
      </c>
      <c r="H706">
        <v>237.82</v>
      </c>
      <c r="I706">
        <v>238.9</v>
      </c>
    </row>
    <row r="707" spans="1:9" x14ac:dyDescent="0.3">
      <c r="A707">
        <v>501</v>
      </c>
      <c r="B707" t="s">
        <v>60</v>
      </c>
      <c r="C707" t="s">
        <v>47</v>
      </c>
      <c r="D707">
        <v>44</v>
      </c>
      <c r="E707" t="s">
        <v>34</v>
      </c>
      <c r="F707">
        <v>1</v>
      </c>
      <c r="G707" t="str">
        <f t="shared" si="10"/>
        <v>M0112-B-44-1</v>
      </c>
      <c r="H707">
        <v>239.32</v>
      </c>
      <c r="I707">
        <v>240.44</v>
      </c>
    </row>
    <row r="708" spans="1:9" x14ac:dyDescent="0.3">
      <c r="A708">
        <v>501</v>
      </c>
      <c r="B708" t="s">
        <v>60</v>
      </c>
      <c r="C708" t="s">
        <v>47</v>
      </c>
      <c r="D708">
        <v>45</v>
      </c>
      <c r="E708" t="s">
        <v>34</v>
      </c>
      <c r="F708">
        <v>1</v>
      </c>
      <c r="G708" t="str">
        <f t="shared" si="10"/>
        <v>M0112-B-45-1</v>
      </c>
      <c r="H708">
        <v>240.82</v>
      </c>
      <c r="I708">
        <v>242.06</v>
      </c>
    </row>
    <row r="709" spans="1:9" x14ac:dyDescent="0.3">
      <c r="A709">
        <v>501</v>
      </c>
      <c r="B709" t="s">
        <v>60</v>
      </c>
      <c r="C709" t="s">
        <v>47</v>
      </c>
      <c r="D709">
        <v>46</v>
      </c>
      <c r="E709" t="s">
        <v>34</v>
      </c>
      <c r="F709">
        <v>1</v>
      </c>
      <c r="G709" t="str">
        <f t="shared" si="10"/>
        <v>M0112-B-46-1</v>
      </c>
      <c r="H709">
        <v>242.32</v>
      </c>
      <c r="I709">
        <v>243.75</v>
      </c>
    </row>
    <row r="710" spans="1:9" x14ac:dyDescent="0.3">
      <c r="A710">
        <v>501</v>
      </c>
      <c r="B710" t="s">
        <v>60</v>
      </c>
      <c r="C710" t="s">
        <v>47</v>
      </c>
      <c r="D710">
        <v>47</v>
      </c>
      <c r="E710" t="s">
        <v>34</v>
      </c>
      <c r="F710">
        <v>1</v>
      </c>
      <c r="G710" t="str">
        <f t="shared" si="10"/>
        <v>M0112-B-47-1</v>
      </c>
      <c r="H710">
        <v>243.82</v>
      </c>
      <c r="I710">
        <v>243.93</v>
      </c>
    </row>
    <row r="711" spans="1:9" x14ac:dyDescent="0.3">
      <c r="A711">
        <v>501</v>
      </c>
      <c r="B711" t="s">
        <v>60</v>
      </c>
      <c r="C711" t="s">
        <v>47</v>
      </c>
      <c r="D711">
        <v>48</v>
      </c>
      <c r="E711" t="s">
        <v>34</v>
      </c>
      <c r="F711">
        <v>1</v>
      </c>
      <c r="G711" t="str">
        <f t="shared" si="10"/>
        <v>M0112-B-48-1</v>
      </c>
      <c r="H711">
        <v>245.32</v>
      </c>
      <c r="I711">
        <v>245.45</v>
      </c>
    </row>
    <row r="712" spans="1:9" x14ac:dyDescent="0.3">
      <c r="A712">
        <v>501</v>
      </c>
      <c r="B712" t="s">
        <v>60</v>
      </c>
      <c r="C712" t="s">
        <v>47</v>
      </c>
      <c r="D712">
        <v>49</v>
      </c>
      <c r="E712" t="s">
        <v>34</v>
      </c>
      <c r="F712">
        <v>1</v>
      </c>
      <c r="G712" t="str">
        <f t="shared" si="10"/>
        <v>M0112-B-49-1</v>
      </c>
      <c r="H712">
        <v>246.82</v>
      </c>
      <c r="I712">
        <v>248.32</v>
      </c>
    </row>
    <row r="713" spans="1:9" x14ac:dyDescent="0.3">
      <c r="A713">
        <v>501</v>
      </c>
      <c r="B713" t="s">
        <v>60</v>
      </c>
      <c r="C713" t="s">
        <v>47</v>
      </c>
      <c r="D713">
        <v>49</v>
      </c>
      <c r="E713" t="s">
        <v>34</v>
      </c>
      <c r="F713">
        <v>2</v>
      </c>
      <c r="G713" t="str">
        <f t="shared" si="10"/>
        <v>M0112-B-49-2</v>
      </c>
      <c r="H713">
        <v>248.32</v>
      </c>
      <c r="I713">
        <v>248.77</v>
      </c>
    </row>
    <row r="714" spans="1:9" x14ac:dyDescent="0.3">
      <c r="A714">
        <v>501</v>
      </c>
      <c r="B714" t="s">
        <v>60</v>
      </c>
      <c r="C714" t="s">
        <v>47</v>
      </c>
      <c r="D714">
        <v>49</v>
      </c>
      <c r="E714" t="s">
        <v>34</v>
      </c>
      <c r="F714">
        <v>3</v>
      </c>
      <c r="G714" t="str">
        <f t="shared" si="10"/>
        <v>M0112-B-49-3</v>
      </c>
      <c r="H714">
        <v>248.77</v>
      </c>
      <c r="I714">
        <v>248.85</v>
      </c>
    </row>
    <row r="715" spans="1:9" x14ac:dyDescent="0.3">
      <c r="A715">
        <v>501</v>
      </c>
      <c r="B715" t="s">
        <v>60</v>
      </c>
      <c r="C715" t="s">
        <v>47</v>
      </c>
      <c r="D715">
        <v>50</v>
      </c>
      <c r="E715" t="s">
        <v>34</v>
      </c>
      <c r="F715">
        <v>1</v>
      </c>
      <c r="G715" t="str">
        <f t="shared" si="10"/>
        <v>M0112-B-50-1</v>
      </c>
      <c r="H715">
        <v>249.82</v>
      </c>
      <c r="I715">
        <v>250.24</v>
      </c>
    </row>
    <row r="716" spans="1:9" x14ac:dyDescent="0.3">
      <c r="A716">
        <v>501</v>
      </c>
      <c r="B716" t="s">
        <v>60</v>
      </c>
      <c r="C716" t="s">
        <v>47</v>
      </c>
      <c r="D716">
        <v>51</v>
      </c>
      <c r="E716" t="s">
        <v>34</v>
      </c>
      <c r="F716">
        <v>1</v>
      </c>
      <c r="G716" t="str">
        <f t="shared" si="10"/>
        <v>M0112-B-51-1</v>
      </c>
      <c r="H716">
        <v>250.82</v>
      </c>
      <c r="I716">
        <v>251.11</v>
      </c>
    </row>
    <row r="717" spans="1:9" x14ac:dyDescent="0.3">
      <c r="A717">
        <v>501</v>
      </c>
      <c r="B717" t="s">
        <v>60</v>
      </c>
      <c r="C717" t="s">
        <v>47</v>
      </c>
      <c r="D717">
        <v>52</v>
      </c>
      <c r="E717" t="s">
        <v>34</v>
      </c>
      <c r="F717">
        <v>1</v>
      </c>
      <c r="G717" t="str">
        <f t="shared" si="10"/>
        <v>M0112-B-52-1</v>
      </c>
      <c r="H717">
        <v>252.82</v>
      </c>
      <c r="I717">
        <v>252.98</v>
      </c>
    </row>
    <row r="718" spans="1:9" x14ac:dyDescent="0.3">
      <c r="A718">
        <v>501</v>
      </c>
      <c r="B718" t="s">
        <v>60</v>
      </c>
      <c r="C718" t="s">
        <v>47</v>
      </c>
      <c r="D718">
        <v>53</v>
      </c>
      <c r="E718" t="s">
        <v>34</v>
      </c>
      <c r="F718">
        <v>1</v>
      </c>
      <c r="G718" t="str">
        <f t="shared" si="10"/>
        <v>M0112-B-53-1</v>
      </c>
      <c r="H718">
        <v>254.42</v>
      </c>
      <c r="I718">
        <v>254.54</v>
      </c>
    </row>
    <row r="719" spans="1:9" x14ac:dyDescent="0.3">
      <c r="A719">
        <v>501</v>
      </c>
      <c r="B719" t="s">
        <v>60</v>
      </c>
      <c r="C719" t="s">
        <v>47</v>
      </c>
      <c r="D719">
        <v>54</v>
      </c>
      <c r="E719" t="s">
        <v>59</v>
      </c>
      <c r="F719">
        <v>1</v>
      </c>
      <c r="G719" t="str">
        <f t="shared" si="10"/>
        <v>M0112-B-54-1</v>
      </c>
      <c r="H719">
        <v>235.82</v>
      </c>
      <c r="I719">
        <v>255.82</v>
      </c>
    </row>
    <row r="720" spans="1:9" x14ac:dyDescent="0.3">
      <c r="A720">
        <v>501</v>
      </c>
      <c r="B720" t="s">
        <v>60</v>
      </c>
      <c r="C720" t="s">
        <v>47</v>
      </c>
      <c r="D720">
        <v>56</v>
      </c>
      <c r="E720" t="s">
        <v>34</v>
      </c>
      <c r="F720">
        <v>1</v>
      </c>
      <c r="G720" t="str">
        <f t="shared" si="10"/>
        <v>M0112-B-56-1</v>
      </c>
      <c r="H720">
        <v>321.82</v>
      </c>
      <c r="I720">
        <v>322.83</v>
      </c>
    </row>
    <row r="721" spans="1:9" x14ac:dyDescent="0.3">
      <c r="A721">
        <v>501</v>
      </c>
      <c r="B721" t="s">
        <v>60</v>
      </c>
      <c r="C721" t="s">
        <v>47</v>
      </c>
      <c r="D721">
        <v>56</v>
      </c>
      <c r="E721" t="s">
        <v>34</v>
      </c>
      <c r="F721">
        <v>2</v>
      </c>
      <c r="G721" t="str">
        <f t="shared" si="10"/>
        <v>M0112-B-56-2</v>
      </c>
      <c r="H721">
        <v>322.83</v>
      </c>
      <c r="I721">
        <v>323.5</v>
      </c>
    </row>
    <row r="722" spans="1:9" x14ac:dyDescent="0.3">
      <c r="A722">
        <v>501</v>
      </c>
      <c r="B722" t="s">
        <v>60</v>
      </c>
      <c r="C722" t="s">
        <v>47</v>
      </c>
      <c r="D722">
        <v>56</v>
      </c>
      <c r="E722" t="s">
        <v>34</v>
      </c>
      <c r="F722">
        <v>3</v>
      </c>
      <c r="G722" t="str">
        <f t="shared" si="10"/>
        <v>M0112-B-56-3</v>
      </c>
      <c r="H722">
        <v>323.5</v>
      </c>
      <c r="I722">
        <v>323.70999999999998</v>
      </c>
    </row>
    <row r="723" spans="1:9" x14ac:dyDescent="0.3">
      <c r="A723">
        <v>501</v>
      </c>
      <c r="B723" t="s">
        <v>60</v>
      </c>
      <c r="C723" t="s">
        <v>47</v>
      </c>
      <c r="D723">
        <v>57</v>
      </c>
      <c r="E723" t="s">
        <v>34</v>
      </c>
      <c r="F723">
        <v>1</v>
      </c>
      <c r="G723" t="str">
        <f t="shared" si="10"/>
        <v>M0112-B-57-1</v>
      </c>
      <c r="H723">
        <v>323.62</v>
      </c>
      <c r="I723">
        <v>324.13</v>
      </c>
    </row>
    <row r="724" spans="1:9" x14ac:dyDescent="0.3">
      <c r="A724">
        <v>501</v>
      </c>
      <c r="B724" t="s">
        <v>60</v>
      </c>
      <c r="C724" t="s">
        <v>47</v>
      </c>
      <c r="D724">
        <v>57</v>
      </c>
      <c r="E724" t="s">
        <v>34</v>
      </c>
      <c r="F724">
        <v>2</v>
      </c>
      <c r="G724" t="str">
        <f t="shared" si="10"/>
        <v>M0112-B-57-2</v>
      </c>
      <c r="H724">
        <v>324.13</v>
      </c>
      <c r="I724">
        <v>324.55</v>
      </c>
    </row>
    <row r="725" spans="1:9" x14ac:dyDescent="0.3">
      <c r="A725">
        <v>501</v>
      </c>
      <c r="B725" t="s">
        <v>60</v>
      </c>
      <c r="C725" t="s">
        <v>47</v>
      </c>
      <c r="D725">
        <v>58</v>
      </c>
      <c r="E725" t="s">
        <v>34</v>
      </c>
      <c r="F725">
        <v>1</v>
      </c>
      <c r="G725" t="str">
        <f t="shared" si="10"/>
        <v>M0112-B-58-1</v>
      </c>
      <c r="H725">
        <v>324.82</v>
      </c>
      <c r="I725">
        <v>325.70999999999998</v>
      </c>
    </row>
    <row r="726" spans="1:9" x14ac:dyDescent="0.3">
      <c r="A726">
        <v>501</v>
      </c>
      <c r="B726" t="s">
        <v>60</v>
      </c>
      <c r="C726" t="s">
        <v>47</v>
      </c>
      <c r="D726">
        <v>59</v>
      </c>
      <c r="E726" t="s">
        <v>34</v>
      </c>
      <c r="F726">
        <v>1</v>
      </c>
      <c r="G726" t="str">
        <f t="shared" si="10"/>
        <v>M0112-B-59-1</v>
      </c>
      <c r="H726">
        <v>327.82</v>
      </c>
      <c r="I726">
        <v>327.91</v>
      </c>
    </row>
    <row r="727" spans="1:9" x14ac:dyDescent="0.3">
      <c r="A727">
        <v>501</v>
      </c>
      <c r="B727" t="s">
        <v>60</v>
      </c>
      <c r="C727" t="s">
        <v>47</v>
      </c>
      <c r="D727">
        <v>60</v>
      </c>
      <c r="E727" t="s">
        <v>34</v>
      </c>
      <c r="F727">
        <v>1</v>
      </c>
      <c r="G727" t="str">
        <f t="shared" si="10"/>
        <v>M0112-B-60-1</v>
      </c>
      <c r="H727">
        <v>329.32</v>
      </c>
      <c r="I727">
        <v>329.33</v>
      </c>
    </row>
    <row r="728" spans="1:9" x14ac:dyDescent="0.3">
      <c r="A728">
        <v>501</v>
      </c>
      <c r="B728" t="s">
        <v>60</v>
      </c>
      <c r="C728" t="s">
        <v>47</v>
      </c>
      <c r="D728">
        <v>61</v>
      </c>
      <c r="E728" t="s">
        <v>34</v>
      </c>
      <c r="F728">
        <v>1</v>
      </c>
      <c r="G728" t="str">
        <f t="shared" si="10"/>
        <v>M0112-B-61-1</v>
      </c>
      <c r="H728">
        <v>330.82</v>
      </c>
      <c r="I728">
        <v>331.44</v>
      </c>
    </row>
    <row r="729" spans="1:9" x14ac:dyDescent="0.3">
      <c r="A729">
        <v>501</v>
      </c>
      <c r="B729" t="s">
        <v>60</v>
      </c>
      <c r="C729" t="s">
        <v>47</v>
      </c>
      <c r="D729">
        <v>63</v>
      </c>
      <c r="E729" t="s">
        <v>34</v>
      </c>
      <c r="F729">
        <v>1</v>
      </c>
      <c r="G729" t="str">
        <f t="shared" si="10"/>
        <v>M0112-B-63-1</v>
      </c>
      <c r="H729">
        <v>333.82</v>
      </c>
      <c r="I729">
        <v>334.66</v>
      </c>
    </row>
    <row r="730" spans="1:9" x14ac:dyDescent="0.3">
      <c r="A730">
        <v>501</v>
      </c>
      <c r="B730" t="s">
        <v>60</v>
      </c>
      <c r="C730" t="s">
        <v>47</v>
      </c>
      <c r="D730">
        <v>64</v>
      </c>
      <c r="E730" t="s">
        <v>34</v>
      </c>
      <c r="F730">
        <v>1</v>
      </c>
      <c r="G730" t="str">
        <f t="shared" si="10"/>
        <v>M0112-B-64-1</v>
      </c>
      <c r="H730">
        <v>335.32</v>
      </c>
      <c r="I730">
        <v>336.25</v>
      </c>
    </row>
    <row r="731" spans="1:9" x14ac:dyDescent="0.3">
      <c r="A731">
        <v>501</v>
      </c>
      <c r="B731" t="s">
        <v>60</v>
      </c>
      <c r="C731" t="s">
        <v>47</v>
      </c>
      <c r="D731">
        <v>65</v>
      </c>
      <c r="E731" t="s">
        <v>34</v>
      </c>
      <c r="F731">
        <v>1</v>
      </c>
      <c r="G731" t="str">
        <f t="shared" si="10"/>
        <v>M0112-B-65-1</v>
      </c>
      <c r="H731">
        <v>336.82</v>
      </c>
      <c r="I731">
        <v>337.82</v>
      </c>
    </row>
    <row r="732" spans="1:9" x14ac:dyDescent="0.3">
      <c r="A732">
        <v>501</v>
      </c>
      <c r="B732" t="s">
        <v>61</v>
      </c>
      <c r="C732" t="s">
        <v>31</v>
      </c>
      <c r="D732">
        <v>1</v>
      </c>
      <c r="E732" t="s">
        <v>57</v>
      </c>
      <c r="F732">
        <v>1</v>
      </c>
      <c r="G732" t="str">
        <f t="shared" si="10"/>
        <v>M0113-A-1-1</v>
      </c>
      <c r="H732">
        <v>0</v>
      </c>
      <c r="I732">
        <v>1.5</v>
      </c>
    </row>
    <row r="733" spans="1:9" x14ac:dyDescent="0.3">
      <c r="A733">
        <v>501</v>
      </c>
      <c r="B733" t="s">
        <v>61</v>
      </c>
      <c r="C733" t="s">
        <v>31</v>
      </c>
      <c r="D733">
        <v>1</v>
      </c>
      <c r="E733" t="s">
        <v>57</v>
      </c>
      <c r="F733">
        <v>2</v>
      </c>
      <c r="G733" t="str">
        <f t="shared" si="10"/>
        <v>M0113-A-1-2</v>
      </c>
      <c r="H733">
        <v>1.5</v>
      </c>
      <c r="I733">
        <v>2.9</v>
      </c>
    </row>
    <row r="734" spans="1:9" x14ac:dyDescent="0.3">
      <c r="A734">
        <v>501</v>
      </c>
      <c r="B734" t="s">
        <v>61</v>
      </c>
      <c r="C734" t="s">
        <v>31</v>
      </c>
      <c r="D734">
        <v>2</v>
      </c>
      <c r="E734" t="s">
        <v>57</v>
      </c>
      <c r="F734">
        <v>1</v>
      </c>
      <c r="G734" t="str">
        <f t="shared" si="10"/>
        <v>M0113-A-2-1</v>
      </c>
      <c r="H734">
        <v>2.9</v>
      </c>
      <c r="I734">
        <v>4.4000000000000004</v>
      </c>
    </row>
    <row r="735" spans="1:9" x14ac:dyDescent="0.3">
      <c r="A735">
        <v>501</v>
      </c>
      <c r="B735" t="s">
        <v>61</v>
      </c>
      <c r="C735" t="s">
        <v>31</v>
      </c>
      <c r="D735">
        <v>2</v>
      </c>
      <c r="E735" t="s">
        <v>57</v>
      </c>
      <c r="F735">
        <v>2</v>
      </c>
      <c r="G735" t="str">
        <f t="shared" si="10"/>
        <v>M0113-A-2-2</v>
      </c>
      <c r="H735">
        <v>4.4000000000000004</v>
      </c>
      <c r="I735">
        <v>5.3</v>
      </c>
    </row>
    <row r="736" spans="1:9" x14ac:dyDescent="0.3">
      <c r="A736">
        <v>501</v>
      </c>
      <c r="B736" t="s">
        <v>61</v>
      </c>
      <c r="C736" t="s">
        <v>31</v>
      </c>
      <c r="D736">
        <v>3</v>
      </c>
      <c r="E736" t="s">
        <v>57</v>
      </c>
      <c r="F736">
        <v>1</v>
      </c>
      <c r="G736" t="str">
        <f t="shared" si="10"/>
        <v>M0113-A-3-1</v>
      </c>
      <c r="H736">
        <v>5.3</v>
      </c>
      <c r="I736">
        <v>6.8</v>
      </c>
    </row>
    <row r="737" spans="1:9" x14ac:dyDescent="0.3">
      <c r="A737">
        <v>501</v>
      </c>
      <c r="B737" t="s">
        <v>61</v>
      </c>
      <c r="C737" t="s">
        <v>31</v>
      </c>
      <c r="D737">
        <v>3</v>
      </c>
      <c r="E737" t="s">
        <v>57</v>
      </c>
      <c r="F737">
        <v>2</v>
      </c>
      <c r="G737" t="str">
        <f t="shared" si="10"/>
        <v>M0113-A-3-2</v>
      </c>
      <c r="H737">
        <v>6.8</v>
      </c>
      <c r="I737">
        <v>8</v>
      </c>
    </row>
    <row r="738" spans="1:9" x14ac:dyDescent="0.3">
      <c r="A738">
        <v>501</v>
      </c>
      <c r="B738" t="s">
        <v>61</v>
      </c>
      <c r="C738" t="s">
        <v>31</v>
      </c>
      <c r="D738">
        <v>4</v>
      </c>
      <c r="E738" t="s">
        <v>57</v>
      </c>
      <c r="F738">
        <v>1</v>
      </c>
      <c r="G738" t="str">
        <f t="shared" si="10"/>
        <v>M0113-A-4-1</v>
      </c>
      <c r="H738">
        <v>8</v>
      </c>
      <c r="I738">
        <v>9.5</v>
      </c>
    </row>
    <row r="739" spans="1:9" x14ac:dyDescent="0.3">
      <c r="A739">
        <v>501</v>
      </c>
      <c r="B739" t="s">
        <v>61</v>
      </c>
      <c r="C739" t="s">
        <v>31</v>
      </c>
      <c r="D739">
        <v>4</v>
      </c>
      <c r="E739" t="s">
        <v>57</v>
      </c>
      <c r="F739">
        <v>2</v>
      </c>
      <c r="G739" t="str">
        <f t="shared" si="10"/>
        <v>M0113-A-4-2</v>
      </c>
      <c r="H739">
        <v>9.5</v>
      </c>
      <c r="I739">
        <v>10.5</v>
      </c>
    </row>
    <row r="740" spans="1:9" x14ac:dyDescent="0.3">
      <c r="A740">
        <v>501</v>
      </c>
      <c r="B740" t="s">
        <v>61</v>
      </c>
      <c r="C740" t="s">
        <v>31</v>
      </c>
      <c r="D740">
        <v>5</v>
      </c>
      <c r="E740" t="s">
        <v>57</v>
      </c>
      <c r="F740">
        <v>1</v>
      </c>
      <c r="G740" t="str">
        <f t="shared" si="10"/>
        <v>M0113-A-5-1</v>
      </c>
      <c r="H740">
        <v>10.5</v>
      </c>
      <c r="I740">
        <v>11</v>
      </c>
    </row>
    <row r="741" spans="1:9" x14ac:dyDescent="0.3">
      <c r="A741">
        <v>501</v>
      </c>
      <c r="B741" t="s">
        <v>61</v>
      </c>
      <c r="C741" t="s">
        <v>31</v>
      </c>
      <c r="D741">
        <v>6</v>
      </c>
      <c r="E741" t="s">
        <v>57</v>
      </c>
      <c r="F741">
        <v>1</v>
      </c>
      <c r="G741" t="str">
        <f t="shared" si="10"/>
        <v>M0113-A-6-1</v>
      </c>
      <c r="H741">
        <v>11</v>
      </c>
      <c r="I741">
        <v>12.51</v>
      </c>
    </row>
    <row r="742" spans="1:9" x14ac:dyDescent="0.3">
      <c r="A742">
        <v>501</v>
      </c>
      <c r="B742" t="s">
        <v>61</v>
      </c>
      <c r="C742" t="s">
        <v>31</v>
      </c>
      <c r="D742">
        <v>6</v>
      </c>
      <c r="E742" t="s">
        <v>57</v>
      </c>
      <c r="F742">
        <v>2</v>
      </c>
      <c r="G742" t="str">
        <f t="shared" si="10"/>
        <v>M0113-A-6-2</v>
      </c>
      <c r="H742">
        <v>12.51</v>
      </c>
      <c r="I742">
        <v>13.77</v>
      </c>
    </row>
    <row r="743" spans="1:9" x14ac:dyDescent="0.3">
      <c r="A743">
        <v>501</v>
      </c>
      <c r="B743" t="s">
        <v>61</v>
      </c>
      <c r="C743" t="s">
        <v>31</v>
      </c>
      <c r="D743">
        <v>7</v>
      </c>
      <c r="E743" t="s">
        <v>57</v>
      </c>
      <c r="F743">
        <v>1</v>
      </c>
      <c r="G743" t="str">
        <f t="shared" si="10"/>
        <v>M0113-A-7-1</v>
      </c>
      <c r="H743">
        <v>13.77</v>
      </c>
      <c r="I743">
        <v>15.27</v>
      </c>
    </row>
    <row r="744" spans="1:9" x14ac:dyDescent="0.3">
      <c r="A744">
        <v>501</v>
      </c>
      <c r="B744" t="s">
        <v>61</v>
      </c>
      <c r="C744" t="s">
        <v>31</v>
      </c>
      <c r="D744">
        <v>7</v>
      </c>
      <c r="E744" t="s">
        <v>57</v>
      </c>
      <c r="F744">
        <v>2</v>
      </c>
      <c r="G744" t="str">
        <f t="shared" si="10"/>
        <v>M0113-A-7-2</v>
      </c>
      <c r="H744">
        <v>15.27</v>
      </c>
      <c r="I744">
        <v>15.88</v>
      </c>
    </row>
    <row r="745" spans="1:9" x14ac:dyDescent="0.3">
      <c r="A745">
        <v>501</v>
      </c>
      <c r="B745" t="s">
        <v>61</v>
      </c>
      <c r="C745" t="s">
        <v>31</v>
      </c>
      <c r="D745">
        <v>8</v>
      </c>
      <c r="E745" t="s">
        <v>57</v>
      </c>
      <c r="F745">
        <v>1</v>
      </c>
      <c r="G745" t="str">
        <f t="shared" si="10"/>
        <v>M0113-A-8-1</v>
      </c>
      <c r="H745">
        <v>15.88</v>
      </c>
      <c r="I745">
        <v>17.23</v>
      </c>
    </row>
    <row r="746" spans="1:9" x14ac:dyDescent="0.3">
      <c r="A746">
        <v>501</v>
      </c>
      <c r="B746" t="s">
        <v>61</v>
      </c>
      <c r="C746" t="s">
        <v>31</v>
      </c>
      <c r="D746">
        <v>9</v>
      </c>
      <c r="E746" t="s">
        <v>57</v>
      </c>
      <c r="F746">
        <v>1</v>
      </c>
      <c r="G746" t="str">
        <f t="shared" si="10"/>
        <v>M0113-A-9-1</v>
      </c>
      <c r="H746">
        <v>17.23</v>
      </c>
      <c r="I746">
        <v>18.73</v>
      </c>
    </row>
    <row r="747" spans="1:9" x14ac:dyDescent="0.3">
      <c r="A747">
        <v>501</v>
      </c>
      <c r="B747" t="s">
        <v>61</v>
      </c>
      <c r="C747" t="s">
        <v>31</v>
      </c>
      <c r="D747">
        <v>9</v>
      </c>
      <c r="E747" t="s">
        <v>57</v>
      </c>
      <c r="F747">
        <v>2</v>
      </c>
      <c r="G747" t="str">
        <f t="shared" si="10"/>
        <v>M0113-A-9-2</v>
      </c>
      <c r="H747">
        <v>18.73</v>
      </c>
      <c r="I747">
        <v>19.190000000000001</v>
      </c>
    </row>
    <row r="748" spans="1:9" x14ac:dyDescent="0.3">
      <c r="A748">
        <v>501</v>
      </c>
      <c r="B748" t="s">
        <v>61</v>
      </c>
      <c r="C748" t="s">
        <v>31</v>
      </c>
      <c r="D748">
        <v>10</v>
      </c>
      <c r="E748" t="s">
        <v>57</v>
      </c>
      <c r="F748">
        <v>1</v>
      </c>
      <c r="G748" t="str">
        <f t="shared" si="10"/>
        <v>M0113-A-10-1</v>
      </c>
      <c r="H748">
        <v>19.190000000000001</v>
      </c>
      <c r="I748">
        <v>20.69</v>
      </c>
    </row>
    <row r="749" spans="1:9" x14ac:dyDescent="0.3">
      <c r="A749">
        <v>501</v>
      </c>
      <c r="B749" t="s">
        <v>61</v>
      </c>
      <c r="C749" t="s">
        <v>31</v>
      </c>
      <c r="D749">
        <v>10</v>
      </c>
      <c r="E749" t="s">
        <v>57</v>
      </c>
      <c r="F749">
        <v>2</v>
      </c>
      <c r="G749" t="str">
        <f t="shared" si="10"/>
        <v>M0113-A-10-2</v>
      </c>
      <c r="H749">
        <v>20.69</v>
      </c>
      <c r="I749">
        <v>21.38</v>
      </c>
    </row>
    <row r="750" spans="1:9" x14ac:dyDescent="0.3">
      <c r="A750">
        <v>501</v>
      </c>
      <c r="B750" t="s">
        <v>61</v>
      </c>
      <c r="C750" t="s">
        <v>31</v>
      </c>
      <c r="D750">
        <v>11</v>
      </c>
      <c r="E750" t="s">
        <v>57</v>
      </c>
      <c r="F750">
        <v>1</v>
      </c>
      <c r="G750" t="str">
        <f t="shared" si="10"/>
        <v>M0113-A-11-1</v>
      </c>
      <c r="H750">
        <v>21.38</v>
      </c>
      <c r="I750">
        <v>21.98</v>
      </c>
    </row>
    <row r="751" spans="1:9" x14ac:dyDescent="0.3">
      <c r="A751">
        <v>501</v>
      </c>
      <c r="B751" t="s">
        <v>61</v>
      </c>
      <c r="C751" t="s">
        <v>31</v>
      </c>
      <c r="D751">
        <v>11</v>
      </c>
      <c r="E751" t="s">
        <v>57</v>
      </c>
      <c r="F751">
        <v>2</v>
      </c>
      <c r="G751" t="str">
        <f t="shared" si="10"/>
        <v>M0113-A-11-2</v>
      </c>
      <c r="H751">
        <v>21.98</v>
      </c>
      <c r="I751">
        <v>22.51</v>
      </c>
    </row>
    <row r="752" spans="1:9" x14ac:dyDescent="0.3">
      <c r="A752">
        <v>501</v>
      </c>
      <c r="B752" t="s">
        <v>61</v>
      </c>
      <c r="C752" t="s">
        <v>31</v>
      </c>
      <c r="D752">
        <v>12</v>
      </c>
      <c r="E752" t="s">
        <v>57</v>
      </c>
      <c r="F752">
        <v>1</v>
      </c>
      <c r="G752" t="str">
        <f t="shared" si="10"/>
        <v>M0113-A-12-1</v>
      </c>
      <c r="H752">
        <v>22.51</v>
      </c>
      <c r="I752">
        <v>24.02</v>
      </c>
    </row>
    <row r="753" spans="1:9" x14ac:dyDescent="0.3">
      <c r="A753">
        <v>501</v>
      </c>
      <c r="B753" t="s">
        <v>61</v>
      </c>
      <c r="C753" t="s">
        <v>31</v>
      </c>
      <c r="D753">
        <v>13</v>
      </c>
      <c r="E753" t="s">
        <v>57</v>
      </c>
      <c r="F753">
        <v>1</v>
      </c>
      <c r="G753" t="str">
        <f t="shared" si="10"/>
        <v>M0113-A-13-1</v>
      </c>
      <c r="H753">
        <v>24.02</v>
      </c>
      <c r="I753">
        <v>25.39</v>
      </c>
    </row>
    <row r="754" spans="1:9" x14ac:dyDescent="0.3">
      <c r="A754">
        <v>501</v>
      </c>
      <c r="B754" t="s">
        <v>61</v>
      </c>
      <c r="C754" t="s">
        <v>31</v>
      </c>
      <c r="D754">
        <v>14</v>
      </c>
      <c r="E754" t="s">
        <v>57</v>
      </c>
      <c r="F754">
        <v>1</v>
      </c>
      <c r="G754" t="str">
        <f t="shared" si="10"/>
        <v>M0113-A-14-1</v>
      </c>
      <c r="H754">
        <v>25.39</v>
      </c>
      <c r="I754">
        <v>26.73</v>
      </c>
    </row>
    <row r="755" spans="1:9" x14ac:dyDescent="0.3">
      <c r="A755">
        <v>501</v>
      </c>
      <c r="B755" t="s">
        <v>61</v>
      </c>
      <c r="C755" t="s">
        <v>31</v>
      </c>
      <c r="D755">
        <v>15</v>
      </c>
      <c r="E755" t="s">
        <v>57</v>
      </c>
      <c r="F755">
        <v>1</v>
      </c>
      <c r="G755" t="str">
        <f t="shared" si="10"/>
        <v>M0113-A-15-1</v>
      </c>
      <c r="H755">
        <v>26.73</v>
      </c>
      <c r="I755">
        <v>28.22</v>
      </c>
    </row>
    <row r="756" spans="1:9" x14ac:dyDescent="0.3">
      <c r="A756">
        <v>501</v>
      </c>
      <c r="B756" t="s">
        <v>61</v>
      </c>
      <c r="C756" t="s">
        <v>31</v>
      </c>
      <c r="D756">
        <v>15</v>
      </c>
      <c r="E756" t="s">
        <v>57</v>
      </c>
      <c r="F756">
        <v>2</v>
      </c>
      <c r="G756" t="str">
        <f t="shared" si="10"/>
        <v>M0113-A-15-2</v>
      </c>
      <c r="H756">
        <v>28.22</v>
      </c>
      <c r="I756">
        <v>28.74</v>
      </c>
    </row>
    <row r="757" spans="1:9" x14ac:dyDescent="0.3">
      <c r="A757">
        <v>501</v>
      </c>
      <c r="B757" t="s">
        <v>61</v>
      </c>
      <c r="C757" t="s">
        <v>31</v>
      </c>
      <c r="D757">
        <v>16</v>
      </c>
      <c r="E757" t="s">
        <v>57</v>
      </c>
      <c r="F757">
        <v>1</v>
      </c>
      <c r="G757" t="str">
        <f t="shared" si="10"/>
        <v>M0113-A-16-1</v>
      </c>
      <c r="H757">
        <v>28.74</v>
      </c>
      <c r="I757">
        <v>29.34</v>
      </c>
    </row>
    <row r="758" spans="1:9" x14ac:dyDescent="0.3">
      <c r="A758">
        <v>501</v>
      </c>
      <c r="B758" t="s">
        <v>61</v>
      </c>
      <c r="C758" t="s">
        <v>31</v>
      </c>
      <c r="D758">
        <v>16</v>
      </c>
      <c r="E758" t="s">
        <v>57</v>
      </c>
      <c r="F758">
        <v>2</v>
      </c>
      <c r="G758" t="str">
        <f t="shared" si="10"/>
        <v>M0113-A-16-2</v>
      </c>
      <c r="H758">
        <v>29.34</v>
      </c>
      <c r="I758">
        <v>30.36</v>
      </c>
    </row>
    <row r="759" spans="1:9" x14ac:dyDescent="0.3">
      <c r="A759">
        <v>501</v>
      </c>
      <c r="B759" t="s">
        <v>61</v>
      </c>
      <c r="C759" t="s">
        <v>31</v>
      </c>
      <c r="D759">
        <v>16</v>
      </c>
      <c r="E759" t="s">
        <v>57</v>
      </c>
      <c r="F759">
        <v>3</v>
      </c>
      <c r="G759" t="str">
        <f t="shared" si="10"/>
        <v>M0113-A-16-3</v>
      </c>
      <c r="H759">
        <v>30.36</v>
      </c>
      <c r="I759">
        <v>31.15</v>
      </c>
    </row>
    <row r="760" spans="1:9" x14ac:dyDescent="0.3">
      <c r="A760">
        <v>501</v>
      </c>
      <c r="B760" t="s">
        <v>61</v>
      </c>
      <c r="C760" t="s">
        <v>31</v>
      </c>
      <c r="D760">
        <v>17</v>
      </c>
      <c r="E760" t="s">
        <v>57</v>
      </c>
      <c r="F760">
        <v>1</v>
      </c>
      <c r="G760" t="str">
        <f t="shared" ref="G760:G823" si="11">CONCATENATE(B760, "-",C760, "-", D760, "-", F760)</f>
        <v>M0113-A-17-1</v>
      </c>
      <c r="H760">
        <v>31.15</v>
      </c>
      <c r="I760">
        <v>32.15</v>
      </c>
    </row>
    <row r="761" spans="1:9" x14ac:dyDescent="0.3">
      <c r="A761">
        <v>501</v>
      </c>
      <c r="B761" t="s">
        <v>61</v>
      </c>
      <c r="C761" t="s">
        <v>31</v>
      </c>
      <c r="D761">
        <v>17</v>
      </c>
      <c r="E761" t="s">
        <v>57</v>
      </c>
      <c r="F761">
        <v>2</v>
      </c>
      <c r="G761" t="str">
        <f t="shared" si="11"/>
        <v>M0113-A-17-2</v>
      </c>
      <c r="H761">
        <v>32.15</v>
      </c>
      <c r="I761">
        <v>33.03</v>
      </c>
    </row>
    <row r="762" spans="1:9" x14ac:dyDescent="0.3">
      <c r="A762">
        <v>501</v>
      </c>
      <c r="B762" t="s">
        <v>61</v>
      </c>
      <c r="C762" t="s">
        <v>31</v>
      </c>
      <c r="D762">
        <v>18</v>
      </c>
      <c r="E762" t="s">
        <v>57</v>
      </c>
      <c r="F762">
        <v>1</v>
      </c>
      <c r="G762" t="str">
        <f t="shared" si="11"/>
        <v>M0113-A-18-1</v>
      </c>
      <c r="H762">
        <v>33.03</v>
      </c>
      <c r="I762">
        <v>34.53</v>
      </c>
    </row>
    <row r="763" spans="1:9" x14ac:dyDescent="0.3">
      <c r="A763">
        <v>501</v>
      </c>
      <c r="B763" t="s">
        <v>61</v>
      </c>
      <c r="C763" t="s">
        <v>31</v>
      </c>
      <c r="D763">
        <v>18</v>
      </c>
      <c r="E763" t="s">
        <v>57</v>
      </c>
      <c r="F763">
        <v>2</v>
      </c>
      <c r="G763" t="str">
        <f t="shared" si="11"/>
        <v>M0113-A-18-2</v>
      </c>
      <c r="H763">
        <v>34.53</v>
      </c>
      <c r="I763">
        <v>35.36</v>
      </c>
    </row>
    <row r="764" spans="1:9" x14ac:dyDescent="0.3">
      <c r="A764">
        <v>501</v>
      </c>
      <c r="B764" t="s">
        <v>61</v>
      </c>
      <c r="C764" t="s">
        <v>31</v>
      </c>
      <c r="D764">
        <v>19</v>
      </c>
      <c r="E764" t="s">
        <v>57</v>
      </c>
      <c r="F764">
        <v>1</v>
      </c>
      <c r="G764" t="str">
        <f t="shared" si="11"/>
        <v>M0113-A-19-1</v>
      </c>
      <c r="H764">
        <v>35.36</v>
      </c>
      <c r="I764">
        <v>36.630000000000003</v>
      </c>
    </row>
    <row r="765" spans="1:9" x14ac:dyDescent="0.3">
      <c r="A765">
        <v>501</v>
      </c>
      <c r="B765" t="s">
        <v>61</v>
      </c>
      <c r="C765" t="s">
        <v>31</v>
      </c>
      <c r="D765">
        <v>20</v>
      </c>
      <c r="E765" t="s">
        <v>57</v>
      </c>
      <c r="F765">
        <v>1</v>
      </c>
      <c r="G765" t="str">
        <f t="shared" si="11"/>
        <v>M0113-A-20-1</v>
      </c>
      <c r="H765">
        <v>36.630000000000003</v>
      </c>
      <c r="I765">
        <v>37.630000000000003</v>
      </c>
    </row>
    <row r="766" spans="1:9" x14ac:dyDescent="0.3">
      <c r="A766">
        <v>501</v>
      </c>
      <c r="B766" t="s">
        <v>61</v>
      </c>
      <c r="C766" t="s">
        <v>31</v>
      </c>
      <c r="D766">
        <v>20</v>
      </c>
      <c r="E766" t="s">
        <v>57</v>
      </c>
      <c r="F766">
        <v>2</v>
      </c>
      <c r="G766" t="str">
        <f t="shared" si="11"/>
        <v>M0113-A-20-2</v>
      </c>
      <c r="H766">
        <v>37.630000000000003</v>
      </c>
      <c r="I766">
        <v>38.369999999999997</v>
      </c>
    </row>
    <row r="767" spans="1:9" x14ac:dyDescent="0.3">
      <c r="A767">
        <v>501</v>
      </c>
      <c r="B767" t="s">
        <v>61</v>
      </c>
      <c r="C767" t="s">
        <v>31</v>
      </c>
      <c r="D767">
        <v>21</v>
      </c>
      <c r="E767" t="s">
        <v>57</v>
      </c>
      <c r="F767">
        <v>1</v>
      </c>
      <c r="G767" t="str">
        <f t="shared" si="11"/>
        <v>M0113-A-21-1</v>
      </c>
      <c r="H767">
        <v>38.369999999999997</v>
      </c>
      <c r="I767">
        <v>39.47</v>
      </c>
    </row>
    <row r="768" spans="1:9" x14ac:dyDescent="0.3">
      <c r="A768">
        <v>501</v>
      </c>
      <c r="B768" t="s">
        <v>61</v>
      </c>
      <c r="C768" t="s">
        <v>31</v>
      </c>
      <c r="D768">
        <v>21</v>
      </c>
      <c r="E768" t="s">
        <v>57</v>
      </c>
      <c r="F768">
        <v>2</v>
      </c>
      <c r="G768" t="str">
        <f t="shared" si="11"/>
        <v>M0113-A-21-2</v>
      </c>
      <c r="H768">
        <v>39.47</v>
      </c>
      <c r="I768">
        <v>40.299999999999997</v>
      </c>
    </row>
    <row r="769" spans="1:9" x14ac:dyDescent="0.3">
      <c r="A769">
        <v>501</v>
      </c>
      <c r="B769" t="s">
        <v>61</v>
      </c>
      <c r="C769" t="s">
        <v>31</v>
      </c>
      <c r="D769">
        <v>22</v>
      </c>
      <c r="E769" t="s">
        <v>57</v>
      </c>
      <c r="F769">
        <v>1</v>
      </c>
      <c r="G769" t="str">
        <f t="shared" si="11"/>
        <v>M0113-A-22-1</v>
      </c>
      <c r="H769">
        <v>40.299999999999997</v>
      </c>
      <c r="I769">
        <v>40.43</v>
      </c>
    </row>
    <row r="770" spans="1:9" x14ac:dyDescent="0.3">
      <c r="A770">
        <v>501</v>
      </c>
      <c r="B770" t="s">
        <v>61</v>
      </c>
      <c r="C770" t="s">
        <v>31</v>
      </c>
      <c r="D770">
        <v>23</v>
      </c>
      <c r="E770" t="s">
        <v>57</v>
      </c>
      <c r="F770">
        <v>1</v>
      </c>
      <c r="G770" t="str">
        <f t="shared" si="11"/>
        <v>M0113-A-23-1</v>
      </c>
      <c r="H770">
        <v>40.43</v>
      </c>
      <c r="I770">
        <v>40.619999999999997</v>
      </c>
    </row>
    <row r="771" spans="1:9" x14ac:dyDescent="0.3">
      <c r="A771">
        <v>501</v>
      </c>
      <c r="B771" t="s">
        <v>61</v>
      </c>
      <c r="C771" t="s">
        <v>31</v>
      </c>
      <c r="D771">
        <v>23</v>
      </c>
      <c r="E771" t="s">
        <v>57</v>
      </c>
      <c r="F771">
        <v>2</v>
      </c>
      <c r="G771" t="str">
        <f t="shared" si="11"/>
        <v>M0113-A-23-2</v>
      </c>
      <c r="H771">
        <v>40.619999999999997</v>
      </c>
      <c r="I771">
        <v>41.48</v>
      </c>
    </row>
    <row r="772" spans="1:9" x14ac:dyDescent="0.3">
      <c r="A772">
        <v>501</v>
      </c>
      <c r="B772" t="s">
        <v>61</v>
      </c>
      <c r="C772" t="s">
        <v>31</v>
      </c>
      <c r="D772">
        <v>23</v>
      </c>
      <c r="E772" t="s">
        <v>57</v>
      </c>
      <c r="F772">
        <v>3</v>
      </c>
      <c r="G772" t="str">
        <f t="shared" si="11"/>
        <v>M0113-A-23-3</v>
      </c>
      <c r="H772">
        <v>41.48</v>
      </c>
      <c r="I772">
        <v>42.44</v>
      </c>
    </row>
    <row r="773" spans="1:9" x14ac:dyDescent="0.3">
      <c r="A773">
        <v>501</v>
      </c>
      <c r="B773" t="s">
        <v>61</v>
      </c>
      <c r="C773" t="s">
        <v>31</v>
      </c>
      <c r="D773">
        <v>24</v>
      </c>
      <c r="E773" t="s">
        <v>57</v>
      </c>
      <c r="F773">
        <v>1</v>
      </c>
      <c r="G773" t="str">
        <f t="shared" si="11"/>
        <v>M0113-A-24-1</v>
      </c>
      <c r="H773">
        <v>42.44</v>
      </c>
      <c r="I773">
        <v>42.57</v>
      </c>
    </row>
    <row r="774" spans="1:9" x14ac:dyDescent="0.3">
      <c r="A774">
        <v>501</v>
      </c>
      <c r="B774" t="s">
        <v>61</v>
      </c>
      <c r="C774" t="s">
        <v>31</v>
      </c>
      <c r="D774">
        <v>25</v>
      </c>
      <c r="E774" t="s">
        <v>57</v>
      </c>
      <c r="F774">
        <v>1</v>
      </c>
      <c r="G774" t="str">
        <f t="shared" si="11"/>
        <v>M0113-A-25-1</v>
      </c>
      <c r="H774">
        <v>42.57</v>
      </c>
      <c r="I774">
        <v>43.57</v>
      </c>
    </row>
    <row r="775" spans="1:9" x14ac:dyDescent="0.3">
      <c r="A775">
        <v>501</v>
      </c>
      <c r="B775" t="s">
        <v>61</v>
      </c>
      <c r="C775" t="s">
        <v>31</v>
      </c>
      <c r="D775">
        <v>25</v>
      </c>
      <c r="E775" t="s">
        <v>57</v>
      </c>
      <c r="F775">
        <v>2</v>
      </c>
      <c r="G775" t="str">
        <f t="shared" si="11"/>
        <v>M0113-A-25-2</v>
      </c>
      <c r="H775">
        <v>43.57</v>
      </c>
      <c r="I775">
        <v>44.54</v>
      </c>
    </row>
    <row r="776" spans="1:9" x14ac:dyDescent="0.3">
      <c r="A776">
        <v>501</v>
      </c>
      <c r="B776" t="s">
        <v>61</v>
      </c>
      <c r="C776" t="s">
        <v>31</v>
      </c>
      <c r="D776">
        <v>26</v>
      </c>
      <c r="E776" t="s">
        <v>57</v>
      </c>
      <c r="F776">
        <v>1</v>
      </c>
      <c r="G776" t="str">
        <f t="shared" si="11"/>
        <v>M0113-A-26-1</v>
      </c>
      <c r="H776">
        <v>44.54</v>
      </c>
      <c r="I776">
        <v>45.54</v>
      </c>
    </row>
    <row r="777" spans="1:9" x14ac:dyDescent="0.3">
      <c r="A777">
        <v>501</v>
      </c>
      <c r="B777" t="s">
        <v>61</v>
      </c>
      <c r="C777" t="s">
        <v>31</v>
      </c>
      <c r="D777">
        <v>26</v>
      </c>
      <c r="E777" t="s">
        <v>57</v>
      </c>
      <c r="F777">
        <v>2</v>
      </c>
      <c r="G777" t="str">
        <f t="shared" si="11"/>
        <v>M0113-A-26-2</v>
      </c>
      <c r="H777">
        <v>45.54</v>
      </c>
      <c r="I777">
        <v>46.48</v>
      </c>
    </row>
    <row r="778" spans="1:9" x14ac:dyDescent="0.3">
      <c r="A778">
        <v>501</v>
      </c>
      <c r="B778" t="s">
        <v>61</v>
      </c>
      <c r="C778" t="s">
        <v>31</v>
      </c>
      <c r="D778">
        <v>27</v>
      </c>
      <c r="E778" t="s">
        <v>57</v>
      </c>
      <c r="F778">
        <v>1</v>
      </c>
      <c r="G778" t="str">
        <f t="shared" si="11"/>
        <v>M0113-A-27-1</v>
      </c>
      <c r="H778">
        <v>46.48</v>
      </c>
      <c r="I778">
        <v>47.48</v>
      </c>
    </row>
    <row r="779" spans="1:9" x14ac:dyDescent="0.3">
      <c r="A779">
        <v>501</v>
      </c>
      <c r="B779" t="s">
        <v>61</v>
      </c>
      <c r="C779" t="s">
        <v>31</v>
      </c>
      <c r="D779">
        <v>27</v>
      </c>
      <c r="E779" t="s">
        <v>57</v>
      </c>
      <c r="F779">
        <v>2</v>
      </c>
      <c r="G779" t="str">
        <f t="shared" si="11"/>
        <v>M0113-A-27-2</v>
      </c>
      <c r="H779">
        <v>47.48</v>
      </c>
      <c r="I779">
        <v>48.47</v>
      </c>
    </row>
    <row r="780" spans="1:9" x14ac:dyDescent="0.3">
      <c r="A780">
        <v>501</v>
      </c>
      <c r="B780" t="s">
        <v>61</v>
      </c>
      <c r="C780" t="s">
        <v>31</v>
      </c>
      <c r="D780">
        <v>28</v>
      </c>
      <c r="E780" t="s">
        <v>57</v>
      </c>
      <c r="F780">
        <v>1</v>
      </c>
      <c r="G780" t="str">
        <f t="shared" si="11"/>
        <v>M0113-A-28-1</v>
      </c>
      <c r="H780">
        <v>48.47</v>
      </c>
      <c r="I780">
        <v>49.47</v>
      </c>
    </row>
    <row r="781" spans="1:9" x14ac:dyDescent="0.3">
      <c r="A781">
        <v>501</v>
      </c>
      <c r="B781" t="s">
        <v>61</v>
      </c>
      <c r="C781" t="s">
        <v>31</v>
      </c>
      <c r="D781">
        <v>28</v>
      </c>
      <c r="E781" t="s">
        <v>57</v>
      </c>
      <c r="F781">
        <v>2</v>
      </c>
      <c r="G781" t="str">
        <f t="shared" si="11"/>
        <v>M0113-A-28-2</v>
      </c>
      <c r="H781">
        <v>49.47</v>
      </c>
      <c r="I781">
        <v>50.41</v>
      </c>
    </row>
    <row r="782" spans="1:9" x14ac:dyDescent="0.3">
      <c r="A782">
        <v>501</v>
      </c>
      <c r="B782" t="s">
        <v>61</v>
      </c>
      <c r="C782" t="s">
        <v>31</v>
      </c>
      <c r="D782">
        <v>29</v>
      </c>
      <c r="E782" t="s">
        <v>57</v>
      </c>
      <c r="F782">
        <v>1</v>
      </c>
      <c r="G782" t="str">
        <f t="shared" si="11"/>
        <v>M0113-A-29-1</v>
      </c>
      <c r="H782">
        <v>50.41</v>
      </c>
      <c r="I782">
        <v>51.91</v>
      </c>
    </row>
    <row r="783" spans="1:9" x14ac:dyDescent="0.3">
      <c r="A783">
        <v>501</v>
      </c>
      <c r="B783" t="s">
        <v>61</v>
      </c>
      <c r="C783" t="s">
        <v>31</v>
      </c>
      <c r="D783">
        <v>30</v>
      </c>
      <c r="E783" t="s">
        <v>57</v>
      </c>
      <c r="F783">
        <v>1</v>
      </c>
      <c r="G783" t="str">
        <f t="shared" si="11"/>
        <v>M0113-A-30-1</v>
      </c>
      <c r="H783">
        <v>51.91</v>
      </c>
      <c r="I783">
        <v>52.89</v>
      </c>
    </row>
    <row r="784" spans="1:9" x14ac:dyDescent="0.3">
      <c r="A784">
        <v>501</v>
      </c>
      <c r="B784" t="s">
        <v>61</v>
      </c>
      <c r="C784" t="s">
        <v>31</v>
      </c>
      <c r="D784">
        <v>30</v>
      </c>
      <c r="E784" t="s">
        <v>57</v>
      </c>
      <c r="F784">
        <v>2</v>
      </c>
      <c r="G784" t="str">
        <f t="shared" si="11"/>
        <v>M0113-A-30-2</v>
      </c>
      <c r="H784">
        <v>52.89</v>
      </c>
      <c r="I784">
        <v>53.73</v>
      </c>
    </row>
    <row r="785" spans="1:9" x14ac:dyDescent="0.3">
      <c r="A785">
        <v>501</v>
      </c>
      <c r="B785" t="s">
        <v>61</v>
      </c>
      <c r="C785" t="s">
        <v>31</v>
      </c>
      <c r="D785">
        <v>30</v>
      </c>
      <c r="E785" t="s">
        <v>57</v>
      </c>
      <c r="F785">
        <v>3</v>
      </c>
      <c r="G785" t="str">
        <f t="shared" si="11"/>
        <v>M0113-A-30-3</v>
      </c>
      <c r="H785">
        <v>53.73</v>
      </c>
      <c r="I785">
        <v>53.89</v>
      </c>
    </row>
    <row r="786" spans="1:9" x14ac:dyDescent="0.3">
      <c r="A786">
        <v>501</v>
      </c>
      <c r="B786" t="s">
        <v>61</v>
      </c>
      <c r="C786" t="s">
        <v>31</v>
      </c>
      <c r="D786">
        <v>31</v>
      </c>
      <c r="E786" t="s">
        <v>57</v>
      </c>
      <c r="F786">
        <v>1</v>
      </c>
      <c r="G786" t="str">
        <f t="shared" si="11"/>
        <v>M0113-A-31-1</v>
      </c>
      <c r="H786">
        <v>53.89</v>
      </c>
      <c r="I786">
        <v>55.02</v>
      </c>
    </row>
    <row r="787" spans="1:9" x14ac:dyDescent="0.3">
      <c r="A787">
        <v>501</v>
      </c>
      <c r="B787" t="s">
        <v>61</v>
      </c>
      <c r="C787" t="s">
        <v>31</v>
      </c>
      <c r="D787">
        <v>32</v>
      </c>
      <c r="E787" t="s">
        <v>57</v>
      </c>
      <c r="F787">
        <v>1</v>
      </c>
      <c r="G787" t="str">
        <f t="shared" si="11"/>
        <v>M0113-A-32-1</v>
      </c>
      <c r="H787">
        <v>55.02</v>
      </c>
      <c r="I787">
        <v>56.52</v>
      </c>
    </row>
    <row r="788" spans="1:9" x14ac:dyDescent="0.3">
      <c r="A788">
        <v>501</v>
      </c>
      <c r="B788" t="s">
        <v>61</v>
      </c>
      <c r="C788" t="s">
        <v>31</v>
      </c>
      <c r="D788">
        <v>32</v>
      </c>
      <c r="E788" t="s">
        <v>57</v>
      </c>
      <c r="F788">
        <v>2</v>
      </c>
      <c r="G788" t="str">
        <f t="shared" si="11"/>
        <v>M0113-A-32-2</v>
      </c>
      <c r="H788">
        <v>56.52</v>
      </c>
      <c r="I788">
        <v>57.52</v>
      </c>
    </row>
    <row r="789" spans="1:9" x14ac:dyDescent="0.3">
      <c r="A789">
        <v>501</v>
      </c>
      <c r="B789" t="s">
        <v>61</v>
      </c>
      <c r="C789" t="s">
        <v>31</v>
      </c>
      <c r="D789">
        <v>33</v>
      </c>
      <c r="E789" t="s">
        <v>57</v>
      </c>
      <c r="F789">
        <v>1</v>
      </c>
      <c r="G789" t="str">
        <f t="shared" si="11"/>
        <v>M0113-A-33-1</v>
      </c>
      <c r="H789">
        <v>57.52</v>
      </c>
      <c r="I789">
        <v>58.52</v>
      </c>
    </row>
    <row r="790" spans="1:9" x14ac:dyDescent="0.3">
      <c r="A790">
        <v>501</v>
      </c>
      <c r="B790" t="s">
        <v>61</v>
      </c>
      <c r="C790" t="s">
        <v>31</v>
      </c>
      <c r="D790">
        <v>33</v>
      </c>
      <c r="E790" t="s">
        <v>57</v>
      </c>
      <c r="F790">
        <v>2</v>
      </c>
      <c r="G790" t="str">
        <f t="shared" si="11"/>
        <v>M0113-A-33-2</v>
      </c>
      <c r="H790">
        <v>58.52</v>
      </c>
      <c r="I790">
        <v>59.94</v>
      </c>
    </row>
    <row r="791" spans="1:9" x14ac:dyDescent="0.3">
      <c r="A791">
        <v>501</v>
      </c>
      <c r="B791" t="s">
        <v>61</v>
      </c>
      <c r="C791" t="s">
        <v>31</v>
      </c>
      <c r="D791">
        <v>34</v>
      </c>
      <c r="E791" t="s">
        <v>57</v>
      </c>
      <c r="F791">
        <v>1</v>
      </c>
      <c r="G791" t="str">
        <f t="shared" si="11"/>
        <v>M0113-A-34-1</v>
      </c>
      <c r="H791">
        <v>59.94</v>
      </c>
      <c r="I791">
        <v>60.94</v>
      </c>
    </row>
    <row r="792" spans="1:9" x14ac:dyDescent="0.3">
      <c r="A792">
        <v>501</v>
      </c>
      <c r="B792" t="s">
        <v>61</v>
      </c>
      <c r="C792" t="s">
        <v>31</v>
      </c>
      <c r="D792">
        <v>34</v>
      </c>
      <c r="E792" t="s">
        <v>57</v>
      </c>
      <c r="F792">
        <v>2</v>
      </c>
      <c r="G792" t="str">
        <f t="shared" si="11"/>
        <v>M0113-A-34-2</v>
      </c>
      <c r="H792">
        <v>60.94</v>
      </c>
      <c r="I792">
        <v>61.74</v>
      </c>
    </row>
    <row r="793" spans="1:9" x14ac:dyDescent="0.3">
      <c r="A793">
        <v>501</v>
      </c>
      <c r="B793" t="s">
        <v>61</v>
      </c>
      <c r="C793" t="s">
        <v>31</v>
      </c>
      <c r="D793">
        <v>35</v>
      </c>
      <c r="E793" t="s">
        <v>57</v>
      </c>
      <c r="F793">
        <v>1</v>
      </c>
      <c r="G793" t="str">
        <f t="shared" si="11"/>
        <v>M0113-A-35-1</v>
      </c>
      <c r="H793">
        <v>61.74</v>
      </c>
      <c r="I793">
        <v>62.75</v>
      </c>
    </row>
    <row r="794" spans="1:9" x14ac:dyDescent="0.3">
      <c r="A794">
        <v>501</v>
      </c>
      <c r="B794" t="s">
        <v>61</v>
      </c>
      <c r="C794" t="s">
        <v>31</v>
      </c>
      <c r="D794">
        <v>35</v>
      </c>
      <c r="E794" t="s">
        <v>57</v>
      </c>
      <c r="F794">
        <v>2</v>
      </c>
      <c r="G794" t="str">
        <f t="shared" si="11"/>
        <v>M0113-A-35-2</v>
      </c>
      <c r="H794">
        <v>62.75</v>
      </c>
      <c r="I794">
        <v>63.68</v>
      </c>
    </row>
    <row r="795" spans="1:9" x14ac:dyDescent="0.3">
      <c r="A795">
        <v>501</v>
      </c>
      <c r="B795" t="s">
        <v>61</v>
      </c>
      <c r="C795" t="s">
        <v>31</v>
      </c>
      <c r="D795">
        <v>36</v>
      </c>
      <c r="E795" t="s">
        <v>57</v>
      </c>
      <c r="F795">
        <v>1</v>
      </c>
      <c r="G795" t="str">
        <f t="shared" si="11"/>
        <v>M0113-A-36-1</v>
      </c>
      <c r="H795">
        <v>63.68</v>
      </c>
      <c r="I795">
        <v>64.680000000000007</v>
      </c>
    </row>
    <row r="796" spans="1:9" x14ac:dyDescent="0.3">
      <c r="A796">
        <v>501</v>
      </c>
      <c r="B796" t="s">
        <v>61</v>
      </c>
      <c r="C796" t="s">
        <v>31</v>
      </c>
      <c r="D796">
        <v>36</v>
      </c>
      <c r="E796" t="s">
        <v>57</v>
      </c>
      <c r="F796">
        <v>2</v>
      </c>
      <c r="G796" t="str">
        <f t="shared" si="11"/>
        <v>M0113-A-36-2</v>
      </c>
      <c r="H796">
        <v>64.680000000000007</v>
      </c>
      <c r="I796">
        <v>65.540000000000006</v>
      </c>
    </row>
    <row r="797" spans="1:9" x14ac:dyDescent="0.3">
      <c r="A797">
        <v>501</v>
      </c>
      <c r="B797" t="s">
        <v>61</v>
      </c>
      <c r="C797" t="s">
        <v>31</v>
      </c>
      <c r="D797">
        <v>37</v>
      </c>
      <c r="E797" t="s">
        <v>57</v>
      </c>
      <c r="F797">
        <v>1</v>
      </c>
      <c r="G797" t="str">
        <f t="shared" si="11"/>
        <v>M0113-A-37-1</v>
      </c>
      <c r="H797">
        <v>65.44</v>
      </c>
      <c r="I797">
        <v>66.44</v>
      </c>
    </row>
    <row r="798" spans="1:9" x14ac:dyDescent="0.3">
      <c r="A798">
        <v>501</v>
      </c>
      <c r="B798" t="s">
        <v>61</v>
      </c>
      <c r="C798" t="s">
        <v>31</v>
      </c>
      <c r="D798">
        <v>37</v>
      </c>
      <c r="E798" t="s">
        <v>57</v>
      </c>
      <c r="F798">
        <v>2</v>
      </c>
      <c r="G798" t="str">
        <f t="shared" si="11"/>
        <v>M0113-A-37-2</v>
      </c>
      <c r="H798">
        <v>66.44</v>
      </c>
      <c r="I798">
        <v>67.209999999999994</v>
      </c>
    </row>
    <row r="799" spans="1:9" x14ac:dyDescent="0.3">
      <c r="A799">
        <v>501</v>
      </c>
      <c r="B799" t="s">
        <v>61</v>
      </c>
      <c r="C799" t="s">
        <v>31</v>
      </c>
      <c r="D799">
        <v>38</v>
      </c>
      <c r="E799" t="s">
        <v>57</v>
      </c>
      <c r="F799">
        <v>1</v>
      </c>
      <c r="G799" t="str">
        <f t="shared" si="11"/>
        <v>M0113-A-38-1</v>
      </c>
      <c r="H799">
        <v>67.010000000000005</v>
      </c>
      <c r="I799">
        <v>67.2</v>
      </c>
    </row>
    <row r="800" spans="1:9" x14ac:dyDescent="0.3">
      <c r="A800">
        <v>501</v>
      </c>
      <c r="B800" t="s">
        <v>61</v>
      </c>
      <c r="C800" t="s">
        <v>31</v>
      </c>
      <c r="D800">
        <v>38</v>
      </c>
      <c r="E800" t="s">
        <v>57</v>
      </c>
      <c r="F800">
        <v>2</v>
      </c>
      <c r="G800" t="str">
        <f t="shared" si="11"/>
        <v>M0113-A-38-2</v>
      </c>
      <c r="H800">
        <v>67.2</v>
      </c>
      <c r="I800">
        <v>67.66</v>
      </c>
    </row>
    <row r="801" spans="1:9" x14ac:dyDescent="0.3">
      <c r="A801">
        <v>501</v>
      </c>
      <c r="B801" t="s">
        <v>61</v>
      </c>
      <c r="C801" t="s">
        <v>31</v>
      </c>
      <c r="D801">
        <v>38</v>
      </c>
      <c r="E801" t="s">
        <v>57</v>
      </c>
      <c r="F801">
        <v>3</v>
      </c>
      <c r="G801" t="str">
        <f t="shared" si="11"/>
        <v>M0113-A-38-3</v>
      </c>
      <c r="H801">
        <v>67.66</v>
      </c>
      <c r="I801">
        <v>68.180000000000007</v>
      </c>
    </row>
    <row r="802" spans="1:9" x14ac:dyDescent="0.3">
      <c r="A802">
        <v>501</v>
      </c>
      <c r="B802" t="s">
        <v>61</v>
      </c>
      <c r="C802" t="s">
        <v>31</v>
      </c>
      <c r="D802">
        <v>38</v>
      </c>
      <c r="E802" t="s">
        <v>57</v>
      </c>
      <c r="F802">
        <v>4</v>
      </c>
      <c r="G802" t="str">
        <f t="shared" si="11"/>
        <v>M0113-A-38-4</v>
      </c>
      <c r="H802">
        <v>68.180000000000007</v>
      </c>
      <c r="I802">
        <v>68.27</v>
      </c>
    </row>
    <row r="803" spans="1:9" x14ac:dyDescent="0.3">
      <c r="A803">
        <v>501</v>
      </c>
      <c r="B803" t="s">
        <v>61</v>
      </c>
      <c r="C803" t="s">
        <v>31</v>
      </c>
      <c r="D803">
        <v>39</v>
      </c>
      <c r="E803" t="s">
        <v>34</v>
      </c>
      <c r="F803">
        <v>1</v>
      </c>
      <c r="G803" t="str">
        <f t="shared" si="11"/>
        <v>M0113-A-39-1</v>
      </c>
      <c r="H803">
        <v>68.27</v>
      </c>
      <c r="I803">
        <v>68.8</v>
      </c>
    </row>
    <row r="804" spans="1:9" x14ac:dyDescent="0.3">
      <c r="A804">
        <v>501</v>
      </c>
      <c r="B804" t="s">
        <v>61</v>
      </c>
      <c r="C804" t="s">
        <v>31</v>
      </c>
      <c r="D804">
        <v>41</v>
      </c>
      <c r="E804" t="s">
        <v>57</v>
      </c>
      <c r="F804">
        <v>1</v>
      </c>
      <c r="G804" t="str">
        <f t="shared" si="11"/>
        <v>M0113-A-41-1</v>
      </c>
      <c r="H804">
        <v>68.27</v>
      </c>
      <c r="I804">
        <v>69.63</v>
      </c>
    </row>
    <row r="805" spans="1:9" x14ac:dyDescent="0.3">
      <c r="A805">
        <v>501</v>
      </c>
      <c r="B805" t="s">
        <v>61</v>
      </c>
      <c r="C805" t="s">
        <v>31</v>
      </c>
      <c r="D805">
        <v>42</v>
      </c>
      <c r="E805" t="s">
        <v>57</v>
      </c>
      <c r="F805">
        <v>1</v>
      </c>
      <c r="G805" t="str">
        <f t="shared" si="11"/>
        <v>M0113-A-42-1</v>
      </c>
      <c r="H805">
        <v>79.400000000000006</v>
      </c>
      <c r="I805">
        <v>79.760000000000005</v>
      </c>
    </row>
    <row r="806" spans="1:9" x14ac:dyDescent="0.3">
      <c r="A806">
        <v>501</v>
      </c>
      <c r="B806" t="s">
        <v>61</v>
      </c>
      <c r="C806" t="s">
        <v>31</v>
      </c>
      <c r="D806">
        <v>43</v>
      </c>
      <c r="E806" t="s">
        <v>57</v>
      </c>
      <c r="F806">
        <v>1</v>
      </c>
      <c r="G806" t="str">
        <f t="shared" si="11"/>
        <v>M0113-A-43-1</v>
      </c>
      <c r="H806">
        <v>79.760000000000005</v>
      </c>
      <c r="I806">
        <v>80.97</v>
      </c>
    </row>
    <row r="807" spans="1:9" x14ac:dyDescent="0.3">
      <c r="A807">
        <v>501</v>
      </c>
      <c r="B807" t="s">
        <v>61</v>
      </c>
      <c r="C807" t="s">
        <v>31</v>
      </c>
      <c r="D807">
        <v>43</v>
      </c>
      <c r="E807" t="s">
        <v>57</v>
      </c>
      <c r="F807">
        <v>2</v>
      </c>
      <c r="G807" t="str">
        <f t="shared" si="11"/>
        <v>M0113-A-43-2</v>
      </c>
      <c r="H807">
        <v>80.97</v>
      </c>
      <c r="I807">
        <v>81.08</v>
      </c>
    </row>
    <row r="808" spans="1:9" x14ac:dyDescent="0.3">
      <c r="A808">
        <v>501</v>
      </c>
      <c r="B808" t="s">
        <v>61</v>
      </c>
      <c r="C808" t="s">
        <v>31</v>
      </c>
      <c r="D808">
        <v>44</v>
      </c>
      <c r="E808" t="s">
        <v>57</v>
      </c>
      <c r="F808">
        <v>1</v>
      </c>
      <c r="G808" t="str">
        <f t="shared" si="11"/>
        <v>M0113-A-44-1</v>
      </c>
      <c r="H808">
        <v>81.08</v>
      </c>
      <c r="I808">
        <v>81.19</v>
      </c>
    </row>
    <row r="809" spans="1:9" x14ac:dyDescent="0.3">
      <c r="A809">
        <v>501</v>
      </c>
      <c r="B809" t="s">
        <v>61</v>
      </c>
      <c r="C809" t="s">
        <v>31</v>
      </c>
      <c r="D809">
        <v>44</v>
      </c>
      <c r="E809" t="s">
        <v>57</v>
      </c>
      <c r="F809">
        <v>2</v>
      </c>
      <c r="G809" t="str">
        <f t="shared" si="11"/>
        <v>M0113-A-44-2</v>
      </c>
      <c r="H809">
        <v>81.19</v>
      </c>
      <c r="I809">
        <v>82.02</v>
      </c>
    </row>
    <row r="810" spans="1:9" x14ac:dyDescent="0.3">
      <c r="A810">
        <v>501</v>
      </c>
      <c r="B810" t="s">
        <v>61</v>
      </c>
      <c r="C810" t="s">
        <v>31</v>
      </c>
      <c r="D810">
        <v>44</v>
      </c>
      <c r="E810" t="s">
        <v>57</v>
      </c>
      <c r="F810">
        <v>3</v>
      </c>
      <c r="G810" t="str">
        <f t="shared" si="11"/>
        <v>M0113-A-44-3</v>
      </c>
      <c r="H810">
        <v>82.02</v>
      </c>
      <c r="I810">
        <v>82.56</v>
      </c>
    </row>
    <row r="811" spans="1:9" x14ac:dyDescent="0.3">
      <c r="A811">
        <v>501</v>
      </c>
      <c r="B811" t="s">
        <v>61</v>
      </c>
      <c r="C811" t="s">
        <v>31</v>
      </c>
      <c r="D811">
        <v>45</v>
      </c>
      <c r="E811" t="s">
        <v>34</v>
      </c>
      <c r="F811">
        <v>1</v>
      </c>
      <c r="G811" t="str">
        <f t="shared" si="11"/>
        <v>M0113-A-45-1</v>
      </c>
      <c r="H811">
        <v>82.56</v>
      </c>
      <c r="I811">
        <v>83.92</v>
      </c>
    </row>
    <row r="812" spans="1:9" x14ac:dyDescent="0.3">
      <c r="A812">
        <v>501</v>
      </c>
      <c r="B812" t="s">
        <v>61</v>
      </c>
      <c r="C812" t="s">
        <v>31</v>
      </c>
      <c r="D812">
        <v>46</v>
      </c>
      <c r="E812" t="s">
        <v>57</v>
      </c>
      <c r="F812">
        <v>1</v>
      </c>
      <c r="G812" t="str">
        <f t="shared" si="11"/>
        <v>M0113-A-46-1</v>
      </c>
      <c r="H812">
        <v>83.49</v>
      </c>
      <c r="I812">
        <v>83.9</v>
      </c>
    </row>
    <row r="813" spans="1:9" x14ac:dyDescent="0.3">
      <c r="A813">
        <v>501</v>
      </c>
      <c r="B813" t="s">
        <v>61</v>
      </c>
      <c r="C813" t="s">
        <v>31</v>
      </c>
      <c r="D813">
        <v>46</v>
      </c>
      <c r="E813" t="s">
        <v>57</v>
      </c>
      <c r="F813">
        <v>2</v>
      </c>
      <c r="G813" t="str">
        <f t="shared" si="11"/>
        <v>M0113-A-46-2</v>
      </c>
      <c r="H813">
        <v>83.9</v>
      </c>
      <c r="I813">
        <v>85.33</v>
      </c>
    </row>
    <row r="814" spans="1:9" x14ac:dyDescent="0.3">
      <c r="A814">
        <v>501</v>
      </c>
      <c r="B814" t="s">
        <v>61</v>
      </c>
      <c r="C814" t="s">
        <v>31</v>
      </c>
      <c r="D814">
        <v>47</v>
      </c>
      <c r="E814" t="s">
        <v>57</v>
      </c>
      <c r="F814">
        <v>1</v>
      </c>
      <c r="G814" t="str">
        <f t="shared" si="11"/>
        <v>M0113-A-47-1</v>
      </c>
      <c r="H814">
        <v>85.33</v>
      </c>
      <c r="I814">
        <v>85.82</v>
      </c>
    </row>
    <row r="815" spans="1:9" x14ac:dyDescent="0.3">
      <c r="A815">
        <v>501</v>
      </c>
      <c r="B815" t="s">
        <v>61</v>
      </c>
      <c r="C815" t="s">
        <v>31</v>
      </c>
      <c r="D815">
        <v>47</v>
      </c>
      <c r="E815" t="s">
        <v>57</v>
      </c>
      <c r="F815">
        <v>2</v>
      </c>
      <c r="G815" t="str">
        <f t="shared" si="11"/>
        <v>M0113-A-47-2</v>
      </c>
      <c r="H815">
        <v>85.82</v>
      </c>
      <c r="I815">
        <v>86.34</v>
      </c>
    </row>
    <row r="816" spans="1:9" x14ac:dyDescent="0.3">
      <c r="A816">
        <v>501</v>
      </c>
      <c r="B816" t="s">
        <v>61</v>
      </c>
      <c r="C816" t="s">
        <v>31</v>
      </c>
      <c r="D816">
        <v>48</v>
      </c>
      <c r="E816" t="s">
        <v>57</v>
      </c>
      <c r="F816">
        <v>1</v>
      </c>
      <c r="G816" t="str">
        <f t="shared" si="11"/>
        <v>M0113-A-48-1</v>
      </c>
      <c r="H816">
        <v>86.34</v>
      </c>
      <c r="I816">
        <v>87.27</v>
      </c>
    </row>
    <row r="817" spans="1:9" x14ac:dyDescent="0.3">
      <c r="A817">
        <v>501</v>
      </c>
      <c r="B817" t="s">
        <v>61</v>
      </c>
      <c r="C817" t="s">
        <v>31</v>
      </c>
      <c r="D817">
        <v>49</v>
      </c>
      <c r="E817" t="s">
        <v>34</v>
      </c>
      <c r="F817">
        <v>1</v>
      </c>
      <c r="G817" t="str">
        <f t="shared" si="11"/>
        <v>M0113-A-49-1</v>
      </c>
      <c r="H817">
        <v>87.27</v>
      </c>
      <c r="I817">
        <v>88.21</v>
      </c>
    </row>
    <row r="818" spans="1:9" x14ac:dyDescent="0.3">
      <c r="A818">
        <v>501</v>
      </c>
      <c r="B818" t="s">
        <v>61</v>
      </c>
      <c r="C818" t="s">
        <v>31</v>
      </c>
      <c r="D818">
        <v>49</v>
      </c>
      <c r="E818" t="s">
        <v>34</v>
      </c>
      <c r="F818">
        <v>2</v>
      </c>
      <c r="G818" t="str">
        <f t="shared" si="11"/>
        <v>M0113-A-49-2</v>
      </c>
      <c r="H818">
        <v>88.21</v>
      </c>
      <c r="I818">
        <v>88.7</v>
      </c>
    </row>
    <row r="819" spans="1:9" x14ac:dyDescent="0.3">
      <c r="A819">
        <v>501</v>
      </c>
      <c r="B819" t="s">
        <v>61</v>
      </c>
      <c r="C819" t="s">
        <v>31</v>
      </c>
      <c r="D819">
        <v>50</v>
      </c>
      <c r="E819" t="s">
        <v>34</v>
      </c>
      <c r="F819">
        <v>1</v>
      </c>
      <c r="G819" t="str">
        <f t="shared" si="11"/>
        <v>M0113-A-50-1</v>
      </c>
      <c r="H819">
        <v>89.49</v>
      </c>
      <c r="I819">
        <v>90.4</v>
      </c>
    </row>
    <row r="820" spans="1:9" x14ac:dyDescent="0.3">
      <c r="A820">
        <v>501</v>
      </c>
      <c r="B820" t="s">
        <v>61</v>
      </c>
      <c r="C820" t="s">
        <v>31</v>
      </c>
      <c r="D820">
        <v>51</v>
      </c>
      <c r="E820" t="s">
        <v>34</v>
      </c>
      <c r="F820">
        <v>1</v>
      </c>
      <c r="G820" t="str">
        <f t="shared" si="11"/>
        <v>M0113-A-51-1</v>
      </c>
      <c r="H820">
        <v>90.99</v>
      </c>
      <c r="I820">
        <v>92.15</v>
      </c>
    </row>
    <row r="821" spans="1:9" x14ac:dyDescent="0.3">
      <c r="A821">
        <v>501</v>
      </c>
      <c r="B821" t="s">
        <v>61</v>
      </c>
      <c r="C821" t="s">
        <v>31</v>
      </c>
      <c r="D821">
        <v>53</v>
      </c>
      <c r="E821" t="s">
        <v>34</v>
      </c>
      <c r="F821">
        <v>1</v>
      </c>
      <c r="G821" t="str">
        <f t="shared" si="11"/>
        <v>M0113-A-53-1</v>
      </c>
      <c r="H821">
        <v>93.99</v>
      </c>
      <c r="I821">
        <v>95.49</v>
      </c>
    </row>
    <row r="822" spans="1:9" x14ac:dyDescent="0.3">
      <c r="A822">
        <v>501</v>
      </c>
      <c r="B822" t="s">
        <v>61</v>
      </c>
      <c r="C822" t="s">
        <v>31</v>
      </c>
      <c r="D822">
        <v>53</v>
      </c>
      <c r="E822" t="s">
        <v>34</v>
      </c>
      <c r="F822">
        <v>2</v>
      </c>
      <c r="G822" t="str">
        <f t="shared" si="11"/>
        <v>M0113-A-53-2</v>
      </c>
      <c r="H822">
        <v>95.49</v>
      </c>
      <c r="I822">
        <v>96.69</v>
      </c>
    </row>
    <row r="823" spans="1:9" x14ac:dyDescent="0.3">
      <c r="A823">
        <v>501</v>
      </c>
      <c r="B823" t="s">
        <v>61</v>
      </c>
      <c r="C823" t="s">
        <v>31</v>
      </c>
      <c r="D823">
        <v>54</v>
      </c>
      <c r="E823" t="s">
        <v>34</v>
      </c>
      <c r="F823">
        <v>1</v>
      </c>
      <c r="G823" t="str">
        <f t="shared" si="11"/>
        <v>M0113-A-54-1</v>
      </c>
      <c r="H823">
        <v>95.49</v>
      </c>
      <c r="I823">
        <v>96.72</v>
      </c>
    </row>
    <row r="824" spans="1:9" x14ac:dyDescent="0.3">
      <c r="A824">
        <v>501</v>
      </c>
      <c r="B824" t="s">
        <v>61</v>
      </c>
      <c r="C824" t="s">
        <v>31</v>
      </c>
      <c r="D824">
        <v>55</v>
      </c>
      <c r="E824" t="s">
        <v>57</v>
      </c>
      <c r="F824">
        <v>1</v>
      </c>
      <c r="G824" t="str">
        <f t="shared" ref="G824:G887" si="12">CONCATENATE(B824, "-",C824, "-", D824, "-", F824)</f>
        <v>M0113-A-55-1</v>
      </c>
      <c r="H824">
        <v>96.99</v>
      </c>
      <c r="I824">
        <v>97.99</v>
      </c>
    </row>
    <row r="825" spans="1:9" x14ac:dyDescent="0.3">
      <c r="A825">
        <v>501</v>
      </c>
      <c r="B825" t="s">
        <v>61</v>
      </c>
      <c r="C825" t="s">
        <v>31</v>
      </c>
      <c r="D825">
        <v>55</v>
      </c>
      <c r="E825" t="s">
        <v>57</v>
      </c>
      <c r="F825">
        <v>2</v>
      </c>
      <c r="G825" t="str">
        <f t="shared" si="12"/>
        <v>M0113-A-55-2</v>
      </c>
      <c r="H825">
        <v>97.99</v>
      </c>
      <c r="I825">
        <v>98.99</v>
      </c>
    </row>
    <row r="826" spans="1:9" x14ac:dyDescent="0.3">
      <c r="A826">
        <v>501</v>
      </c>
      <c r="B826" t="s">
        <v>61</v>
      </c>
      <c r="C826" t="s">
        <v>31</v>
      </c>
      <c r="D826">
        <v>56</v>
      </c>
      <c r="E826" t="s">
        <v>57</v>
      </c>
      <c r="F826">
        <v>1</v>
      </c>
      <c r="G826" t="str">
        <f t="shared" si="12"/>
        <v>M0113-A-56-1</v>
      </c>
      <c r="H826">
        <v>98.99</v>
      </c>
      <c r="I826">
        <v>100.49</v>
      </c>
    </row>
    <row r="827" spans="1:9" x14ac:dyDescent="0.3">
      <c r="A827">
        <v>501</v>
      </c>
      <c r="B827" t="s">
        <v>61</v>
      </c>
      <c r="C827" t="s">
        <v>31</v>
      </c>
      <c r="D827">
        <v>56</v>
      </c>
      <c r="E827" t="s">
        <v>57</v>
      </c>
      <c r="F827">
        <v>2</v>
      </c>
      <c r="G827" t="str">
        <f t="shared" si="12"/>
        <v>M0113-A-56-2</v>
      </c>
      <c r="H827">
        <v>100.49</v>
      </c>
      <c r="I827">
        <v>101.4</v>
      </c>
    </row>
    <row r="828" spans="1:9" x14ac:dyDescent="0.3">
      <c r="A828">
        <v>501</v>
      </c>
      <c r="B828" t="s">
        <v>61</v>
      </c>
      <c r="C828" t="s">
        <v>31</v>
      </c>
      <c r="D828">
        <v>57</v>
      </c>
      <c r="E828" t="s">
        <v>57</v>
      </c>
      <c r="F828">
        <v>1</v>
      </c>
      <c r="G828" t="str">
        <f t="shared" si="12"/>
        <v>M0113-A-57-1</v>
      </c>
      <c r="H828">
        <v>101.4</v>
      </c>
      <c r="I828">
        <v>102.35</v>
      </c>
    </row>
    <row r="829" spans="1:9" x14ac:dyDescent="0.3">
      <c r="A829">
        <v>501</v>
      </c>
      <c r="B829" t="s">
        <v>61</v>
      </c>
      <c r="C829" t="s">
        <v>31</v>
      </c>
      <c r="D829">
        <v>57</v>
      </c>
      <c r="E829" t="s">
        <v>57</v>
      </c>
      <c r="F829">
        <v>2</v>
      </c>
      <c r="G829" t="str">
        <f t="shared" si="12"/>
        <v>M0113-A-57-2</v>
      </c>
      <c r="H829">
        <v>102.35</v>
      </c>
      <c r="I829">
        <v>103.38</v>
      </c>
    </row>
    <row r="830" spans="1:9" x14ac:dyDescent="0.3">
      <c r="A830">
        <v>501</v>
      </c>
      <c r="B830" t="s">
        <v>61</v>
      </c>
      <c r="C830" t="s">
        <v>31</v>
      </c>
      <c r="D830">
        <v>58</v>
      </c>
      <c r="E830" t="s">
        <v>57</v>
      </c>
      <c r="F830">
        <v>1</v>
      </c>
      <c r="G830" t="str">
        <f t="shared" si="12"/>
        <v>M0113-A-58-1</v>
      </c>
      <c r="H830">
        <v>103.38</v>
      </c>
      <c r="I830">
        <v>104.38</v>
      </c>
    </row>
    <row r="831" spans="1:9" x14ac:dyDescent="0.3">
      <c r="A831">
        <v>501</v>
      </c>
      <c r="B831" t="s">
        <v>61</v>
      </c>
      <c r="C831" t="s">
        <v>31</v>
      </c>
      <c r="D831">
        <v>58</v>
      </c>
      <c r="E831" t="s">
        <v>57</v>
      </c>
      <c r="F831">
        <v>2</v>
      </c>
      <c r="G831" t="str">
        <f t="shared" si="12"/>
        <v>M0113-A-58-2</v>
      </c>
      <c r="H831">
        <v>104.38</v>
      </c>
      <c r="I831">
        <v>105.03</v>
      </c>
    </row>
    <row r="832" spans="1:9" x14ac:dyDescent="0.3">
      <c r="A832">
        <v>501</v>
      </c>
      <c r="B832" t="s">
        <v>61</v>
      </c>
      <c r="C832" t="s">
        <v>31</v>
      </c>
      <c r="D832">
        <v>59</v>
      </c>
      <c r="E832" t="s">
        <v>57</v>
      </c>
      <c r="F832">
        <v>1</v>
      </c>
      <c r="G832" t="str">
        <f t="shared" si="12"/>
        <v>M0113-A-59-1</v>
      </c>
      <c r="H832">
        <v>104.22</v>
      </c>
      <c r="I832">
        <v>104.9</v>
      </c>
    </row>
    <row r="833" spans="1:9" x14ac:dyDescent="0.3">
      <c r="A833">
        <v>501</v>
      </c>
      <c r="B833" t="s">
        <v>61</v>
      </c>
      <c r="C833" t="s">
        <v>31</v>
      </c>
      <c r="D833">
        <v>59</v>
      </c>
      <c r="E833" t="s">
        <v>57</v>
      </c>
      <c r="F833">
        <v>2</v>
      </c>
      <c r="G833" t="str">
        <f t="shared" si="12"/>
        <v>M0113-A-59-2</v>
      </c>
      <c r="H833">
        <v>104.9</v>
      </c>
      <c r="I833">
        <v>105.03</v>
      </c>
    </row>
    <row r="834" spans="1:9" x14ac:dyDescent="0.3">
      <c r="A834">
        <v>501</v>
      </c>
      <c r="B834" t="s">
        <v>61</v>
      </c>
      <c r="C834" t="s">
        <v>31</v>
      </c>
      <c r="D834">
        <v>60</v>
      </c>
      <c r="E834" t="s">
        <v>57</v>
      </c>
      <c r="F834">
        <v>1</v>
      </c>
      <c r="G834" t="str">
        <f t="shared" si="12"/>
        <v>M0113-A-60-1</v>
      </c>
      <c r="H834">
        <v>105.03</v>
      </c>
      <c r="I834">
        <v>105.75</v>
      </c>
    </row>
    <row r="835" spans="1:9" x14ac:dyDescent="0.3">
      <c r="A835">
        <v>501</v>
      </c>
      <c r="B835" t="s">
        <v>61</v>
      </c>
      <c r="C835" t="s">
        <v>31</v>
      </c>
      <c r="D835">
        <v>60</v>
      </c>
      <c r="E835" t="s">
        <v>57</v>
      </c>
      <c r="F835">
        <v>2</v>
      </c>
      <c r="G835" t="str">
        <f t="shared" si="12"/>
        <v>M0113-A-60-2</v>
      </c>
      <c r="H835">
        <v>105.75</v>
      </c>
      <c r="I835">
        <v>105.9</v>
      </c>
    </row>
    <row r="836" spans="1:9" x14ac:dyDescent="0.3">
      <c r="A836">
        <v>501</v>
      </c>
      <c r="B836" t="s">
        <v>61</v>
      </c>
      <c r="C836" t="s">
        <v>31</v>
      </c>
      <c r="D836">
        <v>61</v>
      </c>
      <c r="E836" t="s">
        <v>34</v>
      </c>
      <c r="F836">
        <v>1</v>
      </c>
      <c r="G836" t="str">
        <f t="shared" si="12"/>
        <v>M0113-A-61-1</v>
      </c>
      <c r="H836">
        <v>105.9</v>
      </c>
      <c r="I836">
        <v>106.49</v>
      </c>
    </row>
    <row r="837" spans="1:9" x14ac:dyDescent="0.3">
      <c r="A837">
        <v>501</v>
      </c>
      <c r="B837" t="s">
        <v>61</v>
      </c>
      <c r="C837" t="s">
        <v>31</v>
      </c>
      <c r="D837">
        <v>62</v>
      </c>
      <c r="E837" t="s">
        <v>34</v>
      </c>
      <c r="F837">
        <v>1</v>
      </c>
      <c r="G837" t="str">
        <f t="shared" si="12"/>
        <v>M0113-A-62-1</v>
      </c>
      <c r="H837">
        <v>107.49</v>
      </c>
      <c r="I837">
        <v>107.96</v>
      </c>
    </row>
    <row r="838" spans="1:9" x14ac:dyDescent="0.3">
      <c r="A838">
        <v>501</v>
      </c>
      <c r="B838" t="s">
        <v>61</v>
      </c>
      <c r="C838" t="s">
        <v>31</v>
      </c>
      <c r="D838">
        <v>63</v>
      </c>
      <c r="E838" t="s">
        <v>57</v>
      </c>
      <c r="F838">
        <v>1</v>
      </c>
      <c r="G838" t="str">
        <f t="shared" si="12"/>
        <v>M0113-A-63-1</v>
      </c>
      <c r="H838">
        <v>108.99</v>
      </c>
      <c r="I838">
        <v>109.8</v>
      </c>
    </row>
    <row r="839" spans="1:9" x14ac:dyDescent="0.3">
      <c r="A839">
        <v>501</v>
      </c>
      <c r="B839" t="s">
        <v>61</v>
      </c>
      <c r="C839" t="s">
        <v>31</v>
      </c>
      <c r="D839">
        <v>63</v>
      </c>
      <c r="E839" t="s">
        <v>57</v>
      </c>
      <c r="F839">
        <v>2</v>
      </c>
      <c r="G839" t="str">
        <f t="shared" si="12"/>
        <v>M0113-A-63-2</v>
      </c>
      <c r="H839">
        <v>109.8</v>
      </c>
      <c r="I839">
        <v>109.93</v>
      </c>
    </row>
    <row r="840" spans="1:9" x14ac:dyDescent="0.3">
      <c r="A840">
        <v>501</v>
      </c>
      <c r="B840" t="s">
        <v>61</v>
      </c>
      <c r="C840" t="s">
        <v>31</v>
      </c>
      <c r="D840">
        <v>65</v>
      </c>
      <c r="E840" t="s">
        <v>34</v>
      </c>
      <c r="F840">
        <v>1</v>
      </c>
      <c r="G840" t="str">
        <f t="shared" si="12"/>
        <v>M0113-A-65-1</v>
      </c>
      <c r="H840">
        <v>109.93</v>
      </c>
      <c r="I840">
        <v>110.92</v>
      </c>
    </row>
    <row r="841" spans="1:9" x14ac:dyDescent="0.3">
      <c r="A841">
        <v>501</v>
      </c>
      <c r="B841" t="s">
        <v>61</v>
      </c>
      <c r="C841" t="s">
        <v>31</v>
      </c>
      <c r="D841">
        <v>65</v>
      </c>
      <c r="E841" t="s">
        <v>34</v>
      </c>
      <c r="F841">
        <v>2</v>
      </c>
      <c r="G841" t="str">
        <f t="shared" si="12"/>
        <v>M0113-A-65-2</v>
      </c>
      <c r="H841">
        <v>110.92</v>
      </c>
      <c r="I841">
        <v>111.31</v>
      </c>
    </row>
    <row r="842" spans="1:9" x14ac:dyDescent="0.3">
      <c r="A842">
        <v>501</v>
      </c>
      <c r="B842" t="s">
        <v>61</v>
      </c>
      <c r="C842" t="s">
        <v>31</v>
      </c>
      <c r="D842">
        <v>66</v>
      </c>
      <c r="E842" t="s">
        <v>34</v>
      </c>
      <c r="F842">
        <v>1</v>
      </c>
      <c r="G842" t="str">
        <f t="shared" si="12"/>
        <v>M0113-A-66-1</v>
      </c>
      <c r="H842">
        <v>111.99</v>
      </c>
      <c r="I842">
        <v>112.23</v>
      </c>
    </row>
    <row r="843" spans="1:9" x14ac:dyDescent="0.3">
      <c r="A843">
        <v>501</v>
      </c>
      <c r="B843" t="s">
        <v>61</v>
      </c>
      <c r="C843" t="s">
        <v>31</v>
      </c>
      <c r="D843">
        <v>67</v>
      </c>
      <c r="E843" t="s">
        <v>34</v>
      </c>
      <c r="F843">
        <v>1</v>
      </c>
      <c r="G843" t="str">
        <f t="shared" si="12"/>
        <v>M0113-A-67-1</v>
      </c>
      <c r="H843">
        <v>113.49</v>
      </c>
      <c r="I843">
        <v>114.99</v>
      </c>
    </row>
    <row r="844" spans="1:9" x14ac:dyDescent="0.3">
      <c r="A844">
        <v>501</v>
      </c>
      <c r="B844" t="s">
        <v>61</v>
      </c>
      <c r="C844" t="s">
        <v>31</v>
      </c>
      <c r="D844">
        <v>64</v>
      </c>
      <c r="E844" t="s">
        <v>57</v>
      </c>
      <c r="F844">
        <v>1</v>
      </c>
      <c r="G844" t="str">
        <f t="shared" si="12"/>
        <v>M0113-A-64-1</v>
      </c>
      <c r="H844">
        <v>109.93</v>
      </c>
      <c r="I844">
        <v>110.14</v>
      </c>
    </row>
    <row r="845" spans="1:9" x14ac:dyDescent="0.3">
      <c r="A845">
        <v>501</v>
      </c>
      <c r="B845" t="s">
        <v>61</v>
      </c>
      <c r="C845" t="s">
        <v>31</v>
      </c>
      <c r="D845">
        <v>68</v>
      </c>
      <c r="E845" t="s">
        <v>34</v>
      </c>
      <c r="F845">
        <v>1</v>
      </c>
      <c r="G845" t="str">
        <f t="shared" si="12"/>
        <v>M0113-A-68-1</v>
      </c>
      <c r="H845">
        <v>114.99</v>
      </c>
      <c r="I845">
        <v>115.44</v>
      </c>
    </row>
    <row r="846" spans="1:9" x14ac:dyDescent="0.3">
      <c r="A846">
        <v>501</v>
      </c>
      <c r="B846" t="s">
        <v>61</v>
      </c>
      <c r="C846" t="s">
        <v>31</v>
      </c>
      <c r="D846">
        <v>69</v>
      </c>
      <c r="E846" t="s">
        <v>34</v>
      </c>
      <c r="F846">
        <v>1</v>
      </c>
      <c r="G846" t="str">
        <f t="shared" si="12"/>
        <v>M0113-A-69-1</v>
      </c>
      <c r="H846">
        <v>116.49</v>
      </c>
      <c r="I846">
        <v>116.92</v>
      </c>
    </row>
    <row r="847" spans="1:9" x14ac:dyDescent="0.3">
      <c r="A847">
        <v>501</v>
      </c>
      <c r="B847" t="s">
        <v>61</v>
      </c>
      <c r="C847" t="s">
        <v>31</v>
      </c>
      <c r="D847">
        <v>70</v>
      </c>
      <c r="E847" t="s">
        <v>34</v>
      </c>
      <c r="F847">
        <v>1</v>
      </c>
      <c r="G847" t="str">
        <f t="shared" si="12"/>
        <v>M0113-A-70-1</v>
      </c>
      <c r="H847">
        <v>117.99</v>
      </c>
      <c r="I847">
        <v>118.97</v>
      </c>
    </row>
    <row r="848" spans="1:9" x14ac:dyDescent="0.3">
      <c r="A848">
        <v>501</v>
      </c>
      <c r="B848" t="s">
        <v>61</v>
      </c>
      <c r="C848" t="s">
        <v>31</v>
      </c>
      <c r="D848">
        <v>71</v>
      </c>
      <c r="E848" t="s">
        <v>34</v>
      </c>
      <c r="F848">
        <v>1</v>
      </c>
      <c r="G848" t="str">
        <f t="shared" si="12"/>
        <v>M0113-A-71-1</v>
      </c>
      <c r="H848">
        <v>119.49</v>
      </c>
      <c r="I848">
        <v>119.85</v>
      </c>
    </row>
    <row r="849" spans="1:9" x14ac:dyDescent="0.3">
      <c r="A849">
        <v>501</v>
      </c>
      <c r="B849" t="s">
        <v>61</v>
      </c>
      <c r="C849" t="s">
        <v>31</v>
      </c>
      <c r="D849">
        <v>72</v>
      </c>
      <c r="E849" t="s">
        <v>34</v>
      </c>
      <c r="F849">
        <v>1</v>
      </c>
      <c r="G849" t="str">
        <f t="shared" si="12"/>
        <v>M0113-A-72-1</v>
      </c>
      <c r="H849">
        <v>120.99</v>
      </c>
      <c r="I849">
        <v>122.11</v>
      </c>
    </row>
    <row r="850" spans="1:9" x14ac:dyDescent="0.3">
      <c r="A850">
        <v>501</v>
      </c>
      <c r="B850" t="s">
        <v>61</v>
      </c>
      <c r="C850" t="s">
        <v>31</v>
      </c>
      <c r="D850">
        <v>73</v>
      </c>
      <c r="E850" t="s">
        <v>34</v>
      </c>
      <c r="F850">
        <v>1</v>
      </c>
      <c r="G850" t="str">
        <f t="shared" si="12"/>
        <v>M0113-A-73-1</v>
      </c>
      <c r="H850">
        <v>122.49</v>
      </c>
      <c r="I850">
        <v>122.99</v>
      </c>
    </row>
    <row r="851" spans="1:9" x14ac:dyDescent="0.3">
      <c r="A851">
        <v>501</v>
      </c>
      <c r="B851" t="s">
        <v>61</v>
      </c>
      <c r="C851" t="s">
        <v>31</v>
      </c>
      <c r="D851">
        <v>74</v>
      </c>
      <c r="E851" t="s">
        <v>34</v>
      </c>
      <c r="F851">
        <v>1</v>
      </c>
      <c r="G851" t="str">
        <f t="shared" si="12"/>
        <v>M0113-A-74-1</v>
      </c>
      <c r="H851">
        <v>123.99</v>
      </c>
      <c r="I851">
        <v>124.53</v>
      </c>
    </row>
    <row r="852" spans="1:9" x14ac:dyDescent="0.3">
      <c r="A852">
        <v>501</v>
      </c>
      <c r="B852" t="s">
        <v>61</v>
      </c>
      <c r="C852" t="s">
        <v>31</v>
      </c>
      <c r="D852">
        <v>75</v>
      </c>
      <c r="E852" t="s">
        <v>34</v>
      </c>
      <c r="F852">
        <v>1</v>
      </c>
      <c r="G852" t="str">
        <f t="shared" si="12"/>
        <v>M0113-A-75-1</v>
      </c>
      <c r="H852">
        <v>125.49</v>
      </c>
      <c r="I852">
        <v>126.11</v>
      </c>
    </row>
    <row r="853" spans="1:9" x14ac:dyDescent="0.3">
      <c r="A853">
        <v>501</v>
      </c>
      <c r="B853" t="s">
        <v>61</v>
      </c>
      <c r="C853" t="s">
        <v>31</v>
      </c>
      <c r="D853">
        <v>75</v>
      </c>
      <c r="E853" t="s">
        <v>34</v>
      </c>
      <c r="F853">
        <v>2</v>
      </c>
      <c r="G853" t="str">
        <f t="shared" si="12"/>
        <v>M0113-A-75-2</v>
      </c>
      <c r="H853">
        <v>126.11</v>
      </c>
      <c r="I853">
        <v>126.51</v>
      </c>
    </row>
    <row r="854" spans="1:9" x14ac:dyDescent="0.3">
      <c r="A854">
        <v>501</v>
      </c>
      <c r="B854" t="s">
        <v>61</v>
      </c>
      <c r="C854" t="s">
        <v>31</v>
      </c>
      <c r="D854">
        <v>76</v>
      </c>
      <c r="E854" t="s">
        <v>34</v>
      </c>
      <c r="F854">
        <v>1</v>
      </c>
      <c r="G854" t="str">
        <f t="shared" si="12"/>
        <v>M0113-A-76-1</v>
      </c>
      <c r="H854">
        <v>126.99</v>
      </c>
      <c r="I854">
        <v>127.08</v>
      </c>
    </row>
    <row r="855" spans="1:9" x14ac:dyDescent="0.3">
      <c r="A855">
        <v>501</v>
      </c>
      <c r="B855" t="s">
        <v>61</v>
      </c>
      <c r="C855" t="s">
        <v>31</v>
      </c>
      <c r="D855">
        <v>77</v>
      </c>
      <c r="E855" t="s">
        <v>34</v>
      </c>
      <c r="F855">
        <v>1</v>
      </c>
      <c r="G855" t="str">
        <f t="shared" si="12"/>
        <v>M0113-A-77-1</v>
      </c>
      <c r="H855">
        <v>128.49</v>
      </c>
      <c r="I855">
        <v>128.69</v>
      </c>
    </row>
    <row r="856" spans="1:9" x14ac:dyDescent="0.3">
      <c r="A856">
        <v>501</v>
      </c>
      <c r="B856" t="s">
        <v>61</v>
      </c>
      <c r="C856" t="s">
        <v>31</v>
      </c>
      <c r="D856">
        <v>78</v>
      </c>
      <c r="E856" t="s">
        <v>57</v>
      </c>
      <c r="F856">
        <v>1</v>
      </c>
      <c r="G856" t="str">
        <f t="shared" si="12"/>
        <v>M0113-A-78-1</v>
      </c>
      <c r="H856">
        <v>129.99</v>
      </c>
      <c r="I856">
        <v>131.49</v>
      </c>
    </row>
    <row r="857" spans="1:9" x14ac:dyDescent="0.3">
      <c r="A857">
        <v>501</v>
      </c>
      <c r="B857" t="s">
        <v>61</v>
      </c>
      <c r="C857" t="s">
        <v>31</v>
      </c>
      <c r="D857">
        <v>78</v>
      </c>
      <c r="E857" t="s">
        <v>57</v>
      </c>
      <c r="F857">
        <v>2</v>
      </c>
      <c r="G857" t="str">
        <f t="shared" si="12"/>
        <v>M0113-A-78-2</v>
      </c>
      <c r="H857">
        <v>131.49</v>
      </c>
      <c r="I857">
        <v>132.29</v>
      </c>
    </row>
    <row r="858" spans="1:9" x14ac:dyDescent="0.3">
      <c r="A858">
        <v>501</v>
      </c>
      <c r="B858" t="s">
        <v>61</v>
      </c>
      <c r="C858" t="s">
        <v>31</v>
      </c>
      <c r="D858">
        <v>80</v>
      </c>
      <c r="E858" t="s">
        <v>34</v>
      </c>
      <c r="F858">
        <v>1</v>
      </c>
      <c r="G858" t="str">
        <f t="shared" si="12"/>
        <v>M0113-A-80-1</v>
      </c>
      <c r="H858">
        <v>132.29</v>
      </c>
      <c r="I858">
        <v>132.91</v>
      </c>
    </row>
    <row r="859" spans="1:9" x14ac:dyDescent="0.3">
      <c r="A859">
        <v>501</v>
      </c>
      <c r="B859" t="s">
        <v>61</v>
      </c>
      <c r="C859" t="s">
        <v>31</v>
      </c>
      <c r="D859">
        <v>81</v>
      </c>
      <c r="E859" t="s">
        <v>34</v>
      </c>
      <c r="F859">
        <v>1</v>
      </c>
      <c r="G859" t="str">
        <f t="shared" si="12"/>
        <v>M0113-A-81-1</v>
      </c>
      <c r="H859">
        <v>134.49</v>
      </c>
      <c r="I859">
        <v>135.05000000000001</v>
      </c>
    </row>
    <row r="860" spans="1:9" x14ac:dyDescent="0.3">
      <c r="A860">
        <v>501</v>
      </c>
      <c r="B860" t="s">
        <v>61</v>
      </c>
      <c r="C860" t="s">
        <v>31</v>
      </c>
      <c r="D860">
        <v>81</v>
      </c>
      <c r="E860" t="s">
        <v>34</v>
      </c>
      <c r="F860">
        <v>2</v>
      </c>
      <c r="G860" t="str">
        <f t="shared" si="12"/>
        <v>M0113-A-81-2</v>
      </c>
      <c r="H860">
        <v>135.05000000000001</v>
      </c>
      <c r="I860">
        <v>135.44</v>
      </c>
    </row>
    <row r="861" spans="1:9" x14ac:dyDescent="0.3">
      <c r="A861">
        <v>501</v>
      </c>
      <c r="B861" t="s">
        <v>61</v>
      </c>
      <c r="C861" t="s">
        <v>31</v>
      </c>
      <c r="D861">
        <v>82</v>
      </c>
      <c r="E861" t="s">
        <v>34</v>
      </c>
      <c r="F861">
        <v>1</v>
      </c>
      <c r="G861" t="str">
        <f t="shared" si="12"/>
        <v>M0113-A-82-1</v>
      </c>
      <c r="H861">
        <v>135.99</v>
      </c>
      <c r="I861">
        <v>137.06</v>
      </c>
    </row>
    <row r="862" spans="1:9" x14ac:dyDescent="0.3">
      <c r="A862">
        <v>501</v>
      </c>
      <c r="B862" t="s">
        <v>61</v>
      </c>
      <c r="C862" t="s">
        <v>31</v>
      </c>
      <c r="D862">
        <v>83</v>
      </c>
      <c r="E862" t="s">
        <v>34</v>
      </c>
      <c r="F862">
        <v>1</v>
      </c>
      <c r="G862" t="str">
        <f t="shared" si="12"/>
        <v>M0113-A-83-1</v>
      </c>
      <c r="H862">
        <v>137.49</v>
      </c>
      <c r="I862">
        <v>138.91999999999999</v>
      </c>
    </row>
    <row r="863" spans="1:9" x14ac:dyDescent="0.3">
      <c r="A863">
        <v>501</v>
      </c>
      <c r="B863" t="s">
        <v>61</v>
      </c>
      <c r="C863" t="s">
        <v>31</v>
      </c>
      <c r="D863">
        <v>83</v>
      </c>
      <c r="E863" t="s">
        <v>34</v>
      </c>
      <c r="F863">
        <v>2</v>
      </c>
      <c r="G863" t="str">
        <f t="shared" si="12"/>
        <v>M0113-A-83-2</v>
      </c>
      <c r="H863">
        <v>138.91999999999999</v>
      </c>
      <c r="I863">
        <v>139.02000000000001</v>
      </c>
    </row>
    <row r="864" spans="1:9" x14ac:dyDescent="0.3">
      <c r="A864">
        <v>501</v>
      </c>
      <c r="B864" t="s">
        <v>61</v>
      </c>
      <c r="C864" t="s">
        <v>31</v>
      </c>
      <c r="D864">
        <v>84</v>
      </c>
      <c r="E864" t="s">
        <v>34</v>
      </c>
      <c r="F864">
        <v>1</v>
      </c>
      <c r="G864" t="str">
        <f t="shared" si="12"/>
        <v>M0113-A-84-1</v>
      </c>
      <c r="H864">
        <v>138.99</v>
      </c>
      <c r="I864">
        <v>139.69</v>
      </c>
    </row>
    <row r="865" spans="1:9" x14ac:dyDescent="0.3">
      <c r="A865">
        <v>501</v>
      </c>
      <c r="B865" t="s">
        <v>61</v>
      </c>
      <c r="C865" t="s">
        <v>31</v>
      </c>
      <c r="D865">
        <v>84</v>
      </c>
      <c r="E865" t="s">
        <v>34</v>
      </c>
      <c r="F865">
        <v>2</v>
      </c>
      <c r="G865" t="str">
        <f t="shared" si="12"/>
        <v>M0113-A-84-2</v>
      </c>
      <c r="H865">
        <v>139.69</v>
      </c>
      <c r="I865">
        <v>140.30000000000001</v>
      </c>
    </row>
    <row r="866" spans="1:9" x14ac:dyDescent="0.3">
      <c r="A866">
        <v>501</v>
      </c>
      <c r="B866" t="s">
        <v>61</v>
      </c>
      <c r="C866" t="s">
        <v>31</v>
      </c>
      <c r="D866">
        <v>85</v>
      </c>
      <c r="E866" t="s">
        <v>34</v>
      </c>
      <c r="F866">
        <v>1</v>
      </c>
      <c r="G866" t="str">
        <f t="shared" si="12"/>
        <v>M0113-A-85-1</v>
      </c>
      <c r="H866">
        <v>140.49</v>
      </c>
      <c r="I866">
        <v>141.99</v>
      </c>
    </row>
    <row r="867" spans="1:9" x14ac:dyDescent="0.3">
      <c r="A867">
        <v>501</v>
      </c>
      <c r="B867" t="s">
        <v>61</v>
      </c>
      <c r="C867" t="s">
        <v>31</v>
      </c>
      <c r="D867">
        <v>85</v>
      </c>
      <c r="E867" t="s">
        <v>34</v>
      </c>
      <c r="F867">
        <v>2</v>
      </c>
      <c r="G867" t="str">
        <f t="shared" si="12"/>
        <v>M0113-A-85-2</v>
      </c>
      <c r="H867">
        <v>141.99</v>
      </c>
      <c r="I867">
        <v>143.24</v>
      </c>
    </row>
    <row r="868" spans="1:9" x14ac:dyDescent="0.3">
      <c r="A868">
        <v>501</v>
      </c>
      <c r="B868" t="s">
        <v>61</v>
      </c>
      <c r="C868" t="s">
        <v>31</v>
      </c>
      <c r="D868">
        <v>86</v>
      </c>
      <c r="E868" t="s">
        <v>34</v>
      </c>
      <c r="F868">
        <v>1</v>
      </c>
      <c r="G868" t="str">
        <f t="shared" si="12"/>
        <v>M0113-A-86-1</v>
      </c>
      <c r="H868">
        <v>143.49</v>
      </c>
      <c r="I868">
        <v>144.49</v>
      </c>
    </row>
    <row r="869" spans="1:9" x14ac:dyDescent="0.3">
      <c r="A869">
        <v>501</v>
      </c>
      <c r="B869" t="s">
        <v>61</v>
      </c>
      <c r="C869" t="s">
        <v>31</v>
      </c>
      <c r="D869">
        <v>86</v>
      </c>
      <c r="E869" t="s">
        <v>34</v>
      </c>
      <c r="F869">
        <v>2</v>
      </c>
      <c r="G869" t="str">
        <f t="shared" si="12"/>
        <v>M0113-A-86-2</v>
      </c>
      <c r="H869">
        <v>144.49</v>
      </c>
      <c r="I869">
        <v>145.16</v>
      </c>
    </row>
    <row r="870" spans="1:9" x14ac:dyDescent="0.3">
      <c r="A870">
        <v>501</v>
      </c>
      <c r="B870" t="s">
        <v>61</v>
      </c>
      <c r="C870" t="s">
        <v>31</v>
      </c>
      <c r="D870">
        <v>87</v>
      </c>
      <c r="E870" t="s">
        <v>34</v>
      </c>
      <c r="F870">
        <v>1</v>
      </c>
      <c r="G870" t="str">
        <f t="shared" si="12"/>
        <v>M0113-A-87-1</v>
      </c>
      <c r="H870">
        <v>146.49</v>
      </c>
      <c r="I870">
        <v>147.49</v>
      </c>
    </row>
    <row r="871" spans="1:9" x14ac:dyDescent="0.3">
      <c r="A871">
        <v>501</v>
      </c>
      <c r="B871" t="s">
        <v>61</v>
      </c>
      <c r="C871" t="s">
        <v>31</v>
      </c>
      <c r="D871">
        <v>87</v>
      </c>
      <c r="E871" t="s">
        <v>34</v>
      </c>
      <c r="F871">
        <v>2</v>
      </c>
      <c r="G871" t="str">
        <f t="shared" si="12"/>
        <v>M0113-A-87-2</v>
      </c>
      <c r="H871">
        <v>147.49</v>
      </c>
      <c r="I871">
        <v>148</v>
      </c>
    </row>
    <row r="872" spans="1:9" x14ac:dyDescent="0.3">
      <c r="A872">
        <v>501</v>
      </c>
      <c r="B872" t="s">
        <v>61</v>
      </c>
      <c r="C872" t="s">
        <v>31</v>
      </c>
      <c r="D872">
        <v>88</v>
      </c>
      <c r="E872" t="s">
        <v>34</v>
      </c>
      <c r="F872">
        <v>1</v>
      </c>
      <c r="G872" t="str">
        <f t="shared" si="12"/>
        <v>M0113-A-88-1</v>
      </c>
      <c r="H872">
        <v>148.49</v>
      </c>
      <c r="I872">
        <v>149.99</v>
      </c>
    </row>
    <row r="873" spans="1:9" x14ac:dyDescent="0.3">
      <c r="A873">
        <v>501</v>
      </c>
      <c r="B873" t="s">
        <v>61</v>
      </c>
      <c r="C873" t="s">
        <v>31</v>
      </c>
      <c r="D873">
        <v>88</v>
      </c>
      <c r="E873" t="s">
        <v>34</v>
      </c>
      <c r="F873">
        <v>2</v>
      </c>
      <c r="G873" t="str">
        <f t="shared" si="12"/>
        <v>M0113-A-88-2</v>
      </c>
      <c r="H873">
        <v>149.99</v>
      </c>
      <c r="I873">
        <v>150.54</v>
      </c>
    </row>
    <row r="874" spans="1:9" x14ac:dyDescent="0.3">
      <c r="A874">
        <v>501</v>
      </c>
      <c r="B874" t="s">
        <v>61</v>
      </c>
      <c r="C874" t="s">
        <v>31</v>
      </c>
      <c r="D874">
        <v>89</v>
      </c>
      <c r="E874" t="s">
        <v>34</v>
      </c>
      <c r="F874">
        <v>1</v>
      </c>
      <c r="G874" t="str">
        <f t="shared" si="12"/>
        <v>M0113-A-89-1</v>
      </c>
      <c r="H874">
        <v>151.49</v>
      </c>
      <c r="I874">
        <v>152.34</v>
      </c>
    </row>
    <row r="875" spans="1:9" x14ac:dyDescent="0.3">
      <c r="A875">
        <v>501</v>
      </c>
      <c r="B875" t="s">
        <v>61</v>
      </c>
      <c r="C875" t="s">
        <v>31</v>
      </c>
      <c r="D875">
        <v>79</v>
      </c>
      <c r="E875" t="s">
        <v>57</v>
      </c>
      <c r="F875">
        <v>1</v>
      </c>
      <c r="G875" t="str">
        <f t="shared" si="12"/>
        <v>M0113-A-79-1</v>
      </c>
      <c r="H875">
        <v>131.59</v>
      </c>
      <c r="I875">
        <v>131.75</v>
      </c>
    </row>
    <row r="876" spans="1:9" x14ac:dyDescent="0.3">
      <c r="A876">
        <v>501</v>
      </c>
      <c r="B876" t="s">
        <v>61</v>
      </c>
      <c r="C876" t="s">
        <v>31</v>
      </c>
      <c r="D876">
        <v>90</v>
      </c>
      <c r="E876" t="s">
        <v>34</v>
      </c>
      <c r="F876">
        <v>1</v>
      </c>
      <c r="G876" t="str">
        <f t="shared" si="12"/>
        <v>M0113-A-90-1</v>
      </c>
      <c r="H876">
        <v>152.59</v>
      </c>
      <c r="I876">
        <v>153.63999999999999</v>
      </c>
    </row>
    <row r="877" spans="1:9" x14ac:dyDescent="0.3">
      <c r="A877">
        <v>501</v>
      </c>
      <c r="B877" t="s">
        <v>61</v>
      </c>
      <c r="C877" t="s">
        <v>31</v>
      </c>
      <c r="D877">
        <v>90</v>
      </c>
      <c r="E877" t="s">
        <v>34</v>
      </c>
      <c r="F877">
        <v>2</v>
      </c>
      <c r="G877" t="str">
        <f t="shared" si="12"/>
        <v>M0113-A-90-2</v>
      </c>
      <c r="H877">
        <v>153.63999999999999</v>
      </c>
      <c r="I877">
        <v>154.13999999999999</v>
      </c>
    </row>
    <row r="878" spans="1:9" x14ac:dyDescent="0.3">
      <c r="A878">
        <v>501</v>
      </c>
      <c r="B878" t="s">
        <v>61</v>
      </c>
      <c r="C878" t="s">
        <v>31</v>
      </c>
      <c r="D878">
        <v>91</v>
      </c>
      <c r="E878" t="s">
        <v>34</v>
      </c>
      <c r="F878">
        <v>1</v>
      </c>
      <c r="G878" t="str">
        <f t="shared" si="12"/>
        <v>M0113-A-91-1</v>
      </c>
      <c r="H878">
        <v>155.49</v>
      </c>
      <c r="I878">
        <v>155.88999999999999</v>
      </c>
    </row>
    <row r="879" spans="1:9" x14ac:dyDescent="0.3">
      <c r="A879">
        <v>501</v>
      </c>
      <c r="B879" t="s">
        <v>61</v>
      </c>
      <c r="C879" t="s">
        <v>31</v>
      </c>
      <c r="D879">
        <v>92</v>
      </c>
      <c r="E879" t="s">
        <v>34</v>
      </c>
      <c r="F879">
        <v>1</v>
      </c>
      <c r="G879" t="str">
        <f t="shared" si="12"/>
        <v>M0113-A-92-1</v>
      </c>
      <c r="H879">
        <v>158.49</v>
      </c>
      <c r="I879">
        <v>159.07</v>
      </c>
    </row>
    <row r="880" spans="1:9" x14ac:dyDescent="0.3">
      <c r="A880">
        <v>501</v>
      </c>
      <c r="B880" t="s">
        <v>61</v>
      </c>
      <c r="C880" t="s">
        <v>31</v>
      </c>
      <c r="D880">
        <v>93</v>
      </c>
      <c r="E880" t="s">
        <v>34</v>
      </c>
      <c r="F880">
        <v>1</v>
      </c>
      <c r="G880" t="str">
        <f t="shared" si="12"/>
        <v>M0113-A-93-1</v>
      </c>
      <c r="H880">
        <v>161.49</v>
      </c>
      <c r="I880">
        <v>162.01</v>
      </c>
    </row>
    <row r="881" spans="1:9" x14ac:dyDescent="0.3">
      <c r="A881">
        <v>501</v>
      </c>
      <c r="B881" t="s">
        <v>61</v>
      </c>
      <c r="C881" t="s">
        <v>31</v>
      </c>
      <c r="D881">
        <v>94</v>
      </c>
      <c r="E881" t="s">
        <v>34</v>
      </c>
      <c r="F881">
        <v>1</v>
      </c>
      <c r="G881" t="str">
        <f t="shared" si="12"/>
        <v>M0113-A-94-1</v>
      </c>
      <c r="H881">
        <v>162.99</v>
      </c>
      <c r="I881">
        <v>163.31</v>
      </c>
    </row>
    <row r="882" spans="1:9" x14ac:dyDescent="0.3">
      <c r="A882">
        <v>501</v>
      </c>
      <c r="B882" t="s">
        <v>61</v>
      </c>
      <c r="C882" t="s">
        <v>31</v>
      </c>
      <c r="D882">
        <v>95</v>
      </c>
      <c r="E882" t="s">
        <v>34</v>
      </c>
      <c r="F882">
        <v>1</v>
      </c>
      <c r="G882" t="str">
        <f t="shared" si="12"/>
        <v>M0113-A-95-1</v>
      </c>
      <c r="H882">
        <v>164.49</v>
      </c>
      <c r="I882">
        <v>164.88</v>
      </c>
    </row>
    <row r="883" spans="1:9" x14ac:dyDescent="0.3">
      <c r="A883">
        <v>501</v>
      </c>
      <c r="B883" t="s">
        <v>61</v>
      </c>
      <c r="C883" t="s">
        <v>31</v>
      </c>
      <c r="D883">
        <v>95</v>
      </c>
      <c r="E883" t="s">
        <v>34</v>
      </c>
      <c r="F883">
        <v>2</v>
      </c>
      <c r="G883" t="str">
        <f t="shared" si="12"/>
        <v>M0113-A-95-2</v>
      </c>
      <c r="H883">
        <v>164.88</v>
      </c>
      <c r="I883">
        <v>165.23</v>
      </c>
    </row>
    <row r="884" spans="1:9" x14ac:dyDescent="0.3">
      <c r="A884">
        <v>501</v>
      </c>
      <c r="B884" t="s">
        <v>61</v>
      </c>
      <c r="C884" t="s">
        <v>31</v>
      </c>
      <c r="D884">
        <v>96</v>
      </c>
      <c r="E884" t="s">
        <v>34</v>
      </c>
      <c r="F884">
        <v>1</v>
      </c>
      <c r="G884" t="str">
        <f t="shared" si="12"/>
        <v>M0113-A-96-1</v>
      </c>
      <c r="H884">
        <v>165.99</v>
      </c>
      <c r="I884">
        <v>166.36</v>
      </c>
    </row>
    <row r="885" spans="1:9" x14ac:dyDescent="0.3">
      <c r="A885">
        <v>501</v>
      </c>
      <c r="B885" t="s">
        <v>61</v>
      </c>
      <c r="C885" t="s">
        <v>31</v>
      </c>
      <c r="D885">
        <v>96</v>
      </c>
      <c r="E885" t="s">
        <v>34</v>
      </c>
      <c r="F885">
        <v>2</v>
      </c>
      <c r="G885" t="str">
        <f t="shared" si="12"/>
        <v>M0113-A-96-2</v>
      </c>
      <c r="H885">
        <v>166.36</v>
      </c>
      <c r="I885">
        <v>166.48</v>
      </c>
    </row>
    <row r="886" spans="1:9" x14ac:dyDescent="0.3">
      <c r="A886">
        <v>501</v>
      </c>
      <c r="B886" t="s">
        <v>61</v>
      </c>
      <c r="C886" t="s">
        <v>31</v>
      </c>
      <c r="D886">
        <v>97</v>
      </c>
      <c r="E886" t="s">
        <v>34</v>
      </c>
      <c r="F886">
        <v>1</v>
      </c>
      <c r="G886" t="str">
        <f t="shared" si="12"/>
        <v>M0113-A-97-1</v>
      </c>
      <c r="H886">
        <v>167.49</v>
      </c>
      <c r="I886">
        <v>168.94</v>
      </c>
    </row>
    <row r="887" spans="1:9" x14ac:dyDescent="0.3">
      <c r="A887">
        <v>501</v>
      </c>
      <c r="B887" t="s">
        <v>61</v>
      </c>
      <c r="C887" t="s">
        <v>31</v>
      </c>
      <c r="D887">
        <v>98</v>
      </c>
      <c r="E887" t="s">
        <v>34</v>
      </c>
      <c r="F887">
        <v>1</v>
      </c>
      <c r="G887" t="str">
        <f t="shared" si="12"/>
        <v>M0113-A-98-1</v>
      </c>
      <c r="H887">
        <v>168.99</v>
      </c>
      <c r="I887">
        <v>169.45</v>
      </c>
    </row>
    <row r="888" spans="1:9" x14ac:dyDescent="0.3">
      <c r="A888">
        <v>501</v>
      </c>
      <c r="B888" t="s">
        <v>61</v>
      </c>
      <c r="C888" t="s">
        <v>31</v>
      </c>
      <c r="D888">
        <v>99</v>
      </c>
      <c r="E888" t="s">
        <v>34</v>
      </c>
      <c r="F888">
        <v>1</v>
      </c>
      <c r="G888" t="str">
        <f t="shared" ref="G888:G951" si="13">CONCATENATE(B888, "-",C888, "-", D888, "-", F888)</f>
        <v>M0113-A-99-1</v>
      </c>
      <c r="H888">
        <v>170.49</v>
      </c>
      <c r="I888">
        <v>171.49</v>
      </c>
    </row>
    <row r="889" spans="1:9" x14ac:dyDescent="0.3">
      <c r="A889">
        <v>501</v>
      </c>
      <c r="B889" t="s">
        <v>61</v>
      </c>
      <c r="C889" t="s">
        <v>31</v>
      </c>
      <c r="D889">
        <v>99</v>
      </c>
      <c r="E889" t="s">
        <v>34</v>
      </c>
      <c r="F889">
        <v>2</v>
      </c>
      <c r="G889" t="str">
        <f t="shared" si="13"/>
        <v>M0113-A-99-2</v>
      </c>
      <c r="H889">
        <v>171.49</v>
      </c>
      <c r="I889">
        <v>171.91</v>
      </c>
    </row>
    <row r="890" spans="1:9" x14ac:dyDescent="0.3">
      <c r="A890">
        <v>501</v>
      </c>
      <c r="B890" t="s">
        <v>61</v>
      </c>
      <c r="C890" t="s">
        <v>31</v>
      </c>
      <c r="D890">
        <v>100</v>
      </c>
      <c r="E890" t="s">
        <v>34</v>
      </c>
      <c r="F890">
        <v>1</v>
      </c>
      <c r="G890" t="str">
        <f t="shared" si="13"/>
        <v>M0113-A-100-1</v>
      </c>
      <c r="H890">
        <v>171.99</v>
      </c>
      <c r="I890">
        <v>172.46</v>
      </c>
    </row>
    <row r="891" spans="1:9" x14ac:dyDescent="0.3">
      <c r="A891">
        <v>501</v>
      </c>
      <c r="B891" t="s">
        <v>61</v>
      </c>
      <c r="C891" t="s">
        <v>31</v>
      </c>
      <c r="D891">
        <v>101</v>
      </c>
      <c r="E891" t="s">
        <v>34</v>
      </c>
      <c r="F891">
        <v>1</v>
      </c>
      <c r="G891" t="str">
        <f t="shared" si="13"/>
        <v>M0113-A-101-1</v>
      </c>
      <c r="H891">
        <v>173.49</v>
      </c>
      <c r="I891">
        <v>173.96</v>
      </c>
    </row>
    <row r="892" spans="1:9" x14ac:dyDescent="0.3">
      <c r="A892">
        <v>501</v>
      </c>
      <c r="B892" t="s">
        <v>61</v>
      </c>
      <c r="C892" t="s">
        <v>31</v>
      </c>
      <c r="D892">
        <v>102</v>
      </c>
      <c r="E892" t="s">
        <v>34</v>
      </c>
      <c r="F892">
        <v>1</v>
      </c>
      <c r="G892" t="str">
        <f t="shared" si="13"/>
        <v>M0113-A-102-1</v>
      </c>
      <c r="H892">
        <v>174.99</v>
      </c>
      <c r="I892">
        <v>175.89</v>
      </c>
    </row>
    <row r="893" spans="1:9" x14ac:dyDescent="0.3">
      <c r="A893">
        <v>501</v>
      </c>
      <c r="B893" t="s">
        <v>61</v>
      </c>
      <c r="C893" t="s">
        <v>31</v>
      </c>
      <c r="D893">
        <v>102</v>
      </c>
      <c r="E893" t="s">
        <v>34</v>
      </c>
      <c r="F893">
        <v>2</v>
      </c>
      <c r="G893" t="str">
        <f t="shared" si="13"/>
        <v>M0113-A-102-2</v>
      </c>
      <c r="H893">
        <v>175.89</v>
      </c>
      <c r="I893">
        <v>176.34</v>
      </c>
    </row>
    <row r="894" spans="1:9" x14ac:dyDescent="0.3">
      <c r="A894">
        <v>501</v>
      </c>
      <c r="B894" t="s">
        <v>61</v>
      </c>
      <c r="C894" t="s">
        <v>31</v>
      </c>
      <c r="D894">
        <v>103</v>
      </c>
      <c r="E894" t="s">
        <v>34</v>
      </c>
      <c r="F894">
        <v>1</v>
      </c>
      <c r="G894" t="str">
        <f t="shared" si="13"/>
        <v>M0113-A-103-1</v>
      </c>
      <c r="H894">
        <v>176.49</v>
      </c>
      <c r="I894">
        <v>176.89</v>
      </c>
    </row>
    <row r="895" spans="1:9" x14ac:dyDescent="0.3">
      <c r="A895">
        <v>501</v>
      </c>
      <c r="B895" t="s">
        <v>61</v>
      </c>
      <c r="C895" t="s">
        <v>31</v>
      </c>
      <c r="D895">
        <v>104</v>
      </c>
      <c r="E895" t="s">
        <v>34</v>
      </c>
      <c r="F895">
        <v>1</v>
      </c>
      <c r="G895" t="str">
        <f t="shared" si="13"/>
        <v>M0113-A-104-1</v>
      </c>
      <c r="H895">
        <v>177.99</v>
      </c>
      <c r="I895">
        <v>179.45</v>
      </c>
    </row>
    <row r="896" spans="1:9" x14ac:dyDescent="0.3">
      <c r="A896">
        <v>501</v>
      </c>
      <c r="B896" t="s">
        <v>61</v>
      </c>
      <c r="C896" t="s">
        <v>31</v>
      </c>
      <c r="D896">
        <v>105</v>
      </c>
      <c r="E896" t="s">
        <v>34</v>
      </c>
      <c r="F896">
        <v>1</v>
      </c>
      <c r="G896" t="str">
        <f t="shared" si="13"/>
        <v>M0113-A-105-1</v>
      </c>
      <c r="H896">
        <v>179.49</v>
      </c>
      <c r="I896">
        <v>180.49</v>
      </c>
    </row>
    <row r="897" spans="1:9" x14ac:dyDescent="0.3">
      <c r="A897">
        <v>501</v>
      </c>
      <c r="B897" t="s">
        <v>61</v>
      </c>
      <c r="C897" t="s">
        <v>31</v>
      </c>
      <c r="D897">
        <v>105</v>
      </c>
      <c r="E897" t="s">
        <v>34</v>
      </c>
      <c r="F897">
        <v>2</v>
      </c>
      <c r="G897" t="str">
        <f t="shared" si="13"/>
        <v>M0113-A-105-2</v>
      </c>
      <c r="H897">
        <v>180.49</v>
      </c>
      <c r="I897">
        <v>181.19</v>
      </c>
    </row>
    <row r="898" spans="1:9" x14ac:dyDescent="0.3">
      <c r="A898">
        <v>501</v>
      </c>
      <c r="B898" t="s">
        <v>61</v>
      </c>
      <c r="C898" t="s">
        <v>31</v>
      </c>
      <c r="D898">
        <v>105</v>
      </c>
      <c r="E898" t="s">
        <v>34</v>
      </c>
      <c r="F898">
        <v>3</v>
      </c>
      <c r="G898" t="str">
        <f t="shared" si="13"/>
        <v>M0113-A-105-3</v>
      </c>
      <c r="H898">
        <v>181.19</v>
      </c>
      <c r="I898">
        <v>181.28</v>
      </c>
    </row>
    <row r="899" spans="1:9" x14ac:dyDescent="0.3">
      <c r="A899">
        <v>501</v>
      </c>
      <c r="B899" t="s">
        <v>61</v>
      </c>
      <c r="C899" t="s">
        <v>31</v>
      </c>
      <c r="D899">
        <v>106</v>
      </c>
      <c r="E899" t="s">
        <v>34</v>
      </c>
      <c r="F899">
        <v>1</v>
      </c>
      <c r="G899" t="str">
        <f t="shared" si="13"/>
        <v>M0113-A-106-1</v>
      </c>
      <c r="H899">
        <v>182.49</v>
      </c>
      <c r="I899">
        <v>182.72</v>
      </c>
    </row>
    <row r="900" spans="1:9" x14ac:dyDescent="0.3">
      <c r="A900">
        <v>501</v>
      </c>
      <c r="B900" t="s">
        <v>61</v>
      </c>
      <c r="C900" t="s">
        <v>31</v>
      </c>
      <c r="D900">
        <v>107</v>
      </c>
      <c r="E900" t="s">
        <v>34</v>
      </c>
      <c r="F900">
        <v>1</v>
      </c>
      <c r="G900" t="str">
        <f t="shared" si="13"/>
        <v>M0113-A-107-1</v>
      </c>
      <c r="H900">
        <v>185.49</v>
      </c>
      <c r="I900">
        <v>186.49</v>
      </c>
    </row>
    <row r="901" spans="1:9" x14ac:dyDescent="0.3">
      <c r="A901">
        <v>501</v>
      </c>
      <c r="B901" t="s">
        <v>61</v>
      </c>
      <c r="C901" t="s">
        <v>31</v>
      </c>
      <c r="D901">
        <v>107</v>
      </c>
      <c r="E901" t="s">
        <v>34</v>
      </c>
      <c r="F901">
        <v>2</v>
      </c>
      <c r="G901" t="str">
        <f t="shared" si="13"/>
        <v>M0113-A-107-2</v>
      </c>
      <c r="H901">
        <v>186.49</v>
      </c>
      <c r="I901">
        <v>187.07</v>
      </c>
    </row>
    <row r="902" spans="1:9" x14ac:dyDescent="0.3">
      <c r="A902">
        <v>501</v>
      </c>
      <c r="B902" t="s">
        <v>61</v>
      </c>
      <c r="C902" t="s">
        <v>31</v>
      </c>
      <c r="D902">
        <v>108</v>
      </c>
      <c r="E902" t="s">
        <v>34</v>
      </c>
      <c r="F902">
        <v>1</v>
      </c>
      <c r="G902" t="str">
        <f t="shared" si="13"/>
        <v>M0113-A-108-1</v>
      </c>
      <c r="H902">
        <v>186.99</v>
      </c>
      <c r="I902">
        <v>188.03</v>
      </c>
    </row>
    <row r="903" spans="1:9" x14ac:dyDescent="0.3">
      <c r="A903">
        <v>501</v>
      </c>
      <c r="B903" t="s">
        <v>61</v>
      </c>
      <c r="C903" t="s">
        <v>31</v>
      </c>
      <c r="D903">
        <v>109</v>
      </c>
      <c r="E903" t="s">
        <v>34</v>
      </c>
      <c r="F903">
        <v>1</v>
      </c>
      <c r="G903" t="str">
        <f t="shared" si="13"/>
        <v>M0113-A-109-1</v>
      </c>
      <c r="H903">
        <v>188.49</v>
      </c>
      <c r="I903">
        <v>188.75</v>
      </c>
    </row>
    <row r="904" spans="1:9" x14ac:dyDescent="0.3">
      <c r="A904">
        <v>501</v>
      </c>
      <c r="B904" t="s">
        <v>61</v>
      </c>
      <c r="C904" t="s">
        <v>31</v>
      </c>
      <c r="D904">
        <v>110</v>
      </c>
      <c r="E904" t="s">
        <v>34</v>
      </c>
      <c r="F904">
        <v>1</v>
      </c>
      <c r="G904" t="str">
        <f t="shared" si="13"/>
        <v>M0113-A-110-1</v>
      </c>
      <c r="H904">
        <v>189.99</v>
      </c>
      <c r="I904">
        <v>190.98</v>
      </c>
    </row>
    <row r="905" spans="1:9" x14ac:dyDescent="0.3">
      <c r="A905">
        <v>501</v>
      </c>
      <c r="B905" t="s">
        <v>61</v>
      </c>
      <c r="C905" t="s">
        <v>31</v>
      </c>
      <c r="D905">
        <v>110</v>
      </c>
      <c r="E905" t="s">
        <v>34</v>
      </c>
      <c r="F905">
        <v>2</v>
      </c>
      <c r="G905" t="str">
        <f t="shared" si="13"/>
        <v>M0113-A-110-2</v>
      </c>
      <c r="H905">
        <v>190.98</v>
      </c>
      <c r="I905">
        <v>191.48</v>
      </c>
    </row>
    <row r="906" spans="1:9" x14ac:dyDescent="0.3">
      <c r="A906">
        <v>501</v>
      </c>
      <c r="B906" t="s">
        <v>61</v>
      </c>
      <c r="C906" t="s">
        <v>31</v>
      </c>
      <c r="D906">
        <v>111</v>
      </c>
      <c r="E906" t="s">
        <v>34</v>
      </c>
      <c r="F906">
        <v>1</v>
      </c>
      <c r="G906" t="str">
        <f t="shared" si="13"/>
        <v>M0113-A-111-1</v>
      </c>
      <c r="H906">
        <v>191.49</v>
      </c>
      <c r="I906">
        <v>191.74</v>
      </c>
    </row>
    <row r="907" spans="1:9" x14ac:dyDescent="0.3">
      <c r="A907">
        <v>501</v>
      </c>
      <c r="B907" t="s">
        <v>61</v>
      </c>
      <c r="C907" t="s">
        <v>31</v>
      </c>
      <c r="D907">
        <v>112</v>
      </c>
      <c r="E907" t="s">
        <v>34</v>
      </c>
      <c r="F907">
        <v>1</v>
      </c>
      <c r="G907" t="str">
        <f t="shared" si="13"/>
        <v>M0113-A-112-1</v>
      </c>
      <c r="H907">
        <v>192.99</v>
      </c>
      <c r="I907">
        <v>193.26</v>
      </c>
    </row>
    <row r="908" spans="1:9" x14ac:dyDescent="0.3">
      <c r="A908">
        <v>501</v>
      </c>
      <c r="B908" t="s">
        <v>61</v>
      </c>
      <c r="C908" t="s">
        <v>31</v>
      </c>
      <c r="D908">
        <v>114</v>
      </c>
      <c r="E908" t="s">
        <v>34</v>
      </c>
      <c r="F908">
        <v>1</v>
      </c>
      <c r="G908" t="str">
        <f t="shared" si="13"/>
        <v>M0113-A-114-1</v>
      </c>
      <c r="H908">
        <v>195.99</v>
      </c>
      <c r="I908">
        <v>196.42</v>
      </c>
    </row>
    <row r="909" spans="1:9" x14ac:dyDescent="0.3">
      <c r="A909">
        <v>501</v>
      </c>
      <c r="B909" t="s">
        <v>61</v>
      </c>
      <c r="C909" t="s">
        <v>31</v>
      </c>
      <c r="D909">
        <v>115</v>
      </c>
      <c r="E909" t="s">
        <v>34</v>
      </c>
      <c r="F909">
        <v>1</v>
      </c>
      <c r="G909" t="str">
        <f t="shared" si="13"/>
        <v>M0113-A-115-1</v>
      </c>
      <c r="H909">
        <v>197.49</v>
      </c>
      <c r="I909">
        <v>197.9</v>
      </c>
    </row>
    <row r="910" spans="1:9" x14ac:dyDescent="0.3">
      <c r="A910">
        <v>501</v>
      </c>
      <c r="B910" t="s">
        <v>61</v>
      </c>
      <c r="C910" t="s">
        <v>31</v>
      </c>
      <c r="D910">
        <v>116</v>
      </c>
      <c r="E910" t="s">
        <v>34</v>
      </c>
      <c r="F910">
        <v>1</v>
      </c>
      <c r="G910" t="str">
        <f t="shared" si="13"/>
        <v>M0113-A-116-1</v>
      </c>
      <c r="H910">
        <v>198.99</v>
      </c>
      <c r="I910">
        <v>200</v>
      </c>
    </row>
    <row r="911" spans="1:9" x14ac:dyDescent="0.3">
      <c r="A911">
        <v>501</v>
      </c>
      <c r="B911" t="s">
        <v>61</v>
      </c>
      <c r="C911" t="s">
        <v>31</v>
      </c>
      <c r="D911">
        <v>117</v>
      </c>
      <c r="E911" t="s">
        <v>34</v>
      </c>
      <c r="F911">
        <v>1</v>
      </c>
      <c r="G911" t="str">
        <f t="shared" si="13"/>
        <v>M0113-A-117-1</v>
      </c>
      <c r="H911">
        <v>200.49</v>
      </c>
      <c r="I911">
        <v>200.94</v>
      </c>
    </row>
    <row r="912" spans="1:9" x14ac:dyDescent="0.3">
      <c r="A912">
        <v>501</v>
      </c>
      <c r="B912" t="s">
        <v>61</v>
      </c>
      <c r="C912" t="s">
        <v>31</v>
      </c>
      <c r="D912">
        <v>117</v>
      </c>
      <c r="E912" t="s">
        <v>34</v>
      </c>
      <c r="F912">
        <v>2</v>
      </c>
      <c r="G912" t="str">
        <f t="shared" si="13"/>
        <v>M0113-A-117-2</v>
      </c>
      <c r="H912">
        <v>200.94</v>
      </c>
      <c r="I912">
        <v>201.33</v>
      </c>
    </row>
    <row r="913" spans="1:9" x14ac:dyDescent="0.3">
      <c r="A913">
        <v>501</v>
      </c>
      <c r="B913" t="s">
        <v>61</v>
      </c>
      <c r="C913" t="s">
        <v>31</v>
      </c>
      <c r="D913">
        <v>118</v>
      </c>
      <c r="E913" t="s">
        <v>34</v>
      </c>
      <c r="F913">
        <v>1</v>
      </c>
      <c r="G913" t="str">
        <f t="shared" si="13"/>
        <v>M0113-A-118-1</v>
      </c>
      <c r="H913">
        <v>201.99</v>
      </c>
      <c r="I913">
        <v>202.49</v>
      </c>
    </row>
    <row r="914" spans="1:9" x14ac:dyDescent="0.3">
      <c r="A914">
        <v>501</v>
      </c>
      <c r="B914" t="s">
        <v>61</v>
      </c>
      <c r="C914" t="s">
        <v>31</v>
      </c>
      <c r="D914">
        <v>118</v>
      </c>
      <c r="E914" t="s">
        <v>34</v>
      </c>
      <c r="F914">
        <v>2</v>
      </c>
      <c r="G914" t="str">
        <f t="shared" si="13"/>
        <v>M0113-A-118-2</v>
      </c>
      <c r="H914">
        <v>202.49</v>
      </c>
      <c r="I914">
        <v>202.79</v>
      </c>
    </row>
    <row r="915" spans="1:9" x14ac:dyDescent="0.3">
      <c r="A915">
        <v>501</v>
      </c>
      <c r="B915" t="s">
        <v>61</v>
      </c>
      <c r="C915" t="s">
        <v>31</v>
      </c>
      <c r="D915">
        <v>119</v>
      </c>
      <c r="E915" t="s">
        <v>34</v>
      </c>
      <c r="F915">
        <v>1</v>
      </c>
      <c r="G915" t="str">
        <f t="shared" si="13"/>
        <v>M0113-A-119-1</v>
      </c>
      <c r="H915">
        <v>203.49</v>
      </c>
      <c r="I915">
        <v>204.23</v>
      </c>
    </row>
    <row r="916" spans="1:9" x14ac:dyDescent="0.3">
      <c r="A916">
        <v>501</v>
      </c>
      <c r="B916" t="s">
        <v>61</v>
      </c>
      <c r="C916" t="s">
        <v>31</v>
      </c>
      <c r="D916">
        <v>120</v>
      </c>
      <c r="E916" t="s">
        <v>34</v>
      </c>
      <c r="F916">
        <v>1</v>
      </c>
      <c r="G916" t="str">
        <f t="shared" si="13"/>
        <v>M0113-A-120-1</v>
      </c>
      <c r="H916">
        <v>204.99</v>
      </c>
      <c r="I916">
        <v>205.59</v>
      </c>
    </row>
    <row r="917" spans="1:9" x14ac:dyDescent="0.3">
      <c r="A917">
        <v>501</v>
      </c>
      <c r="B917" t="s">
        <v>61</v>
      </c>
      <c r="C917" t="s">
        <v>31</v>
      </c>
      <c r="D917">
        <v>121</v>
      </c>
      <c r="E917" t="s">
        <v>34</v>
      </c>
      <c r="F917">
        <v>1</v>
      </c>
      <c r="G917" t="str">
        <f t="shared" si="13"/>
        <v>M0113-A-121-1</v>
      </c>
      <c r="H917">
        <v>206.49</v>
      </c>
      <c r="I917">
        <v>207.98</v>
      </c>
    </row>
    <row r="918" spans="1:9" x14ac:dyDescent="0.3">
      <c r="A918">
        <v>501</v>
      </c>
      <c r="B918" t="s">
        <v>61</v>
      </c>
      <c r="C918" t="s">
        <v>31</v>
      </c>
      <c r="D918">
        <v>122</v>
      </c>
      <c r="E918" t="s">
        <v>34</v>
      </c>
      <c r="F918">
        <v>1</v>
      </c>
      <c r="G918" t="str">
        <f t="shared" si="13"/>
        <v>M0113-A-122-1</v>
      </c>
      <c r="H918">
        <v>207.99</v>
      </c>
      <c r="I918">
        <v>208.31</v>
      </c>
    </row>
    <row r="919" spans="1:9" x14ac:dyDescent="0.3">
      <c r="A919">
        <v>501</v>
      </c>
      <c r="B919" t="s">
        <v>61</v>
      </c>
      <c r="C919" t="s">
        <v>31</v>
      </c>
      <c r="D919">
        <v>123</v>
      </c>
      <c r="E919" t="s">
        <v>34</v>
      </c>
      <c r="F919">
        <v>1</v>
      </c>
      <c r="G919" t="str">
        <f t="shared" si="13"/>
        <v>M0113-A-123-1</v>
      </c>
      <c r="H919">
        <v>209.49</v>
      </c>
      <c r="I919">
        <v>209.74</v>
      </c>
    </row>
    <row r="920" spans="1:9" x14ac:dyDescent="0.3">
      <c r="A920">
        <v>501</v>
      </c>
      <c r="B920" t="s">
        <v>61</v>
      </c>
      <c r="C920" t="s">
        <v>31</v>
      </c>
      <c r="D920">
        <v>124</v>
      </c>
      <c r="E920" t="s">
        <v>34</v>
      </c>
      <c r="F920">
        <v>1</v>
      </c>
      <c r="G920" t="str">
        <f t="shared" si="13"/>
        <v>M0113-A-124-1</v>
      </c>
      <c r="H920">
        <v>210.99</v>
      </c>
      <c r="I920">
        <v>211.99</v>
      </c>
    </row>
    <row r="921" spans="1:9" x14ac:dyDescent="0.3">
      <c r="A921">
        <v>501</v>
      </c>
      <c r="B921" t="s">
        <v>61</v>
      </c>
      <c r="C921" t="s">
        <v>31</v>
      </c>
      <c r="D921">
        <v>124</v>
      </c>
      <c r="E921" t="s">
        <v>34</v>
      </c>
      <c r="F921">
        <v>2</v>
      </c>
      <c r="G921" t="str">
        <f t="shared" si="13"/>
        <v>M0113-A-124-2</v>
      </c>
      <c r="H921">
        <v>211.99</v>
      </c>
      <c r="I921">
        <v>212.52</v>
      </c>
    </row>
    <row r="922" spans="1:9" x14ac:dyDescent="0.3">
      <c r="A922">
        <v>501</v>
      </c>
      <c r="B922" t="s">
        <v>61</v>
      </c>
      <c r="C922" t="s">
        <v>31</v>
      </c>
      <c r="D922">
        <v>125</v>
      </c>
      <c r="E922" t="s">
        <v>34</v>
      </c>
      <c r="F922">
        <v>1</v>
      </c>
      <c r="G922" t="str">
        <f t="shared" si="13"/>
        <v>M0113-A-125-1</v>
      </c>
      <c r="H922">
        <v>212.49</v>
      </c>
      <c r="I922">
        <v>212.71</v>
      </c>
    </row>
    <row r="923" spans="1:9" x14ac:dyDescent="0.3">
      <c r="A923">
        <v>501</v>
      </c>
      <c r="B923" t="s">
        <v>61</v>
      </c>
      <c r="C923" t="s">
        <v>31</v>
      </c>
      <c r="D923">
        <v>126</v>
      </c>
      <c r="E923" t="s">
        <v>34</v>
      </c>
      <c r="F923">
        <v>1</v>
      </c>
      <c r="G923" t="str">
        <f t="shared" si="13"/>
        <v>M0113-A-126-1</v>
      </c>
      <c r="H923">
        <v>215.49</v>
      </c>
      <c r="I923">
        <v>216.34</v>
      </c>
    </row>
    <row r="924" spans="1:9" x14ac:dyDescent="0.3">
      <c r="A924">
        <v>501</v>
      </c>
      <c r="B924" t="s">
        <v>61</v>
      </c>
      <c r="C924" t="s">
        <v>31</v>
      </c>
      <c r="D924">
        <v>127</v>
      </c>
      <c r="E924" t="s">
        <v>34</v>
      </c>
      <c r="F924">
        <v>1</v>
      </c>
      <c r="G924" t="str">
        <f t="shared" si="13"/>
        <v>M0113-A-127-1</v>
      </c>
      <c r="H924">
        <v>216.99</v>
      </c>
      <c r="I924">
        <v>217.25</v>
      </c>
    </row>
    <row r="925" spans="1:9" x14ac:dyDescent="0.3">
      <c r="A925">
        <v>501</v>
      </c>
      <c r="B925" t="s">
        <v>61</v>
      </c>
      <c r="C925" t="s">
        <v>31</v>
      </c>
      <c r="D925">
        <v>128</v>
      </c>
      <c r="E925" t="s">
        <v>34</v>
      </c>
      <c r="F925">
        <v>1</v>
      </c>
      <c r="G925" t="str">
        <f t="shared" si="13"/>
        <v>M0113-A-128-1</v>
      </c>
      <c r="H925">
        <v>217.47</v>
      </c>
      <c r="I925">
        <v>217.77</v>
      </c>
    </row>
    <row r="926" spans="1:9" x14ac:dyDescent="0.3">
      <c r="A926">
        <v>501</v>
      </c>
      <c r="B926" t="s">
        <v>61</v>
      </c>
      <c r="C926" t="s">
        <v>31</v>
      </c>
      <c r="D926">
        <v>128</v>
      </c>
      <c r="E926" t="s">
        <v>34</v>
      </c>
      <c r="F926">
        <v>2</v>
      </c>
      <c r="G926" t="str">
        <f t="shared" si="13"/>
        <v>M0113-A-128-2</v>
      </c>
      <c r="H926">
        <v>217.77</v>
      </c>
      <c r="I926">
        <v>218.17</v>
      </c>
    </row>
    <row r="927" spans="1:9" x14ac:dyDescent="0.3">
      <c r="A927">
        <v>501</v>
      </c>
      <c r="B927" t="s">
        <v>61</v>
      </c>
      <c r="C927" t="s">
        <v>31</v>
      </c>
      <c r="D927">
        <v>129</v>
      </c>
      <c r="E927" t="s">
        <v>34</v>
      </c>
      <c r="F927">
        <v>1</v>
      </c>
      <c r="G927" t="str">
        <f t="shared" si="13"/>
        <v>M0113-A-129-1</v>
      </c>
      <c r="H927">
        <v>218.34</v>
      </c>
      <c r="I927">
        <v>218.88</v>
      </c>
    </row>
    <row r="928" spans="1:9" x14ac:dyDescent="0.3">
      <c r="A928">
        <v>501</v>
      </c>
      <c r="B928" t="s">
        <v>61</v>
      </c>
      <c r="C928" t="s">
        <v>31</v>
      </c>
      <c r="D928">
        <v>130</v>
      </c>
      <c r="E928" t="s">
        <v>34</v>
      </c>
      <c r="F928">
        <v>1</v>
      </c>
      <c r="G928" t="str">
        <f t="shared" si="13"/>
        <v>M0113-A-130-1</v>
      </c>
      <c r="H928">
        <v>218.74</v>
      </c>
      <c r="I928">
        <v>219</v>
      </c>
    </row>
    <row r="929" spans="1:9" x14ac:dyDescent="0.3">
      <c r="A929">
        <v>501</v>
      </c>
      <c r="B929" t="s">
        <v>61</v>
      </c>
      <c r="C929" t="s">
        <v>31</v>
      </c>
      <c r="D929">
        <v>131</v>
      </c>
      <c r="E929" t="s">
        <v>34</v>
      </c>
      <c r="F929">
        <v>1</v>
      </c>
      <c r="G929" t="str">
        <f t="shared" si="13"/>
        <v>M0113-A-131-1</v>
      </c>
      <c r="H929">
        <v>218.94</v>
      </c>
      <c r="I929">
        <v>219.24</v>
      </c>
    </row>
    <row r="930" spans="1:9" x14ac:dyDescent="0.3">
      <c r="A930">
        <v>501</v>
      </c>
      <c r="B930" t="s">
        <v>61</v>
      </c>
      <c r="C930" t="s">
        <v>31</v>
      </c>
      <c r="D930">
        <v>132</v>
      </c>
      <c r="E930" t="s">
        <v>34</v>
      </c>
      <c r="F930">
        <v>1</v>
      </c>
      <c r="G930" t="str">
        <f t="shared" si="13"/>
        <v>M0113-A-132-1</v>
      </c>
      <c r="H930">
        <v>219.44</v>
      </c>
      <c r="I930">
        <v>220.95</v>
      </c>
    </row>
    <row r="931" spans="1:9" x14ac:dyDescent="0.3">
      <c r="A931">
        <v>501</v>
      </c>
      <c r="B931" t="s">
        <v>61</v>
      </c>
      <c r="C931" t="s">
        <v>31</v>
      </c>
      <c r="D931">
        <v>132</v>
      </c>
      <c r="E931" t="s">
        <v>34</v>
      </c>
      <c r="F931">
        <v>2</v>
      </c>
      <c r="G931" t="str">
        <f t="shared" si="13"/>
        <v>M0113-A-132-2</v>
      </c>
      <c r="H931">
        <v>220.95</v>
      </c>
      <c r="I931">
        <v>221.55</v>
      </c>
    </row>
    <row r="932" spans="1:9" x14ac:dyDescent="0.3">
      <c r="A932">
        <v>501</v>
      </c>
      <c r="B932" t="s">
        <v>61</v>
      </c>
      <c r="C932" t="s">
        <v>31</v>
      </c>
      <c r="D932">
        <v>133</v>
      </c>
      <c r="E932" t="s">
        <v>34</v>
      </c>
      <c r="F932">
        <v>1</v>
      </c>
      <c r="G932" t="str">
        <f t="shared" si="13"/>
        <v>M0113-A-133-1</v>
      </c>
      <c r="H932">
        <v>221.49</v>
      </c>
      <c r="I932">
        <v>222.74</v>
      </c>
    </row>
    <row r="933" spans="1:9" x14ac:dyDescent="0.3">
      <c r="A933">
        <v>501</v>
      </c>
      <c r="B933" t="s">
        <v>61</v>
      </c>
      <c r="C933" t="s">
        <v>31</v>
      </c>
      <c r="D933">
        <v>134</v>
      </c>
      <c r="E933" t="s">
        <v>34</v>
      </c>
      <c r="F933">
        <v>1</v>
      </c>
      <c r="G933" t="str">
        <f t="shared" si="13"/>
        <v>M0113-A-134-1</v>
      </c>
      <c r="H933">
        <v>222.94</v>
      </c>
      <c r="I933">
        <v>223.41</v>
      </c>
    </row>
    <row r="934" spans="1:9" x14ac:dyDescent="0.3">
      <c r="A934">
        <v>501</v>
      </c>
      <c r="B934" t="s">
        <v>61</v>
      </c>
      <c r="C934" t="s">
        <v>31</v>
      </c>
      <c r="D934">
        <v>135</v>
      </c>
      <c r="E934" t="s">
        <v>34</v>
      </c>
      <c r="F934">
        <v>1</v>
      </c>
      <c r="G934" t="str">
        <f t="shared" si="13"/>
        <v>M0113-A-135-1</v>
      </c>
      <c r="H934">
        <v>224.49</v>
      </c>
      <c r="I934">
        <v>225.99</v>
      </c>
    </row>
    <row r="935" spans="1:9" x14ac:dyDescent="0.3">
      <c r="A935">
        <v>501</v>
      </c>
      <c r="B935" t="s">
        <v>61</v>
      </c>
      <c r="C935" t="s">
        <v>31</v>
      </c>
      <c r="D935">
        <v>135</v>
      </c>
      <c r="E935" t="s">
        <v>34</v>
      </c>
      <c r="F935">
        <v>2</v>
      </c>
      <c r="G935" t="str">
        <f t="shared" si="13"/>
        <v>M0113-A-135-2</v>
      </c>
      <c r="H935">
        <v>225.99</v>
      </c>
      <c r="I935">
        <v>227.11</v>
      </c>
    </row>
    <row r="936" spans="1:9" x14ac:dyDescent="0.3">
      <c r="A936">
        <v>501</v>
      </c>
      <c r="B936" t="s">
        <v>61</v>
      </c>
      <c r="C936" t="s">
        <v>31</v>
      </c>
      <c r="D936">
        <v>136</v>
      </c>
      <c r="E936" t="s">
        <v>34</v>
      </c>
      <c r="F936">
        <v>1</v>
      </c>
      <c r="G936" t="str">
        <f t="shared" si="13"/>
        <v>M0113-A-136-1</v>
      </c>
      <c r="H936">
        <v>227.49</v>
      </c>
      <c r="I936">
        <v>228.59</v>
      </c>
    </row>
    <row r="937" spans="1:9" x14ac:dyDescent="0.3">
      <c r="A937">
        <v>501</v>
      </c>
      <c r="B937" t="s">
        <v>61</v>
      </c>
      <c r="C937" t="s">
        <v>31</v>
      </c>
      <c r="D937">
        <v>136</v>
      </c>
      <c r="E937" t="s">
        <v>34</v>
      </c>
      <c r="F937">
        <v>2</v>
      </c>
      <c r="G937" t="str">
        <f t="shared" si="13"/>
        <v>M0113-A-136-2</v>
      </c>
      <c r="H937">
        <v>228.59</v>
      </c>
      <c r="I937">
        <v>229.23</v>
      </c>
    </row>
    <row r="938" spans="1:9" x14ac:dyDescent="0.3">
      <c r="A938">
        <v>501</v>
      </c>
      <c r="B938" t="s">
        <v>61</v>
      </c>
      <c r="C938" t="s">
        <v>31</v>
      </c>
      <c r="D938">
        <v>136</v>
      </c>
      <c r="E938" t="s">
        <v>34</v>
      </c>
      <c r="F938">
        <v>3</v>
      </c>
      <c r="G938" t="str">
        <f t="shared" si="13"/>
        <v>M0113-A-136-3</v>
      </c>
      <c r="H938">
        <v>229.23</v>
      </c>
      <c r="I938">
        <v>229.35</v>
      </c>
    </row>
    <row r="939" spans="1:9" x14ac:dyDescent="0.3">
      <c r="A939">
        <v>501</v>
      </c>
      <c r="B939" t="s">
        <v>61</v>
      </c>
      <c r="C939" t="s">
        <v>31</v>
      </c>
      <c r="D939">
        <v>137</v>
      </c>
      <c r="E939" t="s">
        <v>34</v>
      </c>
      <c r="F939">
        <v>1</v>
      </c>
      <c r="G939" t="str">
        <f t="shared" si="13"/>
        <v>M0113-A-137-1</v>
      </c>
      <c r="H939">
        <v>230.49</v>
      </c>
      <c r="I939">
        <v>230.58</v>
      </c>
    </row>
    <row r="940" spans="1:9" x14ac:dyDescent="0.3">
      <c r="A940">
        <v>501</v>
      </c>
      <c r="B940" t="s">
        <v>61</v>
      </c>
      <c r="C940" t="s">
        <v>31</v>
      </c>
      <c r="D940">
        <v>138</v>
      </c>
      <c r="E940" t="s">
        <v>57</v>
      </c>
      <c r="F940">
        <v>1</v>
      </c>
      <c r="G940" t="str">
        <f t="shared" si="13"/>
        <v>M0113-A-138-1</v>
      </c>
      <c r="H940">
        <v>231.59</v>
      </c>
      <c r="I940">
        <v>232.03</v>
      </c>
    </row>
    <row r="941" spans="1:9" x14ac:dyDescent="0.3">
      <c r="A941">
        <v>501</v>
      </c>
      <c r="B941" t="s">
        <v>61</v>
      </c>
      <c r="C941" t="s">
        <v>31</v>
      </c>
      <c r="D941">
        <v>138</v>
      </c>
      <c r="E941" t="s">
        <v>57</v>
      </c>
      <c r="F941">
        <v>2</v>
      </c>
      <c r="G941" t="str">
        <f t="shared" si="13"/>
        <v>M0113-A-138-2</v>
      </c>
      <c r="H941">
        <v>232.03</v>
      </c>
      <c r="I941">
        <v>232.17</v>
      </c>
    </row>
    <row r="942" spans="1:9" x14ac:dyDescent="0.3">
      <c r="A942">
        <v>501</v>
      </c>
      <c r="B942" t="s">
        <v>61</v>
      </c>
      <c r="C942" t="s">
        <v>31</v>
      </c>
      <c r="D942">
        <v>139</v>
      </c>
      <c r="E942" t="s">
        <v>57</v>
      </c>
      <c r="F942">
        <v>1</v>
      </c>
      <c r="G942" t="str">
        <f t="shared" si="13"/>
        <v>M0113-A-139-1</v>
      </c>
      <c r="H942">
        <v>232.17</v>
      </c>
      <c r="I942">
        <v>232.86</v>
      </c>
    </row>
    <row r="943" spans="1:9" x14ac:dyDescent="0.3">
      <c r="A943">
        <v>501</v>
      </c>
      <c r="B943" t="s">
        <v>61</v>
      </c>
      <c r="C943" t="s">
        <v>31</v>
      </c>
      <c r="D943">
        <v>140</v>
      </c>
      <c r="E943" t="s">
        <v>34</v>
      </c>
      <c r="F943">
        <v>1</v>
      </c>
      <c r="G943" t="str">
        <f t="shared" si="13"/>
        <v>M0113-A-140-1</v>
      </c>
      <c r="H943">
        <v>232.86</v>
      </c>
      <c r="I943">
        <v>233.88</v>
      </c>
    </row>
    <row r="944" spans="1:9" x14ac:dyDescent="0.3">
      <c r="A944">
        <v>501</v>
      </c>
      <c r="B944" t="s">
        <v>61</v>
      </c>
      <c r="C944" t="s">
        <v>31</v>
      </c>
      <c r="D944">
        <v>141</v>
      </c>
      <c r="E944" t="s">
        <v>34</v>
      </c>
      <c r="F944">
        <v>1</v>
      </c>
      <c r="G944" t="str">
        <f t="shared" si="13"/>
        <v>M0113-A-141-1</v>
      </c>
      <c r="H944">
        <v>233.49</v>
      </c>
      <c r="I944">
        <v>233.84</v>
      </c>
    </row>
    <row r="945" spans="1:9" x14ac:dyDescent="0.3">
      <c r="A945">
        <v>501</v>
      </c>
      <c r="B945" t="s">
        <v>61</v>
      </c>
      <c r="C945" t="s">
        <v>31</v>
      </c>
      <c r="D945">
        <v>142</v>
      </c>
      <c r="E945" t="s">
        <v>34</v>
      </c>
      <c r="F945">
        <v>1</v>
      </c>
      <c r="G945" t="str">
        <f t="shared" si="13"/>
        <v>M0113-A-142-1</v>
      </c>
      <c r="H945">
        <v>234.99</v>
      </c>
      <c r="I945">
        <v>236.49</v>
      </c>
    </row>
    <row r="946" spans="1:9" x14ac:dyDescent="0.3">
      <c r="A946">
        <v>501</v>
      </c>
      <c r="B946" t="s">
        <v>61</v>
      </c>
      <c r="C946" t="s">
        <v>31</v>
      </c>
      <c r="D946">
        <v>142</v>
      </c>
      <c r="E946" t="s">
        <v>34</v>
      </c>
      <c r="F946">
        <v>2</v>
      </c>
      <c r="G946" t="str">
        <f t="shared" si="13"/>
        <v>M0113-A-142-2</v>
      </c>
      <c r="H946">
        <v>236.49</v>
      </c>
      <c r="I946">
        <v>237.87</v>
      </c>
    </row>
    <row r="947" spans="1:9" x14ac:dyDescent="0.3">
      <c r="A947">
        <v>501</v>
      </c>
      <c r="B947" t="s">
        <v>61</v>
      </c>
      <c r="C947" t="s">
        <v>31</v>
      </c>
      <c r="D947">
        <v>143</v>
      </c>
      <c r="E947" t="s">
        <v>34</v>
      </c>
      <c r="F947">
        <v>1</v>
      </c>
      <c r="G947" t="str">
        <f t="shared" si="13"/>
        <v>M0113-A-143-1</v>
      </c>
      <c r="H947">
        <v>236.49</v>
      </c>
      <c r="I947">
        <v>236.61</v>
      </c>
    </row>
    <row r="948" spans="1:9" x14ac:dyDescent="0.3">
      <c r="A948">
        <v>501</v>
      </c>
      <c r="B948" t="s">
        <v>61</v>
      </c>
      <c r="C948" t="s">
        <v>31</v>
      </c>
      <c r="D948">
        <v>144</v>
      </c>
      <c r="E948" t="s">
        <v>34</v>
      </c>
      <c r="F948">
        <v>1</v>
      </c>
      <c r="G948" t="str">
        <f t="shared" si="13"/>
        <v>M0113-A-144-1</v>
      </c>
      <c r="H948">
        <v>236.49</v>
      </c>
      <c r="I948">
        <v>237.4</v>
      </c>
    </row>
    <row r="949" spans="1:9" x14ac:dyDescent="0.3">
      <c r="A949">
        <v>501</v>
      </c>
      <c r="B949" t="s">
        <v>61</v>
      </c>
      <c r="C949" t="s">
        <v>31</v>
      </c>
      <c r="D949">
        <v>144</v>
      </c>
      <c r="E949" t="s">
        <v>34</v>
      </c>
      <c r="F949">
        <v>2</v>
      </c>
      <c r="G949" t="str">
        <f t="shared" si="13"/>
        <v>M0113-A-144-2</v>
      </c>
      <c r="H949">
        <v>237.4</v>
      </c>
      <c r="I949">
        <v>237.98</v>
      </c>
    </row>
    <row r="950" spans="1:9" x14ac:dyDescent="0.3">
      <c r="A950">
        <v>501</v>
      </c>
      <c r="B950" t="s">
        <v>61</v>
      </c>
      <c r="C950" t="s">
        <v>31</v>
      </c>
      <c r="D950">
        <v>145</v>
      </c>
      <c r="E950" t="s">
        <v>34</v>
      </c>
      <c r="F950">
        <v>1</v>
      </c>
      <c r="G950" t="str">
        <f t="shared" si="13"/>
        <v>M0113-A-145-1</v>
      </c>
      <c r="H950">
        <v>237.99</v>
      </c>
      <c r="I950">
        <v>239.5</v>
      </c>
    </row>
    <row r="951" spans="1:9" x14ac:dyDescent="0.3">
      <c r="A951">
        <v>501</v>
      </c>
      <c r="B951" t="s">
        <v>61</v>
      </c>
      <c r="C951" t="s">
        <v>31</v>
      </c>
      <c r="D951">
        <v>145</v>
      </c>
      <c r="E951" t="s">
        <v>34</v>
      </c>
      <c r="F951">
        <v>2</v>
      </c>
      <c r="G951" t="str">
        <f t="shared" si="13"/>
        <v>M0113-A-145-2</v>
      </c>
      <c r="H951">
        <v>239.5</v>
      </c>
      <c r="I951">
        <v>239.63</v>
      </c>
    </row>
    <row r="952" spans="1:9" x14ac:dyDescent="0.3">
      <c r="A952">
        <v>501</v>
      </c>
      <c r="B952" t="s">
        <v>61</v>
      </c>
      <c r="C952" t="s">
        <v>31</v>
      </c>
      <c r="D952">
        <v>146</v>
      </c>
      <c r="E952" t="s">
        <v>34</v>
      </c>
      <c r="F952">
        <v>1</v>
      </c>
      <c r="G952" t="str">
        <f t="shared" ref="G952:G1015" si="14">CONCATENATE(B952, "-",C952, "-", D952, "-", F952)</f>
        <v>M0113-A-146-1</v>
      </c>
      <c r="H952">
        <v>239.49</v>
      </c>
      <c r="I952">
        <v>240.37</v>
      </c>
    </row>
    <row r="953" spans="1:9" x14ac:dyDescent="0.3">
      <c r="A953">
        <v>501</v>
      </c>
      <c r="B953" t="s">
        <v>61</v>
      </c>
      <c r="C953" t="s">
        <v>31</v>
      </c>
      <c r="D953">
        <v>148</v>
      </c>
      <c r="E953" t="s">
        <v>34</v>
      </c>
      <c r="F953">
        <v>1</v>
      </c>
      <c r="G953" t="str">
        <f t="shared" si="14"/>
        <v>M0113-A-148-1</v>
      </c>
      <c r="H953">
        <v>242.49</v>
      </c>
      <c r="I953">
        <v>243.49</v>
      </c>
    </row>
    <row r="954" spans="1:9" x14ac:dyDescent="0.3">
      <c r="A954">
        <v>501</v>
      </c>
      <c r="B954" t="s">
        <v>61</v>
      </c>
      <c r="C954" t="s">
        <v>31</v>
      </c>
      <c r="D954">
        <v>148</v>
      </c>
      <c r="E954" t="s">
        <v>34</v>
      </c>
      <c r="F954">
        <v>2</v>
      </c>
      <c r="G954" t="str">
        <f t="shared" si="14"/>
        <v>M0113-A-148-2</v>
      </c>
      <c r="H954">
        <v>243.49</v>
      </c>
      <c r="I954">
        <v>244.32</v>
      </c>
    </row>
    <row r="955" spans="1:9" x14ac:dyDescent="0.3">
      <c r="A955">
        <v>501</v>
      </c>
      <c r="B955" t="s">
        <v>61</v>
      </c>
      <c r="C955" t="s">
        <v>31</v>
      </c>
      <c r="D955">
        <v>148</v>
      </c>
      <c r="E955" t="s">
        <v>34</v>
      </c>
      <c r="F955">
        <v>3</v>
      </c>
      <c r="G955" t="str">
        <f t="shared" si="14"/>
        <v>M0113-A-148-3</v>
      </c>
      <c r="H955">
        <v>244.32</v>
      </c>
      <c r="I955">
        <v>244.46</v>
      </c>
    </row>
    <row r="956" spans="1:9" x14ac:dyDescent="0.3">
      <c r="A956">
        <v>501</v>
      </c>
      <c r="B956" t="s">
        <v>61</v>
      </c>
      <c r="C956" t="s">
        <v>31</v>
      </c>
      <c r="D956">
        <v>149</v>
      </c>
      <c r="E956" t="s">
        <v>34</v>
      </c>
      <c r="F956">
        <v>1</v>
      </c>
      <c r="G956" t="str">
        <f t="shared" si="14"/>
        <v>M0113-A-149-1</v>
      </c>
      <c r="H956">
        <v>243.99</v>
      </c>
      <c r="I956">
        <v>245.49</v>
      </c>
    </row>
    <row r="957" spans="1:9" x14ac:dyDescent="0.3">
      <c r="A957">
        <v>501</v>
      </c>
      <c r="B957" t="s">
        <v>61</v>
      </c>
      <c r="C957" t="s">
        <v>31</v>
      </c>
      <c r="D957">
        <v>150</v>
      </c>
      <c r="E957" t="s">
        <v>34</v>
      </c>
      <c r="F957">
        <v>1</v>
      </c>
      <c r="G957" t="str">
        <f t="shared" si="14"/>
        <v>M0113-A-150-1</v>
      </c>
      <c r="H957">
        <v>245.49</v>
      </c>
      <c r="I957">
        <v>246.29</v>
      </c>
    </row>
    <row r="958" spans="1:9" x14ac:dyDescent="0.3">
      <c r="A958">
        <v>501</v>
      </c>
      <c r="B958" t="s">
        <v>61</v>
      </c>
      <c r="C958" t="s">
        <v>31</v>
      </c>
      <c r="D958">
        <v>151</v>
      </c>
      <c r="E958" t="s">
        <v>34</v>
      </c>
      <c r="F958">
        <v>1</v>
      </c>
      <c r="G958" t="str">
        <f t="shared" si="14"/>
        <v>M0113-A-151-1</v>
      </c>
      <c r="H958">
        <v>246.99</v>
      </c>
      <c r="I958">
        <v>247.99</v>
      </c>
    </row>
    <row r="959" spans="1:9" x14ac:dyDescent="0.3">
      <c r="A959">
        <v>501</v>
      </c>
      <c r="B959" t="s">
        <v>61</v>
      </c>
      <c r="C959" t="s">
        <v>31</v>
      </c>
      <c r="D959">
        <v>151</v>
      </c>
      <c r="E959" t="s">
        <v>34</v>
      </c>
      <c r="F959">
        <v>2</v>
      </c>
      <c r="G959" t="str">
        <f t="shared" si="14"/>
        <v>M0113-A-151-2</v>
      </c>
      <c r="H959">
        <v>247.99</v>
      </c>
      <c r="I959">
        <v>248.51</v>
      </c>
    </row>
    <row r="960" spans="1:9" x14ac:dyDescent="0.3">
      <c r="A960">
        <v>501</v>
      </c>
      <c r="B960" t="s">
        <v>61</v>
      </c>
      <c r="C960" t="s">
        <v>31</v>
      </c>
      <c r="D960">
        <v>152</v>
      </c>
      <c r="E960" t="s">
        <v>34</v>
      </c>
      <c r="F960">
        <v>1</v>
      </c>
      <c r="G960" t="str">
        <f t="shared" si="14"/>
        <v>M0113-A-152-1</v>
      </c>
      <c r="H960">
        <v>248.49</v>
      </c>
      <c r="I960">
        <v>249.87</v>
      </c>
    </row>
    <row r="961" spans="1:9" x14ac:dyDescent="0.3">
      <c r="A961">
        <v>501</v>
      </c>
      <c r="B961" t="s">
        <v>61</v>
      </c>
      <c r="C961" t="s">
        <v>31</v>
      </c>
      <c r="D961">
        <v>153</v>
      </c>
      <c r="E961" t="s">
        <v>34</v>
      </c>
      <c r="F961">
        <v>1</v>
      </c>
      <c r="G961" t="str">
        <f t="shared" si="14"/>
        <v>M0113-A-153-1</v>
      </c>
      <c r="H961">
        <v>249.99</v>
      </c>
      <c r="I961">
        <v>250.18</v>
      </c>
    </row>
    <row r="962" spans="1:9" x14ac:dyDescent="0.3">
      <c r="A962">
        <v>501</v>
      </c>
      <c r="B962" t="s">
        <v>61</v>
      </c>
      <c r="C962" t="s">
        <v>31</v>
      </c>
      <c r="D962">
        <v>154</v>
      </c>
      <c r="E962" t="s">
        <v>34</v>
      </c>
      <c r="F962">
        <v>1</v>
      </c>
      <c r="G962" t="str">
        <f t="shared" si="14"/>
        <v>M0113-A-154-1</v>
      </c>
      <c r="H962">
        <v>250.84</v>
      </c>
      <c r="I962">
        <v>251.06</v>
      </c>
    </row>
    <row r="963" spans="1:9" x14ac:dyDescent="0.3">
      <c r="A963">
        <v>501</v>
      </c>
      <c r="B963" t="s">
        <v>61</v>
      </c>
      <c r="C963" t="s">
        <v>31</v>
      </c>
      <c r="D963">
        <v>156</v>
      </c>
      <c r="E963" t="s">
        <v>57</v>
      </c>
      <c r="F963">
        <v>1</v>
      </c>
      <c r="G963" t="str">
        <f t="shared" si="14"/>
        <v>M0113-A-156-1</v>
      </c>
      <c r="H963">
        <v>252.99</v>
      </c>
      <c r="I963">
        <v>254.15</v>
      </c>
    </row>
    <row r="964" spans="1:9" x14ac:dyDescent="0.3">
      <c r="A964">
        <v>501</v>
      </c>
      <c r="B964" t="s">
        <v>61</v>
      </c>
      <c r="C964" t="s">
        <v>31</v>
      </c>
      <c r="D964">
        <v>157</v>
      </c>
      <c r="E964" t="s">
        <v>57</v>
      </c>
      <c r="F964">
        <v>1</v>
      </c>
      <c r="G964" t="str">
        <f t="shared" si="14"/>
        <v>M0113-A-157-1</v>
      </c>
      <c r="H964">
        <v>254.15</v>
      </c>
      <c r="I964">
        <v>255.65</v>
      </c>
    </row>
    <row r="965" spans="1:9" x14ac:dyDescent="0.3">
      <c r="A965">
        <v>501</v>
      </c>
      <c r="B965" t="s">
        <v>61</v>
      </c>
      <c r="C965" t="s">
        <v>31</v>
      </c>
      <c r="D965">
        <v>157</v>
      </c>
      <c r="E965" t="s">
        <v>57</v>
      </c>
      <c r="F965">
        <v>2</v>
      </c>
      <c r="G965" t="str">
        <f t="shared" si="14"/>
        <v>M0113-A-157-2</v>
      </c>
      <c r="H965">
        <v>255.65</v>
      </c>
      <c r="I965">
        <v>256.56</v>
      </c>
    </row>
    <row r="966" spans="1:9" x14ac:dyDescent="0.3">
      <c r="A966">
        <v>501</v>
      </c>
      <c r="B966" t="s">
        <v>61</v>
      </c>
      <c r="C966" t="s">
        <v>31</v>
      </c>
      <c r="D966">
        <v>158</v>
      </c>
      <c r="E966" t="s">
        <v>59</v>
      </c>
      <c r="F966">
        <v>1</v>
      </c>
      <c r="G966" t="str">
        <f t="shared" si="14"/>
        <v>M0113-A-158-1</v>
      </c>
      <c r="H966">
        <v>234.56</v>
      </c>
      <c r="I966">
        <v>256.56</v>
      </c>
    </row>
    <row r="967" spans="1:9" x14ac:dyDescent="0.3">
      <c r="A967">
        <v>501</v>
      </c>
      <c r="B967" t="s">
        <v>61</v>
      </c>
      <c r="C967" t="s">
        <v>31</v>
      </c>
      <c r="D967">
        <v>159</v>
      </c>
      <c r="E967" t="s">
        <v>57</v>
      </c>
      <c r="F967">
        <v>1</v>
      </c>
      <c r="G967" t="str">
        <f t="shared" si="14"/>
        <v>M0113-A-159-1</v>
      </c>
      <c r="H967">
        <v>256.56</v>
      </c>
      <c r="I967">
        <v>257.52</v>
      </c>
    </row>
    <row r="968" spans="1:9" x14ac:dyDescent="0.3">
      <c r="A968">
        <v>501</v>
      </c>
      <c r="B968" t="s">
        <v>61</v>
      </c>
      <c r="C968" t="s">
        <v>31</v>
      </c>
      <c r="D968">
        <v>159</v>
      </c>
      <c r="E968" t="s">
        <v>57</v>
      </c>
      <c r="F968">
        <v>2</v>
      </c>
      <c r="G968" t="str">
        <f t="shared" si="14"/>
        <v>M0113-A-159-2</v>
      </c>
      <c r="H968">
        <v>257.52</v>
      </c>
      <c r="I968">
        <v>258.29000000000002</v>
      </c>
    </row>
    <row r="969" spans="1:9" x14ac:dyDescent="0.3">
      <c r="A969">
        <v>501</v>
      </c>
      <c r="B969" t="s">
        <v>61</v>
      </c>
      <c r="C969" t="s">
        <v>31</v>
      </c>
      <c r="D969">
        <v>160</v>
      </c>
      <c r="E969" t="s">
        <v>57</v>
      </c>
      <c r="F969">
        <v>1</v>
      </c>
      <c r="G969" t="str">
        <f t="shared" si="14"/>
        <v>M0113-A-160-1</v>
      </c>
      <c r="H969">
        <v>258.29000000000002</v>
      </c>
      <c r="I969">
        <v>259.29000000000002</v>
      </c>
    </row>
    <row r="970" spans="1:9" x14ac:dyDescent="0.3">
      <c r="A970">
        <v>501</v>
      </c>
      <c r="B970" t="s">
        <v>61</v>
      </c>
      <c r="C970" t="s">
        <v>31</v>
      </c>
      <c r="D970">
        <v>160</v>
      </c>
      <c r="E970" t="s">
        <v>57</v>
      </c>
      <c r="F970">
        <v>2</v>
      </c>
      <c r="G970" t="str">
        <f t="shared" si="14"/>
        <v>M0113-A-160-2</v>
      </c>
      <c r="H970">
        <v>259.29000000000002</v>
      </c>
      <c r="I970">
        <v>259.98</v>
      </c>
    </row>
    <row r="971" spans="1:9" x14ac:dyDescent="0.3">
      <c r="A971">
        <v>501</v>
      </c>
      <c r="B971" t="s">
        <v>61</v>
      </c>
      <c r="C971" t="s">
        <v>31</v>
      </c>
      <c r="D971">
        <v>161</v>
      </c>
      <c r="E971" t="s">
        <v>57</v>
      </c>
      <c r="F971">
        <v>1</v>
      </c>
      <c r="G971" t="str">
        <f t="shared" si="14"/>
        <v>M0113-A-161-1</v>
      </c>
      <c r="H971">
        <v>259.98</v>
      </c>
      <c r="I971">
        <v>260.13</v>
      </c>
    </row>
    <row r="972" spans="1:9" x14ac:dyDescent="0.3">
      <c r="A972">
        <v>501</v>
      </c>
      <c r="B972" t="s">
        <v>61</v>
      </c>
      <c r="C972" t="s">
        <v>31</v>
      </c>
      <c r="D972">
        <v>163</v>
      </c>
      <c r="E972" t="s">
        <v>57</v>
      </c>
      <c r="F972">
        <v>1</v>
      </c>
      <c r="G972" t="str">
        <f t="shared" si="14"/>
        <v>M0113-A-163-1</v>
      </c>
      <c r="H972">
        <v>261.63</v>
      </c>
      <c r="I972">
        <v>262.49</v>
      </c>
    </row>
    <row r="973" spans="1:9" x14ac:dyDescent="0.3">
      <c r="A973">
        <v>501</v>
      </c>
      <c r="B973" t="s">
        <v>61</v>
      </c>
      <c r="C973" t="s">
        <v>31</v>
      </c>
      <c r="D973">
        <v>164</v>
      </c>
      <c r="E973" t="s">
        <v>57</v>
      </c>
      <c r="F973">
        <v>1</v>
      </c>
      <c r="G973" t="str">
        <f t="shared" si="14"/>
        <v>M0113-A-164-1</v>
      </c>
      <c r="H973">
        <v>262.49</v>
      </c>
      <c r="I973">
        <v>262.92</v>
      </c>
    </row>
    <row r="974" spans="1:9" x14ac:dyDescent="0.3">
      <c r="A974">
        <v>501</v>
      </c>
      <c r="B974" t="s">
        <v>61</v>
      </c>
      <c r="C974" t="s">
        <v>31</v>
      </c>
      <c r="D974">
        <v>165</v>
      </c>
      <c r="E974" t="s">
        <v>57</v>
      </c>
      <c r="F974">
        <v>1</v>
      </c>
      <c r="G974" t="str">
        <f t="shared" si="14"/>
        <v>M0113-A-165-1</v>
      </c>
      <c r="H974">
        <v>262.92</v>
      </c>
      <c r="I974">
        <v>264.36</v>
      </c>
    </row>
    <row r="975" spans="1:9" x14ac:dyDescent="0.3">
      <c r="A975">
        <v>501</v>
      </c>
      <c r="B975" t="s">
        <v>61</v>
      </c>
      <c r="C975" t="s">
        <v>31</v>
      </c>
      <c r="D975">
        <v>165</v>
      </c>
      <c r="E975" t="s">
        <v>57</v>
      </c>
      <c r="F975">
        <v>2</v>
      </c>
      <c r="G975" t="str">
        <f t="shared" si="14"/>
        <v>M0113-A-165-2</v>
      </c>
      <c r="H975">
        <v>264.36</v>
      </c>
      <c r="I975">
        <v>265.06</v>
      </c>
    </row>
    <row r="976" spans="1:9" x14ac:dyDescent="0.3">
      <c r="A976">
        <v>501</v>
      </c>
      <c r="B976" t="s">
        <v>61</v>
      </c>
      <c r="C976" t="s">
        <v>31</v>
      </c>
      <c r="D976">
        <v>166</v>
      </c>
      <c r="E976" t="s">
        <v>57</v>
      </c>
      <c r="F976">
        <v>1</v>
      </c>
      <c r="G976" t="str">
        <f t="shared" si="14"/>
        <v>M0113-A-166-1</v>
      </c>
      <c r="H976">
        <v>265.06</v>
      </c>
      <c r="I976">
        <v>266.06</v>
      </c>
    </row>
    <row r="977" spans="1:9" x14ac:dyDescent="0.3">
      <c r="A977">
        <v>501</v>
      </c>
      <c r="B977" t="s">
        <v>61</v>
      </c>
      <c r="C977" t="s">
        <v>31</v>
      </c>
      <c r="D977">
        <v>166</v>
      </c>
      <c r="E977" t="s">
        <v>57</v>
      </c>
      <c r="F977">
        <v>2</v>
      </c>
      <c r="G977" t="str">
        <f t="shared" si="14"/>
        <v>M0113-A-166-2</v>
      </c>
      <c r="H977">
        <v>266.06</v>
      </c>
      <c r="I977">
        <v>266.77999999999997</v>
      </c>
    </row>
    <row r="978" spans="1:9" x14ac:dyDescent="0.3">
      <c r="A978">
        <v>501</v>
      </c>
      <c r="B978" t="s">
        <v>61</v>
      </c>
      <c r="C978" t="s">
        <v>31</v>
      </c>
      <c r="D978">
        <v>167</v>
      </c>
      <c r="E978" t="s">
        <v>57</v>
      </c>
      <c r="F978">
        <v>1</v>
      </c>
      <c r="G978" t="str">
        <f t="shared" si="14"/>
        <v>M0113-A-167-1</v>
      </c>
      <c r="H978">
        <v>266.77999999999997</v>
      </c>
      <c r="I978">
        <v>268.27999999999997</v>
      </c>
    </row>
    <row r="979" spans="1:9" x14ac:dyDescent="0.3">
      <c r="A979">
        <v>501</v>
      </c>
      <c r="B979" t="s">
        <v>61</v>
      </c>
      <c r="C979" t="s">
        <v>31</v>
      </c>
      <c r="D979">
        <v>167</v>
      </c>
      <c r="E979" t="s">
        <v>57</v>
      </c>
      <c r="F979">
        <v>2</v>
      </c>
      <c r="G979" t="str">
        <f t="shared" si="14"/>
        <v>M0113-A-167-2</v>
      </c>
      <c r="H979">
        <v>268.27999999999997</v>
      </c>
      <c r="I979">
        <v>269.02999999999997</v>
      </c>
    </row>
    <row r="980" spans="1:9" x14ac:dyDescent="0.3">
      <c r="A980">
        <v>501</v>
      </c>
      <c r="B980" t="s">
        <v>61</v>
      </c>
      <c r="C980" t="s">
        <v>31</v>
      </c>
      <c r="D980">
        <v>168</v>
      </c>
      <c r="E980" t="s">
        <v>57</v>
      </c>
      <c r="F980">
        <v>1</v>
      </c>
      <c r="G980" t="str">
        <f t="shared" si="14"/>
        <v>M0113-A-168-1</v>
      </c>
      <c r="H980">
        <v>269.02999999999997</v>
      </c>
      <c r="I980">
        <v>270.52999999999997</v>
      </c>
    </row>
    <row r="981" spans="1:9" x14ac:dyDescent="0.3">
      <c r="A981">
        <v>501</v>
      </c>
      <c r="B981" t="s">
        <v>61</v>
      </c>
      <c r="C981" t="s">
        <v>31</v>
      </c>
      <c r="D981">
        <v>168</v>
      </c>
      <c r="E981" t="s">
        <v>57</v>
      </c>
      <c r="F981">
        <v>2</v>
      </c>
      <c r="G981" t="str">
        <f t="shared" si="14"/>
        <v>M0113-A-168-2</v>
      </c>
      <c r="H981">
        <v>270.52999999999997</v>
      </c>
      <c r="I981">
        <v>270.95</v>
      </c>
    </row>
    <row r="982" spans="1:9" x14ac:dyDescent="0.3">
      <c r="A982">
        <v>501</v>
      </c>
      <c r="B982" t="s">
        <v>61</v>
      </c>
      <c r="C982" t="s">
        <v>31</v>
      </c>
      <c r="D982">
        <v>169</v>
      </c>
      <c r="E982" t="s">
        <v>57</v>
      </c>
      <c r="F982">
        <v>1</v>
      </c>
      <c r="G982" t="str">
        <f t="shared" si="14"/>
        <v>M0113-A-169-1</v>
      </c>
      <c r="H982">
        <v>270.95</v>
      </c>
      <c r="I982">
        <v>272.2</v>
      </c>
    </row>
    <row r="983" spans="1:9" x14ac:dyDescent="0.3">
      <c r="A983">
        <v>501</v>
      </c>
      <c r="B983" t="s">
        <v>61</v>
      </c>
      <c r="C983" t="s">
        <v>31</v>
      </c>
      <c r="D983">
        <v>169</v>
      </c>
      <c r="E983" t="s">
        <v>57</v>
      </c>
      <c r="F983">
        <v>2</v>
      </c>
      <c r="G983" t="str">
        <f t="shared" si="14"/>
        <v>M0113-A-169-2</v>
      </c>
      <c r="H983">
        <v>272.2</v>
      </c>
      <c r="I983">
        <v>272.95999999999998</v>
      </c>
    </row>
    <row r="984" spans="1:9" x14ac:dyDescent="0.3">
      <c r="A984">
        <v>501</v>
      </c>
      <c r="B984" t="s">
        <v>61</v>
      </c>
      <c r="C984" t="s">
        <v>31</v>
      </c>
      <c r="D984">
        <v>170</v>
      </c>
      <c r="E984" t="s">
        <v>59</v>
      </c>
      <c r="F984">
        <v>1</v>
      </c>
      <c r="G984" t="str">
        <f t="shared" si="14"/>
        <v>M0113-A-170-1</v>
      </c>
      <c r="H984">
        <v>248.96</v>
      </c>
      <c r="I984">
        <v>272.95999999999998</v>
      </c>
    </row>
    <row r="985" spans="1:9" x14ac:dyDescent="0.3">
      <c r="A985">
        <v>501</v>
      </c>
      <c r="B985" t="s">
        <v>61</v>
      </c>
      <c r="C985" t="s">
        <v>31</v>
      </c>
      <c r="D985">
        <v>171</v>
      </c>
      <c r="E985" t="s">
        <v>57</v>
      </c>
      <c r="F985">
        <v>1</v>
      </c>
      <c r="G985" t="str">
        <f t="shared" si="14"/>
        <v>M0113-A-171-1</v>
      </c>
      <c r="H985">
        <v>272.95999999999998</v>
      </c>
      <c r="I985">
        <v>274.45999999999998</v>
      </c>
    </row>
    <row r="986" spans="1:9" x14ac:dyDescent="0.3">
      <c r="A986">
        <v>501</v>
      </c>
      <c r="B986" t="s">
        <v>61</v>
      </c>
      <c r="C986" t="s">
        <v>31</v>
      </c>
      <c r="D986">
        <v>172</v>
      </c>
      <c r="E986" t="s">
        <v>57</v>
      </c>
      <c r="F986">
        <v>1</v>
      </c>
      <c r="G986" t="str">
        <f t="shared" si="14"/>
        <v>M0113-A-172-1</v>
      </c>
      <c r="H986">
        <v>274.45999999999998</v>
      </c>
      <c r="I986">
        <v>274.98</v>
      </c>
    </row>
    <row r="987" spans="1:9" x14ac:dyDescent="0.3">
      <c r="A987">
        <v>501</v>
      </c>
      <c r="B987" t="s">
        <v>61</v>
      </c>
      <c r="C987" t="s">
        <v>31</v>
      </c>
      <c r="D987">
        <v>172</v>
      </c>
      <c r="E987" t="s">
        <v>57</v>
      </c>
      <c r="F987">
        <v>2</v>
      </c>
      <c r="G987" t="str">
        <f t="shared" si="14"/>
        <v>M0113-A-172-2</v>
      </c>
      <c r="H987">
        <v>274.98</v>
      </c>
      <c r="I987">
        <v>275.98</v>
      </c>
    </row>
    <row r="988" spans="1:9" x14ac:dyDescent="0.3">
      <c r="A988">
        <v>501</v>
      </c>
      <c r="B988" t="s">
        <v>61</v>
      </c>
      <c r="C988" t="s">
        <v>31</v>
      </c>
      <c r="D988">
        <v>172</v>
      </c>
      <c r="E988" t="s">
        <v>57</v>
      </c>
      <c r="F988">
        <v>3</v>
      </c>
      <c r="G988" t="str">
        <f t="shared" si="14"/>
        <v>M0113-A-172-3</v>
      </c>
      <c r="H988">
        <v>275.98</v>
      </c>
      <c r="I988">
        <v>276.77999999999997</v>
      </c>
    </row>
    <row r="989" spans="1:9" x14ac:dyDescent="0.3">
      <c r="A989">
        <v>501</v>
      </c>
      <c r="B989" t="s">
        <v>61</v>
      </c>
      <c r="C989" t="s">
        <v>31</v>
      </c>
      <c r="D989">
        <v>172</v>
      </c>
      <c r="E989" t="s">
        <v>57</v>
      </c>
      <c r="F989">
        <v>4</v>
      </c>
      <c r="G989" t="str">
        <f t="shared" si="14"/>
        <v>M0113-A-172-4</v>
      </c>
      <c r="H989">
        <v>276.77999999999997</v>
      </c>
      <c r="I989">
        <v>276.83999999999997</v>
      </c>
    </row>
    <row r="990" spans="1:9" x14ac:dyDescent="0.3">
      <c r="A990">
        <v>501</v>
      </c>
      <c r="B990" t="s">
        <v>61</v>
      </c>
      <c r="C990" t="s">
        <v>31</v>
      </c>
      <c r="D990">
        <v>173</v>
      </c>
      <c r="E990" t="s">
        <v>57</v>
      </c>
      <c r="F990">
        <v>1</v>
      </c>
      <c r="G990" t="str">
        <f t="shared" si="14"/>
        <v>M0113-A-173-1</v>
      </c>
      <c r="H990">
        <v>276.83999999999997</v>
      </c>
      <c r="I990">
        <v>277.73</v>
      </c>
    </row>
    <row r="991" spans="1:9" x14ac:dyDescent="0.3">
      <c r="A991">
        <v>501</v>
      </c>
      <c r="B991" t="s">
        <v>61</v>
      </c>
      <c r="C991" t="s">
        <v>31</v>
      </c>
      <c r="D991">
        <v>174</v>
      </c>
      <c r="E991" t="s">
        <v>57</v>
      </c>
      <c r="F991">
        <v>1</v>
      </c>
      <c r="G991" t="str">
        <f t="shared" si="14"/>
        <v>M0113-A-174-1</v>
      </c>
      <c r="H991">
        <v>277.73</v>
      </c>
      <c r="I991">
        <v>277.74</v>
      </c>
    </row>
    <row r="992" spans="1:9" x14ac:dyDescent="0.3">
      <c r="A992">
        <v>501</v>
      </c>
      <c r="B992" t="s">
        <v>61</v>
      </c>
      <c r="C992" t="s">
        <v>31</v>
      </c>
      <c r="D992">
        <v>175</v>
      </c>
      <c r="E992" t="s">
        <v>34</v>
      </c>
      <c r="F992">
        <v>1</v>
      </c>
      <c r="G992" t="str">
        <f t="shared" si="14"/>
        <v>M0113-A-175-1</v>
      </c>
      <c r="H992">
        <v>277.74</v>
      </c>
      <c r="I992">
        <v>278.99</v>
      </c>
    </row>
    <row r="993" spans="1:9" x14ac:dyDescent="0.3">
      <c r="A993">
        <v>501</v>
      </c>
      <c r="B993" t="s">
        <v>61</v>
      </c>
      <c r="C993" t="s">
        <v>31</v>
      </c>
      <c r="D993">
        <v>176</v>
      </c>
      <c r="E993" t="s">
        <v>34</v>
      </c>
      <c r="F993">
        <v>1</v>
      </c>
      <c r="G993" t="str">
        <f t="shared" si="14"/>
        <v>M0113-A-176-1</v>
      </c>
      <c r="H993">
        <v>279.74</v>
      </c>
      <c r="I993">
        <v>280.13</v>
      </c>
    </row>
    <row r="994" spans="1:9" x14ac:dyDescent="0.3">
      <c r="A994">
        <v>501</v>
      </c>
      <c r="B994" t="s">
        <v>61</v>
      </c>
      <c r="C994" t="s">
        <v>31</v>
      </c>
      <c r="D994">
        <v>177</v>
      </c>
      <c r="E994" t="s">
        <v>57</v>
      </c>
      <c r="F994">
        <v>1</v>
      </c>
      <c r="G994" t="str">
        <f t="shared" si="14"/>
        <v>M0113-A-177-1</v>
      </c>
      <c r="H994">
        <v>281.49</v>
      </c>
      <c r="I994">
        <v>282.27999999999997</v>
      </c>
    </row>
    <row r="995" spans="1:9" x14ac:dyDescent="0.3">
      <c r="A995">
        <v>501</v>
      </c>
      <c r="B995" t="s">
        <v>61</v>
      </c>
      <c r="C995" t="s">
        <v>31</v>
      </c>
      <c r="D995">
        <v>177</v>
      </c>
      <c r="E995" t="s">
        <v>57</v>
      </c>
      <c r="F995">
        <v>2</v>
      </c>
      <c r="G995" t="str">
        <f t="shared" si="14"/>
        <v>M0113-A-177-2</v>
      </c>
      <c r="H995">
        <v>282.27999999999997</v>
      </c>
      <c r="I995">
        <v>282.89</v>
      </c>
    </row>
    <row r="996" spans="1:9" x14ac:dyDescent="0.3">
      <c r="A996">
        <v>501</v>
      </c>
      <c r="B996" t="s">
        <v>61</v>
      </c>
      <c r="C996" t="s">
        <v>31</v>
      </c>
      <c r="D996">
        <v>178</v>
      </c>
      <c r="E996" t="s">
        <v>57</v>
      </c>
      <c r="F996">
        <v>1</v>
      </c>
      <c r="G996" t="str">
        <f t="shared" si="14"/>
        <v>M0113-A-178-1</v>
      </c>
      <c r="H996">
        <v>282.89</v>
      </c>
      <c r="I996">
        <v>284.29000000000002</v>
      </c>
    </row>
    <row r="997" spans="1:9" x14ac:dyDescent="0.3">
      <c r="A997">
        <v>501</v>
      </c>
      <c r="B997" t="s">
        <v>61</v>
      </c>
      <c r="C997" t="s">
        <v>31</v>
      </c>
      <c r="D997">
        <v>178</v>
      </c>
      <c r="E997" t="s">
        <v>57</v>
      </c>
      <c r="F997">
        <v>2</v>
      </c>
      <c r="G997" t="str">
        <f t="shared" si="14"/>
        <v>M0113-A-178-2</v>
      </c>
      <c r="H997">
        <v>284.29000000000002</v>
      </c>
      <c r="I997">
        <v>284.79000000000002</v>
      </c>
    </row>
    <row r="998" spans="1:9" x14ac:dyDescent="0.3">
      <c r="A998">
        <v>501</v>
      </c>
      <c r="B998" t="s">
        <v>61</v>
      </c>
      <c r="C998" t="s">
        <v>31</v>
      </c>
      <c r="D998">
        <v>179</v>
      </c>
      <c r="E998" t="s">
        <v>57</v>
      </c>
      <c r="F998">
        <v>1</v>
      </c>
      <c r="G998" t="str">
        <f t="shared" si="14"/>
        <v>M0113-A-179-1</v>
      </c>
      <c r="H998">
        <v>284.79000000000002</v>
      </c>
      <c r="I998">
        <v>285.55</v>
      </c>
    </row>
    <row r="999" spans="1:9" x14ac:dyDescent="0.3">
      <c r="A999">
        <v>501</v>
      </c>
      <c r="B999" t="s">
        <v>61</v>
      </c>
      <c r="C999" t="s">
        <v>31</v>
      </c>
      <c r="D999">
        <v>179</v>
      </c>
      <c r="E999" t="s">
        <v>57</v>
      </c>
      <c r="F999">
        <v>2</v>
      </c>
      <c r="G999" t="str">
        <f t="shared" si="14"/>
        <v>M0113-A-179-2</v>
      </c>
      <c r="H999">
        <v>285.55</v>
      </c>
      <c r="I999">
        <v>286.08999999999997</v>
      </c>
    </row>
    <row r="1000" spans="1:9" x14ac:dyDescent="0.3">
      <c r="A1000">
        <v>501</v>
      </c>
      <c r="B1000" t="s">
        <v>61</v>
      </c>
      <c r="C1000" t="s">
        <v>31</v>
      </c>
      <c r="D1000">
        <v>180</v>
      </c>
      <c r="E1000" t="s">
        <v>57</v>
      </c>
      <c r="F1000">
        <v>1</v>
      </c>
      <c r="G1000" t="str">
        <f t="shared" si="14"/>
        <v>M0113-A-180-1</v>
      </c>
      <c r="H1000">
        <v>286.08999999999997</v>
      </c>
      <c r="I1000">
        <v>286.99</v>
      </c>
    </row>
    <row r="1001" spans="1:9" x14ac:dyDescent="0.3">
      <c r="A1001">
        <v>501</v>
      </c>
      <c r="B1001" t="s">
        <v>61</v>
      </c>
      <c r="C1001" t="s">
        <v>31</v>
      </c>
      <c r="D1001">
        <v>181</v>
      </c>
      <c r="E1001" t="s">
        <v>57</v>
      </c>
      <c r="F1001">
        <v>1</v>
      </c>
      <c r="G1001" t="str">
        <f t="shared" si="14"/>
        <v>M0113-A-181-1</v>
      </c>
      <c r="H1001">
        <v>286.99</v>
      </c>
      <c r="I1001">
        <v>288.39999999999998</v>
      </c>
    </row>
    <row r="1002" spans="1:9" x14ac:dyDescent="0.3">
      <c r="A1002">
        <v>501</v>
      </c>
      <c r="B1002" t="s">
        <v>61</v>
      </c>
      <c r="C1002" t="s">
        <v>31</v>
      </c>
      <c r="D1002">
        <v>182</v>
      </c>
      <c r="E1002" t="s">
        <v>57</v>
      </c>
      <c r="F1002">
        <v>1</v>
      </c>
      <c r="G1002" t="str">
        <f t="shared" si="14"/>
        <v>M0113-A-182-1</v>
      </c>
      <c r="H1002">
        <v>288.39999999999998</v>
      </c>
      <c r="I1002">
        <v>289.89999999999998</v>
      </c>
    </row>
    <row r="1003" spans="1:9" x14ac:dyDescent="0.3">
      <c r="A1003">
        <v>501</v>
      </c>
      <c r="B1003" t="s">
        <v>61</v>
      </c>
      <c r="C1003" t="s">
        <v>31</v>
      </c>
      <c r="D1003">
        <v>182</v>
      </c>
      <c r="E1003" t="s">
        <v>57</v>
      </c>
      <c r="F1003">
        <v>2</v>
      </c>
      <c r="G1003" t="str">
        <f t="shared" si="14"/>
        <v>M0113-A-182-2</v>
      </c>
      <c r="H1003">
        <v>289.89999999999998</v>
      </c>
      <c r="I1003">
        <v>290.66000000000003</v>
      </c>
    </row>
    <row r="1004" spans="1:9" x14ac:dyDescent="0.3">
      <c r="A1004">
        <v>501</v>
      </c>
      <c r="B1004" t="s">
        <v>61</v>
      </c>
      <c r="C1004" t="s">
        <v>31</v>
      </c>
      <c r="D1004">
        <v>183</v>
      </c>
      <c r="E1004" t="s">
        <v>57</v>
      </c>
      <c r="F1004">
        <v>1</v>
      </c>
      <c r="G1004" t="str">
        <f t="shared" si="14"/>
        <v>M0113-A-183-1</v>
      </c>
      <c r="H1004">
        <v>290.66000000000003</v>
      </c>
      <c r="I1004">
        <v>290.89</v>
      </c>
    </row>
    <row r="1005" spans="1:9" x14ac:dyDescent="0.3">
      <c r="A1005">
        <v>501</v>
      </c>
      <c r="B1005" t="s">
        <v>61</v>
      </c>
      <c r="C1005" t="s">
        <v>31</v>
      </c>
      <c r="D1005">
        <v>184</v>
      </c>
      <c r="E1005" t="s">
        <v>57</v>
      </c>
      <c r="F1005">
        <v>1</v>
      </c>
      <c r="G1005" t="str">
        <f t="shared" si="14"/>
        <v>M0113-A-184-1</v>
      </c>
      <c r="H1005">
        <v>290.89</v>
      </c>
      <c r="I1005">
        <v>292.19</v>
      </c>
    </row>
    <row r="1006" spans="1:9" x14ac:dyDescent="0.3">
      <c r="A1006">
        <v>501</v>
      </c>
      <c r="B1006" t="s">
        <v>61</v>
      </c>
      <c r="C1006" t="s">
        <v>31</v>
      </c>
      <c r="D1006">
        <v>185</v>
      </c>
      <c r="E1006" t="s">
        <v>57</v>
      </c>
      <c r="F1006">
        <v>1</v>
      </c>
      <c r="G1006" t="str">
        <f t="shared" si="14"/>
        <v>M0113-A-185-1</v>
      </c>
      <c r="H1006">
        <v>292.19</v>
      </c>
      <c r="I1006">
        <v>293.2</v>
      </c>
    </row>
    <row r="1007" spans="1:9" x14ac:dyDescent="0.3">
      <c r="A1007">
        <v>501</v>
      </c>
      <c r="B1007" t="s">
        <v>61</v>
      </c>
      <c r="C1007" t="s">
        <v>31</v>
      </c>
      <c r="D1007">
        <v>185</v>
      </c>
      <c r="E1007" t="s">
        <v>57</v>
      </c>
      <c r="F1007">
        <v>2</v>
      </c>
      <c r="G1007" t="str">
        <f t="shared" si="14"/>
        <v>M0113-A-185-2</v>
      </c>
      <c r="H1007">
        <v>293.2</v>
      </c>
      <c r="I1007">
        <v>293.83999999999997</v>
      </c>
    </row>
    <row r="1008" spans="1:9" x14ac:dyDescent="0.3">
      <c r="A1008">
        <v>501</v>
      </c>
      <c r="B1008" t="s">
        <v>61</v>
      </c>
      <c r="C1008" t="s">
        <v>31</v>
      </c>
      <c r="D1008">
        <v>186</v>
      </c>
      <c r="E1008" t="s">
        <v>57</v>
      </c>
      <c r="F1008">
        <v>1</v>
      </c>
      <c r="G1008" t="str">
        <f t="shared" si="14"/>
        <v>M0113-A-186-1</v>
      </c>
      <c r="H1008">
        <v>293.83999999999997</v>
      </c>
      <c r="I1008">
        <v>293.89</v>
      </c>
    </row>
    <row r="1009" spans="1:9" x14ac:dyDescent="0.3">
      <c r="A1009">
        <v>501</v>
      </c>
      <c r="B1009" t="s">
        <v>61</v>
      </c>
      <c r="C1009" t="s">
        <v>31</v>
      </c>
      <c r="D1009">
        <v>187</v>
      </c>
      <c r="E1009" t="s">
        <v>57</v>
      </c>
      <c r="F1009">
        <v>1</v>
      </c>
      <c r="G1009" t="str">
        <f t="shared" si="14"/>
        <v>M0113-A-187-1</v>
      </c>
      <c r="H1009">
        <v>293.89</v>
      </c>
      <c r="I1009">
        <v>294.47000000000003</v>
      </c>
    </row>
    <row r="1010" spans="1:9" x14ac:dyDescent="0.3">
      <c r="A1010">
        <v>501</v>
      </c>
      <c r="B1010" t="s">
        <v>61</v>
      </c>
      <c r="C1010" t="s">
        <v>31</v>
      </c>
      <c r="D1010">
        <v>188</v>
      </c>
      <c r="E1010" t="s">
        <v>57</v>
      </c>
      <c r="F1010">
        <v>1</v>
      </c>
      <c r="G1010" t="str">
        <f t="shared" si="14"/>
        <v>M0113-A-188-1</v>
      </c>
      <c r="H1010">
        <v>294.47000000000003</v>
      </c>
      <c r="I1010">
        <v>295.41000000000003</v>
      </c>
    </row>
    <row r="1011" spans="1:9" x14ac:dyDescent="0.3">
      <c r="A1011">
        <v>501</v>
      </c>
      <c r="B1011" t="s">
        <v>61</v>
      </c>
      <c r="C1011" t="s">
        <v>31</v>
      </c>
      <c r="D1011">
        <v>189</v>
      </c>
      <c r="E1011" t="s">
        <v>34</v>
      </c>
      <c r="F1011">
        <v>1</v>
      </c>
      <c r="G1011" t="str">
        <f t="shared" si="14"/>
        <v>M0113-A-189-1</v>
      </c>
      <c r="H1011">
        <v>295.41000000000003</v>
      </c>
      <c r="I1011">
        <v>295.79000000000002</v>
      </c>
    </row>
    <row r="1012" spans="1:9" x14ac:dyDescent="0.3">
      <c r="A1012">
        <v>501</v>
      </c>
      <c r="B1012" t="s">
        <v>61</v>
      </c>
      <c r="C1012" t="s">
        <v>31</v>
      </c>
      <c r="D1012">
        <v>190</v>
      </c>
      <c r="E1012" t="s">
        <v>34</v>
      </c>
      <c r="F1012">
        <v>1</v>
      </c>
      <c r="G1012" t="str">
        <f t="shared" si="14"/>
        <v>M0113-A-190-1</v>
      </c>
      <c r="H1012">
        <v>296.49</v>
      </c>
      <c r="I1012">
        <v>296.76</v>
      </c>
    </row>
    <row r="1013" spans="1:9" x14ac:dyDescent="0.3">
      <c r="A1013">
        <v>501</v>
      </c>
      <c r="B1013" t="s">
        <v>61</v>
      </c>
      <c r="C1013" t="s">
        <v>31</v>
      </c>
      <c r="D1013">
        <v>191</v>
      </c>
      <c r="E1013" t="s">
        <v>57</v>
      </c>
      <c r="F1013">
        <v>1</v>
      </c>
      <c r="G1013" t="str">
        <f t="shared" si="14"/>
        <v>M0113-A-191-1</v>
      </c>
      <c r="H1013">
        <v>297.99</v>
      </c>
      <c r="I1013">
        <v>298.99</v>
      </c>
    </row>
    <row r="1014" spans="1:9" x14ac:dyDescent="0.3">
      <c r="A1014">
        <v>501</v>
      </c>
      <c r="B1014" t="s">
        <v>61</v>
      </c>
      <c r="C1014" t="s">
        <v>31</v>
      </c>
      <c r="D1014">
        <v>191</v>
      </c>
      <c r="E1014" t="s">
        <v>57</v>
      </c>
      <c r="F1014">
        <v>2</v>
      </c>
      <c r="G1014" t="str">
        <f t="shared" si="14"/>
        <v>M0113-A-191-2</v>
      </c>
      <c r="H1014">
        <v>298.99</v>
      </c>
      <c r="I1014">
        <v>299.83</v>
      </c>
    </row>
    <row r="1015" spans="1:9" x14ac:dyDescent="0.3">
      <c r="A1015">
        <v>501</v>
      </c>
      <c r="B1015" t="s">
        <v>61</v>
      </c>
      <c r="C1015" t="s">
        <v>31</v>
      </c>
      <c r="D1015">
        <v>192</v>
      </c>
      <c r="E1015" t="s">
        <v>57</v>
      </c>
      <c r="F1015">
        <v>1</v>
      </c>
      <c r="G1015" t="str">
        <f t="shared" si="14"/>
        <v>M0113-A-192-1</v>
      </c>
      <c r="H1015">
        <v>299.83</v>
      </c>
      <c r="I1015">
        <v>300.97000000000003</v>
      </c>
    </row>
    <row r="1016" spans="1:9" x14ac:dyDescent="0.3">
      <c r="A1016">
        <v>501</v>
      </c>
      <c r="B1016" t="s">
        <v>61</v>
      </c>
      <c r="C1016" t="s">
        <v>31</v>
      </c>
      <c r="D1016">
        <v>193</v>
      </c>
      <c r="E1016" t="s">
        <v>57</v>
      </c>
      <c r="F1016">
        <v>1</v>
      </c>
      <c r="G1016" t="str">
        <f t="shared" ref="G1016:G1049" si="15">CONCATENATE(B1016, "-",C1016, "-", D1016, "-", F1016)</f>
        <v>M0113-A-193-1</v>
      </c>
      <c r="H1016">
        <v>300.97000000000003</v>
      </c>
      <c r="I1016">
        <v>301.43</v>
      </c>
    </row>
    <row r="1017" spans="1:9" x14ac:dyDescent="0.3">
      <c r="A1017">
        <v>501</v>
      </c>
      <c r="B1017" t="s">
        <v>61</v>
      </c>
      <c r="C1017" t="s">
        <v>31</v>
      </c>
      <c r="D1017">
        <v>193</v>
      </c>
      <c r="E1017" t="s">
        <v>57</v>
      </c>
      <c r="F1017">
        <v>2</v>
      </c>
      <c r="G1017" t="str">
        <f t="shared" si="15"/>
        <v>M0113-A-193-2</v>
      </c>
      <c r="H1017">
        <v>301.43</v>
      </c>
      <c r="I1017">
        <v>301.82</v>
      </c>
    </row>
    <row r="1018" spans="1:9" x14ac:dyDescent="0.3">
      <c r="A1018">
        <v>501</v>
      </c>
      <c r="B1018" t="s">
        <v>61</v>
      </c>
      <c r="C1018" t="s">
        <v>31</v>
      </c>
      <c r="D1018">
        <v>194</v>
      </c>
      <c r="E1018" t="s">
        <v>57</v>
      </c>
      <c r="F1018">
        <v>1</v>
      </c>
      <c r="G1018" t="str">
        <f t="shared" si="15"/>
        <v>M0113-A-194-1</v>
      </c>
      <c r="H1018">
        <v>301.82</v>
      </c>
      <c r="I1018">
        <v>301.95</v>
      </c>
    </row>
    <row r="1019" spans="1:9" x14ac:dyDescent="0.3">
      <c r="A1019">
        <v>501</v>
      </c>
      <c r="B1019" t="s">
        <v>61</v>
      </c>
      <c r="C1019" t="s">
        <v>31</v>
      </c>
      <c r="D1019">
        <v>194</v>
      </c>
      <c r="E1019" t="s">
        <v>57</v>
      </c>
      <c r="F1019">
        <v>2</v>
      </c>
      <c r="G1019" t="str">
        <f t="shared" si="15"/>
        <v>M0113-A-194-2</v>
      </c>
      <c r="H1019">
        <v>301.95</v>
      </c>
      <c r="I1019">
        <v>302.10000000000002</v>
      </c>
    </row>
    <row r="1020" spans="1:9" x14ac:dyDescent="0.3">
      <c r="A1020">
        <v>501</v>
      </c>
      <c r="B1020" t="s">
        <v>61</v>
      </c>
      <c r="C1020" t="s">
        <v>31</v>
      </c>
      <c r="D1020">
        <v>194</v>
      </c>
      <c r="E1020" t="s">
        <v>57</v>
      </c>
      <c r="F1020">
        <v>3</v>
      </c>
      <c r="G1020" t="str">
        <f t="shared" si="15"/>
        <v>M0113-A-194-3</v>
      </c>
      <c r="H1020">
        <v>302.10000000000002</v>
      </c>
      <c r="I1020">
        <v>302.69</v>
      </c>
    </row>
    <row r="1021" spans="1:9" x14ac:dyDescent="0.3">
      <c r="A1021">
        <v>501</v>
      </c>
      <c r="B1021" t="s">
        <v>61</v>
      </c>
      <c r="C1021" t="s">
        <v>31</v>
      </c>
      <c r="D1021">
        <v>195</v>
      </c>
      <c r="E1021" t="s">
        <v>57</v>
      </c>
      <c r="F1021">
        <v>1</v>
      </c>
      <c r="G1021" t="str">
        <f t="shared" si="15"/>
        <v>M0113-A-195-1</v>
      </c>
      <c r="H1021">
        <v>302.69</v>
      </c>
      <c r="I1021">
        <v>303.26</v>
      </c>
    </row>
    <row r="1022" spans="1:9" x14ac:dyDescent="0.3">
      <c r="A1022">
        <v>501</v>
      </c>
      <c r="B1022" t="s">
        <v>61</v>
      </c>
      <c r="C1022" t="s">
        <v>31</v>
      </c>
      <c r="D1022">
        <v>196</v>
      </c>
      <c r="E1022" t="s">
        <v>57</v>
      </c>
      <c r="F1022">
        <v>1</v>
      </c>
      <c r="G1022" t="str">
        <f t="shared" si="15"/>
        <v>M0113-A-196-1</v>
      </c>
      <c r="H1022">
        <v>303.26</v>
      </c>
      <c r="I1022">
        <v>304.36</v>
      </c>
    </row>
    <row r="1023" spans="1:9" x14ac:dyDescent="0.3">
      <c r="A1023">
        <v>501</v>
      </c>
      <c r="B1023" t="s">
        <v>61</v>
      </c>
      <c r="C1023" t="s">
        <v>31</v>
      </c>
      <c r="D1023">
        <v>196</v>
      </c>
      <c r="E1023" t="s">
        <v>57</v>
      </c>
      <c r="F1023">
        <v>2</v>
      </c>
      <c r="G1023" t="str">
        <f t="shared" si="15"/>
        <v>M0113-A-196-2</v>
      </c>
      <c r="H1023">
        <v>304.36</v>
      </c>
      <c r="I1023">
        <v>304.79000000000002</v>
      </c>
    </row>
    <row r="1024" spans="1:9" x14ac:dyDescent="0.3">
      <c r="A1024">
        <v>501</v>
      </c>
      <c r="B1024" t="s">
        <v>61</v>
      </c>
      <c r="C1024" t="s">
        <v>31</v>
      </c>
      <c r="D1024">
        <v>197</v>
      </c>
      <c r="E1024" t="s">
        <v>57</v>
      </c>
      <c r="F1024">
        <v>1</v>
      </c>
      <c r="G1024" t="str">
        <f t="shared" si="15"/>
        <v>M0113-A-197-1</v>
      </c>
      <c r="H1024">
        <v>304.79000000000002</v>
      </c>
      <c r="I1024">
        <v>305.22000000000003</v>
      </c>
    </row>
    <row r="1025" spans="1:9" x14ac:dyDescent="0.3">
      <c r="A1025">
        <v>501</v>
      </c>
      <c r="B1025" t="s">
        <v>61</v>
      </c>
      <c r="C1025" t="s">
        <v>31</v>
      </c>
      <c r="D1025">
        <v>197</v>
      </c>
      <c r="E1025" t="s">
        <v>57</v>
      </c>
      <c r="F1025">
        <v>2</v>
      </c>
      <c r="G1025" t="str">
        <f t="shared" si="15"/>
        <v>M0113-A-197-2</v>
      </c>
      <c r="H1025">
        <v>305.22000000000003</v>
      </c>
      <c r="I1025">
        <v>305.41000000000003</v>
      </c>
    </row>
    <row r="1026" spans="1:9" x14ac:dyDescent="0.3">
      <c r="A1026">
        <v>501</v>
      </c>
      <c r="B1026" t="s">
        <v>61</v>
      </c>
      <c r="C1026" t="s">
        <v>31</v>
      </c>
      <c r="D1026">
        <v>198</v>
      </c>
      <c r="E1026" t="s">
        <v>57</v>
      </c>
      <c r="F1026">
        <v>1</v>
      </c>
      <c r="G1026" t="str">
        <f t="shared" si="15"/>
        <v>M0113-A-198-1</v>
      </c>
      <c r="H1026">
        <v>305.41000000000003</v>
      </c>
      <c r="I1026">
        <v>305.49</v>
      </c>
    </row>
    <row r="1027" spans="1:9" x14ac:dyDescent="0.3">
      <c r="A1027">
        <v>501</v>
      </c>
      <c r="B1027" t="s">
        <v>61</v>
      </c>
      <c r="C1027" t="s">
        <v>31</v>
      </c>
      <c r="D1027">
        <v>198</v>
      </c>
      <c r="E1027" t="s">
        <v>57</v>
      </c>
      <c r="F1027">
        <v>2</v>
      </c>
      <c r="G1027" t="str">
        <f t="shared" si="15"/>
        <v>M0113-A-198-2</v>
      </c>
      <c r="H1027">
        <v>305.49</v>
      </c>
      <c r="I1027">
        <v>306.04000000000002</v>
      </c>
    </row>
    <row r="1028" spans="1:9" x14ac:dyDescent="0.3">
      <c r="A1028">
        <v>501</v>
      </c>
      <c r="B1028" t="s">
        <v>61</v>
      </c>
      <c r="C1028" t="s">
        <v>31</v>
      </c>
      <c r="D1028">
        <v>199</v>
      </c>
      <c r="E1028" t="s">
        <v>57</v>
      </c>
      <c r="F1028">
        <v>1</v>
      </c>
      <c r="G1028" t="str">
        <f t="shared" si="15"/>
        <v>M0113-A-199-1</v>
      </c>
      <c r="H1028">
        <v>306.04000000000002</v>
      </c>
      <c r="I1028">
        <v>306.45999999999998</v>
      </c>
    </row>
    <row r="1029" spans="1:9" x14ac:dyDescent="0.3">
      <c r="A1029">
        <v>501</v>
      </c>
      <c r="B1029" t="s">
        <v>61</v>
      </c>
      <c r="C1029" t="s">
        <v>31</v>
      </c>
      <c r="D1029">
        <v>200</v>
      </c>
      <c r="E1029" t="s">
        <v>34</v>
      </c>
      <c r="F1029">
        <v>1</v>
      </c>
      <c r="G1029" t="str">
        <f t="shared" si="15"/>
        <v>M0113-A-200-1</v>
      </c>
      <c r="H1029">
        <v>306.45999999999998</v>
      </c>
      <c r="I1029">
        <v>307.12</v>
      </c>
    </row>
    <row r="1030" spans="1:9" x14ac:dyDescent="0.3">
      <c r="A1030">
        <v>501</v>
      </c>
      <c r="B1030" t="s">
        <v>61</v>
      </c>
      <c r="C1030" t="s">
        <v>31</v>
      </c>
      <c r="D1030">
        <v>200</v>
      </c>
      <c r="E1030" t="s">
        <v>34</v>
      </c>
      <c r="F1030">
        <v>2</v>
      </c>
      <c r="G1030" t="str">
        <f t="shared" si="15"/>
        <v>M0113-A-200-2</v>
      </c>
      <c r="H1030">
        <v>307.12</v>
      </c>
      <c r="I1030">
        <v>307.45</v>
      </c>
    </row>
    <row r="1031" spans="1:9" x14ac:dyDescent="0.3">
      <c r="A1031">
        <v>501</v>
      </c>
      <c r="B1031" t="s">
        <v>61</v>
      </c>
      <c r="C1031" t="s">
        <v>31</v>
      </c>
      <c r="D1031">
        <v>200</v>
      </c>
      <c r="E1031" t="s">
        <v>34</v>
      </c>
      <c r="F1031">
        <v>3</v>
      </c>
      <c r="G1031" t="str">
        <f t="shared" si="15"/>
        <v>M0113-A-200-3</v>
      </c>
      <c r="H1031">
        <v>307.45</v>
      </c>
      <c r="I1031">
        <v>307.52999999999997</v>
      </c>
    </row>
    <row r="1032" spans="1:9" x14ac:dyDescent="0.3">
      <c r="A1032">
        <v>501</v>
      </c>
      <c r="B1032" t="s">
        <v>61</v>
      </c>
      <c r="C1032" t="s">
        <v>31</v>
      </c>
      <c r="D1032">
        <v>201</v>
      </c>
      <c r="E1032" t="s">
        <v>34</v>
      </c>
      <c r="F1032">
        <v>1</v>
      </c>
      <c r="G1032" t="str">
        <f t="shared" si="15"/>
        <v>M0113-A-201-1</v>
      </c>
      <c r="H1032">
        <v>308.49</v>
      </c>
      <c r="I1032">
        <v>308.94</v>
      </c>
    </row>
    <row r="1033" spans="1:9" x14ac:dyDescent="0.3">
      <c r="A1033">
        <v>501</v>
      </c>
      <c r="B1033" t="s">
        <v>61</v>
      </c>
      <c r="C1033" t="s">
        <v>31</v>
      </c>
      <c r="D1033">
        <v>201</v>
      </c>
      <c r="E1033" t="s">
        <v>34</v>
      </c>
      <c r="F1033">
        <v>2</v>
      </c>
      <c r="G1033" t="str">
        <f t="shared" si="15"/>
        <v>M0113-A-201-2</v>
      </c>
      <c r="H1033">
        <v>308.94</v>
      </c>
      <c r="I1033">
        <v>309.29000000000002</v>
      </c>
    </row>
    <row r="1034" spans="1:9" x14ac:dyDescent="0.3">
      <c r="A1034">
        <v>501</v>
      </c>
      <c r="B1034" t="s">
        <v>61</v>
      </c>
      <c r="C1034" t="s">
        <v>31</v>
      </c>
      <c r="D1034">
        <v>202</v>
      </c>
      <c r="E1034" t="s">
        <v>34</v>
      </c>
      <c r="F1034">
        <v>1</v>
      </c>
      <c r="G1034" t="str">
        <f t="shared" si="15"/>
        <v>M0113-A-202-1</v>
      </c>
      <c r="H1034">
        <v>311.49</v>
      </c>
      <c r="I1034">
        <v>311.99</v>
      </c>
    </row>
    <row r="1035" spans="1:9" x14ac:dyDescent="0.3">
      <c r="A1035">
        <v>501</v>
      </c>
      <c r="B1035" t="s">
        <v>61</v>
      </c>
      <c r="C1035" t="s">
        <v>31</v>
      </c>
      <c r="D1035">
        <v>203</v>
      </c>
      <c r="E1035" t="s">
        <v>34</v>
      </c>
      <c r="F1035">
        <v>1</v>
      </c>
      <c r="G1035" t="str">
        <f t="shared" si="15"/>
        <v>M0113-A-203-1</v>
      </c>
      <c r="H1035">
        <v>312.99</v>
      </c>
      <c r="I1035">
        <v>313.99</v>
      </c>
    </row>
    <row r="1036" spans="1:9" x14ac:dyDescent="0.3">
      <c r="A1036">
        <v>501</v>
      </c>
      <c r="B1036" t="s">
        <v>61</v>
      </c>
      <c r="C1036" t="s">
        <v>31</v>
      </c>
      <c r="D1036">
        <v>203</v>
      </c>
      <c r="E1036" t="s">
        <v>34</v>
      </c>
      <c r="F1036">
        <v>2</v>
      </c>
      <c r="G1036" t="str">
        <f t="shared" si="15"/>
        <v>M0113-A-203-2</v>
      </c>
      <c r="H1036">
        <v>313.99</v>
      </c>
      <c r="I1036">
        <v>314.55</v>
      </c>
    </row>
    <row r="1037" spans="1:9" x14ac:dyDescent="0.3">
      <c r="A1037">
        <v>501</v>
      </c>
      <c r="B1037" t="s">
        <v>61</v>
      </c>
      <c r="C1037" t="s">
        <v>31</v>
      </c>
      <c r="D1037">
        <v>204</v>
      </c>
      <c r="E1037" t="s">
        <v>34</v>
      </c>
      <c r="F1037">
        <v>1</v>
      </c>
      <c r="G1037" t="str">
        <f t="shared" si="15"/>
        <v>M0113-A-204-1</v>
      </c>
      <c r="H1037">
        <v>314.49</v>
      </c>
      <c r="I1037">
        <v>314.89</v>
      </c>
    </row>
    <row r="1038" spans="1:9" x14ac:dyDescent="0.3">
      <c r="A1038">
        <v>501</v>
      </c>
      <c r="B1038" t="s">
        <v>61</v>
      </c>
      <c r="C1038" t="s">
        <v>31</v>
      </c>
      <c r="D1038">
        <v>204</v>
      </c>
      <c r="E1038" t="s">
        <v>34</v>
      </c>
      <c r="F1038">
        <v>2</v>
      </c>
      <c r="G1038" t="str">
        <f t="shared" si="15"/>
        <v>M0113-A-204-2</v>
      </c>
      <c r="H1038">
        <v>314.89</v>
      </c>
      <c r="I1038">
        <v>314.99</v>
      </c>
    </row>
    <row r="1039" spans="1:9" x14ac:dyDescent="0.3">
      <c r="A1039">
        <v>501</v>
      </c>
      <c r="B1039" t="s">
        <v>61</v>
      </c>
      <c r="C1039" t="s">
        <v>31</v>
      </c>
      <c r="D1039">
        <v>205</v>
      </c>
      <c r="E1039" t="s">
        <v>34</v>
      </c>
      <c r="F1039">
        <v>1</v>
      </c>
      <c r="G1039" t="str">
        <f t="shared" si="15"/>
        <v>M0113-A-205-1</v>
      </c>
      <c r="H1039">
        <v>315.99</v>
      </c>
      <c r="I1039">
        <v>316.99</v>
      </c>
    </row>
    <row r="1040" spans="1:9" x14ac:dyDescent="0.3">
      <c r="A1040">
        <v>501</v>
      </c>
      <c r="B1040" t="s">
        <v>61</v>
      </c>
      <c r="C1040" t="s">
        <v>31</v>
      </c>
      <c r="D1040">
        <v>205</v>
      </c>
      <c r="E1040" t="s">
        <v>34</v>
      </c>
      <c r="F1040">
        <v>2</v>
      </c>
      <c r="G1040" t="str">
        <f t="shared" si="15"/>
        <v>M0113-A-205-2</v>
      </c>
      <c r="H1040">
        <v>316.99</v>
      </c>
      <c r="I1040">
        <v>317.43</v>
      </c>
    </row>
    <row r="1041" spans="1:9" x14ac:dyDescent="0.3">
      <c r="A1041">
        <v>501</v>
      </c>
      <c r="B1041" t="s">
        <v>61</v>
      </c>
      <c r="C1041" t="s">
        <v>31</v>
      </c>
      <c r="D1041">
        <v>205</v>
      </c>
      <c r="E1041" t="s">
        <v>34</v>
      </c>
      <c r="F1041">
        <v>3</v>
      </c>
      <c r="G1041" t="str">
        <f t="shared" si="15"/>
        <v>M0113-A-205-3</v>
      </c>
      <c r="H1041">
        <v>317.43</v>
      </c>
      <c r="I1041">
        <v>317.56</v>
      </c>
    </row>
    <row r="1042" spans="1:9" x14ac:dyDescent="0.3">
      <c r="A1042">
        <v>501</v>
      </c>
      <c r="B1042" t="s">
        <v>61</v>
      </c>
      <c r="C1042" t="s">
        <v>31</v>
      </c>
      <c r="D1042">
        <v>206</v>
      </c>
      <c r="E1042" t="s">
        <v>34</v>
      </c>
      <c r="F1042">
        <v>1</v>
      </c>
      <c r="G1042" t="str">
        <f t="shared" si="15"/>
        <v>M0113-A-206-1</v>
      </c>
      <c r="H1042">
        <v>317.49</v>
      </c>
      <c r="I1042">
        <v>318.92</v>
      </c>
    </row>
    <row r="1043" spans="1:9" x14ac:dyDescent="0.3">
      <c r="A1043">
        <v>501</v>
      </c>
      <c r="B1043" t="s">
        <v>61</v>
      </c>
      <c r="C1043" t="s">
        <v>31</v>
      </c>
      <c r="D1043">
        <v>207</v>
      </c>
      <c r="E1043" t="s">
        <v>34</v>
      </c>
      <c r="F1043">
        <v>1</v>
      </c>
      <c r="G1043" t="str">
        <f t="shared" si="15"/>
        <v>M0113-A-207-1</v>
      </c>
      <c r="H1043">
        <v>318.99</v>
      </c>
      <c r="I1043">
        <v>319.99</v>
      </c>
    </row>
    <row r="1044" spans="1:9" x14ac:dyDescent="0.3">
      <c r="A1044">
        <v>501</v>
      </c>
      <c r="B1044" t="s">
        <v>61</v>
      </c>
      <c r="C1044" t="s">
        <v>31</v>
      </c>
      <c r="D1044">
        <v>207</v>
      </c>
      <c r="E1044" t="s">
        <v>34</v>
      </c>
      <c r="F1044">
        <v>2</v>
      </c>
      <c r="G1044" t="str">
        <f t="shared" si="15"/>
        <v>M0113-A-207-2</v>
      </c>
      <c r="H1044">
        <v>319.99</v>
      </c>
      <c r="I1044">
        <v>320.56</v>
      </c>
    </row>
    <row r="1045" spans="1:9" x14ac:dyDescent="0.3">
      <c r="A1045">
        <v>501</v>
      </c>
      <c r="B1045" t="s">
        <v>61</v>
      </c>
      <c r="C1045" t="s">
        <v>31</v>
      </c>
      <c r="D1045">
        <v>208</v>
      </c>
      <c r="E1045" t="s">
        <v>34</v>
      </c>
      <c r="F1045">
        <v>1</v>
      </c>
      <c r="G1045" t="str">
        <f t="shared" si="15"/>
        <v>M0113-A-208-1</v>
      </c>
      <c r="H1045">
        <v>320.49</v>
      </c>
      <c r="I1045">
        <v>321.77</v>
      </c>
    </row>
    <row r="1046" spans="1:9" x14ac:dyDescent="0.3">
      <c r="A1046">
        <v>501</v>
      </c>
      <c r="B1046" t="s">
        <v>61</v>
      </c>
      <c r="C1046" t="s">
        <v>31</v>
      </c>
      <c r="D1046">
        <v>209</v>
      </c>
      <c r="E1046" t="s">
        <v>34</v>
      </c>
      <c r="F1046">
        <v>1</v>
      </c>
      <c r="G1046" t="str">
        <f t="shared" si="15"/>
        <v>M0113-A-209-1</v>
      </c>
      <c r="H1046">
        <v>321.99</v>
      </c>
      <c r="I1046">
        <v>323.49</v>
      </c>
    </row>
    <row r="1047" spans="1:9" x14ac:dyDescent="0.3">
      <c r="A1047">
        <v>501</v>
      </c>
      <c r="B1047" t="s">
        <v>61</v>
      </c>
      <c r="C1047" t="s">
        <v>31</v>
      </c>
      <c r="D1047">
        <v>209</v>
      </c>
      <c r="E1047" t="s">
        <v>34</v>
      </c>
      <c r="F1047">
        <v>2</v>
      </c>
      <c r="G1047" t="str">
        <f t="shared" si="15"/>
        <v>M0113-A-209-2</v>
      </c>
      <c r="H1047">
        <v>323.49</v>
      </c>
      <c r="I1047">
        <v>323.89</v>
      </c>
    </row>
    <row r="1048" spans="1:9" x14ac:dyDescent="0.3">
      <c r="A1048">
        <v>501</v>
      </c>
      <c r="B1048" t="s">
        <v>61</v>
      </c>
      <c r="C1048" t="s">
        <v>31</v>
      </c>
      <c r="D1048">
        <v>210</v>
      </c>
      <c r="E1048" t="s">
        <v>34</v>
      </c>
      <c r="F1048">
        <v>1</v>
      </c>
      <c r="G1048" t="str">
        <f t="shared" si="15"/>
        <v>M0113-A-210-1</v>
      </c>
      <c r="H1048">
        <v>323.49</v>
      </c>
      <c r="I1048">
        <v>324.01</v>
      </c>
    </row>
    <row r="1049" spans="1:9" x14ac:dyDescent="0.3">
      <c r="A1049">
        <v>501</v>
      </c>
      <c r="B1049" t="s">
        <v>61</v>
      </c>
      <c r="C1049" t="s">
        <v>31</v>
      </c>
      <c r="D1049">
        <v>210</v>
      </c>
      <c r="E1049" t="s">
        <v>34</v>
      </c>
      <c r="F1049">
        <v>2</v>
      </c>
      <c r="G1049" t="str">
        <f t="shared" si="15"/>
        <v>M0113-A-210-2</v>
      </c>
      <c r="H1049">
        <v>324.01</v>
      </c>
      <c r="I1049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3"/>
  <sheetViews>
    <sheetView topLeftCell="A43" workbookViewId="0">
      <selection activeCell="C64" sqref="C64"/>
    </sheetView>
  </sheetViews>
  <sheetFormatPr defaultColWidth="8.6640625" defaultRowHeight="14.4" x14ac:dyDescent="0.3"/>
  <cols>
    <col min="2" max="2" width="11.33203125" bestFit="1" customWidth="1"/>
    <col min="3" max="3" width="9.6640625" bestFit="1" customWidth="1"/>
    <col min="4" max="4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ht="21" x14ac:dyDescent="0.4">
      <c r="A2">
        <v>91</v>
      </c>
      <c r="B2">
        <v>9.5238999999999994</v>
      </c>
      <c r="C2">
        <f>B2/2.23</f>
        <v>4.2708071748878922</v>
      </c>
      <c r="F2" s="31" t="s">
        <v>65</v>
      </c>
    </row>
    <row r="3" spans="1:6" x14ac:dyDescent="0.3">
      <c r="A3">
        <v>92</v>
      </c>
      <c r="B3">
        <v>9.1041000000000007</v>
      </c>
      <c r="C3">
        <f>B3/2.23</f>
        <v>4.0825560538116594</v>
      </c>
    </row>
    <row r="4" spans="1:6" x14ac:dyDescent="0.3">
      <c r="A4">
        <v>93</v>
      </c>
      <c r="B4">
        <v>9.4764999999999997</v>
      </c>
      <c r="C4">
        <f t="shared" ref="C4:C110" si="0">B4/2.23</f>
        <v>4.2495515695067265</v>
      </c>
    </row>
    <row r="5" spans="1:6" x14ac:dyDescent="0.3">
      <c r="A5">
        <v>94</v>
      </c>
      <c r="B5">
        <v>9.6204999999999998</v>
      </c>
      <c r="C5">
        <f t="shared" si="0"/>
        <v>4.3141255605381161</v>
      </c>
    </row>
    <row r="6" spans="1:6" x14ac:dyDescent="0.3">
      <c r="A6">
        <v>95</v>
      </c>
      <c r="B6" s="55">
        <v>9.3812999999999995</v>
      </c>
      <c r="C6" s="55">
        <f t="shared" si="0"/>
        <v>4.2068609865470847</v>
      </c>
    </row>
    <row r="7" spans="1:6" x14ac:dyDescent="0.3">
      <c r="A7">
        <v>97</v>
      </c>
      <c r="B7" s="55">
        <v>9.4983000000000004</v>
      </c>
      <c r="C7" s="55">
        <f t="shared" si="0"/>
        <v>4.2593273542600896</v>
      </c>
    </row>
    <row r="8" spans="1:6" x14ac:dyDescent="0.3">
      <c r="A8">
        <v>98</v>
      </c>
      <c r="B8" s="55">
        <v>9.3954000000000004</v>
      </c>
      <c r="C8" s="55">
        <f t="shared" si="0"/>
        <v>4.2131838565022424</v>
      </c>
    </row>
    <row r="9" spans="1:6" x14ac:dyDescent="0.3">
      <c r="A9">
        <v>99</v>
      </c>
      <c r="B9" s="55">
        <v>9.327</v>
      </c>
      <c r="C9" s="55">
        <f t="shared" si="0"/>
        <v>4.1825112107623319</v>
      </c>
    </row>
    <row r="10" spans="1:6" x14ac:dyDescent="0.3">
      <c r="A10">
        <v>100</v>
      </c>
      <c r="B10" s="55">
        <v>9.6332000000000004</v>
      </c>
      <c r="C10" s="55">
        <f t="shared" si="0"/>
        <v>4.3198206278026907</v>
      </c>
    </row>
    <row r="11" spans="1:6" x14ac:dyDescent="0.3">
      <c r="A11">
        <v>151</v>
      </c>
      <c r="B11" s="55">
        <v>9.7263999999999999</v>
      </c>
      <c r="C11" s="55">
        <f t="shared" si="0"/>
        <v>4.3616143497757847</v>
      </c>
    </row>
    <row r="12" spans="1:6" x14ac:dyDescent="0.3">
      <c r="A12">
        <v>152</v>
      </c>
      <c r="B12" s="55">
        <v>9.7155000000000005</v>
      </c>
      <c r="C12" s="55">
        <f t="shared" si="0"/>
        <v>4.3567264573991036</v>
      </c>
    </row>
    <row r="13" spans="1:6" x14ac:dyDescent="0.3">
      <c r="A13">
        <v>153</v>
      </c>
      <c r="B13" s="55">
        <v>9.6697000000000006</v>
      </c>
      <c r="C13" s="55">
        <f t="shared" si="0"/>
        <v>4.3361883408071753</v>
      </c>
    </row>
    <row r="14" spans="1:6" x14ac:dyDescent="0.3">
      <c r="A14">
        <v>154</v>
      </c>
      <c r="B14" s="55">
        <v>9.7118000000000002</v>
      </c>
      <c r="C14" s="55">
        <f t="shared" si="0"/>
        <v>4.3550672645739912</v>
      </c>
    </row>
    <row r="15" spans="1:6" x14ac:dyDescent="0.3">
      <c r="A15">
        <v>155</v>
      </c>
      <c r="B15" s="55">
        <v>9.7377000000000002</v>
      </c>
      <c r="C15" s="55">
        <f t="shared" si="0"/>
        <v>4.3666816143497762</v>
      </c>
    </row>
    <row r="16" spans="1:6" x14ac:dyDescent="0.3">
      <c r="A16">
        <v>156</v>
      </c>
      <c r="B16" s="55">
        <v>9.6448999999999998</v>
      </c>
      <c r="C16" s="55">
        <f t="shared" si="0"/>
        <v>4.3250672645739909</v>
      </c>
    </row>
    <row r="17" spans="1:3" x14ac:dyDescent="0.3">
      <c r="A17">
        <v>157</v>
      </c>
      <c r="B17" s="55">
        <v>9.6016999999999992</v>
      </c>
      <c r="C17" s="55">
        <f t="shared" si="0"/>
        <v>4.3056950672645735</v>
      </c>
    </row>
    <row r="18" spans="1:3" x14ac:dyDescent="0.3">
      <c r="A18">
        <v>158</v>
      </c>
      <c r="B18" s="55">
        <v>9.5899000000000001</v>
      </c>
      <c r="C18" s="55">
        <f t="shared" si="0"/>
        <v>4.3004035874439461</v>
      </c>
    </row>
    <row r="19" spans="1:3" x14ac:dyDescent="0.3">
      <c r="A19">
        <v>159</v>
      </c>
      <c r="B19" s="55">
        <v>9.7159999999999993</v>
      </c>
      <c r="C19" s="55">
        <f t="shared" si="0"/>
        <v>4.3569506726457394</v>
      </c>
    </row>
    <row r="20" spans="1:3" x14ac:dyDescent="0.3">
      <c r="A20">
        <v>160</v>
      </c>
      <c r="B20" s="55">
        <v>9.4581</v>
      </c>
      <c r="C20" s="55">
        <f t="shared" si="0"/>
        <v>4.2413004484304935</v>
      </c>
    </row>
    <row r="21" spans="1:3" x14ac:dyDescent="0.3">
      <c r="A21">
        <v>161</v>
      </c>
      <c r="B21" s="55">
        <v>9.7497000000000007</v>
      </c>
      <c r="C21" s="55">
        <f t="shared" si="0"/>
        <v>4.3720627802690588</v>
      </c>
    </row>
    <row r="22" spans="1:3" x14ac:dyDescent="0.3">
      <c r="A22">
        <v>162</v>
      </c>
      <c r="B22" s="55">
        <v>9.8841999999999999</v>
      </c>
      <c r="C22" s="55">
        <f t="shared" si="0"/>
        <v>4.4323766816143495</v>
      </c>
    </row>
    <row r="23" spans="1:3" x14ac:dyDescent="0.3">
      <c r="A23">
        <v>163</v>
      </c>
      <c r="B23" s="55">
        <v>9.5631000000000004</v>
      </c>
      <c r="C23" s="55">
        <f t="shared" si="0"/>
        <v>4.2883856502242157</v>
      </c>
    </row>
    <row r="24" spans="1:3" x14ac:dyDescent="0.3">
      <c r="A24">
        <v>164</v>
      </c>
      <c r="B24" s="55">
        <v>9.9097000000000008</v>
      </c>
      <c r="C24" s="55">
        <f t="shared" si="0"/>
        <v>4.4438116591928258</v>
      </c>
    </row>
    <row r="25" spans="1:3" x14ac:dyDescent="0.3">
      <c r="A25">
        <v>165</v>
      </c>
      <c r="B25" s="55">
        <v>9.8137000000000008</v>
      </c>
      <c r="C25" s="55">
        <f t="shared" si="0"/>
        <v>4.4007623318385658</v>
      </c>
    </row>
    <row r="26" spans="1:3" x14ac:dyDescent="0.3">
      <c r="A26">
        <v>166</v>
      </c>
      <c r="B26" s="55">
        <v>9.5335000000000001</v>
      </c>
      <c r="C26" s="55">
        <f t="shared" si="0"/>
        <v>4.2751121076233183</v>
      </c>
    </row>
    <row r="27" spans="1:3" x14ac:dyDescent="0.3">
      <c r="A27">
        <v>167</v>
      </c>
      <c r="B27" s="55">
        <v>9.8195999999999994</v>
      </c>
      <c r="C27" s="55">
        <f t="shared" si="0"/>
        <v>4.4034080717488786</v>
      </c>
    </row>
    <row r="28" spans="1:3" x14ac:dyDescent="0.3">
      <c r="A28">
        <v>168</v>
      </c>
      <c r="B28" s="55">
        <v>9.8671000000000006</v>
      </c>
      <c r="C28" s="55">
        <f t="shared" si="0"/>
        <v>4.4247085201793723</v>
      </c>
    </row>
    <row r="29" spans="1:3" x14ac:dyDescent="0.3">
      <c r="A29">
        <v>169</v>
      </c>
      <c r="B29" s="55">
        <v>9.4824999999999999</v>
      </c>
      <c r="C29" s="55">
        <f t="shared" si="0"/>
        <v>4.2522421524663674</v>
      </c>
    </row>
    <row r="30" spans="1:3" x14ac:dyDescent="0.3">
      <c r="A30">
        <v>170</v>
      </c>
      <c r="B30" s="55">
        <v>9.5950000000000006</v>
      </c>
      <c r="C30" s="55">
        <f t="shared" si="0"/>
        <v>4.3026905829596416</v>
      </c>
    </row>
    <row r="31" spans="1:3" x14ac:dyDescent="0.3">
      <c r="A31">
        <v>171</v>
      </c>
      <c r="B31" s="55">
        <v>9.4852000000000007</v>
      </c>
      <c r="C31" s="55">
        <f t="shared" si="0"/>
        <v>4.2534529147982063</v>
      </c>
    </row>
    <row r="32" spans="1:3" x14ac:dyDescent="0.3">
      <c r="A32">
        <v>172</v>
      </c>
      <c r="B32" s="55">
        <v>9.5744000000000007</v>
      </c>
      <c r="C32" s="55">
        <f t="shared" si="0"/>
        <v>4.2934529147982063</v>
      </c>
    </row>
    <row r="33" spans="1:4" x14ac:dyDescent="0.3">
      <c r="A33">
        <v>173</v>
      </c>
      <c r="B33" s="55">
        <v>9.5054999999999996</v>
      </c>
      <c r="C33" s="55">
        <f t="shared" si="0"/>
        <v>4.2625560538116591</v>
      </c>
    </row>
    <row r="34" spans="1:4" x14ac:dyDescent="0.3">
      <c r="A34">
        <v>174</v>
      </c>
      <c r="B34" s="55">
        <v>9.8544</v>
      </c>
      <c r="C34" s="55">
        <f t="shared" si="0"/>
        <v>4.4190134529147986</v>
      </c>
    </row>
    <row r="35" spans="1:4" x14ac:dyDescent="0.3">
      <c r="A35">
        <v>175</v>
      </c>
      <c r="B35" s="55">
        <v>9.6488999999999994</v>
      </c>
      <c r="C35" s="55">
        <f t="shared" si="0"/>
        <v>4.3268609865470848</v>
      </c>
    </row>
    <row r="36" spans="1:4" x14ac:dyDescent="0.3">
      <c r="A36">
        <v>176</v>
      </c>
      <c r="B36" s="55">
        <v>9.7192000000000007</v>
      </c>
      <c r="C36" s="55">
        <f t="shared" si="0"/>
        <v>4.358385650224216</v>
      </c>
    </row>
    <row r="37" spans="1:4" x14ac:dyDescent="0.3">
      <c r="A37">
        <v>177</v>
      </c>
      <c r="B37" s="55">
        <v>9.4539000000000009</v>
      </c>
      <c r="C37" s="55">
        <f t="shared" si="0"/>
        <v>4.2394170403587452</v>
      </c>
    </row>
    <row r="38" spans="1:4" x14ac:dyDescent="0.3">
      <c r="A38">
        <v>178</v>
      </c>
      <c r="B38" s="55">
        <v>9.6098999999999997</v>
      </c>
      <c r="C38" s="55">
        <f t="shared" si="0"/>
        <v>4.3093721973094166</v>
      </c>
    </row>
    <row r="39" spans="1:4" x14ac:dyDescent="0.3">
      <c r="A39">
        <v>179</v>
      </c>
      <c r="B39" s="55">
        <v>9.5829000000000004</v>
      </c>
      <c r="C39" s="55">
        <f t="shared" si="0"/>
        <v>4.2972645739910318</v>
      </c>
      <c r="D39" s="56"/>
    </row>
    <row r="40" spans="1:4" x14ac:dyDescent="0.3">
      <c r="A40">
        <v>180</v>
      </c>
      <c r="B40" s="55">
        <v>9.5632000000000001</v>
      </c>
      <c r="C40" s="55">
        <f t="shared" si="0"/>
        <v>4.2884304932735429</v>
      </c>
    </row>
    <row r="41" spans="1:4" x14ac:dyDescent="0.3">
      <c r="A41">
        <v>181</v>
      </c>
      <c r="B41" s="55">
        <v>9.5058000000000007</v>
      </c>
      <c r="C41" s="55">
        <f t="shared" si="0"/>
        <v>4.2626905829596415</v>
      </c>
    </row>
    <row r="42" spans="1:4" x14ac:dyDescent="0.3">
      <c r="A42">
        <v>182</v>
      </c>
      <c r="B42" s="55">
        <v>9.7033000000000005</v>
      </c>
      <c r="C42" s="55">
        <f t="shared" si="0"/>
        <v>4.3512556053811657</v>
      </c>
    </row>
    <row r="43" spans="1:4" x14ac:dyDescent="0.3">
      <c r="A43">
        <v>183</v>
      </c>
      <c r="B43" s="55">
        <v>9.6636000000000006</v>
      </c>
      <c r="C43" s="55">
        <f t="shared" si="0"/>
        <v>4.3334529147982064</v>
      </c>
    </row>
    <row r="44" spans="1:4" x14ac:dyDescent="0.3">
      <c r="A44">
        <v>184</v>
      </c>
      <c r="B44" s="55">
        <v>9.8976000000000006</v>
      </c>
      <c r="C44" s="55">
        <f t="shared" si="0"/>
        <v>4.4383856502242152</v>
      </c>
    </row>
    <row r="45" spans="1:4" x14ac:dyDescent="0.3">
      <c r="A45">
        <v>185</v>
      </c>
      <c r="B45" s="55">
        <v>9.8465000000000007</v>
      </c>
      <c r="C45" s="55">
        <f t="shared" si="0"/>
        <v>4.415470852017938</v>
      </c>
    </row>
    <row r="46" spans="1:4" x14ac:dyDescent="0.3">
      <c r="A46">
        <v>186</v>
      </c>
      <c r="B46" s="55">
        <v>9.8185000000000002</v>
      </c>
      <c r="C46" s="55">
        <f t="shared" si="0"/>
        <v>4.402914798206278</v>
      </c>
    </row>
    <row r="47" spans="1:4" x14ac:dyDescent="0.3">
      <c r="A47">
        <v>187</v>
      </c>
      <c r="B47" s="55">
        <v>9.7688000000000006</v>
      </c>
      <c r="C47" s="55">
        <f t="shared" si="0"/>
        <v>4.3806278026905829</v>
      </c>
    </row>
    <row r="48" spans="1:4" x14ac:dyDescent="0.3">
      <c r="A48">
        <v>188</v>
      </c>
      <c r="B48" s="55">
        <v>9.8792000000000009</v>
      </c>
      <c r="C48" s="55">
        <f t="shared" si="0"/>
        <v>4.4301345291479821</v>
      </c>
    </row>
    <row r="49" spans="1:3" x14ac:dyDescent="0.3">
      <c r="A49">
        <v>189</v>
      </c>
      <c r="B49" s="55">
        <v>9.7583000000000002</v>
      </c>
      <c r="C49" s="55">
        <f t="shared" si="0"/>
        <v>4.3759192825112105</v>
      </c>
    </row>
    <row r="50" spans="1:3" x14ac:dyDescent="0.3">
      <c r="A50">
        <v>190</v>
      </c>
      <c r="B50" s="55">
        <v>9.7570999999999994</v>
      </c>
      <c r="C50" s="55">
        <f t="shared" si="0"/>
        <v>4.3753811659192827</v>
      </c>
    </row>
    <row r="51" spans="1:3" x14ac:dyDescent="0.3">
      <c r="A51">
        <v>210</v>
      </c>
      <c r="B51" s="55">
        <v>9.7520000000000007</v>
      </c>
      <c r="C51" s="55">
        <f t="shared" si="0"/>
        <v>4.3730941704035882</v>
      </c>
    </row>
    <row r="52" spans="1:3" x14ac:dyDescent="0.3">
      <c r="A52">
        <v>211</v>
      </c>
      <c r="B52" s="55">
        <v>9.7985000000000007</v>
      </c>
      <c r="C52" s="55">
        <f t="shared" si="0"/>
        <v>4.3939461883408075</v>
      </c>
    </row>
    <row r="53" spans="1:3" x14ac:dyDescent="0.3">
      <c r="A53">
        <v>212</v>
      </c>
      <c r="B53" s="55">
        <v>9.7664000000000009</v>
      </c>
      <c r="C53" s="55">
        <f t="shared" si="0"/>
        <v>4.3795515695067273</v>
      </c>
    </row>
    <row r="54" spans="1:3" x14ac:dyDescent="0.3">
      <c r="A54">
        <v>213</v>
      </c>
      <c r="B54" s="55">
        <v>9.3755000000000006</v>
      </c>
      <c r="C54" s="55">
        <f t="shared" si="0"/>
        <v>4.2042600896860991</v>
      </c>
    </row>
    <row r="55" spans="1:3" x14ac:dyDescent="0.3">
      <c r="A55">
        <v>214</v>
      </c>
      <c r="B55" s="55">
        <v>9.9960000000000004</v>
      </c>
      <c r="C55" s="55">
        <f t="shared" si="0"/>
        <v>4.4825112107623317</v>
      </c>
    </row>
    <row r="56" spans="1:3" x14ac:dyDescent="0.3">
      <c r="A56">
        <v>215</v>
      </c>
      <c r="B56" s="55">
        <v>10.084</v>
      </c>
      <c r="C56" s="55">
        <f t="shared" si="0"/>
        <v>4.5219730941704031</v>
      </c>
    </row>
    <row r="57" spans="1:3" x14ac:dyDescent="0.3">
      <c r="A57">
        <v>216</v>
      </c>
      <c r="B57" s="55">
        <v>10.079499999999999</v>
      </c>
      <c r="C57" s="55">
        <f t="shared" si="0"/>
        <v>4.5199551569506724</v>
      </c>
    </row>
    <row r="58" spans="1:3" x14ac:dyDescent="0.3">
      <c r="A58">
        <v>217</v>
      </c>
      <c r="B58" s="55">
        <v>9.6670999999999996</v>
      </c>
      <c r="C58" s="55">
        <f t="shared" si="0"/>
        <v>4.3350224215246635</v>
      </c>
    </row>
    <row r="59" spans="1:3" x14ac:dyDescent="0.3">
      <c r="A59">
        <v>218</v>
      </c>
      <c r="B59" s="55">
        <v>10.0969</v>
      </c>
      <c r="C59" s="55">
        <f t="shared" si="0"/>
        <v>4.527757847533632</v>
      </c>
    </row>
    <row r="60" spans="1:3" x14ac:dyDescent="0.3">
      <c r="A60">
        <v>219</v>
      </c>
      <c r="B60" s="55">
        <v>9.6616999999999997</v>
      </c>
      <c r="C60" s="55">
        <f t="shared" si="0"/>
        <v>4.3326008968609866</v>
      </c>
    </row>
    <row r="61" spans="1:3" x14ac:dyDescent="0.3">
      <c r="A61">
        <v>230</v>
      </c>
      <c r="B61" s="55">
        <v>9.8049999999999997</v>
      </c>
      <c r="C61" s="55">
        <f t="shared" si="0"/>
        <v>4.3968609865470851</v>
      </c>
    </row>
    <row r="62" spans="1:3" x14ac:dyDescent="0.3">
      <c r="A62">
        <v>231</v>
      </c>
      <c r="B62" s="55">
        <v>9.8867999999999991</v>
      </c>
      <c r="C62" s="55">
        <f t="shared" si="0"/>
        <v>4.4335426008968604</v>
      </c>
    </row>
    <row r="63" spans="1:3" x14ac:dyDescent="0.3">
      <c r="A63">
        <v>232</v>
      </c>
      <c r="B63" s="55">
        <v>9.8774999999999995</v>
      </c>
      <c r="C63" s="55">
        <f t="shared" si="0"/>
        <v>4.4293721973094167</v>
      </c>
    </row>
    <row r="64" spans="1:3" x14ac:dyDescent="0.3">
      <c r="A64">
        <v>233</v>
      </c>
      <c r="B64" s="55">
        <v>9.9604999999999997</v>
      </c>
      <c r="C64" s="55">
        <f t="shared" si="0"/>
        <v>4.4665919282511206</v>
      </c>
    </row>
    <row r="65" spans="1:3" x14ac:dyDescent="0.3">
      <c r="A65">
        <v>234</v>
      </c>
      <c r="B65" s="55">
        <v>10.0063</v>
      </c>
      <c r="C65" s="55">
        <f t="shared" si="0"/>
        <v>4.4871300448430489</v>
      </c>
    </row>
    <row r="66" spans="1:3" x14ac:dyDescent="0.3">
      <c r="A66">
        <v>235</v>
      </c>
      <c r="B66" s="55">
        <v>9.9943000000000008</v>
      </c>
      <c r="C66" s="55">
        <f t="shared" si="0"/>
        <v>4.4817488789237672</v>
      </c>
    </row>
    <row r="67" spans="1:3" x14ac:dyDescent="0.3">
      <c r="A67">
        <v>236</v>
      </c>
      <c r="B67" s="55">
        <v>9.8712</v>
      </c>
      <c r="C67" s="55">
        <f t="shared" si="0"/>
        <v>4.4265470852017934</v>
      </c>
    </row>
    <row r="68" spans="1:3" x14ac:dyDescent="0.3">
      <c r="A68">
        <v>237</v>
      </c>
      <c r="B68" s="55">
        <v>9.8346999999999998</v>
      </c>
      <c r="C68" s="55">
        <f t="shared" si="0"/>
        <v>4.4101793721973097</v>
      </c>
    </row>
    <row r="69" spans="1:3" x14ac:dyDescent="0.3">
      <c r="A69">
        <v>238</v>
      </c>
      <c r="B69" s="55">
        <v>9.9239999999999995</v>
      </c>
      <c r="C69" s="55">
        <f t="shared" si="0"/>
        <v>4.4502242152466369</v>
      </c>
    </row>
    <row r="70" spans="1:3" x14ac:dyDescent="0.3">
      <c r="A70">
        <v>239</v>
      </c>
      <c r="B70" s="55">
        <v>10.027900000000001</v>
      </c>
      <c r="C70" s="55">
        <f t="shared" si="0"/>
        <v>4.4968161434977585</v>
      </c>
    </row>
    <row r="71" spans="1:3" x14ac:dyDescent="0.3">
      <c r="A71">
        <v>240</v>
      </c>
      <c r="B71" s="55">
        <v>9.859</v>
      </c>
      <c r="C71" s="55">
        <f t="shared" si="0"/>
        <v>4.4210762331838565</v>
      </c>
    </row>
    <row r="72" spans="1:3" x14ac:dyDescent="0.3">
      <c r="A72">
        <v>241</v>
      </c>
      <c r="B72" s="55">
        <v>9.8088999999999995</v>
      </c>
      <c r="C72" s="55">
        <f t="shared" si="0"/>
        <v>4.3986098654708519</v>
      </c>
    </row>
    <row r="73" spans="1:3" x14ac:dyDescent="0.3">
      <c r="A73">
        <v>242</v>
      </c>
      <c r="B73" s="55">
        <v>9.9347999999999992</v>
      </c>
      <c r="C73" s="55">
        <f t="shared" si="0"/>
        <v>4.4550672645739908</v>
      </c>
    </row>
    <row r="74" spans="1:3" x14ac:dyDescent="0.3">
      <c r="A74">
        <v>243</v>
      </c>
      <c r="B74" s="55">
        <v>9.8368000000000002</v>
      </c>
      <c r="C74" s="55">
        <f t="shared" si="0"/>
        <v>4.4111210762331838</v>
      </c>
    </row>
    <row r="75" spans="1:3" x14ac:dyDescent="0.3">
      <c r="A75">
        <v>245</v>
      </c>
      <c r="B75" s="55">
        <v>9.8491999999999997</v>
      </c>
      <c r="C75" s="55">
        <f t="shared" si="0"/>
        <v>4.416681614349776</v>
      </c>
    </row>
    <row r="76" spans="1:3" x14ac:dyDescent="0.3">
      <c r="A76">
        <v>246</v>
      </c>
      <c r="B76" s="55">
        <v>9.7553000000000001</v>
      </c>
      <c r="C76" s="55">
        <f t="shared" si="0"/>
        <v>4.3745739910313901</v>
      </c>
    </row>
    <row r="77" spans="1:3" x14ac:dyDescent="0.3">
      <c r="A77">
        <v>247</v>
      </c>
      <c r="B77" s="55">
        <v>9.8389000000000006</v>
      </c>
      <c r="C77" s="55">
        <f t="shared" si="0"/>
        <v>4.4120627802690588</v>
      </c>
    </row>
    <row r="78" spans="1:3" x14ac:dyDescent="0.3">
      <c r="A78">
        <v>248</v>
      </c>
      <c r="B78" s="55">
        <v>9.6745000000000001</v>
      </c>
      <c r="C78" s="55">
        <f t="shared" si="0"/>
        <v>4.3383408071748883</v>
      </c>
    </row>
    <row r="79" spans="1:3" x14ac:dyDescent="0.3">
      <c r="A79">
        <v>249</v>
      </c>
      <c r="B79" s="55">
        <v>9.9565000000000001</v>
      </c>
      <c r="C79" s="55">
        <f t="shared" si="0"/>
        <v>4.4647982062780267</v>
      </c>
    </row>
    <row r="80" spans="1:3" x14ac:dyDescent="0.3">
      <c r="A80">
        <v>250</v>
      </c>
      <c r="B80" s="55">
        <v>9.8892000000000007</v>
      </c>
      <c r="C80" s="55">
        <f t="shared" si="0"/>
        <v>4.4346188340807178</v>
      </c>
    </row>
    <row r="81" spans="1:3" x14ac:dyDescent="0.3">
      <c r="A81">
        <v>251</v>
      </c>
      <c r="B81" s="55">
        <v>9.8140000000000001</v>
      </c>
      <c r="C81" s="55">
        <f t="shared" si="0"/>
        <v>4.4008968609865473</v>
      </c>
    </row>
    <row r="82" spans="1:3" x14ac:dyDescent="0.3">
      <c r="A82">
        <v>252</v>
      </c>
      <c r="B82" s="55">
        <v>9.8140000000000001</v>
      </c>
      <c r="C82" s="55">
        <f t="shared" si="0"/>
        <v>4.4008968609865473</v>
      </c>
    </row>
    <row r="83" spans="1:3" x14ac:dyDescent="0.3">
      <c r="A83">
        <v>253</v>
      </c>
      <c r="B83" s="55">
        <v>9.8926999999999996</v>
      </c>
      <c r="C83" s="55">
        <f t="shared" si="0"/>
        <v>4.4361883408071749</v>
      </c>
    </row>
    <row r="84" spans="1:3" x14ac:dyDescent="0.3">
      <c r="A84">
        <v>254</v>
      </c>
      <c r="B84" s="55">
        <v>9.8201000000000001</v>
      </c>
      <c r="C84" s="55">
        <f t="shared" si="0"/>
        <v>4.4036322869955153</v>
      </c>
    </row>
    <row r="85" spans="1:3" x14ac:dyDescent="0.3">
      <c r="A85">
        <v>255</v>
      </c>
      <c r="B85" s="55">
        <v>9.9283000000000001</v>
      </c>
      <c r="C85" s="55">
        <f t="shared" si="0"/>
        <v>4.4521524663677132</v>
      </c>
    </row>
    <row r="86" spans="1:3" x14ac:dyDescent="0.3">
      <c r="A86">
        <v>256</v>
      </c>
      <c r="B86" s="55">
        <v>9.8771000000000004</v>
      </c>
      <c r="C86" s="55">
        <f t="shared" si="0"/>
        <v>4.429192825112108</v>
      </c>
    </row>
    <row r="87" spans="1:3" x14ac:dyDescent="0.3">
      <c r="A87">
        <v>257</v>
      </c>
      <c r="B87" s="55">
        <v>9.7716999999999992</v>
      </c>
      <c r="C87" s="55">
        <f t="shared" si="0"/>
        <v>4.3819282511210762</v>
      </c>
    </row>
    <row r="88" spans="1:3" x14ac:dyDescent="0.3">
      <c r="A88">
        <v>258</v>
      </c>
      <c r="B88" s="55">
        <v>9.8592999999999993</v>
      </c>
      <c r="C88" s="55">
        <f t="shared" si="0"/>
        <v>4.421210762331838</v>
      </c>
    </row>
    <row r="89" spans="1:3" x14ac:dyDescent="0.3">
      <c r="A89">
        <v>259</v>
      </c>
      <c r="B89" s="55">
        <v>9.9796999999999993</v>
      </c>
      <c r="C89" s="55">
        <f t="shared" si="0"/>
        <v>4.4752017937219728</v>
      </c>
    </row>
    <row r="90" spans="1:3" x14ac:dyDescent="0.3">
      <c r="A90">
        <v>200</v>
      </c>
      <c r="B90" s="55">
        <v>9.6303000000000001</v>
      </c>
      <c r="C90" s="55">
        <f t="shared" si="0"/>
        <v>4.3185201793721975</v>
      </c>
    </row>
    <row r="91" spans="1:3" x14ac:dyDescent="0.3">
      <c r="A91">
        <v>201</v>
      </c>
      <c r="B91" s="55">
        <v>9.7538</v>
      </c>
      <c r="C91" s="55">
        <f t="shared" si="0"/>
        <v>4.3739013452914799</v>
      </c>
    </row>
    <row r="92" spans="1:3" x14ac:dyDescent="0.3">
      <c r="A92">
        <v>202</v>
      </c>
      <c r="B92" s="55">
        <v>9.9245000000000001</v>
      </c>
      <c r="C92" s="55">
        <f t="shared" si="0"/>
        <v>4.4504484304932737</v>
      </c>
    </row>
    <row r="93" spans="1:3" x14ac:dyDescent="0.3">
      <c r="A93">
        <v>203</v>
      </c>
      <c r="B93" s="55">
        <v>10.0562</v>
      </c>
      <c r="C93" s="55">
        <f t="shared" si="0"/>
        <v>4.5095067264573991</v>
      </c>
    </row>
    <row r="94" spans="1:3" x14ac:dyDescent="0.3">
      <c r="A94">
        <v>204</v>
      </c>
      <c r="B94" s="55">
        <v>9.9425000000000008</v>
      </c>
      <c r="C94" s="55">
        <f t="shared" si="0"/>
        <v>4.458520179372198</v>
      </c>
    </row>
    <row r="95" spans="1:3" x14ac:dyDescent="0.3">
      <c r="A95">
        <v>205</v>
      </c>
      <c r="B95" s="55">
        <v>9.6085999999999991</v>
      </c>
      <c r="C95" s="55">
        <f t="shared" si="0"/>
        <v>4.3087892376681607</v>
      </c>
    </row>
    <row r="96" spans="1:3" x14ac:dyDescent="0.3">
      <c r="A96">
        <v>207</v>
      </c>
      <c r="B96" s="55">
        <v>9.7720000000000002</v>
      </c>
      <c r="C96" s="55">
        <f t="shared" si="0"/>
        <v>4.3820627802690586</v>
      </c>
    </row>
    <row r="97" spans="1:3" x14ac:dyDescent="0.3">
      <c r="A97">
        <v>208</v>
      </c>
      <c r="B97" s="55">
        <v>10.0436</v>
      </c>
      <c r="C97" s="55">
        <f t="shared" si="0"/>
        <v>4.5038565022421526</v>
      </c>
    </row>
    <row r="98" spans="1:3" x14ac:dyDescent="0.3">
      <c r="A98">
        <v>209</v>
      </c>
      <c r="B98" s="55">
        <v>9.6793999999999993</v>
      </c>
      <c r="C98" s="55">
        <f t="shared" si="0"/>
        <v>4.3405381165919277</v>
      </c>
    </row>
    <row r="99" spans="1:3" x14ac:dyDescent="0.3">
      <c r="A99">
        <v>270</v>
      </c>
      <c r="B99" s="55">
        <v>9.7308000000000003</v>
      </c>
      <c r="C99" s="55">
        <f t="shared" si="0"/>
        <v>4.3635874439461881</v>
      </c>
    </row>
    <row r="100" spans="1:3" x14ac:dyDescent="0.3">
      <c r="A100">
        <v>271</v>
      </c>
      <c r="B100" s="55">
        <v>9.9113000000000007</v>
      </c>
      <c r="C100" s="55">
        <f t="shared" si="0"/>
        <v>4.4445291479820632</v>
      </c>
    </row>
    <row r="101" spans="1:3" x14ac:dyDescent="0.3">
      <c r="A101">
        <v>272</v>
      </c>
      <c r="B101" s="55">
        <v>10.093299999999999</v>
      </c>
      <c r="C101" s="55">
        <f t="shared" si="0"/>
        <v>4.5261434977578476</v>
      </c>
    </row>
    <row r="102" spans="1:3" x14ac:dyDescent="0.3">
      <c r="A102">
        <v>274</v>
      </c>
      <c r="B102" s="55">
        <v>9.9088999999999992</v>
      </c>
      <c r="C102" s="55">
        <f t="shared" si="0"/>
        <v>4.4434529147982058</v>
      </c>
    </row>
    <row r="103" spans="1:3" x14ac:dyDescent="0.3">
      <c r="A103">
        <v>273</v>
      </c>
      <c r="B103" s="55">
        <v>9.6430000000000007</v>
      </c>
      <c r="C103" s="55">
        <f t="shared" si="0"/>
        <v>4.324215246636772</v>
      </c>
    </row>
    <row r="104" spans="1:3" x14ac:dyDescent="0.3">
      <c r="A104">
        <v>275</v>
      </c>
      <c r="B104" s="55">
        <v>9.7668999999999997</v>
      </c>
      <c r="C104" s="55">
        <f t="shared" si="0"/>
        <v>4.3797757847533632</v>
      </c>
    </row>
    <row r="105" spans="1:3" x14ac:dyDescent="0.3">
      <c r="A105">
        <v>276</v>
      </c>
      <c r="B105" s="55">
        <v>9.9183000000000003</v>
      </c>
      <c r="C105" s="55">
        <f t="shared" si="0"/>
        <v>4.4476681614349776</v>
      </c>
    </row>
    <row r="106" spans="1:3" x14ac:dyDescent="0.3">
      <c r="A106">
        <v>277</v>
      </c>
      <c r="B106" s="55">
        <v>9.8651999999999997</v>
      </c>
      <c r="C106" s="55">
        <f t="shared" si="0"/>
        <v>4.4238565022421525</v>
      </c>
    </row>
    <row r="107" spans="1:3" x14ac:dyDescent="0.3">
      <c r="A107">
        <v>278</v>
      </c>
      <c r="B107" s="55">
        <v>10.157</v>
      </c>
      <c r="C107" s="55">
        <f t="shared" si="0"/>
        <v>4.5547085201793722</v>
      </c>
    </row>
    <row r="108" spans="1:3" x14ac:dyDescent="0.3">
      <c r="A108">
        <v>279</v>
      </c>
      <c r="B108" s="55">
        <v>9.9806000000000008</v>
      </c>
      <c r="C108" s="55">
        <f t="shared" si="0"/>
        <v>4.47560538116592</v>
      </c>
    </row>
    <row r="109" spans="1:3" x14ac:dyDescent="0.3">
      <c r="A109">
        <v>280</v>
      </c>
      <c r="B109" s="55">
        <v>10.0747</v>
      </c>
      <c r="C109" s="55">
        <f t="shared" si="0"/>
        <v>4.5178026905829594</v>
      </c>
    </row>
    <row r="110" spans="1:3" x14ac:dyDescent="0.3">
      <c r="A110">
        <v>281</v>
      </c>
      <c r="B110" s="55">
        <v>9.8646999999999991</v>
      </c>
      <c r="C110" s="55">
        <f t="shared" si="0"/>
        <v>4.4236322869955149</v>
      </c>
    </row>
    <row r="111" spans="1:3" x14ac:dyDescent="0.3">
      <c r="A111">
        <v>282</v>
      </c>
      <c r="B111" s="55">
        <v>10.1076</v>
      </c>
      <c r="C111" s="55">
        <f t="shared" ref="C111:C138" si="1">B111/2.23</f>
        <v>4.5325560538116587</v>
      </c>
    </row>
    <row r="112" spans="1:3" x14ac:dyDescent="0.3">
      <c r="A112">
        <v>283</v>
      </c>
      <c r="B112" s="55">
        <v>9.6501999999999999</v>
      </c>
      <c r="C112" s="55">
        <f t="shared" si="1"/>
        <v>4.3274439461883407</v>
      </c>
    </row>
    <row r="113" spans="1:3" x14ac:dyDescent="0.3">
      <c r="A113">
        <v>284</v>
      </c>
      <c r="B113" s="55">
        <v>10.0555</v>
      </c>
      <c r="C113" s="55">
        <f t="shared" si="1"/>
        <v>4.5091928251121081</v>
      </c>
    </row>
    <row r="114" spans="1:3" x14ac:dyDescent="0.3">
      <c r="A114">
        <v>285</v>
      </c>
      <c r="B114" s="55">
        <v>10.051</v>
      </c>
      <c r="C114" s="55">
        <f t="shared" si="1"/>
        <v>4.5071748878923765</v>
      </c>
    </row>
    <row r="115" spans="1:3" x14ac:dyDescent="0.3">
      <c r="A115">
        <v>286</v>
      </c>
      <c r="B115" s="55">
        <v>9.5493000000000006</v>
      </c>
      <c r="C115" s="55">
        <f t="shared" si="1"/>
        <v>4.2821973094170405</v>
      </c>
    </row>
    <row r="116" spans="1:3" x14ac:dyDescent="0.3">
      <c r="A116">
        <v>287</v>
      </c>
      <c r="B116" s="55">
        <v>10.169</v>
      </c>
      <c r="C116" s="55">
        <f t="shared" si="1"/>
        <v>4.5600896860986548</v>
      </c>
    </row>
    <row r="117" spans="1:3" x14ac:dyDescent="0.3">
      <c r="A117">
        <v>288</v>
      </c>
      <c r="B117" s="55">
        <v>10.1602</v>
      </c>
      <c r="C117" s="55">
        <f t="shared" si="1"/>
        <v>4.556143497757847</v>
      </c>
    </row>
    <row r="118" spans="1:3" x14ac:dyDescent="0.3">
      <c r="A118">
        <v>289</v>
      </c>
      <c r="B118" s="55">
        <v>9.6905999999999999</v>
      </c>
      <c r="C118" s="55">
        <f t="shared" si="1"/>
        <v>4.345560538116592</v>
      </c>
    </row>
    <row r="119" spans="1:3" x14ac:dyDescent="0.3">
      <c r="A119">
        <v>290</v>
      </c>
      <c r="B119" s="55">
        <v>9.9170999999999996</v>
      </c>
      <c r="C119" s="55">
        <f t="shared" si="1"/>
        <v>4.4471300448430489</v>
      </c>
    </row>
    <row r="120" spans="1:3" x14ac:dyDescent="0.3">
      <c r="A120">
        <v>291</v>
      </c>
      <c r="B120" s="55">
        <v>10.095700000000001</v>
      </c>
      <c r="C120" s="55">
        <f t="shared" si="1"/>
        <v>4.5272197309417042</v>
      </c>
    </row>
    <row r="121" spans="1:3" x14ac:dyDescent="0.3">
      <c r="A121">
        <v>292</v>
      </c>
      <c r="B121" s="55">
        <v>9.6498000000000008</v>
      </c>
      <c r="C121" s="55">
        <f t="shared" si="1"/>
        <v>4.327264573991032</v>
      </c>
    </row>
    <row r="122" spans="1:3" x14ac:dyDescent="0.3">
      <c r="A122">
        <v>293</v>
      </c>
      <c r="B122" s="55">
        <v>9.7003000000000004</v>
      </c>
      <c r="C122" s="55">
        <f t="shared" si="1"/>
        <v>4.3499103139013453</v>
      </c>
    </row>
    <row r="123" spans="1:3" x14ac:dyDescent="0.3">
      <c r="A123">
        <v>294</v>
      </c>
      <c r="B123" s="55">
        <v>10.168900000000001</v>
      </c>
      <c r="C123" s="55">
        <f t="shared" si="1"/>
        <v>4.5600448430493277</v>
      </c>
    </row>
    <row r="124" spans="1:3" x14ac:dyDescent="0.3">
      <c r="A124">
        <v>295</v>
      </c>
      <c r="B124" s="55">
        <v>10.167</v>
      </c>
      <c r="C124" s="55">
        <f t="shared" si="1"/>
        <v>4.5591928251121079</v>
      </c>
    </row>
    <row r="125" spans="1:3" x14ac:dyDescent="0.3">
      <c r="A125">
        <v>296</v>
      </c>
      <c r="B125" s="55">
        <v>9.8501999999999992</v>
      </c>
      <c r="C125" s="55">
        <f t="shared" si="1"/>
        <v>4.4171300448430486</v>
      </c>
    </row>
    <row r="126" spans="1:3" x14ac:dyDescent="0.3">
      <c r="A126">
        <v>297</v>
      </c>
      <c r="B126" s="55">
        <v>9.5855999999999995</v>
      </c>
      <c r="C126" s="55">
        <f t="shared" si="1"/>
        <v>4.2984753363228698</v>
      </c>
    </row>
    <row r="127" spans="1:3" x14ac:dyDescent="0.3">
      <c r="A127">
        <v>298</v>
      </c>
      <c r="B127" s="55">
        <v>9.6489999999999991</v>
      </c>
      <c r="C127" s="55">
        <f t="shared" si="1"/>
        <v>4.326905829596412</v>
      </c>
    </row>
    <row r="128" spans="1:3" x14ac:dyDescent="0.3">
      <c r="A128">
        <v>299</v>
      </c>
      <c r="B128" s="55">
        <v>9.6849000000000007</v>
      </c>
      <c r="C128" s="55">
        <f t="shared" si="1"/>
        <v>4.3430044843049327</v>
      </c>
    </row>
    <row r="129" spans="1:3" x14ac:dyDescent="0.3">
      <c r="A129">
        <v>191</v>
      </c>
      <c r="B129" s="55">
        <v>9.5350000000000001</v>
      </c>
      <c r="C129" s="55">
        <f t="shared" si="1"/>
        <v>4.2757847533632285</v>
      </c>
    </row>
    <row r="130" spans="1:3" x14ac:dyDescent="0.3">
      <c r="A130">
        <v>1</v>
      </c>
      <c r="B130" s="55">
        <v>9.8663000000000007</v>
      </c>
      <c r="C130" s="55">
        <f t="shared" si="1"/>
        <v>4.4243497757847541</v>
      </c>
    </row>
    <row r="131" spans="1:3" x14ac:dyDescent="0.3">
      <c r="A131">
        <v>2</v>
      </c>
      <c r="B131" s="55">
        <v>9.4932999999999996</v>
      </c>
      <c r="C131" s="55">
        <f t="shared" si="1"/>
        <v>4.2570852017937222</v>
      </c>
    </row>
    <row r="132" spans="1:3" x14ac:dyDescent="0.3">
      <c r="A132">
        <v>3</v>
      </c>
      <c r="B132" s="55">
        <v>9.7538999999999998</v>
      </c>
      <c r="C132" s="55">
        <f t="shared" si="1"/>
        <v>4.3739461883408071</v>
      </c>
    </row>
    <row r="133" spans="1:3" x14ac:dyDescent="0.3">
      <c r="A133">
        <v>4</v>
      </c>
      <c r="B133" s="55">
        <v>9.4748999999999999</v>
      </c>
      <c r="C133" s="55">
        <f t="shared" si="1"/>
        <v>4.2488340807174891</v>
      </c>
    </row>
    <row r="134" spans="1:3" x14ac:dyDescent="0.3">
      <c r="A134">
        <v>6</v>
      </c>
      <c r="B134" s="55">
        <v>9.8908000000000005</v>
      </c>
      <c r="C134" s="55">
        <f t="shared" si="1"/>
        <v>4.4353363228699552</v>
      </c>
    </row>
    <row r="135" spans="1:3" x14ac:dyDescent="0.3">
      <c r="A135">
        <v>7</v>
      </c>
      <c r="B135" s="55">
        <v>9.8834</v>
      </c>
      <c r="C135" s="55">
        <f t="shared" si="1"/>
        <v>4.4320179372197313</v>
      </c>
    </row>
    <row r="136" spans="1:3" x14ac:dyDescent="0.3">
      <c r="A136">
        <v>8</v>
      </c>
      <c r="B136" s="55">
        <v>9.5215999999999994</v>
      </c>
      <c r="C136" s="55">
        <f t="shared" si="1"/>
        <v>4.2697757847533628</v>
      </c>
    </row>
    <row r="137" spans="1:3" x14ac:dyDescent="0.3">
      <c r="A137">
        <v>9</v>
      </c>
      <c r="B137" s="55">
        <v>9.5976999999999997</v>
      </c>
      <c r="C137" s="55">
        <f t="shared" si="1"/>
        <v>4.3039013452914796</v>
      </c>
    </row>
    <row r="138" spans="1:3" x14ac:dyDescent="0.3">
      <c r="A138">
        <v>10</v>
      </c>
      <c r="B138" s="55">
        <v>9.9908999999999999</v>
      </c>
      <c r="C138" s="55">
        <f t="shared" si="1"/>
        <v>4.4802242152466372</v>
      </c>
    </row>
    <row r="139" spans="1:3" x14ac:dyDescent="0.3">
      <c r="B139" s="55"/>
      <c r="C139" s="55"/>
    </row>
    <row r="140" spans="1:3" x14ac:dyDescent="0.3">
      <c r="B140" s="55"/>
      <c r="C140" s="55"/>
    </row>
    <row r="141" spans="1:3" x14ac:dyDescent="0.3">
      <c r="B141" s="55"/>
      <c r="C141" s="55"/>
    </row>
    <row r="142" spans="1:3" x14ac:dyDescent="0.3">
      <c r="B142" s="55"/>
      <c r="C142" s="55"/>
    </row>
    <row r="143" spans="1:3" x14ac:dyDescent="0.3">
      <c r="B143" s="55"/>
      <c r="C143" s="55"/>
    </row>
    <row r="144" spans="1:3" x14ac:dyDescent="0.3">
      <c r="B144" s="55"/>
      <c r="C144" s="55"/>
    </row>
    <row r="145" spans="2:3" x14ac:dyDescent="0.3">
      <c r="B145" s="55"/>
      <c r="C145" s="55"/>
    </row>
    <row r="146" spans="2:3" x14ac:dyDescent="0.3">
      <c r="B146" s="55"/>
      <c r="C146" s="55"/>
    </row>
    <row r="147" spans="2:3" x14ac:dyDescent="0.3">
      <c r="B147" s="55"/>
      <c r="C147" s="55"/>
    </row>
    <row r="148" spans="2:3" x14ac:dyDescent="0.3">
      <c r="B148" s="55"/>
      <c r="C148" s="55"/>
    </row>
    <row r="149" spans="2:3" x14ac:dyDescent="0.3">
      <c r="B149" s="55"/>
      <c r="C149" s="55"/>
    </row>
    <row r="150" spans="2:3" x14ac:dyDescent="0.3">
      <c r="B150" s="55"/>
      <c r="C150" s="55"/>
    </row>
    <row r="151" spans="2:3" x14ac:dyDescent="0.3">
      <c r="B151" s="55"/>
      <c r="C151" s="55"/>
    </row>
    <row r="152" spans="2:3" x14ac:dyDescent="0.3">
      <c r="B152" s="55"/>
      <c r="C152" s="55"/>
    </row>
    <row r="153" spans="2:3" x14ac:dyDescent="0.3">
      <c r="B153" s="55"/>
      <c r="C153" s="55"/>
    </row>
    <row r="154" spans="2:3" x14ac:dyDescent="0.3">
      <c r="B154" s="55"/>
      <c r="C154" s="55"/>
    </row>
    <row r="155" spans="2:3" x14ac:dyDescent="0.3">
      <c r="B155" s="55"/>
      <c r="C155" s="55"/>
    </row>
    <row r="156" spans="2:3" x14ac:dyDescent="0.3">
      <c r="B156" s="55"/>
      <c r="C156" s="55"/>
    </row>
    <row r="157" spans="2:3" x14ac:dyDescent="0.3">
      <c r="B157" s="55"/>
      <c r="C157" s="55"/>
    </row>
    <row r="158" spans="2:3" x14ac:dyDescent="0.3">
      <c r="B158" s="55"/>
      <c r="C158" s="55"/>
    </row>
    <row r="159" spans="2:3" x14ac:dyDescent="0.3">
      <c r="B159" s="55"/>
      <c r="C159" s="55"/>
    </row>
    <row r="160" spans="2:3" x14ac:dyDescent="0.3">
      <c r="B160" s="55"/>
      <c r="C160" s="55"/>
    </row>
    <row r="161" spans="2:3" x14ac:dyDescent="0.3">
      <c r="B161" s="55"/>
      <c r="C161" s="55"/>
    </row>
    <row r="162" spans="2:3" x14ac:dyDescent="0.3">
      <c r="B162" s="55"/>
      <c r="C162" s="55"/>
    </row>
    <row r="163" spans="2:3" x14ac:dyDescent="0.3">
      <c r="B163" s="55"/>
      <c r="C163" s="55"/>
    </row>
    <row r="164" spans="2:3" x14ac:dyDescent="0.3">
      <c r="B164" s="55"/>
      <c r="C164" s="55"/>
    </row>
    <row r="165" spans="2:3" x14ac:dyDescent="0.3">
      <c r="B165" s="55"/>
      <c r="C165" s="55"/>
    </row>
    <row r="166" spans="2:3" x14ac:dyDescent="0.3">
      <c r="B166" s="55"/>
      <c r="C166" s="55"/>
    </row>
    <row r="167" spans="2:3" x14ac:dyDescent="0.3">
      <c r="B167" s="55"/>
      <c r="C167" s="55"/>
    </row>
    <row r="168" spans="2:3" x14ac:dyDescent="0.3">
      <c r="B168" s="55"/>
      <c r="C168" s="55"/>
    </row>
    <row r="169" spans="2:3" x14ac:dyDescent="0.3">
      <c r="B169" s="55"/>
      <c r="C169" s="55"/>
    </row>
    <row r="170" spans="2:3" x14ac:dyDescent="0.3">
      <c r="B170" s="55"/>
      <c r="C170" s="55"/>
    </row>
    <row r="171" spans="2:3" x14ac:dyDescent="0.3">
      <c r="B171" s="55"/>
      <c r="C171" s="55"/>
    </row>
    <row r="172" spans="2:3" x14ac:dyDescent="0.3">
      <c r="B172" s="55"/>
      <c r="C172" s="55"/>
    </row>
    <row r="173" spans="2:3" x14ac:dyDescent="0.3">
      <c r="B173" s="55"/>
      <c r="C173" s="55"/>
    </row>
    <row r="174" spans="2:3" x14ac:dyDescent="0.3">
      <c r="B174" s="55"/>
      <c r="C174" s="55"/>
    </row>
    <row r="175" spans="2:3" x14ac:dyDescent="0.3">
      <c r="B175" s="55"/>
      <c r="C175" s="55"/>
    </row>
    <row r="176" spans="2:3" x14ac:dyDescent="0.3">
      <c r="B176" s="55"/>
      <c r="C176" s="55"/>
    </row>
    <row r="177" spans="2:3" x14ac:dyDescent="0.3">
      <c r="B177" s="55"/>
      <c r="C177" s="55"/>
    </row>
    <row r="178" spans="2:3" x14ac:dyDescent="0.3">
      <c r="B178" s="55"/>
      <c r="C178" s="55"/>
    </row>
    <row r="179" spans="2:3" x14ac:dyDescent="0.3">
      <c r="B179" s="55"/>
      <c r="C179" s="55"/>
    </row>
    <row r="180" spans="2:3" x14ac:dyDescent="0.3">
      <c r="B180" s="55"/>
      <c r="C180" s="55"/>
    </row>
    <row r="181" spans="2:3" x14ac:dyDescent="0.3">
      <c r="B181" s="55"/>
      <c r="C181" s="55"/>
    </row>
    <row r="182" spans="2:3" x14ac:dyDescent="0.3">
      <c r="B182" s="55"/>
      <c r="C182" s="55"/>
    </row>
    <row r="183" spans="2:3" x14ac:dyDescent="0.3">
      <c r="B183" s="55"/>
      <c r="C183" s="55"/>
    </row>
    <row r="184" spans="2:3" x14ac:dyDescent="0.3">
      <c r="B184" s="55"/>
      <c r="C184" s="55"/>
    </row>
    <row r="185" spans="2:3" x14ac:dyDescent="0.3">
      <c r="B185" s="55"/>
      <c r="C185" s="55"/>
    </row>
    <row r="186" spans="2:3" x14ac:dyDescent="0.3">
      <c r="B186" s="55"/>
      <c r="C186" s="55"/>
    </row>
    <row r="187" spans="2:3" x14ac:dyDescent="0.3">
      <c r="B187" s="55"/>
      <c r="C187" s="55"/>
    </row>
    <row r="188" spans="2:3" x14ac:dyDescent="0.3">
      <c r="B188" s="55"/>
      <c r="C188" s="55"/>
    </row>
    <row r="189" spans="2:3" x14ac:dyDescent="0.3">
      <c r="B189" s="55"/>
      <c r="C189" s="55"/>
    </row>
    <row r="190" spans="2:3" x14ac:dyDescent="0.3">
      <c r="B190" s="55"/>
      <c r="C190" s="55"/>
    </row>
    <row r="191" spans="2:3" x14ac:dyDescent="0.3">
      <c r="B191" s="55"/>
      <c r="C191" s="55"/>
    </row>
    <row r="192" spans="2:3" x14ac:dyDescent="0.3">
      <c r="B192" s="55"/>
      <c r="C192" s="55"/>
    </row>
    <row r="193" spans="2:3" x14ac:dyDescent="0.3">
      <c r="B193" s="55"/>
      <c r="C193" s="5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797F-A3FF-4613-A1E6-2E179EC19C32}">
  <dimension ref="A1:M605"/>
  <sheetViews>
    <sheetView topLeftCell="A586" workbookViewId="0">
      <selection activeCell="N219" sqref="N219"/>
    </sheetView>
  </sheetViews>
  <sheetFormatPr defaultRowHeight="14.4" x14ac:dyDescent="0.3"/>
  <cols>
    <col min="1" max="1" width="7.109375" style="1" customWidth="1"/>
    <col min="2" max="2" width="6.5546875" style="1" customWidth="1"/>
    <col min="3" max="3" width="6.44140625" style="1" customWidth="1"/>
    <col min="4" max="4" width="5.44140625" style="1" customWidth="1"/>
    <col min="5" max="5" width="7.88671875" style="1" customWidth="1"/>
    <col min="6" max="6" width="5.6640625" style="1" customWidth="1"/>
    <col min="9" max="9" width="12" customWidth="1"/>
    <col min="10" max="10" width="12.5546875" customWidth="1"/>
    <col min="11" max="11" width="27.109375" customWidth="1"/>
    <col min="12" max="12" width="14.88671875" customWidth="1"/>
  </cols>
  <sheetData>
    <row r="1" spans="1:13" ht="28.8" x14ac:dyDescent="0.3">
      <c r="A1" s="32" t="s">
        <v>66</v>
      </c>
      <c r="B1" s="33" t="s">
        <v>30</v>
      </c>
      <c r="C1" s="33" t="s">
        <v>32</v>
      </c>
      <c r="D1" s="33" t="s">
        <v>33</v>
      </c>
      <c r="E1" s="33" t="s">
        <v>3</v>
      </c>
      <c r="F1" s="34" t="s">
        <v>67</v>
      </c>
      <c r="G1" s="35" t="s">
        <v>68</v>
      </c>
      <c r="H1" s="35" t="s">
        <v>69</v>
      </c>
      <c r="I1" s="36" t="s">
        <v>70</v>
      </c>
      <c r="J1" s="36" t="s">
        <v>71</v>
      </c>
      <c r="K1" s="35" t="s">
        <v>72</v>
      </c>
      <c r="L1" s="35" t="s">
        <v>73</v>
      </c>
      <c r="M1" s="35" t="s">
        <v>74</v>
      </c>
    </row>
    <row r="2" spans="1:13" x14ac:dyDescent="0.3">
      <c r="A2" s="1" t="s">
        <v>56</v>
      </c>
      <c r="B2" s="1" t="s">
        <v>31</v>
      </c>
      <c r="C2" s="1">
        <v>1</v>
      </c>
      <c r="D2" s="1" t="s">
        <v>57</v>
      </c>
      <c r="E2" s="1">
        <v>1</v>
      </c>
      <c r="F2" s="1" t="s">
        <v>75</v>
      </c>
      <c r="G2" s="37">
        <v>38</v>
      </c>
      <c r="H2" s="37">
        <v>40</v>
      </c>
      <c r="I2">
        <f>VLOOKUP(C2,[1]M0111A!$A$1:$Z$30,24,TRUE)+(G2/100)</f>
        <v>0.38</v>
      </c>
      <c r="J2" s="38">
        <f>I2+0.02</f>
        <v>0.4</v>
      </c>
      <c r="K2" t="s">
        <v>76</v>
      </c>
      <c r="L2" s="39" t="s">
        <v>77</v>
      </c>
      <c r="M2" s="40" t="s">
        <v>78</v>
      </c>
    </row>
    <row r="3" spans="1:13" x14ac:dyDescent="0.3">
      <c r="A3" s="1" t="s">
        <v>56</v>
      </c>
      <c r="B3" s="1" t="s">
        <v>31</v>
      </c>
      <c r="C3" s="1">
        <v>2</v>
      </c>
      <c r="D3" s="1" t="s">
        <v>57</v>
      </c>
      <c r="E3" s="1">
        <v>2</v>
      </c>
      <c r="F3" s="1" t="s">
        <v>75</v>
      </c>
      <c r="G3" s="37">
        <v>38</v>
      </c>
      <c r="H3" s="37">
        <v>40</v>
      </c>
      <c r="I3" s="37">
        <v>4.29</v>
      </c>
      <c r="J3" s="38">
        <f>I3+0.02</f>
        <v>4.3099999999999996</v>
      </c>
      <c r="K3" t="s">
        <v>79</v>
      </c>
      <c r="L3" s="39" t="s">
        <v>77</v>
      </c>
      <c r="M3" s="41">
        <f t="shared" ref="M3:M11" si="0">I3-I2</f>
        <v>3.91</v>
      </c>
    </row>
    <row r="4" spans="1:13" x14ac:dyDescent="0.3">
      <c r="A4" s="1" t="s">
        <v>56</v>
      </c>
      <c r="B4" s="1" t="s">
        <v>31</v>
      </c>
      <c r="C4" s="1">
        <v>3</v>
      </c>
      <c r="D4" s="1" t="s">
        <v>57</v>
      </c>
      <c r="E4" s="1">
        <v>1</v>
      </c>
      <c r="F4" s="1" t="s">
        <v>75</v>
      </c>
      <c r="G4" s="37">
        <v>38</v>
      </c>
      <c r="H4" s="37">
        <v>40</v>
      </c>
      <c r="I4">
        <f>VLOOKUP(C4,[1]M0111A!$A$1:$Z$30,24,TRUE)+(G4/100)</f>
        <v>4.84</v>
      </c>
      <c r="J4" s="38">
        <f t="shared" ref="J4:J27" si="1">I4+0.02</f>
        <v>4.8599999999999994</v>
      </c>
      <c r="K4" t="s">
        <v>79</v>
      </c>
      <c r="L4" s="39" t="s">
        <v>77</v>
      </c>
      <c r="M4" s="41">
        <f t="shared" si="0"/>
        <v>0.54999999999999982</v>
      </c>
    </row>
    <row r="5" spans="1:13" x14ac:dyDescent="0.3">
      <c r="A5" s="1" t="s">
        <v>56</v>
      </c>
      <c r="B5" s="1" t="s">
        <v>31</v>
      </c>
      <c r="C5" s="1">
        <v>4</v>
      </c>
      <c r="D5" s="1" t="s">
        <v>57</v>
      </c>
      <c r="E5" s="1">
        <v>1</v>
      </c>
      <c r="F5" s="1" t="s">
        <v>75</v>
      </c>
      <c r="G5" s="37">
        <v>88</v>
      </c>
      <c r="H5" s="37">
        <v>90</v>
      </c>
      <c r="I5">
        <f>VLOOKUP(C5,[1]M0111A!$A$1:$Z$30,24,TRUE)+(G5/100)</f>
        <v>7.77</v>
      </c>
      <c r="J5" s="38">
        <f t="shared" si="1"/>
        <v>7.7899999999999991</v>
      </c>
      <c r="K5" t="s">
        <v>80</v>
      </c>
      <c r="L5" s="39" t="s">
        <v>77</v>
      </c>
      <c r="M5" s="41">
        <f t="shared" si="0"/>
        <v>2.9299999999999997</v>
      </c>
    </row>
    <row r="6" spans="1:13" x14ac:dyDescent="0.3">
      <c r="A6" s="1" t="s">
        <v>56</v>
      </c>
      <c r="B6" s="1" t="s">
        <v>31</v>
      </c>
      <c r="C6" s="1">
        <v>5</v>
      </c>
      <c r="D6" s="1" t="s">
        <v>57</v>
      </c>
      <c r="E6" s="1">
        <v>1</v>
      </c>
      <c r="F6" s="1" t="s">
        <v>75</v>
      </c>
      <c r="G6" s="37">
        <v>98</v>
      </c>
      <c r="H6" s="37">
        <v>100</v>
      </c>
      <c r="I6">
        <f>VLOOKUP(C6,[1]M0111A!$A$1:$Z$30,24,TRUE)+(G6/100)</f>
        <v>10.58</v>
      </c>
      <c r="J6" s="38">
        <f t="shared" si="1"/>
        <v>10.6</v>
      </c>
      <c r="K6" t="s">
        <v>80</v>
      </c>
      <c r="L6" s="39" t="s">
        <v>77</v>
      </c>
      <c r="M6" s="41">
        <f t="shared" si="0"/>
        <v>2.8100000000000005</v>
      </c>
    </row>
    <row r="7" spans="1:13" x14ac:dyDescent="0.3">
      <c r="A7" s="1" t="s">
        <v>56</v>
      </c>
      <c r="B7" s="1" t="s">
        <v>31</v>
      </c>
      <c r="C7" s="1">
        <v>6</v>
      </c>
      <c r="D7" s="1" t="s">
        <v>57</v>
      </c>
      <c r="E7" s="1">
        <v>1</v>
      </c>
      <c r="F7" s="1" t="s">
        <v>75</v>
      </c>
      <c r="G7" s="37">
        <v>118</v>
      </c>
      <c r="H7" s="37">
        <v>120</v>
      </c>
      <c r="I7">
        <f>VLOOKUP(C7,[1]M0111A!$A$1:$Z$30,24,TRUE)+(G7/100)</f>
        <v>12.879999999999999</v>
      </c>
      <c r="J7" s="38">
        <f t="shared" si="1"/>
        <v>12.899999999999999</v>
      </c>
      <c r="K7" t="s">
        <v>80</v>
      </c>
      <c r="L7" s="39" t="s">
        <v>77</v>
      </c>
      <c r="M7" s="41">
        <f t="shared" si="0"/>
        <v>2.2999999999999989</v>
      </c>
    </row>
    <row r="8" spans="1:13" x14ac:dyDescent="0.3">
      <c r="A8" s="1" t="s">
        <v>56</v>
      </c>
      <c r="B8" s="1" t="s">
        <v>31</v>
      </c>
      <c r="C8" s="1">
        <v>7</v>
      </c>
      <c r="D8" s="1" t="s">
        <v>57</v>
      </c>
      <c r="E8" s="1">
        <v>1</v>
      </c>
      <c r="F8" s="1" t="s">
        <v>75</v>
      </c>
      <c r="G8" s="37">
        <v>14</v>
      </c>
      <c r="H8" s="37">
        <v>16</v>
      </c>
      <c r="I8">
        <f>VLOOKUP(C8,[1]M0111A!$A$1:$Z$30,24,TRUE)+(G8/100)</f>
        <v>14.08</v>
      </c>
      <c r="J8" s="38">
        <f t="shared" si="1"/>
        <v>14.1</v>
      </c>
      <c r="K8" t="s">
        <v>81</v>
      </c>
      <c r="L8" s="39" t="s">
        <v>77</v>
      </c>
      <c r="M8" s="41">
        <f t="shared" si="0"/>
        <v>1.2000000000000011</v>
      </c>
    </row>
    <row r="9" spans="1:13" x14ac:dyDescent="0.3">
      <c r="A9" s="1" t="s">
        <v>56</v>
      </c>
      <c r="B9" s="1" t="s">
        <v>31</v>
      </c>
      <c r="C9" s="1">
        <v>9</v>
      </c>
      <c r="D9" s="1" t="s">
        <v>58</v>
      </c>
      <c r="E9" s="1">
        <v>1</v>
      </c>
      <c r="F9" s="1" t="s">
        <v>75</v>
      </c>
      <c r="G9" s="37">
        <v>18</v>
      </c>
      <c r="H9" s="37">
        <v>20</v>
      </c>
      <c r="I9">
        <f>VLOOKUP(C9,[1]M0111A!$A$1:$Z$30,24,TRUE)+(G9/100)</f>
        <v>14.95</v>
      </c>
      <c r="J9" s="38">
        <f t="shared" si="1"/>
        <v>14.969999999999999</v>
      </c>
      <c r="K9" t="s">
        <v>81</v>
      </c>
      <c r="L9" s="39" t="s">
        <v>82</v>
      </c>
      <c r="M9" s="41">
        <f t="shared" si="0"/>
        <v>0.86999999999999922</v>
      </c>
    </row>
    <row r="10" spans="1:13" x14ac:dyDescent="0.3">
      <c r="A10" s="1" t="s">
        <v>56</v>
      </c>
      <c r="B10" s="1" t="s">
        <v>31</v>
      </c>
      <c r="C10" s="1">
        <v>10</v>
      </c>
      <c r="D10" s="1" t="s">
        <v>34</v>
      </c>
      <c r="E10" s="1">
        <v>1</v>
      </c>
      <c r="F10" s="1" t="s">
        <v>75</v>
      </c>
      <c r="G10" s="37">
        <v>38</v>
      </c>
      <c r="H10" s="37">
        <v>40</v>
      </c>
      <c r="I10">
        <f>VLOOKUP(C10,[1]M0111A!$A$1:$Z$30,24,TRUE)+(G10/100)</f>
        <v>15.590000000000002</v>
      </c>
      <c r="J10" s="38">
        <f t="shared" si="1"/>
        <v>15.610000000000001</v>
      </c>
      <c r="K10" t="s">
        <v>81</v>
      </c>
      <c r="L10" s="39" t="s">
        <v>77</v>
      </c>
      <c r="M10" s="41">
        <f t="shared" si="0"/>
        <v>0.64000000000000234</v>
      </c>
    </row>
    <row r="11" spans="1:13" x14ac:dyDescent="0.3">
      <c r="A11" s="1" t="s">
        <v>56</v>
      </c>
      <c r="B11" s="1" t="s">
        <v>31</v>
      </c>
      <c r="C11" s="1">
        <v>11</v>
      </c>
      <c r="D11" s="1" t="s">
        <v>34</v>
      </c>
      <c r="E11" s="1">
        <v>1</v>
      </c>
      <c r="F11" s="1" t="s">
        <v>75</v>
      </c>
      <c r="G11" s="37">
        <v>38</v>
      </c>
      <c r="H11" s="37">
        <v>40</v>
      </c>
      <c r="I11">
        <f>VLOOKUP(C11,[1]M0111A!$A$1:$Z$30,24,TRUE)+(G11/100)</f>
        <v>16.739999999999998</v>
      </c>
      <c r="J11" s="38">
        <f t="shared" si="1"/>
        <v>16.759999999999998</v>
      </c>
      <c r="K11" t="s">
        <v>81</v>
      </c>
      <c r="L11" s="39" t="s">
        <v>77</v>
      </c>
      <c r="M11" s="41">
        <f t="shared" si="0"/>
        <v>1.1499999999999968</v>
      </c>
    </row>
    <row r="12" spans="1:13" x14ac:dyDescent="0.3">
      <c r="A12" s="1" t="s">
        <v>56</v>
      </c>
      <c r="B12" s="1" t="s">
        <v>31</v>
      </c>
      <c r="C12" s="1">
        <v>12</v>
      </c>
      <c r="D12" s="1" t="s">
        <v>34</v>
      </c>
      <c r="E12" s="1">
        <v>1</v>
      </c>
      <c r="F12" s="1" t="s">
        <v>75</v>
      </c>
      <c r="G12" s="37">
        <v>48</v>
      </c>
      <c r="H12" s="37">
        <v>50</v>
      </c>
      <c r="I12">
        <f>VLOOKUP(C12,[1]M0111A!$A$1:$Z$30,24,TRUE)+(G12/100)</f>
        <v>32.729999999999997</v>
      </c>
      <c r="J12" s="38">
        <f t="shared" si="1"/>
        <v>32.75</v>
      </c>
      <c r="K12" t="s">
        <v>83</v>
      </c>
      <c r="L12" s="39" t="s">
        <v>77</v>
      </c>
      <c r="M12" s="41"/>
    </row>
    <row r="13" spans="1:13" x14ac:dyDescent="0.3">
      <c r="A13" s="1" t="s">
        <v>56</v>
      </c>
      <c r="B13" s="1" t="s">
        <v>31</v>
      </c>
      <c r="C13" s="1">
        <v>13</v>
      </c>
      <c r="D13" s="1" t="s">
        <v>57</v>
      </c>
      <c r="E13" s="1">
        <v>1</v>
      </c>
      <c r="F13" s="1" t="s">
        <v>75</v>
      </c>
      <c r="G13" s="37">
        <v>38</v>
      </c>
      <c r="H13" s="37">
        <v>40</v>
      </c>
      <c r="I13">
        <f>VLOOKUP(C13,[1]M0111A!$A$1:$Z$30,24,TRUE)+(G13/100)</f>
        <v>34.18</v>
      </c>
      <c r="J13" s="38">
        <f t="shared" si="1"/>
        <v>34.200000000000003</v>
      </c>
      <c r="K13" t="s">
        <v>84</v>
      </c>
      <c r="L13" s="39" t="s">
        <v>77</v>
      </c>
      <c r="M13" s="41">
        <f t="shared" ref="M13:M27" si="2">I13-I12</f>
        <v>1.4500000000000028</v>
      </c>
    </row>
    <row r="14" spans="1:13" x14ac:dyDescent="0.3">
      <c r="A14" s="1" t="s">
        <v>56</v>
      </c>
      <c r="B14" s="1" t="s">
        <v>31</v>
      </c>
      <c r="C14" s="1">
        <v>15</v>
      </c>
      <c r="D14" s="1" t="s">
        <v>57</v>
      </c>
      <c r="E14" s="1">
        <v>1</v>
      </c>
      <c r="F14" s="1" t="s">
        <v>75</v>
      </c>
      <c r="G14" s="37">
        <v>38</v>
      </c>
      <c r="H14" s="37">
        <v>40</v>
      </c>
      <c r="I14">
        <f>VLOOKUP(C14,[1]M0111A!$A$1:$Z$30,24,TRUE)+(G14/100)</f>
        <v>38.5</v>
      </c>
      <c r="J14" s="38">
        <f t="shared" si="1"/>
        <v>38.520000000000003</v>
      </c>
      <c r="K14" t="s">
        <v>85</v>
      </c>
      <c r="L14" s="39" t="s">
        <v>77</v>
      </c>
      <c r="M14" s="41">
        <f t="shared" si="2"/>
        <v>4.32</v>
      </c>
    </row>
    <row r="15" spans="1:13" x14ac:dyDescent="0.3">
      <c r="A15" s="1" t="s">
        <v>56</v>
      </c>
      <c r="B15" s="1" t="s">
        <v>31</v>
      </c>
      <c r="C15" s="1">
        <v>16</v>
      </c>
      <c r="D15" s="1" t="s">
        <v>57</v>
      </c>
      <c r="E15" s="1">
        <v>1</v>
      </c>
      <c r="F15" s="1" t="s">
        <v>75</v>
      </c>
      <c r="G15" s="37">
        <v>38</v>
      </c>
      <c r="H15" s="37">
        <v>40</v>
      </c>
      <c r="I15">
        <f>VLOOKUP(C15,[1]M0111A!$A$1:$Z$30,24,TRUE)+(G15/100)</f>
        <v>40.830000000000005</v>
      </c>
      <c r="J15" s="38">
        <f t="shared" si="1"/>
        <v>40.850000000000009</v>
      </c>
      <c r="K15" t="s">
        <v>86</v>
      </c>
      <c r="L15" s="39" t="s">
        <v>77</v>
      </c>
      <c r="M15" s="41">
        <f t="shared" si="2"/>
        <v>2.3300000000000054</v>
      </c>
    </row>
    <row r="16" spans="1:13" x14ac:dyDescent="0.3">
      <c r="A16" s="1" t="s">
        <v>56</v>
      </c>
      <c r="B16" s="1" t="s">
        <v>31</v>
      </c>
      <c r="C16" s="1">
        <v>17</v>
      </c>
      <c r="D16" s="1" t="s">
        <v>57</v>
      </c>
      <c r="E16" s="1">
        <v>1</v>
      </c>
      <c r="F16" s="1" t="s">
        <v>75</v>
      </c>
      <c r="G16" s="37">
        <v>38</v>
      </c>
      <c r="H16" s="37">
        <v>40</v>
      </c>
      <c r="I16">
        <f>VLOOKUP(C16,[1]M0111A!$A$1:$Z$30,24,TRUE)+(G16/100)</f>
        <v>41.57</v>
      </c>
      <c r="J16" s="38">
        <f t="shared" si="1"/>
        <v>41.59</v>
      </c>
      <c r="K16" t="s">
        <v>87</v>
      </c>
      <c r="L16" s="39" t="s">
        <v>77</v>
      </c>
      <c r="M16" s="41">
        <f t="shared" si="2"/>
        <v>0.73999999999999488</v>
      </c>
    </row>
    <row r="17" spans="1:13" x14ac:dyDescent="0.3">
      <c r="A17" s="1" t="s">
        <v>56</v>
      </c>
      <c r="B17" s="1" t="s">
        <v>31</v>
      </c>
      <c r="C17" s="1">
        <v>18</v>
      </c>
      <c r="D17" s="1" t="s">
        <v>57</v>
      </c>
      <c r="E17" s="1">
        <v>1</v>
      </c>
      <c r="F17" s="1" t="s">
        <v>75</v>
      </c>
      <c r="G17" s="37">
        <v>38</v>
      </c>
      <c r="H17" s="37">
        <v>40</v>
      </c>
      <c r="I17">
        <f>VLOOKUP(C17,[1]M0111A!$A$1:$Z$30,24,TRUE)+(G17/100)</f>
        <v>43.7</v>
      </c>
      <c r="J17" s="38">
        <f t="shared" si="1"/>
        <v>43.720000000000006</v>
      </c>
      <c r="K17" t="s">
        <v>88</v>
      </c>
      <c r="L17" s="39" t="s">
        <v>77</v>
      </c>
      <c r="M17" s="41">
        <f t="shared" si="2"/>
        <v>2.1300000000000026</v>
      </c>
    </row>
    <row r="18" spans="1:13" x14ac:dyDescent="0.3">
      <c r="A18" s="1" t="s">
        <v>56</v>
      </c>
      <c r="B18" s="1" t="s">
        <v>31</v>
      </c>
      <c r="C18" s="1">
        <v>19</v>
      </c>
      <c r="D18" s="1" t="s">
        <v>57</v>
      </c>
      <c r="E18" s="1">
        <v>1</v>
      </c>
      <c r="F18" s="1" t="s">
        <v>75</v>
      </c>
      <c r="G18" s="37">
        <v>38</v>
      </c>
      <c r="H18" s="37">
        <v>40</v>
      </c>
      <c r="I18">
        <f>VLOOKUP(C18,[1]M0111A!$A$1:$Z$30,24,TRUE)+(G18/100)</f>
        <v>44.21</v>
      </c>
      <c r="J18" s="38">
        <f t="shared" si="1"/>
        <v>44.230000000000004</v>
      </c>
      <c r="K18" s="42" t="s">
        <v>89</v>
      </c>
      <c r="L18" s="39" t="s">
        <v>77</v>
      </c>
      <c r="M18" s="41">
        <f t="shared" si="2"/>
        <v>0.50999999999999801</v>
      </c>
    </row>
    <row r="19" spans="1:13" x14ac:dyDescent="0.3">
      <c r="A19" s="1" t="s">
        <v>56</v>
      </c>
      <c r="B19" s="1" t="s">
        <v>31</v>
      </c>
      <c r="C19" s="1">
        <v>20</v>
      </c>
      <c r="D19" s="1" t="s">
        <v>57</v>
      </c>
      <c r="E19" s="1">
        <v>1</v>
      </c>
      <c r="F19" s="1" t="s">
        <v>75</v>
      </c>
      <c r="G19" s="37">
        <v>38</v>
      </c>
      <c r="H19" s="37">
        <v>40</v>
      </c>
      <c r="I19">
        <f>VLOOKUP(C19,[1]M0111A!$A$1:$Z$30,24,TRUE)+(G19/100)</f>
        <v>46.580000000000005</v>
      </c>
      <c r="J19" s="38">
        <f t="shared" si="1"/>
        <v>46.600000000000009</v>
      </c>
      <c r="K19" t="s">
        <v>90</v>
      </c>
      <c r="L19" s="39" t="s">
        <v>77</v>
      </c>
      <c r="M19" s="41">
        <f t="shared" si="2"/>
        <v>2.3700000000000045</v>
      </c>
    </row>
    <row r="20" spans="1:13" x14ac:dyDescent="0.3">
      <c r="A20" s="1" t="s">
        <v>56</v>
      </c>
      <c r="B20" s="1" t="s">
        <v>31</v>
      </c>
      <c r="C20" s="1">
        <v>21</v>
      </c>
      <c r="D20" s="1" t="s">
        <v>57</v>
      </c>
      <c r="E20" s="1">
        <v>2</v>
      </c>
      <c r="F20" s="1" t="s">
        <v>75</v>
      </c>
      <c r="G20" s="37">
        <v>38</v>
      </c>
      <c r="H20" s="37">
        <v>40</v>
      </c>
      <c r="I20">
        <v>49.15</v>
      </c>
      <c r="J20" s="38">
        <f t="shared" si="1"/>
        <v>49.17</v>
      </c>
      <c r="K20" t="s">
        <v>91</v>
      </c>
      <c r="L20" s="39" t="s">
        <v>77</v>
      </c>
      <c r="M20" s="41">
        <f t="shared" si="2"/>
        <v>2.5699999999999932</v>
      </c>
    </row>
    <row r="21" spans="1:13" x14ac:dyDescent="0.3">
      <c r="A21" s="1" t="s">
        <v>56</v>
      </c>
      <c r="B21" s="1" t="s">
        <v>31</v>
      </c>
      <c r="C21" s="1">
        <v>22</v>
      </c>
      <c r="D21" s="1" t="s">
        <v>57</v>
      </c>
      <c r="E21" s="1">
        <v>1</v>
      </c>
      <c r="F21" s="1" t="s">
        <v>75</v>
      </c>
      <c r="G21" s="37">
        <v>38</v>
      </c>
      <c r="H21" s="37">
        <v>40</v>
      </c>
      <c r="I21">
        <f>VLOOKUP(C21,[1]M0111A!$A$1:$Z$30,24,TRUE)+(G21/100)</f>
        <v>51.28</v>
      </c>
      <c r="J21" s="38">
        <f t="shared" si="1"/>
        <v>51.300000000000004</v>
      </c>
      <c r="K21" t="s">
        <v>91</v>
      </c>
      <c r="L21" s="39" t="s">
        <v>77</v>
      </c>
      <c r="M21" s="41">
        <f t="shared" si="2"/>
        <v>2.1300000000000026</v>
      </c>
    </row>
    <row r="22" spans="1:13" x14ac:dyDescent="0.3">
      <c r="A22" s="1" t="s">
        <v>56</v>
      </c>
      <c r="B22" s="1" t="s">
        <v>31</v>
      </c>
      <c r="C22" s="1">
        <v>23</v>
      </c>
      <c r="D22" s="1" t="s">
        <v>57</v>
      </c>
      <c r="E22" s="1">
        <v>1</v>
      </c>
      <c r="F22" s="1" t="s">
        <v>75</v>
      </c>
      <c r="G22" s="37">
        <v>38</v>
      </c>
      <c r="H22" s="37">
        <v>40</v>
      </c>
      <c r="I22">
        <f>VLOOKUP(C22,[1]M0111A!$A$1:$Z$30,24,TRUE)+(G22/100)</f>
        <v>52.800000000000004</v>
      </c>
      <c r="J22" s="38">
        <f t="shared" si="1"/>
        <v>52.820000000000007</v>
      </c>
      <c r="K22" t="s">
        <v>92</v>
      </c>
      <c r="L22" s="39" t="s">
        <v>77</v>
      </c>
      <c r="M22" s="41">
        <f t="shared" si="2"/>
        <v>1.5200000000000031</v>
      </c>
    </row>
    <row r="23" spans="1:13" x14ac:dyDescent="0.3">
      <c r="A23" s="1" t="s">
        <v>56</v>
      </c>
      <c r="B23" s="1" t="s">
        <v>31</v>
      </c>
      <c r="C23" s="1">
        <v>24</v>
      </c>
      <c r="D23" s="1" t="s">
        <v>57</v>
      </c>
      <c r="E23" s="1">
        <v>1</v>
      </c>
      <c r="F23" s="1" t="s">
        <v>75</v>
      </c>
      <c r="G23" s="37">
        <v>38</v>
      </c>
      <c r="H23" s="37">
        <v>40</v>
      </c>
      <c r="I23">
        <f>VLOOKUP(C23,[1]M0111A!$A$1:$Z$30,24,TRUE)+(G23/100)</f>
        <v>55.300000000000004</v>
      </c>
      <c r="J23" s="38">
        <f t="shared" si="1"/>
        <v>55.320000000000007</v>
      </c>
      <c r="K23" t="s">
        <v>93</v>
      </c>
      <c r="L23" s="39" t="s">
        <v>77</v>
      </c>
      <c r="M23" s="41">
        <f t="shared" si="2"/>
        <v>2.5</v>
      </c>
    </row>
    <row r="24" spans="1:13" x14ac:dyDescent="0.3">
      <c r="A24" s="1" t="s">
        <v>56</v>
      </c>
      <c r="B24" s="1" t="s">
        <v>31</v>
      </c>
      <c r="C24" s="1">
        <v>25</v>
      </c>
      <c r="D24" s="1" t="s">
        <v>57</v>
      </c>
      <c r="E24" s="1">
        <v>1</v>
      </c>
      <c r="F24" s="1" t="s">
        <v>75</v>
      </c>
      <c r="G24" s="37">
        <v>38</v>
      </c>
      <c r="H24" s="37">
        <v>40</v>
      </c>
      <c r="I24">
        <f>VLOOKUP(C24,[1]M0111A!$A$1:$Z$30,24,TRUE)+(G24/100)</f>
        <v>57.04</v>
      </c>
      <c r="J24" s="38">
        <f t="shared" si="1"/>
        <v>57.06</v>
      </c>
      <c r="K24" t="s">
        <v>94</v>
      </c>
      <c r="L24" s="39" t="s">
        <v>77</v>
      </c>
      <c r="M24" s="41">
        <f t="shared" si="2"/>
        <v>1.7399999999999949</v>
      </c>
    </row>
    <row r="25" spans="1:13" x14ac:dyDescent="0.3">
      <c r="A25" s="1" t="s">
        <v>56</v>
      </c>
      <c r="B25" s="1" t="s">
        <v>31</v>
      </c>
      <c r="C25" s="1">
        <v>26</v>
      </c>
      <c r="D25" s="1" t="s">
        <v>57</v>
      </c>
      <c r="E25" s="1">
        <v>1</v>
      </c>
      <c r="F25" s="1" t="s">
        <v>75</v>
      </c>
      <c r="G25" s="37">
        <v>38</v>
      </c>
      <c r="H25" s="37">
        <v>40</v>
      </c>
      <c r="I25">
        <f>VLOOKUP(C25,[1]M0111A!$A$1:$Z$30,24,TRUE)+(G25/100)</f>
        <v>59.260000000000005</v>
      </c>
      <c r="J25" s="38">
        <f t="shared" si="1"/>
        <v>59.280000000000008</v>
      </c>
      <c r="K25" t="s">
        <v>95</v>
      </c>
      <c r="L25" s="39" t="s">
        <v>77</v>
      </c>
      <c r="M25" s="41">
        <f t="shared" si="2"/>
        <v>2.220000000000006</v>
      </c>
    </row>
    <row r="26" spans="1:13" x14ac:dyDescent="0.3">
      <c r="A26" s="1" t="s">
        <v>56</v>
      </c>
      <c r="B26" s="1" t="s">
        <v>31</v>
      </c>
      <c r="C26" s="1">
        <v>27</v>
      </c>
      <c r="D26" s="1" t="s">
        <v>57</v>
      </c>
      <c r="E26" s="1">
        <v>1</v>
      </c>
      <c r="F26" s="1" t="s">
        <v>75</v>
      </c>
      <c r="G26" s="37">
        <v>38</v>
      </c>
      <c r="H26" s="37">
        <v>40</v>
      </c>
      <c r="I26">
        <f>VLOOKUP(C26,[1]M0111A!$A$1:$Z$30,24,TRUE)+(G26/100)</f>
        <v>61.580000000000005</v>
      </c>
      <c r="J26" s="38">
        <f t="shared" si="1"/>
        <v>61.600000000000009</v>
      </c>
      <c r="K26" t="s">
        <v>96</v>
      </c>
      <c r="L26" s="39" t="s">
        <v>77</v>
      </c>
      <c r="M26" s="41">
        <f t="shared" si="2"/>
        <v>2.3200000000000003</v>
      </c>
    </row>
    <row r="27" spans="1:13" x14ac:dyDescent="0.3">
      <c r="A27" s="1" t="s">
        <v>56</v>
      </c>
      <c r="B27" s="1" t="s">
        <v>31</v>
      </c>
      <c r="C27" s="1">
        <v>29</v>
      </c>
      <c r="D27" s="1" t="s">
        <v>57</v>
      </c>
      <c r="E27" s="1">
        <v>1</v>
      </c>
      <c r="F27" s="1" t="s">
        <v>75</v>
      </c>
      <c r="G27" s="37">
        <v>18</v>
      </c>
      <c r="H27" s="37">
        <v>20</v>
      </c>
      <c r="I27">
        <f>VLOOKUP(C27,[1]M0111A!$A$1:$Z$30,24,TRUE)+(G27/100)</f>
        <v>63.56</v>
      </c>
      <c r="J27" s="38">
        <f t="shared" si="1"/>
        <v>63.580000000000005</v>
      </c>
      <c r="K27" t="s">
        <v>97</v>
      </c>
      <c r="L27" s="39" t="s">
        <v>82</v>
      </c>
      <c r="M27" s="41">
        <f t="shared" si="2"/>
        <v>1.9799999999999969</v>
      </c>
    </row>
    <row r="28" spans="1:13" x14ac:dyDescent="0.3">
      <c r="G28" s="37"/>
      <c r="H28" s="37"/>
      <c r="I28" s="38"/>
      <c r="J28" s="38"/>
      <c r="L28" s="43"/>
      <c r="M28" s="44"/>
    </row>
    <row r="29" spans="1:13" x14ac:dyDescent="0.3">
      <c r="A29" s="1" t="s">
        <v>56</v>
      </c>
      <c r="B29" s="1" t="s">
        <v>47</v>
      </c>
      <c r="C29" s="1">
        <v>1</v>
      </c>
      <c r="D29" s="1" t="s">
        <v>57</v>
      </c>
      <c r="E29" s="1">
        <v>2</v>
      </c>
      <c r="F29" s="1" t="s">
        <v>75</v>
      </c>
      <c r="G29">
        <v>48</v>
      </c>
      <c r="H29" s="1">
        <v>50</v>
      </c>
      <c r="I29" s="41">
        <v>63.98</v>
      </c>
      <c r="J29" s="38">
        <v>64</v>
      </c>
      <c r="K29" t="s">
        <v>98</v>
      </c>
      <c r="L29" s="39" t="s">
        <v>77</v>
      </c>
      <c r="M29" s="40" t="s">
        <v>78</v>
      </c>
    </row>
    <row r="30" spans="1:13" x14ac:dyDescent="0.3">
      <c r="A30" s="1" t="s">
        <v>56</v>
      </c>
      <c r="B30" s="1" t="s">
        <v>47</v>
      </c>
      <c r="C30" s="1">
        <v>2</v>
      </c>
      <c r="D30" s="1" t="s">
        <v>57</v>
      </c>
      <c r="E30" s="1">
        <v>2</v>
      </c>
      <c r="F30" s="1" t="s">
        <v>75</v>
      </c>
      <c r="G30">
        <v>78</v>
      </c>
      <c r="H30" s="1">
        <v>80</v>
      </c>
      <c r="I30" s="41">
        <v>65.92</v>
      </c>
      <c r="J30" s="41">
        <v>65.94</v>
      </c>
      <c r="K30" t="s">
        <v>99</v>
      </c>
      <c r="L30" s="39" t="s">
        <v>77</v>
      </c>
      <c r="M30" s="41">
        <f>I30-I29</f>
        <v>1.9400000000000048</v>
      </c>
    </row>
    <row r="31" spans="1:13" x14ac:dyDescent="0.3">
      <c r="A31" s="1" t="s">
        <v>56</v>
      </c>
      <c r="B31" s="1" t="s">
        <v>47</v>
      </c>
      <c r="C31" s="1">
        <v>3</v>
      </c>
      <c r="D31" s="1" t="s">
        <v>57</v>
      </c>
      <c r="E31" s="1">
        <v>2</v>
      </c>
      <c r="F31" s="1" t="s">
        <v>75</v>
      </c>
      <c r="G31">
        <v>38</v>
      </c>
      <c r="H31" s="1">
        <v>40</v>
      </c>
      <c r="I31" s="41">
        <v>67.94</v>
      </c>
      <c r="J31" s="38">
        <v>67.959999999999994</v>
      </c>
      <c r="K31" t="s">
        <v>100</v>
      </c>
      <c r="L31" s="39" t="s">
        <v>77</v>
      </c>
      <c r="M31" s="41">
        <f>I31-I30</f>
        <v>2.019999999999996</v>
      </c>
    </row>
    <row r="32" spans="1:13" x14ac:dyDescent="0.3">
      <c r="A32" s="1" t="s">
        <v>56</v>
      </c>
      <c r="B32" s="1" t="s">
        <v>47</v>
      </c>
      <c r="C32" s="1">
        <v>4</v>
      </c>
      <c r="D32" s="1" t="s">
        <v>57</v>
      </c>
      <c r="E32" s="1">
        <v>1</v>
      </c>
      <c r="F32" s="1" t="s">
        <v>75</v>
      </c>
      <c r="G32">
        <v>98</v>
      </c>
      <c r="H32" s="1">
        <v>100</v>
      </c>
      <c r="I32" s="41">
        <v>69.180000000000007</v>
      </c>
      <c r="J32" s="38">
        <v>69.2</v>
      </c>
      <c r="K32" t="s">
        <v>101</v>
      </c>
      <c r="L32" s="39" t="s">
        <v>77</v>
      </c>
      <c r="M32" s="41">
        <f>I32-I31</f>
        <v>1.2400000000000091</v>
      </c>
    </row>
    <row r="33" spans="1:13" x14ac:dyDescent="0.3">
      <c r="A33" s="1" t="s">
        <v>56</v>
      </c>
      <c r="B33" s="1" t="s">
        <v>47</v>
      </c>
      <c r="C33" s="1">
        <v>5</v>
      </c>
      <c r="D33" s="1" t="s">
        <v>57</v>
      </c>
      <c r="E33" s="1">
        <v>2</v>
      </c>
      <c r="F33" s="1" t="s">
        <v>75</v>
      </c>
      <c r="G33">
        <v>58</v>
      </c>
      <c r="H33" s="1">
        <v>60</v>
      </c>
      <c r="I33" s="41">
        <v>71.12</v>
      </c>
      <c r="J33" s="38">
        <v>71.14</v>
      </c>
      <c r="K33" t="s">
        <v>102</v>
      </c>
      <c r="L33" s="39" t="s">
        <v>77</v>
      </c>
      <c r="M33" s="41">
        <f t="shared" ref="M33:M96" si="3">I33-I32</f>
        <v>1.9399999999999977</v>
      </c>
    </row>
    <row r="34" spans="1:13" x14ac:dyDescent="0.3">
      <c r="A34" s="1" t="s">
        <v>56</v>
      </c>
      <c r="B34" s="1" t="s">
        <v>47</v>
      </c>
      <c r="C34" s="1">
        <v>6</v>
      </c>
      <c r="D34" s="1" t="s">
        <v>57</v>
      </c>
      <c r="E34" s="1">
        <v>1</v>
      </c>
      <c r="F34" s="1" t="s">
        <v>75</v>
      </c>
      <c r="G34">
        <v>60</v>
      </c>
      <c r="H34" s="1">
        <v>62</v>
      </c>
      <c r="I34" s="41">
        <v>72.14</v>
      </c>
      <c r="J34" s="38">
        <v>72.16</v>
      </c>
      <c r="K34" t="s">
        <v>89</v>
      </c>
      <c r="L34" s="39" t="s">
        <v>77</v>
      </c>
      <c r="M34" s="41">
        <f t="shared" si="3"/>
        <v>1.019999999999996</v>
      </c>
    </row>
    <row r="35" spans="1:13" x14ac:dyDescent="0.3">
      <c r="A35" s="1" t="s">
        <v>56</v>
      </c>
      <c r="B35" s="1" t="s">
        <v>47</v>
      </c>
      <c r="C35" s="1">
        <v>9</v>
      </c>
      <c r="D35" s="1" t="s">
        <v>34</v>
      </c>
      <c r="E35" s="1">
        <v>1</v>
      </c>
      <c r="F35" s="1" t="s">
        <v>75</v>
      </c>
      <c r="G35">
        <v>100</v>
      </c>
      <c r="H35" s="1">
        <v>102</v>
      </c>
      <c r="I35" s="41">
        <v>73.760000000000005</v>
      </c>
      <c r="J35" s="38">
        <v>73.78</v>
      </c>
      <c r="K35" t="s">
        <v>103</v>
      </c>
      <c r="L35" s="39" t="s">
        <v>77</v>
      </c>
      <c r="M35" s="41">
        <f t="shared" si="3"/>
        <v>1.6200000000000045</v>
      </c>
    </row>
    <row r="36" spans="1:13" x14ac:dyDescent="0.3">
      <c r="A36" s="1" t="s">
        <v>56</v>
      </c>
      <c r="B36" s="1" t="s">
        <v>47</v>
      </c>
      <c r="C36" s="1">
        <v>12</v>
      </c>
      <c r="D36" s="1" t="s">
        <v>34</v>
      </c>
      <c r="E36" s="1">
        <v>1</v>
      </c>
      <c r="F36" s="1" t="s">
        <v>75</v>
      </c>
      <c r="G36">
        <v>11</v>
      </c>
      <c r="H36" s="1">
        <v>13</v>
      </c>
      <c r="I36" s="41">
        <v>76.8</v>
      </c>
      <c r="J36" s="38">
        <v>76.819999999999993</v>
      </c>
      <c r="K36" s="42" t="s">
        <v>104</v>
      </c>
      <c r="L36" s="39" t="s">
        <v>77</v>
      </c>
      <c r="M36" s="41">
        <f t="shared" si="3"/>
        <v>3.039999999999992</v>
      </c>
    </row>
    <row r="37" spans="1:13" x14ac:dyDescent="0.3">
      <c r="A37" s="1" t="s">
        <v>56</v>
      </c>
      <c r="B37" s="1" t="s">
        <v>47</v>
      </c>
      <c r="C37" s="1">
        <v>13</v>
      </c>
      <c r="D37" s="1" t="s">
        <v>34</v>
      </c>
      <c r="E37" s="1">
        <v>1</v>
      </c>
      <c r="F37" s="1" t="s">
        <v>75</v>
      </c>
      <c r="G37">
        <v>18</v>
      </c>
      <c r="H37" s="1">
        <v>20</v>
      </c>
      <c r="I37" s="41">
        <v>79.78</v>
      </c>
      <c r="J37" s="38">
        <v>79.8</v>
      </c>
      <c r="K37" t="s">
        <v>105</v>
      </c>
      <c r="L37" s="39" t="s">
        <v>77</v>
      </c>
      <c r="M37" s="41">
        <f t="shared" si="3"/>
        <v>2.980000000000004</v>
      </c>
    </row>
    <row r="38" spans="1:13" x14ac:dyDescent="0.3">
      <c r="A38" s="1" t="s">
        <v>56</v>
      </c>
      <c r="B38" s="1" t="s">
        <v>47</v>
      </c>
      <c r="C38" s="1">
        <v>14</v>
      </c>
      <c r="D38" s="1" t="s">
        <v>34</v>
      </c>
      <c r="E38" s="1">
        <v>1</v>
      </c>
      <c r="F38" s="1" t="s">
        <v>75</v>
      </c>
      <c r="G38">
        <v>18</v>
      </c>
      <c r="H38" s="1">
        <v>20</v>
      </c>
      <c r="I38" s="41">
        <v>82.78</v>
      </c>
      <c r="J38" s="38">
        <v>82.8</v>
      </c>
      <c r="K38" t="s">
        <v>105</v>
      </c>
      <c r="L38" s="39" t="s">
        <v>77</v>
      </c>
      <c r="M38" s="41">
        <f t="shared" si="3"/>
        <v>3</v>
      </c>
    </row>
    <row r="39" spans="1:13" x14ac:dyDescent="0.3">
      <c r="A39" s="1" t="s">
        <v>56</v>
      </c>
      <c r="B39" s="1" t="s">
        <v>47</v>
      </c>
      <c r="C39" s="1">
        <v>15</v>
      </c>
      <c r="D39" s="1" t="s">
        <v>34</v>
      </c>
      <c r="E39" s="1">
        <v>1</v>
      </c>
      <c r="F39" s="1" t="s">
        <v>75</v>
      </c>
      <c r="G39">
        <v>38</v>
      </c>
      <c r="H39" s="1">
        <v>40</v>
      </c>
      <c r="I39" s="41">
        <v>84.98</v>
      </c>
      <c r="J39" s="38">
        <v>85</v>
      </c>
      <c r="K39" t="s">
        <v>106</v>
      </c>
      <c r="L39" s="39" t="s">
        <v>77</v>
      </c>
      <c r="M39" s="41">
        <f t="shared" si="3"/>
        <v>2.2000000000000028</v>
      </c>
    </row>
    <row r="40" spans="1:13" x14ac:dyDescent="0.3">
      <c r="A40" s="1" t="s">
        <v>56</v>
      </c>
      <c r="B40" s="1" t="s">
        <v>47</v>
      </c>
      <c r="C40" s="1">
        <v>16</v>
      </c>
      <c r="D40" s="1" t="s">
        <v>34</v>
      </c>
      <c r="E40" s="1">
        <v>1</v>
      </c>
      <c r="F40" s="1" t="s">
        <v>75</v>
      </c>
      <c r="G40">
        <v>18</v>
      </c>
      <c r="H40" s="1">
        <v>20</v>
      </c>
      <c r="I40" s="41">
        <v>86.78</v>
      </c>
      <c r="J40" s="38">
        <v>86.8</v>
      </c>
      <c r="K40" t="s">
        <v>104</v>
      </c>
      <c r="L40" s="39" t="s">
        <v>77</v>
      </c>
      <c r="M40" s="41">
        <f t="shared" si="3"/>
        <v>1.7999999999999972</v>
      </c>
    </row>
    <row r="41" spans="1:13" x14ac:dyDescent="0.3">
      <c r="A41" s="1" t="s">
        <v>56</v>
      </c>
      <c r="B41" s="1" t="s">
        <v>47</v>
      </c>
      <c r="C41" s="1">
        <v>17</v>
      </c>
      <c r="D41" s="1" t="s">
        <v>34</v>
      </c>
      <c r="E41" s="1">
        <v>1</v>
      </c>
      <c r="F41" s="1" t="s">
        <v>75</v>
      </c>
      <c r="G41">
        <v>38</v>
      </c>
      <c r="H41" s="1">
        <v>40</v>
      </c>
      <c r="I41" s="41">
        <v>88.78</v>
      </c>
      <c r="J41" s="38">
        <v>88.8</v>
      </c>
      <c r="K41" t="s">
        <v>104</v>
      </c>
      <c r="L41" s="39" t="s">
        <v>77</v>
      </c>
      <c r="M41" s="41">
        <f t="shared" si="3"/>
        <v>2</v>
      </c>
    </row>
    <row r="42" spans="1:13" x14ac:dyDescent="0.3">
      <c r="A42" s="1" t="s">
        <v>56</v>
      </c>
      <c r="B42" s="1" t="s">
        <v>47</v>
      </c>
      <c r="C42" s="1">
        <v>18</v>
      </c>
      <c r="D42" s="1" t="s">
        <v>34</v>
      </c>
      <c r="E42" s="1">
        <v>1</v>
      </c>
      <c r="F42" s="1" t="s">
        <v>75</v>
      </c>
      <c r="G42">
        <v>18</v>
      </c>
      <c r="H42" s="1">
        <v>20</v>
      </c>
      <c r="I42" s="41">
        <v>91.28</v>
      </c>
      <c r="J42" s="38">
        <v>91.3</v>
      </c>
      <c r="K42" t="s">
        <v>104</v>
      </c>
      <c r="L42" s="39" t="s">
        <v>77</v>
      </c>
      <c r="M42" s="41">
        <f t="shared" si="3"/>
        <v>2.5</v>
      </c>
    </row>
    <row r="43" spans="1:13" x14ac:dyDescent="0.3">
      <c r="A43" s="1" t="s">
        <v>56</v>
      </c>
      <c r="B43" s="1" t="s">
        <v>47</v>
      </c>
      <c r="C43" s="1">
        <v>19</v>
      </c>
      <c r="D43" s="1" t="s">
        <v>34</v>
      </c>
      <c r="E43" s="1">
        <v>1</v>
      </c>
      <c r="F43" s="1" t="s">
        <v>75</v>
      </c>
      <c r="G43">
        <v>18</v>
      </c>
      <c r="H43" s="1">
        <v>20</v>
      </c>
      <c r="I43" s="41">
        <v>94.28</v>
      </c>
      <c r="J43" s="38">
        <v>94.3</v>
      </c>
      <c r="K43" t="s">
        <v>107</v>
      </c>
      <c r="L43" s="39" t="s">
        <v>77</v>
      </c>
      <c r="M43" s="41">
        <f t="shared" si="3"/>
        <v>3</v>
      </c>
    </row>
    <row r="44" spans="1:13" x14ac:dyDescent="0.3">
      <c r="A44" s="1" t="s">
        <v>56</v>
      </c>
      <c r="B44" s="1" t="s">
        <v>47</v>
      </c>
      <c r="C44" s="1">
        <v>21</v>
      </c>
      <c r="D44" s="1" t="s">
        <v>57</v>
      </c>
      <c r="E44" s="1">
        <v>1</v>
      </c>
      <c r="F44" s="1" t="s">
        <v>75</v>
      </c>
      <c r="G44">
        <v>18</v>
      </c>
      <c r="H44" s="1">
        <v>20</v>
      </c>
      <c r="I44" s="41">
        <v>96.63</v>
      </c>
      <c r="J44" s="38">
        <v>96.65</v>
      </c>
      <c r="K44" t="s">
        <v>108</v>
      </c>
      <c r="L44" s="39" t="s">
        <v>77</v>
      </c>
      <c r="M44" s="41">
        <f t="shared" si="3"/>
        <v>2.3499999999999943</v>
      </c>
    </row>
    <row r="45" spans="1:13" x14ac:dyDescent="0.3">
      <c r="A45" s="1" t="s">
        <v>56</v>
      </c>
      <c r="B45" s="1" t="s">
        <v>47</v>
      </c>
      <c r="C45" s="1">
        <v>22</v>
      </c>
      <c r="D45" s="1" t="s">
        <v>57</v>
      </c>
      <c r="E45" s="1">
        <v>1</v>
      </c>
      <c r="F45" s="1" t="s">
        <v>75</v>
      </c>
      <c r="G45">
        <v>18</v>
      </c>
      <c r="H45" s="1">
        <v>20</v>
      </c>
      <c r="I45" s="41">
        <v>98.94</v>
      </c>
      <c r="J45" s="38">
        <v>98.96</v>
      </c>
      <c r="K45" t="s">
        <v>108</v>
      </c>
      <c r="L45" s="39" t="s">
        <v>77</v>
      </c>
      <c r="M45" s="41">
        <f t="shared" si="3"/>
        <v>2.3100000000000023</v>
      </c>
    </row>
    <row r="46" spans="1:13" x14ac:dyDescent="0.3">
      <c r="A46" s="45" t="s">
        <v>56</v>
      </c>
      <c r="B46" s="45" t="s">
        <v>47</v>
      </c>
      <c r="C46" s="45">
        <v>23</v>
      </c>
      <c r="D46" s="45" t="s">
        <v>57</v>
      </c>
      <c r="E46" s="45">
        <v>1</v>
      </c>
      <c r="F46" s="45" t="s">
        <v>75</v>
      </c>
      <c r="G46" s="46">
        <v>18</v>
      </c>
      <c r="H46" s="45">
        <v>20</v>
      </c>
      <c r="I46" s="47">
        <v>101.93</v>
      </c>
      <c r="J46" s="48">
        <v>101.95</v>
      </c>
      <c r="K46" s="46" t="s">
        <v>109</v>
      </c>
      <c r="L46" s="49" t="s">
        <v>77</v>
      </c>
      <c r="M46" s="47">
        <f t="shared" si="3"/>
        <v>2.9900000000000091</v>
      </c>
    </row>
    <row r="47" spans="1:13" x14ac:dyDescent="0.3">
      <c r="A47" s="45" t="s">
        <v>56</v>
      </c>
      <c r="B47" s="45" t="s">
        <v>47</v>
      </c>
      <c r="C47" s="45">
        <v>24</v>
      </c>
      <c r="D47" s="45" t="s">
        <v>34</v>
      </c>
      <c r="E47" s="45">
        <v>2</v>
      </c>
      <c r="F47" s="45" t="s">
        <v>75</v>
      </c>
      <c r="G47" s="46">
        <v>88</v>
      </c>
      <c r="H47" s="45">
        <v>90</v>
      </c>
      <c r="I47" s="47">
        <v>103.79</v>
      </c>
      <c r="J47" s="48">
        <v>103.81</v>
      </c>
      <c r="K47" s="46" t="s">
        <v>109</v>
      </c>
      <c r="L47" s="49" t="s">
        <v>77</v>
      </c>
      <c r="M47" s="47">
        <f t="shared" si="3"/>
        <v>1.8599999999999994</v>
      </c>
    </row>
    <row r="48" spans="1:13" x14ac:dyDescent="0.3">
      <c r="A48" s="45" t="s">
        <v>56</v>
      </c>
      <c r="B48" s="45" t="s">
        <v>47</v>
      </c>
      <c r="C48" s="45">
        <v>26</v>
      </c>
      <c r="D48" s="45" t="s">
        <v>34</v>
      </c>
      <c r="E48" s="45">
        <v>1</v>
      </c>
      <c r="F48" s="45" t="s">
        <v>75</v>
      </c>
      <c r="G48" s="46">
        <v>18</v>
      </c>
      <c r="H48" s="45">
        <v>20</v>
      </c>
      <c r="I48" s="47">
        <v>106.78</v>
      </c>
      <c r="J48" s="48">
        <v>106.8</v>
      </c>
      <c r="K48" s="46" t="s">
        <v>110</v>
      </c>
      <c r="L48" s="49" t="s">
        <v>77</v>
      </c>
      <c r="M48" s="47">
        <f t="shared" si="3"/>
        <v>2.9899999999999949</v>
      </c>
    </row>
    <row r="49" spans="1:13" x14ac:dyDescent="0.3">
      <c r="A49" s="45" t="s">
        <v>56</v>
      </c>
      <c r="B49" s="45" t="s">
        <v>47</v>
      </c>
      <c r="C49" s="45">
        <v>27</v>
      </c>
      <c r="D49" s="45" t="s">
        <v>34</v>
      </c>
      <c r="E49" s="45">
        <v>1</v>
      </c>
      <c r="F49" s="45" t="s">
        <v>75</v>
      </c>
      <c r="G49" s="46">
        <v>18</v>
      </c>
      <c r="H49" s="45">
        <v>20</v>
      </c>
      <c r="I49" s="47">
        <v>109.78</v>
      </c>
      <c r="J49" s="48">
        <v>109.8</v>
      </c>
      <c r="K49" s="46" t="s">
        <v>110</v>
      </c>
      <c r="L49" s="49" t="s">
        <v>77</v>
      </c>
      <c r="M49" s="47">
        <f t="shared" si="3"/>
        <v>3</v>
      </c>
    </row>
    <row r="50" spans="1:13" x14ac:dyDescent="0.3">
      <c r="A50" s="45" t="s">
        <v>56</v>
      </c>
      <c r="B50" s="45" t="s">
        <v>47</v>
      </c>
      <c r="C50" s="45">
        <v>28</v>
      </c>
      <c r="D50" s="45" t="s">
        <v>34</v>
      </c>
      <c r="E50" s="45">
        <v>1</v>
      </c>
      <c r="F50" s="45" t="s">
        <v>75</v>
      </c>
      <c r="G50" s="46">
        <v>18</v>
      </c>
      <c r="H50" s="45">
        <v>20</v>
      </c>
      <c r="I50" s="47">
        <v>112.48</v>
      </c>
      <c r="J50" s="48">
        <v>112.5</v>
      </c>
      <c r="K50" s="46" t="s">
        <v>111</v>
      </c>
      <c r="L50" s="49" t="s">
        <v>77</v>
      </c>
      <c r="M50" s="47">
        <f t="shared" si="3"/>
        <v>2.7000000000000028</v>
      </c>
    </row>
    <row r="51" spans="1:13" x14ac:dyDescent="0.3">
      <c r="A51" s="45" t="s">
        <v>56</v>
      </c>
      <c r="B51" s="45" t="s">
        <v>47</v>
      </c>
      <c r="C51" s="45">
        <v>29</v>
      </c>
      <c r="D51" s="45" t="s">
        <v>34</v>
      </c>
      <c r="E51" s="45">
        <v>1</v>
      </c>
      <c r="F51" s="45" t="s">
        <v>75</v>
      </c>
      <c r="G51" s="46">
        <v>18</v>
      </c>
      <c r="H51" s="45">
        <v>20</v>
      </c>
      <c r="I51" s="47">
        <v>115.48</v>
      </c>
      <c r="J51" s="48">
        <v>115.5</v>
      </c>
      <c r="K51" s="46" t="s">
        <v>110</v>
      </c>
      <c r="L51" s="49" t="s">
        <v>77</v>
      </c>
      <c r="M51" s="47">
        <f t="shared" si="3"/>
        <v>3</v>
      </c>
    </row>
    <row r="52" spans="1:13" x14ac:dyDescent="0.3">
      <c r="A52" s="1" t="s">
        <v>56</v>
      </c>
      <c r="B52" s="1" t="s">
        <v>47</v>
      </c>
      <c r="C52" s="1">
        <v>30</v>
      </c>
      <c r="D52" s="1" t="s">
        <v>34</v>
      </c>
      <c r="E52" s="1">
        <v>1</v>
      </c>
      <c r="F52" s="1" t="s">
        <v>75</v>
      </c>
      <c r="G52">
        <v>18</v>
      </c>
      <c r="H52" s="1">
        <v>20</v>
      </c>
      <c r="I52" s="41">
        <v>118.48</v>
      </c>
      <c r="J52" s="38">
        <v>118.5</v>
      </c>
      <c r="K52" t="s">
        <v>112</v>
      </c>
      <c r="L52" s="39" t="s">
        <v>77</v>
      </c>
      <c r="M52" s="41">
        <f t="shared" si="3"/>
        <v>3</v>
      </c>
    </row>
    <row r="53" spans="1:13" x14ac:dyDescent="0.3">
      <c r="A53" s="45" t="s">
        <v>56</v>
      </c>
      <c r="B53" s="45" t="s">
        <v>47</v>
      </c>
      <c r="C53" s="45">
        <v>31</v>
      </c>
      <c r="D53" s="45" t="s">
        <v>34</v>
      </c>
      <c r="E53" s="45">
        <v>1</v>
      </c>
      <c r="F53" s="45" t="s">
        <v>75</v>
      </c>
      <c r="G53" s="46">
        <v>38</v>
      </c>
      <c r="H53" s="45">
        <v>40</v>
      </c>
      <c r="I53" s="50">
        <v>121.68</v>
      </c>
      <c r="J53" s="51">
        <v>121.7</v>
      </c>
      <c r="K53" s="46" t="s">
        <v>113</v>
      </c>
      <c r="L53" s="49" t="s">
        <v>77</v>
      </c>
      <c r="M53" s="47">
        <f t="shared" si="3"/>
        <v>3.2000000000000028</v>
      </c>
    </row>
    <row r="54" spans="1:13" x14ac:dyDescent="0.3">
      <c r="A54" s="1" t="s">
        <v>56</v>
      </c>
      <c r="B54" s="1" t="s">
        <v>47</v>
      </c>
      <c r="C54" s="1">
        <v>32</v>
      </c>
      <c r="D54" s="1" t="s">
        <v>34</v>
      </c>
      <c r="E54" s="1">
        <v>1</v>
      </c>
      <c r="F54" s="1" t="s">
        <v>75</v>
      </c>
      <c r="G54">
        <v>18</v>
      </c>
      <c r="H54" s="1">
        <v>20</v>
      </c>
      <c r="I54" s="41">
        <v>124.48</v>
      </c>
      <c r="J54" s="38">
        <v>124.5</v>
      </c>
      <c r="K54" t="s">
        <v>114</v>
      </c>
      <c r="L54" s="39" t="s">
        <v>77</v>
      </c>
      <c r="M54" s="41">
        <f t="shared" si="3"/>
        <v>2.7999999999999972</v>
      </c>
    </row>
    <row r="55" spans="1:13" x14ac:dyDescent="0.3">
      <c r="A55" s="45" t="s">
        <v>56</v>
      </c>
      <c r="B55" s="45" t="s">
        <v>47</v>
      </c>
      <c r="C55" s="45">
        <v>33</v>
      </c>
      <c r="D55" s="45" t="s">
        <v>34</v>
      </c>
      <c r="E55" s="45">
        <v>2</v>
      </c>
      <c r="F55" s="45" t="s">
        <v>75</v>
      </c>
      <c r="G55" s="46">
        <v>8</v>
      </c>
      <c r="H55" s="45">
        <v>10</v>
      </c>
      <c r="I55" s="50">
        <v>127.38</v>
      </c>
      <c r="J55" s="51">
        <v>127.4</v>
      </c>
      <c r="K55" s="46" t="s">
        <v>115</v>
      </c>
      <c r="L55" s="49" t="s">
        <v>82</v>
      </c>
      <c r="M55" s="47">
        <f t="shared" si="3"/>
        <v>2.8999999999999915</v>
      </c>
    </row>
    <row r="56" spans="1:13" x14ac:dyDescent="0.3">
      <c r="A56" s="45" t="s">
        <v>56</v>
      </c>
      <c r="B56" s="45" t="s">
        <v>47</v>
      </c>
      <c r="C56" s="45">
        <v>34</v>
      </c>
      <c r="D56" s="45" t="s">
        <v>34</v>
      </c>
      <c r="E56" s="45">
        <v>1</v>
      </c>
      <c r="F56" s="45" t="s">
        <v>75</v>
      </c>
      <c r="G56" s="46">
        <v>18</v>
      </c>
      <c r="H56" s="45">
        <v>20</v>
      </c>
      <c r="I56" s="50">
        <v>121.7</v>
      </c>
      <c r="J56" s="51">
        <v>121.72</v>
      </c>
      <c r="K56" s="46" t="s">
        <v>116</v>
      </c>
      <c r="L56" s="49" t="s">
        <v>77</v>
      </c>
      <c r="M56" s="47">
        <f t="shared" si="3"/>
        <v>-5.6799999999999926</v>
      </c>
    </row>
    <row r="57" spans="1:13" x14ac:dyDescent="0.3">
      <c r="A57" s="45" t="s">
        <v>56</v>
      </c>
      <c r="B57" s="45" t="s">
        <v>47</v>
      </c>
      <c r="C57" s="45">
        <v>35</v>
      </c>
      <c r="D57" s="45" t="s">
        <v>34</v>
      </c>
      <c r="E57" s="45">
        <v>2</v>
      </c>
      <c r="F57" s="45" t="s">
        <v>75</v>
      </c>
      <c r="G57" s="46">
        <v>18</v>
      </c>
      <c r="H57" s="45">
        <v>20</v>
      </c>
      <c r="I57" s="50">
        <v>124.2</v>
      </c>
      <c r="J57" s="51">
        <v>124.22</v>
      </c>
      <c r="K57" s="46" t="s">
        <v>116</v>
      </c>
      <c r="L57" s="49" t="s">
        <v>77</v>
      </c>
      <c r="M57" s="47">
        <f t="shared" si="3"/>
        <v>2.5</v>
      </c>
    </row>
    <row r="58" spans="1:13" x14ac:dyDescent="0.3">
      <c r="A58" s="45" t="s">
        <v>56</v>
      </c>
      <c r="B58" s="45" t="s">
        <v>47</v>
      </c>
      <c r="C58" s="45">
        <v>36</v>
      </c>
      <c r="D58" s="45" t="s">
        <v>34</v>
      </c>
      <c r="E58" s="45">
        <v>2</v>
      </c>
      <c r="F58" s="45" t="s">
        <v>75</v>
      </c>
      <c r="G58" s="46">
        <v>18</v>
      </c>
      <c r="H58" s="45">
        <v>20</v>
      </c>
      <c r="I58" s="50">
        <v>126.75</v>
      </c>
      <c r="J58" s="51">
        <v>126.77</v>
      </c>
      <c r="K58" s="46" t="s">
        <v>116</v>
      </c>
      <c r="L58" s="49" t="s">
        <v>77</v>
      </c>
      <c r="M58" s="47">
        <f t="shared" si="3"/>
        <v>2.5499999999999972</v>
      </c>
    </row>
    <row r="59" spans="1:13" x14ac:dyDescent="0.3">
      <c r="A59" s="45" t="s">
        <v>56</v>
      </c>
      <c r="B59" s="45" t="s">
        <v>47</v>
      </c>
      <c r="C59" s="45">
        <v>37</v>
      </c>
      <c r="D59" s="45" t="s">
        <v>34</v>
      </c>
      <c r="E59" s="45">
        <v>1</v>
      </c>
      <c r="F59" s="45" t="s">
        <v>75</v>
      </c>
      <c r="G59" s="46">
        <v>18</v>
      </c>
      <c r="H59" s="45">
        <v>20</v>
      </c>
      <c r="I59" s="50">
        <v>127.82</v>
      </c>
      <c r="J59" s="51">
        <v>127.84</v>
      </c>
      <c r="K59" s="46" t="s">
        <v>116</v>
      </c>
      <c r="L59" s="49" t="s">
        <v>77</v>
      </c>
      <c r="M59" s="47">
        <f t="shared" si="3"/>
        <v>1.0699999999999932</v>
      </c>
    </row>
    <row r="60" spans="1:13" x14ac:dyDescent="0.3">
      <c r="A60" s="1" t="s">
        <v>56</v>
      </c>
      <c r="B60" s="1" t="s">
        <v>47</v>
      </c>
      <c r="C60" s="1">
        <v>38</v>
      </c>
      <c r="D60" s="1" t="s">
        <v>34</v>
      </c>
      <c r="E60" s="1">
        <v>1</v>
      </c>
      <c r="F60" s="1" t="s">
        <v>75</v>
      </c>
      <c r="G60">
        <v>18</v>
      </c>
      <c r="H60" s="1">
        <v>20</v>
      </c>
      <c r="I60" s="41">
        <v>129.57</v>
      </c>
      <c r="J60" s="38">
        <v>129.59</v>
      </c>
      <c r="K60" t="s">
        <v>117</v>
      </c>
      <c r="L60" s="39" t="s">
        <v>77</v>
      </c>
      <c r="M60" s="41">
        <f t="shared" si="3"/>
        <v>1.75</v>
      </c>
    </row>
    <row r="61" spans="1:13" x14ac:dyDescent="0.3">
      <c r="A61" s="45" t="s">
        <v>56</v>
      </c>
      <c r="B61" s="45" t="s">
        <v>47</v>
      </c>
      <c r="C61" s="45">
        <v>39</v>
      </c>
      <c r="D61" s="45" t="s">
        <v>34</v>
      </c>
      <c r="E61" s="45">
        <v>1</v>
      </c>
      <c r="F61" s="45" t="s">
        <v>75</v>
      </c>
      <c r="G61" s="46">
        <v>18</v>
      </c>
      <c r="H61" s="45">
        <v>20</v>
      </c>
      <c r="I61" s="47">
        <v>131.85</v>
      </c>
      <c r="J61" s="48">
        <v>131.87</v>
      </c>
      <c r="K61" s="46" t="s">
        <v>116</v>
      </c>
      <c r="L61" s="49" t="s">
        <v>77</v>
      </c>
      <c r="M61" s="47">
        <f t="shared" si="3"/>
        <v>2.2800000000000011</v>
      </c>
    </row>
    <row r="62" spans="1:13" x14ac:dyDescent="0.3">
      <c r="A62" s="45" t="s">
        <v>56</v>
      </c>
      <c r="B62" s="45" t="s">
        <v>47</v>
      </c>
      <c r="C62" s="45">
        <v>40</v>
      </c>
      <c r="D62" s="45" t="s">
        <v>34</v>
      </c>
      <c r="E62" s="45">
        <v>1</v>
      </c>
      <c r="F62" s="45" t="s">
        <v>75</v>
      </c>
      <c r="G62" s="46">
        <v>18</v>
      </c>
      <c r="H62" s="45">
        <v>20</v>
      </c>
      <c r="I62" s="47">
        <v>134.9</v>
      </c>
      <c r="J62" s="48">
        <v>134.91999999999999</v>
      </c>
      <c r="K62" s="46" t="s">
        <v>116</v>
      </c>
      <c r="L62" s="49" t="s">
        <v>77</v>
      </c>
      <c r="M62" s="47">
        <f t="shared" si="3"/>
        <v>3.0500000000000114</v>
      </c>
    </row>
    <row r="63" spans="1:13" x14ac:dyDescent="0.3">
      <c r="A63" s="1" t="s">
        <v>56</v>
      </c>
      <c r="B63" s="1" t="s">
        <v>47</v>
      </c>
      <c r="C63" s="1">
        <v>41</v>
      </c>
      <c r="D63" s="1" t="s">
        <v>34</v>
      </c>
      <c r="E63" s="1">
        <v>1</v>
      </c>
      <c r="F63" s="1" t="s">
        <v>75</v>
      </c>
      <c r="G63">
        <v>38</v>
      </c>
      <c r="H63" s="1">
        <v>40</v>
      </c>
      <c r="I63">
        <f>VLOOKUP(C63,[1]M0111B!$A$1:$AH$173,24,TRUE)+(G63/100)</f>
        <v>138.15</v>
      </c>
      <c r="J63">
        <f>I63+0.02</f>
        <v>138.17000000000002</v>
      </c>
      <c r="K63" t="s">
        <v>83</v>
      </c>
      <c r="L63" s="39" t="s">
        <v>77</v>
      </c>
      <c r="M63" s="41">
        <f t="shared" si="3"/>
        <v>3.25</v>
      </c>
    </row>
    <row r="64" spans="1:13" x14ac:dyDescent="0.3">
      <c r="A64" s="1" t="s">
        <v>56</v>
      </c>
      <c r="B64" s="1" t="s">
        <v>47</v>
      </c>
      <c r="C64" s="1">
        <v>42</v>
      </c>
      <c r="D64" s="1" t="s">
        <v>34</v>
      </c>
      <c r="E64" s="1">
        <v>1</v>
      </c>
      <c r="F64" s="1" t="s">
        <v>75</v>
      </c>
      <c r="G64">
        <v>38</v>
      </c>
      <c r="H64" s="1">
        <v>40</v>
      </c>
      <c r="I64">
        <f>VLOOKUP(C64,[1]M0111B!$A$1:$AH$173,24,TRUE)+(G64/100)</f>
        <v>141.19999999999999</v>
      </c>
      <c r="J64">
        <f t="shared" ref="J64:J127" si="4">I64+0.02</f>
        <v>141.22</v>
      </c>
      <c r="K64" t="s">
        <v>83</v>
      </c>
      <c r="L64" s="39" t="s">
        <v>77</v>
      </c>
      <c r="M64" s="41">
        <f t="shared" si="3"/>
        <v>3.0499999999999829</v>
      </c>
    </row>
    <row r="65" spans="1:13" x14ac:dyDescent="0.3">
      <c r="A65" s="1" t="s">
        <v>56</v>
      </c>
      <c r="B65" s="1" t="s">
        <v>47</v>
      </c>
      <c r="C65" s="1">
        <v>43</v>
      </c>
      <c r="D65" s="1" t="s">
        <v>34</v>
      </c>
      <c r="E65" s="1">
        <v>1</v>
      </c>
      <c r="F65" s="1" t="s">
        <v>75</v>
      </c>
      <c r="G65">
        <v>38</v>
      </c>
      <c r="H65" s="1">
        <v>40</v>
      </c>
      <c r="I65">
        <f>VLOOKUP(C65,[1]M0111B!$A$1:$AH$173,24,TRUE)+(G65/100)</f>
        <v>144.25</v>
      </c>
      <c r="J65">
        <f t="shared" si="4"/>
        <v>144.27000000000001</v>
      </c>
      <c r="K65" t="s">
        <v>118</v>
      </c>
      <c r="L65" s="39" t="s">
        <v>77</v>
      </c>
      <c r="M65" s="41">
        <f t="shared" si="3"/>
        <v>3.0500000000000114</v>
      </c>
    </row>
    <row r="66" spans="1:13" x14ac:dyDescent="0.3">
      <c r="A66" s="45" t="s">
        <v>56</v>
      </c>
      <c r="B66" s="45" t="s">
        <v>47</v>
      </c>
      <c r="C66" s="45">
        <v>44</v>
      </c>
      <c r="D66" s="45" t="s">
        <v>34</v>
      </c>
      <c r="E66" s="45">
        <v>1</v>
      </c>
      <c r="F66" s="45" t="s">
        <v>75</v>
      </c>
      <c r="G66" s="46">
        <v>38</v>
      </c>
      <c r="H66" s="45">
        <v>40</v>
      </c>
      <c r="I66" s="46">
        <f>VLOOKUP(C66,[1]M0111B!$A$1:$AH$173,24,TRUE)+(G66/100)</f>
        <v>146.49</v>
      </c>
      <c r="J66" s="46">
        <f t="shared" si="4"/>
        <v>146.51000000000002</v>
      </c>
      <c r="K66" s="46" t="s">
        <v>119</v>
      </c>
      <c r="L66" s="49" t="s">
        <v>77</v>
      </c>
      <c r="M66" s="47">
        <f t="shared" si="3"/>
        <v>2.2400000000000091</v>
      </c>
    </row>
    <row r="67" spans="1:13" x14ac:dyDescent="0.3">
      <c r="A67" s="1" t="s">
        <v>56</v>
      </c>
      <c r="B67" s="1" t="s">
        <v>47</v>
      </c>
      <c r="C67" s="1">
        <v>45</v>
      </c>
      <c r="D67" s="1" t="s">
        <v>34</v>
      </c>
      <c r="E67" s="1">
        <v>1</v>
      </c>
      <c r="F67" s="1" t="s">
        <v>75</v>
      </c>
      <c r="G67">
        <v>28</v>
      </c>
      <c r="H67" s="1">
        <v>30</v>
      </c>
      <c r="I67">
        <f>VLOOKUP(C67,[1]M0111B!$A$1:$AH$173,24,TRUE)+(G67/100)</f>
        <v>149.44</v>
      </c>
      <c r="J67">
        <f t="shared" si="4"/>
        <v>149.46</v>
      </c>
      <c r="K67" t="s">
        <v>120</v>
      </c>
      <c r="L67" s="39" t="s">
        <v>77</v>
      </c>
      <c r="M67" s="41">
        <f t="shared" si="3"/>
        <v>2.9499999999999886</v>
      </c>
    </row>
    <row r="68" spans="1:13" x14ac:dyDescent="0.3">
      <c r="A68" s="1" t="s">
        <v>56</v>
      </c>
      <c r="B68" s="1" t="s">
        <v>47</v>
      </c>
      <c r="C68" s="1">
        <v>46</v>
      </c>
      <c r="D68" s="1" t="s">
        <v>34</v>
      </c>
      <c r="E68" s="1">
        <v>1</v>
      </c>
      <c r="F68" s="1" t="s">
        <v>75</v>
      </c>
      <c r="G68">
        <v>38</v>
      </c>
      <c r="H68" s="1">
        <v>40</v>
      </c>
      <c r="I68">
        <f>VLOOKUP(C68,[1]M0111B!$A$1:$AH$173,24,TRUE)+(G68/100)</f>
        <v>149.91999999999999</v>
      </c>
      <c r="J68">
        <f t="shared" si="4"/>
        <v>149.94</v>
      </c>
      <c r="K68" t="s">
        <v>118</v>
      </c>
      <c r="L68" s="39" t="s">
        <v>77</v>
      </c>
      <c r="M68" s="41">
        <f t="shared" si="3"/>
        <v>0.47999999999998977</v>
      </c>
    </row>
    <row r="69" spans="1:13" x14ac:dyDescent="0.3">
      <c r="A69" s="1" t="s">
        <v>56</v>
      </c>
      <c r="B69" s="1" t="s">
        <v>47</v>
      </c>
      <c r="C69" s="1">
        <v>47</v>
      </c>
      <c r="D69" s="1" t="s">
        <v>34</v>
      </c>
      <c r="E69" s="1">
        <v>1</v>
      </c>
      <c r="F69" s="1" t="s">
        <v>75</v>
      </c>
      <c r="G69">
        <v>38</v>
      </c>
      <c r="H69" s="1">
        <v>40</v>
      </c>
      <c r="I69">
        <f>VLOOKUP(C69,[1]M0111B!$A$1:$AH$173,24,TRUE)+(G69/100)</f>
        <v>152.59</v>
      </c>
      <c r="J69">
        <f t="shared" si="4"/>
        <v>152.61000000000001</v>
      </c>
      <c r="K69" t="s">
        <v>121</v>
      </c>
      <c r="L69" s="39" t="s">
        <v>77</v>
      </c>
      <c r="M69" s="41">
        <f t="shared" si="3"/>
        <v>2.6700000000000159</v>
      </c>
    </row>
    <row r="70" spans="1:13" x14ac:dyDescent="0.3">
      <c r="A70" s="1" t="s">
        <v>56</v>
      </c>
      <c r="B70" s="1" t="s">
        <v>47</v>
      </c>
      <c r="C70" s="1">
        <v>48</v>
      </c>
      <c r="D70" s="1" t="s">
        <v>34</v>
      </c>
      <c r="E70" s="1">
        <v>1</v>
      </c>
      <c r="F70" s="1" t="s">
        <v>75</v>
      </c>
      <c r="G70">
        <v>38</v>
      </c>
      <c r="H70" s="1">
        <v>40</v>
      </c>
      <c r="I70">
        <f>VLOOKUP(C70,[1]M0111B!$A$1:$AH$173,24,TRUE)+(G70/100)</f>
        <v>155.63999999999999</v>
      </c>
      <c r="J70">
        <f t="shared" si="4"/>
        <v>155.66</v>
      </c>
      <c r="K70" t="s">
        <v>121</v>
      </c>
      <c r="L70" s="39" t="s">
        <v>77</v>
      </c>
      <c r="M70" s="41">
        <f t="shared" si="3"/>
        <v>3.0499999999999829</v>
      </c>
    </row>
    <row r="71" spans="1:13" x14ac:dyDescent="0.3">
      <c r="A71" s="1" t="s">
        <v>56</v>
      </c>
      <c r="B71" s="1" t="s">
        <v>47</v>
      </c>
      <c r="C71" s="1">
        <v>49</v>
      </c>
      <c r="D71" s="1" t="s">
        <v>34</v>
      </c>
      <c r="E71" s="1">
        <v>1</v>
      </c>
      <c r="F71" s="1" t="s">
        <v>75</v>
      </c>
      <c r="G71">
        <v>8</v>
      </c>
      <c r="H71" s="1">
        <v>10</v>
      </c>
      <c r="I71">
        <f>VLOOKUP(C71,[1]M0111B!$A$1:$AH$173,24,TRUE)+(G71/100)</f>
        <v>158.39000000000001</v>
      </c>
      <c r="J71">
        <f t="shared" si="4"/>
        <v>158.41000000000003</v>
      </c>
      <c r="K71" t="s">
        <v>118</v>
      </c>
      <c r="L71" s="39" t="s">
        <v>77</v>
      </c>
      <c r="M71" s="41">
        <f t="shared" si="3"/>
        <v>2.7500000000000284</v>
      </c>
    </row>
    <row r="72" spans="1:13" x14ac:dyDescent="0.3">
      <c r="A72" s="1" t="s">
        <v>56</v>
      </c>
      <c r="B72" s="1" t="s">
        <v>47</v>
      </c>
      <c r="C72" s="1">
        <v>51</v>
      </c>
      <c r="D72" s="1" t="s">
        <v>34</v>
      </c>
      <c r="E72" s="1">
        <v>1</v>
      </c>
      <c r="F72" s="1" t="s">
        <v>75</v>
      </c>
      <c r="G72">
        <v>48</v>
      </c>
      <c r="H72" s="1">
        <v>50</v>
      </c>
      <c r="I72">
        <f>VLOOKUP(C72,[1]M0111B!$A$1:$AH$173,24,TRUE)+(G72/100)</f>
        <v>161.84</v>
      </c>
      <c r="J72">
        <f t="shared" si="4"/>
        <v>161.86000000000001</v>
      </c>
      <c r="K72" t="s">
        <v>122</v>
      </c>
      <c r="L72" s="39" t="s">
        <v>77</v>
      </c>
      <c r="M72" s="41">
        <f t="shared" si="3"/>
        <v>3.4499999999999886</v>
      </c>
    </row>
    <row r="73" spans="1:13" x14ac:dyDescent="0.3">
      <c r="A73" s="1" t="s">
        <v>56</v>
      </c>
      <c r="B73" s="1" t="s">
        <v>47</v>
      </c>
      <c r="C73" s="1">
        <v>52</v>
      </c>
      <c r="D73" s="1" t="s">
        <v>34</v>
      </c>
      <c r="E73" s="1">
        <v>1</v>
      </c>
      <c r="F73" s="1" t="s">
        <v>75</v>
      </c>
      <c r="G73">
        <v>18</v>
      </c>
      <c r="H73" s="1">
        <v>20</v>
      </c>
      <c r="I73">
        <f>VLOOKUP(C73,[1]M0111B!$A$1:$AH$173,24,TRUE)+(G73/100)</f>
        <v>162.24</v>
      </c>
      <c r="J73">
        <f t="shared" si="4"/>
        <v>162.26000000000002</v>
      </c>
      <c r="K73" t="s">
        <v>122</v>
      </c>
      <c r="L73" s="39" t="s">
        <v>77</v>
      </c>
      <c r="M73" s="41">
        <f t="shared" si="3"/>
        <v>0.40000000000000568</v>
      </c>
    </row>
    <row r="74" spans="1:13" x14ac:dyDescent="0.3">
      <c r="A74" s="1" t="s">
        <v>56</v>
      </c>
      <c r="B74" s="1" t="s">
        <v>47</v>
      </c>
      <c r="C74" s="1">
        <v>53</v>
      </c>
      <c r="D74" s="1" t="s">
        <v>34</v>
      </c>
      <c r="E74" s="1">
        <v>1</v>
      </c>
      <c r="F74" s="1" t="s">
        <v>75</v>
      </c>
      <c r="G74">
        <v>18</v>
      </c>
      <c r="H74" s="1">
        <v>20</v>
      </c>
      <c r="I74">
        <f>VLOOKUP(C74,[1]M0111B!$A$1:$AH$173,24,TRUE)+(G74/100)</f>
        <v>164.02</v>
      </c>
      <c r="J74">
        <f t="shared" si="4"/>
        <v>164.04000000000002</v>
      </c>
      <c r="K74" t="s">
        <v>122</v>
      </c>
      <c r="L74" s="39" t="s">
        <v>77</v>
      </c>
      <c r="M74" s="41">
        <f t="shared" si="3"/>
        <v>1.7800000000000011</v>
      </c>
    </row>
    <row r="75" spans="1:13" x14ac:dyDescent="0.3">
      <c r="A75" s="1" t="s">
        <v>56</v>
      </c>
      <c r="B75" s="1" t="s">
        <v>47</v>
      </c>
      <c r="C75" s="1">
        <v>54</v>
      </c>
      <c r="D75" s="1" t="s">
        <v>34</v>
      </c>
      <c r="E75" s="1">
        <v>1</v>
      </c>
      <c r="F75" s="1" t="s">
        <v>75</v>
      </c>
      <c r="G75">
        <v>28</v>
      </c>
      <c r="H75" s="1">
        <v>30</v>
      </c>
      <c r="I75">
        <f>VLOOKUP(C75,[1]M0111B!$A$1:$AH$173,24,TRUE)+(G75/100)</f>
        <v>165.74</v>
      </c>
      <c r="J75">
        <f t="shared" si="4"/>
        <v>165.76000000000002</v>
      </c>
      <c r="K75" t="s">
        <v>123</v>
      </c>
      <c r="L75" s="39" t="s">
        <v>82</v>
      </c>
      <c r="M75" s="41">
        <f t="shared" si="3"/>
        <v>1.7199999999999989</v>
      </c>
    </row>
    <row r="76" spans="1:13" x14ac:dyDescent="0.3">
      <c r="A76" s="1" t="s">
        <v>56</v>
      </c>
      <c r="B76" s="1" t="s">
        <v>47</v>
      </c>
      <c r="C76" s="1">
        <v>55</v>
      </c>
      <c r="D76" s="1" t="s">
        <v>34</v>
      </c>
      <c r="E76" s="1">
        <v>1</v>
      </c>
      <c r="F76" s="1" t="s">
        <v>75</v>
      </c>
      <c r="G76">
        <v>28</v>
      </c>
      <c r="H76" s="1">
        <v>30</v>
      </c>
      <c r="I76">
        <f>VLOOKUP(C76,[1]M0111B!$A$1:$AH$173,24,TRUE)+(G76/100)</f>
        <v>166.09</v>
      </c>
      <c r="J76">
        <f t="shared" si="4"/>
        <v>166.11</v>
      </c>
      <c r="K76" t="s">
        <v>122</v>
      </c>
      <c r="L76" s="39" t="s">
        <v>77</v>
      </c>
      <c r="M76" s="41">
        <f t="shared" si="3"/>
        <v>0.34999999999999432</v>
      </c>
    </row>
    <row r="77" spans="1:13" x14ac:dyDescent="0.3">
      <c r="A77" s="1" t="s">
        <v>56</v>
      </c>
      <c r="B77" s="1" t="s">
        <v>47</v>
      </c>
      <c r="C77" s="1">
        <v>56</v>
      </c>
      <c r="D77" s="1" t="s">
        <v>34</v>
      </c>
      <c r="E77" s="1">
        <v>1</v>
      </c>
      <c r="F77" s="1" t="s">
        <v>75</v>
      </c>
      <c r="G77">
        <v>38</v>
      </c>
      <c r="H77" s="1">
        <v>40</v>
      </c>
      <c r="I77">
        <f>VLOOKUP(C77,[1]M0111B!$A$1:$AH$173,24,TRUE)+(G77/100)</f>
        <v>166.59</v>
      </c>
      <c r="J77">
        <f t="shared" si="4"/>
        <v>166.61</v>
      </c>
      <c r="K77" t="s">
        <v>122</v>
      </c>
      <c r="L77" s="39" t="s">
        <v>77</v>
      </c>
      <c r="M77" s="41">
        <f t="shared" si="3"/>
        <v>0.5</v>
      </c>
    </row>
    <row r="78" spans="1:13" x14ac:dyDescent="0.3">
      <c r="A78" s="1" t="s">
        <v>56</v>
      </c>
      <c r="B78" s="1" t="s">
        <v>47</v>
      </c>
      <c r="C78" s="1">
        <v>57</v>
      </c>
      <c r="D78" s="1" t="s">
        <v>34</v>
      </c>
      <c r="E78" s="1">
        <v>1</v>
      </c>
      <c r="F78" s="1" t="s">
        <v>75</v>
      </c>
      <c r="G78">
        <v>38</v>
      </c>
      <c r="H78" s="1">
        <v>40</v>
      </c>
      <c r="I78">
        <f>VLOOKUP(C78,[1]M0111B!$A$1:$AH$173,24,TRUE)+(G78/100)</f>
        <v>167.84</v>
      </c>
      <c r="J78">
        <f t="shared" si="4"/>
        <v>167.86</v>
      </c>
      <c r="K78" t="s">
        <v>122</v>
      </c>
      <c r="L78" s="39" t="s">
        <v>77</v>
      </c>
      <c r="M78" s="41">
        <f t="shared" si="3"/>
        <v>1.25</v>
      </c>
    </row>
    <row r="79" spans="1:13" x14ac:dyDescent="0.3">
      <c r="A79" s="1" t="s">
        <v>56</v>
      </c>
      <c r="B79" s="1" t="s">
        <v>47</v>
      </c>
      <c r="C79" s="1">
        <v>58</v>
      </c>
      <c r="D79" s="1" t="s">
        <v>34</v>
      </c>
      <c r="E79" s="1">
        <v>1</v>
      </c>
      <c r="F79" s="1" t="s">
        <v>75</v>
      </c>
      <c r="G79">
        <v>38</v>
      </c>
      <c r="H79" s="1">
        <v>40</v>
      </c>
      <c r="I79">
        <f>VLOOKUP(C79,[1]M0111B!$A$1:$AH$173,24,TRUE)+(G79/100)</f>
        <v>168.89</v>
      </c>
      <c r="J79">
        <f t="shared" si="4"/>
        <v>168.91</v>
      </c>
      <c r="K79" t="s">
        <v>124</v>
      </c>
      <c r="L79" s="39" t="s">
        <v>77</v>
      </c>
      <c r="M79" s="41">
        <f t="shared" si="3"/>
        <v>1.0499999999999829</v>
      </c>
    </row>
    <row r="80" spans="1:13" x14ac:dyDescent="0.3">
      <c r="A80" s="1" t="s">
        <v>56</v>
      </c>
      <c r="B80" s="1" t="s">
        <v>47</v>
      </c>
      <c r="C80" s="1">
        <v>59</v>
      </c>
      <c r="D80" s="1" t="s">
        <v>34</v>
      </c>
      <c r="E80" s="1">
        <v>1</v>
      </c>
      <c r="F80" s="1" t="s">
        <v>75</v>
      </c>
      <c r="G80">
        <v>38</v>
      </c>
      <c r="H80" s="1">
        <v>40</v>
      </c>
      <c r="I80">
        <f>VLOOKUP(C80,[1]M0111B!$A$1:$AH$173,24,TRUE)+(G80/100)</f>
        <v>169.89</v>
      </c>
      <c r="J80">
        <f t="shared" si="4"/>
        <v>169.91</v>
      </c>
      <c r="K80" t="s">
        <v>124</v>
      </c>
      <c r="L80" s="39" t="s">
        <v>77</v>
      </c>
      <c r="M80" s="41">
        <f t="shared" si="3"/>
        <v>1</v>
      </c>
    </row>
    <row r="81" spans="1:13" x14ac:dyDescent="0.3">
      <c r="A81" s="1" t="s">
        <v>56</v>
      </c>
      <c r="B81" s="1" t="s">
        <v>47</v>
      </c>
      <c r="C81" s="1">
        <v>60</v>
      </c>
      <c r="D81" s="1" t="s">
        <v>34</v>
      </c>
      <c r="E81" s="1">
        <v>1</v>
      </c>
      <c r="F81" s="1" t="s">
        <v>75</v>
      </c>
      <c r="G81">
        <v>38</v>
      </c>
      <c r="H81" s="1">
        <v>40</v>
      </c>
      <c r="I81">
        <f>VLOOKUP(C81,[1]M0111B!$A$1:$AH$173,24,TRUE)+(G81/100)</f>
        <v>172.94</v>
      </c>
      <c r="J81">
        <f t="shared" si="4"/>
        <v>172.96</v>
      </c>
      <c r="K81" t="s">
        <v>124</v>
      </c>
      <c r="L81" s="39" t="s">
        <v>77</v>
      </c>
      <c r="M81" s="41">
        <f t="shared" si="3"/>
        <v>3.0500000000000114</v>
      </c>
    </row>
    <row r="82" spans="1:13" x14ac:dyDescent="0.3">
      <c r="A82" s="45" t="s">
        <v>56</v>
      </c>
      <c r="B82" s="45" t="s">
        <v>47</v>
      </c>
      <c r="C82" s="45">
        <v>61</v>
      </c>
      <c r="D82" s="45" t="s">
        <v>34</v>
      </c>
      <c r="E82" s="45">
        <v>1</v>
      </c>
      <c r="F82" s="45" t="s">
        <v>75</v>
      </c>
      <c r="G82" s="46">
        <v>38</v>
      </c>
      <c r="H82" s="45">
        <v>40</v>
      </c>
      <c r="I82" s="46">
        <f>VLOOKUP(C82,[1]M0111B!$A$1:$AH$173,24,TRUE)+(G82/100)</f>
        <v>175.99</v>
      </c>
      <c r="J82" s="46">
        <f t="shared" si="4"/>
        <v>176.01000000000002</v>
      </c>
      <c r="K82" s="46" t="s">
        <v>125</v>
      </c>
      <c r="L82" s="49" t="s">
        <v>77</v>
      </c>
      <c r="M82" s="47">
        <f t="shared" si="3"/>
        <v>3.0500000000000114</v>
      </c>
    </row>
    <row r="83" spans="1:13" x14ac:dyDescent="0.3">
      <c r="A83" s="45" t="s">
        <v>56</v>
      </c>
      <c r="B83" s="45" t="s">
        <v>47</v>
      </c>
      <c r="C83" s="45">
        <v>62</v>
      </c>
      <c r="D83" s="45" t="s">
        <v>34</v>
      </c>
      <c r="E83" s="45">
        <v>1</v>
      </c>
      <c r="F83" s="45" t="s">
        <v>75</v>
      </c>
      <c r="G83" s="46">
        <v>38</v>
      </c>
      <c r="H83" s="45">
        <v>40</v>
      </c>
      <c r="I83" s="46">
        <f>VLOOKUP(C83,[1]M0111B!$A$1:$AH$173,24,TRUE)+(G83/100)</f>
        <v>179.04</v>
      </c>
      <c r="J83" s="46">
        <f t="shared" si="4"/>
        <v>179.06</v>
      </c>
      <c r="K83" s="46" t="s">
        <v>125</v>
      </c>
      <c r="L83" s="49" t="s">
        <v>77</v>
      </c>
      <c r="M83" s="47">
        <f t="shared" si="3"/>
        <v>3.0499999999999829</v>
      </c>
    </row>
    <row r="84" spans="1:13" x14ac:dyDescent="0.3">
      <c r="A84" s="45" t="s">
        <v>56</v>
      </c>
      <c r="B84" s="45" t="s">
        <v>47</v>
      </c>
      <c r="C84" s="45">
        <v>63</v>
      </c>
      <c r="D84" s="45" t="s">
        <v>34</v>
      </c>
      <c r="E84" s="45">
        <v>1</v>
      </c>
      <c r="F84" s="45" t="s">
        <v>75</v>
      </c>
      <c r="G84" s="46">
        <v>38</v>
      </c>
      <c r="H84" s="45">
        <v>40</v>
      </c>
      <c r="I84" s="46">
        <f>VLOOKUP(C84,[1]M0111B!$A$1:$AH$173,24,TRUE)+(G84/100)</f>
        <v>182.09</v>
      </c>
      <c r="J84" s="46">
        <f t="shared" si="4"/>
        <v>182.11</v>
      </c>
      <c r="K84" s="46" t="s">
        <v>125</v>
      </c>
      <c r="L84" s="49" t="s">
        <v>77</v>
      </c>
      <c r="M84" s="47">
        <f t="shared" si="3"/>
        <v>3.0500000000000114</v>
      </c>
    </row>
    <row r="85" spans="1:13" x14ac:dyDescent="0.3">
      <c r="A85" s="45" t="s">
        <v>56</v>
      </c>
      <c r="B85" s="45" t="s">
        <v>47</v>
      </c>
      <c r="C85" s="45">
        <v>64</v>
      </c>
      <c r="D85" s="45" t="s">
        <v>34</v>
      </c>
      <c r="E85" s="45">
        <v>1</v>
      </c>
      <c r="F85" s="45" t="s">
        <v>75</v>
      </c>
      <c r="G85" s="46">
        <v>38</v>
      </c>
      <c r="H85" s="45">
        <v>40</v>
      </c>
      <c r="I85" s="46">
        <f>VLOOKUP(C85,[1]M0111B!$A$1:$AH$173,24,TRUE)+(G85/100)</f>
        <v>185.14</v>
      </c>
      <c r="J85" s="46">
        <f t="shared" si="4"/>
        <v>185.16</v>
      </c>
      <c r="K85" s="46" t="s">
        <v>125</v>
      </c>
      <c r="L85" s="49" t="s">
        <v>77</v>
      </c>
      <c r="M85" s="47">
        <f t="shared" si="3"/>
        <v>3.0499999999999829</v>
      </c>
    </row>
    <row r="86" spans="1:13" x14ac:dyDescent="0.3">
      <c r="A86" s="45" t="s">
        <v>56</v>
      </c>
      <c r="B86" s="45" t="s">
        <v>47</v>
      </c>
      <c r="C86" s="45">
        <v>65</v>
      </c>
      <c r="D86" s="45" t="s">
        <v>34</v>
      </c>
      <c r="E86" s="45">
        <v>1</v>
      </c>
      <c r="F86" s="45" t="s">
        <v>75</v>
      </c>
      <c r="G86" s="46">
        <v>38</v>
      </c>
      <c r="H86" s="45">
        <v>40</v>
      </c>
      <c r="I86" s="46">
        <f>VLOOKUP(C86,[1]M0111B!$A$1:$AH$173,24,TRUE)+(G86/100)</f>
        <v>188.19</v>
      </c>
      <c r="J86" s="46">
        <f t="shared" si="4"/>
        <v>188.21</v>
      </c>
      <c r="K86" s="46" t="s">
        <v>113</v>
      </c>
      <c r="L86" s="49" t="s">
        <v>77</v>
      </c>
      <c r="M86" s="47">
        <f t="shared" si="3"/>
        <v>3.0500000000000114</v>
      </c>
    </row>
    <row r="87" spans="1:13" x14ac:dyDescent="0.3">
      <c r="A87" s="45" t="s">
        <v>56</v>
      </c>
      <c r="B87" s="45" t="s">
        <v>47</v>
      </c>
      <c r="C87" s="45">
        <v>66</v>
      </c>
      <c r="D87" s="45" t="s">
        <v>34</v>
      </c>
      <c r="E87" s="45">
        <v>1</v>
      </c>
      <c r="F87" s="45" t="s">
        <v>75</v>
      </c>
      <c r="G87" s="46">
        <v>38</v>
      </c>
      <c r="H87" s="45">
        <v>40</v>
      </c>
      <c r="I87" s="46">
        <f>VLOOKUP(C87,[1]M0111B!$A$1:$AH$173,24,TRUE)+(G87/100)</f>
        <v>191.24</v>
      </c>
      <c r="J87" s="46">
        <f t="shared" si="4"/>
        <v>191.26000000000002</v>
      </c>
      <c r="K87" s="46" t="s">
        <v>126</v>
      </c>
      <c r="L87" s="49" t="s">
        <v>77</v>
      </c>
      <c r="M87" s="47">
        <f t="shared" si="3"/>
        <v>3.0500000000000114</v>
      </c>
    </row>
    <row r="88" spans="1:13" x14ac:dyDescent="0.3">
      <c r="A88" s="45" t="s">
        <v>56</v>
      </c>
      <c r="B88" s="45" t="s">
        <v>47</v>
      </c>
      <c r="C88" s="45">
        <v>67</v>
      </c>
      <c r="D88" s="45" t="s">
        <v>34</v>
      </c>
      <c r="E88" s="45">
        <v>1</v>
      </c>
      <c r="F88" s="45" t="s">
        <v>75</v>
      </c>
      <c r="G88" s="46">
        <v>38</v>
      </c>
      <c r="H88" s="45">
        <v>40</v>
      </c>
      <c r="I88" s="46">
        <f>VLOOKUP(C88,[1]M0111B!$A$1:$AH$173,24,TRUE)+(G88/100)</f>
        <v>194.29</v>
      </c>
      <c r="J88" s="46">
        <f t="shared" si="4"/>
        <v>194.31</v>
      </c>
      <c r="K88" s="46" t="s">
        <v>127</v>
      </c>
      <c r="L88" s="49" t="s">
        <v>77</v>
      </c>
      <c r="M88" s="47">
        <f t="shared" si="3"/>
        <v>3.0499999999999829</v>
      </c>
    </row>
    <row r="89" spans="1:13" x14ac:dyDescent="0.3">
      <c r="A89" s="45" t="s">
        <v>56</v>
      </c>
      <c r="B89" s="45" t="s">
        <v>47</v>
      </c>
      <c r="C89" s="45">
        <v>68</v>
      </c>
      <c r="D89" s="45" t="s">
        <v>34</v>
      </c>
      <c r="E89" s="45">
        <v>1</v>
      </c>
      <c r="F89" s="45" t="s">
        <v>75</v>
      </c>
      <c r="G89" s="46">
        <v>38</v>
      </c>
      <c r="H89" s="45">
        <v>40</v>
      </c>
      <c r="I89" s="46">
        <f>VLOOKUP(C89,[1]M0111B!$A$1:$AH$173,24,TRUE)+(G89/100)</f>
        <v>197.34</v>
      </c>
      <c r="J89" s="46">
        <f t="shared" si="4"/>
        <v>197.36</v>
      </c>
      <c r="K89" s="46" t="s">
        <v>127</v>
      </c>
      <c r="L89" s="49" t="s">
        <v>77</v>
      </c>
      <c r="M89" s="47">
        <f t="shared" si="3"/>
        <v>3.0500000000000114</v>
      </c>
    </row>
    <row r="90" spans="1:13" x14ac:dyDescent="0.3">
      <c r="A90" s="45" t="s">
        <v>56</v>
      </c>
      <c r="B90" s="45" t="s">
        <v>47</v>
      </c>
      <c r="C90" s="45">
        <v>69</v>
      </c>
      <c r="D90" s="45" t="s">
        <v>34</v>
      </c>
      <c r="E90" s="45">
        <v>1</v>
      </c>
      <c r="F90" s="45" t="s">
        <v>75</v>
      </c>
      <c r="G90" s="46">
        <v>38</v>
      </c>
      <c r="H90" s="45">
        <v>40</v>
      </c>
      <c r="I90" s="46">
        <f>VLOOKUP(C90,[1]M0111B!$A$1:$AH$173,24,TRUE)+(G90/100)</f>
        <v>200.39</v>
      </c>
      <c r="J90" s="46">
        <f t="shared" si="4"/>
        <v>200.41</v>
      </c>
      <c r="K90" s="46" t="s">
        <v>128</v>
      </c>
      <c r="L90" s="49" t="s">
        <v>77</v>
      </c>
      <c r="M90" s="47">
        <f t="shared" si="3"/>
        <v>3.0499999999999829</v>
      </c>
    </row>
    <row r="91" spans="1:13" x14ac:dyDescent="0.3">
      <c r="A91" s="45" t="s">
        <v>56</v>
      </c>
      <c r="B91" s="45" t="s">
        <v>47</v>
      </c>
      <c r="C91" s="45">
        <v>70</v>
      </c>
      <c r="D91" s="45" t="s">
        <v>34</v>
      </c>
      <c r="E91" s="45">
        <v>1</v>
      </c>
      <c r="F91" s="45" t="s">
        <v>75</v>
      </c>
      <c r="G91" s="46">
        <v>38</v>
      </c>
      <c r="H91" s="45">
        <v>40</v>
      </c>
      <c r="I91" s="46">
        <f>VLOOKUP(C91,[1]M0111B!$A$1:$AH$173,24,TRUE)+(G91/100)</f>
        <v>203.44</v>
      </c>
      <c r="J91" s="46">
        <f t="shared" si="4"/>
        <v>203.46</v>
      </c>
      <c r="K91" s="46" t="s">
        <v>116</v>
      </c>
      <c r="L91" s="49" t="s">
        <v>77</v>
      </c>
      <c r="M91" s="47">
        <f t="shared" si="3"/>
        <v>3.0500000000000114</v>
      </c>
    </row>
    <row r="92" spans="1:13" x14ac:dyDescent="0.3">
      <c r="A92" s="45" t="s">
        <v>56</v>
      </c>
      <c r="B92" s="45" t="s">
        <v>47</v>
      </c>
      <c r="C92" s="45">
        <v>71</v>
      </c>
      <c r="D92" s="45" t="s">
        <v>34</v>
      </c>
      <c r="E92" s="45">
        <v>1</v>
      </c>
      <c r="F92" s="45" t="s">
        <v>75</v>
      </c>
      <c r="G92" s="46">
        <v>38</v>
      </c>
      <c r="H92" s="45">
        <v>40</v>
      </c>
      <c r="I92" s="46">
        <f>VLOOKUP(C92,[1]M0111B!$A$1:$AH$173,24,TRUE)+(G92/100)</f>
        <v>206.49</v>
      </c>
      <c r="J92" s="46">
        <f t="shared" si="4"/>
        <v>206.51000000000002</v>
      </c>
      <c r="K92" s="46" t="s">
        <v>129</v>
      </c>
      <c r="L92" s="49" t="s">
        <v>77</v>
      </c>
      <c r="M92" s="47">
        <f t="shared" si="3"/>
        <v>3.0500000000000114</v>
      </c>
    </row>
    <row r="93" spans="1:13" x14ac:dyDescent="0.3">
      <c r="A93" s="1" t="s">
        <v>56</v>
      </c>
      <c r="B93" s="1" t="s">
        <v>47</v>
      </c>
      <c r="C93" s="1">
        <v>72</v>
      </c>
      <c r="D93" s="1" t="s">
        <v>34</v>
      </c>
      <c r="E93" s="1">
        <v>1</v>
      </c>
      <c r="F93" s="1" t="s">
        <v>75</v>
      </c>
      <c r="G93">
        <v>38</v>
      </c>
      <c r="H93" s="1">
        <v>40</v>
      </c>
      <c r="I93">
        <f>VLOOKUP(C93,[1]M0111B!$A$1:$AH$173,24,TRUE)+(G93/100)</f>
        <v>207.71</v>
      </c>
      <c r="J93">
        <f t="shared" si="4"/>
        <v>207.73000000000002</v>
      </c>
      <c r="K93" t="s">
        <v>81</v>
      </c>
      <c r="L93" s="39" t="s">
        <v>77</v>
      </c>
      <c r="M93" s="41">
        <f t="shared" si="3"/>
        <v>1.2199999999999989</v>
      </c>
    </row>
    <row r="94" spans="1:13" x14ac:dyDescent="0.3">
      <c r="A94" s="1" t="s">
        <v>56</v>
      </c>
      <c r="B94" s="1" t="s">
        <v>47</v>
      </c>
      <c r="C94" s="1">
        <v>73</v>
      </c>
      <c r="D94" s="1" t="s">
        <v>34</v>
      </c>
      <c r="E94" s="1">
        <v>1</v>
      </c>
      <c r="F94" s="1" t="s">
        <v>75</v>
      </c>
      <c r="G94">
        <v>38</v>
      </c>
      <c r="H94" s="1">
        <v>40</v>
      </c>
      <c r="I94">
        <f>VLOOKUP(C94,[1]M0111B!$A$1:$AH$173,24,TRUE)+(G94/100)</f>
        <v>210.21</v>
      </c>
      <c r="J94">
        <f t="shared" si="4"/>
        <v>210.23000000000002</v>
      </c>
      <c r="K94" t="s">
        <v>130</v>
      </c>
      <c r="L94" s="39" t="s">
        <v>77</v>
      </c>
      <c r="M94" s="41">
        <f t="shared" si="3"/>
        <v>2.5</v>
      </c>
    </row>
    <row r="95" spans="1:13" x14ac:dyDescent="0.3">
      <c r="A95" s="1" t="s">
        <v>56</v>
      </c>
      <c r="B95" s="1" t="s">
        <v>47</v>
      </c>
      <c r="C95" s="1">
        <v>74</v>
      </c>
      <c r="D95" s="1" t="s">
        <v>34</v>
      </c>
      <c r="E95" s="1">
        <v>1</v>
      </c>
      <c r="F95" s="1" t="s">
        <v>75</v>
      </c>
      <c r="G95">
        <v>38</v>
      </c>
      <c r="H95" s="1">
        <v>40</v>
      </c>
      <c r="I95">
        <f>VLOOKUP(C95,[1]M0111B!$A$1:$AH$173,24,TRUE)+(G95/100)</f>
        <v>213.26</v>
      </c>
      <c r="J95">
        <f t="shared" si="4"/>
        <v>213.28</v>
      </c>
      <c r="K95" t="s">
        <v>131</v>
      </c>
      <c r="L95" s="39" t="s">
        <v>77</v>
      </c>
      <c r="M95" s="41">
        <f t="shared" si="3"/>
        <v>3.0499999999999829</v>
      </c>
    </row>
    <row r="96" spans="1:13" x14ac:dyDescent="0.3">
      <c r="A96" s="1" t="s">
        <v>56</v>
      </c>
      <c r="B96" s="1" t="s">
        <v>47</v>
      </c>
      <c r="C96" s="1">
        <v>75</v>
      </c>
      <c r="D96" s="1" t="s">
        <v>34</v>
      </c>
      <c r="E96" s="1">
        <v>1</v>
      </c>
      <c r="F96" s="1" t="s">
        <v>75</v>
      </c>
      <c r="G96">
        <v>38</v>
      </c>
      <c r="H96" s="1">
        <v>40</v>
      </c>
      <c r="I96">
        <f>VLOOKUP(C96,[1]M0111B!$A$1:$AH$173,24,TRUE)+(G96/100)</f>
        <v>215.71</v>
      </c>
      <c r="J96">
        <f t="shared" si="4"/>
        <v>215.73000000000002</v>
      </c>
      <c r="K96" t="s">
        <v>83</v>
      </c>
      <c r="L96" s="39" t="s">
        <v>77</v>
      </c>
      <c r="M96" s="41">
        <f t="shared" si="3"/>
        <v>2.4500000000000171</v>
      </c>
    </row>
    <row r="97" spans="1:13" x14ac:dyDescent="0.3">
      <c r="A97" s="1" t="s">
        <v>56</v>
      </c>
      <c r="B97" s="1" t="s">
        <v>47</v>
      </c>
      <c r="C97" s="1">
        <v>78</v>
      </c>
      <c r="D97" s="1" t="s">
        <v>34</v>
      </c>
      <c r="E97" s="1">
        <v>1</v>
      </c>
      <c r="F97" s="1" t="s">
        <v>75</v>
      </c>
      <c r="G97">
        <v>38</v>
      </c>
      <c r="H97" s="1">
        <v>40</v>
      </c>
      <c r="I97">
        <f>VLOOKUP(C97,[1]M0111B!$A$1:$AH$173,24,TRUE)+(G97/100)</f>
        <v>220.31</v>
      </c>
      <c r="J97">
        <f t="shared" si="4"/>
        <v>220.33</v>
      </c>
      <c r="K97" t="s">
        <v>131</v>
      </c>
      <c r="L97" s="39" t="s">
        <v>77</v>
      </c>
      <c r="M97" s="41">
        <f t="shared" ref="M97:M159" si="5">I97-I96</f>
        <v>4.5999999999999943</v>
      </c>
    </row>
    <row r="98" spans="1:13" x14ac:dyDescent="0.3">
      <c r="A98" s="1" t="s">
        <v>56</v>
      </c>
      <c r="B98" s="1" t="s">
        <v>47</v>
      </c>
      <c r="C98" s="1">
        <v>81</v>
      </c>
      <c r="D98" s="1" t="s">
        <v>34</v>
      </c>
      <c r="E98" s="1">
        <v>1</v>
      </c>
      <c r="F98" s="1" t="s">
        <v>75</v>
      </c>
      <c r="G98">
        <v>18</v>
      </c>
      <c r="H98" s="1">
        <v>20</v>
      </c>
      <c r="I98">
        <f>VLOOKUP(C98,[1]M0111B!$A$1:$AH$173,24,TRUE)+(G98/100)</f>
        <v>224.27</v>
      </c>
      <c r="J98">
        <f t="shared" si="4"/>
        <v>224.29000000000002</v>
      </c>
      <c r="K98" t="s">
        <v>131</v>
      </c>
      <c r="L98" s="39" t="s">
        <v>77</v>
      </c>
      <c r="M98" s="41">
        <f>I98-I97</f>
        <v>3.960000000000008</v>
      </c>
    </row>
    <row r="99" spans="1:13" x14ac:dyDescent="0.3">
      <c r="A99" s="1" t="s">
        <v>56</v>
      </c>
      <c r="B99" s="1" t="s">
        <v>47</v>
      </c>
      <c r="C99" s="1">
        <v>83</v>
      </c>
      <c r="D99" s="1" t="s">
        <v>34</v>
      </c>
      <c r="E99" s="1">
        <v>1</v>
      </c>
      <c r="F99" s="1" t="s">
        <v>75</v>
      </c>
      <c r="G99">
        <v>38</v>
      </c>
      <c r="H99" s="1">
        <v>40</v>
      </c>
      <c r="I99">
        <f>VLOOKUP(C99,[1]M0111B!$A$1:$AH$173,24,TRUE)+(G99/100)</f>
        <v>224.96</v>
      </c>
      <c r="J99">
        <f t="shared" si="4"/>
        <v>224.98000000000002</v>
      </c>
      <c r="K99" t="s">
        <v>132</v>
      </c>
      <c r="L99" s="39" t="s">
        <v>77</v>
      </c>
      <c r="M99" s="41">
        <f t="shared" si="5"/>
        <v>0.68999999999999773</v>
      </c>
    </row>
    <row r="100" spans="1:13" x14ac:dyDescent="0.3">
      <c r="A100" s="1" t="s">
        <v>56</v>
      </c>
      <c r="B100" s="1" t="s">
        <v>47</v>
      </c>
      <c r="C100" s="1">
        <v>84</v>
      </c>
      <c r="D100" s="1" t="s">
        <v>34</v>
      </c>
      <c r="E100" s="1">
        <v>1</v>
      </c>
      <c r="F100" s="1" t="s">
        <v>75</v>
      </c>
      <c r="G100">
        <v>38</v>
      </c>
      <c r="H100" s="1">
        <v>40</v>
      </c>
      <c r="I100">
        <f>VLOOKUP(C100,[1]M0111B!$A$1:$AH$173,24,TRUE)+(G100/100)</f>
        <v>228.01</v>
      </c>
      <c r="J100">
        <f t="shared" si="4"/>
        <v>228.03</v>
      </c>
      <c r="K100" t="s">
        <v>133</v>
      </c>
      <c r="L100" s="39" t="s">
        <v>77</v>
      </c>
      <c r="M100" s="41">
        <f t="shared" si="5"/>
        <v>3.0499999999999829</v>
      </c>
    </row>
    <row r="101" spans="1:13" x14ac:dyDescent="0.3">
      <c r="A101" s="45" t="s">
        <v>56</v>
      </c>
      <c r="B101" s="45" t="s">
        <v>47</v>
      </c>
      <c r="C101" s="45">
        <v>86</v>
      </c>
      <c r="D101" s="45" t="s">
        <v>34</v>
      </c>
      <c r="E101" s="45">
        <v>1</v>
      </c>
      <c r="F101" s="45" t="s">
        <v>75</v>
      </c>
      <c r="G101" s="46">
        <v>38</v>
      </c>
      <c r="H101" s="45">
        <v>40</v>
      </c>
      <c r="I101" s="46">
        <f>VLOOKUP(C101,[1]M0111B!$A$1:$AH$173,24,TRUE)+(G101/100)</f>
        <v>231.06</v>
      </c>
      <c r="J101" s="46">
        <f t="shared" si="4"/>
        <v>231.08</v>
      </c>
      <c r="K101" s="46" t="s">
        <v>109</v>
      </c>
      <c r="L101" s="49" t="s">
        <v>77</v>
      </c>
      <c r="M101" s="47">
        <f t="shared" si="5"/>
        <v>3.0500000000000114</v>
      </c>
    </row>
    <row r="102" spans="1:13" x14ac:dyDescent="0.3">
      <c r="A102" s="45" t="s">
        <v>56</v>
      </c>
      <c r="B102" s="45" t="s">
        <v>47</v>
      </c>
      <c r="C102" s="45">
        <v>87</v>
      </c>
      <c r="D102" s="45" t="s">
        <v>34</v>
      </c>
      <c r="E102" s="45">
        <v>1</v>
      </c>
      <c r="F102" s="45" t="s">
        <v>75</v>
      </c>
      <c r="G102" s="46">
        <v>38</v>
      </c>
      <c r="H102" s="45">
        <v>40</v>
      </c>
      <c r="I102" s="46">
        <f>VLOOKUP(C102,[1]M0111B!$A$1:$AH$173,24,TRUE)+(G102/100)</f>
        <v>234.10999999999999</v>
      </c>
      <c r="J102" s="46">
        <f t="shared" si="4"/>
        <v>234.13</v>
      </c>
      <c r="K102" s="46" t="s">
        <v>134</v>
      </c>
      <c r="L102" s="49" t="s">
        <v>77</v>
      </c>
      <c r="M102" s="47">
        <f t="shared" si="5"/>
        <v>3.0499999999999829</v>
      </c>
    </row>
    <row r="103" spans="1:13" x14ac:dyDescent="0.3">
      <c r="A103" s="45" t="s">
        <v>56</v>
      </c>
      <c r="B103" s="45" t="s">
        <v>47</v>
      </c>
      <c r="C103" s="45">
        <v>88</v>
      </c>
      <c r="D103" s="45" t="s">
        <v>34</v>
      </c>
      <c r="E103" s="45">
        <v>1</v>
      </c>
      <c r="F103" s="45" t="s">
        <v>75</v>
      </c>
      <c r="G103" s="46">
        <v>38</v>
      </c>
      <c r="H103" s="45">
        <v>40</v>
      </c>
      <c r="I103" s="46">
        <f>VLOOKUP(C103,[1]M0111B!$A$1:$AH$173,24,TRUE)+(G103/100)</f>
        <v>234.91</v>
      </c>
      <c r="J103" s="46">
        <f t="shared" si="4"/>
        <v>234.93</v>
      </c>
      <c r="K103" s="46" t="s">
        <v>134</v>
      </c>
      <c r="L103" s="49" t="s">
        <v>77</v>
      </c>
      <c r="M103" s="47">
        <f t="shared" si="5"/>
        <v>0.80000000000001137</v>
      </c>
    </row>
    <row r="104" spans="1:13" x14ac:dyDescent="0.3">
      <c r="A104" s="45" t="s">
        <v>56</v>
      </c>
      <c r="B104" s="45" t="s">
        <v>47</v>
      </c>
      <c r="C104" s="45">
        <v>89</v>
      </c>
      <c r="D104" s="45" t="s">
        <v>34</v>
      </c>
      <c r="E104" s="45">
        <v>1</v>
      </c>
      <c r="F104" s="45" t="s">
        <v>75</v>
      </c>
      <c r="G104" s="46">
        <v>38</v>
      </c>
      <c r="H104" s="45">
        <v>40</v>
      </c>
      <c r="I104" s="46">
        <f>VLOOKUP(C104,[1]M0111B!$A$1:$AH$173,24,TRUE)+(G104/100)</f>
        <v>237.96</v>
      </c>
      <c r="J104" s="46">
        <f t="shared" si="4"/>
        <v>237.98000000000002</v>
      </c>
      <c r="K104" s="46" t="s">
        <v>134</v>
      </c>
      <c r="L104" s="49" t="s">
        <v>77</v>
      </c>
      <c r="M104" s="47">
        <f t="shared" si="5"/>
        <v>3.0500000000000114</v>
      </c>
    </row>
    <row r="105" spans="1:13" x14ac:dyDescent="0.3">
      <c r="A105" s="1" t="s">
        <v>56</v>
      </c>
      <c r="B105" s="1" t="s">
        <v>47</v>
      </c>
      <c r="C105" s="1">
        <v>92</v>
      </c>
      <c r="D105" s="1" t="s">
        <v>34</v>
      </c>
      <c r="E105" s="1">
        <v>1</v>
      </c>
      <c r="F105" s="1" t="s">
        <v>75</v>
      </c>
      <c r="G105">
        <v>28</v>
      </c>
      <c r="H105" s="1">
        <v>30</v>
      </c>
      <c r="I105">
        <f>VLOOKUP(C105,[1]M0111B!$A$1:$AH$173,24,TRUE)+(G105/100)</f>
        <v>245.21</v>
      </c>
      <c r="J105">
        <f t="shared" si="4"/>
        <v>245.23000000000002</v>
      </c>
      <c r="K105" t="s">
        <v>135</v>
      </c>
      <c r="L105" s="39" t="s">
        <v>77</v>
      </c>
      <c r="M105" s="41">
        <f t="shared" si="5"/>
        <v>7.25</v>
      </c>
    </row>
    <row r="106" spans="1:13" x14ac:dyDescent="0.3">
      <c r="A106" s="45" t="s">
        <v>56</v>
      </c>
      <c r="B106" s="45" t="s">
        <v>47</v>
      </c>
      <c r="C106" s="45">
        <v>93</v>
      </c>
      <c r="D106" s="45" t="s">
        <v>34</v>
      </c>
      <c r="E106" s="45">
        <v>1</v>
      </c>
      <c r="F106" s="45" t="s">
        <v>75</v>
      </c>
      <c r="G106" s="46">
        <v>38</v>
      </c>
      <c r="H106" s="45">
        <v>40</v>
      </c>
      <c r="I106" s="46">
        <f>VLOOKUP(C106,[1]M0111B!$A$1:$AH$173,24,TRUE)+(G106/100)</f>
        <v>245.66</v>
      </c>
      <c r="J106" s="46">
        <f t="shared" si="4"/>
        <v>245.68</v>
      </c>
      <c r="K106" s="46" t="s">
        <v>136</v>
      </c>
      <c r="L106" s="49" t="s">
        <v>77</v>
      </c>
      <c r="M106" s="47">
        <f t="shared" si="5"/>
        <v>0.44999999999998863</v>
      </c>
    </row>
    <row r="107" spans="1:13" x14ac:dyDescent="0.3">
      <c r="A107" s="45" t="s">
        <v>56</v>
      </c>
      <c r="B107" s="45" t="s">
        <v>47</v>
      </c>
      <c r="C107" s="45">
        <v>94</v>
      </c>
      <c r="D107" s="45" t="s">
        <v>34</v>
      </c>
      <c r="E107" s="45">
        <v>1</v>
      </c>
      <c r="F107" s="45" t="s">
        <v>75</v>
      </c>
      <c r="G107" s="46">
        <v>38</v>
      </c>
      <c r="H107" s="45">
        <v>40</v>
      </c>
      <c r="I107" s="46">
        <f>VLOOKUP(C107,[1]M0111B!$A$1:$AH$173,24,TRUE)+(G107/100)</f>
        <v>247.10999999999999</v>
      </c>
      <c r="J107" s="46">
        <f t="shared" si="4"/>
        <v>247.13</v>
      </c>
      <c r="K107" s="46" t="s">
        <v>137</v>
      </c>
      <c r="L107" s="49" t="s">
        <v>77</v>
      </c>
      <c r="M107" s="47">
        <f t="shared" si="5"/>
        <v>1.4499999999999886</v>
      </c>
    </row>
    <row r="108" spans="1:13" x14ac:dyDescent="0.3">
      <c r="A108" s="45" t="s">
        <v>56</v>
      </c>
      <c r="B108" s="45" t="s">
        <v>47</v>
      </c>
      <c r="C108" s="45">
        <v>95</v>
      </c>
      <c r="D108" s="45" t="s">
        <v>34</v>
      </c>
      <c r="E108" s="45">
        <v>1</v>
      </c>
      <c r="F108" s="45" t="s">
        <v>75</v>
      </c>
      <c r="G108" s="46">
        <v>38</v>
      </c>
      <c r="H108" s="45">
        <v>40</v>
      </c>
      <c r="I108" s="46">
        <f>VLOOKUP(C108,[1]M0111B!$A$1:$AH$173,24,TRUE)+(G108/100)</f>
        <v>250.16</v>
      </c>
      <c r="J108" s="46">
        <f t="shared" si="4"/>
        <v>250.18</v>
      </c>
      <c r="K108" s="46" t="s">
        <v>109</v>
      </c>
      <c r="L108" s="49" t="s">
        <v>77</v>
      </c>
      <c r="M108" s="47">
        <f t="shared" si="5"/>
        <v>3.0500000000000114</v>
      </c>
    </row>
    <row r="109" spans="1:13" x14ac:dyDescent="0.3">
      <c r="A109" s="1" t="s">
        <v>56</v>
      </c>
      <c r="B109" s="1" t="s">
        <v>47</v>
      </c>
      <c r="C109" s="1">
        <v>96</v>
      </c>
      <c r="D109" s="1" t="s">
        <v>34</v>
      </c>
      <c r="E109" s="1">
        <v>1</v>
      </c>
      <c r="F109" s="1" t="s">
        <v>75</v>
      </c>
      <c r="G109">
        <v>38</v>
      </c>
      <c r="H109" s="1">
        <v>40</v>
      </c>
      <c r="I109">
        <f>VLOOKUP(C109,[1]M0111B!$A$1:$AH$173,24,TRUE)+(G109/100)</f>
        <v>251.91</v>
      </c>
      <c r="J109">
        <f t="shared" si="4"/>
        <v>251.93</v>
      </c>
      <c r="K109" t="s">
        <v>138</v>
      </c>
      <c r="L109" s="39" t="s">
        <v>77</v>
      </c>
      <c r="M109" s="41">
        <f t="shared" si="5"/>
        <v>1.75</v>
      </c>
    </row>
    <row r="110" spans="1:13" x14ac:dyDescent="0.3">
      <c r="A110" s="1" t="s">
        <v>56</v>
      </c>
      <c r="B110" s="1" t="s">
        <v>47</v>
      </c>
      <c r="C110" s="1">
        <v>97</v>
      </c>
      <c r="D110" s="1" t="s">
        <v>34</v>
      </c>
      <c r="E110" s="1">
        <v>1</v>
      </c>
      <c r="F110" s="1" t="s">
        <v>75</v>
      </c>
      <c r="G110">
        <v>38</v>
      </c>
      <c r="H110" s="1">
        <v>40</v>
      </c>
      <c r="I110">
        <f>VLOOKUP(C110,[1]M0111B!$A$1:$AH$173,24,TRUE)+(G110/100)</f>
        <v>253.21</v>
      </c>
      <c r="J110">
        <f t="shared" si="4"/>
        <v>253.23000000000002</v>
      </c>
      <c r="K110" t="s">
        <v>139</v>
      </c>
      <c r="L110" s="39" t="s">
        <v>77</v>
      </c>
      <c r="M110" s="41">
        <f t="shared" si="5"/>
        <v>1.3000000000000114</v>
      </c>
    </row>
    <row r="111" spans="1:13" x14ac:dyDescent="0.3">
      <c r="A111" s="1" t="s">
        <v>56</v>
      </c>
      <c r="B111" s="1" t="s">
        <v>47</v>
      </c>
      <c r="C111" s="1">
        <v>98</v>
      </c>
      <c r="D111" s="1" t="s">
        <v>34</v>
      </c>
      <c r="E111" s="1">
        <v>1</v>
      </c>
      <c r="F111" s="1" t="s">
        <v>75</v>
      </c>
      <c r="G111">
        <v>38</v>
      </c>
      <c r="H111" s="1">
        <v>40</v>
      </c>
      <c r="I111">
        <f>VLOOKUP(C111,[1]M0111B!$A$1:$AH$173,24,TRUE)+(G111/100)</f>
        <v>255.91</v>
      </c>
      <c r="J111">
        <f t="shared" si="4"/>
        <v>255.93</v>
      </c>
      <c r="K111" t="s">
        <v>140</v>
      </c>
      <c r="L111" s="39" t="s">
        <v>77</v>
      </c>
      <c r="M111" s="41">
        <f t="shared" si="5"/>
        <v>2.6999999999999886</v>
      </c>
    </row>
    <row r="112" spans="1:13" x14ac:dyDescent="0.3">
      <c r="A112" s="1" t="s">
        <v>56</v>
      </c>
      <c r="B112" s="1" t="s">
        <v>47</v>
      </c>
      <c r="C112" s="1">
        <v>99</v>
      </c>
      <c r="D112" s="1" t="s">
        <v>34</v>
      </c>
      <c r="E112" s="1">
        <v>1</v>
      </c>
      <c r="F112" s="1" t="s">
        <v>75</v>
      </c>
      <c r="G112">
        <v>38</v>
      </c>
      <c r="H112" s="1">
        <v>40</v>
      </c>
      <c r="I112">
        <f>VLOOKUP(C112,[1]M0111B!$A$1:$AH$173,24,TRUE)+(G112/100)</f>
        <v>256.65999999999997</v>
      </c>
      <c r="J112">
        <f t="shared" si="4"/>
        <v>256.67999999999995</v>
      </c>
      <c r="K112" t="s">
        <v>83</v>
      </c>
      <c r="L112" s="39" t="s">
        <v>77</v>
      </c>
      <c r="M112" s="41">
        <f t="shared" si="5"/>
        <v>0.74999999999997158</v>
      </c>
    </row>
    <row r="113" spans="1:13" x14ac:dyDescent="0.3">
      <c r="A113" s="1" t="s">
        <v>56</v>
      </c>
      <c r="B113" s="1" t="s">
        <v>47</v>
      </c>
      <c r="C113" s="1">
        <v>100</v>
      </c>
      <c r="D113" s="1" t="s">
        <v>34</v>
      </c>
      <c r="E113" s="1">
        <v>1</v>
      </c>
      <c r="F113" s="1" t="s">
        <v>75</v>
      </c>
      <c r="G113">
        <v>38</v>
      </c>
      <c r="H113" s="1">
        <v>40</v>
      </c>
      <c r="I113">
        <f>VLOOKUP(C113,[1]M0111B!$A$1:$AH$173,24,TRUE)+(G113/100)</f>
        <v>259.31</v>
      </c>
      <c r="J113">
        <f t="shared" si="4"/>
        <v>259.33</v>
      </c>
      <c r="K113" t="s">
        <v>141</v>
      </c>
      <c r="L113" s="39" t="s">
        <v>77</v>
      </c>
      <c r="M113" s="41">
        <f t="shared" si="5"/>
        <v>2.6500000000000341</v>
      </c>
    </row>
    <row r="114" spans="1:13" x14ac:dyDescent="0.3">
      <c r="A114" s="1" t="s">
        <v>56</v>
      </c>
      <c r="B114" s="1" t="s">
        <v>47</v>
      </c>
      <c r="C114" s="1">
        <v>101</v>
      </c>
      <c r="D114" s="1" t="s">
        <v>34</v>
      </c>
      <c r="E114" s="1">
        <v>1</v>
      </c>
      <c r="F114" s="1" t="s">
        <v>75</v>
      </c>
      <c r="G114">
        <v>38</v>
      </c>
      <c r="H114" s="1">
        <v>40</v>
      </c>
      <c r="I114">
        <f>VLOOKUP(C114,[1]M0111B!$A$1:$AH$173,24,TRUE)+(G114/100)</f>
        <v>262.36</v>
      </c>
      <c r="J114">
        <f t="shared" si="4"/>
        <v>262.38</v>
      </c>
      <c r="K114" t="s">
        <v>142</v>
      </c>
      <c r="L114" s="39" t="s">
        <v>77</v>
      </c>
      <c r="M114" s="41">
        <f t="shared" si="5"/>
        <v>3.0500000000000114</v>
      </c>
    </row>
    <row r="115" spans="1:13" x14ac:dyDescent="0.3">
      <c r="A115" s="45" t="s">
        <v>56</v>
      </c>
      <c r="B115" s="45" t="s">
        <v>47</v>
      </c>
      <c r="C115" s="45">
        <v>102</v>
      </c>
      <c r="D115" s="45" t="s">
        <v>34</v>
      </c>
      <c r="E115" s="45">
        <v>1</v>
      </c>
      <c r="F115" s="45" t="s">
        <v>75</v>
      </c>
      <c r="G115" s="46">
        <v>38</v>
      </c>
      <c r="H115" s="45">
        <v>40</v>
      </c>
      <c r="I115" s="46">
        <f>VLOOKUP(C115,[1]M0111B!$A$1:$AH$173,24,TRUE)+(G115/100)</f>
        <v>265.40999999999997</v>
      </c>
      <c r="J115" s="46">
        <f t="shared" si="4"/>
        <v>265.42999999999995</v>
      </c>
      <c r="K115" s="46" t="s">
        <v>113</v>
      </c>
      <c r="L115" s="49" t="s">
        <v>77</v>
      </c>
      <c r="M115" s="47">
        <f t="shared" si="5"/>
        <v>3.0499999999999545</v>
      </c>
    </row>
    <row r="116" spans="1:13" x14ac:dyDescent="0.3">
      <c r="A116" s="45" t="s">
        <v>56</v>
      </c>
      <c r="B116" s="45" t="s">
        <v>47</v>
      </c>
      <c r="C116" s="45">
        <v>103</v>
      </c>
      <c r="D116" s="45" t="s">
        <v>34</v>
      </c>
      <c r="E116" s="45">
        <v>1</v>
      </c>
      <c r="F116" s="45" t="s">
        <v>75</v>
      </c>
      <c r="G116" s="46">
        <v>38</v>
      </c>
      <c r="H116" s="45">
        <v>40</v>
      </c>
      <c r="I116" s="46">
        <f>VLOOKUP(C116,[1]M0111B!$A$1:$AH$173,24,TRUE)+(G116/100)</f>
        <v>268.45999999999998</v>
      </c>
      <c r="J116" s="46">
        <f t="shared" si="4"/>
        <v>268.47999999999996</v>
      </c>
      <c r="K116" s="46" t="s">
        <v>143</v>
      </c>
      <c r="L116" s="49" t="s">
        <v>77</v>
      </c>
      <c r="M116" s="47">
        <f t="shared" si="5"/>
        <v>3.0500000000000114</v>
      </c>
    </row>
    <row r="117" spans="1:13" x14ac:dyDescent="0.3">
      <c r="A117" s="45" t="s">
        <v>56</v>
      </c>
      <c r="B117" s="45" t="s">
        <v>47</v>
      </c>
      <c r="C117" s="45">
        <v>104</v>
      </c>
      <c r="D117" s="45" t="s">
        <v>34</v>
      </c>
      <c r="E117" s="45">
        <v>1</v>
      </c>
      <c r="F117" s="45" t="s">
        <v>75</v>
      </c>
      <c r="G117" s="46">
        <v>18</v>
      </c>
      <c r="H117" s="45">
        <v>20</v>
      </c>
      <c r="I117" s="46">
        <f>VLOOKUP(C117,[1]M0111B!$A$1:$AH$173,24,TRUE)+(G117/100)</f>
        <v>271.31</v>
      </c>
      <c r="J117" s="46">
        <f t="shared" si="4"/>
        <v>271.33</v>
      </c>
      <c r="K117" s="46" t="s">
        <v>144</v>
      </c>
      <c r="L117" s="49" t="s">
        <v>77</v>
      </c>
      <c r="M117" s="47">
        <f t="shared" si="5"/>
        <v>2.8500000000000227</v>
      </c>
    </row>
    <row r="118" spans="1:13" x14ac:dyDescent="0.3">
      <c r="A118" s="1" t="s">
        <v>56</v>
      </c>
      <c r="B118" s="1" t="s">
        <v>47</v>
      </c>
      <c r="C118" s="1">
        <v>105</v>
      </c>
      <c r="D118" s="1" t="s">
        <v>34</v>
      </c>
      <c r="E118" s="1">
        <v>1</v>
      </c>
      <c r="F118" s="1" t="s">
        <v>75</v>
      </c>
      <c r="G118">
        <v>28</v>
      </c>
      <c r="H118" s="1">
        <v>30</v>
      </c>
      <c r="I118">
        <f>VLOOKUP(C118,[1]M0111B!$A$1:$AH$173,24,TRUE)+(G118/100)</f>
        <v>274.45999999999998</v>
      </c>
      <c r="J118">
        <f t="shared" si="4"/>
        <v>274.47999999999996</v>
      </c>
      <c r="K118" t="s">
        <v>145</v>
      </c>
      <c r="L118" s="39" t="s">
        <v>77</v>
      </c>
      <c r="M118" s="41">
        <f t="shared" si="5"/>
        <v>3.1499999999999773</v>
      </c>
    </row>
    <row r="119" spans="1:13" x14ac:dyDescent="0.3">
      <c r="A119" s="1" t="s">
        <v>56</v>
      </c>
      <c r="B119" s="1" t="s">
        <v>47</v>
      </c>
      <c r="C119" s="1">
        <v>106</v>
      </c>
      <c r="D119" s="1" t="s">
        <v>34</v>
      </c>
      <c r="E119" s="1">
        <v>1</v>
      </c>
      <c r="F119" s="1" t="s">
        <v>75</v>
      </c>
      <c r="G119">
        <v>38</v>
      </c>
      <c r="H119" s="1">
        <v>40</v>
      </c>
      <c r="I119">
        <f>VLOOKUP(C119,[1]M0111B!$A$1:$AH$173,24,TRUE)+(G119/100)</f>
        <v>275.56</v>
      </c>
      <c r="J119">
        <f t="shared" si="4"/>
        <v>275.58</v>
      </c>
      <c r="K119" t="s">
        <v>146</v>
      </c>
      <c r="L119" s="39" t="s">
        <v>77</v>
      </c>
      <c r="M119" s="41">
        <f t="shared" si="5"/>
        <v>1.1000000000000227</v>
      </c>
    </row>
    <row r="120" spans="1:13" x14ac:dyDescent="0.3">
      <c r="A120" s="1" t="s">
        <v>56</v>
      </c>
      <c r="B120" s="1" t="s">
        <v>47</v>
      </c>
      <c r="C120" s="1">
        <v>107</v>
      </c>
      <c r="D120" s="1" t="s">
        <v>34</v>
      </c>
      <c r="E120" s="1">
        <v>1</v>
      </c>
      <c r="F120" s="1" t="s">
        <v>75</v>
      </c>
      <c r="G120">
        <v>38</v>
      </c>
      <c r="H120" s="1">
        <v>40</v>
      </c>
      <c r="I120">
        <f>VLOOKUP(C120,[1]M0111B!$A$1:$AH$173,24,TRUE)+(G120/100)</f>
        <v>277.61</v>
      </c>
      <c r="J120">
        <f t="shared" si="4"/>
        <v>277.63</v>
      </c>
      <c r="K120" t="s">
        <v>131</v>
      </c>
      <c r="L120" s="39" t="s">
        <v>77</v>
      </c>
      <c r="M120" s="41">
        <f t="shared" si="5"/>
        <v>2.0500000000000114</v>
      </c>
    </row>
    <row r="121" spans="1:13" x14ac:dyDescent="0.3">
      <c r="A121" s="1" t="s">
        <v>56</v>
      </c>
      <c r="B121" s="1" t="s">
        <v>47</v>
      </c>
      <c r="C121" s="1">
        <v>108</v>
      </c>
      <c r="D121" s="1" t="s">
        <v>34</v>
      </c>
      <c r="E121" s="1">
        <v>1</v>
      </c>
      <c r="F121" s="1" t="s">
        <v>75</v>
      </c>
      <c r="G121">
        <v>18</v>
      </c>
      <c r="H121" s="1">
        <v>20</v>
      </c>
      <c r="I121">
        <f>VLOOKUP(C121,[1]M0111B!$A$1:$AH$173,24,TRUE)+(G121/100)</f>
        <v>278.31</v>
      </c>
      <c r="J121">
        <f t="shared" si="4"/>
        <v>278.33</v>
      </c>
      <c r="K121" t="s">
        <v>147</v>
      </c>
      <c r="L121" s="39" t="s">
        <v>77</v>
      </c>
      <c r="M121" s="41">
        <f t="shared" si="5"/>
        <v>0.69999999999998863</v>
      </c>
    </row>
    <row r="122" spans="1:13" x14ac:dyDescent="0.3">
      <c r="A122" s="1" t="s">
        <v>56</v>
      </c>
      <c r="B122" s="1" t="s">
        <v>47</v>
      </c>
      <c r="C122" s="1">
        <v>109</v>
      </c>
      <c r="D122" s="1" t="s">
        <v>34</v>
      </c>
      <c r="E122" s="1">
        <v>1</v>
      </c>
      <c r="F122" s="1" t="s">
        <v>75</v>
      </c>
      <c r="G122">
        <v>38</v>
      </c>
      <c r="H122" s="1">
        <v>40</v>
      </c>
      <c r="I122">
        <f>VLOOKUP(C122,[1]M0111B!$A$1:$AH$173,24,TRUE)+(G122/100)</f>
        <v>278.76</v>
      </c>
      <c r="J122">
        <f t="shared" si="4"/>
        <v>278.77999999999997</v>
      </c>
      <c r="K122" t="s">
        <v>148</v>
      </c>
      <c r="L122" s="39" t="s">
        <v>77</v>
      </c>
      <c r="M122" s="41">
        <f t="shared" si="5"/>
        <v>0.44999999999998863</v>
      </c>
    </row>
    <row r="123" spans="1:13" x14ac:dyDescent="0.3">
      <c r="A123" s="45" t="s">
        <v>56</v>
      </c>
      <c r="B123" s="45" t="s">
        <v>47</v>
      </c>
      <c r="C123" s="45">
        <v>114</v>
      </c>
      <c r="D123" s="45" t="s">
        <v>34</v>
      </c>
      <c r="E123" s="45">
        <v>1</v>
      </c>
      <c r="F123" s="45" t="s">
        <v>75</v>
      </c>
      <c r="G123" s="46">
        <v>38</v>
      </c>
      <c r="H123" s="45">
        <v>40</v>
      </c>
      <c r="I123" s="46">
        <f>VLOOKUP(C123,[1]M0111B!$A$1:$AH$173,24,TRUE)+(G123/100)</f>
        <v>281.90999999999997</v>
      </c>
      <c r="J123" s="46">
        <f t="shared" si="4"/>
        <v>281.92999999999995</v>
      </c>
      <c r="K123" s="52" t="s">
        <v>149</v>
      </c>
      <c r="L123" s="49" t="s">
        <v>77</v>
      </c>
      <c r="M123" s="47">
        <f t="shared" si="5"/>
        <v>3.1499999999999773</v>
      </c>
    </row>
    <row r="124" spans="1:13" x14ac:dyDescent="0.3">
      <c r="A124" s="45" t="s">
        <v>56</v>
      </c>
      <c r="B124" s="45" t="s">
        <v>47</v>
      </c>
      <c r="C124" s="45">
        <v>115</v>
      </c>
      <c r="D124" s="45" t="s">
        <v>34</v>
      </c>
      <c r="E124" s="45">
        <v>1</v>
      </c>
      <c r="F124" s="45" t="s">
        <v>75</v>
      </c>
      <c r="G124" s="46">
        <v>38</v>
      </c>
      <c r="H124" s="45">
        <v>40</v>
      </c>
      <c r="I124" s="46">
        <f>VLOOKUP(C124,[1]M0111B!$A$1:$AH$173,24,TRUE)+(G124/100)</f>
        <v>283.81</v>
      </c>
      <c r="J124" s="46">
        <f t="shared" si="4"/>
        <v>283.83</v>
      </c>
      <c r="K124" s="46" t="s">
        <v>150</v>
      </c>
      <c r="L124" s="49" t="s">
        <v>77</v>
      </c>
      <c r="M124" s="47">
        <f t="shared" si="5"/>
        <v>1.9000000000000341</v>
      </c>
    </row>
    <row r="125" spans="1:13" x14ac:dyDescent="0.3">
      <c r="A125" s="1" t="s">
        <v>56</v>
      </c>
      <c r="B125" s="1" t="s">
        <v>47</v>
      </c>
      <c r="C125" s="1">
        <v>116</v>
      </c>
      <c r="D125" s="1" t="s">
        <v>34</v>
      </c>
      <c r="E125" s="1">
        <v>1</v>
      </c>
      <c r="F125" s="1" t="s">
        <v>75</v>
      </c>
      <c r="G125">
        <v>38</v>
      </c>
      <c r="H125" s="1">
        <v>40</v>
      </c>
      <c r="I125">
        <f>VLOOKUP(C125,[1]M0111B!$A$1:$AH$173,24,TRUE)+(G125/100)</f>
        <v>286.86</v>
      </c>
      <c r="J125">
        <f t="shared" si="4"/>
        <v>286.88</v>
      </c>
      <c r="K125" t="s">
        <v>151</v>
      </c>
      <c r="L125" s="39" t="s">
        <v>77</v>
      </c>
      <c r="M125" s="41">
        <f t="shared" si="5"/>
        <v>3.0500000000000114</v>
      </c>
    </row>
    <row r="126" spans="1:13" x14ac:dyDescent="0.3">
      <c r="A126" s="1" t="s">
        <v>56</v>
      </c>
      <c r="B126" s="1" t="s">
        <v>47</v>
      </c>
      <c r="C126" s="1">
        <v>117</v>
      </c>
      <c r="D126" s="1" t="s">
        <v>34</v>
      </c>
      <c r="E126" s="1">
        <v>1</v>
      </c>
      <c r="F126" s="1" t="s">
        <v>75</v>
      </c>
      <c r="G126">
        <v>38</v>
      </c>
      <c r="H126" s="1">
        <v>40</v>
      </c>
      <c r="I126">
        <f>VLOOKUP(C126,[1]M0111B!$A$1:$AH$173,24,TRUE)+(G126/100)</f>
        <v>289.70999999999998</v>
      </c>
      <c r="J126">
        <f t="shared" si="4"/>
        <v>289.72999999999996</v>
      </c>
      <c r="K126" t="s">
        <v>152</v>
      </c>
      <c r="L126" s="39" t="s">
        <v>77</v>
      </c>
      <c r="M126" s="41">
        <f t="shared" si="5"/>
        <v>2.8499999999999659</v>
      </c>
    </row>
    <row r="127" spans="1:13" x14ac:dyDescent="0.3">
      <c r="A127" s="1" t="s">
        <v>56</v>
      </c>
      <c r="B127" s="1" t="s">
        <v>47</v>
      </c>
      <c r="C127" s="1">
        <v>119</v>
      </c>
      <c r="D127" s="1" t="s">
        <v>34</v>
      </c>
      <c r="E127" s="1">
        <v>1</v>
      </c>
      <c r="F127" s="1" t="s">
        <v>75</v>
      </c>
      <c r="G127">
        <v>48</v>
      </c>
      <c r="H127" s="1">
        <v>50</v>
      </c>
      <c r="I127">
        <f>VLOOKUP(C127,[1]M0111B!$A$1:$AH$173,24,TRUE)+(G127/100)</f>
        <v>293.31</v>
      </c>
      <c r="J127">
        <f t="shared" si="4"/>
        <v>293.33</v>
      </c>
      <c r="K127" t="s">
        <v>151</v>
      </c>
      <c r="L127" s="39" t="s">
        <v>77</v>
      </c>
      <c r="M127" s="41">
        <f t="shared" si="5"/>
        <v>3.6000000000000227</v>
      </c>
    </row>
    <row r="128" spans="1:13" x14ac:dyDescent="0.3">
      <c r="A128" s="1" t="s">
        <v>56</v>
      </c>
      <c r="B128" s="1" t="s">
        <v>47</v>
      </c>
      <c r="C128" s="1">
        <v>120</v>
      </c>
      <c r="D128" s="1" t="s">
        <v>34</v>
      </c>
      <c r="E128" s="1">
        <v>1</v>
      </c>
      <c r="F128" s="1" t="s">
        <v>75</v>
      </c>
      <c r="G128">
        <v>38</v>
      </c>
      <c r="H128" s="1">
        <v>40</v>
      </c>
      <c r="I128">
        <f>VLOOKUP(C128,[1]M0111B!$A$1:$AH$173,24,TRUE)+(G128/100)</f>
        <v>296.01</v>
      </c>
      <c r="J128">
        <f t="shared" ref="J128:J191" si="6">I128+0.02</f>
        <v>296.02999999999997</v>
      </c>
      <c r="K128" t="s">
        <v>151</v>
      </c>
      <c r="L128" s="39" t="s">
        <v>77</v>
      </c>
      <c r="M128" s="41">
        <f t="shared" si="5"/>
        <v>2.6999999999999886</v>
      </c>
    </row>
    <row r="129" spans="1:13" x14ac:dyDescent="0.3">
      <c r="A129" s="1" t="s">
        <v>56</v>
      </c>
      <c r="B129" s="1" t="s">
        <v>47</v>
      </c>
      <c r="C129" s="1">
        <v>121</v>
      </c>
      <c r="D129" s="1" t="s">
        <v>34</v>
      </c>
      <c r="E129" s="1">
        <v>1</v>
      </c>
      <c r="F129" s="1" t="s">
        <v>75</v>
      </c>
      <c r="G129">
        <v>38</v>
      </c>
      <c r="H129" s="1">
        <v>40</v>
      </c>
      <c r="I129">
        <f>VLOOKUP(C129,[1]M0111B!$A$1:$AH$173,24,TRUE)+(G129/100)</f>
        <v>299.06</v>
      </c>
      <c r="J129">
        <f t="shared" si="6"/>
        <v>299.08</v>
      </c>
      <c r="K129" s="42" t="s">
        <v>153</v>
      </c>
      <c r="L129" s="39" t="s">
        <v>77</v>
      </c>
      <c r="M129" s="41">
        <f t="shared" si="5"/>
        <v>3.0500000000000114</v>
      </c>
    </row>
    <row r="130" spans="1:13" x14ac:dyDescent="0.3">
      <c r="A130" s="1" t="s">
        <v>56</v>
      </c>
      <c r="B130" s="1" t="s">
        <v>47</v>
      </c>
      <c r="C130" s="1">
        <v>122</v>
      </c>
      <c r="D130" s="1" t="s">
        <v>34</v>
      </c>
      <c r="E130" s="1">
        <v>1</v>
      </c>
      <c r="F130" s="1" t="s">
        <v>75</v>
      </c>
      <c r="G130">
        <v>38</v>
      </c>
      <c r="H130" s="1">
        <v>40</v>
      </c>
      <c r="I130">
        <f>VLOOKUP(C130,[1]M0111B!$A$1:$AH$173,24,TRUE)+(G130/100)</f>
        <v>300.61</v>
      </c>
      <c r="J130">
        <f t="shared" si="6"/>
        <v>300.63</v>
      </c>
      <c r="K130" t="s">
        <v>154</v>
      </c>
      <c r="L130" s="39" t="s">
        <v>77</v>
      </c>
      <c r="M130" s="41">
        <f t="shared" si="5"/>
        <v>1.5500000000000114</v>
      </c>
    </row>
    <row r="131" spans="1:13" x14ac:dyDescent="0.3">
      <c r="A131" s="1" t="s">
        <v>56</v>
      </c>
      <c r="B131" s="1" t="s">
        <v>47</v>
      </c>
      <c r="C131" s="1">
        <v>125</v>
      </c>
      <c r="D131" s="1" t="s">
        <v>34</v>
      </c>
      <c r="E131" s="1">
        <v>1</v>
      </c>
      <c r="F131" s="1" t="s">
        <v>75</v>
      </c>
      <c r="G131">
        <v>38</v>
      </c>
      <c r="H131" s="1">
        <v>40</v>
      </c>
      <c r="I131">
        <f>VLOOKUP(C131,[1]M0111B!$A$1:$AH$173,24,TRUE)+(G131/100)</f>
        <v>306.70999999999998</v>
      </c>
      <c r="J131">
        <f t="shared" si="6"/>
        <v>306.72999999999996</v>
      </c>
      <c r="K131" t="s">
        <v>131</v>
      </c>
      <c r="L131" s="39" t="s">
        <v>77</v>
      </c>
      <c r="M131" s="41">
        <f t="shared" si="5"/>
        <v>6.0999999999999659</v>
      </c>
    </row>
    <row r="132" spans="1:13" x14ac:dyDescent="0.3">
      <c r="A132" s="45" t="s">
        <v>56</v>
      </c>
      <c r="B132" s="45" t="s">
        <v>47</v>
      </c>
      <c r="C132" s="45">
        <v>126</v>
      </c>
      <c r="D132" s="45" t="s">
        <v>34</v>
      </c>
      <c r="E132" s="45">
        <v>1</v>
      </c>
      <c r="F132" s="45" t="s">
        <v>75</v>
      </c>
      <c r="G132" s="46">
        <v>38</v>
      </c>
      <c r="H132" s="45">
        <v>40</v>
      </c>
      <c r="I132" s="46">
        <f>VLOOKUP(C132,[1]M0111B!$A$1:$AH$173,24,TRUE)+(G132/100)</f>
        <v>307.45999999999998</v>
      </c>
      <c r="J132" s="46">
        <f t="shared" si="6"/>
        <v>307.47999999999996</v>
      </c>
      <c r="K132" s="46" t="s">
        <v>109</v>
      </c>
      <c r="L132" s="49" t="s">
        <v>82</v>
      </c>
      <c r="M132" s="47">
        <f t="shared" si="5"/>
        <v>0.75</v>
      </c>
    </row>
    <row r="133" spans="1:13" x14ac:dyDescent="0.3">
      <c r="A133" s="1" t="s">
        <v>56</v>
      </c>
      <c r="B133" s="1" t="s">
        <v>47</v>
      </c>
      <c r="C133" s="1">
        <v>127</v>
      </c>
      <c r="D133" s="1" t="s">
        <v>34</v>
      </c>
      <c r="E133" s="1">
        <v>1</v>
      </c>
      <c r="F133" s="1" t="s">
        <v>75</v>
      </c>
      <c r="G133">
        <v>38</v>
      </c>
      <c r="H133" s="1">
        <v>40</v>
      </c>
      <c r="I133">
        <f>VLOOKUP(C133,[1]M0111B!$A$1:$AH$173,24,TRUE)+(G133/100)</f>
        <v>310.51</v>
      </c>
      <c r="J133">
        <f t="shared" si="6"/>
        <v>310.52999999999997</v>
      </c>
      <c r="K133" t="s">
        <v>155</v>
      </c>
      <c r="L133" s="39" t="s">
        <v>77</v>
      </c>
      <c r="M133" s="41">
        <f t="shared" si="5"/>
        <v>3.0500000000000114</v>
      </c>
    </row>
    <row r="134" spans="1:13" x14ac:dyDescent="0.3">
      <c r="A134" s="45" t="s">
        <v>56</v>
      </c>
      <c r="B134" s="45" t="s">
        <v>47</v>
      </c>
      <c r="C134" s="45">
        <v>128</v>
      </c>
      <c r="D134" s="45" t="s">
        <v>34</v>
      </c>
      <c r="E134" s="45">
        <v>1</v>
      </c>
      <c r="F134" s="45" t="s">
        <v>75</v>
      </c>
      <c r="G134" s="46">
        <v>38</v>
      </c>
      <c r="H134" s="45">
        <v>40</v>
      </c>
      <c r="I134" s="46">
        <f>VLOOKUP(C134,[1]M0111B!$A$1:$AH$173,24,TRUE)+(G134/100)</f>
        <v>313.15999999999997</v>
      </c>
      <c r="J134" s="46">
        <f t="shared" si="6"/>
        <v>313.17999999999995</v>
      </c>
      <c r="K134" s="46" t="s">
        <v>156</v>
      </c>
      <c r="L134" s="49" t="s">
        <v>77</v>
      </c>
      <c r="M134" s="47">
        <f t="shared" si="5"/>
        <v>2.6499999999999773</v>
      </c>
    </row>
    <row r="135" spans="1:13" x14ac:dyDescent="0.3">
      <c r="A135" s="45" t="s">
        <v>56</v>
      </c>
      <c r="B135" s="45" t="s">
        <v>47</v>
      </c>
      <c r="C135" s="45">
        <v>129</v>
      </c>
      <c r="D135" s="45" t="s">
        <v>34</v>
      </c>
      <c r="E135" s="45">
        <v>1</v>
      </c>
      <c r="F135" s="45" t="s">
        <v>75</v>
      </c>
      <c r="G135" s="46">
        <v>38</v>
      </c>
      <c r="H135" s="45">
        <v>40</v>
      </c>
      <c r="I135" s="46">
        <f>VLOOKUP(C135,[1]M0111B!$A$1:$AH$173,24,TRUE)+(G135/100)</f>
        <v>316.20999999999998</v>
      </c>
      <c r="J135" s="46">
        <f t="shared" si="6"/>
        <v>316.22999999999996</v>
      </c>
      <c r="K135" s="46" t="s">
        <v>157</v>
      </c>
      <c r="L135" s="49" t="s">
        <v>77</v>
      </c>
      <c r="M135" s="47">
        <f t="shared" si="5"/>
        <v>3.0500000000000114</v>
      </c>
    </row>
    <row r="136" spans="1:13" x14ac:dyDescent="0.3">
      <c r="A136" s="45" t="s">
        <v>56</v>
      </c>
      <c r="B136" s="45" t="s">
        <v>47</v>
      </c>
      <c r="C136" s="45">
        <v>130</v>
      </c>
      <c r="D136" s="45" t="s">
        <v>34</v>
      </c>
      <c r="E136" s="45">
        <v>1</v>
      </c>
      <c r="F136" s="45" t="s">
        <v>75</v>
      </c>
      <c r="G136" s="46">
        <v>38</v>
      </c>
      <c r="H136" s="45">
        <v>40</v>
      </c>
      <c r="I136" s="46">
        <f>VLOOKUP(C136,[1]M0111B!$A$1:$AH$173,24,TRUE)+(G136/100)</f>
        <v>319.26</v>
      </c>
      <c r="J136" s="46">
        <f t="shared" si="6"/>
        <v>319.27999999999997</v>
      </c>
      <c r="K136" s="46" t="s">
        <v>143</v>
      </c>
      <c r="L136" s="49" t="s">
        <v>77</v>
      </c>
      <c r="M136" s="47">
        <f t="shared" si="5"/>
        <v>3.0500000000000114</v>
      </c>
    </row>
    <row r="137" spans="1:13" x14ac:dyDescent="0.3">
      <c r="A137" s="1" t="s">
        <v>56</v>
      </c>
      <c r="B137" s="1" t="s">
        <v>47</v>
      </c>
      <c r="C137" s="1">
        <v>131</v>
      </c>
      <c r="D137" s="1" t="s">
        <v>34</v>
      </c>
      <c r="E137" s="1">
        <v>1</v>
      </c>
      <c r="F137" s="1" t="s">
        <v>75</v>
      </c>
      <c r="G137">
        <v>38</v>
      </c>
      <c r="H137" s="1">
        <v>40</v>
      </c>
      <c r="I137">
        <f>VLOOKUP(C137,[1]M0111B!$A$1:$AH$173,24,TRUE)+(G137/100)</f>
        <v>322.31</v>
      </c>
      <c r="J137">
        <f t="shared" si="6"/>
        <v>322.33</v>
      </c>
      <c r="K137" t="s">
        <v>158</v>
      </c>
      <c r="L137" s="39" t="s">
        <v>77</v>
      </c>
      <c r="M137" s="41">
        <f t="shared" si="5"/>
        <v>3.0500000000000114</v>
      </c>
    </row>
    <row r="138" spans="1:13" x14ac:dyDescent="0.3">
      <c r="A138" s="1" t="s">
        <v>56</v>
      </c>
      <c r="B138" s="1" t="s">
        <v>47</v>
      </c>
      <c r="C138" s="1">
        <v>132</v>
      </c>
      <c r="D138" s="1" t="s">
        <v>34</v>
      </c>
      <c r="E138" s="1">
        <v>1</v>
      </c>
      <c r="F138" s="1" t="s">
        <v>75</v>
      </c>
      <c r="G138">
        <v>18</v>
      </c>
      <c r="H138" s="1">
        <v>20</v>
      </c>
      <c r="I138">
        <f>VLOOKUP(C138,[1]M0111B!$A$1:$AH$173,24,TRUE)+(G138/100)</f>
        <v>324.01</v>
      </c>
      <c r="J138">
        <f t="shared" si="6"/>
        <v>324.02999999999997</v>
      </c>
      <c r="K138" t="s">
        <v>159</v>
      </c>
      <c r="L138" s="39" t="s">
        <v>82</v>
      </c>
      <c r="M138" s="41">
        <f t="shared" si="5"/>
        <v>1.6999999999999886</v>
      </c>
    </row>
    <row r="139" spans="1:13" x14ac:dyDescent="0.3">
      <c r="A139" s="1" t="s">
        <v>56</v>
      </c>
      <c r="B139" s="1" t="s">
        <v>47</v>
      </c>
      <c r="C139" s="1">
        <v>133</v>
      </c>
      <c r="D139" s="1" t="s">
        <v>34</v>
      </c>
      <c r="E139" s="1">
        <v>1</v>
      </c>
      <c r="F139" s="1" t="s">
        <v>75</v>
      </c>
      <c r="G139">
        <v>38</v>
      </c>
      <c r="H139" s="1">
        <v>40</v>
      </c>
      <c r="I139">
        <f>VLOOKUP(C139,[1]M0111B!$A$1:$AH$173,24,TRUE)+(G139/100)</f>
        <v>326.51</v>
      </c>
      <c r="J139">
        <f t="shared" si="6"/>
        <v>326.52999999999997</v>
      </c>
      <c r="K139" t="s">
        <v>160</v>
      </c>
      <c r="L139" s="39" t="s">
        <v>77</v>
      </c>
      <c r="M139" s="41">
        <f t="shared" si="5"/>
        <v>2.5</v>
      </c>
    </row>
    <row r="140" spans="1:13" x14ac:dyDescent="0.3">
      <c r="A140" s="1" t="s">
        <v>56</v>
      </c>
      <c r="B140" s="1" t="s">
        <v>47</v>
      </c>
      <c r="C140" s="1">
        <v>134</v>
      </c>
      <c r="D140" s="1" t="s">
        <v>34</v>
      </c>
      <c r="E140" s="1">
        <v>1</v>
      </c>
      <c r="F140" s="1" t="s">
        <v>75</v>
      </c>
      <c r="G140">
        <v>38</v>
      </c>
      <c r="H140" s="1">
        <v>40</v>
      </c>
      <c r="I140">
        <f>VLOOKUP(C140,[1]M0111B!$A$1:$AH$173,24,TRUE)+(G140/100)</f>
        <v>329.36</v>
      </c>
      <c r="J140">
        <f t="shared" si="6"/>
        <v>329.38</v>
      </c>
      <c r="K140" t="s">
        <v>161</v>
      </c>
      <c r="L140" s="39" t="s">
        <v>77</v>
      </c>
      <c r="M140" s="41">
        <f t="shared" si="5"/>
        <v>2.8500000000000227</v>
      </c>
    </row>
    <row r="141" spans="1:13" x14ac:dyDescent="0.3">
      <c r="A141" s="1" t="s">
        <v>56</v>
      </c>
      <c r="B141" s="1" t="s">
        <v>47</v>
      </c>
      <c r="C141" s="1">
        <v>135</v>
      </c>
      <c r="D141" s="1" t="s">
        <v>34</v>
      </c>
      <c r="E141" s="1">
        <v>1</v>
      </c>
      <c r="F141" s="1" t="s">
        <v>75</v>
      </c>
      <c r="G141">
        <v>38</v>
      </c>
      <c r="H141" s="1">
        <v>40</v>
      </c>
      <c r="I141">
        <f>VLOOKUP(C141,[1]M0111B!$A$1:$AH$173,24,TRUE)+(G141/100)</f>
        <v>331.21</v>
      </c>
      <c r="J141">
        <f t="shared" si="6"/>
        <v>331.22999999999996</v>
      </c>
      <c r="K141" t="s">
        <v>162</v>
      </c>
      <c r="L141" s="39" t="s">
        <v>77</v>
      </c>
      <c r="M141" s="41">
        <f t="shared" si="5"/>
        <v>1.8499999999999659</v>
      </c>
    </row>
    <row r="142" spans="1:13" x14ac:dyDescent="0.3">
      <c r="A142" s="1" t="s">
        <v>56</v>
      </c>
      <c r="B142" s="1" t="s">
        <v>47</v>
      </c>
      <c r="C142" s="1">
        <v>137</v>
      </c>
      <c r="D142" s="1" t="s">
        <v>34</v>
      </c>
      <c r="E142" s="1">
        <v>1</v>
      </c>
      <c r="F142" s="1" t="s">
        <v>75</v>
      </c>
      <c r="G142">
        <v>38</v>
      </c>
      <c r="H142" s="1">
        <v>40</v>
      </c>
      <c r="I142">
        <f>VLOOKUP(C142,[1]M0111B!$A$1:$AH$173,24,TRUE)+(G142/100)</f>
        <v>332.96</v>
      </c>
      <c r="J142">
        <f t="shared" si="6"/>
        <v>332.97999999999996</v>
      </c>
      <c r="K142" t="s">
        <v>163</v>
      </c>
      <c r="L142" s="39" t="s">
        <v>77</v>
      </c>
      <c r="M142" s="41">
        <f t="shared" si="5"/>
        <v>1.75</v>
      </c>
    </row>
    <row r="143" spans="1:13" x14ac:dyDescent="0.3">
      <c r="A143" s="1" t="s">
        <v>56</v>
      </c>
      <c r="B143" s="1" t="s">
        <v>47</v>
      </c>
      <c r="C143" s="1">
        <v>138</v>
      </c>
      <c r="D143" s="1" t="s">
        <v>34</v>
      </c>
      <c r="E143" s="1">
        <v>1</v>
      </c>
      <c r="F143" s="1" t="s">
        <v>75</v>
      </c>
      <c r="G143">
        <v>38</v>
      </c>
      <c r="H143" s="1">
        <v>40</v>
      </c>
      <c r="I143">
        <f>VLOOKUP(C143,[1]M0111B!$A$1:$AH$173,24,TRUE)+(G143/100)</f>
        <v>335.36</v>
      </c>
      <c r="J143">
        <f t="shared" si="6"/>
        <v>335.38</v>
      </c>
      <c r="K143" t="s">
        <v>131</v>
      </c>
      <c r="L143" s="39" t="s">
        <v>77</v>
      </c>
      <c r="M143" s="41">
        <f t="shared" si="5"/>
        <v>2.4000000000000341</v>
      </c>
    </row>
    <row r="144" spans="1:13" x14ac:dyDescent="0.3">
      <c r="A144" s="1" t="s">
        <v>56</v>
      </c>
      <c r="B144" s="1" t="s">
        <v>47</v>
      </c>
      <c r="C144" s="1">
        <v>139</v>
      </c>
      <c r="D144" s="1" t="s">
        <v>34</v>
      </c>
      <c r="E144" s="1">
        <v>1</v>
      </c>
      <c r="F144" s="1" t="s">
        <v>75</v>
      </c>
      <c r="G144">
        <v>38</v>
      </c>
      <c r="H144" s="1">
        <v>40</v>
      </c>
      <c r="I144">
        <f>VLOOKUP(C144,[1]M0111B!$A$1:$AH$173,24,TRUE)+(G144/100)</f>
        <v>336.71</v>
      </c>
      <c r="J144">
        <f t="shared" si="6"/>
        <v>336.72999999999996</v>
      </c>
      <c r="K144" t="s">
        <v>164</v>
      </c>
      <c r="L144" s="39" t="s">
        <v>77</v>
      </c>
      <c r="M144" s="41">
        <f t="shared" si="5"/>
        <v>1.3499999999999659</v>
      </c>
    </row>
    <row r="145" spans="1:13" x14ac:dyDescent="0.3">
      <c r="A145" s="1" t="s">
        <v>56</v>
      </c>
      <c r="B145" s="1" t="s">
        <v>47</v>
      </c>
      <c r="C145" s="1">
        <v>140</v>
      </c>
      <c r="D145" s="1" t="s">
        <v>34</v>
      </c>
      <c r="E145" s="1">
        <v>1</v>
      </c>
      <c r="F145" s="1" t="s">
        <v>75</v>
      </c>
      <c r="G145">
        <v>38</v>
      </c>
      <c r="H145" s="1">
        <v>40</v>
      </c>
      <c r="I145">
        <f>VLOOKUP(C145,[1]M0111B!$A$1:$AH$173,24,TRUE)+(G145/100)</f>
        <v>338.40999999999997</v>
      </c>
      <c r="J145">
        <f t="shared" si="6"/>
        <v>338.42999999999995</v>
      </c>
      <c r="K145" t="s">
        <v>151</v>
      </c>
      <c r="L145" s="39" t="s">
        <v>77</v>
      </c>
      <c r="M145" s="41">
        <f t="shared" si="5"/>
        <v>1.6999999999999886</v>
      </c>
    </row>
    <row r="146" spans="1:13" x14ac:dyDescent="0.3">
      <c r="A146" s="1" t="s">
        <v>56</v>
      </c>
      <c r="B146" s="1" t="s">
        <v>47</v>
      </c>
      <c r="C146" s="1">
        <v>144</v>
      </c>
      <c r="D146" s="1" t="s">
        <v>34</v>
      </c>
      <c r="E146" s="1">
        <v>1</v>
      </c>
      <c r="F146" s="1" t="s">
        <v>75</v>
      </c>
      <c r="G146">
        <v>28</v>
      </c>
      <c r="H146" s="1">
        <v>30</v>
      </c>
      <c r="I146">
        <f>VLOOKUP(C146,[1]M0111B!$A$1:$AH$173,24,TRUE)+(G146/100)</f>
        <v>344.71</v>
      </c>
      <c r="J146">
        <f t="shared" si="6"/>
        <v>344.72999999999996</v>
      </c>
      <c r="K146" t="s">
        <v>83</v>
      </c>
      <c r="L146" s="39" t="s">
        <v>77</v>
      </c>
      <c r="M146" s="41">
        <f t="shared" si="5"/>
        <v>6.3000000000000114</v>
      </c>
    </row>
    <row r="147" spans="1:13" x14ac:dyDescent="0.3">
      <c r="A147" s="1" t="s">
        <v>56</v>
      </c>
      <c r="B147" s="1" t="s">
        <v>47</v>
      </c>
      <c r="C147" s="1">
        <v>147</v>
      </c>
      <c r="D147" s="1" t="s">
        <v>34</v>
      </c>
      <c r="E147" s="1">
        <v>1</v>
      </c>
      <c r="F147" s="1" t="s">
        <v>75</v>
      </c>
      <c r="G147">
        <v>38</v>
      </c>
      <c r="H147" s="1">
        <v>40</v>
      </c>
      <c r="I147">
        <f>VLOOKUP(C147,[1]M0111B!$A$1:$AH$173,24,TRUE)+(G147/100)</f>
        <v>346.51</v>
      </c>
      <c r="J147">
        <f t="shared" si="6"/>
        <v>346.53</v>
      </c>
      <c r="K147" t="s">
        <v>165</v>
      </c>
      <c r="L147" s="39" t="s">
        <v>77</v>
      </c>
      <c r="M147" s="41">
        <f t="shared" si="5"/>
        <v>1.8000000000000114</v>
      </c>
    </row>
    <row r="148" spans="1:13" x14ac:dyDescent="0.3">
      <c r="A148" s="1" t="s">
        <v>56</v>
      </c>
      <c r="B148" s="1" t="s">
        <v>47</v>
      </c>
      <c r="C148" s="1">
        <v>149</v>
      </c>
      <c r="D148" s="1" t="s">
        <v>34</v>
      </c>
      <c r="E148" s="1">
        <v>1</v>
      </c>
      <c r="F148" s="1" t="s">
        <v>75</v>
      </c>
      <c r="G148">
        <v>38</v>
      </c>
      <c r="H148" s="1">
        <v>40</v>
      </c>
      <c r="I148">
        <f>VLOOKUP(C148,[1]M0111B!$A$1:$AH$173,24,TRUE)+(G148/100)</f>
        <v>348.40999999999997</v>
      </c>
      <c r="J148">
        <f t="shared" si="6"/>
        <v>348.42999999999995</v>
      </c>
      <c r="K148" t="s">
        <v>166</v>
      </c>
      <c r="L148" s="39" t="s">
        <v>77</v>
      </c>
      <c r="M148" s="41">
        <f t="shared" si="5"/>
        <v>1.8999999999999773</v>
      </c>
    </row>
    <row r="149" spans="1:13" x14ac:dyDescent="0.3">
      <c r="A149" s="1" t="s">
        <v>56</v>
      </c>
      <c r="B149" s="1" t="s">
        <v>47</v>
      </c>
      <c r="C149" s="1">
        <v>151</v>
      </c>
      <c r="D149" s="1" t="s">
        <v>34</v>
      </c>
      <c r="E149" s="1">
        <v>1</v>
      </c>
      <c r="F149" s="1" t="s">
        <v>75</v>
      </c>
      <c r="G149">
        <v>38</v>
      </c>
      <c r="H149" s="1">
        <v>40</v>
      </c>
      <c r="I149">
        <f>VLOOKUP(C149,[1]M0111B!$A$1:$AH$173,24,TRUE)+(G149/100)</f>
        <v>350.40999999999997</v>
      </c>
      <c r="J149">
        <f t="shared" si="6"/>
        <v>350.42999999999995</v>
      </c>
      <c r="K149" t="s">
        <v>167</v>
      </c>
      <c r="L149" s="39" t="s">
        <v>77</v>
      </c>
      <c r="M149" s="41">
        <f t="shared" si="5"/>
        <v>2</v>
      </c>
    </row>
    <row r="150" spans="1:13" x14ac:dyDescent="0.3">
      <c r="A150" s="1" t="s">
        <v>56</v>
      </c>
      <c r="B150" s="1" t="s">
        <v>47</v>
      </c>
      <c r="C150" s="1">
        <v>152</v>
      </c>
      <c r="D150" s="1" t="s">
        <v>34</v>
      </c>
      <c r="E150" s="1">
        <v>1</v>
      </c>
      <c r="F150" s="1" t="s">
        <v>75</v>
      </c>
      <c r="G150">
        <v>28</v>
      </c>
      <c r="H150" s="1">
        <v>30</v>
      </c>
      <c r="I150">
        <f>VLOOKUP(C150,[1]M0111B!$A$1:$AH$173,24,TRUE)+(G150/100)</f>
        <v>351.55999999999995</v>
      </c>
      <c r="J150">
        <f t="shared" si="6"/>
        <v>351.57999999999993</v>
      </c>
      <c r="K150" t="s">
        <v>168</v>
      </c>
      <c r="L150" s="39" t="s">
        <v>82</v>
      </c>
      <c r="M150" s="41">
        <f t="shared" si="5"/>
        <v>1.1499999999999773</v>
      </c>
    </row>
    <row r="151" spans="1:13" x14ac:dyDescent="0.3">
      <c r="A151" s="1" t="s">
        <v>56</v>
      </c>
      <c r="B151" s="1" t="s">
        <v>47</v>
      </c>
      <c r="C151" s="1">
        <v>154</v>
      </c>
      <c r="D151" s="1" t="s">
        <v>34</v>
      </c>
      <c r="E151" s="1">
        <v>1</v>
      </c>
      <c r="F151" s="1" t="s">
        <v>75</v>
      </c>
      <c r="G151">
        <v>18</v>
      </c>
      <c r="H151" s="1">
        <v>20</v>
      </c>
      <c r="I151">
        <f>VLOOKUP(C151,[1]M0111B!$A$1:$AH$173,24,TRUE)+(G151/100)</f>
        <v>353.76</v>
      </c>
      <c r="J151">
        <f t="shared" si="6"/>
        <v>353.78</v>
      </c>
      <c r="K151" t="s">
        <v>169</v>
      </c>
      <c r="L151" s="39" t="s">
        <v>82</v>
      </c>
      <c r="M151" s="41">
        <f t="shared" si="5"/>
        <v>2.2000000000000455</v>
      </c>
    </row>
    <row r="152" spans="1:13" x14ac:dyDescent="0.3">
      <c r="A152" s="45" t="s">
        <v>56</v>
      </c>
      <c r="B152" s="45" t="s">
        <v>47</v>
      </c>
      <c r="C152" s="45">
        <v>155</v>
      </c>
      <c r="D152" s="45" t="s">
        <v>34</v>
      </c>
      <c r="E152" s="45">
        <v>1</v>
      </c>
      <c r="F152" s="45" t="s">
        <v>75</v>
      </c>
      <c r="G152" s="46">
        <v>38</v>
      </c>
      <c r="H152" s="45">
        <v>40</v>
      </c>
      <c r="I152" s="46">
        <f>VLOOKUP(C152,[1]M0111B!$A$1:$AH$173,24,TRUE)+(G152/100)</f>
        <v>355.93</v>
      </c>
      <c r="J152" s="46">
        <f t="shared" si="6"/>
        <v>355.95</v>
      </c>
      <c r="K152" s="46" t="s">
        <v>170</v>
      </c>
      <c r="L152" s="49" t="s">
        <v>77</v>
      </c>
      <c r="M152" s="47">
        <f t="shared" si="5"/>
        <v>2.1700000000000159</v>
      </c>
    </row>
    <row r="153" spans="1:13" x14ac:dyDescent="0.3">
      <c r="A153" s="45" t="s">
        <v>56</v>
      </c>
      <c r="B153" s="45" t="s">
        <v>47</v>
      </c>
      <c r="C153" s="45">
        <v>157</v>
      </c>
      <c r="D153" s="45" t="s">
        <v>34</v>
      </c>
      <c r="E153" s="45">
        <v>1</v>
      </c>
      <c r="F153" s="45" t="s">
        <v>75</v>
      </c>
      <c r="G153" s="46">
        <v>38</v>
      </c>
      <c r="H153" s="45">
        <v>40</v>
      </c>
      <c r="I153" s="46">
        <f>VLOOKUP(C153,[1]M0111B!$A$1:$AH$173,24,TRUE)+(G153/100)</f>
        <v>361.21</v>
      </c>
      <c r="J153" s="46">
        <f t="shared" si="6"/>
        <v>361.22999999999996</v>
      </c>
      <c r="K153" s="46" t="s">
        <v>171</v>
      </c>
      <c r="L153" s="49" t="s">
        <v>77</v>
      </c>
      <c r="M153" s="47">
        <f t="shared" si="5"/>
        <v>5.2799999999999727</v>
      </c>
    </row>
    <row r="154" spans="1:13" x14ac:dyDescent="0.3">
      <c r="A154" s="45" t="s">
        <v>56</v>
      </c>
      <c r="B154" s="45" t="s">
        <v>47</v>
      </c>
      <c r="C154" s="45">
        <v>158</v>
      </c>
      <c r="D154" s="45" t="s">
        <v>34</v>
      </c>
      <c r="E154" s="45">
        <v>1</v>
      </c>
      <c r="F154" s="45" t="s">
        <v>75</v>
      </c>
      <c r="G154" s="46">
        <v>38</v>
      </c>
      <c r="H154" s="45">
        <v>40</v>
      </c>
      <c r="I154" s="46">
        <f>VLOOKUP(C154,[1]M0111B!$A$1:$AH$173,24,TRUE)+(G154/100)</f>
        <v>362.11</v>
      </c>
      <c r="J154" s="46">
        <f t="shared" si="6"/>
        <v>362.13</v>
      </c>
      <c r="K154" s="46" t="s">
        <v>171</v>
      </c>
      <c r="L154" s="49" t="s">
        <v>77</v>
      </c>
      <c r="M154" s="47">
        <f t="shared" si="5"/>
        <v>0.90000000000003411</v>
      </c>
    </row>
    <row r="155" spans="1:13" x14ac:dyDescent="0.3">
      <c r="A155" s="1" t="s">
        <v>56</v>
      </c>
      <c r="B155" s="1" t="s">
        <v>47</v>
      </c>
      <c r="C155" s="1">
        <v>159</v>
      </c>
      <c r="D155" s="1" t="s">
        <v>34</v>
      </c>
      <c r="E155" s="1">
        <v>1</v>
      </c>
      <c r="F155" s="1" t="s">
        <v>75</v>
      </c>
      <c r="G155">
        <v>38</v>
      </c>
      <c r="H155" s="1">
        <v>40</v>
      </c>
      <c r="I155">
        <f>VLOOKUP(C155,[1]M0111B!$A$1:$AH$173,24,TRUE)+(G155/100)</f>
        <v>365.15999999999997</v>
      </c>
      <c r="J155">
        <f t="shared" si="6"/>
        <v>365.17999999999995</v>
      </c>
      <c r="K155" t="s">
        <v>172</v>
      </c>
      <c r="L155" s="39" t="s">
        <v>77</v>
      </c>
      <c r="M155" s="41">
        <f t="shared" si="5"/>
        <v>3.0499999999999545</v>
      </c>
    </row>
    <row r="156" spans="1:13" x14ac:dyDescent="0.3">
      <c r="A156" s="1" t="s">
        <v>56</v>
      </c>
      <c r="B156" s="1" t="s">
        <v>47</v>
      </c>
      <c r="C156" s="1">
        <v>160</v>
      </c>
      <c r="D156" s="1" t="s">
        <v>34</v>
      </c>
      <c r="E156" s="1">
        <v>1</v>
      </c>
      <c r="F156" s="1" t="s">
        <v>75</v>
      </c>
      <c r="G156">
        <v>38</v>
      </c>
      <c r="H156" s="1">
        <v>40</v>
      </c>
      <c r="I156">
        <f>VLOOKUP(C156,[1]M0111B!$A$1:$AH$173,24,TRUE)+(G156/100)</f>
        <v>366.46</v>
      </c>
      <c r="J156">
        <f t="shared" si="6"/>
        <v>366.47999999999996</v>
      </c>
      <c r="K156" t="s">
        <v>173</v>
      </c>
      <c r="L156" s="53" t="s">
        <v>174</v>
      </c>
      <c r="M156" s="41">
        <f t="shared" si="5"/>
        <v>1.3000000000000114</v>
      </c>
    </row>
    <row r="157" spans="1:13" x14ac:dyDescent="0.3">
      <c r="A157" s="1" t="s">
        <v>56</v>
      </c>
      <c r="B157" s="1" t="s">
        <v>47</v>
      </c>
      <c r="C157" s="1">
        <v>161</v>
      </c>
      <c r="D157" s="1" t="s">
        <v>34</v>
      </c>
      <c r="E157" s="1">
        <v>1</v>
      </c>
      <c r="F157" s="1" t="s">
        <v>75</v>
      </c>
      <c r="G157">
        <v>38</v>
      </c>
      <c r="H157" s="1">
        <v>40</v>
      </c>
      <c r="I157">
        <f>VLOOKUP(C157,[1]M0111B!$A$1:$AH$173,24,TRUE)+(G157/100)</f>
        <v>369.21</v>
      </c>
      <c r="J157">
        <f t="shared" si="6"/>
        <v>369.22999999999996</v>
      </c>
      <c r="K157" t="s">
        <v>175</v>
      </c>
      <c r="L157" s="39" t="s">
        <v>77</v>
      </c>
      <c r="M157" s="41">
        <f t="shared" si="5"/>
        <v>2.75</v>
      </c>
    </row>
    <row r="158" spans="1:13" x14ac:dyDescent="0.3">
      <c r="A158" s="1" t="s">
        <v>56</v>
      </c>
      <c r="B158" s="1" t="s">
        <v>47</v>
      </c>
      <c r="C158" s="1">
        <v>165</v>
      </c>
      <c r="D158" s="1" t="s">
        <v>34</v>
      </c>
      <c r="E158" s="1">
        <v>1</v>
      </c>
      <c r="F158" s="1" t="s">
        <v>75</v>
      </c>
      <c r="G158">
        <v>38</v>
      </c>
      <c r="H158" s="1">
        <v>40</v>
      </c>
      <c r="I158">
        <f>VLOOKUP(C158,[1]M0111B!$A$1:$AH$173,24,TRUE)+(G158/100)</f>
        <v>378.36</v>
      </c>
      <c r="J158">
        <f t="shared" si="6"/>
        <v>378.38</v>
      </c>
      <c r="K158" t="s">
        <v>176</v>
      </c>
      <c r="L158" s="39" t="s">
        <v>77</v>
      </c>
      <c r="M158" s="41">
        <f t="shared" si="5"/>
        <v>9.1500000000000341</v>
      </c>
    </row>
    <row r="159" spans="1:13" x14ac:dyDescent="0.3">
      <c r="A159" s="1" t="s">
        <v>56</v>
      </c>
      <c r="B159" s="1" t="s">
        <v>47</v>
      </c>
      <c r="C159" s="1">
        <v>166</v>
      </c>
      <c r="D159" s="1" t="s">
        <v>34</v>
      </c>
      <c r="E159" s="1">
        <v>1</v>
      </c>
      <c r="F159" s="1" t="s">
        <v>75</v>
      </c>
      <c r="G159">
        <v>38</v>
      </c>
      <c r="H159" s="1">
        <v>40</v>
      </c>
      <c r="I159">
        <f>VLOOKUP(C159,[1]M0111B!$A$1:$AH$173,24,TRUE)+(G159/100)</f>
        <v>381.40999999999997</v>
      </c>
      <c r="J159">
        <f t="shared" si="6"/>
        <v>381.42999999999995</v>
      </c>
      <c r="K159" t="s">
        <v>177</v>
      </c>
      <c r="L159" s="39" t="s">
        <v>77</v>
      </c>
      <c r="M159" s="41">
        <f t="shared" si="5"/>
        <v>3.0499999999999545</v>
      </c>
    </row>
    <row r="160" spans="1:13" x14ac:dyDescent="0.3">
      <c r="L160" s="44"/>
      <c r="M160" s="43"/>
    </row>
    <row r="161" spans="1:13" x14ac:dyDescent="0.3">
      <c r="A161" s="1" t="s">
        <v>56</v>
      </c>
      <c r="B161" s="1" t="s">
        <v>48</v>
      </c>
      <c r="C161" s="1">
        <v>1</v>
      </c>
      <c r="D161" s="1" t="s">
        <v>57</v>
      </c>
      <c r="E161" s="1">
        <v>1</v>
      </c>
      <c r="F161" s="1" t="s">
        <v>75</v>
      </c>
      <c r="G161">
        <v>38</v>
      </c>
      <c r="H161" s="1">
        <v>40</v>
      </c>
      <c r="I161">
        <f>VLOOKUP(C161,[1]M0111C!$A$1:$AH$41,24,TRUE)+(G161/100)</f>
        <v>45.940000000000005</v>
      </c>
      <c r="J161">
        <f t="shared" si="6"/>
        <v>45.960000000000008</v>
      </c>
      <c r="K161" t="s">
        <v>130</v>
      </c>
      <c r="L161" s="39" t="s">
        <v>77</v>
      </c>
      <c r="M161" s="40" t="s">
        <v>78</v>
      </c>
    </row>
    <row r="162" spans="1:13" x14ac:dyDescent="0.3">
      <c r="A162" s="45" t="s">
        <v>56</v>
      </c>
      <c r="B162" s="45" t="s">
        <v>48</v>
      </c>
      <c r="C162" s="45">
        <v>2</v>
      </c>
      <c r="D162" s="45" t="s">
        <v>57</v>
      </c>
      <c r="E162" s="45">
        <v>1</v>
      </c>
      <c r="F162" s="45" t="s">
        <v>75</v>
      </c>
      <c r="G162" s="46">
        <v>38</v>
      </c>
      <c r="H162" s="45">
        <v>40</v>
      </c>
      <c r="I162" s="46">
        <f>VLOOKUP(C162,[1]M0111C!$A$1:$AH$41,24,TRUE)+(G162/100)</f>
        <v>48.050000000000004</v>
      </c>
      <c r="J162" s="46">
        <f t="shared" si="6"/>
        <v>48.070000000000007</v>
      </c>
      <c r="K162" s="46" t="s">
        <v>178</v>
      </c>
      <c r="L162" s="49" t="s">
        <v>77</v>
      </c>
      <c r="M162" s="47">
        <f>I162-I161</f>
        <v>2.1099999999999994</v>
      </c>
    </row>
    <row r="163" spans="1:13" x14ac:dyDescent="0.3">
      <c r="A163" s="45" t="s">
        <v>56</v>
      </c>
      <c r="B163" s="45" t="s">
        <v>48</v>
      </c>
      <c r="C163" s="45">
        <v>3</v>
      </c>
      <c r="D163" s="45" t="s">
        <v>57</v>
      </c>
      <c r="E163" s="45">
        <v>1</v>
      </c>
      <c r="F163" s="45" t="s">
        <v>75</v>
      </c>
      <c r="G163" s="46">
        <v>38</v>
      </c>
      <c r="H163" s="45">
        <v>40</v>
      </c>
      <c r="I163" s="46">
        <f>VLOOKUP(C163,[1]M0111C!$A$1:$AH$41,24,TRUE)+(G163/100)</f>
        <v>48.940000000000005</v>
      </c>
      <c r="J163" s="46">
        <f t="shared" si="6"/>
        <v>48.960000000000008</v>
      </c>
      <c r="K163" s="46" t="s">
        <v>179</v>
      </c>
      <c r="L163" s="49" t="s">
        <v>77</v>
      </c>
      <c r="M163" s="47">
        <f>I163-I162</f>
        <v>0.89000000000000057</v>
      </c>
    </row>
    <row r="164" spans="1:13" x14ac:dyDescent="0.3">
      <c r="A164" s="45" t="s">
        <v>56</v>
      </c>
      <c r="B164" s="45" t="s">
        <v>48</v>
      </c>
      <c r="C164" s="45">
        <v>5</v>
      </c>
      <c r="D164" s="45" t="s">
        <v>57</v>
      </c>
      <c r="E164" s="45">
        <v>1</v>
      </c>
      <c r="F164" s="45" t="s">
        <v>75</v>
      </c>
      <c r="G164" s="46">
        <v>16</v>
      </c>
      <c r="H164" s="45">
        <v>18</v>
      </c>
      <c r="I164" s="46">
        <f>VLOOKUP(C164,[1]M0111C!$A$1:$AH$41,24,TRUE)+(G164/100)</f>
        <v>110.16</v>
      </c>
      <c r="J164" s="46">
        <f t="shared" si="6"/>
        <v>110.17999999999999</v>
      </c>
      <c r="K164" s="46" t="s">
        <v>180</v>
      </c>
      <c r="L164" s="49" t="s">
        <v>77</v>
      </c>
      <c r="M164" s="47"/>
    </row>
    <row r="165" spans="1:13" x14ac:dyDescent="0.3">
      <c r="A165" s="45" t="s">
        <v>56</v>
      </c>
      <c r="B165" s="45" t="s">
        <v>48</v>
      </c>
      <c r="C165" s="45">
        <v>6</v>
      </c>
      <c r="D165" s="45" t="s">
        <v>57</v>
      </c>
      <c r="E165" s="45">
        <v>1</v>
      </c>
      <c r="F165" s="45" t="s">
        <v>75</v>
      </c>
      <c r="G165" s="46">
        <v>38</v>
      </c>
      <c r="H165" s="45">
        <v>40</v>
      </c>
      <c r="I165" s="46">
        <f>VLOOKUP(C165,[1]M0111C!$A$1:$AH$41,24,TRUE)+(G165/100)</f>
        <v>111.74</v>
      </c>
      <c r="J165" s="46">
        <f t="shared" si="6"/>
        <v>111.75999999999999</v>
      </c>
      <c r="K165" s="46" t="s">
        <v>181</v>
      </c>
      <c r="L165" s="49" t="s">
        <v>77</v>
      </c>
      <c r="M165" s="47">
        <f>I165-I164</f>
        <v>1.5799999999999983</v>
      </c>
    </row>
    <row r="166" spans="1:13" x14ac:dyDescent="0.3">
      <c r="A166" s="1" t="s">
        <v>56</v>
      </c>
      <c r="B166" s="1" t="s">
        <v>48</v>
      </c>
      <c r="C166" s="1">
        <v>7</v>
      </c>
      <c r="D166" s="1" t="s">
        <v>34</v>
      </c>
      <c r="E166" s="1">
        <v>1</v>
      </c>
      <c r="F166" s="1" t="s">
        <v>75</v>
      </c>
      <c r="G166">
        <v>38</v>
      </c>
      <c r="H166" s="1">
        <v>40</v>
      </c>
      <c r="I166">
        <f>VLOOKUP(C166,[1]M0111C!$A$1:$AH$41,24,TRUE)+(G166/100)</f>
        <v>120.74</v>
      </c>
      <c r="J166">
        <f t="shared" si="6"/>
        <v>120.75999999999999</v>
      </c>
      <c r="K166" t="s">
        <v>182</v>
      </c>
      <c r="L166" s="39" t="s">
        <v>77</v>
      </c>
      <c r="M166" s="41"/>
    </row>
    <row r="167" spans="1:13" x14ac:dyDescent="0.3">
      <c r="A167" s="45" t="s">
        <v>56</v>
      </c>
      <c r="B167" s="45" t="s">
        <v>48</v>
      </c>
      <c r="C167" s="45">
        <v>8</v>
      </c>
      <c r="D167" s="45" t="s">
        <v>34</v>
      </c>
      <c r="E167" s="45">
        <v>1</v>
      </c>
      <c r="F167" s="45" t="s">
        <v>75</v>
      </c>
      <c r="G167" s="46">
        <v>38</v>
      </c>
      <c r="H167" s="45">
        <v>40</v>
      </c>
      <c r="I167" s="46">
        <f>VLOOKUP(C167,[1]M0111C!$A$1:$AH$41,24,TRUE)+(G167/100)</f>
        <v>125.38</v>
      </c>
      <c r="J167" s="46">
        <f t="shared" si="6"/>
        <v>125.39999999999999</v>
      </c>
      <c r="K167" s="46" t="s">
        <v>126</v>
      </c>
      <c r="L167" s="49" t="s">
        <v>77</v>
      </c>
      <c r="M167" s="47">
        <f>I167-I166</f>
        <v>4.6400000000000006</v>
      </c>
    </row>
    <row r="168" spans="1:13" x14ac:dyDescent="0.3">
      <c r="A168" s="45" t="s">
        <v>56</v>
      </c>
      <c r="B168" s="45" t="s">
        <v>48</v>
      </c>
      <c r="C168" s="45">
        <v>9</v>
      </c>
      <c r="D168" s="45" t="s">
        <v>34</v>
      </c>
      <c r="E168" s="45">
        <v>1</v>
      </c>
      <c r="F168" s="45" t="s">
        <v>75</v>
      </c>
      <c r="G168" s="46">
        <v>38</v>
      </c>
      <c r="H168" s="45">
        <v>40</v>
      </c>
      <c r="I168" s="46">
        <f>VLOOKUP(C168,[1]M0111C!$A$1:$AH$41,24,TRUE)+(G168/100)</f>
        <v>126.74</v>
      </c>
      <c r="J168" s="46">
        <f t="shared" si="6"/>
        <v>126.75999999999999</v>
      </c>
      <c r="K168" s="46" t="s">
        <v>183</v>
      </c>
      <c r="L168" s="49" t="s">
        <v>77</v>
      </c>
      <c r="M168" s="47">
        <f>I168-I167</f>
        <v>1.3599999999999994</v>
      </c>
    </row>
    <row r="169" spans="1:13" x14ac:dyDescent="0.3">
      <c r="A169" s="1" t="s">
        <v>56</v>
      </c>
      <c r="B169" s="1" t="s">
        <v>48</v>
      </c>
      <c r="C169" s="1">
        <v>10</v>
      </c>
      <c r="D169" s="1" t="s">
        <v>34</v>
      </c>
      <c r="E169" s="1">
        <v>1</v>
      </c>
      <c r="F169" s="1" t="s">
        <v>75</v>
      </c>
      <c r="G169">
        <v>38</v>
      </c>
      <c r="H169" s="1">
        <v>40</v>
      </c>
      <c r="I169">
        <f>VLOOKUP(C169,[1]M0111C!$A$1:$AH$41,24,TRUE)+(G169/100)</f>
        <v>150.38</v>
      </c>
      <c r="J169">
        <f t="shared" si="6"/>
        <v>150.4</v>
      </c>
      <c r="K169" t="s">
        <v>184</v>
      </c>
      <c r="L169" s="39" t="s">
        <v>77</v>
      </c>
      <c r="M169" s="41"/>
    </row>
    <row r="170" spans="1:13" x14ac:dyDescent="0.3">
      <c r="A170" s="45" t="s">
        <v>56</v>
      </c>
      <c r="B170" s="45" t="s">
        <v>48</v>
      </c>
      <c r="C170" s="45">
        <v>11</v>
      </c>
      <c r="D170" s="45" t="s">
        <v>34</v>
      </c>
      <c r="E170" s="45">
        <v>1</v>
      </c>
      <c r="F170" s="45" t="s">
        <v>75</v>
      </c>
      <c r="G170" s="46">
        <v>38</v>
      </c>
      <c r="H170" s="45">
        <v>40</v>
      </c>
      <c r="I170" s="46">
        <f>VLOOKUP(C170,[1]M0111C!$A$1:$AH$41,24,TRUE)+(G170/100)</f>
        <v>153.38</v>
      </c>
      <c r="J170" s="46">
        <f t="shared" si="6"/>
        <v>153.4</v>
      </c>
      <c r="K170" s="46" t="s">
        <v>185</v>
      </c>
      <c r="L170" s="49" t="s">
        <v>77</v>
      </c>
      <c r="M170" s="47">
        <f t="shared" ref="M170:M177" si="7">I170-I169</f>
        <v>3</v>
      </c>
    </row>
    <row r="171" spans="1:13" x14ac:dyDescent="0.3">
      <c r="A171" s="1" t="s">
        <v>56</v>
      </c>
      <c r="B171" s="1" t="s">
        <v>48</v>
      </c>
      <c r="C171" s="1">
        <v>12</v>
      </c>
      <c r="D171" s="1" t="s">
        <v>34</v>
      </c>
      <c r="E171" s="1">
        <v>1</v>
      </c>
      <c r="F171" s="1" t="s">
        <v>75</v>
      </c>
      <c r="G171">
        <v>38</v>
      </c>
      <c r="H171" s="1">
        <v>40</v>
      </c>
      <c r="I171">
        <f>VLOOKUP(C171,[1]M0111C!$A$1:$AH$41,24,TRUE)+(G171/100)</f>
        <v>156.38</v>
      </c>
      <c r="J171">
        <f t="shared" si="6"/>
        <v>156.4</v>
      </c>
      <c r="K171" s="42" t="s">
        <v>186</v>
      </c>
      <c r="L171" s="39" t="s">
        <v>77</v>
      </c>
      <c r="M171" s="41">
        <f t="shared" si="7"/>
        <v>3</v>
      </c>
    </row>
    <row r="172" spans="1:13" x14ac:dyDescent="0.3">
      <c r="A172" s="1" t="s">
        <v>56</v>
      </c>
      <c r="B172" s="1" t="s">
        <v>48</v>
      </c>
      <c r="C172" s="1">
        <v>13</v>
      </c>
      <c r="D172" s="1" t="s">
        <v>34</v>
      </c>
      <c r="E172" s="1">
        <v>1</v>
      </c>
      <c r="F172" s="1" t="s">
        <v>75</v>
      </c>
      <c r="G172">
        <v>38</v>
      </c>
      <c r="H172" s="1">
        <v>40</v>
      </c>
      <c r="I172">
        <f>VLOOKUP(C172,[1]M0111C!$A$1:$AH$41,24,TRUE)+(G172/100)</f>
        <v>159.38</v>
      </c>
      <c r="J172">
        <f t="shared" si="6"/>
        <v>159.4</v>
      </c>
      <c r="K172" s="42" t="s">
        <v>187</v>
      </c>
      <c r="L172" s="39" t="s">
        <v>77</v>
      </c>
      <c r="M172" s="41">
        <f t="shared" si="7"/>
        <v>3</v>
      </c>
    </row>
    <row r="173" spans="1:13" x14ac:dyDescent="0.3">
      <c r="A173" s="1" t="s">
        <v>56</v>
      </c>
      <c r="B173" s="1" t="s">
        <v>48</v>
      </c>
      <c r="C173" s="1">
        <v>14</v>
      </c>
      <c r="D173" s="1" t="s">
        <v>34</v>
      </c>
      <c r="E173" s="1">
        <v>1</v>
      </c>
      <c r="F173" s="1" t="s">
        <v>75</v>
      </c>
      <c r="G173">
        <v>38</v>
      </c>
      <c r="H173" s="1">
        <v>40</v>
      </c>
      <c r="I173">
        <f>VLOOKUP(C173,[1]M0111C!$A$1:$AH$41,24,TRUE)+(G173/100)</f>
        <v>161.54</v>
      </c>
      <c r="J173">
        <f t="shared" si="6"/>
        <v>161.56</v>
      </c>
      <c r="K173" s="42" t="s">
        <v>188</v>
      </c>
      <c r="L173" s="39" t="s">
        <v>77</v>
      </c>
      <c r="M173" s="41">
        <f t="shared" si="7"/>
        <v>2.1599999999999966</v>
      </c>
    </row>
    <row r="174" spans="1:13" x14ac:dyDescent="0.3">
      <c r="A174" s="1" t="s">
        <v>56</v>
      </c>
      <c r="B174" s="1" t="s">
        <v>48</v>
      </c>
      <c r="C174" s="1">
        <v>15</v>
      </c>
      <c r="D174" s="1" t="s">
        <v>34</v>
      </c>
      <c r="E174" s="1">
        <v>1</v>
      </c>
      <c r="F174" s="1" t="s">
        <v>75</v>
      </c>
      <c r="G174">
        <v>38</v>
      </c>
      <c r="H174" s="1">
        <v>40</v>
      </c>
      <c r="I174">
        <f>VLOOKUP(C174,[1]M0111C!$A$1:$AH$41,24,TRUE)+(G174/100)</f>
        <v>162.74</v>
      </c>
      <c r="J174">
        <f t="shared" si="6"/>
        <v>162.76000000000002</v>
      </c>
      <c r="K174" t="s">
        <v>189</v>
      </c>
      <c r="L174" s="39" t="s">
        <v>77</v>
      </c>
      <c r="M174" s="41">
        <f t="shared" si="7"/>
        <v>1.2000000000000171</v>
      </c>
    </row>
    <row r="175" spans="1:13" x14ac:dyDescent="0.3">
      <c r="A175" s="1" t="s">
        <v>56</v>
      </c>
      <c r="B175" s="1" t="s">
        <v>48</v>
      </c>
      <c r="C175" s="1">
        <v>17</v>
      </c>
      <c r="D175" s="1" t="s">
        <v>34</v>
      </c>
      <c r="E175" s="1">
        <v>1</v>
      </c>
      <c r="F175" s="1" t="s">
        <v>75</v>
      </c>
      <c r="G175">
        <v>8</v>
      </c>
      <c r="H175" s="1">
        <v>10</v>
      </c>
      <c r="I175">
        <f>VLOOKUP(C175,[1]M0111C!$A$1:$AH$41,24,TRUE)+(G175/100)</f>
        <v>166.44000000000003</v>
      </c>
      <c r="J175">
        <f t="shared" si="6"/>
        <v>166.46000000000004</v>
      </c>
      <c r="K175" t="s">
        <v>158</v>
      </c>
      <c r="L175" s="39" t="s">
        <v>82</v>
      </c>
      <c r="M175" s="41">
        <f t="shared" si="7"/>
        <v>3.7000000000000171</v>
      </c>
    </row>
    <row r="176" spans="1:13" x14ac:dyDescent="0.3">
      <c r="A176" s="1" t="s">
        <v>56</v>
      </c>
      <c r="B176" s="1" t="s">
        <v>48</v>
      </c>
      <c r="C176" s="1">
        <v>18</v>
      </c>
      <c r="D176" s="1" t="s">
        <v>34</v>
      </c>
      <c r="E176" s="1">
        <v>1</v>
      </c>
      <c r="F176" s="1" t="s">
        <v>75</v>
      </c>
      <c r="G176">
        <v>38</v>
      </c>
      <c r="H176" s="1">
        <v>40</v>
      </c>
      <c r="I176">
        <f>VLOOKUP(C176,[1]M0111C!$A$1:$AH$41,24,TRUE)+(G176/100)</f>
        <v>168.74</v>
      </c>
      <c r="J176">
        <f t="shared" si="6"/>
        <v>168.76000000000002</v>
      </c>
      <c r="K176" t="s">
        <v>190</v>
      </c>
      <c r="L176" s="39" t="s">
        <v>77</v>
      </c>
      <c r="M176" s="41">
        <f t="shared" si="7"/>
        <v>2.2999999999999829</v>
      </c>
    </row>
    <row r="177" spans="1:13" x14ac:dyDescent="0.3">
      <c r="A177" s="45" t="s">
        <v>56</v>
      </c>
      <c r="B177" s="45" t="s">
        <v>48</v>
      </c>
      <c r="C177" s="45">
        <v>20</v>
      </c>
      <c r="D177" s="45" t="s">
        <v>34</v>
      </c>
      <c r="E177" s="45">
        <v>1</v>
      </c>
      <c r="F177" s="45" t="s">
        <v>75</v>
      </c>
      <c r="G177" s="46">
        <v>38</v>
      </c>
      <c r="H177" s="45">
        <v>40</v>
      </c>
      <c r="I177" s="46">
        <f>VLOOKUP(C177,[1]M0111C!$A$1:$AH$41,24,TRUE)+(G177/100)</f>
        <v>171.74</v>
      </c>
      <c r="J177" s="46">
        <f t="shared" si="6"/>
        <v>171.76000000000002</v>
      </c>
      <c r="K177" s="46" t="s">
        <v>126</v>
      </c>
      <c r="L177" s="49" t="s">
        <v>77</v>
      </c>
      <c r="M177" s="47">
        <f t="shared" si="7"/>
        <v>3</v>
      </c>
    </row>
    <row r="178" spans="1:13" x14ac:dyDescent="0.3">
      <c r="A178" s="45" t="s">
        <v>56</v>
      </c>
      <c r="B178" s="45" t="s">
        <v>48</v>
      </c>
      <c r="C178" s="45">
        <v>21</v>
      </c>
      <c r="D178" s="45" t="s">
        <v>34</v>
      </c>
      <c r="E178" s="45">
        <v>1</v>
      </c>
      <c r="F178" s="45" t="s">
        <v>75</v>
      </c>
      <c r="G178" s="46">
        <v>38</v>
      </c>
      <c r="H178" s="45">
        <v>40</v>
      </c>
      <c r="I178" s="46">
        <f>VLOOKUP(C178,[1]M0111C!$A$1:$AH$41,24,TRUE)+(G178/100)</f>
        <v>177.74</v>
      </c>
      <c r="J178" s="46">
        <f t="shared" si="6"/>
        <v>177.76000000000002</v>
      </c>
      <c r="K178" s="46" t="s">
        <v>126</v>
      </c>
      <c r="L178" s="49" t="s">
        <v>77</v>
      </c>
      <c r="M178" s="47"/>
    </row>
    <row r="179" spans="1:13" x14ac:dyDescent="0.3">
      <c r="A179" s="45" t="s">
        <v>56</v>
      </c>
      <c r="B179" s="45" t="s">
        <v>48</v>
      </c>
      <c r="C179" s="45">
        <v>22</v>
      </c>
      <c r="D179" s="45" t="s">
        <v>34</v>
      </c>
      <c r="E179" s="45">
        <v>1</v>
      </c>
      <c r="F179" s="45" t="s">
        <v>75</v>
      </c>
      <c r="G179" s="46">
        <v>38</v>
      </c>
      <c r="H179" s="45">
        <v>40</v>
      </c>
      <c r="I179" s="46">
        <f>VLOOKUP(C179,[1]M0111C!$A$1:$AH$41,24,TRUE)+(G179/100)</f>
        <v>185.38</v>
      </c>
      <c r="J179" s="46">
        <f t="shared" si="6"/>
        <v>185.4</v>
      </c>
      <c r="K179" s="46" t="s">
        <v>191</v>
      </c>
      <c r="L179" s="49" t="s">
        <v>77</v>
      </c>
      <c r="M179" s="47"/>
    </row>
    <row r="180" spans="1:13" x14ac:dyDescent="0.3">
      <c r="A180" s="45" t="s">
        <v>56</v>
      </c>
      <c r="B180" s="45" t="s">
        <v>48</v>
      </c>
      <c r="C180" s="45">
        <v>23</v>
      </c>
      <c r="D180" s="45" t="s">
        <v>34</v>
      </c>
      <c r="E180" s="45">
        <v>1</v>
      </c>
      <c r="F180" s="45" t="s">
        <v>75</v>
      </c>
      <c r="G180" s="46">
        <v>38</v>
      </c>
      <c r="H180" s="45">
        <v>40</v>
      </c>
      <c r="I180" s="46">
        <f>VLOOKUP(C180,[1]M0111C!$A$1:$AH$41,24,TRUE)+(G180/100)</f>
        <v>186.74</v>
      </c>
      <c r="J180" s="46">
        <f t="shared" si="6"/>
        <v>186.76000000000002</v>
      </c>
      <c r="K180" s="46" t="s">
        <v>191</v>
      </c>
      <c r="L180" s="49" t="s">
        <v>77</v>
      </c>
      <c r="M180" s="47">
        <f t="shared" ref="M180:M194" si="8">I180-I179</f>
        <v>1.3600000000000136</v>
      </c>
    </row>
    <row r="181" spans="1:13" x14ac:dyDescent="0.3">
      <c r="A181" s="45" t="s">
        <v>56</v>
      </c>
      <c r="B181" s="45" t="s">
        <v>48</v>
      </c>
      <c r="C181" s="45">
        <v>24</v>
      </c>
      <c r="D181" s="45" t="s">
        <v>34</v>
      </c>
      <c r="E181" s="45">
        <v>1</v>
      </c>
      <c r="F181" s="45" t="s">
        <v>75</v>
      </c>
      <c r="G181" s="46">
        <v>38</v>
      </c>
      <c r="H181" s="45">
        <v>40</v>
      </c>
      <c r="I181" s="46">
        <f>VLOOKUP(C181,[1]M0111C!$A$1:$AH$41,24,TRUE)+(G181/100)</f>
        <v>189.74</v>
      </c>
      <c r="J181" s="46">
        <f t="shared" si="6"/>
        <v>189.76000000000002</v>
      </c>
      <c r="K181" s="52" t="s">
        <v>191</v>
      </c>
      <c r="L181" s="49" t="s">
        <v>77</v>
      </c>
      <c r="M181" s="47">
        <f t="shared" si="8"/>
        <v>3</v>
      </c>
    </row>
    <row r="182" spans="1:13" x14ac:dyDescent="0.3">
      <c r="A182" s="45" t="s">
        <v>56</v>
      </c>
      <c r="B182" s="45" t="s">
        <v>48</v>
      </c>
      <c r="C182" s="45">
        <v>25</v>
      </c>
      <c r="D182" s="45" t="s">
        <v>34</v>
      </c>
      <c r="E182" s="45">
        <v>1</v>
      </c>
      <c r="F182" s="45" t="s">
        <v>75</v>
      </c>
      <c r="G182" s="46">
        <v>38</v>
      </c>
      <c r="H182" s="45">
        <v>40</v>
      </c>
      <c r="I182" s="46">
        <f>VLOOKUP(C182,[1]M0111C!$A$1:$AH$41,24,TRUE)+(G182/100)</f>
        <v>192.74</v>
      </c>
      <c r="J182" s="46">
        <f t="shared" si="6"/>
        <v>192.76000000000002</v>
      </c>
      <c r="K182" s="46" t="s">
        <v>180</v>
      </c>
      <c r="L182" s="49" t="s">
        <v>77</v>
      </c>
      <c r="M182" s="47">
        <f t="shared" si="8"/>
        <v>3</v>
      </c>
    </row>
    <row r="183" spans="1:13" x14ac:dyDescent="0.3">
      <c r="A183" s="45" t="s">
        <v>56</v>
      </c>
      <c r="B183" s="45" t="s">
        <v>48</v>
      </c>
      <c r="C183" s="45">
        <v>26</v>
      </c>
      <c r="D183" s="45" t="s">
        <v>34</v>
      </c>
      <c r="E183" s="45">
        <v>1</v>
      </c>
      <c r="F183" s="45" t="s">
        <v>75</v>
      </c>
      <c r="G183" s="46">
        <v>38</v>
      </c>
      <c r="H183" s="45">
        <v>40</v>
      </c>
      <c r="I183" s="46">
        <f>VLOOKUP(C183,[1]M0111C!$A$1:$AH$41,24,TRUE)+(G183/100)</f>
        <v>195.74</v>
      </c>
      <c r="J183" s="46">
        <f t="shared" si="6"/>
        <v>195.76000000000002</v>
      </c>
      <c r="K183" s="46" t="s">
        <v>192</v>
      </c>
      <c r="L183" s="49" t="s">
        <v>77</v>
      </c>
      <c r="M183" s="47">
        <f t="shared" si="8"/>
        <v>3</v>
      </c>
    </row>
    <row r="184" spans="1:13" x14ac:dyDescent="0.3">
      <c r="A184" s="1" t="s">
        <v>56</v>
      </c>
      <c r="B184" s="1" t="s">
        <v>48</v>
      </c>
      <c r="C184" s="1">
        <v>27</v>
      </c>
      <c r="D184" s="1" t="s">
        <v>34</v>
      </c>
      <c r="E184" s="1">
        <v>1</v>
      </c>
      <c r="F184" s="1" t="s">
        <v>75</v>
      </c>
      <c r="G184">
        <v>38</v>
      </c>
      <c r="H184" s="1">
        <v>40</v>
      </c>
      <c r="I184">
        <f>VLOOKUP(C184,[1]M0111C!$A$1:$AH$41,24,TRUE)+(G184/100)</f>
        <v>198.74</v>
      </c>
      <c r="J184">
        <f t="shared" si="6"/>
        <v>198.76000000000002</v>
      </c>
      <c r="K184" t="s">
        <v>193</v>
      </c>
      <c r="L184" s="39" t="s">
        <v>77</v>
      </c>
      <c r="M184" s="41">
        <f t="shared" si="8"/>
        <v>3</v>
      </c>
    </row>
    <row r="185" spans="1:13" x14ac:dyDescent="0.3">
      <c r="A185" s="1" t="s">
        <v>56</v>
      </c>
      <c r="B185" s="1" t="s">
        <v>48</v>
      </c>
      <c r="C185" s="1">
        <v>28</v>
      </c>
      <c r="D185" s="1" t="s">
        <v>34</v>
      </c>
      <c r="E185" s="1">
        <v>1</v>
      </c>
      <c r="F185" s="1" t="s">
        <v>75</v>
      </c>
      <c r="G185">
        <v>38</v>
      </c>
      <c r="H185" s="1">
        <v>40</v>
      </c>
      <c r="I185">
        <f>VLOOKUP(C185,[1]M0111C!$A$1:$AH$41,24,TRUE)+(G185/100)</f>
        <v>201.74</v>
      </c>
      <c r="J185">
        <f t="shared" si="6"/>
        <v>201.76000000000002</v>
      </c>
      <c r="K185" t="s">
        <v>194</v>
      </c>
      <c r="L185" s="39" t="s">
        <v>77</v>
      </c>
      <c r="M185" s="41">
        <f t="shared" si="8"/>
        <v>3</v>
      </c>
    </row>
    <row r="186" spans="1:13" x14ac:dyDescent="0.3">
      <c r="A186" s="1" t="s">
        <v>56</v>
      </c>
      <c r="B186" s="1" t="s">
        <v>48</v>
      </c>
      <c r="C186" s="1">
        <v>29</v>
      </c>
      <c r="D186" s="1" t="s">
        <v>34</v>
      </c>
      <c r="E186" s="1">
        <v>1</v>
      </c>
      <c r="F186" s="1" t="s">
        <v>75</v>
      </c>
      <c r="G186">
        <v>28</v>
      </c>
      <c r="H186" s="1">
        <v>30</v>
      </c>
      <c r="I186">
        <f>VLOOKUP(C186,[1]M0111C!$A$1:$AH$41,24,TRUE)+(G186/100)</f>
        <v>204.64000000000001</v>
      </c>
      <c r="J186">
        <f t="shared" si="6"/>
        <v>204.66000000000003</v>
      </c>
      <c r="K186" t="s">
        <v>195</v>
      </c>
      <c r="L186" s="39" t="s">
        <v>82</v>
      </c>
      <c r="M186" s="41">
        <f t="shared" si="8"/>
        <v>2.9000000000000057</v>
      </c>
    </row>
    <row r="187" spans="1:13" x14ac:dyDescent="0.3">
      <c r="A187" s="45" t="s">
        <v>56</v>
      </c>
      <c r="B187" s="45" t="s">
        <v>48</v>
      </c>
      <c r="C187" s="45">
        <v>30</v>
      </c>
      <c r="D187" s="45" t="s">
        <v>34</v>
      </c>
      <c r="E187" s="45">
        <v>1</v>
      </c>
      <c r="F187" s="45" t="s">
        <v>75</v>
      </c>
      <c r="G187" s="46">
        <v>38</v>
      </c>
      <c r="H187" s="45">
        <v>40</v>
      </c>
      <c r="I187" s="46">
        <f>VLOOKUP(C187,[1]M0111C!$A$1:$AH$41,24,TRUE)+(G187/100)</f>
        <v>207.74</v>
      </c>
      <c r="J187" s="46">
        <f t="shared" si="6"/>
        <v>207.76000000000002</v>
      </c>
      <c r="K187" s="52" t="s">
        <v>196</v>
      </c>
      <c r="L187" s="49" t="s">
        <v>77</v>
      </c>
      <c r="M187" s="47">
        <f t="shared" si="8"/>
        <v>3.0999999999999943</v>
      </c>
    </row>
    <row r="188" spans="1:13" x14ac:dyDescent="0.3">
      <c r="A188" s="1" t="s">
        <v>56</v>
      </c>
      <c r="B188" s="1" t="s">
        <v>48</v>
      </c>
      <c r="C188" s="1">
        <v>31</v>
      </c>
      <c r="D188" s="1" t="s">
        <v>34</v>
      </c>
      <c r="E188" s="1">
        <v>1</v>
      </c>
      <c r="F188" s="1" t="s">
        <v>75</v>
      </c>
      <c r="G188">
        <v>38</v>
      </c>
      <c r="H188" s="1">
        <v>40</v>
      </c>
      <c r="I188">
        <f>VLOOKUP(C188,[1]M0111C!$A$1:$AH$41,24,TRUE)+(G188/100)</f>
        <v>210.74</v>
      </c>
      <c r="J188">
        <f t="shared" si="6"/>
        <v>210.76000000000002</v>
      </c>
      <c r="K188" t="s">
        <v>197</v>
      </c>
      <c r="L188" s="39" t="s">
        <v>77</v>
      </c>
      <c r="M188" s="41">
        <f t="shared" si="8"/>
        <v>3</v>
      </c>
    </row>
    <row r="189" spans="1:13" x14ac:dyDescent="0.3">
      <c r="A189" s="1" t="s">
        <v>56</v>
      </c>
      <c r="B189" s="1" t="s">
        <v>48</v>
      </c>
      <c r="C189" s="1">
        <v>32</v>
      </c>
      <c r="D189" s="1" t="s">
        <v>34</v>
      </c>
      <c r="E189" s="1">
        <v>1</v>
      </c>
      <c r="F189" s="1" t="s">
        <v>75</v>
      </c>
      <c r="G189">
        <v>38</v>
      </c>
      <c r="H189" s="1">
        <v>40</v>
      </c>
      <c r="I189">
        <f>VLOOKUP(C189,[1]M0111C!$A$1:$AH$41,24,TRUE)+(G189/100)</f>
        <v>213.74</v>
      </c>
      <c r="J189">
        <f t="shared" si="6"/>
        <v>213.76000000000002</v>
      </c>
      <c r="K189" t="s">
        <v>198</v>
      </c>
      <c r="L189" s="39" t="s">
        <v>77</v>
      </c>
      <c r="M189" s="41">
        <f t="shared" si="8"/>
        <v>3</v>
      </c>
    </row>
    <row r="190" spans="1:13" x14ac:dyDescent="0.3">
      <c r="A190" s="1" t="s">
        <v>56</v>
      </c>
      <c r="B190" s="1" t="s">
        <v>48</v>
      </c>
      <c r="C190" s="1">
        <v>33</v>
      </c>
      <c r="D190" s="1" t="s">
        <v>34</v>
      </c>
      <c r="E190" s="1">
        <v>1</v>
      </c>
      <c r="F190" s="1" t="s">
        <v>75</v>
      </c>
      <c r="G190">
        <v>38</v>
      </c>
      <c r="H190" s="1">
        <v>40</v>
      </c>
      <c r="I190">
        <f>VLOOKUP(C190,[1]M0111C!$A$1:$AH$41,24,TRUE)+(G190/100)</f>
        <v>216.74</v>
      </c>
      <c r="J190">
        <f t="shared" si="6"/>
        <v>216.76000000000002</v>
      </c>
      <c r="K190" t="s">
        <v>199</v>
      </c>
      <c r="L190" s="39" t="s">
        <v>77</v>
      </c>
      <c r="M190" s="41">
        <f t="shared" si="8"/>
        <v>3</v>
      </c>
    </row>
    <row r="191" spans="1:13" x14ac:dyDescent="0.3">
      <c r="A191" s="1" t="s">
        <v>56</v>
      </c>
      <c r="B191" s="1" t="s">
        <v>48</v>
      </c>
      <c r="C191" s="1">
        <v>34</v>
      </c>
      <c r="D191" s="1" t="s">
        <v>34</v>
      </c>
      <c r="E191" s="1">
        <v>1</v>
      </c>
      <c r="F191" s="1" t="s">
        <v>75</v>
      </c>
      <c r="G191">
        <v>38</v>
      </c>
      <c r="H191" s="1">
        <v>40</v>
      </c>
      <c r="I191">
        <f>VLOOKUP(C191,[1]M0111C!$A$1:$AH$41,24,TRUE)+(G191/100)</f>
        <v>219.74</v>
      </c>
      <c r="J191">
        <f t="shared" si="6"/>
        <v>219.76000000000002</v>
      </c>
      <c r="K191" t="s">
        <v>200</v>
      </c>
      <c r="L191" s="39" t="s">
        <v>77</v>
      </c>
      <c r="M191" s="41">
        <f t="shared" si="8"/>
        <v>3</v>
      </c>
    </row>
    <row r="192" spans="1:13" x14ac:dyDescent="0.3">
      <c r="A192" s="1" t="s">
        <v>56</v>
      </c>
      <c r="B192" s="1" t="s">
        <v>48</v>
      </c>
      <c r="C192" s="1">
        <v>35</v>
      </c>
      <c r="D192" s="1" t="s">
        <v>34</v>
      </c>
      <c r="E192" s="1">
        <v>1</v>
      </c>
      <c r="F192" s="1" t="s">
        <v>75</v>
      </c>
      <c r="G192">
        <v>48</v>
      </c>
      <c r="H192" s="1">
        <v>50</v>
      </c>
      <c r="I192">
        <f>VLOOKUP(C192,[1]M0111C!$A$1:$AH$41,24,TRUE)+(G192/100)</f>
        <v>222.84</v>
      </c>
      <c r="J192">
        <f t="shared" ref="J192:J255" si="9">I192+0.02</f>
        <v>222.86</v>
      </c>
      <c r="K192" t="s">
        <v>201</v>
      </c>
      <c r="L192" s="39" t="s">
        <v>82</v>
      </c>
      <c r="M192" s="41">
        <f t="shared" si="8"/>
        <v>3.0999999999999943</v>
      </c>
    </row>
    <row r="193" spans="1:13" x14ac:dyDescent="0.3">
      <c r="A193" s="1" t="s">
        <v>56</v>
      </c>
      <c r="B193" s="1" t="s">
        <v>48</v>
      </c>
      <c r="C193" s="1">
        <v>36</v>
      </c>
      <c r="D193" s="1" t="s">
        <v>34</v>
      </c>
      <c r="E193" s="1">
        <v>1</v>
      </c>
      <c r="F193" s="1" t="s">
        <v>75</v>
      </c>
      <c r="G193">
        <v>38</v>
      </c>
      <c r="H193" s="1">
        <v>40</v>
      </c>
      <c r="I193">
        <f>VLOOKUP(C193,[1]M0111C!$A$1:$AH$41,24,TRUE)+(G193/100)</f>
        <v>223.54</v>
      </c>
      <c r="J193">
        <f t="shared" si="9"/>
        <v>223.56</v>
      </c>
      <c r="K193" t="s">
        <v>202</v>
      </c>
      <c r="L193" s="39" t="s">
        <v>77</v>
      </c>
      <c r="M193" s="41">
        <f t="shared" si="8"/>
        <v>0.69999999999998863</v>
      </c>
    </row>
    <row r="194" spans="1:13" x14ac:dyDescent="0.3">
      <c r="A194" s="45" t="s">
        <v>56</v>
      </c>
      <c r="B194" s="45" t="s">
        <v>48</v>
      </c>
      <c r="C194" s="45">
        <v>39</v>
      </c>
      <c r="D194" s="45" t="s">
        <v>34</v>
      </c>
      <c r="E194" s="45">
        <v>1</v>
      </c>
      <c r="F194" s="45" t="s">
        <v>75</v>
      </c>
      <c r="G194" s="46">
        <v>38</v>
      </c>
      <c r="H194" s="45">
        <v>40</v>
      </c>
      <c r="I194" s="46">
        <f>VLOOKUP(C194,[1]M0111C!$A$1:$AH$41,24,TRUE)+(G194/100)</f>
        <v>229.74</v>
      </c>
      <c r="J194" s="46">
        <f t="shared" si="9"/>
        <v>229.76000000000002</v>
      </c>
      <c r="K194" s="46" t="s">
        <v>203</v>
      </c>
      <c r="L194" s="49" t="s">
        <v>77</v>
      </c>
      <c r="M194" s="47">
        <f t="shared" si="8"/>
        <v>6.2000000000000171</v>
      </c>
    </row>
    <row r="195" spans="1:13" x14ac:dyDescent="0.3">
      <c r="L195" s="44"/>
      <c r="M195" s="44"/>
    </row>
    <row r="196" spans="1:13" x14ac:dyDescent="0.3">
      <c r="A196" s="45" t="s">
        <v>60</v>
      </c>
      <c r="B196" s="45" t="s">
        <v>31</v>
      </c>
      <c r="C196" s="45">
        <v>1</v>
      </c>
      <c r="D196" s="45" t="s">
        <v>57</v>
      </c>
      <c r="E196" s="45">
        <v>1</v>
      </c>
      <c r="F196" s="45" t="s">
        <v>75</v>
      </c>
      <c r="G196" s="46">
        <v>38</v>
      </c>
      <c r="H196" s="45">
        <v>40</v>
      </c>
      <c r="I196" s="46">
        <f>VLOOKUP(C196,[1]M0112A!$A$1:$Z$222,24,TRUE)+(G196/100)</f>
        <v>0.38</v>
      </c>
      <c r="J196" s="47">
        <f t="shared" si="9"/>
        <v>0.4</v>
      </c>
      <c r="K196" s="46" t="s">
        <v>204</v>
      </c>
      <c r="L196" s="49" t="s">
        <v>77</v>
      </c>
      <c r="M196" s="47"/>
    </row>
    <row r="197" spans="1:13" x14ac:dyDescent="0.3">
      <c r="A197" s="1" t="s">
        <v>60</v>
      </c>
      <c r="B197" s="1" t="s">
        <v>31</v>
      </c>
      <c r="C197" s="1">
        <v>2</v>
      </c>
      <c r="D197" s="1" t="s">
        <v>57</v>
      </c>
      <c r="E197" s="1">
        <v>1</v>
      </c>
      <c r="F197" s="1" t="s">
        <v>75</v>
      </c>
      <c r="G197">
        <v>38</v>
      </c>
      <c r="H197" s="1">
        <v>40</v>
      </c>
      <c r="I197">
        <f>VLOOKUP(C197,[1]M0112A!$A$1:$Z$222,24,TRUE)+(G197/100)</f>
        <v>2.59</v>
      </c>
      <c r="J197">
        <f t="shared" si="9"/>
        <v>2.61</v>
      </c>
      <c r="K197" t="s">
        <v>205</v>
      </c>
      <c r="L197" s="39" t="s">
        <v>77</v>
      </c>
      <c r="M197" s="41">
        <f t="shared" ref="M197:M260" si="10">I197-I196</f>
        <v>2.21</v>
      </c>
    </row>
    <row r="198" spans="1:13" x14ac:dyDescent="0.3">
      <c r="A198" s="1" t="s">
        <v>60</v>
      </c>
      <c r="B198" s="1" t="s">
        <v>31</v>
      </c>
      <c r="C198" s="1">
        <v>3</v>
      </c>
      <c r="D198" s="1" t="s">
        <v>57</v>
      </c>
      <c r="E198" s="1">
        <v>1</v>
      </c>
      <c r="F198" s="1" t="s">
        <v>75</v>
      </c>
      <c r="G198">
        <v>38</v>
      </c>
      <c r="H198" s="1">
        <v>40</v>
      </c>
      <c r="I198">
        <f>VLOOKUP(C198,[1]M0112A!$A$1:$Z$222,24,TRUE)+(G198/100)</f>
        <v>5.39</v>
      </c>
      <c r="J198">
        <f t="shared" si="9"/>
        <v>5.4099999999999993</v>
      </c>
      <c r="K198" t="s">
        <v>206</v>
      </c>
      <c r="L198" s="39" t="s">
        <v>77</v>
      </c>
      <c r="M198" s="41">
        <f t="shared" si="10"/>
        <v>2.8</v>
      </c>
    </row>
    <row r="199" spans="1:13" x14ac:dyDescent="0.3">
      <c r="A199" s="1" t="s">
        <v>60</v>
      </c>
      <c r="B199" s="1" t="s">
        <v>31</v>
      </c>
      <c r="C199" s="1">
        <v>4</v>
      </c>
      <c r="D199" s="1" t="s">
        <v>57</v>
      </c>
      <c r="E199" s="1">
        <v>1</v>
      </c>
      <c r="F199" s="1" t="s">
        <v>75</v>
      </c>
      <c r="G199">
        <v>38</v>
      </c>
      <c r="H199" s="1">
        <v>40</v>
      </c>
      <c r="I199">
        <f>VLOOKUP(C199,[1]M0112A!$A$1:$Z$222,24,TRUE)+(G199/100)</f>
        <v>7.55</v>
      </c>
      <c r="J199">
        <f t="shared" si="9"/>
        <v>7.5699999999999994</v>
      </c>
      <c r="K199" s="42" t="s">
        <v>207</v>
      </c>
      <c r="L199" s="39" t="s">
        <v>77</v>
      </c>
      <c r="M199" s="41">
        <f t="shared" si="10"/>
        <v>2.16</v>
      </c>
    </row>
    <row r="200" spans="1:13" x14ac:dyDescent="0.3">
      <c r="A200" s="1" t="s">
        <v>60</v>
      </c>
      <c r="B200" s="1" t="s">
        <v>31</v>
      </c>
      <c r="C200" s="1">
        <v>5</v>
      </c>
      <c r="D200" s="1" t="s">
        <v>57</v>
      </c>
      <c r="E200" s="1">
        <v>1</v>
      </c>
      <c r="F200" s="1" t="s">
        <v>75</v>
      </c>
      <c r="G200">
        <v>38</v>
      </c>
      <c r="H200" s="1">
        <v>40</v>
      </c>
      <c r="I200">
        <f>VLOOKUP(C200,[1]M0112A!$A$1:$Z$222,24,TRUE)+(G200/100)</f>
        <v>9.6300000000000008</v>
      </c>
      <c r="J200">
        <f t="shared" si="9"/>
        <v>9.65</v>
      </c>
      <c r="K200" t="s">
        <v>208</v>
      </c>
      <c r="L200" s="39" t="s">
        <v>77</v>
      </c>
      <c r="M200" s="41">
        <f t="shared" si="10"/>
        <v>2.080000000000001</v>
      </c>
    </row>
    <row r="201" spans="1:13" x14ac:dyDescent="0.3">
      <c r="A201" s="1" t="s">
        <v>60</v>
      </c>
      <c r="B201" s="1" t="s">
        <v>31</v>
      </c>
      <c r="C201" s="1">
        <v>6</v>
      </c>
      <c r="D201" s="1" t="s">
        <v>57</v>
      </c>
      <c r="E201" s="1">
        <v>1</v>
      </c>
      <c r="F201" s="1" t="s">
        <v>75</v>
      </c>
      <c r="G201">
        <v>38</v>
      </c>
      <c r="H201" s="1">
        <v>40</v>
      </c>
      <c r="I201">
        <f>VLOOKUP(C201,[1]M0112A!$A$1:$Z$222,24,TRUE)+(G201/100)</f>
        <v>11.83</v>
      </c>
      <c r="J201">
        <f t="shared" si="9"/>
        <v>11.85</v>
      </c>
      <c r="K201" t="s">
        <v>209</v>
      </c>
      <c r="L201" s="39" t="s">
        <v>77</v>
      </c>
      <c r="M201" s="41">
        <f t="shared" si="10"/>
        <v>2.1999999999999993</v>
      </c>
    </row>
    <row r="202" spans="1:13" x14ac:dyDescent="0.3">
      <c r="A202" s="1" t="s">
        <v>60</v>
      </c>
      <c r="B202" s="1" t="s">
        <v>31</v>
      </c>
      <c r="C202" s="1">
        <v>7</v>
      </c>
      <c r="D202" s="1" t="s">
        <v>57</v>
      </c>
      <c r="E202" s="1">
        <v>1</v>
      </c>
      <c r="F202" s="1" t="s">
        <v>75</v>
      </c>
      <c r="G202">
        <v>38</v>
      </c>
      <c r="H202" s="1">
        <v>40</v>
      </c>
      <c r="I202">
        <f>VLOOKUP(C202,[1]M0112A!$A$1:$Z$222,24,TRUE)+(G202/100)</f>
        <v>12.590000000000002</v>
      </c>
      <c r="J202">
        <f t="shared" si="9"/>
        <v>12.610000000000001</v>
      </c>
      <c r="K202" s="42" t="s">
        <v>210</v>
      </c>
      <c r="L202" s="39" t="s">
        <v>77</v>
      </c>
      <c r="M202" s="41">
        <f t="shared" si="10"/>
        <v>0.76000000000000156</v>
      </c>
    </row>
    <row r="203" spans="1:13" x14ac:dyDescent="0.3">
      <c r="A203" s="1" t="s">
        <v>60</v>
      </c>
      <c r="B203" s="1" t="s">
        <v>31</v>
      </c>
      <c r="C203" s="1">
        <v>8</v>
      </c>
      <c r="D203" s="1" t="s">
        <v>57</v>
      </c>
      <c r="E203" s="1">
        <v>1</v>
      </c>
      <c r="F203" s="1" t="s">
        <v>75</v>
      </c>
      <c r="G203">
        <v>38</v>
      </c>
      <c r="H203" s="1">
        <v>40</v>
      </c>
      <c r="I203">
        <f>VLOOKUP(C203,[1]M0112A!$A$1:$Z$222,24,TRUE)+(G203/100)</f>
        <v>14.96</v>
      </c>
      <c r="J203">
        <f t="shared" si="9"/>
        <v>14.98</v>
      </c>
      <c r="K203" s="42" t="s">
        <v>211</v>
      </c>
      <c r="L203" s="39" t="s">
        <v>77</v>
      </c>
      <c r="M203" s="41">
        <f t="shared" si="10"/>
        <v>2.3699999999999992</v>
      </c>
    </row>
    <row r="204" spans="1:13" x14ac:dyDescent="0.3">
      <c r="A204" s="1" t="s">
        <v>60</v>
      </c>
      <c r="B204" s="1" t="s">
        <v>31</v>
      </c>
      <c r="C204" s="1">
        <v>9</v>
      </c>
      <c r="D204" s="1" t="s">
        <v>57</v>
      </c>
      <c r="E204" s="1">
        <v>1</v>
      </c>
      <c r="F204" s="1" t="s">
        <v>75</v>
      </c>
      <c r="G204">
        <v>38</v>
      </c>
      <c r="H204" s="1">
        <v>40</v>
      </c>
      <c r="I204">
        <f>VLOOKUP(C204,[1]M0112A!$A$1:$Z$222,24,TRUE)+(G204/100)</f>
        <v>17.61</v>
      </c>
      <c r="J204">
        <f t="shared" si="9"/>
        <v>17.63</v>
      </c>
      <c r="K204" t="s">
        <v>212</v>
      </c>
      <c r="L204" s="39" t="s">
        <v>77</v>
      </c>
      <c r="M204" s="41">
        <f t="shared" si="10"/>
        <v>2.6499999999999986</v>
      </c>
    </row>
    <row r="205" spans="1:13" x14ac:dyDescent="0.3">
      <c r="A205" s="45" t="s">
        <v>60</v>
      </c>
      <c r="B205" s="45" t="s">
        <v>31</v>
      </c>
      <c r="C205" s="45">
        <v>10</v>
      </c>
      <c r="D205" s="45" t="s">
        <v>57</v>
      </c>
      <c r="E205" s="45">
        <v>1</v>
      </c>
      <c r="F205" s="45" t="s">
        <v>75</v>
      </c>
      <c r="G205" s="46">
        <v>38</v>
      </c>
      <c r="H205" s="45">
        <v>40</v>
      </c>
      <c r="I205" s="46">
        <f>VLOOKUP(C205,[1]M0112A!$A$1:$Z$222,24,TRUE)+(G205/100)</f>
        <v>20.25</v>
      </c>
      <c r="J205" s="46">
        <f t="shared" si="9"/>
        <v>20.27</v>
      </c>
      <c r="K205" s="46" t="s">
        <v>213</v>
      </c>
      <c r="L205" s="49" t="s">
        <v>77</v>
      </c>
      <c r="M205" s="47">
        <f t="shared" si="10"/>
        <v>2.6400000000000006</v>
      </c>
    </row>
    <row r="206" spans="1:13" x14ac:dyDescent="0.3">
      <c r="A206" s="1" t="s">
        <v>60</v>
      </c>
      <c r="B206" s="1" t="s">
        <v>31</v>
      </c>
      <c r="C206" s="1">
        <v>11</v>
      </c>
      <c r="D206" s="1" t="s">
        <v>57</v>
      </c>
      <c r="E206" s="1">
        <v>1</v>
      </c>
      <c r="F206" s="1" t="s">
        <v>75</v>
      </c>
      <c r="G206">
        <v>38</v>
      </c>
      <c r="H206" s="1">
        <v>40</v>
      </c>
      <c r="I206">
        <f>VLOOKUP(C206,[1]M0112A!$A$1:$Z$222,24,TRUE)+(G206/100)</f>
        <v>21.66</v>
      </c>
      <c r="J206">
        <f t="shared" si="9"/>
        <v>21.68</v>
      </c>
      <c r="K206" s="42" t="s">
        <v>214</v>
      </c>
      <c r="L206" s="39" t="s">
        <v>77</v>
      </c>
      <c r="M206" s="41">
        <f t="shared" si="10"/>
        <v>1.4100000000000001</v>
      </c>
    </row>
    <row r="207" spans="1:13" x14ac:dyDescent="0.3">
      <c r="A207" s="1" t="s">
        <v>60</v>
      </c>
      <c r="B207" s="1" t="s">
        <v>31</v>
      </c>
      <c r="C207" s="1">
        <v>13</v>
      </c>
      <c r="D207" s="1" t="s">
        <v>57</v>
      </c>
      <c r="E207" s="1">
        <v>1</v>
      </c>
      <c r="F207" s="1" t="s">
        <v>75</v>
      </c>
      <c r="G207">
        <v>38</v>
      </c>
      <c r="H207" s="1">
        <v>40</v>
      </c>
      <c r="I207">
        <f>VLOOKUP(C207,[1]M0112A!$A$1:$Z$222,24,TRUE)+(G207/100)</f>
        <v>24.3</v>
      </c>
      <c r="J207">
        <f t="shared" si="9"/>
        <v>24.32</v>
      </c>
      <c r="K207" s="42" t="s">
        <v>83</v>
      </c>
      <c r="L207" s="39" t="s">
        <v>77</v>
      </c>
      <c r="M207" s="41">
        <f t="shared" si="10"/>
        <v>2.6400000000000006</v>
      </c>
    </row>
    <row r="208" spans="1:13" x14ac:dyDescent="0.3">
      <c r="A208" s="1" t="s">
        <v>60</v>
      </c>
      <c r="B208" s="1" t="s">
        <v>31</v>
      </c>
      <c r="C208" s="1">
        <v>14</v>
      </c>
      <c r="D208" s="1" t="s">
        <v>57</v>
      </c>
      <c r="E208" s="1">
        <v>1</v>
      </c>
      <c r="F208" s="1" t="s">
        <v>75</v>
      </c>
      <c r="G208">
        <v>38</v>
      </c>
      <c r="H208" s="1">
        <v>40</v>
      </c>
      <c r="I208">
        <f>VLOOKUP(C208,[1]M0112A!$A$1:$Z$222,24,TRUE)+(G208/100)</f>
        <v>24.709999999999997</v>
      </c>
      <c r="J208">
        <f t="shared" si="9"/>
        <v>24.729999999999997</v>
      </c>
      <c r="K208" t="s">
        <v>131</v>
      </c>
      <c r="L208" s="39" t="s">
        <v>77</v>
      </c>
      <c r="M208" s="41">
        <f t="shared" si="10"/>
        <v>0.40999999999999659</v>
      </c>
    </row>
    <row r="209" spans="1:13" x14ac:dyDescent="0.3">
      <c r="A209" s="1" t="s">
        <v>60</v>
      </c>
      <c r="B209" s="1" t="s">
        <v>31</v>
      </c>
      <c r="C209" s="1">
        <v>15</v>
      </c>
      <c r="D209" s="1" t="s">
        <v>57</v>
      </c>
      <c r="E209" s="1">
        <v>1</v>
      </c>
      <c r="F209" s="1" t="s">
        <v>75</v>
      </c>
      <c r="G209">
        <v>48</v>
      </c>
      <c r="H209" s="1">
        <v>50</v>
      </c>
      <c r="I209">
        <f>VLOOKUP(C209,[1]M0112A!$A$1:$Z$222,24,TRUE)+(G209/100)</f>
        <v>26.27</v>
      </c>
      <c r="J209">
        <f t="shared" si="9"/>
        <v>26.29</v>
      </c>
      <c r="K209" t="s">
        <v>215</v>
      </c>
      <c r="L209" s="39" t="s">
        <v>77</v>
      </c>
      <c r="M209" s="41">
        <f t="shared" si="10"/>
        <v>1.5600000000000023</v>
      </c>
    </row>
    <row r="210" spans="1:13" x14ac:dyDescent="0.3">
      <c r="A210" s="1" t="s">
        <v>60</v>
      </c>
      <c r="B210" s="1" t="s">
        <v>31</v>
      </c>
      <c r="C210" s="1">
        <v>16</v>
      </c>
      <c r="D210" s="1" t="s">
        <v>57</v>
      </c>
      <c r="E210" s="1">
        <v>1</v>
      </c>
      <c r="F210" s="1" t="s">
        <v>75</v>
      </c>
      <c r="G210">
        <v>38</v>
      </c>
      <c r="H210" s="1">
        <v>40</v>
      </c>
      <c r="I210">
        <f>VLOOKUP(C210,[1]M0112A!$A$1:$Z$222,24,TRUE)+(G210/100)</f>
        <v>28.05</v>
      </c>
      <c r="J210">
        <f t="shared" si="9"/>
        <v>28.07</v>
      </c>
      <c r="K210" t="s">
        <v>98</v>
      </c>
      <c r="L210" s="39" t="s">
        <v>77</v>
      </c>
      <c r="M210" s="41">
        <f t="shared" si="10"/>
        <v>1.7800000000000011</v>
      </c>
    </row>
    <row r="211" spans="1:13" x14ac:dyDescent="0.3">
      <c r="A211" s="1" t="s">
        <v>60</v>
      </c>
      <c r="B211" s="1" t="s">
        <v>31</v>
      </c>
      <c r="C211" s="1">
        <v>20</v>
      </c>
      <c r="D211" s="1" t="s">
        <v>57</v>
      </c>
      <c r="E211" s="1">
        <v>1</v>
      </c>
      <c r="F211" s="1" t="s">
        <v>75</v>
      </c>
      <c r="G211">
        <v>38</v>
      </c>
      <c r="H211" s="1">
        <v>40</v>
      </c>
      <c r="I211">
        <f>VLOOKUP(C211,[1]M0112A!$A$1:$Z$222,24,TRUE)+(G211/100)</f>
        <v>33.510000000000005</v>
      </c>
      <c r="J211">
        <f t="shared" si="9"/>
        <v>33.530000000000008</v>
      </c>
      <c r="K211" t="s">
        <v>216</v>
      </c>
      <c r="L211" s="39" t="s">
        <v>77</v>
      </c>
      <c r="M211" s="41">
        <f t="shared" si="10"/>
        <v>5.4600000000000044</v>
      </c>
    </row>
    <row r="212" spans="1:13" x14ac:dyDescent="0.3">
      <c r="A212" s="1" t="s">
        <v>60</v>
      </c>
      <c r="B212" s="1" t="s">
        <v>31</v>
      </c>
      <c r="C212" s="1">
        <v>21</v>
      </c>
      <c r="D212" s="1" t="s">
        <v>57</v>
      </c>
      <c r="E212" s="1">
        <v>1</v>
      </c>
      <c r="F212" s="1" t="s">
        <v>75</v>
      </c>
      <c r="G212">
        <v>38</v>
      </c>
      <c r="H212" s="1">
        <v>40</v>
      </c>
      <c r="I212">
        <f>VLOOKUP(C212,[1]M0112A!$A$1:$Z$222,24,TRUE)+(G212/100)</f>
        <v>35.190000000000005</v>
      </c>
      <c r="J212">
        <f t="shared" si="9"/>
        <v>35.210000000000008</v>
      </c>
      <c r="K212" t="s">
        <v>164</v>
      </c>
      <c r="L212" s="39" t="s">
        <v>77</v>
      </c>
      <c r="M212" s="41">
        <f t="shared" si="10"/>
        <v>1.6799999999999997</v>
      </c>
    </row>
    <row r="213" spans="1:13" x14ac:dyDescent="0.3">
      <c r="A213" s="1" t="s">
        <v>60</v>
      </c>
      <c r="B213" s="1" t="s">
        <v>31</v>
      </c>
      <c r="C213" s="1">
        <v>22</v>
      </c>
      <c r="D213" s="1" t="s">
        <v>57</v>
      </c>
      <c r="E213" s="1">
        <v>1</v>
      </c>
      <c r="F213" s="1" t="s">
        <v>75</v>
      </c>
      <c r="G213">
        <v>38</v>
      </c>
      <c r="H213" s="1">
        <v>40</v>
      </c>
      <c r="I213">
        <f>VLOOKUP(C213,[1]M0112A!$A$1:$Z$222,24,TRUE)+(G213/100)</f>
        <v>37.17</v>
      </c>
      <c r="J213">
        <f t="shared" si="9"/>
        <v>37.190000000000005</v>
      </c>
      <c r="K213" t="s">
        <v>217</v>
      </c>
      <c r="L213" s="39" t="s">
        <v>77</v>
      </c>
      <c r="M213" s="41">
        <f t="shared" si="10"/>
        <v>1.9799999999999969</v>
      </c>
    </row>
    <row r="214" spans="1:13" x14ac:dyDescent="0.3">
      <c r="A214" s="45" t="s">
        <v>60</v>
      </c>
      <c r="B214" s="45" t="s">
        <v>31</v>
      </c>
      <c r="C214" s="45">
        <v>23</v>
      </c>
      <c r="D214" s="45" t="s">
        <v>57</v>
      </c>
      <c r="E214" s="45">
        <v>1</v>
      </c>
      <c r="F214" s="45" t="s">
        <v>75</v>
      </c>
      <c r="G214" s="46">
        <v>38</v>
      </c>
      <c r="H214" s="45">
        <v>40</v>
      </c>
      <c r="I214" s="46">
        <f>VLOOKUP(C214,[1]M0112A!$A$1:$Z$222,24,TRUE)+(G214/100)</f>
        <v>38.970000000000006</v>
      </c>
      <c r="J214" s="46">
        <f t="shared" si="9"/>
        <v>38.990000000000009</v>
      </c>
      <c r="K214" s="46" t="s">
        <v>143</v>
      </c>
      <c r="L214" s="49" t="s">
        <v>77</v>
      </c>
      <c r="M214" s="47">
        <f t="shared" si="10"/>
        <v>1.8000000000000043</v>
      </c>
    </row>
    <row r="215" spans="1:13" x14ac:dyDescent="0.3">
      <c r="A215" s="1" t="s">
        <v>60</v>
      </c>
      <c r="B215" s="1" t="s">
        <v>31</v>
      </c>
      <c r="C215" s="1">
        <v>24</v>
      </c>
      <c r="D215" s="1" t="s">
        <v>57</v>
      </c>
      <c r="E215" s="1">
        <v>1</v>
      </c>
      <c r="F215" s="1" t="s">
        <v>75</v>
      </c>
      <c r="G215">
        <v>38</v>
      </c>
      <c r="H215" s="1">
        <v>40</v>
      </c>
      <c r="I215">
        <f>VLOOKUP(C215,[1]M0112A!$A$1:$Z$222,24,TRUE)+(G215/100)</f>
        <v>41.760000000000005</v>
      </c>
      <c r="J215">
        <f t="shared" si="9"/>
        <v>41.780000000000008</v>
      </c>
      <c r="K215" t="s">
        <v>218</v>
      </c>
      <c r="L215" s="39" t="s">
        <v>77</v>
      </c>
      <c r="M215" s="41">
        <f t="shared" si="10"/>
        <v>2.7899999999999991</v>
      </c>
    </row>
    <row r="216" spans="1:13" x14ac:dyDescent="0.3">
      <c r="A216" s="1" t="s">
        <v>60</v>
      </c>
      <c r="B216" s="1" t="s">
        <v>31</v>
      </c>
      <c r="C216" s="1">
        <v>25</v>
      </c>
      <c r="D216" s="1" t="s">
        <v>57</v>
      </c>
      <c r="E216" s="1">
        <v>1</v>
      </c>
      <c r="F216" s="1" t="s">
        <v>75</v>
      </c>
      <c r="G216">
        <v>38</v>
      </c>
      <c r="H216" s="1">
        <v>40</v>
      </c>
      <c r="I216">
        <f>VLOOKUP(C216,[1]M0112A!$A$1:$Z$222,24,TRUE)+(G216/100)</f>
        <v>44.52</v>
      </c>
      <c r="J216">
        <f t="shared" si="9"/>
        <v>44.540000000000006</v>
      </c>
      <c r="K216" t="s">
        <v>219</v>
      </c>
      <c r="L216" s="39" t="s">
        <v>77</v>
      </c>
      <c r="M216" s="41">
        <f t="shared" si="10"/>
        <v>2.759999999999998</v>
      </c>
    </row>
    <row r="217" spans="1:13" x14ac:dyDescent="0.3">
      <c r="A217" s="1" t="s">
        <v>60</v>
      </c>
      <c r="B217" s="1" t="s">
        <v>31</v>
      </c>
      <c r="C217" s="1">
        <v>28</v>
      </c>
      <c r="D217" s="1" t="s">
        <v>57</v>
      </c>
      <c r="E217" s="1">
        <v>1</v>
      </c>
      <c r="F217" s="1" t="s">
        <v>75</v>
      </c>
      <c r="G217">
        <v>38</v>
      </c>
      <c r="H217" s="1">
        <v>40</v>
      </c>
      <c r="I217">
        <f>VLOOKUP(C217,[1]M0112A!$A$1:$Z$222,24,TRUE)+(G217/100)</f>
        <v>46.81</v>
      </c>
      <c r="J217">
        <f t="shared" si="9"/>
        <v>46.830000000000005</v>
      </c>
      <c r="K217" t="s">
        <v>220</v>
      </c>
      <c r="L217" s="39" t="s">
        <v>77</v>
      </c>
      <c r="M217" s="41">
        <f t="shared" si="10"/>
        <v>2.2899999999999991</v>
      </c>
    </row>
    <row r="218" spans="1:13" x14ac:dyDescent="0.3">
      <c r="A218" s="1" t="s">
        <v>60</v>
      </c>
      <c r="B218" s="1" t="s">
        <v>31</v>
      </c>
      <c r="C218" s="1">
        <v>29</v>
      </c>
      <c r="D218" s="1" t="s">
        <v>57</v>
      </c>
      <c r="E218" s="1">
        <v>1</v>
      </c>
      <c r="F218" s="1" t="s">
        <v>75</v>
      </c>
      <c r="G218">
        <v>38</v>
      </c>
      <c r="H218" s="1">
        <v>40</v>
      </c>
      <c r="I218">
        <f>VLOOKUP(C218,[1]M0112A!$A$1:$Z$222,24,TRUE)+(G218/100)</f>
        <v>47.81</v>
      </c>
      <c r="J218">
        <f t="shared" si="9"/>
        <v>47.830000000000005</v>
      </c>
      <c r="K218" t="s">
        <v>221</v>
      </c>
      <c r="L218" s="39" t="s">
        <v>77</v>
      </c>
      <c r="M218" s="41">
        <f t="shared" si="10"/>
        <v>1</v>
      </c>
    </row>
    <row r="219" spans="1:13" x14ac:dyDescent="0.3">
      <c r="A219" s="1" t="s">
        <v>60</v>
      </c>
      <c r="B219" s="1" t="s">
        <v>31</v>
      </c>
      <c r="C219" s="1">
        <v>31</v>
      </c>
      <c r="D219" s="1" t="s">
        <v>57</v>
      </c>
      <c r="E219" s="1">
        <v>1</v>
      </c>
      <c r="F219" s="1" t="s">
        <v>75</v>
      </c>
      <c r="G219">
        <v>38</v>
      </c>
      <c r="H219" s="1">
        <v>40</v>
      </c>
      <c r="I219">
        <f>VLOOKUP(C219,[1]M0112A!$A$1:$Z$222,24,TRUE)+(G219/100)</f>
        <v>50.34</v>
      </c>
      <c r="J219">
        <f t="shared" si="9"/>
        <v>50.360000000000007</v>
      </c>
      <c r="K219" t="s">
        <v>76</v>
      </c>
      <c r="L219" s="39" t="s">
        <v>77</v>
      </c>
      <c r="M219" s="41">
        <f t="shared" si="10"/>
        <v>2.5300000000000011</v>
      </c>
    </row>
    <row r="220" spans="1:13" x14ac:dyDescent="0.3">
      <c r="A220" s="1" t="s">
        <v>60</v>
      </c>
      <c r="B220" s="1" t="s">
        <v>31</v>
      </c>
      <c r="C220" s="1">
        <v>32</v>
      </c>
      <c r="D220" s="1" t="s">
        <v>57</v>
      </c>
      <c r="E220" s="1">
        <v>1</v>
      </c>
      <c r="F220" s="1" t="s">
        <v>75</v>
      </c>
      <c r="G220">
        <v>38</v>
      </c>
      <c r="H220" s="1">
        <v>40</v>
      </c>
      <c r="I220">
        <f>VLOOKUP(C220,[1]M0112A!$A$1:$Z$222,24,TRUE)+(G220/100)</f>
        <v>51.830000000000005</v>
      </c>
      <c r="J220">
        <f t="shared" si="9"/>
        <v>51.850000000000009</v>
      </c>
      <c r="K220" t="s">
        <v>222</v>
      </c>
      <c r="L220" s="39" t="s">
        <v>77</v>
      </c>
      <c r="M220" s="41">
        <f t="shared" si="10"/>
        <v>1.490000000000002</v>
      </c>
    </row>
    <row r="221" spans="1:13" x14ac:dyDescent="0.3">
      <c r="A221" s="1" t="s">
        <v>60</v>
      </c>
      <c r="B221" s="1" t="s">
        <v>31</v>
      </c>
      <c r="C221" s="1">
        <v>33</v>
      </c>
      <c r="D221" s="1" t="s">
        <v>57</v>
      </c>
      <c r="E221" s="1">
        <v>1</v>
      </c>
      <c r="F221" s="1" t="s">
        <v>75</v>
      </c>
      <c r="G221">
        <v>38</v>
      </c>
      <c r="H221" s="1">
        <v>40</v>
      </c>
      <c r="I221">
        <f>VLOOKUP(C221,[1]M0112A!$A$1:$Z$222,24,TRUE)+(G221/100)</f>
        <v>53.99</v>
      </c>
      <c r="J221">
        <f t="shared" si="9"/>
        <v>54.010000000000005</v>
      </c>
      <c r="K221" t="s">
        <v>222</v>
      </c>
      <c r="L221" s="39" t="s">
        <v>77</v>
      </c>
      <c r="M221" s="41">
        <f t="shared" si="10"/>
        <v>2.1599999999999966</v>
      </c>
    </row>
    <row r="222" spans="1:13" x14ac:dyDescent="0.3">
      <c r="A222" s="45" t="s">
        <v>60</v>
      </c>
      <c r="B222" s="45" t="s">
        <v>31</v>
      </c>
      <c r="C222" s="45">
        <v>34</v>
      </c>
      <c r="D222" s="45" t="s">
        <v>57</v>
      </c>
      <c r="E222" s="45">
        <v>1</v>
      </c>
      <c r="F222" s="45" t="s">
        <v>75</v>
      </c>
      <c r="G222" s="46">
        <v>38</v>
      </c>
      <c r="H222" s="45">
        <v>40</v>
      </c>
      <c r="I222" s="46">
        <f>VLOOKUP(C222,[1]M0112A!$A$1:$Z$222,24,TRUE)+(G222/100)</f>
        <v>55.53</v>
      </c>
      <c r="J222" s="46">
        <f t="shared" si="9"/>
        <v>55.550000000000004</v>
      </c>
      <c r="K222" s="52" t="s">
        <v>223</v>
      </c>
      <c r="L222" s="49" t="s">
        <v>77</v>
      </c>
      <c r="M222" s="47">
        <f t="shared" si="10"/>
        <v>1.5399999999999991</v>
      </c>
    </row>
    <row r="223" spans="1:13" x14ac:dyDescent="0.3">
      <c r="A223" s="45" t="s">
        <v>60</v>
      </c>
      <c r="B223" s="45" t="s">
        <v>31</v>
      </c>
      <c r="C223" s="45">
        <v>36</v>
      </c>
      <c r="D223" s="45" t="s">
        <v>34</v>
      </c>
      <c r="E223" s="45">
        <v>1</v>
      </c>
      <c r="F223" s="45" t="s">
        <v>75</v>
      </c>
      <c r="G223" s="46">
        <v>38</v>
      </c>
      <c r="H223" s="45">
        <v>40</v>
      </c>
      <c r="I223" s="46">
        <f>VLOOKUP(C223,[1]M0112A!$A$1:$Z$222,24,TRUE)+(G223/100)</f>
        <v>56.68</v>
      </c>
      <c r="J223" s="46">
        <f t="shared" si="9"/>
        <v>56.7</v>
      </c>
      <c r="K223" s="52" t="s">
        <v>223</v>
      </c>
      <c r="L223" s="49" t="s">
        <v>77</v>
      </c>
      <c r="M223" s="47">
        <f t="shared" si="10"/>
        <v>1.1499999999999986</v>
      </c>
    </row>
    <row r="224" spans="1:13" x14ac:dyDescent="0.3">
      <c r="A224" s="1" t="s">
        <v>60</v>
      </c>
      <c r="B224" s="1" t="s">
        <v>31</v>
      </c>
      <c r="C224" s="1">
        <v>37</v>
      </c>
      <c r="D224" s="1" t="s">
        <v>34</v>
      </c>
      <c r="E224" s="1">
        <v>1</v>
      </c>
      <c r="F224" s="1" t="s">
        <v>75</v>
      </c>
      <c r="G224">
        <v>18</v>
      </c>
      <c r="H224" s="1">
        <v>20</v>
      </c>
      <c r="I224">
        <f>VLOOKUP(C224,[1]M0112A!$A$1:$Z$222,24,TRUE)+(G224/100)</f>
        <v>59.39</v>
      </c>
      <c r="J224">
        <f t="shared" si="9"/>
        <v>59.410000000000004</v>
      </c>
      <c r="K224" t="s">
        <v>224</v>
      </c>
      <c r="L224" s="39" t="s">
        <v>77</v>
      </c>
      <c r="M224" s="41">
        <f t="shared" si="10"/>
        <v>2.7100000000000009</v>
      </c>
    </row>
    <row r="225" spans="1:13" x14ac:dyDescent="0.3">
      <c r="A225" s="45" t="s">
        <v>60</v>
      </c>
      <c r="B225" s="45" t="s">
        <v>31</v>
      </c>
      <c r="C225" s="45">
        <v>38</v>
      </c>
      <c r="D225" s="45" t="s">
        <v>34</v>
      </c>
      <c r="E225" s="45">
        <v>1</v>
      </c>
      <c r="F225" s="45" t="s">
        <v>75</v>
      </c>
      <c r="G225" s="46">
        <v>28</v>
      </c>
      <c r="H225" s="45">
        <v>30</v>
      </c>
      <c r="I225" s="46">
        <f>VLOOKUP(C225,[1]M0112A!$A$1:$Z$222,24,TRUE)+(G225/100)</f>
        <v>59.89</v>
      </c>
      <c r="J225" s="46">
        <f t="shared" si="9"/>
        <v>59.910000000000004</v>
      </c>
      <c r="K225" s="52" t="s">
        <v>223</v>
      </c>
      <c r="L225" s="49" t="s">
        <v>77</v>
      </c>
      <c r="M225" s="47">
        <f t="shared" si="10"/>
        <v>0.5</v>
      </c>
    </row>
    <row r="226" spans="1:13" x14ac:dyDescent="0.3">
      <c r="A226" s="45" t="s">
        <v>60</v>
      </c>
      <c r="B226" s="45" t="s">
        <v>31</v>
      </c>
      <c r="C226" s="45">
        <v>39</v>
      </c>
      <c r="D226" s="45" t="s">
        <v>34</v>
      </c>
      <c r="E226" s="45">
        <v>1</v>
      </c>
      <c r="F226" s="45" t="s">
        <v>75</v>
      </c>
      <c r="G226" s="46">
        <v>38</v>
      </c>
      <c r="H226" s="45">
        <v>40</v>
      </c>
      <c r="I226" s="46">
        <f>VLOOKUP(C226,[1]M0112A!$A$1:$Z$222,24,TRUE)+(G226/100)</f>
        <v>60.89</v>
      </c>
      <c r="J226" s="46">
        <f t="shared" si="9"/>
        <v>60.910000000000004</v>
      </c>
      <c r="K226" s="52" t="s">
        <v>223</v>
      </c>
      <c r="L226" s="49" t="s">
        <v>77</v>
      </c>
      <c r="M226" s="47">
        <f t="shared" si="10"/>
        <v>1</v>
      </c>
    </row>
    <row r="227" spans="1:13" x14ac:dyDescent="0.3">
      <c r="A227" s="45" t="s">
        <v>60</v>
      </c>
      <c r="B227" s="45" t="s">
        <v>31</v>
      </c>
      <c r="C227" s="45">
        <v>40</v>
      </c>
      <c r="D227" s="45" t="s">
        <v>34</v>
      </c>
      <c r="E227" s="45">
        <v>1</v>
      </c>
      <c r="F227" s="45" t="s">
        <v>75</v>
      </c>
      <c r="G227" s="46">
        <v>38</v>
      </c>
      <c r="H227" s="45">
        <v>40</v>
      </c>
      <c r="I227" s="46">
        <f>VLOOKUP(C227,[1]M0112A!$A$1:$Z$222,24,TRUE)+(G227/100)</f>
        <v>62.59</v>
      </c>
      <c r="J227" s="46">
        <f t="shared" si="9"/>
        <v>62.610000000000007</v>
      </c>
      <c r="K227" s="52" t="s">
        <v>223</v>
      </c>
      <c r="L227" s="49" t="s">
        <v>77</v>
      </c>
      <c r="M227" s="47">
        <f t="shared" si="10"/>
        <v>1.7000000000000028</v>
      </c>
    </row>
    <row r="228" spans="1:13" x14ac:dyDescent="0.3">
      <c r="A228" s="45" t="s">
        <v>60</v>
      </c>
      <c r="B228" s="45" t="s">
        <v>31</v>
      </c>
      <c r="C228" s="45">
        <v>41</v>
      </c>
      <c r="D228" s="45" t="s">
        <v>57</v>
      </c>
      <c r="E228" s="45">
        <v>1</v>
      </c>
      <c r="F228" s="45" t="s">
        <v>75</v>
      </c>
      <c r="G228" s="46">
        <v>38</v>
      </c>
      <c r="H228" s="45">
        <v>40</v>
      </c>
      <c r="I228" s="46">
        <f>VLOOKUP(C228,[1]M0112A!$A$1:$Z$222,24,TRUE)+(G228/100)</f>
        <v>65.589999999999989</v>
      </c>
      <c r="J228" s="46">
        <f t="shared" si="9"/>
        <v>65.609999999999985</v>
      </c>
      <c r="K228" s="52" t="s">
        <v>223</v>
      </c>
      <c r="L228" s="49" t="s">
        <v>77</v>
      </c>
      <c r="M228" s="47">
        <f t="shared" si="10"/>
        <v>2.9999999999999858</v>
      </c>
    </row>
    <row r="229" spans="1:13" x14ac:dyDescent="0.3">
      <c r="A229" s="45" t="s">
        <v>60</v>
      </c>
      <c r="B229" s="45" t="s">
        <v>31</v>
      </c>
      <c r="C229" s="45">
        <v>42</v>
      </c>
      <c r="D229" s="45" t="s">
        <v>57</v>
      </c>
      <c r="E229" s="45">
        <v>1</v>
      </c>
      <c r="F229" s="45" t="s">
        <v>75</v>
      </c>
      <c r="G229" s="46">
        <v>38</v>
      </c>
      <c r="H229" s="45">
        <v>40</v>
      </c>
      <c r="I229" s="46">
        <f>VLOOKUP(C229,[1]M0112A!$A$1:$Z$222,24,TRUE)+(G229/100)</f>
        <v>67.97</v>
      </c>
      <c r="J229" s="46">
        <f t="shared" si="9"/>
        <v>67.989999999999995</v>
      </c>
      <c r="K229" s="46" t="s">
        <v>225</v>
      </c>
      <c r="L229" s="49" t="s">
        <v>77</v>
      </c>
      <c r="M229" s="47">
        <f t="shared" si="10"/>
        <v>2.3800000000000097</v>
      </c>
    </row>
    <row r="230" spans="1:13" x14ac:dyDescent="0.3">
      <c r="A230" s="45" t="s">
        <v>60</v>
      </c>
      <c r="B230" s="45" t="s">
        <v>31</v>
      </c>
      <c r="C230" s="45">
        <v>43</v>
      </c>
      <c r="D230" s="45" t="s">
        <v>57</v>
      </c>
      <c r="E230" s="45">
        <v>1</v>
      </c>
      <c r="F230" s="45" t="s">
        <v>75</v>
      </c>
      <c r="G230" s="46">
        <v>38</v>
      </c>
      <c r="H230" s="45">
        <v>40</v>
      </c>
      <c r="I230" s="46">
        <f>VLOOKUP(C230,[1]M0112A!$A$1:$Z$222,24,TRUE)+(G230/100)</f>
        <v>68.72</v>
      </c>
      <c r="J230" s="46">
        <f t="shared" si="9"/>
        <v>68.739999999999995</v>
      </c>
      <c r="K230" s="52" t="s">
        <v>226</v>
      </c>
      <c r="L230" s="49" t="s">
        <v>77</v>
      </c>
      <c r="M230" s="47">
        <f t="shared" si="10"/>
        <v>0.75</v>
      </c>
    </row>
    <row r="231" spans="1:13" x14ac:dyDescent="0.3">
      <c r="A231" s="1" t="s">
        <v>60</v>
      </c>
      <c r="B231" s="1" t="s">
        <v>31</v>
      </c>
      <c r="C231" s="1">
        <v>44</v>
      </c>
      <c r="D231" s="1" t="s">
        <v>57</v>
      </c>
      <c r="E231" s="1">
        <v>1</v>
      </c>
      <c r="F231" s="1" t="s">
        <v>75</v>
      </c>
      <c r="G231">
        <v>38</v>
      </c>
      <c r="H231" s="1">
        <v>40</v>
      </c>
      <c r="I231">
        <f>VLOOKUP(C231,[1]M0112A!$A$1:$Z$222,24,TRUE)+(G231/100)</f>
        <v>69.8</v>
      </c>
      <c r="J231">
        <f t="shared" si="9"/>
        <v>69.819999999999993</v>
      </c>
      <c r="K231" t="s">
        <v>227</v>
      </c>
      <c r="L231" s="39" t="s">
        <v>77</v>
      </c>
      <c r="M231" s="41">
        <f t="shared" si="10"/>
        <v>1.0799999999999983</v>
      </c>
    </row>
    <row r="232" spans="1:13" x14ac:dyDescent="0.3">
      <c r="A232" s="1" t="s">
        <v>60</v>
      </c>
      <c r="B232" s="1" t="s">
        <v>31</v>
      </c>
      <c r="C232" s="1">
        <v>45</v>
      </c>
      <c r="D232" s="1" t="s">
        <v>57</v>
      </c>
      <c r="E232" s="1">
        <v>1</v>
      </c>
      <c r="F232" s="1" t="s">
        <v>75</v>
      </c>
      <c r="G232">
        <v>38</v>
      </c>
      <c r="H232" s="1">
        <v>40</v>
      </c>
      <c r="I232">
        <f>VLOOKUP(C232,[1]M0112A!$A$1:$Z$222,24,TRUE)+(G232/100)</f>
        <v>70.459999999999994</v>
      </c>
      <c r="J232">
        <f t="shared" si="9"/>
        <v>70.47999999999999</v>
      </c>
      <c r="K232" t="s">
        <v>228</v>
      </c>
      <c r="L232" s="39" t="s">
        <v>77</v>
      </c>
      <c r="M232" s="41">
        <f t="shared" si="10"/>
        <v>0.65999999999999659</v>
      </c>
    </row>
    <row r="233" spans="1:13" x14ac:dyDescent="0.3">
      <c r="A233" s="45" t="s">
        <v>60</v>
      </c>
      <c r="B233" s="45" t="s">
        <v>31</v>
      </c>
      <c r="C233" s="45">
        <v>46</v>
      </c>
      <c r="D233" s="45" t="s">
        <v>57</v>
      </c>
      <c r="E233" s="45">
        <v>1</v>
      </c>
      <c r="F233" s="45" t="s">
        <v>75</v>
      </c>
      <c r="G233" s="46">
        <v>38</v>
      </c>
      <c r="H233" s="45">
        <v>40</v>
      </c>
      <c r="I233" s="46">
        <f>VLOOKUP(C233,[1]M0112A!$A$1:$Z$222,24,TRUE)+(G233/100)</f>
        <v>71.489999999999995</v>
      </c>
      <c r="J233" s="46">
        <f t="shared" si="9"/>
        <v>71.509999999999991</v>
      </c>
      <c r="K233" s="46" t="s">
        <v>223</v>
      </c>
      <c r="L233" s="49" t="s">
        <v>77</v>
      </c>
      <c r="M233" s="47">
        <f t="shared" si="10"/>
        <v>1.0300000000000011</v>
      </c>
    </row>
    <row r="234" spans="1:13" x14ac:dyDescent="0.3">
      <c r="A234" s="45" t="s">
        <v>60</v>
      </c>
      <c r="B234" s="45" t="s">
        <v>31</v>
      </c>
      <c r="C234" s="45">
        <v>47</v>
      </c>
      <c r="D234" s="45" t="s">
        <v>57</v>
      </c>
      <c r="E234" s="45">
        <v>1</v>
      </c>
      <c r="F234" s="45" t="s">
        <v>75</v>
      </c>
      <c r="G234" s="46">
        <v>38</v>
      </c>
      <c r="H234" s="45">
        <v>40</v>
      </c>
      <c r="I234" s="46">
        <f>VLOOKUP(C234,[1]M0112A!$A$1:$Z$222,24,TRUE)+(G234/100)</f>
        <v>72.56</v>
      </c>
      <c r="J234" s="46">
        <f t="shared" si="9"/>
        <v>72.58</v>
      </c>
      <c r="K234" s="46" t="s">
        <v>223</v>
      </c>
      <c r="L234" s="49" t="s">
        <v>77</v>
      </c>
      <c r="M234" s="47">
        <f t="shared" si="10"/>
        <v>1.0700000000000074</v>
      </c>
    </row>
    <row r="235" spans="1:13" x14ac:dyDescent="0.3">
      <c r="A235" s="45" t="s">
        <v>60</v>
      </c>
      <c r="B235" s="45" t="s">
        <v>31</v>
      </c>
      <c r="C235" s="45">
        <v>48</v>
      </c>
      <c r="D235" s="45" t="s">
        <v>57</v>
      </c>
      <c r="E235" s="45">
        <v>2</v>
      </c>
      <c r="F235" s="45" t="s">
        <v>75</v>
      </c>
      <c r="G235" s="46">
        <v>38</v>
      </c>
      <c r="H235" s="45">
        <v>40</v>
      </c>
      <c r="I235" s="46">
        <v>73.39</v>
      </c>
      <c r="J235" s="46">
        <f t="shared" si="9"/>
        <v>73.41</v>
      </c>
      <c r="K235" s="52" t="s">
        <v>226</v>
      </c>
      <c r="L235" s="49" t="s">
        <v>77</v>
      </c>
      <c r="M235" s="47">
        <f t="shared" si="10"/>
        <v>0.82999999999999829</v>
      </c>
    </row>
    <row r="236" spans="1:13" x14ac:dyDescent="0.3">
      <c r="A236" s="1" t="s">
        <v>60</v>
      </c>
      <c r="B236" s="1" t="s">
        <v>31</v>
      </c>
      <c r="C236" s="1">
        <v>50</v>
      </c>
      <c r="D236" s="1" t="s">
        <v>34</v>
      </c>
      <c r="E236" s="1">
        <v>1</v>
      </c>
      <c r="F236" s="1" t="s">
        <v>75</v>
      </c>
      <c r="G236">
        <v>38</v>
      </c>
      <c r="H236" s="1">
        <v>40</v>
      </c>
      <c r="I236">
        <f>VLOOKUP(C236,[1]M0112A!$A$1:$Z$222,24,TRUE)+(G236/100)</f>
        <v>75.77</v>
      </c>
      <c r="J236">
        <f t="shared" si="9"/>
        <v>75.789999999999992</v>
      </c>
      <c r="K236" s="42" t="s">
        <v>223</v>
      </c>
      <c r="L236" s="39" t="s">
        <v>77</v>
      </c>
      <c r="M236" s="41">
        <f t="shared" si="10"/>
        <v>2.3799999999999955</v>
      </c>
    </row>
    <row r="237" spans="1:13" x14ac:dyDescent="0.3">
      <c r="A237" s="45" t="s">
        <v>60</v>
      </c>
      <c r="B237" s="45" t="s">
        <v>31</v>
      </c>
      <c r="C237" s="45">
        <v>51</v>
      </c>
      <c r="D237" s="45" t="s">
        <v>34</v>
      </c>
      <c r="E237" s="45">
        <v>1</v>
      </c>
      <c r="F237" s="45" t="s">
        <v>75</v>
      </c>
      <c r="G237" s="46">
        <v>38</v>
      </c>
      <c r="H237" s="45">
        <v>40</v>
      </c>
      <c r="I237" s="46">
        <f>VLOOKUP(C237,[1]M0112A!$A$1:$Z$222,24,TRUE)+(G237/100)</f>
        <v>77.61999999999999</v>
      </c>
      <c r="J237" s="46">
        <f t="shared" si="9"/>
        <v>77.639999999999986</v>
      </c>
      <c r="K237" s="46" t="s">
        <v>229</v>
      </c>
      <c r="L237" s="49" t="s">
        <v>77</v>
      </c>
      <c r="M237" s="47">
        <f t="shared" si="10"/>
        <v>1.8499999999999943</v>
      </c>
    </row>
    <row r="238" spans="1:13" x14ac:dyDescent="0.3">
      <c r="A238" s="45" t="s">
        <v>60</v>
      </c>
      <c r="B238" s="45" t="s">
        <v>31</v>
      </c>
      <c r="C238" s="45">
        <v>52</v>
      </c>
      <c r="D238" s="45" t="s">
        <v>34</v>
      </c>
      <c r="E238" s="45">
        <v>1</v>
      </c>
      <c r="F238" s="45" t="s">
        <v>75</v>
      </c>
      <c r="G238" s="46">
        <v>38</v>
      </c>
      <c r="H238" s="45">
        <v>40</v>
      </c>
      <c r="I238" s="46">
        <f>VLOOKUP(C238,[1]M0112A!$A$1:$Z$222,24,TRUE)+(G238/100)</f>
        <v>80.589999999999989</v>
      </c>
      <c r="J238" s="46">
        <f t="shared" si="9"/>
        <v>80.609999999999985</v>
      </c>
      <c r="K238" s="46" t="s">
        <v>229</v>
      </c>
      <c r="L238" s="49" t="s">
        <v>77</v>
      </c>
      <c r="M238" s="47">
        <f t="shared" si="10"/>
        <v>2.9699999999999989</v>
      </c>
    </row>
    <row r="239" spans="1:13" x14ac:dyDescent="0.3">
      <c r="A239" s="1" t="s">
        <v>60</v>
      </c>
      <c r="B239" s="1" t="s">
        <v>31</v>
      </c>
      <c r="C239" s="1">
        <v>53</v>
      </c>
      <c r="D239" s="1" t="s">
        <v>34</v>
      </c>
      <c r="E239" s="1">
        <v>1</v>
      </c>
      <c r="F239" s="1" t="s">
        <v>75</v>
      </c>
      <c r="G239">
        <v>38</v>
      </c>
      <c r="H239" s="1">
        <v>40</v>
      </c>
      <c r="I239">
        <f>VLOOKUP(C239,[1]M0112A!$A$1:$Z$222,24,TRUE)+(G239/100)</f>
        <v>83.589999999999989</v>
      </c>
      <c r="J239">
        <f t="shared" si="9"/>
        <v>83.609999999999985</v>
      </c>
      <c r="K239" t="s">
        <v>230</v>
      </c>
      <c r="L239" s="39" t="s">
        <v>77</v>
      </c>
      <c r="M239" s="41">
        <f t="shared" si="10"/>
        <v>3</v>
      </c>
    </row>
    <row r="240" spans="1:13" x14ac:dyDescent="0.3">
      <c r="A240" s="45" t="s">
        <v>60</v>
      </c>
      <c r="B240" s="45" t="s">
        <v>31</v>
      </c>
      <c r="C240" s="45">
        <v>54</v>
      </c>
      <c r="D240" s="45" t="s">
        <v>34</v>
      </c>
      <c r="E240" s="45">
        <v>1</v>
      </c>
      <c r="F240" s="45" t="s">
        <v>75</v>
      </c>
      <c r="G240" s="46">
        <v>38</v>
      </c>
      <c r="H240" s="45">
        <v>40</v>
      </c>
      <c r="I240" s="46">
        <f>VLOOKUP(C240,[1]M0112A!$A$1:$Z$222,24,TRUE)+(G240/100)</f>
        <v>86.589999999999989</v>
      </c>
      <c r="J240" s="46">
        <f t="shared" si="9"/>
        <v>86.609999999999985</v>
      </c>
      <c r="K240" s="46" t="s">
        <v>231</v>
      </c>
      <c r="L240" s="49" t="s">
        <v>77</v>
      </c>
      <c r="M240" s="47">
        <f t="shared" si="10"/>
        <v>3</v>
      </c>
    </row>
    <row r="241" spans="1:13" x14ac:dyDescent="0.3">
      <c r="A241" s="45" t="s">
        <v>60</v>
      </c>
      <c r="B241" s="45" t="s">
        <v>31</v>
      </c>
      <c r="C241" s="45">
        <v>55</v>
      </c>
      <c r="D241" s="45" t="s">
        <v>34</v>
      </c>
      <c r="E241" s="45">
        <v>1</v>
      </c>
      <c r="F241" s="45" t="s">
        <v>75</v>
      </c>
      <c r="G241" s="46">
        <v>38</v>
      </c>
      <c r="H241" s="45">
        <v>40</v>
      </c>
      <c r="I241" s="46">
        <f>VLOOKUP(C241,[1]M0112A!$A$1:$Z$222,24,TRUE)+(G241/100)</f>
        <v>88.089999999999989</v>
      </c>
      <c r="J241" s="46">
        <f t="shared" si="9"/>
        <v>88.109999999999985</v>
      </c>
      <c r="K241" s="46" t="s">
        <v>231</v>
      </c>
      <c r="L241" s="49" t="s">
        <v>77</v>
      </c>
      <c r="M241" s="47">
        <f t="shared" si="10"/>
        <v>1.5</v>
      </c>
    </row>
    <row r="242" spans="1:13" x14ac:dyDescent="0.3">
      <c r="A242" s="45" t="s">
        <v>60</v>
      </c>
      <c r="B242" s="45" t="s">
        <v>31</v>
      </c>
      <c r="C242" s="45">
        <v>56</v>
      </c>
      <c r="D242" s="45" t="s">
        <v>34</v>
      </c>
      <c r="E242" s="45">
        <v>1</v>
      </c>
      <c r="F242" s="45" t="s">
        <v>75</v>
      </c>
      <c r="G242" s="46">
        <v>38</v>
      </c>
      <c r="H242" s="45">
        <v>40</v>
      </c>
      <c r="I242" s="46">
        <f>VLOOKUP(C242,[1]M0112A!$A$1:$Z$222,24,TRUE)+(G242/100)</f>
        <v>89.589999999999989</v>
      </c>
      <c r="J242" s="46">
        <f t="shared" si="9"/>
        <v>89.609999999999985</v>
      </c>
      <c r="K242" s="46" t="s">
        <v>231</v>
      </c>
      <c r="L242" s="49" t="s">
        <v>77</v>
      </c>
      <c r="M242" s="47">
        <f t="shared" si="10"/>
        <v>1.5</v>
      </c>
    </row>
    <row r="243" spans="1:13" x14ac:dyDescent="0.3">
      <c r="A243" s="45" t="s">
        <v>60</v>
      </c>
      <c r="B243" s="45" t="s">
        <v>31</v>
      </c>
      <c r="C243" s="45">
        <v>57</v>
      </c>
      <c r="D243" s="45" t="s">
        <v>34</v>
      </c>
      <c r="E243" s="45">
        <v>1</v>
      </c>
      <c r="F243" s="45" t="s">
        <v>75</v>
      </c>
      <c r="G243" s="46">
        <v>38</v>
      </c>
      <c r="H243" s="45">
        <v>40</v>
      </c>
      <c r="I243" s="46">
        <f>VLOOKUP(C243,[1]M0112A!$A$1:$Z$222,24,TRUE)+(G243/100)</f>
        <v>91.089999999999989</v>
      </c>
      <c r="J243" s="46">
        <f t="shared" si="9"/>
        <v>91.109999999999985</v>
      </c>
      <c r="K243" s="46" t="s">
        <v>231</v>
      </c>
      <c r="L243" s="49" t="s">
        <v>77</v>
      </c>
      <c r="M243" s="47">
        <f t="shared" si="10"/>
        <v>1.5</v>
      </c>
    </row>
    <row r="244" spans="1:13" x14ac:dyDescent="0.3">
      <c r="A244" s="1" t="s">
        <v>60</v>
      </c>
      <c r="B244" s="1" t="s">
        <v>31</v>
      </c>
      <c r="C244" s="1">
        <v>58</v>
      </c>
      <c r="D244" s="1" t="s">
        <v>34</v>
      </c>
      <c r="E244" s="1">
        <v>1</v>
      </c>
      <c r="F244" s="1" t="s">
        <v>75</v>
      </c>
      <c r="G244">
        <v>38</v>
      </c>
      <c r="H244" s="1">
        <v>40</v>
      </c>
      <c r="I244">
        <f>VLOOKUP(C244,[1]M0112A!$A$1:$Z$222,24,TRUE)+(G244/100)</f>
        <v>92.589999999999989</v>
      </c>
      <c r="J244">
        <f t="shared" si="9"/>
        <v>92.609999999999985</v>
      </c>
      <c r="K244" t="s">
        <v>232</v>
      </c>
      <c r="L244" s="39" t="s">
        <v>77</v>
      </c>
      <c r="M244" s="41">
        <f t="shared" si="10"/>
        <v>1.5</v>
      </c>
    </row>
    <row r="245" spans="1:13" x14ac:dyDescent="0.3">
      <c r="A245" s="1" t="s">
        <v>60</v>
      </c>
      <c r="B245" s="1" t="s">
        <v>31</v>
      </c>
      <c r="C245" s="1">
        <v>59</v>
      </c>
      <c r="D245" s="1" t="s">
        <v>34</v>
      </c>
      <c r="E245" s="1">
        <v>1</v>
      </c>
      <c r="F245" s="1" t="s">
        <v>75</v>
      </c>
      <c r="G245">
        <v>38</v>
      </c>
      <c r="H245" s="1">
        <v>40</v>
      </c>
      <c r="I245">
        <f>VLOOKUP(C245,[1]M0112A!$A$1:$Z$222,24,TRUE)+(G245/100)</f>
        <v>94.089999999999989</v>
      </c>
      <c r="J245">
        <f t="shared" si="9"/>
        <v>94.109999999999985</v>
      </c>
      <c r="K245" t="s">
        <v>233</v>
      </c>
      <c r="L245" s="39" t="s">
        <v>77</v>
      </c>
      <c r="M245" s="41">
        <f t="shared" si="10"/>
        <v>1.5</v>
      </c>
    </row>
    <row r="246" spans="1:13" x14ac:dyDescent="0.3">
      <c r="A246" s="1" t="s">
        <v>60</v>
      </c>
      <c r="B246" s="1" t="s">
        <v>31</v>
      </c>
      <c r="C246" s="1">
        <v>60</v>
      </c>
      <c r="D246" s="1" t="s">
        <v>34</v>
      </c>
      <c r="E246" s="1">
        <v>1</v>
      </c>
      <c r="F246" s="1" t="s">
        <v>75</v>
      </c>
      <c r="G246">
        <v>38</v>
      </c>
      <c r="H246" s="1">
        <v>40</v>
      </c>
      <c r="I246">
        <f>VLOOKUP(C246,[1]M0112A!$A$1:$Z$222,24,TRUE)+(G246/100)</f>
        <v>95.589999999999989</v>
      </c>
      <c r="J246">
        <f t="shared" si="9"/>
        <v>95.609999999999985</v>
      </c>
      <c r="K246" t="s">
        <v>233</v>
      </c>
      <c r="L246" s="39" t="s">
        <v>77</v>
      </c>
      <c r="M246" s="41">
        <f t="shared" si="10"/>
        <v>1.5</v>
      </c>
    </row>
    <row r="247" spans="1:13" x14ac:dyDescent="0.3">
      <c r="A247" s="1" t="s">
        <v>60</v>
      </c>
      <c r="B247" s="1" t="s">
        <v>31</v>
      </c>
      <c r="C247" s="1">
        <v>62</v>
      </c>
      <c r="D247" s="1" t="s">
        <v>57</v>
      </c>
      <c r="E247" s="1">
        <v>1</v>
      </c>
      <c r="F247" s="1" t="s">
        <v>75</v>
      </c>
      <c r="G247">
        <v>38</v>
      </c>
      <c r="H247" s="1">
        <v>40</v>
      </c>
      <c r="I247">
        <f>VLOOKUP(C247,[1]M0112A!$A$1:$Z$222,24,TRUE)+(G247/100)</f>
        <v>97.789999999999992</v>
      </c>
      <c r="J247">
        <f t="shared" si="9"/>
        <v>97.809999999999988</v>
      </c>
      <c r="K247" s="42" t="s">
        <v>234</v>
      </c>
      <c r="L247" s="39" t="s">
        <v>77</v>
      </c>
      <c r="M247" s="41">
        <f t="shared" si="10"/>
        <v>2.2000000000000028</v>
      </c>
    </row>
    <row r="248" spans="1:13" x14ac:dyDescent="0.3">
      <c r="A248" s="1" t="s">
        <v>60</v>
      </c>
      <c r="B248" s="1" t="s">
        <v>31</v>
      </c>
      <c r="C248" s="1">
        <v>63</v>
      </c>
      <c r="D248" s="1" t="s">
        <v>34</v>
      </c>
      <c r="E248" s="1">
        <v>1</v>
      </c>
      <c r="F248" s="1" t="s">
        <v>75</v>
      </c>
      <c r="G248">
        <v>8</v>
      </c>
      <c r="H248" s="1">
        <v>10</v>
      </c>
      <c r="I248">
        <f>VLOOKUP(C248,[1]M0112A!$A$1:$Z$222,24,TRUE)+(G248/100)</f>
        <v>98.94</v>
      </c>
      <c r="J248">
        <f t="shared" si="9"/>
        <v>98.96</v>
      </c>
      <c r="K248" t="s">
        <v>235</v>
      </c>
      <c r="L248" s="39" t="s">
        <v>236</v>
      </c>
      <c r="M248" s="41">
        <f t="shared" si="10"/>
        <v>1.1500000000000057</v>
      </c>
    </row>
    <row r="249" spans="1:13" x14ac:dyDescent="0.3">
      <c r="A249" s="1" t="s">
        <v>60</v>
      </c>
      <c r="B249" s="1" t="s">
        <v>31</v>
      </c>
      <c r="C249" s="1">
        <v>67</v>
      </c>
      <c r="D249" s="1" t="s">
        <v>57</v>
      </c>
      <c r="E249" s="1">
        <v>1</v>
      </c>
      <c r="F249" s="1" t="s">
        <v>75</v>
      </c>
      <c r="G249">
        <v>38</v>
      </c>
      <c r="H249" s="1">
        <v>40</v>
      </c>
      <c r="I249">
        <f>VLOOKUP(C249,[1]M0112A!$A$1:$Z$222,24,TRUE)+(G249/100)</f>
        <v>102.71</v>
      </c>
      <c r="J249">
        <f t="shared" si="9"/>
        <v>102.72999999999999</v>
      </c>
      <c r="K249" s="42" t="s">
        <v>235</v>
      </c>
      <c r="L249" s="39" t="s">
        <v>77</v>
      </c>
      <c r="M249" s="41">
        <f t="shared" si="10"/>
        <v>3.769999999999996</v>
      </c>
    </row>
    <row r="250" spans="1:13" x14ac:dyDescent="0.3">
      <c r="A250" s="1" t="s">
        <v>60</v>
      </c>
      <c r="B250" s="1" t="s">
        <v>31</v>
      </c>
      <c r="C250" s="1">
        <v>68</v>
      </c>
      <c r="D250" s="1" t="s">
        <v>57</v>
      </c>
      <c r="E250" s="1">
        <v>1</v>
      </c>
      <c r="F250" s="1" t="s">
        <v>75</v>
      </c>
      <c r="G250">
        <v>8</v>
      </c>
      <c r="H250" s="1">
        <v>10</v>
      </c>
      <c r="I250">
        <f>VLOOKUP(C250,[1]M0112A!$A$1:$Z$222,24,TRUE)+(G250/100)</f>
        <v>103.32</v>
      </c>
      <c r="J250">
        <f t="shared" si="9"/>
        <v>103.33999999999999</v>
      </c>
      <c r="K250" t="s">
        <v>237</v>
      </c>
      <c r="L250" s="39" t="s">
        <v>236</v>
      </c>
      <c r="M250" s="41">
        <f t="shared" si="10"/>
        <v>0.60999999999999943</v>
      </c>
    </row>
    <row r="251" spans="1:13" x14ac:dyDescent="0.3">
      <c r="A251" s="1" t="s">
        <v>60</v>
      </c>
      <c r="B251" s="1" t="s">
        <v>31</v>
      </c>
      <c r="C251" s="1">
        <v>70</v>
      </c>
      <c r="D251" s="1" t="s">
        <v>34</v>
      </c>
      <c r="E251" s="1">
        <v>1</v>
      </c>
      <c r="F251" s="1" t="s">
        <v>75</v>
      </c>
      <c r="G251">
        <v>38</v>
      </c>
      <c r="H251" s="1">
        <v>40</v>
      </c>
      <c r="I251">
        <f>VLOOKUP(C251,[1]M0112A!$A$1:$Z$222,24,TRUE)+(G251/100)</f>
        <v>104.66</v>
      </c>
      <c r="J251">
        <f t="shared" si="9"/>
        <v>104.67999999999999</v>
      </c>
      <c r="K251" t="s">
        <v>238</v>
      </c>
      <c r="L251" s="39" t="s">
        <v>77</v>
      </c>
      <c r="M251" s="41">
        <f t="shared" si="10"/>
        <v>1.3400000000000034</v>
      </c>
    </row>
    <row r="252" spans="1:13" x14ac:dyDescent="0.3">
      <c r="A252" s="1" t="s">
        <v>60</v>
      </c>
      <c r="B252" s="1" t="s">
        <v>31</v>
      </c>
      <c r="C252" s="1">
        <v>71</v>
      </c>
      <c r="D252" s="1" t="s">
        <v>34</v>
      </c>
      <c r="E252" s="1">
        <v>1</v>
      </c>
      <c r="F252" s="1" t="s">
        <v>75</v>
      </c>
      <c r="G252">
        <v>12</v>
      </c>
      <c r="H252" s="1">
        <v>14</v>
      </c>
      <c r="I252">
        <f>VLOOKUP(C252,[1]M0112A!$A$1:$Z$222,24,TRUE)+(G252/100)</f>
        <v>107.33</v>
      </c>
      <c r="J252">
        <f t="shared" si="9"/>
        <v>107.35</v>
      </c>
      <c r="K252" t="s">
        <v>239</v>
      </c>
      <c r="L252" s="39" t="s">
        <v>77</v>
      </c>
      <c r="M252" s="41">
        <f t="shared" si="10"/>
        <v>2.6700000000000017</v>
      </c>
    </row>
    <row r="253" spans="1:13" x14ac:dyDescent="0.3">
      <c r="A253" s="1" t="s">
        <v>60</v>
      </c>
      <c r="B253" s="1" t="s">
        <v>31</v>
      </c>
      <c r="C253" s="1">
        <v>72</v>
      </c>
      <c r="D253" s="1" t="s">
        <v>57</v>
      </c>
      <c r="E253" s="1">
        <v>1</v>
      </c>
      <c r="F253" s="1" t="s">
        <v>75</v>
      </c>
      <c r="G253">
        <v>18</v>
      </c>
      <c r="H253" s="1">
        <v>20</v>
      </c>
      <c r="I253">
        <f>VLOOKUP(C253,[1]M0112A!$A$1:$Z$222,24,TRUE)+(G253/100)</f>
        <v>110.39</v>
      </c>
      <c r="J253">
        <f t="shared" si="9"/>
        <v>110.41</v>
      </c>
      <c r="K253" t="s">
        <v>240</v>
      </c>
      <c r="L253" s="39" t="s">
        <v>77</v>
      </c>
      <c r="M253" s="41">
        <f t="shared" si="10"/>
        <v>3.0600000000000023</v>
      </c>
    </row>
    <row r="254" spans="1:13" x14ac:dyDescent="0.3">
      <c r="A254" s="1" t="s">
        <v>60</v>
      </c>
      <c r="B254" s="1" t="s">
        <v>31</v>
      </c>
      <c r="C254" s="1">
        <v>75</v>
      </c>
      <c r="D254" s="1" t="s">
        <v>57</v>
      </c>
      <c r="E254" s="1">
        <v>1</v>
      </c>
      <c r="F254" s="1" t="s">
        <v>75</v>
      </c>
      <c r="G254">
        <v>8</v>
      </c>
      <c r="H254" s="1">
        <v>10</v>
      </c>
      <c r="I254">
        <f>VLOOKUP(C254,[1]M0112A!$A$1:$Z$222,24,TRUE)+(G254/100)</f>
        <v>113.28999999999999</v>
      </c>
      <c r="J254">
        <f t="shared" si="9"/>
        <v>113.30999999999999</v>
      </c>
      <c r="K254" t="s">
        <v>241</v>
      </c>
      <c r="L254" s="39" t="s">
        <v>77</v>
      </c>
      <c r="M254" s="41">
        <f t="shared" si="10"/>
        <v>2.8999999999999915</v>
      </c>
    </row>
    <row r="255" spans="1:13" x14ac:dyDescent="0.3">
      <c r="A255" s="1" t="s">
        <v>60</v>
      </c>
      <c r="B255" s="1" t="s">
        <v>31</v>
      </c>
      <c r="C255" s="1">
        <v>78</v>
      </c>
      <c r="D255" s="1" t="s">
        <v>57</v>
      </c>
      <c r="E255" s="1">
        <v>1</v>
      </c>
      <c r="F255" s="1" t="s">
        <v>75</v>
      </c>
      <c r="G255">
        <v>38</v>
      </c>
      <c r="H255" s="1">
        <v>40</v>
      </c>
      <c r="I255">
        <f>VLOOKUP(C255,[1]M0112A!$A$1:$Z$222,24,TRUE)+(G255/100)</f>
        <v>115.58999999999999</v>
      </c>
      <c r="J255">
        <f t="shared" si="9"/>
        <v>115.60999999999999</v>
      </c>
      <c r="K255" t="s">
        <v>242</v>
      </c>
      <c r="L255" s="39" t="s">
        <v>77</v>
      </c>
      <c r="M255" s="41">
        <f t="shared" si="10"/>
        <v>2.2999999999999972</v>
      </c>
    </row>
    <row r="256" spans="1:13" x14ac:dyDescent="0.3">
      <c r="A256" s="1" t="s">
        <v>60</v>
      </c>
      <c r="B256" s="1" t="s">
        <v>31</v>
      </c>
      <c r="C256" s="1">
        <v>81</v>
      </c>
      <c r="D256" s="1" t="s">
        <v>34</v>
      </c>
      <c r="E256" s="1">
        <v>1</v>
      </c>
      <c r="F256" s="1" t="s">
        <v>75</v>
      </c>
      <c r="G256">
        <v>8</v>
      </c>
      <c r="H256" s="1">
        <v>10</v>
      </c>
      <c r="I256">
        <f>VLOOKUP(C256,[1]M0112A!$A$1:$Z$222,24,TRUE)+(G256/100)</f>
        <v>117.28</v>
      </c>
      <c r="J256">
        <f t="shared" ref="J256:J319" si="11">I256+0.02</f>
        <v>117.3</v>
      </c>
      <c r="K256" t="s">
        <v>242</v>
      </c>
      <c r="L256" s="39" t="s">
        <v>77</v>
      </c>
      <c r="M256" s="41">
        <f t="shared" si="10"/>
        <v>1.6900000000000119</v>
      </c>
    </row>
    <row r="257" spans="1:13" x14ac:dyDescent="0.3">
      <c r="A257" s="1" t="s">
        <v>60</v>
      </c>
      <c r="B257" s="1" t="s">
        <v>31</v>
      </c>
      <c r="C257" s="1">
        <v>82</v>
      </c>
      <c r="D257" s="1" t="s">
        <v>57</v>
      </c>
      <c r="E257" s="1">
        <v>1</v>
      </c>
      <c r="F257" s="1" t="s">
        <v>75</v>
      </c>
      <c r="G257">
        <v>38</v>
      </c>
      <c r="H257" s="1">
        <v>40</v>
      </c>
      <c r="I257">
        <f>VLOOKUP(C257,[1]M0112A!$A$1:$Z$222,24,TRUE)+(G257/100)</f>
        <v>119.58999999999999</v>
      </c>
      <c r="J257">
        <f t="shared" si="11"/>
        <v>119.60999999999999</v>
      </c>
      <c r="K257" s="42" t="s">
        <v>243</v>
      </c>
      <c r="L257" s="39" t="s">
        <v>77</v>
      </c>
      <c r="M257" s="41">
        <f t="shared" si="10"/>
        <v>2.3099999999999881</v>
      </c>
    </row>
    <row r="258" spans="1:13" x14ac:dyDescent="0.3">
      <c r="A258" s="1" t="s">
        <v>60</v>
      </c>
      <c r="B258" s="1" t="s">
        <v>31</v>
      </c>
      <c r="C258" s="1">
        <v>84</v>
      </c>
      <c r="D258" s="1" t="s">
        <v>57</v>
      </c>
      <c r="E258" s="1">
        <v>1</v>
      </c>
      <c r="F258" s="1" t="s">
        <v>75</v>
      </c>
      <c r="G258">
        <v>38</v>
      </c>
      <c r="H258" s="1">
        <v>40</v>
      </c>
      <c r="I258">
        <f>VLOOKUP(C258,[1]M0112A!$A$1:$Z$222,24,TRUE)+(G258/100)</f>
        <v>120.74</v>
      </c>
      <c r="J258">
        <f t="shared" si="11"/>
        <v>120.75999999999999</v>
      </c>
      <c r="K258" s="42" t="s">
        <v>244</v>
      </c>
      <c r="L258" s="39" t="s">
        <v>77</v>
      </c>
      <c r="M258" s="41">
        <f t="shared" si="10"/>
        <v>1.1500000000000057</v>
      </c>
    </row>
    <row r="259" spans="1:13" x14ac:dyDescent="0.3">
      <c r="A259" s="1" t="s">
        <v>60</v>
      </c>
      <c r="B259" s="1" t="s">
        <v>31</v>
      </c>
      <c r="C259" s="1">
        <v>85</v>
      </c>
      <c r="D259" s="1" t="s">
        <v>57</v>
      </c>
      <c r="E259" s="1">
        <v>1</v>
      </c>
      <c r="F259" s="1" t="s">
        <v>75</v>
      </c>
      <c r="G259">
        <v>38</v>
      </c>
      <c r="H259" s="1">
        <v>40</v>
      </c>
      <c r="I259">
        <f>VLOOKUP(C259,[1]M0112A!$A$1:$Z$222,24,TRUE)+(G259/100)</f>
        <v>121.94999999999999</v>
      </c>
      <c r="J259">
        <f t="shared" si="11"/>
        <v>121.96999999999998</v>
      </c>
      <c r="K259" t="s">
        <v>245</v>
      </c>
      <c r="L259" s="39" t="s">
        <v>77</v>
      </c>
      <c r="M259" s="41">
        <f t="shared" si="10"/>
        <v>1.2099999999999937</v>
      </c>
    </row>
    <row r="260" spans="1:13" x14ac:dyDescent="0.3">
      <c r="A260" s="1" t="s">
        <v>60</v>
      </c>
      <c r="B260" s="1" t="s">
        <v>31</v>
      </c>
      <c r="C260" s="1">
        <v>86</v>
      </c>
      <c r="D260" s="1" t="s">
        <v>57</v>
      </c>
      <c r="E260" s="1">
        <v>1</v>
      </c>
      <c r="F260" s="1" t="s">
        <v>75</v>
      </c>
      <c r="G260">
        <v>38</v>
      </c>
      <c r="H260" s="1">
        <v>40</v>
      </c>
      <c r="I260">
        <f>VLOOKUP(C260,[1]M0112A!$A$1:$Z$222,24,TRUE)+(G260/100)</f>
        <v>122.5</v>
      </c>
      <c r="J260">
        <f t="shared" si="11"/>
        <v>122.52</v>
      </c>
      <c r="K260" t="s">
        <v>242</v>
      </c>
      <c r="L260" s="39" t="s">
        <v>77</v>
      </c>
      <c r="M260" s="41">
        <f t="shared" si="10"/>
        <v>0.55000000000001137</v>
      </c>
    </row>
    <row r="261" spans="1:13" x14ac:dyDescent="0.3">
      <c r="A261" s="1" t="s">
        <v>60</v>
      </c>
      <c r="B261" s="1" t="s">
        <v>31</v>
      </c>
      <c r="C261" s="1">
        <v>87</v>
      </c>
      <c r="D261" s="1" t="s">
        <v>57</v>
      </c>
      <c r="E261" s="1">
        <v>1</v>
      </c>
      <c r="F261" s="1" t="s">
        <v>75</v>
      </c>
      <c r="G261">
        <v>8</v>
      </c>
      <c r="H261" s="1">
        <v>10</v>
      </c>
      <c r="I261">
        <f>VLOOKUP(C261,[1]M0112A!$A$1:$Z$222,24,TRUE)+(G261/100)</f>
        <v>124.23</v>
      </c>
      <c r="J261">
        <f t="shared" si="11"/>
        <v>124.25</v>
      </c>
      <c r="K261" t="s">
        <v>242</v>
      </c>
      <c r="L261" s="39" t="s">
        <v>77</v>
      </c>
      <c r="M261" s="41">
        <f t="shared" ref="M261:M324" si="12">I261-I260</f>
        <v>1.730000000000004</v>
      </c>
    </row>
    <row r="262" spans="1:13" x14ac:dyDescent="0.3">
      <c r="A262" s="45" t="s">
        <v>60</v>
      </c>
      <c r="B262" s="45" t="s">
        <v>31</v>
      </c>
      <c r="C262" s="45">
        <v>89</v>
      </c>
      <c r="D262" s="45" t="s">
        <v>57</v>
      </c>
      <c r="E262" s="45">
        <v>1</v>
      </c>
      <c r="F262" s="45" t="s">
        <v>75</v>
      </c>
      <c r="G262" s="46">
        <v>38</v>
      </c>
      <c r="H262" s="45">
        <v>40</v>
      </c>
      <c r="I262" s="46">
        <f>VLOOKUP(C262,[1]M0112A!$A$1:$Z$222,24,TRUE)+(G262/100)</f>
        <v>124.85</v>
      </c>
      <c r="J262" s="46">
        <f t="shared" si="11"/>
        <v>124.86999999999999</v>
      </c>
      <c r="K262" s="46" t="s">
        <v>246</v>
      </c>
      <c r="L262" s="49" t="s">
        <v>77</v>
      </c>
      <c r="M262" s="47">
        <f t="shared" si="12"/>
        <v>0.61999999999999034</v>
      </c>
    </row>
    <row r="263" spans="1:13" x14ac:dyDescent="0.3">
      <c r="A263" s="45" t="s">
        <v>60</v>
      </c>
      <c r="B263" s="45" t="s">
        <v>31</v>
      </c>
      <c r="C263" s="45">
        <v>90</v>
      </c>
      <c r="D263" s="45" t="s">
        <v>57</v>
      </c>
      <c r="E263" s="45">
        <v>1</v>
      </c>
      <c r="F263" s="45" t="s">
        <v>75</v>
      </c>
      <c r="G263" s="46">
        <v>38</v>
      </c>
      <c r="H263" s="45">
        <v>40</v>
      </c>
      <c r="I263" s="46">
        <f>VLOOKUP(C263,[1]M0112A!$A$1:$Z$222,24,TRUE)+(G263/100)</f>
        <v>126.27</v>
      </c>
      <c r="J263" s="46">
        <f t="shared" si="11"/>
        <v>126.28999999999999</v>
      </c>
      <c r="K263" s="52" t="s">
        <v>247</v>
      </c>
      <c r="L263" s="49" t="s">
        <v>77</v>
      </c>
      <c r="M263" s="47">
        <f t="shared" si="12"/>
        <v>1.4200000000000017</v>
      </c>
    </row>
    <row r="264" spans="1:13" x14ac:dyDescent="0.3">
      <c r="A264" s="1" t="s">
        <v>60</v>
      </c>
      <c r="B264" s="1" t="s">
        <v>31</v>
      </c>
      <c r="C264" s="1">
        <v>91</v>
      </c>
      <c r="D264" s="1" t="s">
        <v>57</v>
      </c>
      <c r="E264" s="1">
        <v>1</v>
      </c>
      <c r="F264" s="1" t="s">
        <v>75</v>
      </c>
      <c r="G264">
        <v>38</v>
      </c>
      <c r="H264" s="1">
        <v>40</v>
      </c>
      <c r="I264">
        <f>VLOOKUP(C264,[1]M0112A!$A$1:$Z$222,24,TRUE)+(G264/100)</f>
        <v>126.78999999999999</v>
      </c>
      <c r="J264">
        <f t="shared" si="11"/>
        <v>126.80999999999999</v>
      </c>
      <c r="K264" t="s">
        <v>248</v>
      </c>
      <c r="L264" s="39" t="s">
        <v>77</v>
      </c>
      <c r="M264" s="41">
        <f t="shared" si="12"/>
        <v>0.51999999999999602</v>
      </c>
    </row>
    <row r="265" spans="1:13" x14ac:dyDescent="0.3">
      <c r="A265" s="1" t="s">
        <v>60</v>
      </c>
      <c r="B265" s="1" t="s">
        <v>31</v>
      </c>
      <c r="C265" s="1">
        <v>92</v>
      </c>
      <c r="D265" s="1" t="s">
        <v>57</v>
      </c>
      <c r="E265" s="1">
        <v>1</v>
      </c>
      <c r="F265" s="1" t="s">
        <v>75</v>
      </c>
      <c r="G265">
        <v>38</v>
      </c>
      <c r="H265" s="1">
        <v>40</v>
      </c>
      <c r="I265">
        <f>VLOOKUP(C265,[1]M0112A!$A$1:$Z$222,24,TRUE)+(G265/100)</f>
        <v>128.81</v>
      </c>
      <c r="J265">
        <f t="shared" si="11"/>
        <v>128.83000000000001</v>
      </c>
      <c r="K265" s="42" t="s">
        <v>249</v>
      </c>
      <c r="L265" s="39" t="s">
        <v>77</v>
      </c>
      <c r="M265" s="41">
        <f t="shared" si="12"/>
        <v>2.0200000000000102</v>
      </c>
    </row>
    <row r="266" spans="1:13" x14ac:dyDescent="0.3">
      <c r="A266" s="1" t="s">
        <v>60</v>
      </c>
      <c r="B266" s="1" t="s">
        <v>31</v>
      </c>
      <c r="C266" s="1">
        <v>93</v>
      </c>
      <c r="D266" s="1" t="s">
        <v>57</v>
      </c>
      <c r="E266" s="1">
        <v>1</v>
      </c>
      <c r="F266" s="1" t="s">
        <v>75</v>
      </c>
      <c r="G266">
        <v>38</v>
      </c>
      <c r="H266" s="1">
        <v>40</v>
      </c>
      <c r="I266">
        <f>VLOOKUP(C266,[1]M0112A!$A$1:$Z$222,24,TRUE)+(G266/100)</f>
        <v>131.10999999999999</v>
      </c>
      <c r="J266">
        <f t="shared" si="11"/>
        <v>131.13</v>
      </c>
      <c r="K266" s="42" t="s">
        <v>249</v>
      </c>
      <c r="L266" s="39" t="s">
        <v>77</v>
      </c>
      <c r="M266" s="41">
        <f t="shared" si="12"/>
        <v>2.2999999999999829</v>
      </c>
    </row>
    <row r="267" spans="1:13" x14ac:dyDescent="0.3">
      <c r="A267" s="1" t="s">
        <v>60</v>
      </c>
      <c r="B267" s="1" t="s">
        <v>31</v>
      </c>
      <c r="C267" s="1">
        <v>94</v>
      </c>
      <c r="D267" s="1" t="s">
        <v>57</v>
      </c>
      <c r="E267" s="1">
        <v>1</v>
      </c>
      <c r="F267" s="1" t="s">
        <v>75</v>
      </c>
      <c r="G267">
        <v>38</v>
      </c>
      <c r="H267" s="1">
        <v>40</v>
      </c>
      <c r="I267">
        <f>VLOOKUP(C267,[1]M0112A!$A$1:$Z$222,24,TRUE)+(G267/100)</f>
        <v>133.97</v>
      </c>
      <c r="J267">
        <f t="shared" si="11"/>
        <v>133.99</v>
      </c>
      <c r="K267" s="42" t="s">
        <v>250</v>
      </c>
      <c r="L267" s="39" t="s">
        <v>77</v>
      </c>
      <c r="M267" s="41">
        <f t="shared" si="12"/>
        <v>2.8600000000000136</v>
      </c>
    </row>
    <row r="268" spans="1:13" x14ac:dyDescent="0.3">
      <c r="A268" s="1" t="s">
        <v>60</v>
      </c>
      <c r="B268" s="1" t="s">
        <v>31</v>
      </c>
      <c r="C268" s="1">
        <v>95</v>
      </c>
      <c r="D268" s="1" t="s">
        <v>57</v>
      </c>
      <c r="E268" s="1">
        <v>1</v>
      </c>
      <c r="F268" s="1" t="s">
        <v>75</v>
      </c>
      <c r="G268">
        <v>38</v>
      </c>
      <c r="H268" s="1">
        <v>40</v>
      </c>
      <c r="I268">
        <f>VLOOKUP(C268,[1]M0112A!$A$1:$Z$222,24,TRUE)+(G268/100)</f>
        <v>136.62</v>
      </c>
      <c r="J268">
        <f t="shared" si="11"/>
        <v>136.64000000000001</v>
      </c>
      <c r="K268" t="s">
        <v>251</v>
      </c>
      <c r="L268" s="39" t="s">
        <v>77</v>
      </c>
      <c r="M268" s="41">
        <f t="shared" si="12"/>
        <v>2.6500000000000057</v>
      </c>
    </row>
    <row r="269" spans="1:13" x14ac:dyDescent="0.3">
      <c r="A269" s="1" t="s">
        <v>60</v>
      </c>
      <c r="B269" s="1" t="s">
        <v>31</v>
      </c>
      <c r="C269" s="1">
        <v>96</v>
      </c>
      <c r="D269" s="1" t="s">
        <v>57</v>
      </c>
      <c r="E269" s="1">
        <v>1</v>
      </c>
      <c r="F269" s="1" t="s">
        <v>75</v>
      </c>
      <c r="G269">
        <v>38</v>
      </c>
      <c r="H269" s="1">
        <v>40</v>
      </c>
      <c r="I269">
        <f>VLOOKUP(C269,[1]M0112A!$A$1:$Z$222,24,TRUE)+(G269/100)</f>
        <v>138.6</v>
      </c>
      <c r="J269">
        <f t="shared" si="11"/>
        <v>138.62</v>
      </c>
      <c r="K269" t="s">
        <v>252</v>
      </c>
      <c r="L269" s="39" t="s">
        <v>77</v>
      </c>
      <c r="M269" s="41">
        <f t="shared" si="12"/>
        <v>1.9799999999999898</v>
      </c>
    </row>
    <row r="270" spans="1:13" x14ac:dyDescent="0.3">
      <c r="A270" s="45" t="s">
        <v>60</v>
      </c>
      <c r="B270" s="45" t="s">
        <v>31</v>
      </c>
      <c r="C270" s="45">
        <v>99</v>
      </c>
      <c r="D270" s="45" t="s">
        <v>34</v>
      </c>
      <c r="E270" s="45">
        <v>1</v>
      </c>
      <c r="F270" s="45" t="s">
        <v>75</v>
      </c>
      <c r="G270" s="46">
        <v>38</v>
      </c>
      <c r="H270" s="45">
        <v>40</v>
      </c>
      <c r="I270" s="46">
        <f>VLOOKUP(C270,[1]M0112A!$A$1:$Z$222,24,TRUE)+(G270/100)</f>
        <v>141.59</v>
      </c>
      <c r="J270" s="46">
        <f t="shared" si="11"/>
        <v>141.61000000000001</v>
      </c>
      <c r="K270" s="46" t="s">
        <v>223</v>
      </c>
      <c r="L270" s="49" t="s">
        <v>77</v>
      </c>
      <c r="M270" s="47">
        <f t="shared" si="12"/>
        <v>2.9900000000000091</v>
      </c>
    </row>
    <row r="271" spans="1:13" x14ac:dyDescent="0.3">
      <c r="A271" s="45" t="s">
        <v>60</v>
      </c>
      <c r="B271" s="45" t="s">
        <v>31</v>
      </c>
      <c r="C271" s="45">
        <v>100</v>
      </c>
      <c r="D271" s="45" t="s">
        <v>34</v>
      </c>
      <c r="E271" s="45">
        <v>1</v>
      </c>
      <c r="F271" s="45" t="s">
        <v>75</v>
      </c>
      <c r="G271" s="46">
        <v>38</v>
      </c>
      <c r="H271" s="45">
        <v>40</v>
      </c>
      <c r="I271" s="46">
        <f>VLOOKUP(C271,[1]M0112A!$A$1:$Z$222,24,TRUE)+(G271/100)</f>
        <v>142.59</v>
      </c>
      <c r="J271" s="46">
        <f t="shared" si="11"/>
        <v>142.61000000000001</v>
      </c>
      <c r="K271" s="52" t="s">
        <v>223</v>
      </c>
      <c r="L271" s="49" t="s">
        <v>77</v>
      </c>
      <c r="M271" s="47">
        <f t="shared" si="12"/>
        <v>1</v>
      </c>
    </row>
    <row r="272" spans="1:13" x14ac:dyDescent="0.3">
      <c r="A272" s="45" t="s">
        <v>60</v>
      </c>
      <c r="B272" s="45" t="s">
        <v>31</v>
      </c>
      <c r="C272" s="45">
        <v>101</v>
      </c>
      <c r="D272" s="45" t="s">
        <v>34</v>
      </c>
      <c r="E272" s="45">
        <v>1</v>
      </c>
      <c r="F272" s="45" t="s">
        <v>75</v>
      </c>
      <c r="G272" s="46">
        <v>38</v>
      </c>
      <c r="H272" s="45">
        <v>40</v>
      </c>
      <c r="I272" s="46">
        <f>VLOOKUP(C272,[1]M0112A!$A$1:$Z$222,24,TRUE)+(G272/100)</f>
        <v>143.59</v>
      </c>
      <c r="J272" s="46">
        <f t="shared" si="11"/>
        <v>143.61000000000001</v>
      </c>
      <c r="K272" s="52" t="s">
        <v>223</v>
      </c>
      <c r="L272" s="49" t="s">
        <v>77</v>
      </c>
      <c r="M272" s="47">
        <f t="shared" si="12"/>
        <v>1</v>
      </c>
    </row>
    <row r="273" spans="1:13" x14ac:dyDescent="0.3">
      <c r="A273" s="45" t="s">
        <v>60</v>
      </c>
      <c r="B273" s="45" t="s">
        <v>31</v>
      </c>
      <c r="C273" s="45">
        <v>102</v>
      </c>
      <c r="D273" s="45" t="s">
        <v>34</v>
      </c>
      <c r="E273" s="45">
        <v>1</v>
      </c>
      <c r="F273" s="45" t="s">
        <v>75</v>
      </c>
      <c r="G273" s="46">
        <v>38</v>
      </c>
      <c r="H273" s="45">
        <v>40</v>
      </c>
      <c r="I273" s="46">
        <f>VLOOKUP(C273,[1]M0112A!$A$1:$Z$222,24,TRUE)+(G273/100)</f>
        <v>146.59</v>
      </c>
      <c r="J273" s="46">
        <f t="shared" si="11"/>
        <v>146.61000000000001</v>
      </c>
      <c r="K273" s="52" t="s">
        <v>223</v>
      </c>
      <c r="L273" s="49" t="s">
        <v>77</v>
      </c>
      <c r="M273" s="47">
        <f t="shared" si="12"/>
        <v>3</v>
      </c>
    </row>
    <row r="274" spans="1:13" x14ac:dyDescent="0.3">
      <c r="A274" s="45" t="s">
        <v>60</v>
      </c>
      <c r="B274" s="45" t="s">
        <v>31</v>
      </c>
      <c r="C274" s="45">
        <v>103</v>
      </c>
      <c r="D274" s="45" t="s">
        <v>34</v>
      </c>
      <c r="E274" s="45">
        <v>1</v>
      </c>
      <c r="F274" s="45" t="s">
        <v>75</v>
      </c>
      <c r="G274" s="46">
        <v>48</v>
      </c>
      <c r="H274" s="45">
        <v>50</v>
      </c>
      <c r="I274" s="46">
        <f>VLOOKUP(C274,[1]M0112A!$A$1:$Z$222,24,TRUE)+(G274/100)</f>
        <v>148.69</v>
      </c>
      <c r="J274" s="46">
        <f t="shared" si="11"/>
        <v>148.71</v>
      </c>
      <c r="K274" s="46" t="s">
        <v>253</v>
      </c>
      <c r="L274" s="49" t="s">
        <v>77</v>
      </c>
      <c r="M274" s="47">
        <f t="shared" si="12"/>
        <v>2.0999999999999943</v>
      </c>
    </row>
    <row r="275" spans="1:13" x14ac:dyDescent="0.3">
      <c r="A275" s="45" t="s">
        <v>60</v>
      </c>
      <c r="B275" s="45" t="s">
        <v>31</v>
      </c>
      <c r="C275" s="45">
        <v>104</v>
      </c>
      <c r="D275" s="45" t="s">
        <v>34</v>
      </c>
      <c r="E275" s="45">
        <v>1</v>
      </c>
      <c r="F275" s="45" t="s">
        <v>75</v>
      </c>
      <c r="G275" s="46">
        <v>28</v>
      </c>
      <c r="H275" s="45">
        <v>30</v>
      </c>
      <c r="I275" s="46">
        <f>VLOOKUP(C275,[1]M0112A!$A$1:$Z$222,24,TRUE)+(G275/100)</f>
        <v>150.49</v>
      </c>
      <c r="J275" s="46">
        <f t="shared" si="11"/>
        <v>150.51000000000002</v>
      </c>
      <c r="K275" s="46" t="s">
        <v>254</v>
      </c>
      <c r="L275" s="49" t="s">
        <v>77</v>
      </c>
      <c r="M275" s="47">
        <f t="shared" si="12"/>
        <v>1.8000000000000114</v>
      </c>
    </row>
    <row r="276" spans="1:13" x14ac:dyDescent="0.3">
      <c r="A276" s="1" t="s">
        <v>60</v>
      </c>
      <c r="B276" s="1" t="s">
        <v>31</v>
      </c>
      <c r="C276" s="1">
        <v>106</v>
      </c>
      <c r="D276" s="1" t="s">
        <v>57</v>
      </c>
      <c r="E276" s="1">
        <v>1</v>
      </c>
      <c r="F276" s="1" t="s">
        <v>75</v>
      </c>
      <c r="G276">
        <v>8</v>
      </c>
      <c r="H276" s="1">
        <v>10</v>
      </c>
      <c r="I276">
        <f>VLOOKUP(C276,[1]M0112A!$A$1:$Z$222,24,TRUE)+(G276/100)</f>
        <v>153.44000000000003</v>
      </c>
      <c r="J276">
        <f t="shared" si="11"/>
        <v>153.46000000000004</v>
      </c>
      <c r="K276" t="s">
        <v>255</v>
      </c>
      <c r="L276" s="39" t="s">
        <v>236</v>
      </c>
      <c r="M276" s="41">
        <f t="shared" si="12"/>
        <v>2.9500000000000171</v>
      </c>
    </row>
    <row r="277" spans="1:13" x14ac:dyDescent="0.3">
      <c r="A277" s="1" t="s">
        <v>60</v>
      </c>
      <c r="B277" s="1" t="s">
        <v>31</v>
      </c>
      <c r="C277" s="1">
        <v>109</v>
      </c>
      <c r="D277" s="1" t="s">
        <v>57</v>
      </c>
      <c r="E277" s="1">
        <v>1</v>
      </c>
      <c r="F277" s="1" t="s">
        <v>75</v>
      </c>
      <c r="G277">
        <v>8</v>
      </c>
      <c r="H277" s="1">
        <v>10</v>
      </c>
      <c r="I277">
        <f>VLOOKUP(C277,[1]M0112A!$A$1:$Z$222,24,TRUE)+(G277/100)</f>
        <v>155.29000000000002</v>
      </c>
      <c r="J277">
        <f t="shared" si="11"/>
        <v>155.31000000000003</v>
      </c>
      <c r="K277" t="s">
        <v>255</v>
      </c>
      <c r="L277" s="39" t="s">
        <v>236</v>
      </c>
      <c r="M277" s="41">
        <f t="shared" si="12"/>
        <v>1.8499999999999943</v>
      </c>
    </row>
    <row r="278" spans="1:13" x14ac:dyDescent="0.3">
      <c r="A278" s="1" t="s">
        <v>60</v>
      </c>
      <c r="B278" s="1" t="s">
        <v>31</v>
      </c>
      <c r="C278" s="1">
        <v>111</v>
      </c>
      <c r="D278" s="1" t="s">
        <v>57</v>
      </c>
      <c r="E278" s="1">
        <v>1</v>
      </c>
      <c r="F278" s="1" t="s">
        <v>75</v>
      </c>
      <c r="G278">
        <v>38</v>
      </c>
      <c r="H278" s="1">
        <v>40</v>
      </c>
      <c r="I278">
        <f>VLOOKUP(C278,[1]M0112A!$A$1:$Z$222,24,TRUE)+(G278/100)</f>
        <v>155.87</v>
      </c>
      <c r="J278">
        <f t="shared" si="11"/>
        <v>155.89000000000001</v>
      </c>
      <c r="K278" t="s">
        <v>256</v>
      </c>
      <c r="L278" s="39" t="s">
        <v>77</v>
      </c>
      <c r="M278" s="41">
        <f t="shared" si="12"/>
        <v>0.57999999999998408</v>
      </c>
    </row>
    <row r="279" spans="1:13" x14ac:dyDescent="0.3">
      <c r="A279" s="1" t="s">
        <v>60</v>
      </c>
      <c r="B279" s="1" t="s">
        <v>31</v>
      </c>
      <c r="C279" s="1">
        <v>112</v>
      </c>
      <c r="D279" s="1" t="s">
        <v>57</v>
      </c>
      <c r="E279" s="1">
        <v>1</v>
      </c>
      <c r="F279" s="1" t="s">
        <v>75</v>
      </c>
      <c r="G279">
        <v>38</v>
      </c>
      <c r="H279" s="1">
        <v>40</v>
      </c>
      <c r="I279">
        <f>VLOOKUP(C279,[1]M0112A!$A$1:$Z$222,24,TRUE)+(G279/100)</f>
        <v>157.91999999999999</v>
      </c>
      <c r="J279">
        <f t="shared" si="11"/>
        <v>157.94</v>
      </c>
      <c r="K279" s="42" t="s">
        <v>257</v>
      </c>
      <c r="L279" s="39" t="s">
        <v>77</v>
      </c>
      <c r="M279" s="41">
        <f t="shared" si="12"/>
        <v>2.0499999999999829</v>
      </c>
    </row>
    <row r="280" spans="1:13" x14ac:dyDescent="0.3">
      <c r="A280" s="1" t="s">
        <v>60</v>
      </c>
      <c r="B280" s="1" t="s">
        <v>31</v>
      </c>
      <c r="C280" s="1">
        <v>113</v>
      </c>
      <c r="D280" s="1" t="s">
        <v>57</v>
      </c>
      <c r="E280" s="1">
        <v>1</v>
      </c>
      <c r="F280" s="1" t="s">
        <v>75</v>
      </c>
      <c r="G280">
        <v>38</v>
      </c>
      <c r="H280" s="1">
        <v>40</v>
      </c>
      <c r="I280">
        <f>VLOOKUP(C280,[1]M0112A!$A$1:$Z$222,24,TRUE)+(G280/100)</f>
        <v>159.16999999999999</v>
      </c>
      <c r="J280">
        <f t="shared" si="11"/>
        <v>159.19</v>
      </c>
      <c r="K280" s="42" t="s">
        <v>258</v>
      </c>
      <c r="L280" s="39" t="s">
        <v>77</v>
      </c>
      <c r="M280" s="41">
        <f t="shared" si="12"/>
        <v>1.25</v>
      </c>
    </row>
    <row r="281" spans="1:13" x14ac:dyDescent="0.3">
      <c r="A281" s="1" t="s">
        <v>60</v>
      </c>
      <c r="B281" s="1" t="s">
        <v>31</v>
      </c>
      <c r="C281" s="1">
        <v>114</v>
      </c>
      <c r="D281" s="1" t="s">
        <v>57</v>
      </c>
      <c r="E281" s="1">
        <v>1</v>
      </c>
      <c r="F281" s="1" t="s">
        <v>75</v>
      </c>
      <c r="G281">
        <v>8</v>
      </c>
      <c r="H281" s="1">
        <v>10</v>
      </c>
      <c r="I281">
        <f>VLOOKUP(C281,[1]M0112A!$A$1:$Z$222,24,TRUE)+(G281/100)</f>
        <v>160.68</v>
      </c>
      <c r="J281">
        <f t="shared" si="11"/>
        <v>160.70000000000002</v>
      </c>
      <c r="K281" t="s">
        <v>201</v>
      </c>
      <c r="L281" s="39" t="s">
        <v>82</v>
      </c>
      <c r="M281" s="41">
        <f t="shared" si="12"/>
        <v>1.5100000000000193</v>
      </c>
    </row>
    <row r="282" spans="1:13" x14ac:dyDescent="0.3">
      <c r="A282" s="1" t="s">
        <v>60</v>
      </c>
      <c r="B282" s="1" t="s">
        <v>31</v>
      </c>
      <c r="C282" s="1">
        <v>115</v>
      </c>
      <c r="D282" s="1" t="s">
        <v>57</v>
      </c>
      <c r="E282" s="1">
        <v>1</v>
      </c>
      <c r="F282" s="1" t="s">
        <v>75</v>
      </c>
      <c r="G282">
        <v>38</v>
      </c>
      <c r="H282" s="1">
        <v>40</v>
      </c>
      <c r="I282">
        <f>VLOOKUP(C282,[1]M0112A!$A$1:$Z$222,24,TRUE)+(G282/100)</f>
        <v>161.16</v>
      </c>
      <c r="J282">
        <f t="shared" si="11"/>
        <v>161.18</v>
      </c>
      <c r="K282" s="42" t="s">
        <v>258</v>
      </c>
      <c r="L282" s="39" t="s">
        <v>77</v>
      </c>
      <c r="M282" s="41">
        <f t="shared" si="12"/>
        <v>0.47999999999998977</v>
      </c>
    </row>
    <row r="283" spans="1:13" x14ac:dyDescent="0.3">
      <c r="A283" s="1" t="s">
        <v>60</v>
      </c>
      <c r="B283" s="1" t="s">
        <v>31</v>
      </c>
      <c r="C283" s="1">
        <v>116</v>
      </c>
      <c r="D283" s="1" t="s">
        <v>57</v>
      </c>
      <c r="E283" s="1">
        <v>1</v>
      </c>
      <c r="F283" s="1" t="s">
        <v>75</v>
      </c>
      <c r="G283">
        <v>38</v>
      </c>
      <c r="H283" s="1">
        <v>40</v>
      </c>
      <c r="I283">
        <f>VLOOKUP(C283,[1]M0112A!$A$1:$Z$222,24,TRUE)+(G283/100)</f>
        <v>163</v>
      </c>
      <c r="J283">
        <f t="shared" si="11"/>
        <v>163.02000000000001</v>
      </c>
      <c r="K283" s="42" t="s">
        <v>258</v>
      </c>
      <c r="L283" s="39" t="s">
        <v>77</v>
      </c>
      <c r="M283" s="41">
        <f t="shared" si="12"/>
        <v>1.8400000000000034</v>
      </c>
    </row>
    <row r="284" spans="1:13" x14ac:dyDescent="0.3">
      <c r="A284" s="1" t="s">
        <v>60</v>
      </c>
      <c r="B284" s="1" t="s">
        <v>31</v>
      </c>
      <c r="C284" s="1">
        <v>117</v>
      </c>
      <c r="D284" s="1" t="s">
        <v>57</v>
      </c>
      <c r="E284" s="1">
        <v>1</v>
      </c>
      <c r="F284" s="1" t="s">
        <v>75</v>
      </c>
      <c r="G284">
        <v>38</v>
      </c>
      <c r="H284" s="1">
        <v>40</v>
      </c>
      <c r="I284">
        <f>VLOOKUP(C284,[1]M0112A!$A$1:$Z$222,24,TRUE)+(G284/100)</f>
        <v>165.16</v>
      </c>
      <c r="J284">
        <f t="shared" si="11"/>
        <v>165.18</v>
      </c>
      <c r="K284" s="42" t="s">
        <v>258</v>
      </c>
      <c r="L284" s="39" t="s">
        <v>77</v>
      </c>
      <c r="M284" s="41">
        <f t="shared" si="12"/>
        <v>2.1599999999999966</v>
      </c>
    </row>
    <row r="285" spans="1:13" x14ac:dyDescent="0.3">
      <c r="A285" s="1" t="s">
        <v>60</v>
      </c>
      <c r="B285" s="1" t="s">
        <v>31</v>
      </c>
      <c r="C285" s="1">
        <v>118</v>
      </c>
      <c r="D285" s="1" t="s">
        <v>57</v>
      </c>
      <c r="E285" s="1">
        <v>1</v>
      </c>
      <c r="F285" s="1" t="s">
        <v>75</v>
      </c>
      <c r="G285">
        <v>38</v>
      </c>
      <c r="H285" s="1">
        <v>40</v>
      </c>
      <c r="I285">
        <f>VLOOKUP(C285,[1]M0112A!$A$1:$Z$222,24,TRUE)+(G285/100)</f>
        <v>167.92</v>
      </c>
      <c r="J285">
        <f t="shared" si="11"/>
        <v>167.94</v>
      </c>
      <c r="K285" s="42" t="s">
        <v>259</v>
      </c>
      <c r="L285" s="39" t="s">
        <v>77</v>
      </c>
      <c r="M285" s="41">
        <f t="shared" si="12"/>
        <v>2.7599999999999909</v>
      </c>
    </row>
    <row r="286" spans="1:13" x14ac:dyDescent="0.3">
      <c r="A286" s="1" t="s">
        <v>60</v>
      </c>
      <c r="B286" s="1" t="s">
        <v>31</v>
      </c>
      <c r="C286" s="1">
        <v>119</v>
      </c>
      <c r="D286" s="1" t="s">
        <v>57</v>
      </c>
      <c r="E286" s="1">
        <v>1</v>
      </c>
      <c r="F286" s="1" t="s">
        <v>75</v>
      </c>
      <c r="G286">
        <v>38</v>
      </c>
      <c r="H286" s="1">
        <v>40</v>
      </c>
      <c r="I286">
        <f>VLOOKUP(C286,[1]M0112A!$A$1:$Z$222,24,TRUE)+(G286/100)</f>
        <v>170.78</v>
      </c>
      <c r="J286">
        <f t="shared" si="11"/>
        <v>170.8</v>
      </c>
      <c r="K286" s="42" t="s">
        <v>258</v>
      </c>
      <c r="L286" s="39" t="s">
        <v>77</v>
      </c>
      <c r="M286" s="41">
        <f t="shared" si="12"/>
        <v>2.8600000000000136</v>
      </c>
    </row>
    <row r="287" spans="1:13" x14ac:dyDescent="0.3">
      <c r="A287" s="1" t="s">
        <v>60</v>
      </c>
      <c r="B287" s="1" t="s">
        <v>31</v>
      </c>
      <c r="C287" s="1">
        <v>120</v>
      </c>
      <c r="D287" s="1" t="s">
        <v>57</v>
      </c>
      <c r="E287" s="1">
        <v>1</v>
      </c>
      <c r="F287" s="1" t="s">
        <v>75</v>
      </c>
      <c r="G287">
        <v>38</v>
      </c>
      <c r="H287" s="1">
        <v>40</v>
      </c>
      <c r="I287">
        <f>VLOOKUP(C287,[1]M0112A!$A$1:$Z$222,24,TRUE)+(G287/100)</f>
        <v>173.4</v>
      </c>
      <c r="J287">
        <f t="shared" si="11"/>
        <v>173.42000000000002</v>
      </c>
      <c r="K287" s="42" t="s">
        <v>258</v>
      </c>
      <c r="L287" s="39" t="s">
        <v>77</v>
      </c>
      <c r="M287" s="41">
        <f t="shared" si="12"/>
        <v>2.6200000000000045</v>
      </c>
    </row>
    <row r="288" spans="1:13" x14ac:dyDescent="0.3">
      <c r="A288" s="1" t="s">
        <v>60</v>
      </c>
      <c r="B288" s="1" t="s">
        <v>31</v>
      </c>
      <c r="C288" s="1">
        <v>121</v>
      </c>
      <c r="D288" s="1" t="s">
        <v>57</v>
      </c>
      <c r="E288" s="1">
        <v>1</v>
      </c>
      <c r="F288" s="1" t="s">
        <v>75</v>
      </c>
      <c r="G288">
        <v>38</v>
      </c>
      <c r="H288" s="1">
        <v>40</v>
      </c>
      <c r="I288">
        <f>VLOOKUP(C288,[1]M0112A!$A$1:$Z$222,24,TRUE)+(G288/100)</f>
        <v>176.03</v>
      </c>
      <c r="J288">
        <f t="shared" si="11"/>
        <v>176.05</v>
      </c>
      <c r="K288" s="42" t="s">
        <v>258</v>
      </c>
      <c r="L288" s="39" t="s">
        <v>77</v>
      </c>
      <c r="M288" s="41">
        <f t="shared" si="12"/>
        <v>2.6299999999999955</v>
      </c>
    </row>
    <row r="289" spans="1:13" x14ac:dyDescent="0.3">
      <c r="A289" s="1" t="s">
        <v>60</v>
      </c>
      <c r="B289" s="1" t="s">
        <v>31</v>
      </c>
      <c r="C289" s="1">
        <v>122</v>
      </c>
      <c r="D289" s="1" t="s">
        <v>57</v>
      </c>
      <c r="E289" s="1">
        <v>1</v>
      </c>
      <c r="F289" s="1" t="s">
        <v>75</v>
      </c>
      <c r="G289">
        <v>38</v>
      </c>
      <c r="H289" s="1">
        <v>40</v>
      </c>
      <c r="I289">
        <f>VLOOKUP(C289,[1]M0112A!$A$1:$Z$222,24,TRUE)+(G289/100)</f>
        <v>178.26999999999998</v>
      </c>
      <c r="J289">
        <f t="shared" si="11"/>
        <v>178.29</v>
      </c>
      <c r="K289" s="42" t="s">
        <v>258</v>
      </c>
      <c r="L289" s="39" t="s">
        <v>77</v>
      </c>
      <c r="M289" s="41">
        <f t="shared" si="12"/>
        <v>2.2399999999999807</v>
      </c>
    </row>
    <row r="290" spans="1:13" x14ac:dyDescent="0.3">
      <c r="A290" s="1" t="s">
        <v>60</v>
      </c>
      <c r="B290" s="1" t="s">
        <v>31</v>
      </c>
      <c r="C290" s="1">
        <v>123</v>
      </c>
      <c r="D290" s="1" t="s">
        <v>57</v>
      </c>
      <c r="E290" s="1">
        <v>1</v>
      </c>
      <c r="F290" s="1" t="s">
        <v>75</v>
      </c>
      <c r="G290">
        <v>38</v>
      </c>
      <c r="H290" s="1">
        <v>40</v>
      </c>
      <c r="I290">
        <f>VLOOKUP(C290,[1]M0112A!$A$1:$Z$222,24,TRUE)+(G290/100)</f>
        <v>180.63</v>
      </c>
      <c r="J290">
        <f t="shared" si="11"/>
        <v>180.65</v>
      </c>
      <c r="K290" s="42" t="s">
        <v>260</v>
      </c>
      <c r="L290" s="39" t="s">
        <v>77</v>
      </c>
      <c r="M290" s="41">
        <f t="shared" si="12"/>
        <v>2.3600000000000136</v>
      </c>
    </row>
    <row r="291" spans="1:13" x14ac:dyDescent="0.3">
      <c r="A291" s="1" t="s">
        <v>60</v>
      </c>
      <c r="B291" s="1" t="s">
        <v>31</v>
      </c>
      <c r="C291" s="1">
        <v>124</v>
      </c>
      <c r="D291" s="1" t="s">
        <v>57</v>
      </c>
      <c r="E291" s="1">
        <v>1</v>
      </c>
      <c r="F291" s="1" t="s">
        <v>75</v>
      </c>
      <c r="G291">
        <v>38</v>
      </c>
      <c r="H291" s="1">
        <v>40</v>
      </c>
      <c r="I291">
        <f>VLOOKUP(C291,[1]M0112A!$A$1:$Z$222,24,TRUE)+(G291/100)</f>
        <v>183.31</v>
      </c>
      <c r="J291">
        <f t="shared" si="11"/>
        <v>183.33</v>
      </c>
      <c r="K291" s="42" t="s">
        <v>260</v>
      </c>
      <c r="L291" s="39" t="s">
        <v>77</v>
      </c>
      <c r="M291" s="41">
        <f t="shared" si="12"/>
        <v>2.6800000000000068</v>
      </c>
    </row>
    <row r="292" spans="1:13" x14ac:dyDescent="0.3">
      <c r="A292" s="1" t="s">
        <v>60</v>
      </c>
      <c r="B292" s="1" t="s">
        <v>31</v>
      </c>
      <c r="C292" s="1">
        <v>125</v>
      </c>
      <c r="D292" s="1" t="s">
        <v>57</v>
      </c>
      <c r="E292" s="1">
        <v>1</v>
      </c>
      <c r="F292" s="1" t="s">
        <v>75</v>
      </c>
      <c r="G292">
        <v>38</v>
      </c>
      <c r="H292" s="1">
        <v>40</v>
      </c>
      <c r="I292">
        <f>VLOOKUP(C292,[1]M0112A!$A$1:$Z$222,24,TRUE)+(G292/100)</f>
        <v>185.79999999999998</v>
      </c>
      <c r="J292">
        <f t="shared" si="11"/>
        <v>185.82</v>
      </c>
      <c r="K292" s="42" t="s">
        <v>261</v>
      </c>
      <c r="L292" s="39" t="s">
        <v>77</v>
      </c>
      <c r="M292" s="41">
        <f t="shared" si="12"/>
        <v>2.4899999999999807</v>
      </c>
    </row>
    <row r="293" spans="1:13" x14ac:dyDescent="0.3">
      <c r="A293" s="45" t="s">
        <v>60</v>
      </c>
      <c r="B293" s="45" t="s">
        <v>31</v>
      </c>
      <c r="C293" s="45">
        <v>126</v>
      </c>
      <c r="D293" s="45" t="s">
        <v>57</v>
      </c>
      <c r="E293" s="45">
        <v>1</v>
      </c>
      <c r="F293" s="45" t="s">
        <v>75</v>
      </c>
      <c r="G293" s="46">
        <v>38</v>
      </c>
      <c r="H293" s="45">
        <v>40</v>
      </c>
      <c r="I293" s="46">
        <f>VLOOKUP(C293,[1]M0112A!$A$1:$Z$222,24,TRUE)+(G293/100)</f>
        <v>188.26</v>
      </c>
      <c r="J293" s="46">
        <f t="shared" si="11"/>
        <v>188.28</v>
      </c>
      <c r="K293" s="46" t="s">
        <v>262</v>
      </c>
      <c r="L293" s="49" t="s">
        <v>77</v>
      </c>
      <c r="M293" s="47">
        <f t="shared" si="12"/>
        <v>2.460000000000008</v>
      </c>
    </row>
    <row r="294" spans="1:13" x14ac:dyDescent="0.3">
      <c r="A294" s="1" t="s">
        <v>60</v>
      </c>
      <c r="B294" s="1" t="s">
        <v>31</v>
      </c>
      <c r="C294" s="1">
        <v>127</v>
      </c>
      <c r="D294" s="1" t="s">
        <v>57</v>
      </c>
      <c r="E294" s="1">
        <v>1</v>
      </c>
      <c r="F294" s="1" t="s">
        <v>75</v>
      </c>
      <c r="G294">
        <v>38</v>
      </c>
      <c r="H294" s="1">
        <v>40</v>
      </c>
      <c r="I294">
        <f>VLOOKUP(C294,[1]M0112A!$A$1:$Z$222,24,TRUE)+(G294/100)</f>
        <v>189.01</v>
      </c>
      <c r="J294">
        <f t="shared" si="11"/>
        <v>189.03</v>
      </c>
      <c r="K294" t="s">
        <v>263</v>
      </c>
      <c r="L294" s="39" t="s">
        <v>77</v>
      </c>
      <c r="M294" s="41">
        <f t="shared" si="12"/>
        <v>0.75</v>
      </c>
    </row>
    <row r="295" spans="1:13" x14ac:dyDescent="0.3">
      <c r="A295" s="1" t="s">
        <v>60</v>
      </c>
      <c r="B295" s="1" t="s">
        <v>31</v>
      </c>
      <c r="C295" s="1">
        <v>128</v>
      </c>
      <c r="D295" s="1" t="s">
        <v>57</v>
      </c>
      <c r="E295" s="1">
        <v>1</v>
      </c>
      <c r="F295" s="1" t="s">
        <v>75</v>
      </c>
      <c r="G295">
        <v>38</v>
      </c>
      <c r="H295" s="1">
        <v>40</v>
      </c>
      <c r="I295">
        <f>VLOOKUP(C295,[1]M0112A!$A$1:$Z$222,24,TRUE)+(G295/100)</f>
        <v>191.76</v>
      </c>
      <c r="J295">
        <f t="shared" si="11"/>
        <v>191.78</v>
      </c>
      <c r="K295" s="42" t="s">
        <v>264</v>
      </c>
      <c r="L295" s="39" t="s">
        <v>77</v>
      </c>
      <c r="M295" s="41">
        <f t="shared" si="12"/>
        <v>2.75</v>
      </c>
    </row>
    <row r="296" spans="1:13" x14ac:dyDescent="0.3">
      <c r="A296" s="45" t="s">
        <v>60</v>
      </c>
      <c r="B296" s="45" t="s">
        <v>31</v>
      </c>
      <c r="C296" s="45">
        <v>129</v>
      </c>
      <c r="D296" s="45" t="s">
        <v>57</v>
      </c>
      <c r="E296" s="45">
        <v>1</v>
      </c>
      <c r="F296" s="45" t="s">
        <v>75</v>
      </c>
      <c r="G296" s="46">
        <v>18</v>
      </c>
      <c r="H296" s="45">
        <v>20</v>
      </c>
      <c r="I296" s="46">
        <f>VLOOKUP(C296,[1]M0112A!$A$1:$Z$222,24,TRUE)+(G296/100)</f>
        <v>193.06</v>
      </c>
      <c r="J296" s="46">
        <f t="shared" si="11"/>
        <v>193.08</v>
      </c>
      <c r="K296" s="52" t="s">
        <v>134</v>
      </c>
      <c r="L296" s="49" t="s">
        <v>77</v>
      </c>
      <c r="M296" s="47">
        <f t="shared" si="12"/>
        <v>1.3000000000000114</v>
      </c>
    </row>
    <row r="297" spans="1:13" x14ac:dyDescent="0.3">
      <c r="A297" s="1" t="s">
        <v>60</v>
      </c>
      <c r="B297" s="1" t="s">
        <v>31</v>
      </c>
      <c r="C297" s="1">
        <v>130</v>
      </c>
      <c r="D297" s="1" t="s">
        <v>57</v>
      </c>
      <c r="E297" s="1">
        <v>1</v>
      </c>
      <c r="F297" s="1" t="s">
        <v>75</v>
      </c>
      <c r="G297">
        <v>38</v>
      </c>
      <c r="H297" s="1">
        <v>40</v>
      </c>
      <c r="I297">
        <f>VLOOKUP(C297,[1]M0112A!$A$1:$Z$222,24,TRUE)+(G297/100)</f>
        <v>194.10999999999999</v>
      </c>
      <c r="J297">
        <f t="shared" si="11"/>
        <v>194.13</v>
      </c>
      <c r="K297" s="42" t="s">
        <v>265</v>
      </c>
      <c r="L297" s="39" t="s">
        <v>77</v>
      </c>
      <c r="M297" s="41">
        <f t="shared" si="12"/>
        <v>1.0499999999999829</v>
      </c>
    </row>
    <row r="298" spans="1:13" x14ac:dyDescent="0.3">
      <c r="A298" s="1" t="s">
        <v>60</v>
      </c>
      <c r="B298" s="1" t="s">
        <v>31</v>
      </c>
      <c r="C298" s="1">
        <v>132</v>
      </c>
      <c r="D298" s="1" t="s">
        <v>34</v>
      </c>
      <c r="E298" s="1">
        <v>1</v>
      </c>
      <c r="F298" s="1" t="s">
        <v>75</v>
      </c>
      <c r="G298">
        <v>38</v>
      </c>
      <c r="H298" s="1">
        <v>40</v>
      </c>
      <c r="I298">
        <f>VLOOKUP(C298,[1]M0112A!$A$1:$Z$222,24,TRUE)+(G298/100)</f>
        <v>195.59</v>
      </c>
      <c r="J298">
        <f t="shared" si="11"/>
        <v>195.61</v>
      </c>
      <c r="K298" t="s">
        <v>265</v>
      </c>
      <c r="L298" s="39" t="s">
        <v>77</v>
      </c>
      <c r="M298" s="41">
        <f t="shared" si="12"/>
        <v>1.4800000000000182</v>
      </c>
    </row>
    <row r="299" spans="1:13" x14ac:dyDescent="0.3">
      <c r="A299" s="1" t="s">
        <v>60</v>
      </c>
      <c r="B299" s="1" t="s">
        <v>31</v>
      </c>
      <c r="C299" s="1">
        <v>133</v>
      </c>
      <c r="D299" s="1" t="s">
        <v>34</v>
      </c>
      <c r="E299" s="1">
        <v>1</v>
      </c>
      <c r="F299" s="1" t="s">
        <v>75</v>
      </c>
      <c r="G299">
        <v>38</v>
      </c>
      <c r="H299" s="1">
        <v>40</v>
      </c>
      <c r="I299">
        <f>VLOOKUP(C299,[1]M0112A!$A$1:$Z$222,24,TRUE)+(G299/100)</f>
        <v>197.59</v>
      </c>
      <c r="J299">
        <f t="shared" si="11"/>
        <v>197.61</v>
      </c>
      <c r="K299" t="s">
        <v>266</v>
      </c>
      <c r="L299" s="39" t="s">
        <v>77</v>
      </c>
      <c r="M299" s="41">
        <f t="shared" si="12"/>
        <v>2</v>
      </c>
    </row>
    <row r="300" spans="1:13" x14ac:dyDescent="0.3">
      <c r="A300" s="1" t="s">
        <v>60</v>
      </c>
      <c r="B300" s="1" t="s">
        <v>31</v>
      </c>
      <c r="C300" s="1">
        <v>134</v>
      </c>
      <c r="D300" s="1" t="s">
        <v>34</v>
      </c>
      <c r="E300" s="1">
        <v>1</v>
      </c>
      <c r="F300" s="1" t="s">
        <v>75</v>
      </c>
      <c r="G300">
        <v>18</v>
      </c>
      <c r="H300" s="1">
        <v>20</v>
      </c>
      <c r="I300">
        <f>VLOOKUP(C300,[1]M0112A!$A$1:$Z$222,24,TRUE)+(G300/100)</f>
        <v>200.39000000000001</v>
      </c>
      <c r="J300">
        <f t="shared" si="11"/>
        <v>200.41000000000003</v>
      </c>
      <c r="K300" t="s">
        <v>266</v>
      </c>
      <c r="L300" s="39" t="s">
        <v>77</v>
      </c>
      <c r="M300" s="41">
        <f t="shared" si="12"/>
        <v>2.8000000000000114</v>
      </c>
    </row>
    <row r="301" spans="1:13" x14ac:dyDescent="0.3">
      <c r="A301" s="1" t="s">
        <v>60</v>
      </c>
      <c r="B301" s="1" t="s">
        <v>31</v>
      </c>
      <c r="C301" s="1">
        <v>136</v>
      </c>
      <c r="D301" s="1" t="s">
        <v>57</v>
      </c>
      <c r="E301" s="1">
        <v>1</v>
      </c>
      <c r="F301" s="1" t="s">
        <v>75</v>
      </c>
      <c r="G301">
        <v>38</v>
      </c>
      <c r="H301" s="1">
        <v>40</v>
      </c>
      <c r="I301">
        <f>VLOOKUP(C301,[1]M0112A!$A$1:$Z$222,24,TRUE)+(G301/100)</f>
        <v>203.59</v>
      </c>
      <c r="J301">
        <f t="shared" si="11"/>
        <v>203.61</v>
      </c>
      <c r="K301" t="s">
        <v>267</v>
      </c>
      <c r="L301" s="39" t="s">
        <v>77</v>
      </c>
      <c r="M301" s="41">
        <f t="shared" si="12"/>
        <v>3.1999999999999886</v>
      </c>
    </row>
    <row r="302" spans="1:13" x14ac:dyDescent="0.3">
      <c r="A302" s="45" t="s">
        <v>60</v>
      </c>
      <c r="B302" s="45" t="s">
        <v>31</v>
      </c>
      <c r="C302" s="45">
        <v>137</v>
      </c>
      <c r="D302" s="45" t="s">
        <v>57</v>
      </c>
      <c r="E302" s="45">
        <v>1</v>
      </c>
      <c r="F302" s="45" t="s">
        <v>75</v>
      </c>
      <c r="G302" s="46">
        <v>38</v>
      </c>
      <c r="H302" s="45">
        <v>40</v>
      </c>
      <c r="I302" s="46">
        <f>VLOOKUP(C302,[1]M0112A!$A$1:$Z$222,24,TRUE)+(G302/100)</f>
        <v>205.66</v>
      </c>
      <c r="J302" s="46">
        <f t="shared" si="11"/>
        <v>205.68</v>
      </c>
      <c r="K302" s="52" t="s">
        <v>268</v>
      </c>
      <c r="L302" s="49" t="s">
        <v>77</v>
      </c>
      <c r="M302" s="47">
        <f t="shared" si="12"/>
        <v>2.0699999999999932</v>
      </c>
    </row>
    <row r="303" spans="1:13" x14ac:dyDescent="0.3">
      <c r="A303" s="1" t="s">
        <v>60</v>
      </c>
      <c r="B303" s="1" t="s">
        <v>31</v>
      </c>
      <c r="C303" s="1">
        <v>138</v>
      </c>
      <c r="D303" s="1" t="s">
        <v>57</v>
      </c>
      <c r="E303" s="1">
        <v>1</v>
      </c>
      <c r="F303" s="1" t="s">
        <v>75</v>
      </c>
      <c r="G303">
        <v>38</v>
      </c>
      <c r="H303" s="1">
        <v>40</v>
      </c>
      <c r="I303">
        <f>VLOOKUP(C303,[1]M0112A!$A$1:$Z$222,24,TRUE)+(G303/100)</f>
        <v>208.09</v>
      </c>
      <c r="J303">
        <f t="shared" si="11"/>
        <v>208.11</v>
      </c>
      <c r="K303" t="s">
        <v>269</v>
      </c>
      <c r="L303" s="39" t="s">
        <v>77</v>
      </c>
      <c r="M303" s="41">
        <f t="shared" si="12"/>
        <v>2.4300000000000068</v>
      </c>
    </row>
    <row r="304" spans="1:13" x14ac:dyDescent="0.3">
      <c r="A304" s="1" t="s">
        <v>60</v>
      </c>
      <c r="B304" s="1" t="s">
        <v>31</v>
      </c>
      <c r="C304" s="1">
        <v>139</v>
      </c>
      <c r="D304" s="1" t="s">
        <v>57</v>
      </c>
      <c r="E304" s="1">
        <v>1</v>
      </c>
      <c r="F304" s="1" t="s">
        <v>75</v>
      </c>
      <c r="G304">
        <v>38</v>
      </c>
      <c r="H304" s="1">
        <v>40</v>
      </c>
      <c r="I304">
        <f>VLOOKUP(C304,[1]M0112A!$A$1:$Z$222,24,TRUE)+(G304/100)</f>
        <v>208.51999999999998</v>
      </c>
      <c r="J304">
        <f t="shared" si="11"/>
        <v>208.54</v>
      </c>
      <c r="K304" s="42" t="s">
        <v>270</v>
      </c>
      <c r="L304" s="39" t="s">
        <v>77</v>
      </c>
      <c r="M304" s="41">
        <f t="shared" si="12"/>
        <v>0.4299999999999784</v>
      </c>
    </row>
    <row r="305" spans="1:13" x14ac:dyDescent="0.3">
      <c r="A305" s="1" t="s">
        <v>60</v>
      </c>
      <c r="B305" s="1" t="s">
        <v>31</v>
      </c>
      <c r="C305" s="1">
        <v>140</v>
      </c>
      <c r="D305" s="1" t="s">
        <v>57</v>
      </c>
      <c r="E305" s="1">
        <v>1</v>
      </c>
      <c r="F305" s="1" t="s">
        <v>75</v>
      </c>
      <c r="G305">
        <v>38</v>
      </c>
      <c r="H305" s="1">
        <v>40</v>
      </c>
      <c r="I305">
        <f>VLOOKUP(C305,[1]M0112A!$A$1:$Z$222,24,TRUE)+(G305/100)</f>
        <v>210.71</v>
      </c>
      <c r="J305">
        <f t="shared" si="11"/>
        <v>210.73000000000002</v>
      </c>
      <c r="K305" s="42" t="s">
        <v>271</v>
      </c>
      <c r="L305" s="39" t="s">
        <v>77</v>
      </c>
      <c r="M305" s="41">
        <f t="shared" si="12"/>
        <v>2.1900000000000261</v>
      </c>
    </row>
    <row r="306" spans="1:13" x14ac:dyDescent="0.3">
      <c r="A306" s="1" t="s">
        <v>60</v>
      </c>
      <c r="B306" s="1" t="s">
        <v>31</v>
      </c>
      <c r="C306" s="1">
        <v>141</v>
      </c>
      <c r="D306" s="1" t="s">
        <v>57</v>
      </c>
      <c r="E306" s="1">
        <v>1</v>
      </c>
      <c r="F306" s="1" t="s">
        <v>75</v>
      </c>
      <c r="G306">
        <v>38</v>
      </c>
      <c r="H306" s="1">
        <v>40</v>
      </c>
      <c r="I306">
        <f>VLOOKUP(C306,[1]M0112A!$A$1:$Z$222,24,TRUE)+(G306/100)</f>
        <v>213.06</v>
      </c>
      <c r="J306">
        <f t="shared" si="11"/>
        <v>213.08</v>
      </c>
      <c r="K306" s="42" t="s">
        <v>272</v>
      </c>
      <c r="L306" s="39" t="s">
        <v>77</v>
      </c>
      <c r="M306" s="41">
        <f t="shared" si="12"/>
        <v>2.3499999999999943</v>
      </c>
    </row>
    <row r="307" spans="1:13" x14ac:dyDescent="0.3">
      <c r="A307" s="45" t="s">
        <v>60</v>
      </c>
      <c r="B307" s="45" t="s">
        <v>31</v>
      </c>
      <c r="C307" s="45">
        <v>142</v>
      </c>
      <c r="D307" s="45" t="s">
        <v>57</v>
      </c>
      <c r="E307" s="45">
        <v>1</v>
      </c>
      <c r="F307" s="45" t="s">
        <v>75</v>
      </c>
      <c r="G307" s="46">
        <v>38</v>
      </c>
      <c r="H307" s="45">
        <v>40</v>
      </c>
      <c r="I307" s="46">
        <f>VLOOKUP(C307,[1]M0112A!$A$1:$Z$222,24,TRUE)+(G307/100)</f>
        <v>215.72</v>
      </c>
      <c r="J307" s="46">
        <f t="shared" si="11"/>
        <v>215.74</v>
      </c>
      <c r="K307" s="46" t="s">
        <v>273</v>
      </c>
      <c r="L307" s="49" t="s">
        <v>77</v>
      </c>
      <c r="M307" s="47">
        <f t="shared" si="12"/>
        <v>2.6599999999999966</v>
      </c>
    </row>
    <row r="308" spans="1:13" x14ac:dyDescent="0.3">
      <c r="A308" s="45" t="s">
        <v>60</v>
      </c>
      <c r="B308" s="45" t="s">
        <v>31</v>
      </c>
      <c r="C308" s="45">
        <v>143</v>
      </c>
      <c r="D308" s="45" t="s">
        <v>34</v>
      </c>
      <c r="E308" s="45">
        <v>1</v>
      </c>
      <c r="F308" s="45" t="s">
        <v>75</v>
      </c>
      <c r="G308" s="46">
        <v>38</v>
      </c>
      <c r="H308" s="45">
        <v>40</v>
      </c>
      <c r="I308" s="46">
        <f>VLOOKUP(C308,[1]M0112A!$A$1:$Z$222,24,TRUE)+(G308/100)</f>
        <v>216.49</v>
      </c>
      <c r="J308" s="46">
        <f t="shared" si="11"/>
        <v>216.51000000000002</v>
      </c>
      <c r="K308" s="46" t="s">
        <v>274</v>
      </c>
      <c r="L308" s="49" t="s">
        <v>77</v>
      </c>
      <c r="M308" s="47">
        <f t="shared" si="12"/>
        <v>0.77000000000001023</v>
      </c>
    </row>
    <row r="309" spans="1:13" x14ac:dyDescent="0.3">
      <c r="A309" s="45" t="s">
        <v>60</v>
      </c>
      <c r="B309" s="45" t="s">
        <v>31</v>
      </c>
      <c r="C309" s="45">
        <v>144</v>
      </c>
      <c r="D309" s="45" t="s">
        <v>34</v>
      </c>
      <c r="E309" s="45">
        <v>1</v>
      </c>
      <c r="F309" s="45" t="s">
        <v>75</v>
      </c>
      <c r="G309" s="46">
        <v>38</v>
      </c>
      <c r="H309" s="45">
        <v>40</v>
      </c>
      <c r="I309" s="46">
        <f>VLOOKUP(C309,[1]M0112A!$A$1:$Z$222,24,TRUE)+(G309/100)</f>
        <v>216.74</v>
      </c>
      <c r="J309" s="46">
        <f t="shared" si="11"/>
        <v>216.76000000000002</v>
      </c>
      <c r="K309" s="46" t="s">
        <v>275</v>
      </c>
      <c r="L309" s="49" t="s">
        <v>77</v>
      </c>
      <c r="M309" s="47">
        <f t="shared" si="12"/>
        <v>0.25</v>
      </c>
    </row>
    <row r="310" spans="1:13" x14ac:dyDescent="0.3">
      <c r="A310" s="45" t="s">
        <v>60</v>
      </c>
      <c r="B310" s="45" t="s">
        <v>31</v>
      </c>
      <c r="C310" s="45">
        <v>145</v>
      </c>
      <c r="D310" s="45" t="s">
        <v>34</v>
      </c>
      <c r="E310" s="45">
        <v>1</v>
      </c>
      <c r="F310" s="45" t="s">
        <v>75</v>
      </c>
      <c r="G310" s="46">
        <v>38</v>
      </c>
      <c r="H310" s="45">
        <v>40</v>
      </c>
      <c r="I310" s="46">
        <f>VLOOKUP(C310,[1]M0112A!$A$1:$Z$222,24,TRUE)+(G310/100)</f>
        <v>218.59</v>
      </c>
      <c r="J310" s="46">
        <f t="shared" si="11"/>
        <v>218.61</v>
      </c>
      <c r="K310" s="46" t="s">
        <v>276</v>
      </c>
      <c r="L310" s="49" t="s">
        <v>77</v>
      </c>
      <c r="M310" s="47">
        <f t="shared" si="12"/>
        <v>1.8499999999999943</v>
      </c>
    </row>
    <row r="311" spans="1:13" x14ac:dyDescent="0.3">
      <c r="A311" s="1" t="s">
        <v>60</v>
      </c>
      <c r="B311" s="1" t="s">
        <v>31</v>
      </c>
      <c r="C311" s="1">
        <v>147</v>
      </c>
      <c r="D311" s="1" t="s">
        <v>34</v>
      </c>
      <c r="E311" s="1">
        <v>1</v>
      </c>
      <c r="F311" s="1" t="s">
        <v>75</v>
      </c>
      <c r="G311">
        <v>8</v>
      </c>
      <c r="H311" s="1">
        <v>10</v>
      </c>
      <c r="I311">
        <f>VLOOKUP(C311,[1]M0112A!$A$1:$Z$222,24,TRUE)+(G311/100)</f>
        <v>219.89000000000001</v>
      </c>
      <c r="J311">
        <f t="shared" si="11"/>
        <v>219.91000000000003</v>
      </c>
      <c r="K311" t="s">
        <v>277</v>
      </c>
      <c r="L311" s="39" t="s">
        <v>82</v>
      </c>
      <c r="M311" s="41">
        <f t="shared" si="12"/>
        <v>1.3000000000000114</v>
      </c>
    </row>
    <row r="312" spans="1:13" x14ac:dyDescent="0.3">
      <c r="A312" s="1" t="s">
        <v>60</v>
      </c>
      <c r="B312" s="1" t="s">
        <v>31</v>
      </c>
      <c r="C312" s="1">
        <v>148</v>
      </c>
      <c r="D312" s="1" t="s">
        <v>34</v>
      </c>
      <c r="E312" s="1">
        <v>1</v>
      </c>
      <c r="F312" s="1" t="s">
        <v>75</v>
      </c>
      <c r="G312">
        <v>8</v>
      </c>
      <c r="H312" s="1">
        <v>10</v>
      </c>
      <c r="I312">
        <f>VLOOKUP(C312,[1]M0112A!$A$1:$Z$222,24,TRUE)+(G312/100)</f>
        <v>221.29000000000002</v>
      </c>
      <c r="J312">
        <f t="shared" si="11"/>
        <v>221.31000000000003</v>
      </c>
      <c r="K312" t="s">
        <v>277</v>
      </c>
      <c r="L312" s="39" t="s">
        <v>82</v>
      </c>
      <c r="M312" s="41">
        <f t="shared" si="12"/>
        <v>1.4000000000000057</v>
      </c>
    </row>
    <row r="313" spans="1:13" x14ac:dyDescent="0.3">
      <c r="A313" s="45" t="s">
        <v>60</v>
      </c>
      <c r="B313" s="45" t="s">
        <v>31</v>
      </c>
      <c r="C313" s="45">
        <v>150</v>
      </c>
      <c r="D313" s="45" t="s">
        <v>57</v>
      </c>
      <c r="E313" s="45">
        <v>1</v>
      </c>
      <c r="F313" s="45" t="s">
        <v>75</v>
      </c>
      <c r="G313" s="46">
        <v>28</v>
      </c>
      <c r="H313" s="45">
        <v>30</v>
      </c>
      <c r="I313" s="46">
        <f>VLOOKUP(C313,[1]M0112A!$A$1:$Z$222,24,TRUE)+(G313/100)</f>
        <v>224.49</v>
      </c>
      <c r="J313" s="46">
        <f t="shared" si="11"/>
        <v>224.51000000000002</v>
      </c>
      <c r="K313" s="46" t="s">
        <v>278</v>
      </c>
      <c r="L313" s="49" t="s">
        <v>77</v>
      </c>
      <c r="M313" s="47">
        <f t="shared" si="12"/>
        <v>3.1999999999999886</v>
      </c>
    </row>
    <row r="314" spans="1:13" x14ac:dyDescent="0.3">
      <c r="A314" s="45" t="s">
        <v>60</v>
      </c>
      <c r="B314" s="45" t="s">
        <v>31</v>
      </c>
      <c r="C314" s="45">
        <v>151</v>
      </c>
      <c r="D314" s="45" t="s">
        <v>34</v>
      </c>
      <c r="E314" s="45">
        <v>1</v>
      </c>
      <c r="F314" s="45" t="s">
        <v>75</v>
      </c>
      <c r="G314" s="46">
        <v>38</v>
      </c>
      <c r="H314" s="45">
        <v>40</v>
      </c>
      <c r="I314" s="46">
        <f>VLOOKUP(C314,[1]M0112A!$A$1:$Z$222,24,TRUE)+(G314/100)</f>
        <v>225.04</v>
      </c>
      <c r="J314" s="46">
        <f t="shared" si="11"/>
        <v>225.06</v>
      </c>
      <c r="K314" s="46" t="s">
        <v>229</v>
      </c>
      <c r="L314" s="49" t="s">
        <v>77</v>
      </c>
      <c r="M314" s="47">
        <f t="shared" si="12"/>
        <v>0.54999999999998295</v>
      </c>
    </row>
    <row r="315" spans="1:13" x14ac:dyDescent="0.3">
      <c r="A315" s="45" t="s">
        <v>60</v>
      </c>
      <c r="B315" s="45" t="s">
        <v>31</v>
      </c>
      <c r="C315" s="45">
        <v>152</v>
      </c>
      <c r="D315" s="45" t="s">
        <v>34</v>
      </c>
      <c r="E315" s="45">
        <v>1</v>
      </c>
      <c r="F315" s="45" t="s">
        <v>75</v>
      </c>
      <c r="G315" s="46">
        <v>8</v>
      </c>
      <c r="H315" s="45">
        <v>10</v>
      </c>
      <c r="I315" s="46">
        <f>VLOOKUP(C315,[1]M0112A!$A$1:$Z$222,24,TRUE)+(G315/100)</f>
        <v>225.74</v>
      </c>
      <c r="J315" s="46">
        <f t="shared" si="11"/>
        <v>225.76000000000002</v>
      </c>
      <c r="K315" s="46" t="s">
        <v>279</v>
      </c>
      <c r="L315" s="49" t="s">
        <v>82</v>
      </c>
      <c r="M315" s="47">
        <f t="shared" si="12"/>
        <v>0.70000000000001705</v>
      </c>
    </row>
    <row r="316" spans="1:13" x14ac:dyDescent="0.3">
      <c r="A316" s="1" t="s">
        <v>60</v>
      </c>
      <c r="B316" s="1" t="s">
        <v>31</v>
      </c>
      <c r="C316" s="1">
        <v>153</v>
      </c>
      <c r="D316" s="1" t="s">
        <v>34</v>
      </c>
      <c r="E316" s="1">
        <v>1</v>
      </c>
      <c r="F316" s="1" t="s">
        <v>75</v>
      </c>
      <c r="G316">
        <v>38</v>
      </c>
      <c r="H316" s="1">
        <v>40</v>
      </c>
      <c r="I316">
        <f>VLOOKUP(C316,[1]M0112A!$A$1:$Z$222,24,TRUE)+(G316/100)</f>
        <v>227.59</v>
      </c>
      <c r="J316">
        <f t="shared" si="11"/>
        <v>227.61</v>
      </c>
      <c r="K316" t="s">
        <v>280</v>
      </c>
      <c r="L316" s="39" t="s">
        <v>77</v>
      </c>
      <c r="M316" s="41">
        <f t="shared" si="12"/>
        <v>1.8499999999999943</v>
      </c>
    </row>
    <row r="317" spans="1:13" x14ac:dyDescent="0.3">
      <c r="A317" s="45" t="s">
        <v>60</v>
      </c>
      <c r="B317" s="45" t="s">
        <v>31</v>
      </c>
      <c r="C317" s="45">
        <v>154</v>
      </c>
      <c r="D317" s="45" t="s">
        <v>57</v>
      </c>
      <c r="E317" s="45">
        <v>1</v>
      </c>
      <c r="F317" s="45" t="s">
        <v>75</v>
      </c>
      <c r="G317" s="46">
        <v>38</v>
      </c>
      <c r="H317" s="45">
        <v>40</v>
      </c>
      <c r="I317" s="46">
        <f>VLOOKUP(C317,[1]M0112A!$A$1:$Z$222,24,TRUE)+(G317/100)</f>
        <v>228.59</v>
      </c>
      <c r="J317" s="46">
        <f t="shared" si="11"/>
        <v>228.61</v>
      </c>
      <c r="K317" s="52" t="s">
        <v>281</v>
      </c>
      <c r="L317" s="49" t="s">
        <v>77</v>
      </c>
      <c r="M317" s="47">
        <f t="shared" si="12"/>
        <v>1</v>
      </c>
    </row>
    <row r="318" spans="1:13" x14ac:dyDescent="0.3">
      <c r="A318" s="45" t="s">
        <v>60</v>
      </c>
      <c r="B318" s="45" t="s">
        <v>31</v>
      </c>
      <c r="C318" s="45">
        <v>155</v>
      </c>
      <c r="D318" s="45" t="s">
        <v>57</v>
      </c>
      <c r="E318" s="45">
        <v>1</v>
      </c>
      <c r="F318" s="45" t="s">
        <v>75</v>
      </c>
      <c r="G318" s="46">
        <v>16</v>
      </c>
      <c r="H318" s="45">
        <v>18</v>
      </c>
      <c r="I318" s="46">
        <f>VLOOKUP(C318,[1]M0112A!$A$1:$Z$222,24,TRUE)+(G318/100)</f>
        <v>229</v>
      </c>
      <c r="J318" s="46">
        <f t="shared" si="11"/>
        <v>229.02</v>
      </c>
      <c r="K318" s="52" t="s">
        <v>281</v>
      </c>
      <c r="L318" s="49" t="s">
        <v>77</v>
      </c>
      <c r="M318" s="47">
        <f t="shared" si="12"/>
        <v>0.40999999999999659</v>
      </c>
    </row>
    <row r="319" spans="1:13" x14ac:dyDescent="0.3">
      <c r="A319" s="45" t="s">
        <v>60</v>
      </c>
      <c r="B319" s="45" t="s">
        <v>31</v>
      </c>
      <c r="C319" s="45">
        <v>156</v>
      </c>
      <c r="D319" s="45" t="s">
        <v>57</v>
      </c>
      <c r="E319" s="45">
        <v>1</v>
      </c>
      <c r="F319" s="45" t="s">
        <v>75</v>
      </c>
      <c r="G319" s="46">
        <v>38</v>
      </c>
      <c r="H319" s="45">
        <v>40</v>
      </c>
      <c r="I319" s="46">
        <f>VLOOKUP(C319,[1]M0112A!$A$1:$Z$222,24,TRUE)+(G319/100)</f>
        <v>230.82999999999998</v>
      </c>
      <c r="J319" s="46">
        <f t="shared" si="11"/>
        <v>230.85</v>
      </c>
      <c r="K319" s="52" t="s">
        <v>282</v>
      </c>
      <c r="L319" s="49" t="s">
        <v>77</v>
      </c>
      <c r="M319" s="47">
        <f t="shared" si="12"/>
        <v>1.8299999999999841</v>
      </c>
    </row>
    <row r="320" spans="1:13" x14ac:dyDescent="0.3">
      <c r="A320" s="45" t="s">
        <v>60</v>
      </c>
      <c r="B320" s="45" t="s">
        <v>31</v>
      </c>
      <c r="C320" s="45">
        <v>157</v>
      </c>
      <c r="D320" s="45" t="s">
        <v>57</v>
      </c>
      <c r="E320" s="45">
        <v>1</v>
      </c>
      <c r="F320" s="45" t="s">
        <v>75</v>
      </c>
      <c r="G320" s="46">
        <v>38</v>
      </c>
      <c r="H320" s="45">
        <v>40</v>
      </c>
      <c r="I320" s="46">
        <f>VLOOKUP(C320,[1]M0112A!$A$1:$Z$222,24,TRUE)+(G320/100)</f>
        <v>231.56</v>
      </c>
      <c r="J320" s="46">
        <f t="shared" ref="J320:J383" si="13">I320+0.02</f>
        <v>231.58</v>
      </c>
      <c r="K320" s="52" t="s">
        <v>283</v>
      </c>
      <c r="L320" s="49" t="s">
        <v>77</v>
      </c>
      <c r="M320" s="47">
        <f t="shared" si="12"/>
        <v>0.73000000000001819</v>
      </c>
    </row>
    <row r="321" spans="1:13" x14ac:dyDescent="0.3">
      <c r="A321" s="45" t="s">
        <v>60</v>
      </c>
      <c r="B321" s="45" t="s">
        <v>31</v>
      </c>
      <c r="C321" s="45">
        <v>159</v>
      </c>
      <c r="D321" s="45" t="s">
        <v>34</v>
      </c>
      <c r="E321" s="45">
        <v>1</v>
      </c>
      <c r="F321" s="45" t="s">
        <v>75</v>
      </c>
      <c r="G321" s="46">
        <v>38</v>
      </c>
      <c r="H321" s="45">
        <v>40</v>
      </c>
      <c r="I321" s="46">
        <f>VLOOKUP(C321,[1]M0112A!$A$1:$Z$222,24,TRUE)+(G321/100)</f>
        <v>233.45</v>
      </c>
      <c r="J321" s="46">
        <f t="shared" si="13"/>
        <v>233.47</v>
      </c>
      <c r="K321" s="46" t="s">
        <v>283</v>
      </c>
      <c r="L321" s="49" t="s">
        <v>77</v>
      </c>
      <c r="M321" s="47">
        <f t="shared" si="12"/>
        <v>1.8899999999999864</v>
      </c>
    </row>
    <row r="322" spans="1:13" x14ac:dyDescent="0.3">
      <c r="A322" s="45" t="s">
        <v>60</v>
      </c>
      <c r="B322" s="45" t="s">
        <v>31</v>
      </c>
      <c r="C322" s="45">
        <v>160</v>
      </c>
      <c r="D322" s="45" t="s">
        <v>34</v>
      </c>
      <c r="E322" s="45">
        <v>1</v>
      </c>
      <c r="F322" s="45" t="s">
        <v>75</v>
      </c>
      <c r="G322" s="46">
        <v>38</v>
      </c>
      <c r="H322" s="45">
        <v>40</v>
      </c>
      <c r="I322" s="46">
        <f>VLOOKUP(C322,[1]M0112A!$A$1:$Z$222,24,TRUE)+(G322/100)</f>
        <v>235.59</v>
      </c>
      <c r="J322" s="46">
        <f t="shared" si="13"/>
        <v>235.61</v>
      </c>
      <c r="K322" s="46" t="s">
        <v>284</v>
      </c>
      <c r="L322" s="49" t="s">
        <v>77</v>
      </c>
      <c r="M322" s="47">
        <f t="shared" si="12"/>
        <v>2.1400000000000148</v>
      </c>
    </row>
    <row r="323" spans="1:13" x14ac:dyDescent="0.3">
      <c r="A323" s="1" t="s">
        <v>60</v>
      </c>
      <c r="B323" s="1" t="s">
        <v>31</v>
      </c>
      <c r="C323" s="1">
        <v>161</v>
      </c>
      <c r="D323" s="1" t="s">
        <v>34</v>
      </c>
      <c r="E323" s="1">
        <v>1</v>
      </c>
      <c r="F323" s="1" t="s">
        <v>75</v>
      </c>
      <c r="G323">
        <v>38</v>
      </c>
      <c r="H323" s="1">
        <v>40</v>
      </c>
      <c r="I323">
        <f>VLOOKUP(C323,[1]M0112A!$A$1:$Z$222,24,TRUE)+(G323/100)</f>
        <v>238.59</v>
      </c>
      <c r="J323">
        <f t="shared" si="13"/>
        <v>238.61</v>
      </c>
      <c r="K323" s="42" t="s">
        <v>285</v>
      </c>
      <c r="L323" s="39" t="s">
        <v>77</v>
      </c>
      <c r="M323" s="41">
        <f t="shared" si="12"/>
        <v>3</v>
      </c>
    </row>
    <row r="324" spans="1:13" x14ac:dyDescent="0.3">
      <c r="A324" s="1" t="s">
        <v>60</v>
      </c>
      <c r="B324" s="1" t="s">
        <v>31</v>
      </c>
      <c r="C324" s="1">
        <v>162</v>
      </c>
      <c r="D324" s="1" t="s">
        <v>34</v>
      </c>
      <c r="E324" s="1">
        <v>1</v>
      </c>
      <c r="F324" s="1" t="s">
        <v>75</v>
      </c>
      <c r="G324">
        <v>38</v>
      </c>
      <c r="H324" s="1">
        <v>40</v>
      </c>
      <c r="I324">
        <f>VLOOKUP(C324,[1]M0112A!$A$1:$Z$222,24,TRUE)+(G324/100)</f>
        <v>240.59</v>
      </c>
      <c r="J324">
        <f t="shared" si="13"/>
        <v>240.61</v>
      </c>
      <c r="K324" s="42" t="s">
        <v>286</v>
      </c>
      <c r="L324" s="39" t="s">
        <v>77</v>
      </c>
      <c r="M324" s="41">
        <f t="shared" si="12"/>
        <v>2</v>
      </c>
    </row>
    <row r="325" spans="1:13" x14ac:dyDescent="0.3">
      <c r="A325" s="1" t="s">
        <v>60</v>
      </c>
      <c r="B325" s="1" t="s">
        <v>31</v>
      </c>
      <c r="C325" s="1">
        <v>163</v>
      </c>
      <c r="D325" s="1" t="s">
        <v>34</v>
      </c>
      <c r="E325" s="1">
        <v>1</v>
      </c>
      <c r="F325" s="1" t="s">
        <v>75</v>
      </c>
      <c r="G325">
        <v>38</v>
      </c>
      <c r="H325" s="1">
        <v>40</v>
      </c>
      <c r="I325">
        <f>VLOOKUP(C325,[1]M0112A!$A$1:$Z$222,24,TRUE)+(G325/100)</f>
        <v>242.59</v>
      </c>
      <c r="J325">
        <f t="shared" si="13"/>
        <v>242.61</v>
      </c>
      <c r="K325" t="s">
        <v>285</v>
      </c>
      <c r="L325" s="39" t="s">
        <v>77</v>
      </c>
      <c r="M325" s="41">
        <f t="shared" ref="M325:M367" si="14">I325-I324</f>
        <v>2</v>
      </c>
    </row>
    <row r="326" spans="1:13" x14ac:dyDescent="0.3">
      <c r="A326" s="45" t="s">
        <v>60</v>
      </c>
      <c r="B326" s="45" t="s">
        <v>31</v>
      </c>
      <c r="C326" s="45">
        <v>164</v>
      </c>
      <c r="D326" s="45" t="s">
        <v>34</v>
      </c>
      <c r="E326" s="45">
        <v>1</v>
      </c>
      <c r="F326" s="45" t="s">
        <v>75</v>
      </c>
      <c r="G326" s="46">
        <v>38</v>
      </c>
      <c r="H326" s="45">
        <v>40</v>
      </c>
      <c r="I326" s="46">
        <f>VLOOKUP(C326,[1]M0112A!$A$1:$Z$222,24,TRUE)+(G326/100)</f>
        <v>244.09</v>
      </c>
      <c r="J326" s="46">
        <f t="shared" si="13"/>
        <v>244.11</v>
      </c>
      <c r="K326" s="46" t="s">
        <v>287</v>
      </c>
      <c r="L326" s="49" t="s">
        <v>77</v>
      </c>
      <c r="M326" s="47">
        <f t="shared" si="14"/>
        <v>1.5</v>
      </c>
    </row>
    <row r="327" spans="1:13" x14ac:dyDescent="0.3">
      <c r="A327" s="45" t="s">
        <v>60</v>
      </c>
      <c r="B327" s="45" t="s">
        <v>31</v>
      </c>
      <c r="C327" s="45">
        <v>165</v>
      </c>
      <c r="D327" s="45" t="s">
        <v>34</v>
      </c>
      <c r="E327" s="45">
        <v>1</v>
      </c>
      <c r="F327" s="45" t="s">
        <v>75</v>
      </c>
      <c r="G327" s="46">
        <v>38</v>
      </c>
      <c r="H327" s="45">
        <v>40</v>
      </c>
      <c r="I327" s="46">
        <f>VLOOKUP(C327,[1]M0112A!$A$1:$Z$222,24,TRUE)+(G327/100)</f>
        <v>245.59</v>
      </c>
      <c r="J327" s="46">
        <f t="shared" si="13"/>
        <v>245.61</v>
      </c>
      <c r="K327" s="46" t="s">
        <v>284</v>
      </c>
      <c r="L327" s="49" t="s">
        <v>77</v>
      </c>
      <c r="M327" s="47">
        <f t="shared" si="14"/>
        <v>1.5</v>
      </c>
    </row>
    <row r="328" spans="1:13" x14ac:dyDescent="0.3">
      <c r="A328" s="1" t="s">
        <v>60</v>
      </c>
      <c r="B328" s="1" t="s">
        <v>31</v>
      </c>
      <c r="C328" s="1">
        <v>166</v>
      </c>
      <c r="D328" s="1" t="s">
        <v>34</v>
      </c>
      <c r="E328" s="1">
        <v>1</v>
      </c>
      <c r="F328" s="1" t="s">
        <v>75</v>
      </c>
      <c r="G328">
        <v>38</v>
      </c>
      <c r="H328" s="1">
        <v>40</v>
      </c>
      <c r="I328">
        <f>VLOOKUP(C328,[1]M0112A!$A$1:$Z$222,24,TRUE)+(G328/100)</f>
        <v>247.94</v>
      </c>
      <c r="J328">
        <f t="shared" si="13"/>
        <v>247.96</v>
      </c>
      <c r="K328" s="42" t="s">
        <v>288</v>
      </c>
      <c r="L328" s="39" t="s">
        <v>77</v>
      </c>
      <c r="M328" s="41">
        <f t="shared" si="14"/>
        <v>2.3499999999999943</v>
      </c>
    </row>
    <row r="329" spans="1:13" x14ac:dyDescent="0.3">
      <c r="A329" s="1" t="s">
        <v>60</v>
      </c>
      <c r="B329" s="1" t="s">
        <v>31</v>
      </c>
      <c r="C329" s="1">
        <v>167</v>
      </c>
      <c r="D329" s="1" t="s">
        <v>57</v>
      </c>
      <c r="E329" s="1">
        <v>1</v>
      </c>
      <c r="F329" s="1" t="s">
        <v>75</v>
      </c>
      <c r="G329">
        <v>38</v>
      </c>
      <c r="H329" s="1">
        <v>40</v>
      </c>
      <c r="I329">
        <f>VLOOKUP(C329,[1]M0112A!$A$1:$Z$222,24,TRUE)+(G329/100)</f>
        <v>249.19</v>
      </c>
      <c r="J329">
        <f t="shared" si="13"/>
        <v>249.21</v>
      </c>
      <c r="K329" s="42" t="s">
        <v>289</v>
      </c>
      <c r="L329" s="39" t="s">
        <v>77</v>
      </c>
      <c r="M329" s="41">
        <f t="shared" si="14"/>
        <v>1.25</v>
      </c>
    </row>
    <row r="330" spans="1:13" x14ac:dyDescent="0.3">
      <c r="A330" s="1" t="s">
        <v>60</v>
      </c>
      <c r="B330" s="1" t="s">
        <v>31</v>
      </c>
      <c r="C330" s="1">
        <v>168</v>
      </c>
      <c r="D330" s="1" t="s">
        <v>57</v>
      </c>
      <c r="E330" s="1">
        <v>1</v>
      </c>
      <c r="F330" s="1" t="s">
        <v>75</v>
      </c>
      <c r="G330">
        <v>38</v>
      </c>
      <c r="H330" s="1">
        <v>40</v>
      </c>
      <c r="I330">
        <f>VLOOKUP(C330,[1]M0112A!$A$1:$Z$222,24,TRUE)+(G330/100)</f>
        <v>252.01999999999998</v>
      </c>
      <c r="J330">
        <f t="shared" si="13"/>
        <v>252.04</v>
      </c>
      <c r="K330" s="42" t="s">
        <v>290</v>
      </c>
      <c r="L330" s="39" t="s">
        <v>77</v>
      </c>
      <c r="M330" s="41">
        <f t="shared" si="14"/>
        <v>2.8299999999999841</v>
      </c>
    </row>
    <row r="331" spans="1:13" x14ac:dyDescent="0.3">
      <c r="A331" s="1" t="s">
        <v>60</v>
      </c>
      <c r="B331" s="1" t="s">
        <v>31</v>
      </c>
      <c r="C331" s="1">
        <v>169</v>
      </c>
      <c r="D331" s="1" t="s">
        <v>57</v>
      </c>
      <c r="E331" s="1">
        <v>1</v>
      </c>
      <c r="F331" s="1" t="s">
        <v>75</v>
      </c>
      <c r="G331">
        <v>38</v>
      </c>
      <c r="H331" s="1">
        <v>40</v>
      </c>
      <c r="I331">
        <f>VLOOKUP(C331,[1]M0112A!$A$1:$Z$222,24,TRUE)+(G331/100)</f>
        <v>254.44</v>
      </c>
      <c r="J331">
        <f t="shared" si="13"/>
        <v>254.46</v>
      </c>
      <c r="K331" s="42" t="s">
        <v>290</v>
      </c>
      <c r="L331" s="39" t="s">
        <v>77</v>
      </c>
      <c r="M331" s="41">
        <f t="shared" si="14"/>
        <v>2.4200000000000159</v>
      </c>
    </row>
    <row r="332" spans="1:13" x14ac:dyDescent="0.3">
      <c r="A332" s="1" t="s">
        <v>60</v>
      </c>
      <c r="B332" s="1" t="s">
        <v>31</v>
      </c>
      <c r="C332" s="1">
        <v>170</v>
      </c>
      <c r="D332" s="1" t="s">
        <v>57</v>
      </c>
      <c r="E332" s="1">
        <v>1</v>
      </c>
      <c r="F332" s="1" t="s">
        <v>75</v>
      </c>
      <c r="G332">
        <v>38</v>
      </c>
      <c r="H332" s="1">
        <v>40</v>
      </c>
      <c r="I332">
        <f>VLOOKUP(C332,[1]M0112A!$A$1:$Z$222,24,TRUE)+(G332/100)</f>
        <v>257.39999999999998</v>
      </c>
      <c r="J332">
        <f t="shared" si="13"/>
        <v>257.41999999999996</v>
      </c>
      <c r="K332" s="42" t="s">
        <v>290</v>
      </c>
      <c r="L332" s="39" t="s">
        <v>77</v>
      </c>
      <c r="M332" s="41">
        <f t="shared" si="14"/>
        <v>2.9599999999999795</v>
      </c>
    </row>
    <row r="333" spans="1:13" x14ac:dyDescent="0.3">
      <c r="A333" s="1" t="s">
        <v>60</v>
      </c>
      <c r="B333" s="1" t="s">
        <v>31</v>
      </c>
      <c r="C333" s="1">
        <v>171</v>
      </c>
      <c r="D333" s="1" t="s">
        <v>57</v>
      </c>
      <c r="E333" s="1">
        <v>1</v>
      </c>
      <c r="F333" s="1" t="s">
        <v>75</v>
      </c>
      <c r="G333">
        <v>38</v>
      </c>
      <c r="H333" s="1">
        <v>40</v>
      </c>
      <c r="I333">
        <f>VLOOKUP(C333,[1]M0112A!$A$1:$Z$222,24,TRUE)+(G333/100)</f>
        <v>259.89999999999998</v>
      </c>
      <c r="J333">
        <f t="shared" si="13"/>
        <v>259.91999999999996</v>
      </c>
      <c r="K333" s="42" t="s">
        <v>290</v>
      </c>
      <c r="L333" s="39" t="s">
        <v>77</v>
      </c>
      <c r="M333" s="41">
        <f t="shared" si="14"/>
        <v>2.5</v>
      </c>
    </row>
    <row r="334" spans="1:13" x14ac:dyDescent="0.3">
      <c r="A334" s="1" t="s">
        <v>60</v>
      </c>
      <c r="B334" s="1" t="s">
        <v>31</v>
      </c>
      <c r="C334" s="1">
        <v>172</v>
      </c>
      <c r="D334" s="1" t="s">
        <v>57</v>
      </c>
      <c r="E334" s="1">
        <v>1</v>
      </c>
      <c r="F334" s="1" t="s">
        <v>75</v>
      </c>
      <c r="G334">
        <v>38</v>
      </c>
      <c r="H334" s="1">
        <v>40</v>
      </c>
      <c r="I334">
        <f>VLOOKUP(C334,[1]M0112A!$A$1:$Z$222,24,TRUE)+(G334/100)</f>
        <v>262.2</v>
      </c>
      <c r="J334">
        <f t="shared" si="13"/>
        <v>262.21999999999997</v>
      </c>
      <c r="K334" s="42" t="s">
        <v>290</v>
      </c>
      <c r="L334" s="39" t="s">
        <v>77</v>
      </c>
      <c r="M334" s="41">
        <f t="shared" si="14"/>
        <v>2.3000000000000114</v>
      </c>
    </row>
    <row r="335" spans="1:13" x14ac:dyDescent="0.3">
      <c r="A335" s="1" t="s">
        <v>60</v>
      </c>
      <c r="B335" s="1" t="s">
        <v>31</v>
      </c>
      <c r="C335" s="1">
        <v>173</v>
      </c>
      <c r="D335" s="1" t="s">
        <v>57</v>
      </c>
      <c r="E335" s="1">
        <v>1</v>
      </c>
      <c r="F335" s="1" t="s">
        <v>75</v>
      </c>
      <c r="G335">
        <v>38</v>
      </c>
      <c r="H335" s="1">
        <v>40</v>
      </c>
      <c r="I335">
        <f>VLOOKUP(C335,[1]M0112A!$A$1:$Z$222,24,TRUE)+(G335/100)</f>
        <v>264.24</v>
      </c>
      <c r="J335">
        <f t="shared" si="13"/>
        <v>264.26</v>
      </c>
      <c r="K335" s="42" t="s">
        <v>291</v>
      </c>
      <c r="L335" s="39" t="s">
        <v>77</v>
      </c>
      <c r="M335" s="41">
        <f t="shared" si="14"/>
        <v>2.0400000000000205</v>
      </c>
    </row>
    <row r="336" spans="1:13" x14ac:dyDescent="0.3">
      <c r="A336" s="45" t="s">
        <v>60</v>
      </c>
      <c r="B336" s="45" t="s">
        <v>31</v>
      </c>
      <c r="C336" s="45">
        <v>174</v>
      </c>
      <c r="D336" s="45" t="s">
        <v>57</v>
      </c>
      <c r="E336" s="45">
        <v>1</v>
      </c>
      <c r="F336" s="45" t="s">
        <v>75</v>
      </c>
      <c r="G336" s="46">
        <v>38</v>
      </c>
      <c r="H336" s="45">
        <v>40</v>
      </c>
      <c r="I336" s="46">
        <f>VLOOKUP(C336,[1]M0112A!$A$1:$Z$222,24,TRUE)+(G336/100)</f>
        <v>265.08</v>
      </c>
      <c r="J336" s="46">
        <f t="shared" si="13"/>
        <v>265.09999999999997</v>
      </c>
      <c r="K336" s="46" t="s">
        <v>292</v>
      </c>
      <c r="L336" s="49" t="s">
        <v>77</v>
      </c>
      <c r="M336" s="47">
        <f t="shared" si="14"/>
        <v>0.83999999999997499</v>
      </c>
    </row>
    <row r="337" spans="1:13" x14ac:dyDescent="0.3">
      <c r="A337" s="1" t="s">
        <v>60</v>
      </c>
      <c r="B337" s="1" t="s">
        <v>31</v>
      </c>
      <c r="C337" s="1">
        <v>175</v>
      </c>
      <c r="D337" s="1" t="s">
        <v>57</v>
      </c>
      <c r="E337" s="1">
        <v>1</v>
      </c>
      <c r="F337" s="1" t="s">
        <v>75</v>
      </c>
      <c r="G337">
        <v>38</v>
      </c>
      <c r="H337" s="1">
        <v>40</v>
      </c>
      <c r="I337">
        <f>VLOOKUP(C337,[1]M0112A!$A$1:$Z$222,24,TRUE)+(G337/100)</f>
        <v>266.81</v>
      </c>
      <c r="J337">
        <f t="shared" si="13"/>
        <v>266.83</v>
      </c>
      <c r="K337" s="42" t="s">
        <v>293</v>
      </c>
      <c r="L337" s="39" t="s">
        <v>77</v>
      </c>
      <c r="M337" s="41">
        <f t="shared" si="14"/>
        <v>1.7300000000000182</v>
      </c>
    </row>
    <row r="338" spans="1:13" x14ac:dyDescent="0.3">
      <c r="A338" s="1" t="s">
        <v>60</v>
      </c>
      <c r="B338" s="1" t="s">
        <v>31</v>
      </c>
      <c r="C338" s="1">
        <v>176</v>
      </c>
      <c r="D338" s="1" t="s">
        <v>57</v>
      </c>
      <c r="E338" s="1">
        <v>1</v>
      </c>
      <c r="F338" s="1" t="s">
        <v>75</v>
      </c>
      <c r="G338">
        <v>18</v>
      </c>
      <c r="H338" s="1">
        <v>20</v>
      </c>
      <c r="I338">
        <f>VLOOKUP(C338,[1]M0112A!$A$1:$Z$222,24,TRUE)+(G338/100)</f>
        <v>269.52</v>
      </c>
      <c r="J338">
        <f t="shared" si="13"/>
        <v>269.53999999999996</v>
      </c>
      <c r="K338" s="42" t="s">
        <v>258</v>
      </c>
      <c r="L338" s="39" t="s">
        <v>77</v>
      </c>
      <c r="M338" s="41">
        <f t="shared" si="14"/>
        <v>2.7099999999999795</v>
      </c>
    </row>
    <row r="339" spans="1:13" x14ac:dyDescent="0.3">
      <c r="A339" s="1" t="s">
        <v>60</v>
      </c>
      <c r="B339" s="1" t="s">
        <v>31</v>
      </c>
      <c r="C339" s="1">
        <v>177</v>
      </c>
      <c r="D339" s="1" t="s">
        <v>57</v>
      </c>
      <c r="E339" s="1">
        <v>1</v>
      </c>
      <c r="F339" s="1" t="s">
        <v>75</v>
      </c>
      <c r="G339">
        <v>8</v>
      </c>
      <c r="H339" s="1">
        <v>10</v>
      </c>
      <c r="I339">
        <f>VLOOKUP(C339,[1]M0112A!$A$1:$Z$222,24,TRUE)+(G339/100)</f>
        <v>270.62</v>
      </c>
      <c r="J339">
        <f t="shared" si="13"/>
        <v>270.64</v>
      </c>
      <c r="K339" s="42" t="s">
        <v>258</v>
      </c>
      <c r="L339" s="39" t="s">
        <v>77</v>
      </c>
      <c r="M339" s="41">
        <f t="shared" si="14"/>
        <v>1.1000000000000227</v>
      </c>
    </row>
    <row r="340" spans="1:13" x14ac:dyDescent="0.3">
      <c r="A340" s="1" t="s">
        <v>60</v>
      </c>
      <c r="B340" s="1" t="s">
        <v>31</v>
      </c>
      <c r="C340" s="1">
        <v>178</v>
      </c>
      <c r="D340" s="1" t="s">
        <v>57</v>
      </c>
      <c r="E340" s="1">
        <v>1</v>
      </c>
      <c r="F340" s="1" t="s">
        <v>75</v>
      </c>
      <c r="G340">
        <v>38</v>
      </c>
      <c r="H340" s="1">
        <v>40</v>
      </c>
      <c r="I340">
        <f>VLOOKUP(C340,[1]M0112A!$A$1:$Z$222,24,TRUE)+(G340/100)</f>
        <v>273.73</v>
      </c>
      <c r="J340">
        <f t="shared" si="13"/>
        <v>273.75</v>
      </c>
      <c r="K340" s="42" t="s">
        <v>294</v>
      </c>
      <c r="L340" s="39" t="s">
        <v>77</v>
      </c>
      <c r="M340" s="41">
        <f t="shared" si="14"/>
        <v>3.1100000000000136</v>
      </c>
    </row>
    <row r="341" spans="1:13" x14ac:dyDescent="0.3">
      <c r="A341" s="1" t="s">
        <v>60</v>
      </c>
      <c r="B341" s="1" t="s">
        <v>31</v>
      </c>
      <c r="C341" s="1">
        <v>179</v>
      </c>
      <c r="D341" s="1" t="s">
        <v>57</v>
      </c>
      <c r="E341" s="1">
        <v>1</v>
      </c>
      <c r="F341" s="1" t="s">
        <v>75</v>
      </c>
      <c r="G341">
        <v>38</v>
      </c>
      <c r="H341" s="1">
        <v>40</v>
      </c>
      <c r="I341">
        <f>VLOOKUP(C341,[1]M0112A!$A$1:$Z$222,24,TRUE)+(G341/100)</f>
        <v>276.31</v>
      </c>
      <c r="J341">
        <f t="shared" si="13"/>
        <v>276.33</v>
      </c>
      <c r="K341" s="42" t="s">
        <v>295</v>
      </c>
      <c r="L341" s="39" t="s">
        <v>77</v>
      </c>
      <c r="M341" s="41">
        <f t="shared" si="14"/>
        <v>2.5799999999999841</v>
      </c>
    </row>
    <row r="342" spans="1:13" x14ac:dyDescent="0.3">
      <c r="A342" s="1" t="s">
        <v>60</v>
      </c>
      <c r="B342" s="1" t="s">
        <v>31</v>
      </c>
      <c r="C342" s="1">
        <v>180</v>
      </c>
      <c r="D342" s="1" t="s">
        <v>57</v>
      </c>
      <c r="E342" s="1">
        <v>1</v>
      </c>
      <c r="F342" s="1" t="s">
        <v>75</v>
      </c>
      <c r="G342">
        <v>38</v>
      </c>
      <c r="H342" s="1">
        <v>40</v>
      </c>
      <c r="I342">
        <f>VLOOKUP(C342,[1]M0112A!$A$1:$Z$222,24,TRUE)+(G342/100)</f>
        <v>278.12</v>
      </c>
      <c r="J342">
        <f t="shared" si="13"/>
        <v>278.14</v>
      </c>
      <c r="K342" s="42" t="s">
        <v>295</v>
      </c>
      <c r="L342" s="39" t="s">
        <v>77</v>
      </c>
      <c r="M342" s="41">
        <f t="shared" si="14"/>
        <v>1.8100000000000023</v>
      </c>
    </row>
    <row r="343" spans="1:13" x14ac:dyDescent="0.3">
      <c r="A343" s="1" t="s">
        <v>60</v>
      </c>
      <c r="B343" s="1" t="s">
        <v>31</v>
      </c>
      <c r="C343" s="1">
        <v>182</v>
      </c>
      <c r="D343" s="1" t="s">
        <v>34</v>
      </c>
      <c r="E343" s="1">
        <v>1</v>
      </c>
      <c r="F343" s="1" t="s">
        <v>75</v>
      </c>
      <c r="G343">
        <v>8</v>
      </c>
      <c r="H343" s="1">
        <v>10</v>
      </c>
      <c r="I343">
        <f>VLOOKUP(C343,[1]M0112A!$A$1:$Z$222,24,TRUE)+(G343/100)</f>
        <v>279.82</v>
      </c>
      <c r="J343">
        <f t="shared" si="13"/>
        <v>279.83999999999997</v>
      </c>
      <c r="K343" t="s">
        <v>258</v>
      </c>
      <c r="L343" s="39" t="s">
        <v>296</v>
      </c>
      <c r="M343" s="41">
        <f t="shared" si="14"/>
        <v>1.6999999999999886</v>
      </c>
    </row>
    <row r="344" spans="1:13" x14ac:dyDescent="0.3">
      <c r="A344" s="1" t="s">
        <v>60</v>
      </c>
      <c r="B344" s="1" t="s">
        <v>31</v>
      </c>
      <c r="C344" s="1">
        <v>183</v>
      </c>
      <c r="D344" s="1" t="s">
        <v>34</v>
      </c>
      <c r="E344" s="1">
        <v>1</v>
      </c>
      <c r="F344" s="1" t="s">
        <v>75</v>
      </c>
      <c r="G344">
        <v>6</v>
      </c>
      <c r="H344" s="1">
        <v>8</v>
      </c>
      <c r="I344">
        <f>VLOOKUP(C344,[1]M0112A!$A$1:$Z$222,24,TRUE)+(G344/100)</f>
        <v>281.27</v>
      </c>
      <c r="J344">
        <f t="shared" si="13"/>
        <v>281.28999999999996</v>
      </c>
      <c r="K344" t="s">
        <v>258</v>
      </c>
      <c r="L344" s="53" t="s">
        <v>297</v>
      </c>
      <c r="M344" s="41">
        <f t="shared" si="14"/>
        <v>1.4499999999999886</v>
      </c>
    </row>
    <row r="345" spans="1:13" x14ac:dyDescent="0.3">
      <c r="A345" s="1" t="s">
        <v>60</v>
      </c>
      <c r="B345" s="1" t="s">
        <v>31</v>
      </c>
      <c r="C345" s="1">
        <v>185</v>
      </c>
      <c r="D345" s="1" t="s">
        <v>34</v>
      </c>
      <c r="E345" s="1">
        <v>1</v>
      </c>
      <c r="F345" s="1" t="s">
        <v>75</v>
      </c>
      <c r="G345">
        <v>38</v>
      </c>
      <c r="H345" s="1">
        <v>40</v>
      </c>
      <c r="I345">
        <f>VLOOKUP(C345,[1]M0112A!$A$1:$Z$222,24,TRUE)+(G345/100)</f>
        <v>284.58999999999997</v>
      </c>
      <c r="J345">
        <f t="shared" si="13"/>
        <v>284.60999999999996</v>
      </c>
      <c r="K345" t="s">
        <v>298</v>
      </c>
      <c r="L345" s="39" t="s">
        <v>77</v>
      </c>
      <c r="M345" s="41">
        <f t="shared" si="14"/>
        <v>3.3199999999999932</v>
      </c>
    </row>
    <row r="346" spans="1:13" x14ac:dyDescent="0.3">
      <c r="A346" s="1" t="s">
        <v>60</v>
      </c>
      <c r="B346" s="1" t="s">
        <v>31</v>
      </c>
      <c r="C346" s="1">
        <v>186</v>
      </c>
      <c r="D346" s="1" t="s">
        <v>34</v>
      </c>
      <c r="E346" s="1">
        <v>1</v>
      </c>
      <c r="F346" s="1" t="s">
        <v>75</v>
      </c>
      <c r="G346">
        <v>38</v>
      </c>
      <c r="H346" s="1">
        <v>40</v>
      </c>
      <c r="I346">
        <f>VLOOKUP(C346,[1]M0112A!$A$1:$Z$222,24,TRUE)+(G346/100)</f>
        <v>286.58999999999997</v>
      </c>
      <c r="J346">
        <f t="shared" si="13"/>
        <v>286.60999999999996</v>
      </c>
      <c r="K346" t="s">
        <v>276</v>
      </c>
      <c r="L346" s="39" t="s">
        <v>77</v>
      </c>
      <c r="M346" s="41">
        <f t="shared" si="14"/>
        <v>2</v>
      </c>
    </row>
    <row r="347" spans="1:13" x14ac:dyDescent="0.3">
      <c r="A347" s="1" t="s">
        <v>60</v>
      </c>
      <c r="B347" s="1" t="s">
        <v>31</v>
      </c>
      <c r="C347" s="1">
        <v>187</v>
      </c>
      <c r="D347" s="1" t="s">
        <v>34</v>
      </c>
      <c r="E347" s="1">
        <v>1</v>
      </c>
      <c r="F347" s="1" t="s">
        <v>75</v>
      </c>
      <c r="G347">
        <v>8</v>
      </c>
      <c r="H347" s="1">
        <v>10</v>
      </c>
      <c r="I347">
        <f>VLOOKUP(C347,[1]M0112A!$A$1:$Z$222,24,TRUE)+(G347/100)</f>
        <v>288.28999999999996</v>
      </c>
      <c r="J347">
        <f t="shared" si="13"/>
        <v>288.30999999999995</v>
      </c>
      <c r="K347" t="s">
        <v>83</v>
      </c>
      <c r="L347" s="39" t="s">
        <v>236</v>
      </c>
      <c r="M347" s="41">
        <f t="shared" si="14"/>
        <v>1.6999999999999886</v>
      </c>
    </row>
    <row r="348" spans="1:13" x14ac:dyDescent="0.3">
      <c r="A348" s="1" t="s">
        <v>60</v>
      </c>
      <c r="B348" s="1" t="s">
        <v>31</v>
      </c>
      <c r="C348" s="1">
        <v>189</v>
      </c>
      <c r="D348" s="1" t="s">
        <v>34</v>
      </c>
      <c r="E348" s="1">
        <v>1</v>
      </c>
      <c r="F348" s="1" t="s">
        <v>75</v>
      </c>
      <c r="G348">
        <v>38</v>
      </c>
      <c r="H348" s="1">
        <v>40</v>
      </c>
      <c r="I348">
        <f>VLOOKUP(C348,[1]M0112A!$A$1:$Z$222,24,TRUE)+(G348/100)</f>
        <v>290.58999999999997</v>
      </c>
      <c r="J348">
        <f t="shared" si="13"/>
        <v>290.60999999999996</v>
      </c>
      <c r="K348" t="s">
        <v>299</v>
      </c>
      <c r="L348" s="39" t="s">
        <v>77</v>
      </c>
      <c r="M348" s="41">
        <f t="shared" si="14"/>
        <v>2.3000000000000114</v>
      </c>
    </row>
    <row r="349" spans="1:13" x14ac:dyDescent="0.3">
      <c r="A349" s="1" t="s">
        <v>60</v>
      </c>
      <c r="B349" s="1" t="s">
        <v>31</v>
      </c>
      <c r="C349" s="1">
        <v>191</v>
      </c>
      <c r="D349" s="1" t="s">
        <v>34</v>
      </c>
      <c r="E349" s="1">
        <v>1</v>
      </c>
      <c r="F349" s="1" t="s">
        <v>75</v>
      </c>
      <c r="G349">
        <v>8</v>
      </c>
      <c r="H349" s="1">
        <v>10</v>
      </c>
      <c r="I349">
        <f>VLOOKUP(C349,[1]M0112A!$A$1:$Z$222,24,TRUE)+(G349/100)</f>
        <v>292.28999999999996</v>
      </c>
      <c r="J349">
        <f t="shared" si="13"/>
        <v>292.30999999999995</v>
      </c>
      <c r="K349" t="s">
        <v>83</v>
      </c>
      <c r="L349" s="39" t="s">
        <v>236</v>
      </c>
      <c r="M349" s="41">
        <f t="shared" si="14"/>
        <v>1.6999999999999886</v>
      </c>
    </row>
    <row r="350" spans="1:13" x14ac:dyDescent="0.3">
      <c r="A350" s="45" t="s">
        <v>60</v>
      </c>
      <c r="B350" s="45" t="s">
        <v>31</v>
      </c>
      <c r="C350" s="45">
        <v>195</v>
      </c>
      <c r="D350" s="45" t="s">
        <v>34</v>
      </c>
      <c r="E350" s="45">
        <v>1</v>
      </c>
      <c r="F350" s="45" t="s">
        <v>75</v>
      </c>
      <c r="G350" s="46">
        <v>18</v>
      </c>
      <c r="H350" s="45">
        <v>20</v>
      </c>
      <c r="I350" s="46">
        <f>VLOOKUP(C350,[1]M0112A!$A$1:$Z$222,24,TRUE)+(G350/100)</f>
        <v>295.59000000000003</v>
      </c>
      <c r="J350" s="46">
        <f t="shared" si="13"/>
        <v>295.61</v>
      </c>
      <c r="K350" s="46" t="s">
        <v>300</v>
      </c>
      <c r="L350" s="49" t="s">
        <v>77</v>
      </c>
      <c r="M350" s="47">
        <f t="shared" si="14"/>
        <v>3.3000000000000682</v>
      </c>
    </row>
    <row r="351" spans="1:13" x14ac:dyDescent="0.3">
      <c r="A351" s="1" t="s">
        <v>60</v>
      </c>
      <c r="B351" s="1" t="s">
        <v>31</v>
      </c>
      <c r="C351" s="1">
        <v>196</v>
      </c>
      <c r="D351" s="1" t="s">
        <v>34</v>
      </c>
      <c r="E351" s="1">
        <v>1</v>
      </c>
      <c r="F351" s="1" t="s">
        <v>75</v>
      </c>
      <c r="G351">
        <v>38</v>
      </c>
      <c r="H351" s="1">
        <v>40</v>
      </c>
      <c r="I351">
        <f>VLOOKUP(C351,[1]M0112A!$A$1:$Z$222,24,TRUE)+(G351/100)</f>
        <v>296.04000000000002</v>
      </c>
      <c r="J351">
        <f t="shared" si="13"/>
        <v>296.06</v>
      </c>
      <c r="K351" t="s">
        <v>301</v>
      </c>
      <c r="L351" s="39" t="s">
        <v>77</v>
      </c>
      <c r="M351" s="41">
        <f t="shared" si="14"/>
        <v>0.44999999999998863</v>
      </c>
    </row>
    <row r="352" spans="1:13" x14ac:dyDescent="0.3">
      <c r="A352" s="1" t="s">
        <v>60</v>
      </c>
      <c r="B352" s="1" t="s">
        <v>31</v>
      </c>
      <c r="C352" s="1">
        <v>197</v>
      </c>
      <c r="D352" s="1" t="s">
        <v>34</v>
      </c>
      <c r="E352" s="1">
        <v>1</v>
      </c>
      <c r="F352" s="1" t="s">
        <v>75</v>
      </c>
      <c r="G352">
        <v>38</v>
      </c>
      <c r="H352" s="1">
        <v>40</v>
      </c>
      <c r="I352">
        <f>VLOOKUP(C352,[1]M0112A!$A$1:$Z$222,24,TRUE)+(G352/100)</f>
        <v>297.58999999999997</v>
      </c>
      <c r="J352">
        <f t="shared" si="13"/>
        <v>297.60999999999996</v>
      </c>
      <c r="K352" t="s">
        <v>302</v>
      </c>
      <c r="L352" s="39" t="s">
        <v>77</v>
      </c>
      <c r="M352" s="41">
        <f t="shared" si="14"/>
        <v>1.5499999999999545</v>
      </c>
    </row>
    <row r="353" spans="1:13" x14ac:dyDescent="0.3">
      <c r="A353" s="45" t="s">
        <v>60</v>
      </c>
      <c r="B353" s="45" t="s">
        <v>31</v>
      </c>
      <c r="C353" s="45">
        <v>198</v>
      </c>
      <c r="D353" s="45" t="s">
        <v>34</v>
      </c>
      <c r="E353" s="45">
        <v>1</v>
      </c>
      <c r="F353" s="45" t="s">
        <v>75</v>
      </c>
      <c r="G353" s="46">
        <v>38</v>
      </c>
      <c r="H353" s="45">
        <v>40</v>
      </c>
      <c r="I353" s="46">
        <f>VLOOKUP(C353,[1]M0112A!$A$1:$Z$222,24,TRUE)+(G353/100)</f>
        <v>298.58999999999997</v>
      </c>
      <c r="J353" s="46">
        <f t="shared" si="13"/>
        <v>298.60999999999996</v>
      </c>
      <c r="K353" s="46" t="s">
        <v>303</v>
      </c>
      <c r="L353" s="49" t="s">
        <v>77</v>
      </c>
      <c r="M353" s="47">
        <f t="shared" si="14"/>
        <v>1</v>
      </c>
    </row>
    <row r="354" spans="1:13" x14ac:dyDescent="0.3">
      <c r="A354" s="1" t="s">
        <v>60</v>
      </c>
      <c r="B354" s="1" t="s">
        <v>31</v>
      </c>
      <c r="C354" s="1">
        <v>200</v>
      </c>
      <c r="D354" s="1" t="s">
        <v>34</v>
      </c>
      <c r="E354" s="1">
        <v>1</v>
      </c>
      <c r="F354" s="1" t="s">
        <v>75</v>
      </c>
      <c r="G354">
        <v>38</v>
      </c>
      <c r="H354" s="1">
        <v>40</v>
      </c>
      <c r="I354">
        <f>VLOOKUP(C354,[1]M0112A!$A$1:$Z$222,24,TRUE)+(G354/100)</f>
        <v>300.58999999999997</v>
      </c>
      <c r="J354">
        <f t="shared" si="13"/>
        <v>300.60999999999996</v>
      </c>
      <c r="K354" t="s">
        <v>304</v>
      </c>
      <c r="L354" s="39" t="s">
        <v>77</v>
      </c>
      <c r="M354" s="41">
        <f t="shared" si="14"/>
        <v>2</v>
      </c>
    </row>
    <row r="355" spans="1:13" x14ac:dyDescent="0.3">
      <c r="A355" s="45" t="s">
        <v>60</v>
      </c>
      <c r="B355" s="45" t="s">
        <v>31</v>
      </c>
      <c r="C355" s="45">
        <v>204</v>
      </c>
      <c r="D355" s="45" t="s">
        <v>34</v>
      </c>
      <c r="E355" s="45">
        <v>1</v>
      </c>
      <c r="F355" s="45" t="s">
        <v>75</v>
      </c>
      <c r="G355" s="46">
        <v>38</v>
      </c>
      <c r="H355" s="45">
        <v>40</v>
      </c>
      <c r="I355" s="46">
        <f>VLOOKUP(C355,[1]M0112A!$A$1:$Z$222,24,TRUE)+(G355/100)</f>
        <v>304.58999999999997</v>
      </c>
      <c r="J355" s="46">
        <f t="shared" si="13"/>
        <v>304.60999999999996</v>
      </c>
      <c r="K355" s="46" t="s">
        <v>300</v>
      </c>
      <c r="L355" s="49" t="s">
        <v>77</v>
      </c>
      <c r="M355" s="47">
        <f t="shared" si="14"/>
        <v>4</v>
      </c>
    </row>
    <row r="356" spans="1:13" x14ac:dyDescent="0.3">
      <c r="A356" s="1" t="s">
        <v>60</v>
      </c>
      <c r="B356" s="1" t="s">
        <v>31</v>
      </c>
      <c r="C356" s="1">
        <v>205</v>
      </c>
      <c r="D356" s="1" t="s">
        <v>34</v>
      </c>
      <c r="E356" s="1">
        <v>1</v>
      </c>
      <c r="F356" s="1" t="s">
        <v>75</v>
      </c>
      <c r="G356">
        <v>38</v>
      </c>
      <c r="H356" s="1">
        <v>40</v>
      </c>
      <c r="I356">
        <f>VLOOKUP(C356,[1]M0112A!$A$1:$Z$222,24,TRUE)+(G356/100)</f>
        <v>305.58999999999997</v>
      </c>
      <c r="J356">
        <f t="shared" si="13"/>
        <v>305.60999999999996</v>
      </c>
      <c r="K356" t="s">
        <v>305</v>
      </c>
      <c r="L356" s="39" t="s">
        <v>77</v>
      </c>
      <c r="M356" s="41">
        <f t="shared" si="14"/>
        <v>1</v>
      </c>
    </row>
    <row r="357" spans="1:13" x14ac:dyDescent="0.3">
      <c r="A357" s="1" t="s">
        <v>60</v>
      </c>
      <c r="B357" s="1" t="s">
        <v>31</v>
      </c>
      <c r="C357" s="1">
        <v>206</v>
      </c>
      <c r="D357" s="1" t="s">
        <v>34</v>
      </c>
      <c r="E357" s="1">
        <v>1</v>
      </c>
      <c r="F357" s="1" t="s">
        <v>75</v>
      </c>
      <c r="G357">
        <v>38</v>
      </c>
      <c r="H357" s="1">
        <v>40</v>
      </c>
      <c r="I357">
        <f>VLOOKUP(C357,[1]M0112A!$A$1:$Z$222,24,TRUE)+(G357/100)</f>
        <v>306.58999999999997</v>
      </c>
      <c r="J357">
        <f t="shared" si="13"/>
        <v>306.60999999999996</v>
      </c>
      <c r="K357" s="42" t="s">
        <v>306</v>
      </c>
      <c r="L357" s="39" t="s">
        <v>77</v>
      </c>
      <c r="M357" s="41">
        <f t="shared" si="14"/>
        <v>1</v>
      </c>
    </row>
    <row r="358" spans="1:13" x14ac:dyDescent="0.3">
      <c r="A358" s="45" t="s">
        <v>60</v>
      </c>
      <c r="B358" s="45" t="s">
        <v>31</v>
      </c>
      <c r="C358" s="45">
        <v>209</v>
      </c>
      <c r="D358" s="45" t="s">
        <v>34</v>
      </c>
      <c r="E358" s="45">
        <v>1</v>
      </c>
      <c r="F358" s="45" t="s">
        <v>75</v>
      </c>
      <c r="G358" s="46">
        <v>8</v>
      </c>
      <c r="H358" s="45">
        <v>10</v>
      </c>
      <c r="I358" s="46">
        <f>VLOOKUP(C358,[1]M0112A!$A$1:$Z$222,24,TRUE)+(G358/100)</f>
        <v>309.28999999999996</v>
      </c>
      <c r="J358" s="46">
        <f t="shared" si="13"/>
        <v>309.30999999999995</v>
      </c>
      <c r="K358" s="46" t="s">
        <v>300</v>
      </c>
      <c r="L358" s="49" t="s">
        <v>77</v>
      </c>
      <c r="M358" s="47">
        <f t="shared" si="14"/>
        <v>2.6999999999999886</v>
      </c>
    </row>
    <row r="359" spans="1:13" x14ac:dyDescent="0.3">
      <c r="A359" s="45" t="s">
        <v>60</v>
      </c>
      <c r="B359" s="45" t="s">
        <v>31</v>
      </c>
      <c r="C359" s="45">
        <v>210</v>
      </c>
      <c r="D359" s="45" t="s">
        <v>34</v>
      </c>
      <c r="E359" s="45">
        <v>1</v>
      </c>
      <c r="F359" s="45" t="s">
        <v>75</v>
      </c>
      <c r="G359" s="46">
        <v>18</v>
      </c>
      <c r="H359" s="45">
        <v>20</v>
      </c>
      <c r="I359" s="46">
        <f>VLOOKUP(C359,[1]M0112A!$A$1:$Z$222,24,TRUE)+(G359/100)</f>
        <v>310.39</v>
      </c>
      <c r="J359" s="46">
        <f t="shared" si="13"/>
        <v>310.40999999999997</v>
      </c>
      <c r="K359" s="46" t="s">
        <v>300</v>
      </c>
      <c r="L359" s="49" t="s">
        <v>77</v>
      </c>
      <c r="M359" s="47">
        <f t="shared" si="14"/>
        <v>1.1000000000000227</v>
      </c>
    </row>
    <row r="360" spans="1:13" x14ac:dyDescent="0.3">
      <c r="A360" s="45" t="s">
        <v>60</v>
      </c>
      <c r="B360" s="45" t="s">
        <v>31</v>
      </c>
      <c r="C360" s="45">
        <v>212</v>
      </c>
      <c r="D360" s="45" t="s">
        <v>34</v>
      </c>
      <c r="E360" s="45">
        <v>1</v>
      </c>
      <c r="F360" s="45" t="s">
        <v>75</v>
      </c>
      <c r="G360" s="46">
        <v>58</v>
      </c>
      <c r="H360" s="45">
        <v>60</v>
      </c>
      <c r="I360" s="46">
        <f>VLOOKUP(C360,[1]M0112A!$A$1:$Z$222,24,TRUE)+(G360/100)</f>
        <v>312.78999999999996</v>
      </c>
      <c r="J360" s="46">
        <f t="shared" si="13"/>
        <v>312.80999999999995</v>
      </c>
      <c r="K360" s="46" t="s">
        <v>300</v>
      </c>
      <c r="L360" s="49" t="s">
        <v>77</v>
      </c>
      <c r="M360" s="47">
        <f t="shared" si="14"/>
        <v>2.3999999999999773</v>
      </c>
    </row>
    <row r="361" spans="1:13" x14ac:dyDescent="0.3">
      <c r="A361" s="45" t="s">
        <v>60</v>
      </c>
      <c r="B361" s="45" t="s">
        <v>31</v>
      </c>
      <c r="C361" s="45">
        <v>214</v>
      </c>
      <c r="D361" s="45" t="s">
        <v>34</v>
      </c>
      <c r="E361" s="45">
        <v>1</v>
      </c>
      <c r="F361" s="45" t="s">
        <v>75</v>
      </c>
      <c r="G361" s="46">
        <v>98</v>
      </c>
      <c r="H361" s="45">
        <v>100</v>
      </c>
      <c r="I361" s="46">
        <f>VLOOKUP(C361,[1]M0112A!$A$1:$Z$222,24,TRUE)+(G361/100)</f>
        <v>315.19</v>
      </c>
      <c r="J361" s="46">
        <f t="shared" si="13"/>
        <v>315.20999999999998</v>
      </c>
      <c r="K361" s="46" t="s">
        <v>300</v>
      </c>
      <c r="L361" s="49" t="s">
        <v>77</v>
      </c>
      <c r="M361" s="47">
        <f t="shared" si="14"/>
        <v>2.4000000000000341</v>
      </c>
    </row>
    <row r="362" spans="1:13" x14ac:dyDescent="0.3">
      <c r="A362" s="45" t="s">
        <v>60</v>
      </c>
      <c r="B362" s="45" t="s">
        <v>31</v>
      </c>
      <c r="C362" s="45">
        <v>215</v>
      </c>
      <c r="D362" s="45" t="s">
        <v>34</v>
      </c>
      <c r="E362" s="45">
        <v>1</v>
      </c>
      <c r="F362" s="45" t="s">
        <v>75</v>
      </c>
      <c r="G362" s="46">
        <v>108</v>
      </c>
      <c r="H362" s="45">
        <v>110</v>
      </c>
      <c r="I362" s="46">
        <f>VLOOKUP(C362,[1]M0112A!$A$1:$Z$222,24,TRUE)+(G362/100)</f>
        <v>316.28999999999996</v>
      </c>
      <c r="J362" s="46">
        <f t="shared" si="13"/>
        <v>316.30999999999995</v>
      </c>
      <c r="K362" s="46" t="s">
        <v>307</v>
      </c>
      <c r="L362" s="49" t="s">
        <v>77</v>
      </c>
      <c r="M362" s="47">
        <f t="shared" si="14"/>
        <v>1.0999999999999659</v>
      </c>
    </row>
    <row r="363" spans="1:13" x14ac:dyDescent="0.3">
      <c r="A363" s="45" t="s">
        <v>60</v>
      </c>
      <c r="B363" s="45" t="s">
        <v>31</v>
      </c>
      <c r="C363" s="45">
        <v>216</v>
      </c>
      <c r="D363" s="45" t="s">
        <v>34</v>
      </c>
      <c r="E363" s="45">
        <v>1</v>
      </c>
      <c r="F363" s="45" t="s">
        <v>75</v>
      </c>
      <c r="G363" s="46">
        <v>38</v>
      </c>
      <c r="H363" s="45">
        <v>40</v>
      </c>
      <c r="I363" s="46">
        <f>VLOOKUP(C363,[1]M0112A!$A$1:$Z$222,24,TRUE)+(G363/100)</f>
        <v>317.58999999999997</v>
      </c>
      <c r="J363" s="46">
        <f t="shared" si="13"/>
        <v>317.60999999999996</v>
      </c>
      <c r="K363" s="52" t="s">
        <v>308</v>
      </c>
      <c r="L363" s="49" t="s">
        <v>77</v>
      </c>
      <c r="M363" s="47">
        <f t="shared" si="14"/>
        <v>1.3000000000000114</v>
      </c>
    </row>
    <row r="364" spans="1:13" x14ac:dyDescent="0.3">
      <c r="A364" s="45" t="s">
        <v>60</v>
      </c>
      <c r="B364" s="45" t="s">
        <v>31</v>
      </c>
      <c r="C364" s="45">
        <v>217</v>
      </c>
      <c r="D364" s="45" t="s">
        <v>34</v>
      </c>
      <c r="E364" s="45">
        <v>1</v>
      </c>
      <c r="F364" s="45" t="s">
        <v>75</v>
      </c>
      <c r="G364" s="46">
        <v>38</v>
      </c>
      <c r="H364" s="45">
        <v>40</v>
      </c>
      <c r="I364" s="46">
        <f>VLOOKUP(C364,[1]M0112A!$A$1:$Z$222,24,TRUE)+(G364/100)</f>
        <v>320.58999999999997</v>
      </c>
      <c r="J364" s="46">
        <f t="shared" si="13"/>
        <v>320.60999999999996</v>
      </c>
      <c r="K364" s="52" t="s">
        <v>309</v>
      </c>
      <c r="L364" s="49" t="s">
        <v>77</v>
      </c>
      <c r="M364" s="47">
        <f t="shared" si="14"/>
        <v>3</v>
      </c>
    </row>
    <row r="365" spans="1:13" x14ac:dyDescent="0.3">
      <c r="A365" s="1" t="s">
        <v>60</v>
      </c>
      <c r="B365" s="1" t="s">
        <v>31</v>
      </c>
      <c r="C365" s="1">
        <v>218</v>
      </c>
      <c r="D365" s="1" t="s">
        <v>34</v>
      </c>
      <c r="E365" s="1">
        <v>1</v>
      </c>
      <c r="F365" s="1" t="s">
        <v>75</v>
      </c>
      <c r="G365">
        <v>38</v>
      </c>
      <c r="H365" s="1">
        <v>40</v>
      </c>
      <c r="I365">
        <f>VLOOKUP(C365,[1]M0112A!$A$1:$Z$222,24,TRUE)+(G365/100)</f>
        <v>322.58999999999997</v>
      </c>
      <c r="J365">
        <f t="shared" si="13"/>
        <v>322.60999999999996</v>
      </c>
      <c r="K365" s="42" t="s">
        <v>310</v>
      </c>
      <c r="L365" s="39" t="s">
        <v>77</v>
      </c>
      <c r="M365" s="41">
        <f t="shared" si="14"/>
        <v>2</v>
      </c>
    </row>
    <row r="366" spans="1:13" x14ac:dyDescent="0.3">
      <c r="A366" s="1" t="s">
        <v>60</v>
      </c>
      <c r="B366" s="1" t="s">
        <v>31</v>
      </c>
      <c r="C366" s="1">
        <v>219</v>
      </c>
      <c r="D366" s="1" t="s">
        <v>34</v>
      </c>
      <c r="E366" s="1">
        <v>1</v>
      </c>
      <c r="F366" s="1" t="s">
        <v>75</v>
      </c>
      <c r="G366">
        <v>38</v>
      </c>
      <c r="H366" s="1">
        <v>40</v>
      </c>
      <c r="I366">
        <f>VLOOKUP(C366,[1]M0112A!$A$1:$Z$222,24,TRUE)+(G366/100)</f>
        <v>324.39</v>
      </c>
      <c r="J366">
        <f t="shared" si="13"/>
        <v>324.40999999999997</v>
      </c>
      <c r="K366" t="s">
        <v>311</v>
      </c>
      <c r="L366" s="39" t="s">
        <v>77</v>
      </c>
      <c r="M366" s="41">
        <f t="shared" si="14"/>
        <v>1.8000000000000114</v>
      </c>
    </row>
    <row r="367" spans="1:13" x14ac:dyDescent="0.3">
      <c r="A367" s="1" t="s">
        <v>60</v>
      </c>
      <c r="B367" s="1" t="s">
        <v>31</v>
      </c>
      <c r="C367" s="1">
        <v>221</v>
      </c>
      <c r="D367" s="1" t="s">
        <v>34</v>
      </c>
      <c r="E367" s="1">
        <v>1</v>
      </c>
      <c r="F367" s="1" t="s">
        <v>75</v>
      </c>
      <c r="G367">
        <v>28</v>
      </c>
      <c r="H367" s="1">
        <v>30</v>
      </c>
      <c r="I367">
        <f>VLOOKUP(C367,[1]M0112A!$A$1:$Z$222,24,TRUE)+(G367/100)</f>
        <v>328.48999999999995</v>
      </c>
      <c r="J367">
        <f t="shared" si="13"/>
        <v>328.50999999999993</v>
      </c>
      <c r="K367" t="s">
        <v>312</v>
      </c>
      <c r="L367" s="39" t="s">
        <v>77</v>
      </c>
      <c r="M367" s="41">
        <f t="shared" si="14"/>
        <v>4.0999999999999659</v>
      </c>
    </row>
    <row r="368" spans="1:13" x14ac:dyDescent="0.3">
      <c r="H368" s="1"/>
      <c r="L368" s="44"/>
      <c r="M368" s="44"/>
    </row>
    <row r="369" spans="1:13" x14ac:dyDescent="0.3">
      <c r="A369" s="1" t="s">
        <v>60</v>
      </c>
      <c r="B369" s="1" t="s">
        <v>47</v>
      </c>
      <c r="C369" s="1">
        <v>2</v>
      </c>
      <c r="D369" s="1" t="s">
        <v>57</v>
      </c>
      <c r="E369" s="1">
        <v>1</v>
      </c>
      <c r="F369" s="1" t="s">
        <v>75</v>
      </c>
      <c r="G369">
        <v>38</v>
      </c>
      <c r="H369" s="1">
        <v>40</v>
      </c>
      <c r="I369">
        <f>VLOOKUP(C369,[1]M0112B!$A$1:$Z$67,24,TRUE)+(G369/100)</f>
        <v>28.599999999999998</v>
      </c>
      <c r="J369">
        <f t="shared" si="13"/>
        <v>28.619999999999997</v>
      </c>
      <c r="K369" t="s">
        <v>130</v>
      </c>
      <c r="L369" s="39" t="s">
        <v>77</v>
      </c>
      <c r="M369" s="40" t="s">
        <v>78</v>
      </c>
    </row>
    <row r="370" spans="1:13" x14ac:dyDescent="0.3">
      <c r="A370" s="1" t="s">
        <v>60</v>
      </c>
      <c r="B370" s="1" t="s">
        <v>47</v>
      </c>
      <c r="C370" s="1">
        <v>3</v>
      </c>
      <c r="D370" s="1" t="s">
        <v>57</v>
      </c>
      <c r="E370" s="1">
        <v>1</v>
      </c>
      <c r="F370" s="1" t="s">
        <v>75</v>
      </c>
      <c r="G370">
        <v>68</v>
      </c>
      <c r="H370" s="1">
        <v>70</v>
      </c>
      <c r="I370">
        <f>VLOOKUP(C370,[1]M0112B!$A$1:$Z$67,24,TRUE)+(G370/100)</f>
        <v>31.07</v>
      </c>
      <c r="J370">
        <f t="shared" si="13"/>
        <v>31.09</v>
      </c>
      <c r="K370" t="s">
        <v>313</v>
      </c>
      <c r="L370" s="39" t="s">
        <v>77</v>
      </c>
      <c r="M370" s="41">
        <f t="shared" ref="M370:M433" si="15">I370-I369</f>
        <v>2.4700000000000024</v>
      </c>
    </row>
    <row r="371" spans="1:13" x14ac:dyDescent="0.3">
      <c r="A371" s="1" t="s">
        <v>60</v>
      </c>
      <c r="B371" s="1" t="s">
        <v>47</v>
      </c>
      <c r="C371" s="1">
        <v>5</v>
      </c>
      <c r="D371" s="1" t="s">
        <v>57</v>
      </c>
      <c r="E371" s="1">
        <v>1</v>
      </c>
      <c r="F371" s="1" t="s">
        <v>75</v>
      </c>
      <c r="G371">
        <v>38</v>
      </c>
      <c r="H371" s="1">
        <v>40</v>
      </c>
      <c r="I371">
        <f>VLOOKUP(C371,[1]M0112B!$A$1:$Z$67,24,TRUE)+(G371/100)</f>
        <v>54.38</v>
      </c>
      <c r="J371">
        <f t="shared" si="13"/>
        <v>54.400000000000006</v>
      </c>
      <c r="K371" t="s">
        <v>314</v>
      </c>
      <c r="L371" s="39" t="s">
        <v>77</v>
      </c>
      <c r="M371" s="41"/>
    </row>
    <row r="372" spans="1:13" x14ac:dyDescent="0.3">
      <c r="A372" s="1" t="s">
        <v>60</v>
      </c>
      <c r="B372" s="1" t="s">
        <v>47</v>
      </c>
      <c r="C372" s="1">
        <v>6</v>
      </c>
      <c r="D372" s="1" t="s">
        <v>34</v>
      </c>
      <c r="E372" s="1">
        <v>1</v>
      </c>
      <c r="F372" s="1" t="s">
        <v>75</v>
      </c>
      <c r="G372">
        <v>38</v>
      </c>
      <c r="H372" s="1">
        <v>40</v>
      </c>
      <c r="I372">
        <f>VLOOKUP(C372,[1]M0112B!$A$1:$Z$67,24,TRUE)+(G372/100)</f>
        <v>55.900000000000006</v>
      </c>
      <c r="J372">
        <f t="shared" si="13"/>
        <v>55.920000000000009</v>
      </c>
      <c r="K372" t="s">
        <v>315</v>
      </c>
      <c r="L372" s="39" t="s">
        <v>77</v>
      </c>
      <c r="M372" s="41">
        <f t="shared" si="15"/>
        <v>1.5200000000000031</v>
      </c>
    </row>
    <row r="373" spans="1:13" x14ac:dyDescent="0.3">
      <c r="A373" s="45" t="s">
        <v>60</v>
      </c>
      <c r="B373" s="45" t="s">
        <v>47</v>
      </c>
      <c r="C373" s="45">
        <v>7</v>
      </c>
      <c r="D373" s="45" t="s">
        <v>34</v>
      </c>
      <c r="E373" s="45">
        <v>1</v>
      </c>
      <c r="F373" s="45" t="s">
        <v>75</v>
      </c>
      <c r="G373" s="46">
        <v>38</v>
      </c>
      <c r="H373" s="45">
        <v>40</v>
      </c>
      <c r="I373" s="46">
        <f>VLOOKUP(C373,[1]M0112B!$A$1:$Z$67,24,TRUE)+(G373/100)</f>
        <v>57.2</v>
      </c>
      <c r="J373" s="46">
        <f t="shared" si="13"/>
        <v>57.220000000000006</v>
      </c>
      <c r="K373" s="52" t="s">
        <v>113</v>
      </c>
      <c r="L373" s="49" t="s">
        <v>77</v>
      </c>
      <c r="M373" s="47">
        <f t="shared" si="15"/>
        <v>1.2999999999999972</v>
      </c>
    </row>
    <row r="374" spans="1:13" x14ac:dyDescent="0.3">
      <c r="A374" s="45" t="s">
        <v>60</v>
      </c>
      <c r="B374" s="45" t="s">
        <v>47</v>
      </c>
      <c r="C374" s="45">
        <v>8</v>
      </c>
      <c r="D374" s="45" t="s">
        <v>34</v>
      </c>
      <c r="E374" s="45">
        <v>1</v>
      </c>
      <c r="F374" s="45" t="s">
        <v>75</v>
      </c>
      <c r="G374" s="46">
        <v>28</v>
      </c>
      <c r="H374" s="45">
        <v>30</v>
      </c>
      <c r="I374" s="46">
        <f>VLOOKUP(C374,[1]M0112B!$A$1:$Z$67,24,TRUE)+(G374/100)</f>
        <v>58.6</v>
      </c>
      <c r="J374" s="46">
        <f t="shared" si="13"/>
        <v>58.620000000000005</v>
      </c>
      <c r="K374" s="52" t="s">
        <v>113</v>
      </c>
      <c r="L374" s="49" t="s">
        <v>77</v>
      </c>
      <c r="M374" s="47">
        <f t="shared" si="15"/>
        <v>1.3999999999999986</v>
      </c>
    </row>
    <row r="375" spans="1:13" x14ac:dyDescent="0.3">
      <c r="A375" s="45" t="s">
        <v>60</v>
      </c>
      <c r="B375" s="45" t="s">
        <v>47</v>
      </c>
      <c r="C375" s="45">
        <v>9</v>
      </c>
      <c r="D375" s="45" t="s">
        <v>34</v>
      </c>
      <c r="E375" s="45">
        <v>1</v>
      </c>
      <c r="F375" s="45" t="s">
        <v>75</v>
      </c>
      <c r="G375" s="46">
        <v>38</v>
      </c>
      <c r="H375" s="45">
        <v>40</v>
      </c>
      <c r="I375" s="46">
        <f>VLOOKUP(C375,[1]M0112B!$A$1:$Z$67,24,TRUE)+(G375/100)</f>
        <v>60.2</v>
      </c>
      <c r="J375" s="46">
        <f t="shared" si="13"/>
        <v>60.220000000000006</v>
      </c>
      <c r="K375" s="46" t="s">
        <v>223</v>
      </c>
      <c r="L375" s="49" t="s">
        <v>77</v>
      </c>
      <c r="M375" s="47">
        <f t="shared" si="15"/>
        <v>1.6000000000000014</v>
      </c>
    </row>
    <row r="376" spans="1:13" x14ac:dyDescent="0.3">
      <c r="A376" s="45" t="s">
        <v>60</v>
      </c>
      <c r="B376" s="45" t="s">
        <v>47</v>
      </c>
      <c r="C376" s="45">
        <v>10</v>
      </c>
      <c r="D376" s="45" t="s">
        <v>34</v>
      </c>
      <c r="E376" s="45">
        <v>1</v>
      </c>
      <c r="F376" s="45" t="s">
        <v>75</v>
      </c>
      <c r="G376" s="46">
        <v>38</v>
      </c>
      <c r="H376" s="45">
        <v>40</v>
      </c>
      <c r="I376" s="46">
        <f>VLOOKUP(C376,[1]M0112B!$A$1:$Z$67,24,TRUE)+(G376/100)</f>
        <v>61.7</v>
      </c>
      <c r="J376" s="46">
        <f t="shared" si="13"/>
        <v>61.720000000000006</v>
      </c>
      <c r="K376" s="46" t="s">
        <v>223</v>
      </c>
      <c r="L376" s="49" t="s">
        <v>77</v>
      </c>
      <c r="M376" s="47">
        <f t="shared" si="15"/>
        <v>1.5</v>
      </c>
    </row>
    <row r="377" spans="1:13" x14ac:dyDescent="0.3">
      <c r="A377" s="45" t="s">
        <v>60</v>
      </c>
      <c r="B377" s="45" t="s">
        <v>47</v>
      </c>
      <c r="C377" s="45">
        <v>12</v>
      </c>
      <c r="D377" s="45" t="s">
        <v>34</v>
      </c>
      <c r="E377" s="45">
        <v>1</v>
      </c>
      <c r="F377" s="45" t="s">
        <v>75</v>
      </c>
      <c r="G377" s="46">
        <v>38</v>
      </c>
      <c r="H377" s="45">
        <v>40</v>
      </c>
      <c r="I377" s="46">
        <f>VLOOKUP(C377,[1]M0112B!$A$1:$Z$67,24,TRUE)+(G377/100)</f>
        <v>82.38</v>
      </c>
      <c r="J377" s="46">
        <f t="shared" si="13"/>
        <v>82.399999999999991</v>
      </c>
      <c r="K377" s="46" t="s">
        <v>223</v>
      </c>
      <c r="L377" s="49" t="s">
        <v>77</v>
      </c>
      <c r="M377" s="47"/>
    </row>
    <row r="378" spans="1:13" x14ac:dyDescent="0.3">
      <c r="A378" s="45" t="s">
        <v>60</v>
      </c>
      <c r="B378" s="45" t="s">
        <v>47</v>
      </c>
      <c r="C378" s="45">
        <v>13</v>
      </c>
      <c r="D378" s="45" t="s">
        <v>34</v>
      </c>
      <c r="E378" s="45">
        <v>1</v>
      </c>
      <c r="F378" s="45" t="s">
        <v>75</v>
      </c>
      <c r="G378" s="46">
        <v>38</v>
      </c>
      <c r="H378" s="45">
        <v>40</v>
      </c>
      <c r="I378" s="46">
        <f>VLOOKUP(C378,[1]M0112B!$A$1:$Z$67,24,TRUE)+(G378/100)</f>
        <v>83.88</v>
      </c>
      <c r="J378" s="46">
        <f t="shared" si="13"/>
        <v>83.899999999999991</v>
      </c>
      <c r="K378" s="46" t="s">
        <v>223</v>
      </c>
      <c r="L378" s="49" t="s">
        <v>77</v>
      </c>
      <c r="M378" s="47">
        <f t="shared" si="15"/>
        <v>1.5</v>
      </c>
    </row>
    <row r="379" spans="1:13" x14ac:dyDescent="0.3">
      <c r="A379" s="45" t="s">
        <v>60</v>
      </c>
      <c r="B379" s="45" t="s">
        <v>47</v>
      </c>
      <c r="C379" s="45">
        <v>14</v>
      </c>
      <c r="D379" s="45" t="s">
        <v>34</v>
      </c>
      <c r="E379" s="45">
        <v>1</v>
      </c>
      <c r="F379" s="45" t="s">
        <v>75</v>
      </c>
      <c r="G379" s="46">
        <v>38</v>
      </c>
      <c r="H379" s="45">
        <v>40</v>
      </c>
      <c r="I379" s="46">
        <f>VLOOKUP(C379,[1]M0112B!$A$1:$Z$67,24,TRUE)+(G379/100)</f>
        <v>86.88</v>
      </c>
      <c r="J379" s="46">
        <f t="shared" si="13"/>
        <v>86.899999999999991</v>
      </c>
      <c r="K379" s="46" t="s">
        <v>223</v>
      </c>
      <c r="L379" s="49" t="s">
        <v>77</v>
      </c>
      <c r="M379" s="47">
        <f t="shared" si="15"/>
        <v>3</v>
      </c>
    </row>
    <row r="380" spans="1:13" x14ac:dyDescent="0.3">
      <c r="A380" s="45" t="s">
        <v>60</v>
      </c>
      <c r="B380" s="45" t="s">
        <v>47</v>
      </c>
      <c r="C380" s="45">
        <v>15</v>
      </c>
      <c r="D380" s="45" t="s">
        <v>34</v>
      </c>
      <c r="E380" s="45">
        <v>1</v>
      </c>
      <c r="F380" s="45" t="s">
        <v>75</v>
      </c>
      <c r="G380" s="46">
        <v>38</v>
      </c>
      <c r="H380" s="45">
        <v>40</v>
      </c>
      <c r="I380" s="46">
        <f>VLOOKUP(C380,[1]M0112B!$A$1:$Z$67,24,TRUE)+(G380/100)</f>
        <v>89.88</v>
      </c>
      <c r="J380" s="46">
        <f t="shared" si="13"/>
        <v>89.899999999999991</v>
      </c>
      <c r="K380" s="46" t="s">
        <v>223</v>
      </c>
      <c r="L380" s="49" t="s">
        <v>77</v>
      </c>
      <c r="M380" s="47">
        <f t="shared" si="15"/>
        <v>3</v>
      </c>
    </row>
    <row r="381" spans="1:13" x14ac:dyDescent="0.3">
      <c r="A381" s="45" t="s">
        <v>60</v>
      </c>
      <c r="B381" s="45" t="s">
        <v>47</v>
      </c>
      <c r="C381" s="45">
        <v>16</v>
      </c>
      <c r="D381" s="45" t="s">
        <v>34</v>
      </c>
      <c r="E381" s="45">
        <v>1</v>
      </c>
      <c r="F381" s="45" t="s">
        <v>75</v>
      </c>
      <c r="G381" s="46">
        <v>38</v>
      </c>
      <c r="H381" s="45">
        <v>40</v>
      </c>
      <c r="I381" s="46">
        <f>VLOOKUP(C381,[1]M0112B!$A$1:$Z$67,24,TRUE)+(G381/100)</f>
        <v>92.88</v>
      </c>
      <c r="J381" s="46">
        <f t="shared" si="13"/>
        <v>92.899999999999991</v>
      </c>
      <c r="K381" s="46" t="s">
        <v>223</v>
      </c>
      <c r="L381" s="49" t="s">
        <v>77</v>
      </c>
      <c r="M381" s="47">
        <f t="shared" si="15"/>
        <v>3</v>
      </c>
    </row>
    <row r="382" spans="1:13" x14ac:dyDescent="0.3">
      <c r="A382" s="45" t="s">
        <v>60</v>
      </c>
      <c r="B382" s="45" t="s">
        <v>47</v>
      </c>
      <c r="C382" s="45">
        <v>17</v>
      </c>
      <c r="D382" s="45" t="s">
        <v>34</v>
      </c>
      <c r="E382" s="45">
        <v>1</v>
      </c>
      <c r="F382" s="45" t="s">
        <v>75</v>
      </c>
      <c r="G382" s="46">
        <v>38</v>
      </c>
      <c r="H382" s="45">
        <v>40</v>
      </c>
      <c r="I382" s="46">
        <f>VLOOKUP(C382,[1]M0112B!$A$1:$Z$67,24,TRUE)+(G382/100)</f>
        <v>95.88</v>
      </c>
      <c r="J382" s="46">
        <f t="shared" si="13"/>
        <v>95.899999999999991</v>
      </c>
      <c r="K382" s="46" t="s">
        <v>223</v>
      </c>
      <c r="L382" s="49" t="s">
        <v>77</v>
      </c>
      <c r="M382" s="47">
        <f t="shared" si="15"/>
        <v>3</v>
      </c>
    </row>
    <row r="383" spans="1:13" x14ac:dyDescent="0.3">
      <c r="A383" s="1" t="s">
        <v>60</v>
      </c>
      <c r="B383" s="1" t="s">
        <v>47</v>
      </c>
      <c r="C383" s="1">
        <v>18</v>
      </c>
      <c r="D383" s="1" t="s">
        <v>34</v>
      </c>
      <c r="E383" s="1">
        <v>1</v>
      </c>
      <c r="F383" s="1" t="s">
        <v>75</v>
      </c>
      <c r="G383">
        <v>18</v>
      </c>
      <c r="H383" s="1">
        <v>20</v>
      </c>
      <c r="I383">
        <f>VLOOKUP(C383,[1]M0112B!$A$1:$Z$67,24,TRUE)+(G383/100)</f>
        <v>98.68</v>
      </c>
      <c r="J383">
        <f t="shared" si="13"/>
        <v>98.7</v>
      </c>
      <c r="K383" t="s">
        <v>316</v>
      </c>
      <c r="L383" s="39" t="s">
        <v>77</v>
      </c>
      <c r="M383" s="41">
        <f t="shared" si="15"/>
        <v>2.8000000000000114</v>
      </c>
    </row>
    <row r="384" spans="1:13" x14ac:dyDescent="0.3">
      <c r="A384" s="45" t="s">
        <v>60</v>
      </c>
      <c r="B384" s="45" t="s">
        <v>47</v>
      </c>
      <c r="C384" s="45">
        <v>19</v>
      </c>
      <c r="D384" s="45" t="s">
        <v>34</v>
      </c>
      <c r="E384" s="45">
        <v>1</v>
      </c>
      <c r="F384" s="45" t="s">
        <v>75</v>
      </c>
      <c r="G384" s="46">
        <v>38</v>
      </c>
      <c r="H384" s="45">
        <v>40</v>
      </c>
      <c r="I384" s="46">
        <f>VLOOKUP(C384,[1]M0112B!$A$1:$Z$67,24,TRUE)+(G384/100)</f>
        <v>101.88</v>
      </c>
      <c r="J384" s="46">
        <f t="shared" ref="J384:J447" si="16">I384+0.02</f>
        <v>101.89999999999999</v>
      </c>
      <c r="K384" s="52" t="s">
        <v>223</v>
      </c>
      <c r="L384" s="49" t="s">
        <v>77</v>
      </c>
      <c r="M384" s="47">
        <f t="shared" si="15"/>
        <v>3.1999999999999886</v>
      </c>
    </row>
    <row r="385" spans="1:13" x14ac:dyDescent="0.3">
      <c r="A385" s="1" t="s">
        <v>60</v>
      </c>
      <c r="B385" s="1" t="s">
        <v>47</v>
      </c>
      <c r="C385" s="1">
        <v>20</v>
      </c>
      <c r="D385" s="1" t="s">
        <v>34</v>
      </c>
      <c r="E385" s="1">
        <v>1</v>
      </c>
      <c r="F385" s="1" t="s">
        <v>75</v>
      </c>
      <c r="G385">
        <v>15</v>
      </c>
      <c r="H385" s="1">
        <v>17</v>
      </c>
      <c r="I385">
        <f>VLOOKUP(C385,[1]M0112B!$A$1:$Z$67,24,TRUE)+(G385/100)</f>
        <v>103.57000000000001</v>
      </c>
      <c r="J385">
        <f t="shared" si="16"/>
        <v>103.59</v>
      </c>
      <c r="K385" t="s">
        <v>316</v>
      </c>
      <c r="L385" s="53" t="s">
        <v>317</v>
      </c>
      <c r="M385" s="41">
        <f t="shared" si="15"/>
        <v>1.6900000000000119</v>
      </c>
    </row>
    <row r="386" spans="1:13" x14ac:dyDescent="0.3">
      <c r="A386" s="1" t="s">
        <v>60</v>
      </c>
      <c r="B386" s="1" t="s">
        <v>47</v>
      </c>
      <c r="C386" s="1">
        <v>21</v>
      </c>
      <c r="D386" s="1" t="s">
        <v>34</v>
      </c>
      <c r="E386" s="1">
        <v>1</v>
      </c>
      <c r="F386" s="1" t="s">
        <v>75</v>
      </c>
      <c r="G386">
        <v>18</v>
      </c>
      <c r="H386" s="1">
        <v>20</v>
      </c>
      <c r="I386">
        <f>VLOOKUP(C386,[1]M0112B!$A$1:$Z$67,24,TRUE)+(G386/100)</f>
        <v>105</v>
      </c>
      <c r="J386">
        <f t="shared" si="16"/>
        <v>105.02</v>
      </c>
      <c r="K386" t="s">
        <v>318</v>
      </c>
      <c r="L386" s="39" t="s">
        <v>236</v>
      </c>
      <c r="M386" s="41">
        <f t="shared" si="15"/>
        <v>1.4299999999999926</v>
      </c>
    </row>
    <row r="387" spans="1:13" x14ac:dyDescent="0.3">
      <c r="A387" s="1" t="s">
        <v>60</v>
      </c>
      <c r="B387" s="1" t="s">
        <v>47</v>
      </c>
      <c r="C387" s="1">
        <v>22</v>
      </c>
      <c r="D387" s="1" t="s">
        <v>34</v>
      </c>
      <c r="E387" s="1">
        <v>1</v>
      </c>
      <c r="F387" s="1" t="s">
        <v>75</v>
      </c>
      <c r="G387">
        <v>8</v>
      </c>
      <c r="H387" s="1">
        <v>10</v>
      </c>
      <c r="I387">
        <f>VLOOKUP(C387,[1]M0112B!$A$1:$Z$67,24,TRUE)+(G387/100)</f>
        <v>107.89999999999999</v>
      </c>
      <c r="J387">
        <f t="shared" si="16"/>
        <v>107.91999999999999</v>
      </c>
      <c r="K387" t="s">
        <v>80</v>
      </c>
      <c r="L387" s="53" t="s">
        <v>319</v>
      </c>
      <c r="M387" s="41">
        <f t="shared" si="15"/>
        <v>2.8999999999999915</v>
      </c>
    </row>
    <row r="388" spans="1:13" x14ac:dyDescent="0.3">
      <c r="A388" s="45" t="s">
        <v>60</v>
      </c>
      <c r="B388" s="45" t="s">
        <v>47</v>
      </c>
      <c r="C388" s="45">
        <v>24</v>
      </c>
      <c r="D388" s="45" t="s">
        <v>34</v>
      </c>
      <c r="E388" s="45">
        <v>1</v>
      </c>
      <c r="F388" s="45" t="s">
        <v>75</v>
      </c>
      <c r="G388" s="46">
        <v>38</v>
      </c>
      <c r="H388" s="45">
        <v>40</v>
      </c>
      <c r="I388" s="46">
        <f>VLOOKUP(C388,[1]M0112B!$A$1:$Z$67,24,TRUE)+(G388/100)</f>
        <v>110.6</v>
      </c>
      <c r="J388" s="46">
        <f t="shared" si="16"/>
        <v>110.61999999999999</v>
      </c>
      <c r="K388" s="52" t="s">
        <v>223</v>
      </c>
      <c r="L388" s="49" t="s">
        <v>77</v>
      </c>
      <c r="M388" s="54">
        <f t="shared" si="15"/>
        <v>2.7000000000000028</v>
      </c>
    </row>
    <row r="389" spans="1:13" x14ac:dyDescent="0.3">
      <c r="A389" s="45" t="s">
        <v>60</v>
      </c>
      <c r="B389" s="45" t="s">
        <v>47</v>
      </c>
      <c r="C389" s="45">
        <v>27</v>
      </c>
      <c r="D389" s="45" t="s">
        <v>34</v>
      </c>
      <c r="E389" s="45">
        <v>1</v>
      </c>
      <c r="F389" s="45" t="s">
        <v>75</v>
      </c>
      <c r="G389" s="46">
        <v>38</v>
      </c>
      <c r="H389" s="45">
        <v>40</v>
      </c>
      <c r="I389" s="46">
        <f>VLOOKUP(C389,[1]M0112B!$A$1:$Z$67,24,TRUE)+(G389/100)</f>
        <v>138.38</v>
      </c>
      <c r="J389" s="46">
        <f t="shared" si="16"/>
        <v>138.4</v>
      </c>
      <c r="K389" s="52" t="s">
        <v>223</v>
      </c>
      <c r="L389" s="49" t="s">
        <v>77</v>
      </c>
      <c r="M389" s="47"/>
    </row>
    <row r="390" spans="1:13" x14ac:dyDescent="0.3">
      <c r="A390" s="45" t="s">
        <v>60</v>
      </c>
      <c r="B390" s="45" t="s">
        <v>47</v>
      </c>
      <c r="C390" s="45">
        <v>28</v>
      </c>
      <c r="D390" s="45" t="s">
        <v>34</v>
      </c>
      <c r="E390" s="45">
        <v>1</v>
      </c>
      <c r="F390" s="45" t="s">
        <v>75</v>
      </c>
      <c r="G390" s="46">
        <v>38</v>
      </c>
      <c r="H390" s="45">
        <v>40</v>
      </c>
      <c r="I390" s="46">
        <f>VLOOKUP(C390,[1]M0112B!$A$1:$Z$67,24,TRUE)+(G390/100)</f>
        <v>141.38</v>
      </c>
      <c r="J390" s="46">
        <f t="shared" si="16"/>
        <v>141.4</v>
      </c>
      <c r="K390" s="52" t="s">
        <v>223</v>
      </c>
      <c r="L390" s="49" t="s">
        <v>77</v>
      </c>
      <c r="M390" s="47">
        <f t="shared" si="15"/>
        <v>3</v>
      </c>
    </row>
    <row r="391" spans="1:13" x14ac:dyDescent="0.3">
      <c r="A391" s="45" t="s">
        <v>60</v>
      </c>
      <c r="B391" s="45" t="s">
        <v>47</v>
      </c>
      <c r="C391" s="45">
        <v>29</v>
      </c>
      <c r="D391" s="45" t="s">
        <v>34</v>
      </c>
      <c r="E391" s="45">
        <v>1</v>
      </c>
      <c r="F391" s="45" t="s">
        <v>75</v>
      </c>
      <c r="G391" s="46">
        <v>38</v>
      </c>
      <c r="H391" s="45">
        <v>40</v>
      </c>
      <c r="I391" s="46">
        <f>VLOOKUP(C391,[1]M0112B!$A$1:$Z$67,24,TRUE)+(G391/100)</f>
        <v>144.38</v>
      </c>
      <c r="J391" s="46">
        <f t="shared" si="16"/>
        <v>144.4</v>
      </c>
      <c r="K391" s="52" t="s">
        <v>223</v>
      </c>
      <c r="L391" s="49" t="s">
        <v>77</v>
      </c>
      <c r="M391" s="47">
        <f t="shared" si="15"/>
        <v>3</v>
      </c>
    </row>
    <row r="392" spans="1:13" x14ac:dyDescent="0.3">
      <c r="A392" s="45" t="s">
        <v>60</v>
      </c>
      <c r="B392" s="45" t="s">
        <v>47</v>
      </c>
      <c r="C392" s="45">
        <v>30</v>
      </c>
      <c r="D392" s="45" t="s">
        <v>34</v>
      </c>
      <c r="E392" s="45">
        <v>1</v>
      </c>
      <c r="F392" s="45" t="s">
        <v>75</v>
      </c>
      <c r="G392" s="46">
        <v>38</v>
      </c>
      <c r="H392" s="45">
        <v>40</v>
      </c>
      <c r="I392" s="46">
        <f>VLOOKUP(C392,[1]M0112B!$A$1:$Z$67,24,TRUE)+(G392/100)</f>
        <v>147.38</v>
      </c>
      <c r="J392" s="46">
        <f t="shared" si="16"/>
        <v>147.4</v>
      </c>
      <c r="K392" s="52" t="s">
        <v>223</v>
      </c>
      <c r="L392" s="49" t="s">
        <v>77</v>
      </c>
      <c r="M392" s="47">
        <f t="shared" si="15"/>
        <v>3</v>
      </c>
    </row>
    <row r="393" spans="1:13" x14ac:dyDescent="0.3">
      <c r="A393" s="45" t="s">
        <v>60</v>
      </c>
      <c r="B393" s="45" t="s">
        <v>47</v>
      </c>
      <c r="C393" s="45">
        <v>31</v>
      </c>
      <c r="D393" s="45" t="s">
        <v>34</v>
      </c>
      <c r="E393" s="45">
        <v>1</v>
      </c>
      <c r="F393" s="45" t="s">
        <v>75</v>
      </c>
      <c r="G393" s="46">
        <v>38</v>
      </c>
      <c r="H393" s="45">
        <v>40</v>
      </c>
      <c r="I393" s="46">
        <f>VLOOKUP(C393,[1]M0112B!$A$1:$Z$67,24,TRUE)+(G393/100)</f>
        <v>149.75</v>
      </c>
      <c r="J393" s="46">
        <f t="shared" si="16"/>
        <v>149.77000000000001</v>
      </c>
      <c r="K393" s="52" t="s">
        <v>223</v>
      </c>
      <c r="L393" s="49" t="s">
        <v>77</v>
      </c>
      <c r="M393" s="47">
        <f t="shared" si="15"/>
        <v>2.3700000000000045</v>
      </c>
    </row>
    <row r="394" spans="1:13" x14ac:dyDescent="0.3">
      <c r="A394" s="1" t="s">
        <v>60</v>
      </c>
      <c r="B394" s="1" t="s">
        <v>47</v>
      </c>
      <c r="C394" s="1">
        <v>35</v>
      </c>
      <c r="D394" s="1" t="s">
        <v>34</v>
      </c>
      <c r="E394" s="1">
        <v>1</v>
      </c>
      <c r="F394" s="1" t="s">
        <v>75</v>
      </c>
      <c r="G394">
        <v>18</v>
      </c>
      <c r="H394" s="1">
        <v>20</v>
      </c>
      <c r="I394">
        <f>VLOOKUP(C394,[1]M0112B!$A$1:$Z$67,24,TRUE)+(G394/100)</f>
        <v>200.18</v>
      </c>
      <c r="J394">
        <f t="shared" si="16"/>
        <v>200.20000000000002</v>
      </c>
      <c r="K394" t="s">
        <v>153</v>
      </c>
      <c r="L394" s="39" t="s">
        <v>77</v>
      </c>
      <c r="M394" s="41"/>
    </row>
    <row r="395" spans="1:13" x14ac:dyDescent="0.3">
      <c r="A395" s="1" t="s">
        <v>60</v>
      </c>
      <c r="B395" s="1" t="s">
        <v>47</v>
      </c>
      <c r="C395" s="1">
        <v>36</v>
      </c>
      <c r="D395" s="1" t="s">
        <v>34</v>
      </c>
      <c r="E395" s="1">
        <v>1</v>
      </c>
      <c r="F395" s="1" t="s">
        <v>75</v>
      </c>
      <c r="G395">
        <v>8</v>
      </c>
      <c r="H395" s="1">
        <v>10</v>
      </c>
      <c r="I395">
        <f>VLOOKUP(C395,[1]M0112B!$A$1:$Z$67,24,TRUE)+(G395/100)</f>
        <v>201.9</v>
      </c>
      <c r="J395">
        <f t="shared" si="16"/>
        <v>201.92000000000002</v>
      </c>
      <c r="K395" t="s">
        <v>80</v>
      </c>
      <c r="L395" s="39" t="s">
        <v>236</v>
      </c>
      <c r="M395" s="41">
        <f t="shared" si="15"/>
        <v>1.7199999999999989</v>
      </c>
    </row>
    <row r="396" spans="1:13" x14ac:dyDescent="0.3">
      <c r="A396" s="1" t="s">
        <v>60</v>
      </c>
      <c r="B396" s="1" t="s">
        <v>47</v>
      </c>
      <c r="C396" s="1">
        <v>37</v>
      </c>
      <c r="D396" s="1" t="s">
        <v>34</v>
      </c>
      <c r="E396" s="1">
        <v>1</v>
      </c>
      <c r="F396" s="1" t="s">
        <v>75</v>
      </c>
      <c r="G396">
        <v>38</v>
      </c>
      <c r="H396" s="1">
        <v>40</v>
      </c>
      <c r="I396">
        <f>VLOOKUP(C396,[1]M0112B!$A$1:$Z$67,24,TRUE)+(G396/100)</f>
        <v>203.7</v>
      </c>
      <c r="J396">
        <f t="shared" si="16"/>
        <v>203.72</v>
      </c>
      <c r="K396" s="42" t="s">
        <v>245</v>
      </c>
      <c r="L396" s="39" t="s">
        <v>77</v>
      </c>
      <c r="M396" s="41">
        <f t="shared" si="15"/>
        <v>1.7999999999999829</v>
      </c>
    </row>
    <row r="397" spans="1:13" x14ac:dyDescent="0.3">
      <c r="A397" s="45" t="s">
        <v>60</v>
      </c>
      <c r="B397" s="45" t="s">
        <v>47</v>
      </c>
      <c r="C397" s="45">
        <v>39</v>
      </c>
      <c r="D397" s="45" t="s">
        <v>34</v>
      </c>
      <c r="E397" s="45">
        <v>1</v>
      </c>
      <c r="F397" s="45" t="s">
        <v>75</v>
      </c>
      <c r="G397" s="46">
        <v>38</v>
      </c>
      <c r="H397" s="45">
        <v>40</v>
      </c>
      <c r="I397" s="46">
        <f>VLOOKUP(C397,[1]M0112B!$A$1:$Z$67,24,TRUE)+(G397/100)</f>
        <v>230.7</v>
      </c>
      <c r="J397" s="46">
        <f t="shared" si="16"/>
        <v>230.72</v>
      </c>
      <c r="K397" s="46" t="s">
        <v>223</v>
      </c>
      <c r="L397" s="49" t="s">
        <v>77</v>
      </c>
      <c r="M397" s="47"/>
    </row>
    <row r="398" spans="1:13" x14ac:dyDescent="0.3">
      <c r="A398" s="45" t="s">
        <v>60</v>
      </c>
      <c r="B398" s="45" t="s">
        <v>47</v>
      </c>
      <c r="C398" s="45">
        <v>40</v>
      </c>
      <c r="D398" s="45" t="s">
        <v>34</v>
      </c>
      <c r="E398" s="45">
        <v>1</v>
      </c>
      <c r="F398" s="45" t="s">
        <v>75</v>
      </c>
      <c r="G398" s="46">
        <v>38</v>
      </c>
      <c r="H398" s="45">
        <v>40</v>
      </c>
      <c r="I398" s="46">
        <f>VLOOKUP(C398,[1]M0112B!$A$1:$Z$67,24,TRUE)+(G398/100)</f>
        <v>232.2</v>
      </c>
      <c r="J398" s="46">
        <f t="shared" si="16"/>
        <v>232.22</v>
      </c>
      <c r="K398" s="46" t="s">
        <v>223</v>
      </c>
      <c r="L398" s="49" t="s">
        <v>77</v>
      </c>
      <c r="M398" s="47">
        <f t="shared" si="15"/>
        <v>1.5</v>
      </c>
    </row>
    <row r="399" spans="1:13" x14ac:dyDescent="0.3">
      <c r="A399" s="45" t="s">
        <v>60</v>
      </c>
      <c r="B399" s="45" t="s">
        <v>47</v>
      </c>
      <c r="C399" s="45">
        <v>41</v>
      </c>
      <c r="D399" s="45" t="s">
        <v>34</v>
      </c>
      <c r="E399" s="45">
        <v>1</v>
      </c>
      <c r="F399" s="45" t="s">
        <v>75</v>
      </c>
      <c r="G399" s="46">
        <v>38</v>
      </c>
      <c r="H399" s="45">
        <v>40</v>
      </c>
      <c r="I399" s="46">
        <f>VLOOKUP(C399,[1]M0112B!$A$1:$Z$67,24,TRUE)+(G399/100)</f>
        <v>235.2</v>
      </c>
      <c r="J399" s="46">
        <f t="shared" si="16"/>
        <v>235.22</v>
      </c>
      <c r="K399" s="46" t="s">
        <v>223</v>
      </c>
      <c r="L399" s="49" t="s">
        <v>77</v>
      </c>
      <c r="M399" s="47">
        <f t="shared" si="15"/>
        <v>3</v>
      </c>
    </row>
    <row r="400" spans="1:13" x14ac:dyDescent="0.3">
      <c r="A400" s="45" t="s">
        <v>60</v>
      </c>
      <c r="B400" s="45" t="s">
        <v>47</v>
      </c>
      <c r="C400" s="45">
        <v>42</v>
      </c>
      <c r="D400" s="45" t="s">
        <v>34</v>
      </c>
      <c r="E400" s="45">
        <v>1</v>
      </c>
      <c r="F400" s="45" t="s">
        <v>75</v>
      </c>
      <c r="G400" s="46">
        <v>38</v>
      </c>
      <c r="H400" s="45">
        <v>40</v>
      </c>
      <c r="I400" s="46">
        <f>VLOOKUP(C400,[1]M0112B!$A$1:$Z$67,24,TRUE)+(G400/100)</f>
        <v>236.7</v>
      </c>
      <c r="J400" s="46">
        <f t="shared" si="16"/>
        <v>236.72</v>
      </c>
      <c r="K400" s="46" t="s">
        <v>223</v>
      </c>
      <c r="L400" s="49" t="s">
        <v>77</v>
      </c>
      <c r="M400" s="47">
        <f t="shared" si="15"/>
        <v>1.5</v>
      </c>
    </row>
    <row r="401" spans="1:13" x14ac:dyDescent="0.3">
      <c r="A401" s="45" t="s">
        <v>60</v>
      </c>
      <c r="B401" s="45" t="s">
        <v>47</v>
      </c>
      <c r="C401" s="45">
        <v>43</v>
      </c>
      <c r="D401" s="45" t="s">
        <v>34</v>
      </c>
      <c r="E401" s="45">
        <v>1</v>
      </c>
      <c r="F401" s="45" t="s">
        <v>75</v>
      </c>
      <c r="G401" s="46">
        <v>38</v>
      </c>
      <c r="H401" s="45">
        <v>40</v>
      </c>
      <c r="I401" s="46">
        <f>VLOOKUP(C401,[1]M0112B!$A$1:$Z$67,24,TRUE)+(G401/100)</f>
        <v>238.2</v>
      </c>
      <c r="J401" s="46">
        <f t="shared" si="16"/>
        <v>238.22</v>
      </c>
      <c r="K401" s="46" t="s">
        <v>223</v>
      </c>
      <c r="L401" s="49" t="s">
        <v>77</v>
      </c>
      <c r="M401" s="47">
        <f t="shared" si="15"/>
        <v>1.5</v>
      </c>
    </row>
    <row r="402" spans="1:13" x14ac:dyDescent="0.3">
      <c r="A402" s="1" t="s">
        <v>60</v>
      </c>
      <c r="B402" s="1" t="s">
        <v>47</v>
      </c>
      <c r="C402" s="1">
        <v>44</v>
      </c>
      <c r="D402" s="1" t="s">
        <v>34</v>
      </c>
      <c r="E402" s="1">
        <v>1</v>
      </c>
      <c r="F402" s="1" t="s">
        <v>75</v>
      </c>
      <c r="G402">
        <v>38</v>
      </c>
      <c r="H402" s="1">
        <v>40</v>
      </c>
      <c r="I402">
        <f>VLOOKUP(C402,[1]M0112B!$A$1:$Z$67,24,TRUE)+(G402/100)</f>
        <v>239.7</v>
      </c>
      <c r="J402">
        <f t="shared" si="16"/>
        <v>239.72</v>
      </c>
      <c r="K402" s="42" t="s">
        <v>320</v>
      </c>
      <c r="L402" s="39" t="s">
        <v>77</v>
      </c>
      <c r="M402" s="41">
        <f t="shared" si="15"/>
        <v>1.5</v>
      </c>
    </row>
    <row r="403" spans="1:13" x14ac:dyDescent="0.3">
      <c r="A403" s="1" t="s">
        <v>60</v>
      </c>
      <c r="B403" s="1" t="s">
        <v>47</v>
      </c>
      <c r="C403" s="1">
        <v>45</v>
      </c>
      <c r="D403" s="1" t="s">
        <v>34</v>
      </c>
      <c r="E403" s="1">
        <v>1</v>
      </c>
      <c r="F403" s="1" t="s">
        <v>75</v>
      </c>
      <c r="G403">
        <v>38</v>
      </c>
      <c r="H403" s="1">
        <v>40</v>
      </c>
      <c r="I403">
        <f>VLOOKUP(C403,[1]M0112B!$A$1:$Z$67,24,TRUE)+(G403/100)</f>
        <v>241.2</v>
      </c>
      <c r="J403">
        <f t="shared" si="16"/>
        <v>241.22</v>
      </c>
      <c r="K403" s="42" t="s">
        <v>320</v>
      </c>
      <c r="L403" s="39" t="s">
        <v>77</v>
      </c>
      <c r="M403" s="41">
        <f t="shared" si="15"/>
        <v>1.5</v>
      </c>
    </row>
    <row r="404" spans="1:13" x14ac:dyDescent="0.3">
      <c r="A404" s="45" t="s">
        <v>60</v>
      </c>
      <c r="B404" s="45" t="s">
        <v>47</v>
      </c>
      <c r="C404" s="45">
        <v>46</v>
      </c>
      <c r="D404" s="45" t="s">
        <v>34</v>
      </c>
      <c r="E404" s="45">
        <v>1</v>
      </c>
      <c r="F404" s="45" t="s">
        <v>75</v>
      </c>
      <c r="G404" s="46">
        <v>38</v>
      </c>
      <c r="H404" s="45">
        <v>40</v>
      </c>
      <c r="I404" s="46">
        <f>VLOOKUP(C404,[1]M0112B!$A$1:$Z$67,24,TRUE)+(G404/100)</f>
        <v>242.7</v>
      </c>
      <c r="J404" s="46">
        <f t="shared" si="16"/>
        <v>242.72</v>
      </c>
      <c r="K404" s="46" t="s">
        <v>321</v>
      </c>
      <c r="L404" s="49" t="s">
        <v>77</v>
      </c>
      <c r="M404" s="47">
        <f t="shared" si="15"/>
        <v>1.5</v>
      </c>
    </row>
    <row r="405" spans="1:13" x14ac:dyDescent="0.3">
      <c r="A405" s="1" t="s">
        <v>60</v>
      </c>
      <c r="B405" s="1" t="s">
        <v>47</v>
      </c>
      <c r="C405" s="1">
        <v>48</v>
      </c>
      <c r="D405" s="1" t="s">
        <v>34</v>
      </c>
      <c r="E405" s="1">
        <v>1</v>
      </c>
      <c r="F405" s="1" t="s">
        <v>75</v>
      </c>
      <c r="G405">
        <v>8</v>
      </c>
      <c r="H405" s="1">
        <v>10</v>
      </c>
      <c r="I405">
        <f>VLOOKUP(C405,[1]M0112B!$A$1:$Z$67,24,TRUE)+(G405/100)</f>
        <v>245.4</v>
      </c>
      <c r="J405">
        <f t="shared" si="16"/>
        <v>245.42000000000002</v>
      </c>
      <c r="K405" t="s">
        <v>322</v>
      </c>
      <c r="L405" s="39" t="s">
        <v>296</v>
      </c>
      <c r="M405" s="41">
        <f t="shared" si="15"/>
        <v>2.7000000000000171</v>
      </c>
    </row>
    <row r="406" spans="1:13" x14ac:dyDescent="0.3">
      <c r="A406" s="45" t="s">
        <v>60</v>
      </c>
      <c r="B406" s="45" t="s">
        <v>47</v>
      </c>
      <c r="C406" s="45">
        <v>49</v>
      </c>
      <c r="D406" s="45" t="s">
        <v>34</v>
      </c>
      <c r="E406" s="45">
        <v>1</v>
      </c>
      <c r="F406" s="45" t="s">
        <v>75</v>
      </c>
      <c r="G406" s="46">
        <v>38</v>
      </c>
      <c r="H406" s="45">
        <v>40</v>
      </c>
      <c r="I406" s="46">
        <f>VLOOKUP(C406,[1]M0112B!$A$1:$Z$67,24,TRUE)+(G406/100)</f>
        <v>247.2</v>
      </c>
      <c r="J406" s="46">
        <f t="shared" si="16"/>
        <v>247.22</v>
      </c>
      <c r="K406" s="46" t="s">
        <v>323</v>
      </c>
      <c r="L406" s="49" t="s">
        <v>77</v>
      </c>
      <c r="M406" s="47">
        <f t="shared" si="15"/>
        <v>1.7999999999999829</v>
      </c>
    </row>
    <row r="407" spans="1:13" x14ac:dyDescent="0.3">
      <c r="A407" s="1" t="s">
        <v>60</v>
      </c>
      <c r="B407" s="1" t="s">
        <v>47</v>
      </c>
      <c r="C407" s="1">
        <v>50</v>
      </c>
      <c r="D407" s="1" t="s">
        <v>34</v>
      </c>
      <c r="E407" s="1">
        <v>1</v>
      </c>
      <c r="F407" s="1" t="s">
        <v>75</v>
      </c>
      <c r="G407">
        <v>38</v>
      </c>
      <c r="H407" s="1">
        <v>40</v>
      </c>
      <c r="I407">
        <f>VLOOKUP(C407,[1]M0112B!$A$1:$Z$67,24,TRUE)+(G407/100)</f>
        <v>250.2</v>
      </c>
      <c r="J407">
        <f t="shared" si="16"/>
        <v>250.22</v>
      </c>
      <c r="K407" s="42" t="s">
        <v>80</v>
      </c>
      <c r="L407" s="39" t="s">
        <v>77</v>
      </c>
      <c r="M407" s="41">
        <f t="shared" si="15"/>
        <v>3</v>
      </c>
    </row>
    <row r="408" spans="1:13" x14ac:dyDescent="0.3">
      <c r="A408" s="1" t="s">
        <v>60</v>
      </c>
      <c r="B408" s="1" t="s">
        <v>47</v>
      </c>
      <c r="C408" s="1">
        <v>51</v>
      </c>
      <c r="D408" s="1" t="s">
        <v>34</v>
      </c>
      <c r="E408" s="1">
        <v>1</v>
      </c>
      <c r="F408" s="1" t="s">
        <v>75</v>
      </c>
      <c r="G408">
        <v>18</v>
      </c>
      <c r="H408" s="1">
        <v>20</v>
      </c>
      <c r="I408">
        <f>VLOOKUP(C408,[1]M0112B!$A$1:$Z$67,24,TRUE)+(G408/100)</f>
        <v>251</v>
      </c>
      <c r="J408">
        <f t="shared" si="16"/>
        <v>251.02</v>
      </c>
      <c r="K408" s="42" t="s">
        <v>80</v>
      </c>
      <c r="L408" s="39" t="s">
        <v>77</v>
      </c>
      <c r="M408" s="41">
        <f t="shared" si="15"/>
        <v>0.80000000000001137</v>
      </c>
    </row>
    <row r="409" spans="1:13" x14ac:dyDescent="0.3">
      <c r="A409" s="1" t="s">
        <v>60</v>
      </c>
      <c r="B409" s="1" t="s">
        <v>47</v>
      </c>
      <c r="C409" s="1">
        <v>52</v>
      </c>
      <c r="D409" s="1" t="s">
        <v>34</v>
      </c>
      <c r="E409" s="1">
        <v>1</v>
      </c>
      <c r="F409" s="1" t="s">
        <v>75</v>
      </c>
      <c r="G409">
        <v>8</v>
      </c>
      <c r="H409" s="1">
        <v>10</v>
      </c>
      <c r="I409">
        <f>VLOOKUP(C409,[1]M0112B!$A$1:$Z$67,24,TRUE)+(G409/100)</f>
        <v>252.9</v>
      </c>
      <c r="J409">
        <f t="shared" si="16"/>
        <v>252.92000000000002</v>
      </c>
      <c r="K409" t="s">
        <v>324</v>
      </c>
      <c r="L409" s="39" t="s">
        <v>82</v>
      </c>
      <c r="M409" s="41">
        <f t="shared" si="15"/>
        <v>1.9000000000000057</v>
      </c>
    </row>
    <row r="410" spans="1:13" x14ac:dyDescent="0.3">
      <c r="A410" s="1" t="s">
        <v>60</v>
      </c>
      <c r="B410" s="1" t="s">
        <v>47</v>
      </c>
      <c r="C410" s="1">
        <v>53</v>
      </c>
      <c r="D410" s="1" t="s">
        <v>34</v>
      </c>
      <c r="E410" s="1">
        <v>1</v>
      </c>
      <c r="F410" s="1" t="s">
        <v>75</v>
      </c>
      <c r="G410">
        <v>8</v>
      </c>
      <c r="H410" s="1">
        <v>10</v>
      </c>
      <c r="I410">
        <f>VLOOKUP(C410,[1]M0112B!$A$1:$Z$67,24,TRUE)+(G410/100)</f>
        <v>254.5</v>
      </c>
      <c r="J410">
        <f t="shared" si="16"/>
        <v>254.52</v>
      </c>
      <c r="K410" t="s">
        <v>80</v>
      </c>
      <c r="L410" s="39" t="s">
        <v>296</v>
      </c>
      <c r="M410" s="41">
        <f t="shared" si="15"/>
        <v>1.5999999999999943</v>
      </c>
    </row>
    <row r="411" spans="1:13" x14ac:dyDescent="0.3">
      <c r="A411" s="45" t="s">
        <v>60</v>
      </c>
      <c r="B411" s="45" t="s">
        <v>47</v>
      </c>
      <c r="C411" s="45">
        <v>56</v>
      </c>
      <c r="D411" s="45" t="s">
        <v>34</v>
      </c>
      <c r="E411" s="45">
        <v>1</v>
      </c>
      <c r="F411" s="45" t="s">
        <v>75</v>
      </c>
      <c r="G411" s="46">
        <v>38</v>
      </c>
      <c r="H411" s="45">
        <v>40</v>
      </c>
      <c r="I411" s="46">
        <f>VLOOKUP(C411,[1]M0112B!$A$1:$Z$67,24,TRUE)+(G411/100)</f>
        <v>322.2</v>
      </c>
      <c r="J411" s="46">
        <f t="shared" si="16"/>
        <v>322.21999999999997</v>
      </c>
      <c r="K411" s="46" t="s">
        <v>300</v>
      </c>
      <c r="L411" s="49" t="s">
        <v>77</v>
      </c>
      <c r="M411" s="47"/>
    </row>
    <row r="412" spans="1:13" x14ac:dyDescent="0.3">
      <c r="A412" s="45" t="s">
        <v>60</v>
      </c>
      <c r="B412" s="45" t="s">
        <v>47</v>
      </c>
      <c r="C412" s="45">
        <v>57</v>
      </c>
      <c r="D412" s="45" t="s">
        <v>34</v>
      </c>
      <c r="E412" s="45">
        <v>1</v>
      </c>
      <c r="F412" s="45" t="s">
        <v>75</v>
      </c>
      <c r="G412" s="46">
        <v>38</v>
      </c>
      <c r="H412" s="45">
        <v>40</v>
      </c>
      <c r="I412" s="46">
        <f>VLOOKUP(C412,[1]M0112B!$A$1:$Z$67,24,TRUE)+(G412/100)</f>
        <v>324</v>
      </c>
      <c r="J412" s="46">
        <f t="shared" si="16"/>
        <v>324.02</v>
      </c>
      <c r="K412" s="46" t="s">
        <v>300</v>
      </c>
      <c r="L412" s="49" t="s">
        <v>77</v>
      </c>
      <c r="M412" s="47">
        <f t="shared" si="15"/>
        <v>1.8000000000000114</v>
      </c>
    </row>
    <row r="413" spans="1:13" x14ac:dyDescent="0.3">
      <c r="A413" s="1" t="s">
        <v>60</v>
      </c>
      <c r="B413" s="1" t="s">
        <v>47</v>
      </c>
      <c r="C413" s="1">
        <v>58</v>
      </c>
      <c r="D413" s="1" t="s">
        <v>34</v>
      </c>
      <c r="E413" s="1">
        <v>1</v>
      </c>
      <c r="F413" s="1" t="s">
        <v>75</v>
      </c>
      <c r="G413">
        <v>38</v>
      </c>
      <c r="H413" s="1">
        <v>40</v>
      </c>
      <c r="I413">
        <f>VLOOKUP(C413,[1]M0112B!$A$1:$Z$67,24,TRUE)+(G413/100)</f>
        <v>325.2</v>
      </c>
      <c r="J413">
        <f t="shared" si="16"/>
        <v>325.21999999999997</v>
      </c>
      <c r="K413" t="s">
        <v>325</v>
      </c>
      <c r="L413" s="39" t="s">
        <v>77</v>
      </c>
      <c r="M413" s="41">
        <f t="shared" si="15"/>
        <v>1.1999999999999886</v>
      </c>
    </row>
    <row r="414" spans="1:13" x14ac:dyDescent="0.3">
      <c r="A414" s="1" t="s">
        <v>60</v>
      </c>
      <c r="B414" s="1" t="s">
        <v>47</v>
      </c>
      <c r="C414" s="1">
        <v>61</v>
      </c>
      <c r="D414" s="1" t="s">
        <v>34</v>
      </c>
      <c r="E414" s="1">
        <v>1</v>
      </c>
      <c r="F414" s="1" t="s">
        <v>75</v>
      </c>
      <c r="G414">
        <v>38</v>
      </c>
      <c r="H414" s="1">
        <v>40</v>
      </c>
      <c r="I414">
        <f>VLOOKUP(C414,[1]M0112B!$A$1:$Z$67,24,TRUE)+(G414/100)</f>
        <v>331.2</v>
      </c>
      <c r="J414">
        <f t="shared" si="16"/>
        <v>331.21999999999997</v>
      </c>
      <c r="K414" t="s">
        <v>326</v>
      </c>
      <c r="L414" s="39" t="s">
        <v>77</v>
      </c>
      <c r="M414" s="41">
        <f t="shared" si="15"/>
        <v>6</v>
      </c>
    </row>
    <row r="415" spans="1:13" x14ac:dyDescent="0.3">
      <c r="A415" s="1" t="s">
        <v>60</v>
      </c>
      <c r="B415" s="1" t="s">
        <v>47</v>
      </c>
      <c r="C415" s="1">
        <v>63</v>
      </c>
      <c r="D415" s="1" t="s">
        <v>34</v>
      </c>
      <c r="E415" s="1">
        <v>1</v>
      </c>
      <c r="F415" s="1" t="s">
        <v>75</v>
      </c>
      <c r="G415">
        <v>38</v>
      </c>
      <c r="H415" s="1">
        <v>40</v>
      </c>
      <c r="I415">
        <f>VLOOKUP(C415,[1]M0112B!$A$1:$Z$67,24,TRUE)+(G415/100)</f>
        <v>334.2</v>
      </c>
      <c r="J415">
        <f t="shared" si="16"/>
        <v>334.21999999999997</v>
      </c>
      <c r="K415" s="42" t="s">
        <v>80</v>
      </c>
      <c r="L415" s="39" t="s">
        <v>77</v>
      </c>
      <c r="M415" s="41">
        <f t="shared" si="15"/>
        <v>3</v>
      </c>
    </row>
    <row r="416" spans="1:13" x14ac:dyDescent="0.3">
      <c r="A416" s="1" t="s">
        <v>60</v>
      </c>
      <c r="B416" s="1" t="s">
        <v>47</v>
      </c>
      <c r="C416" s="1">
        <v>64</v>
      </c>
      <c r="D416" s="1" t="s">
        <v>34</v>
      </c>
      <c r="E416" s="1">
        <v>1</v>
      </c>
      <c r="F416" s="1" t="s">
        <v>75</v>
      </c>
      <c r="G416">
        <v>38</v>
      </c>
      <c r="H416" s="1">
        <v>40</v>
      </c>
      <c r="I416">
        <f>VLOOKUP(C416,[1]M0112B!$A$1:$Z$67,24,TRUE)+(G416/100)</f>
        <v>335.7</v>
      </c>
      <c r="J416">
        <f t="shared" si="16"/>
        <v>335.71999999999997</v>
      </c>
      <c r="K416" s="42" t="s">
        <v>80</v>
      </c>
      <c r="L416" s="39" t="s">
        <v>77</v>
      </c>
      <c r="M416" s="41">
        <f t="shared" si="15"/>
        <v>1.5</v>
      </c>
    </row>
    <row r="417" spans="1:13" x14ac:dyDescent="0.3">
      <c r="A417" s="1" t="s">
        <v>60</v>
      </c>
      <c r="B417" s="1" t="s">
        <v>47</v>
      </c>
      <c r="C417" s="1">
        <v>65</v>
      </c>
      <c r="D417" s="1" t="s">
        <v>34</v>
      </c>
      <c r="E417" s="1">
        <v>1</v>
      </c>
      <c r="F417" s="1" t="s">
        <v>75</v>
      </c>
      <c r="G417">
        <v>38</v>
      </c>
      <c r="H417" s="1">
        <v>40</v>
      </c>
      <c r="I417">
        <f>VLOOKUP(C417,[1]M0112B!$A$1:$Z$67,24,TRUE)+(G417/100)</f>
        <v>337.2</v>
      </c>
      <c r="J417">
        <f t="shared" si="16"/>
        <v>337.21999999999997</v>
      </c>
      <c r="K417" s="42" t="s">
        <v>80</v>
      </c>
      <c r="L417" s="39" t="s">
        <v>77</v>
      </c>
      <c r="M417" s="41">
        <f t="shared" si="15"/>
        <v>1.5</v>
      </c>
    </row>
    <row r="418" spans="1:13" x14ac:dyDescent="0.3">
      <c r="H418" s="1"/>
      <c r="L418" s="44"/>
      <c r="M418" s="44"/>
    </row>
    <row r="419" spans="1:13" x14ac:dyDescent="0.3">
      <c r="A419" s="1" t="s">
        <v>61</v>
      </c>
      <c r="B419" s="1" t="s">
        <v>31</v>
      </c>
      <c r="C419" s="1">
        <v>1</v>
      </c>
      <c r="D419" s="1" t="s">
        <v>57</v>
      </c>
      <c r="E419" s="1">
        <v>1</v>
      </c>
      <c r="F419" s="1" t="s">
        <v>75</v>
      </c>
      <c r="G419">
        <v>38</v>
      </c>
      <c r="H419" s="1">
        <v>40</v>
      </c>
      <c r="I419">
        <f>VLOOKUP(C419,[1]M0113A!$A$1:$Z$211,24,TRUE)+(G419/100)</f>
        <v>0.38</v>
      </c>
      <c r="J419">
        <f t="shared" si="16"/>
        <v>0.4</v>
      </c>
      <c r="K419" s="42" t="s">
        <v>327</v>
      </c>
      <c r="L419" s="39" t="s">
        <v>77</v>
      </c>
      <c r="M419" s="40" t="s">
        <v>78</v>
      </c>
    </row>
    <row r="420" spans="1:13" x14ac:dyDescent="0.3">
      <c r="A420" s="1" t="s">
        <v>61</v>
      </c>
      <c r="B420" s="1" t="s">
        <v>31</v>
      </c>
      <c r="C420" s="1">
        <v>2</v>
      </c>
      <c r="D420" s="1" t="s">
        <v>57</v>
      </c>
      <c r="E420" s="1">
        <v>1</v>
      </c>
      <c r="F420" s="1" t="s">
        <v>75</v>
      </c>
      <c r="G420">
        <v>38</v>
      </c>
      <c r="H420" s="1">
        <v>40</v>
      </c>
      <c r="I420">
        <f>VLOOKUP(C420,[1]M0113A!$A$1:$Z$211,24,TRUE)+(G420/100)</f>
        <v>3.28</v>
      </c>
      <c r="J420">
        <f t="shared" si="16"/>
        <v>3.3</v>
      </c>
      <c r="K420" s="42" t="s">
        <v>327</v>
      </c>
      <c r="L420" s="39" t="s">
        <v>77</v>
      </c>
      <c r="M420" s="41">
        <f t="shared" si="15"/>
        <v>2.9</v>
      </c>
    </row>
    <row r="421" spans="1:13" x14ac:dyDescent="0.3">
      <c r="A421" s="1" t="s">
        <v>61</v>
      </c>
      <c r="B421" s="1" t="s">
        <v>31</v>
      </c>
      <c r="C421" s="1">
        <v>3</v>
      </c>
      <c r="D421" s="1" t="s">
        <v>57</v>
      </c>
      <c r="E421" s="1">
        <v>1</v>
      </c>
      <c r="F421" s="1" t="s">
        <v>75</v>
      </c>
      <c r="G421">
        <v>38</v>
      </c>
      <c r="H421" s="1">
        <v>40</v>
      </c>
      <c r="I421">
        <f>VLOOKUP(C421,[1]M0113A!$A$1:$Z$211,24,TRUE)+(G421/100)</f>
        <v>5.68</v>
      </c>
      <c r="J421">
        <f t="shared" si="16"/>
        <v>5.6999999999999993</v>
      </c>
      <c r="K421" s="42" t="s">
        <v>327</v>
      </c>
      <c r="L421" s="39" t="s">
        <v>77</v>
      </c>
      <c r="M421" s="41">
        <f t="shared" si="15"/>
        <v>2.4</v>
      </c>
    </row>
    <row r="422" spans="1:13" x14ac:dyDescent="0.3">
      <c r="A422" s="1" t="s">
        <v>61</v>
      </c>
      <c r="B422" s="1" t="s">
        <v>31</v>
      </c>
      <c r="C422" s="1">
        <v>4</v>
      </c>
      <c r="D422" s="1" t="s">
        <v>57</v>
      </c>
      <c r="E422" s="1">
        <v>1</v>
      </c>
      <c r="F422" s="1" t="s">
        <v>75</v>
      </c>
      <c r="G422">
        <v>38</v>
      </c>
      <c r="H422" s="1">
        <v>40</v>
      </c>
      <c r="I422">
        <f>VLOOKUP(C422,[1]M0113A!$A$1:$Z$211,24,TRUE)+(G422/100)</f>
        <v>8.3800000000000008</v>
      </c>
      <c r="J422">
        <f t="shared" si="16"/>
        <v>8.4</v>
      </c>
      <c r="K422" s="42" t="s">
        <v>327</v>
      </c>
      <c r="L422" s="39" t="s">
        <v>77</v>
      </c>
      <c r="M422" s="41">
        <f t="shared" si="15"/>
        <v>2.7000000000000011</v>
      </c>
    </row>
    <row r="423" spans="1:13" x14ac:dyDescent="0.3">
      <c r="A423" s="1" t="s">
        <v>61</v>
      </c>
      <c r="B423" s="1" t="s">
        <v>31</v>
      </c>
      <c r="C423" s="1">
        <v>6</v>
      </c>
      <c r="D423" s="1" t="s">
        <v>57</v>
      </c>
      <c r="E423" s="1">
        <v>1</v>
      </c>
      <c r="F423" s="1" t="s">
        <v>75</v>
      </c>
      <c r="G423">
        <v>38</v>
      </c>
      <c r="H423" s="1">
        <v>40</v>
      </c>
      <c r="I423">
        <f>VLOOKUP(C423,[1]M0113A!$A$1:$Z$211,24,TRUE)+(G423/100)</f>
        <v>11.38</v>
      </c>
      <c r="J423">
        <f t="shared" si="16"/>
        <v>11.4</v>
      </c>
      <c r="K423" t="s">
        <v>276</v>
      </c>
      <c r="L423" s="39" t="s">
        <v>77</v>
      </c>
      <c r="M423" s="41">
        <f t="shared" si="15"/>
        <v>3</v>
      </c>
    </row>
    <row r="424" spans="1:13" x14ac:dyDescent="0.3">
      <c r="A424" s="1" t="s">
        <v>61</v>
      </c>
      <c r="B424" s="1" t="s">
        <v>31</v>
      </c>
      <c r="C424" s="1">
        <v>7</v>
      </c>
      <c r="D424" s="1" t="s">
        <v>57</v>
      </c>
      <c r="E424" s="1">
        <v>1</v>
      </c>
      <c r="F424" s="1" t="s">
        <v>75</v>
      </c>
      <c r="G424">
        <v>38</v>
      </c>
      <c r="H424" s="1">
        <v>40</v>
      </c>
      <c r="I424">
        <f>VLOOKUP(C424,[1]M0113A!$A$1:$Z$211,24,TRUE)+(G424/100)</f>
        <v>14.15</v>
      </c>
      <c r="J424">
        <f t="shared" si="16"/>
        <v>14.17</v>
      </c>
      <c r="K424" s="42" t="s">
        <v>328</v>
      </c>
      <c r="L424" s="39" t="s">
        <v>77</v>
      </c>
      <c r="M424" s="41">
        <f t="shared" si="15"/>
        <v>2.7699999999999996</v>
      </c>
    </row>
    <row r="425" spans="1:13" x14ac:dyDescent="0.3">
      <c r="A425" s="1" t="s">
        <v>61</v>
      </c>
      <c r="B425" s="1" t="s">
        <v>31</v>
      </c>
      <c r="C425" s="1">
        <v>8</v>
      </c>
      <c r="D425" s="1" t="s">
        <v>57</v>
      </c>
      <c r="E425" s="1">
        <v>1</v>
      </c>
      <c r="F425" s="1" t="s">
        <v>75</v>
      </c>
      <c r="G425">
        <v>38</v>
      </c>
      <c r="H425" s="1">
        <v>40</v>
      </c>
      <c r="I425">
        <f>VLOOKUP(C425,[1]M0113A!$A$1:$Z$211,24,TRUE)+(G425/100)</f>
        <v>16.260000000000002</v>
      </c>
      <c r="J425">
        <f t="shared" si="16"/>
        <v>16.28</v>
      </c>
      <c r="K425" s="42" t="s">
        <v>329</v>
      </c>
      <c r="L425" s="39" t="s">
        <v>77</v>
      </c>
      <c r="M425" s="41">
        <f t="shared" si="15"/>
        <v>2.1100000000000012</v>
      </c>
    </row>
    <row r="426" spans="1:13" x14ac:dyDescent="0.3">
      <c r="A426" s="1" t="s">
        <v>61</v>
      </c>
      <c r="B426" s="1" t="s">
        <v>31</v>
      </c>
      <c r="C426" s="1">
        <v>9</v>
      </c>
      <c r="D426" s="1" t="s">
        <v>57</v>
      </c>
      <c r="E426" s="1">
        <v>1</v>
      </c>
      <c r="F426" s="1" t="s">
        <v>75</v>
      </c>
      <c r="G426">
        <v>38</v>
      </c>
      <c r="H426" s="1">
        <v>40</v>
      </c>
      <c r="I426">
        <f>VLOOKUP(C426,[1]M0113A!$A$1:$Z$211,24,TRUE)+(G426/100)</f>
        <v>17.61</v>
      </c>
      <c r="J426">
        <f t="shared" si="16"/>
        <v>17.63</v>
      </c>
      <c r="K426" t="s">
        <v>330</v>
      </c>
      <c r="L426" s="39" t="s">
        <v>77</v>
      </c>
      <c r="M426" s="41">
        <f t="shared" si="15"/>
        <v>1.3499999999999979</v>
      </c>
    </row>
    <row r="427" spans="1:13" x14ac:dyDescent="0.3">
      <c r="A427" s="1" t="s">
        <v>61</v>
      </c>
      <c r="B427" s="1" t="s">
        <v>31</v>
      </c>
      <c r="C427" s="1">
        <v>10</v>
      </c>
      <c r="D427" s="1" t="s">
        <v>57</v>
      </c>
      <c r="E427" s="1">
        <v>1</v>
      </c>
      <c r="F427" s="1" t="s">
        <v>75</v>
      </c>
      <c r="G427">
        <v>38</v>
      </c>
      <c r="H427" s="1">
        <v>40</v>
      </c>
      <c r="I427">
        <f>VLOOKUP(C427,[1]M0113A!$A$1:$Z$211,24,TRUE)+(G427/100)</f>
        <v>19.57</v>
      </c>
      <c r="J427">
        <f t="shared" si="16"/>
        <v>19.59</v>
      </c>
      <c r="K427" s="42" t="s">
        <v>331</v>
      </c>
      <c r="L427" s="39" t="s">
        <v>77</v>
      </c>
      <c r="M427" s="41">
        <f t="shared" si="15"/>
        <v>1.9600000000000009</v>
      </c>
    </row>
    <row r="428" spans="1:13" x14ac:dyDescent="0.3">
      <c r="A428" s="1" t="s">
        <v>61</v>
      </c>
      <c r="B428" s="1" t="s">
        <v>31</v>
      </c>
      <c r="C428" s="1">
        <v>11</v>
      </c>
      <c r="D428" s="1" t="s">
        <v>57</v>
      </c>
      <c r="E428" s="1">
        <v>1</v>
      </c>
      <c r="F428" s="1" t="s">
        <v>75</v>
      </c>
      <c r="G428">
        <v>38</v>
      </c>
      <c r="H428" s="1">
        <v>40</v>
      </c>
      <c r="I428">
        <f>VLOOKUP(C428,[1]M0113A!$A$1:$Z$211,24,TRUE)+(G428/100)</f>
        <v>21.759999999999998</v>
      </c>
      <c r="J428">
        <f t="shared" si="16"/>
        <v>21.779999999999998</v>
      </c>
      <c r="K428" t="s">
        <v>332</v>
      </c>
      <c r="L428" s="39" t="s">
        <v>77</v>
      </c>
      <c r="M428" s="41">
        <f t="shared" si="15"/>
        <v>2.1899999999999977</v>
      </c>
    </row>
    <row r="429" spans="1:13" x14ac:dyDescent="0.3">
      <c r="A429" s="1" t="s">
        <v>61</v>
      </c>
      <c r="B429" s="1" t="s">
        <v>31</v>
      </c>
      <c r="C429" s="1">
        <v>12</v>
      </c>
      <c r="D429" s="1" t="s">
        <v>57</v>
      </c>
      <c r="E429" s="1">
        <v>1</v>
      </c>
      <c r="F429" s="1" t="s">
        <v>75</v>
      </c>
      <c r="G429">
        <v>38</v>
      </c>
      <c r="H429" s="1">
        <v>40</v>
      </c>
      <c r="I429">
        <f>VLOOKUP(C429,[1]M0113A!$A$1:$Z$211,24,TRUE)+(G429/100)</f>
        <v>22.89</v>
      </c>
      <c r="J429">
        <f t="shared" si="16"/>
        <v>22.91</v>
      </c>
      <c r="K429" s="42" t="s">
        <v>333</v>
      </c>
      <c r="L429" s="39" t="s">
        <v>77</v>
      </c>
      <c r="M429" s="41">
        <f t="shared" si="15"/>
        <v>1.1300000000000026</v>
      </c>
    </row>
    <row r="430" spans="1:13" x14ac:dyDescent="0.3">
      <c r="A430" s="1" t="s">
        <v>61</v>
      </c>
      <c r="B430" s="1" t="s">
        <v>31</v>
      </c>
      <c r="C430" s="1">
        <v>13</v>
      </c>
      <c r="D430" s="1" t="s">
        <v>57</v>
      </c>
      <c r="E430" s="1">
        <v>1</v>
      </c>
      <c r="F430" s="1" t="s">
        <v>75</v>
      </c>
      <c r="G430">
        <v>38</v>
      </c>
      <c r="H430" s="1">
        <v>40</v>
      </c>
      <c r="I430">
        <f>VLOOKUP(C430,[1]M0113A!$A$1:$Z$211,24,TRUE)+(G430/100)</f>
        <v>24.4</v>
      </c>
      <c r="J430">
        <f t="shared" si="16"/>
        <v>24.419999999999998</v>
      </c>
      <c r="K430" t="s">
        <v>334</v>
      </c>
      <c r="L430" s="39" t="s">
        <v>77</v>
      </c>
      <c r="M430" s="41">
        <f t="shared" si="15"/>
        <v>1.509999999999998</v>
      </c>
    </row>
    <row r="431" spans="1:13" x14ac:dyDescent="0.3">
      <c r="A431" s="1" t="s">
        <v>61</v>
      </c>
      <c r="B431" s="1" t="s">
        <v>31</v>
      </c>
      <c r="C431" s="1">
        <v>14</v>
      </c>
      <c r="D431" s="1" t="s">
        <v>57</v>
      </c>
      <c r="E431" s="1">
        <v>1</v>
      </c>
      <c r="F431" s="1" t="s">
        <v>75</v>
      </c>
      <c r="G431">
        <v>38</v>
      </c>
      <c r="H431" s="1">
        <v>40</v>
      </c>
      <c r="I431">
        <f>VLOOKUP(C431,[1]M0113A!$A$1:$Z$211,24,TRUE)+(G431/100)</f>
        <v>25.77</v>
      </c>
      <c r="J431">
        <f t="shared" si="16"/>
        <v>25.79</v>
      </c>
      <c r="K431" s="42" t="s">
        <v>335</v>
      </c>
      <c r="L431" s="39" t="s">
        <v>77</v>
      </c>
      <c r="M431" s="41">
        <f t="shared" si="15"/>
        <v>1.370000000000001</v>
      </c>
    </row>
    <row r="432" spans="1:13" x14ac:dyDescent="0.3">
      <c r="A432" s="45" t="s">
        <v>61</v>
      </c>
      <c r="B432" s="45" t="s">
        <v>31</v>
      </c>
      <c r="C432" s="45">
        <v>15</v>
      </c>
      <c r="D432" s="45" t="s">
        <v>57</v>
      </c>
      <c r="E432" s="45">
        <v>1</v>
      </c>
      <c r="F432" s="45" t="s">
        <v>75</v>
      </c>
      <c r="G432" s="46">
        <v>38</v>
      </c>
      <c r="H432" s="45">
        <v>40</v>
      </c>
      <c r="I432" s="46">
        <f>VLOOKUP(C432,[1]M0113A!$A$1:$Z$211,24,TRUE)+(G432/100)</f>
        <v>27.11</v>
      </c>
      <c r="J432" s="46">
        <f t="shared" si="16"/>
        <v>27.13</v>
      </c>
      <c r="K432" s="46" t="s">
        <v>266</v>
      </c>
      <c r="L432" s="49" t="s">
        <v>77</v>
      </c>
      <c r="M432" s="47">
        <f t="shared" si="15"/>
        <v>1.3399999999999999</v>
      </c>
    </row>
    <row r="433" spans="1:13" x14ac:dyDescent="0.3">
      <c r="A433" s="1" t="s">
        <v>61</v>
      </c>
      <c r="B433" s="1" t="s">
        <v>31</v>
      </c>
      <c r="C433" s="1">
        <v>16</v>
      </c>
      <c r="D433" s="1" t="s">
        <v>57</v>
      </c>
      <c r="E433" s="1">
        <v>1</v>
      </c>
      <c r="F433" s="1" t="s">
        <v>75</v>
      </c>
      <c r="G433">
        <v>38</v>
      </c>
      <c r="H433" s="1">
        <v>40</v>
      </c>
      <c r="I433">
        <f>VLOOKUP(C433,[1]M0113A!$A$1:$Z$211,24,TRUE)+(G433/100)</f>
        <v>29.119999999999997</v>
      </c>
      <c r="J433">
        <f t="shared" si="16"/>
        <v>29.139999999999997</v>
      </c>
      <c r="K433" t="s">
        <v>336</v>
      </c>
      <c r="L433" s="39" t="s">
        <v>77</v>
      </c>
      <c r="M433" s="41">
        <f t="shared" si="15"/>
        <v>2.009999999999998</v>
      </c>
    </row>
    <row r="434" spans="1:13" x14ac:dyDescent="0.3">
      <c r="A434" s="1" t="s">
        <v>61</v>
      </c>
      <c r="B434" s="1" t="s">
        <v>31</v>
      </c>
      <c r="C434" s="1">
        <v>17</v>
      </c>
      <c r="D434" s="1" t="s">
        <v>57</v>
      </c>
      <c r="E434" s="1">
        <v>1</v>
      </c>
      <c r="F434" s="1" t="s">
        <v>75</v>
      </c>
      <c r="G434">
        <v>38</v>
      </c>
      <c r="H434" s="1">
        <v>40</v>
      </c>
      <c r="I434">
        <f>VLOOKUP(C434,[1]M0113A!$A$1:$Z$211,24,TRUE)+(G434/100)</f>
        <v>31.529999999999998</v>
      </c>
      <c r="J434">
        <f t="shared" si="16"/>
        <v>31.549999999999997</v>
      </c>
      <c r="K434" t="s">
        <v>337</v>
      </c>
      <c r="L434" s="39" t="s">
        <v>77</v>
      </c>
      <c r="M434" s="41">
        <f t="shared" ref="M434:M497" si="17">I434-I433</f>
        <v>2.41</v>
      </c>
    </row>
    <row r="435" spans="1:13" x14ac:dyDescent="0.3">
      <c r="A435" s="1" t="s">
        <v>61</v>
      </c>
      <c r="B435" s="1" t="s">
        <v>31</v>
      </c>
      <c r="C435" s="1">
        <v>18</v>
      </c>
      <c r="D435" s="1" t="s">
        <v>57</v>
      </c>
      <c r="E435" s="1">
        <v>1</v>
      </c>
      <c r="F435" s="1" t="s">
        <v>75</v>
      </c>
      <c r="G435">
        <v>38</v>
      </c>
      <c r="H435" s="1">
        <v>40</v>
      </c>
      <c r="I435">
        <f>VLOOKUP(C435,[1]M0113A!$A$1:$Z$211,24,TRUE)+(G435/100)</f>
        <v>33.410000000000004</v>
      </c>
      <c r="J435">
        <f t="shared" si="16"/>
        <v>33.430000000000007</v>
      </c>
      <c r="K435" s="42" t="s">
        <v>337</v>
      </c>
      <c r="L435" s="39" t="s">
        <v>77</v>
      </c>
      <c r="M435" s="41">
        <f t="shared" si="17"/>
        <v>1.8800000000000061</v>
      </c>
    </row>
    <row r="436" spans="1:13" x14ac:dyDescent="0.3">
      <c r="A436" s="1" t="s">
        <v>61</v>
      </c>
      <c r="B436" s="1" t="s">
        <v>31</v>
      </c>
      <c r="C436" s="1">
        <v>19</v>
      </c>
      <c r="D436" s="1" t="s">
        <v>57</v>
      </c>
      <c r="E436" s="1">
        <v>1</v>
      </c>
      <c r="F436" s="1" t="s">
        <v>75</v>
      </c>
      <c r="G436">
        <v>28</v>
      </c>
      <c r="H436" s="1">
        <v>30</v>
      </c>
      <c r="I436">
        <f>VLOOKUP(C436,[1]M0113A!$A$1:$Z$211,24,TRUE)+(G436/100)</f>
        <v>35.64</v>
      </c>
      <c r="J436">
        <f t="shared" si="16"/>
        <v>35.660000000000004</v>
      </c>
      <c r="K436" t="s">
        <v>338</v>
      </c>
      <c r="L436" s="39" t="s">
        <v>77</v>
      </c>
      <c r="M436" s="41">
        <f t="shared" si="17"/>
        <v>2.2299999999999969</v>
      </c>
    </row>
    <row r="437" spans="1:13" x14ac:dyDescent="0.3">
      <c r="A437" s="1" t="s">
        <v>61</v>
      </c>
      <c r="B437" s="1" t="s">
        <v>31</v>
      </c>
      <c r="C437" s="1">
        <v>20</v>
      </c>
      <c r="D437" s="1" t="s">
        <v>57</v>
      </c>
      <c r="E437" s="1">
        <v>1</v>
      </c>
      <c r="F437" s="1" t="s">
        <v>75</v>
      </c>
      <c r="G437">
        <v>38</v>
      </c>
      <c r="H437" s="1">
        <v>40</v>
      </c>
      <c r="I437">
        <f>VLOOKUP(C437,[1]M0113A!$A$1:$Z$211,24,TRUE)+(G437/100)</f>
        <v>37.010000000000005</v>
      </c>
      <c r="J437">
        <f t="shared" si="16"/>
        <v>37.030000000000008</v>
      </c>
      <c r="K437" t="s">
        <v>339</v>
      </c>
      <c r="L437" s="39" t="s">
        <v>77</v>
      </c>
      <c r="M437" s="41">
        <f t="shared" si="17"/>
        <v>1.3700000000000045</v>
      </c>
    </row>
    <row r="438" spans="1:13" x14ac:dyDescent="0.3">
      <c r="A438" s="1" t="s">
        <v>61</v>
      </c>
      <c r="B438" s="1" t="s">
        <v>31</v>
      </c>
      <c r="C438" s="1">
        <v>21</v>
      </c>
      <c r="D438" s="1" t="s">
        <v>57</v>
      </c>
      <c r="E438" s="1">
        <v>1</v>
      </c>
      <c r="F438" s="1" t="s">
        <v>75</v>
      </c>
      <c r="G438">
        <v>38</v>
      </c>
      <c r="H438" s="1">
        <v>40</v>
      </c>
      <c r="I438">
        <f>VLOOKUP(C438,[1]M0113A!$A$1:$Z$211,24,TRUE)+(G438/100)</f>
        <v>38.75</v>
      </c>
      <c r="J438">
        <f t="shared" si="16"/>
        <v>38.770000000000003</v>
      </c>
      <c r="K438" t="s">
        <v>340</v>
      </c>
      <c r="L438" s="39" t="s">
        <v>77</v>
      </c>
      <c r="M438" s="41">
        <f t="shared" si="17"/>
        <v>1.7399999999999949</v>
      </c>
    </row>
    <row r="439" spans="1:13" x14ac:dyDescent="0.3">
      <c r="A439" s="1" t="s">
        <v>61</v>
      </c>
      <c r="B439" s="1" t="s">
        <v>31</v>
      </c>
      <c r="C439" s="1">
        <v>22</v>
      </c>
      <c r="D439" s="1" t="s">
        <v>57</v>
      </c>
      <c r="E439" s="1">
        <v>1</v>
      </c>
      <c r="F439" s="1" t="s">
        <v>75</v>
      </c>
      <c r="G439">
        <v>8</v>
      </c>
      <c r="H439" s="1">
        <v>10</v>
      </c>
      <c r="I439">
        <f>VLOOKUP(C439,[1]M0113A!$A$1:$Z$211,24,TRUE)+(G439/100)</f>
        <v>40.379999999999995</v>
      </c>
      <c r="J439">
        <f t="shared" si="16"/>
        <v>40.4</v>
      </c>
      <c r="K439" s="42" t="s">
        <v>341</v>
      </c>
      <c r="L439" s="39" t="s">
        <v>296</v>
      </c>
      <c r="M439" s="41">
        <f t="shared" si="17"/>
        <v>1.6299999999999955</v>
      </c>
    </row>
    <row r="440" spans="1:13" x14ac:dyDescent="0.3">
      <c r="A440" s="1" t="s">
        <v>61</v>
      </c>
      <c r="B440" s="1" t="s">
        <v>31</v>
      </c>
      <c r="C440" s="1">
        <v>23</v>
      </c>
      <c r="D440" s="1" t="s">
        <v>57</v>
      </c>
      <c r="E440" s="1">
        <v>1</v>
      </c>
      <c r="F440" s="1" t="s">
        <v>75</v>
      </c>
      <c r="G440">
        <v>38</v>
      </c>
      <c r="H440" s="1">
        <v>40</v>
      </c>
      <c r="I440">
        <f>VLOOKUP(C440,[1]M0113A!$A$1:$Z$211,24,TRUE)+(G440/100)</f>
        <v>40.81</v>
      </c>
      <c r="J440">
        <f t="shared" si="16"/>
        <v>40.830000000000005</v>
      </c>
      <c r="K440" s="42" t="s">
        <v>341</v>
      </c>
      <c r="L440" s="39" t="s">
        <v>77</v>
      </c>
      <c r="M440" s="41">
        <f t="shared" si="17"/>
        <v>0.43000000000000682</v>
      </c>
    </row>
    <row r="441" spans="1:13" x14ac:dyDescent="0.3">
      <c r="A441" s="1" t="s">
        <v>61</v>
      </c>
      <c r="B441" s="1" t="s">
        <v>31</v>
      </c>
      <c r="C441" s="1">
        <v>25</v>
      </c>
      <c r="D441" s="1" t="s">
        <v>57</v>
      </c>
      <c r="E441" s="1">
        <v>1</v>
      </c>
      <c r="F441" s="1" t="s">
        <v>75</v>
      </c>
      <c r="G441">
        <v>38</v>
      </c>
      <c r="H441" s="1">
        <v>40</v>
      </c>
      <c r="I441">
        <f>VLOOKUP(C441,[1]M0113A!$A$1:$Z$211,24,TRUE)+(G441/100)</f>
        <v>42.95</v>
      </c>
      <c r="J441">
        <f t="shared" si="16"/>
        <v>42.970000000000006</v>
      </c>
      <c r="K441" s="42" t="s">
        <v>341</v>
      </c>
      <c r="L441" s="39" t="s">
        <v>77</v>
      </c>
      <c r="M441" s="41">
        <f t="shared" si="17"/>
        <v>2.1400000000000006</v>
      </c>
    </row>
    <row r="442" spans="1:13" x14ac:dyDescent="0.3">
      <c r="A442" s="1" t="s">
        <v>61</v>
      </c>
      <c r="B442" s="1" t="s">
        <v>31</v>
      </c>
      <c r="C442" s="1">
        <v>26</v>
      </c>
      <c r="D442" s="1" t="s">
        <v>57</v>
      </c>
      <c r="E442" s="1">
        <v>1</v>
      </c>
      <c r="F442" s="1" t="s">
        <v>75</v>
      </c>
      <c r="G442">
        <v>38</v>
      </c>
      <c r="H442" s="1">
        <v>40</v>
      </c>
      <c r="I442">
        <f>VLOOKUP(C442,[1]M0113A!$A$1:$Z$211,24,TRUE)+(G442/100)</f>
        <v>44.92</v>
      </c>
      <c r="J442">
        <f t="shared" si="16"/>
        <v>44.940000000000005</v>
      </c>
      <c r="K442" s="42" t="s">
        <v>341</v>
      </c>
      <c r="L442" s="39" t="s">
        <v>77</v>
      </c>
      <c r="M442" s="41">
        <f t="shared" si="17"/>
        <v>1.9699999999999989</v>
      </c>
    </row>
    <row r="443" spans="1:13" x14ac:dyDescent="0.3">
      <c r="A443" s="1" t="s">
        <v>61</v>
      </c>
      <c r="B443" s="1" t="s">
        <v>31</v>
      </c>
      <c r="C443" s="1">
        <v>27</v>
      </c>
      <c r="D443" s="1" t="s">
        <v>57</v>
      </c>
      <c r="E443" s="1">
        <v>1</v>
      </c>
      <c r="F443" s="1" t="s">
        <v>75</v>
      </c>
      <c r="G443">
        <v>38</v>
      </c>
      <c r="H443" s="1">
        <v>40</v>
      </c>
      <c r="I443">
        <f>VLOOKUP(C443,[1]M0113A!$A$1:$Z$211,24,TRUE)+(G443/100)</f>
        <v>46.86</v>
      </c>
      <c r="J443">
        <f t="shared" si="16"/>
        <v>46.88</v>
      </c>
      <c r="K443" s="42" t="s">
        <v>341</v>
      </c>
      <c r="L443" s="39" t="s">
        <v>77</v>
      </c>
      <c r="M443" s="41">
        <f t="shared" si="17"/>
        <v>1.9399999999999977</v>
      </c>
    </row>
    <row r="444" spans="1:13" x14ac:dyDescent="0.3">
      <c r="A444" s="1" t="s">
        <v>61</v>
      </c>
      <c r="B444" s="1" t="s">
        <v>31</v>
      </c>
      <c r="C444" s="1">
        <v>28</v>
      </c>
      <c r="D444" s="1" t="s">
        <v>57</v>
      </c>
      <c r="E444" s="1">
        <v>1</v>
      </c>
      <c r="F444" s="1" t="s">
        <v>75</v>
      </c>
      <c r="G444">
        <v>38</v>
      </c>
      <c r="H444" s="1">
        <v>40</v>
      </c>
      <c r="I444">
        <f>VLOOKUP(C444,[1]M0113A!$A$1:$Z$211,24,TRUE)+(G444/100)</f>
        <v>48.85</v>
      </c>
      <c r="J444">
        <f t="shared" si="16"/>
        <v>48.870000000000005</v>
      </c>
      <c r="K444" s="42" t="s">
        <v>341</v>
      </c>
      <c r="L444" s="39" t="s">
        <v>77</v>
      </c>
      <c r="M444" s="41">
        <f t="shared" si="17"/>
        <v>1.990000000000002</v>
      </c>
    </row>
    <row r="445" spans="1:13" x14ac:dyDescent="0.3">
      <c r="A445" s="1" t="s">
        <v>61</v>
      </c>
      <c r="B445" s="1" t="s">
        <v>31</v>
      </c>
      <c r="C445" s="1">
        <v>29</v>
      </c>
      <c r="D445" s="1" t="s">
        <v>57</v>
      </c>
      <c r="E445" s="1">
        <v>1</v>
      </c>
      <c r="F445" s="1" t="s">
        <v>75</v>
      </c>
      <c r="G445">
        <v>38</v>
      </c>
      <c r="H445" s="1">
        <v>40</v>
      </c>
      <c r="I445">
        <f>VLOOKUP(C445,[1]M0113A!$A$1:$Z$211,24,TRUE)+(G445/100)</f>
        <v>50.79</v>
      </c>
      <c r="J445">
        <f t="shared" si="16"/>
        <v>50.81</v>
      </c>
      <c r="K445" s="42" t="s">
        <v>341</v>
      </c>
      <c r="L445" s="39" t="s">
        <v>77</v>
      </c>
      <c r="M445" s="41">
        <f t="shared" si="17"/>
        <v>1.9399999999999977</v>
      </c>
    </row>
    <row r="446" spans="1:13" x14ac:dyDescent="0.3">
      <c r="A446" s="45" t="s">
        <v>61</v>
      </c>
      <c r="B446" s="45" t="s">
        <v>31</v>
      </c>
      <c r="C446" s="45">
        <v>30</v>
      </c>
      <c r="D446" s="45" t="s">
        <v>57</v>
      </c>
      <c r="E446" s="45">
        <v>1</v>
      </c>
      <c r="F446" s="45" t="s">
        <v>75</v>
      </c>
      <c r="G446" s="46">
        <v>38</v>
      </c>
      <c r="H446" s="45">
        <v>40</v>
      </c>
      <c r="I446" s="46">
        <f>VLOOKUP(C446,[1]M0113A!$A$1:$Z$211,24,TRUE)+(G446/100)</f>
        <v>52.29</v>
      </c>
      <c r="J446" s="46">
        <f t="shared" si="16"/>
        <v>52.31</v>
      </c>
      <c r="K446" s="46" t="s">
        <v>342</v>
      </c>
      <c r="L446" s="49" t="s">
        <v>77</v>
      </c>
      <c r="M446" s="47">
        <f t="shared" si="17"/>
        <v>1.5</v>
      </c>
    </row>
    <row r="447" spans="1:13" x14ac:dyDescent="0.3">
      <c r="A447" s="1" t="s">
        <v>61</v>
      </c>
      <c r="B447" s="1" t="s">
        <v>31</v>
      </c>
      <c r="C447" s="1">
        <v>31</v>
      </c>
      <c r="D447" s="1" t="s">
        <v>57</v>
      </c>
      <c r="E447" s="1">
        <v>1</v>
      </c>
      <c r="F447" s="1" t="s">
        <v>75</v>
      </c>
      <c r="G447">
        <v>38</v>
      </c>
      <c r="H447" s="1">
        <v>40</v>
      </c>
      <c r="I447">
        <f>VLOOKUP(C447,[1]M0113A!$A$1:$Z$211,24,TRUE)+(G447/100)</f>
        <v>54.27</v>
      </c>
      <c r="J447">
        <f t="shared" si="16"/>
        <v>54.290000000000006</v>
      </c>
      <c r="K447" s="42" t="s">
        <v>343</v>
      </c>
      <c r="L447" s="39" t="s">
        <v>77</v>
      </c>
      <c r="M447" s="41">
        <f t="shared" si="17"/>
        <v>1.980000000000004</v>
      </c>
    </row>
    <row r="448" spans="1:13" x14ac:dyDescent="0.3">
      <c r="A448" s="1" t="s">
        <v>61</v>
      </c>
      <c r="B448" s="1" t="s">
        <v>31</v>
      </c>
      <c r="C448" s="1">
        <v>32</v>
      </c>
      <c r="D448" s="1" t="s">
        <v>57</v>
      </c>
      <c r="E448" s="1">
        <v>1</v>
      </c>
      <c r="F448" s="1" t="s">
        <v>75</v>
      </c>
      <c r="G448">
        <v>38</v>
      </c>
      <c r="H448" s="1">
        <v>40</v>
      </c>
      <c r="I448">
        <f>VLOOKUP(C448,[1]M0113A!$A$1:$Z$211,24,TRUE)+(G448/100)</f>
        <v>55.400000000000006</v>
      </c>
      <c r="J448">
        <f t="shared" ref="J448:J511" si="18">I448+0.02</f>
        <v>55.420000000000009</v>
      </c>
      <c r="K448" s="42" t="s">
        <v>341</v>
      </c>
      <c r="L448" s="39" t="s">
        <v>77</v>
      </c>
      <c r="M448" s="41">
        <f t="shared" si="17"/>
        <v>1.1300000000000026</v>
      </c>
    </row>
    <row r="449" spans="1:13" x14ac:dyDescent="0.3">
      <c r="A449" s="1" t="s">
        <v>61</v>
      </c>
      <c r="B449" s="1" t="s">
        <v>31</v>
      </c>
      <c r="C449" s="1">
        <v>33</v>
      </c>
      <c r="D449" s="1" t="s">
        <v>57</v>
      </c>
      <c r="E449" s="1">
        <v>1</v>
      </c>
      <c r="F449" s="1" t="s">
        <v>75</v>
      </c>
      <c r="G449">
        <v>38</v>
      </c>
      <c r="H449" s="1">
        <v>40</v>
      </c>
      <c r="I449">
        <f>VLOOKUP(C449,[1]M0113A!$A$1:$Z$211,24,TRUE)+(G449/100)</f>
        <v>57.900000000000006</v>
      </c>
      <c r="J449">
        <f t="shared" si="18"/>
        <v>57.920000000000009</v>
      </c>
      <c r="K449" t="s">
        <v>344</v>
      </c>
      <c r="L449" s="39" t="s">
        <v>77</v>
      </c>
      <c r="M449" s="41">
        <f t="shared" si="17"/>
        <v>2.5</v>
      </c>
    </row>
    <row r="450" spans="1:13" x14ac:dyDescent="0.3">
      <c r="A450" s="1" t="s">
        <v>61</v>
      </c>
      <c r="B450" s="1" t="s">
        <v>31</v>
      </c>
      <c r="C450" s="1">
        <v>34</v>
      </c>
      <c r="D450" s="1" t="s">
        <v>57</v>
      </c>
      <c r="E450" s="1">
        <v>1</v>
      </c>
      <c r="F450" s="1" t="s">
        <v>75</v>
      </c>
      <c r="G450">
        <v>38</v>
      </c>
      <c r="H450" s="1">
        <v>40</v>
      </c>
      <c r="I450">
        <f>VLOOKUP(C450,[1]M0113A!$A$1:$Z$211,24,TRUE)+(G450/100)</f>
        <v>60.32</v>
      </c>
      <c r="J450">
        <f t="shared" si="18"/>
        <v>60.34</v>
      </c>
      <c r="K450" t="s">
        <v>345</v>
      </c>
      <c r="L450" s="39" t="s">
        <v>77</v>
      </c>
      <c r="M450" s="41">
        <f t="shared" si="17"/>
        <v>2.4199999999999946</v>
      </c>
    </row>
    <row r="451" spans="1:13" x14ac:dyDescent="0.3">
      <c r="A451" s="1" t="s">
        <v>61</v>
      </c>
      <c r="B451" s="1" t="s">
        <v>31</v>
      </c>
      <c r="C451" s="1">
        <v>35</v>
      </c>
      <c r="D451" s="1" t="s">
        <v>57</v>
      </c>
      <c r="E451" s="1">
        <v>1</v>
      </c>
      <c r="F451" s="1" t="s">
        <v>75</v>
      </c>
      <c r="G451">
        <v>38</v>
      </c>
      <c r="H451" s="1">
        <v>40</v>
      </c>
      <c r="I451">
        <f>VLOOKUP(C451,[1]M0113A!$A$1:$Z$211,24,TRUE)+(G451/100)</f>
        <v>62.120000000000005</v>
      </c>
      <c r="J451">
        <f t="shared" si="18"/>
        <v>62.140000000000008</v>
      </c>
      <c r="K451" t="s">
        <v>345</v>
      </c>
      <c r="L451" s="39" t="s">
        <v>77</v>
      </c>
      <c r="M451" s="41">
        <f t="shared" si="17"/>
        <v>1.8000000000000043</v>
      </c>
    </row>
    <row r="452" spans="1:13" x14ac:dyDescent="0.3">
      <c r="A452" s="1" t="s">
        <v>61</v>
      </c>
      <c r="B452" s="1" t="s">
        <v>31</v>
      </c>
      <c r="C452" s="1">
        <v>36</v>
      </c>
      <c r="D452" s="1" t="s">
        <v>57</v>
      </c>
      <c r="E452" s="1">
        <v>1</v>
      </c>
      <c r="F452" s="1" t="s">
        <v>75</v>
      </c>
      <c r="G452">
        <v>38</v>
      </c>
      <c r="H452" s="1">
        <v>40</v>
      </c>
      <c r="I452">
        <f>VLOOKUP(C452,[1]M0113A!$A$1:$Z$211,24,TRUE)+(G452/100)</f>
        <v>64.06</v>
      </c>
      <c r="J452">
        <f t="shared" si="18"/>
        <v>64.08</v>
      </c>
      <c r="K452" t="s">
        <v>346</v>
      </c>
      <c r="L452" s="39" t="s">
        <v>77</v>
      </c>
      <c r="M452" s="41">
        <f t="shared" si="17"/>
        <v>1.9399999999999977</v>
      </c>
    </row>
    <row r="453" spans="1:13" x14ac:dyDescent="0.3">
      <c r="A453" s="1" t="s">
        <v>61</v>
      </c>
      <c r="B453" s="1" t="s">
        <v>31</v>
      </c>
      <c r="C453" s="1">
        <v>37</v>
      </c>
      <c r="D453" s="1" t="s">
        <v>57</v>
      </c>
      <c r="E453" s="1">
        <v>1</v>
      </c>
      <c r="F453" s="1" t="s">
        <v>75</v>
      </c>
      <c r="G453">
        <v>38</v>
      </c>
      <c r="H453" s="1">
        <v>40</v>
      </c>
      <c r="I453">
        <f>VLOOKUP(C453,[1]M0113A!$A$1:$Z$211,24,TRUE)+(G453/100)</f>
        <v>65.819999999999993</v>
      </c>
      <c r="J453">
        <f t="shared" si="18"/>
        <v>65.839999999999989</v>
      </c>
      <c r="K453" t="s">
        <v>346</v>
      </c>
      <c r="L453" s="39" t="s">
        <v>77</v>
      </c>
      <c r="M453" s="41">
        <f t="shared" si="17"/>
        <v>1.7599999999999909</v>
      </c>
    </row>
    <row r="454" spans="1:13" x14ac:dyDescent="0.3">
      <c r="A454" s="45" t="s">
        <v>61</v>
      </c>
      <c r="B454" s="45" t="s">
        <v>31</v>
      </c>
      <c r="C454" s="45">
        <v>38</v>
      </c>
      <c r="D454" s="45" t="s">
        <v>57</v>
      </c>
      <c r="E454" s="45">
        <v>1</v>
      </c>
      <c r="F454" s="45" t="s">
        <v>75</v>
      </c>
      <c r="G454" s="46">
        <v>38</v>
      </c>
      <c r="H454" s="45">
        <v>40</v>
      </c>
      <c r="I454" s="46">
        <f>VLOOKUP(C454,[1]M0113A!$A$1:$Z$211,24,TRUE)+(G454/100)</f>
        <v>67.39</v>
      </c>
      <c r="J454" s="46">
        <f t="shared" si="18"/>
        <v>67.41</v>
      </c>
      <c r="K454" s="52" t="s">
        <v>276</v>
      </c>
      <c r="L454" s="49" t="s">
        <v>77</v>
      </c>
      <c r="M454" s="47">
        <f t="shared" si="17"/>
        <v>1.5700000000000074</v>
      </c>
    </row>
    <row r="455" spans="1:13" x14ac:dyDescent="0.3">
      <c r="A455" s="45" t="s">
        <v>61</v>
      </c>
      <c r="B455" s="45" t="s">
        <v>31</v>
      </c>
      <c r="C455" s="45">
        <v>39</v>
      </c>
      <c r="D455" s="45" t="s">
        <v>34</v>
      </c>
      <c r="E455" s="45">
        <v>1</v>
      </c>
      <c r="F455" s="45" t="s">
        <v>75</v>
      </c>
      <c r="G455" s="46">
        <v>38</v>
      </c>
      <c r="H455" s="45">
        <v>40</v>
      </c>
      <c r="I455" s="46">
        <f>VLOOKUP(C455,[1]M0113A!$A$1:$Z$211,24,TRUE)+(G455/100)</f>
        <v>68.649999999999991</v>
      </c>
      <c r="J455" s="46">
        <f t="shared" si="18"/>
        <v>68.669999999999987</v>
      </c>
      <c r="K455" s="52" t="s">
        <v>276</v>
      </c>
      <c r="L455" s="49" t="s">
        <v>77</v>
      </c>
      <c r="M455" s="47">
        <f t="shared" si="17"/>
        <v>1.2599999999999909</v>
      </c>
    </row>
    <row r="456" spans="1:13" x14ac:dyDescent="0.3">
      <c r="A456" s="1" t="s">
        <v>61</v>
      </c>
      <c r="B456" s="1" t="s">
        <v>31</v>
      </c>
      <c r="C456" s="1">
        <v>42</v>
      </c>
      <c r="D456" s="1" t="s">
        <v>57</v>
      </c>
      <c r="E456" s="1">
        <v>1</v>
      </c>
      <c r="F456" s="1" t="s">
        <v>75</v>
      </c>
      <c r="G456">
        <v>28</v>
      </c>
      <c r="H456" s="1">
        <v>30</v>
      </c>
      <c r="I456">
        <f>VLOOKUP(C456,[1]M0113A!$A$1:$Z$211,24,TRUE)+(G456/100)</f>
        <v>79.680000000000007</v>
      </c>
      <c r="J456">
        <f t="shared" si="18"/>
        <v>79.7</v>
      </c>
      <c r="K456" s="42" t="s">
        <v>345</v>
      </c>
      <c r="L456" s="39" t="s">
        <v>82</v>
      </c>
      <c r="M456" s="41">
        <f t="shared" si="17"/>
        <v>11.030000000000015</v>
      </c>
    </row>
    <row r="457" spans="1:13" x14ac:dyDescent="0.3">
      <c r="A457" s="45" t="s">
        <v>61</v>
      </c>
      <c r="B457" s="45" t="s">
        <v>31</v>
      </c>
      <c r="C457" s="45">
        <v>43</v>
      </c>
      <c r="D457" s="45" t="s">
        <v>57</v>
      </c>
      <c r="E457" s="45">
        <v>1</v>
      </c>
      <c r="F457" s="45" t="s">
        <v>75</v>
      </c>
      <c r="G457" s="46">
        <v>38</v>
      </c>
      <c r="H457" s="45">
        <v>40</v>
      </c>
      <c r="I457" s="46">
        <f>VLOOKUP(C457,[1]M0113A!$A$1:$Z$211,24,TRUE)+(G457/100)</f>
        <v>80.14</v>
      </c>
      <c r="J457" s="46">
        <f t="shared" si="18"/>
        <v>80.16</v>
      </c>
      <c r="K457" s="52" t="s">
        <v>340</v>
      </c>
      <c r="L457" s="49" t="s">
        <v>77</v>
      </c>
      <c r="M457" s="47">
        <f t="shared" si="17"/>
        <v>0.45999999999999375</v>
      </c>
    </row>
    <row r="458" spans="1:13" x14ac:dyDescent="0.3">
      <c r="A458" s="45" t="s">
        <v>61</v>
      </c>
      <c r="B458" s="45" t="s">
        <v>31</v>
      </c>
      <c r="C458" s="45">
        <v>44</v>
      </c>
      <c r="D458" s="45" t="s">
        <v>57</v>
      </c>
      <c r="E458" s="45">
        <v>1</v>
      </c>
      <c r="F458" s="45" t="s">
        <v>75</v>
      </c>
      <c r="G458" s="46">
        <v>38</v>
      </c>
      <c r="H458" s="45">
        <v>40</v>
      </c>
      <c r="I458" s="46">
        <f>VLOOKUP(C458,[1]M0113A!$A$1:$Z$211,24,TRUE)+(G458/100)</f>
        <v>81.459999999999994</v>
      </c>
      <c r="J458" s="46">
        <f t="shared" si="18"/>
        <v>81.47999999999999</v>
      </c>
      <c r="K458" s="52" t="s">
        <v>340</v>
      </c>
      <c r="L458" s="49" t="s">
        <v>77</v>
      </c>
      <c r="M458" s="47">
        <f t="shared" si="17"/>
        <v>1.3199999999999932</v>
      </c>
    </row>
    <row r="459" spans="1:13" x14ac:dyDescent="0.3">
      <c r="A459" s="45" t="s">
        <v>61</v>
      </c>
      <c r="B459" s="45" t="s">
        <v>31</v>
      </c>
      <c r="C459" s="45">
        <v>45</v>
      </c>
      <c r="D459" s="45" t="s">
        <v>34</v>
      </c>
      <c r="E459" s="45">
        <v>1</v>
      </c>
      <c r="F459" s="45" t="s">
        <v>75</v>
      </c>
      <c r="G459" s="46">
        <v>38</v>
      </c>
      <c r="H459" s="45">
        <v>40</v>
      </c>
      <c r="I459" s="46">
        <f>VLOOKUP(C459,[1]M0113A!$A$1:$Z$211,24,TRUE)+(G459/100)</f>
        <v>82.94</v>
      </c>
      <c r="J459" s="46">
        <f t="shared" si="18"/>
        <v>82.96</v>
      </c>
      <c r="K459" s="52" t="s">
        <v>340</v>
      </c>
      <c r="L459" s="49" t="s">
        <v>77</v>
      </c>
      <c r="M459" s="47">
        <f t="shared" si="17"/>
        <v>1.480000000000004</v>
      </c>
    </row>
    <row r="460" spans="1:13" x14ac:dyDescent="0.3">
      <c r="A460" s="45" t="s">
        <v>61</v>
      </c>
      <c r="B460" s="45" t="s">
        <v>31</v>
      </c>
      <c r="C460" s="45">
        <v>47</v>
      </c>
      <c r="D460" s="45" t="s">
        <v>57</v>
      </c>
      <c r="E460" s="45">
        <v>1</v>
      </c>
      <c r="F460" s="45" t="s">
        <v>75</v>
      </c>
      <c r="G460" s="46">
        <v>38</v>
      </c>
      <c r="H460" s="45">
        <v>40</v>
      </c>
      <c r="I460" s="46">
        <f>VLOOKUP(C460,[1]M0113A!$A$1:$Z$211,24,TRUE)+(G460/100)</f>
        <v>85.71</v>
      </c>
      <c r="J460" s="46">
        <f t="shared" si="18"/>
        <v>85.72999999999999</v>
      </c>
      <c r="K460" s="52" t="s">
        <v>284</v>
      </c>
      <c r="L460" s="49" t="s">
        <v>77</v>
      </c>
      <c r="M460" s="47">
        <f t="shared" si="17"/>
        <v>2.769999999999996</v>
      </c>
    </row>
    <row r="461" spans="1:13" x14ac:dyDescent="0.3">
      <c r="A461" s="45" t="s">
        <v>61</v>
      </c>
      <c r="B461" s="45" t="s">
        <v>31</v>
      </c>
      <c r="C461" s="45">
        <v>48</v>
      </c>
      <c r="D461" s="45" t="s">
        <v>57</v>
      </c>
      <c r="E461" s="45">
        <v>1</v>
      </c>
      <c r="F461" s="45" t="s">
        <v>75</v>
      </c>
      <c r="G461" s="46">
        <v>38</v>
      </c>
      <c r="H461" s="45">
        <v>40</v>
      </c>
      <c r="I461" s="46">
        <f>VLOOKUP(C461,[1]M0113A!$A$1:$Z$211,24,TRUE)+(G461/100)</f>
        <v>86.72</v>
      </c>
      <c r="J461" s="46">
        <f t="shared" si="18"/>
        <v>86.74</v>
      </c>
      <c r="K461" s="52" t="s">
        <v>284</v>
      </c>
      <c r="L461" s="49" t="s">
        <v>77</v>
      </c>
      <c r="M461" s="47">
        <f t="shared" si="17"/>
        <v>1.0100000000000051</v>
      </c>
    </row>
    <row r="462" spans="1:13" x14ac:dyDescent="0.3">
      <c r="A462" s="45" t="s">
        <v>61</v>
      </c>
      <c r="B462" s="45" t="s">
        <v>31</v>
      </c>
      <c r="C462" s="45">
        <v>49</v>
      </c>
      <c r="D462" s="45" t="s">
        <v>34</v>
      </c>
      <c r="E462" s="45">
        <v>1</v>
      </c>
      <c r="F462" s="45" t="s">
        <v>75</v>
      </c>
      <c r="G462" s="46">
        <v>38</v>
      </c>
      <c r="H462" s="45">
        <v>40</v>
      </c>
      <c r="I462" s="46">
        <f>VLOOKUP(C462,[1]M0113A!$A$1:$Z$211,24,TRUE)+(G462/100)</f>
        <v>87.649999999999991</v>
      </c>
      <c r="J462" s="46">
        <f t="shared" si="18"/>
        <v>87.669999999999987</v>
      </c>
      <c r="K462" s="52" t="s">
        <v>284</v>
      </c>
      <c r="L462" s="49" t="s">
        <v>77</v>
      </c>
      <c r="M462" s="47">
        <f t="shared" si="17"/>
        <v>0.92999999999999261</v>
      </c>
    </row>
    <row r="463" spans="1:13" x14ac:dyDescent="0.3">
      <c r="A463" s="45" t="s">
        <v>61</v>
      </c>
      <c r="B463" s="45" t="s">
        <v>31</v>
      </c>
      <c r="C463" s="45">
        <v>50</v>
      </c>
      <c r="D463" s="45" t="s">
        <v>34</v>
      </c>
      <c r="E463" s="45">
        <v>1</v>
      </c>
      <c r="F463" s="45" t="s">
        <v>75</v>
      </c>
      <c r="G463" s="46">
        <v>38</v>
      </c>
      <c r="H463" s="45">
        <v>40</v>
      </c>
      <c r="I463" s="46">
        <f>VLOOKUP(C463,[1]M0113A!$A$1:$Z$211,24,TRUE)+(G463/100)</f>
        <v>89.86999999999999</v>
      </c>
      <c r="J463" s="46">
        <f t="shared" si="18"/>
        <v>89.889999999999986</v>
      </c>
      <c r="K463" s="52" t="s">
        <v>284</v>
      </c>
      <c r="L463" s="49" t="s">
        <v>77</v>
      </c>
      <c r="M463" s="47">
        <f t="shared" si="17"/>
        <v>2.2199999999999989</v>
      </c>
    </row>
    <row r="464" spans="1:13" x14ac:dyDescent="0.3">
      <c r="A464" s="45" t="s">
        <v>61</v>
      </c>
      <c r="B464" s="45" t="s">
        <v>31</v>
      </c>
      <c r="C464" s="45">
        <v>51</v>
      </c>
      <c r="D464" s="45" t="s">
        <v>34</v>
      </c>
      <c r="E464" s="45">
        <v>1</v>
      </c>
      <c r="F464" s="45" t="s">
        <v>75</v>
      </c>
      <c r="G464" s="46">
        <v>38</v>
      </c>
      <c r="H464" s="45">
        <v>40</v>
      </c>
      <c r="I464" s="46">
        <f>VLOOKUP(C464,[1]M0113A!$A$1:$Z$211,24,TRUE)+(G464/100)</f>
        <v>91.36999999999999</v>
      </c>
      <c r="J464" s="46">
        <f t="shared" si="18"/>
        <v>91.389999999999986</v>
      </c>
      <c r="K464" s="52" t="s">
        <v>284</v>
      </c>
      <c r="L464" s="49" t="s">
        <v>77</v>
      </c>
      <c r="M464" s="47">
        <f t="shared" si="17"/>
        <v>1.5</v>
      </c>
    </row>
    <row r="465" spans="1:13" x14ac:dyDescent="0.3">
      <c r="A465" s="1" t="s">
        <v>61</v>
      </c>
      <c r="B465" s="1" t="s">
        <v>31</v>
      </c>
      <c r="C465" s="1">
        <v>53</v>
      </c>
      <c r="D465" s="1" t="s">
        <v>34</v>
      </c>
      <c r="E465" s="1">
        <v>1</v>
      </c>
      <c r="F465" s="1" t="s">
        <v>75</v>
      </c>
      <c r="G465">
        <v>38</v>
      </c>
      <c r="H465" s="1">
        <v>40</v>
      </c>
      <c r="I465">
        <f>VLOOKUP(C465,[1]M0113A!$A$1:$Z$211,24,TRUE)+(G465/100)</f>
        <v>94.36999999999999</v>
      </c>
      <c r="J465">
        <f t="shared" si="18"/>
        <v>94.389999999999986</v>
      </c>
      <c r="K465" s="42" t="s">
        <v>285</v>
      </c>
      <c r="L465" s="39" t="s">
        <v>77</v>
      </c>
      <c r="M465" s="41">
        <f t="shared" si="17"/>
        <v>3</v>
      </c>
    </row>
    <row r="466" spans="1:13" x14ac:dyDescent="0.3">
      <c r="A466" s="1" t="s">
        <v>61</v>
      </c>
      <c r="B466" s="1" t="s">
        <v>31</v>
      </c>
      <c r="C466" s="1">
        <v>54</v>
      </c>
      <c r="D466" s="1" t="s">
        <v>34</v>
      </c>
      <c r="E466" s="1">
        <v>1</v>
      </c>
      <c r="F466" s="1" t="s">
        <v>75</v>
      </c>
      <c r="G466">
        <v>38</v>
      </c>
      <c r="H466" s="1">
        <v>40</v>
      </c>
      <c r="I466">
        <f>VLOOKUP(C466,[1]M0113A!$A$1:$Z$211,24,TRUE)+(G466/100)</f>
        <v>95.86999999999999</v>
      </c>
      <c r="J466">
        <f t="shared" si="18"/>
        <v>95.889999999999986</v>
      </c>
      <c r="K466" t="s">
        <v>337</v>
      </c>
      <c r="L466" s="39" t="s">
        <v>77</v>
      </c>
      <c r="M466" s="41">
        <f t="shared" si="17"/>
        <v>1.5</v>
      </c>
    </row>
    <row r="467" spans="1:13" x14ac:dyDescent="0.3">
      <c r="A467" s="1" t="s">
        <v>61</v>
      </c>
      <c r="B467" s="1" t="s">
        <v>31</v>
      </c>
      <c r="C467" s="1">
        <v>55</v>
      </c>
      <c r="D467" s="1" t="s">
        <v>57</v>
      </c>
      <c r="E467" s="1">
        <v>1</v>
      </c>
      <c r="F467" s="1" t="s">
        <v>75</v>
      </c>
      <c r="G467">
        <v>38</v>
      </c>
      <c r="H467" s="1">
        <v>40</v>
      </c>
      <c r="I467">
        <f>VLOOKUP(C467,[1]M0113A!$A$1:$Z$211,24,TRUE)+(G467/100)</f>
        <v>97.36999999999999</v>
      </c>
      <c r="J467">
        <f t="shared" si="18"/>
        <v>97.389999999999986</v>
      </c>
      <c r="K467" s="42" t="s">
        <v>341</v>
      </c>
      <c r="L467" s="39" t="s">
        <v>77</v>
      </c>
      <c r="M467" s="41">
        <f t="shared" si="17"/>
        <v>1.5</v>
      </c>
    </row>
    <row r="468" spans="1:13" x14ac:dyDescent="0.3">
      <c r="A468" s="1" t="s">
        <v>61</v>
      </c>
      <c r="B468" s="1" t="s">
        <v>31</v>
      </c>
      <c r="C468" s="1">
        <v>56</v>
      </c>
      <c r="D468" s="1" t="s">
        <v>57</v>
      </c>
      <c r="E468" s="1">
        <v>1</v>
      </c>
      <c r="F468" s="1" t="s">
        <v>75</v>
      </c>
      <c r="G468">
        <v>38</v>
      </c>
      <c r="H468" s="1">
        <v>40</v>
      </c>
      <c r="I468">
        <f>VLOOKUP(C468,[1]M0113A!$A$1:$Z$211,24,TRUE)+(G468/100)</f>
        <v>99.36999999999999</v>
      </c>
      <c r="J468">
        <f t="shared" si="18"/>
        <v>99.389999999999986</v>
      </c>
      <c r="K468" s="42" t="s">
        <v>341</v>
      </c>
      <c r="L468" s="39" t="s">
        <v>77</v>
      </c>
      <c r="M468" s="41">
        <f t="shared" si="17"/>
        <v>2</v>
      </c>
    </row>
    <row r="469" spans="1:13" x14ac:dyDescent="0.3">
      <c r="A469" s="1" t="s">
        <v>61</v>
      </c>
      <c r="B469" s="1" t="s">
        <v>31</v>
      </c>
      <c r="C469" s="1">
        <v>57</v>
      </c>
      <c r="D469" s="1" t="s">
        <v>57</v>
      </c>
      <c r="E469" s="1">
        <v>1</v>
      </c>
      <c r="F469" s="1" t="s">
        <v>75</v>
      </c>
      <c r="G469">
        <v>38</v>
      </c>
      <c r="H469" s="1">
        <v>40</v>
      </c>
      <c r="I469">
        <f>VLOOKUP(C469,[1]M0113A!$A$1:$Z$211,24,TRUE)+(G469/100)</f>
        <v>101.78</v>
      </c>
      <c r="J469">
        <f t="shared" si="18"/>
        <v>101.8</v>
      </c>
      <c r="K469" t="s">
        <v>341</v>
      </c>
      <c r="L469" s="39" t="s">
        <v>77</v>
      </c>
      <c r="M469" s="41">
        <f t="shared" si="17"/>
        <v>2.4100000000000108</v>
      </c>
    </row>
    <row r="470" spans="1:13" x14ac:dyDescent="0.3">
      <c r="A470" s="1" t="s">
        <v>61</v>
      </c>
      <c r="B470" s="1" t="s">
        <v>31</v>
      </c>
      <c r="C470" s="1">
        <v>58</v>
      </c>
      <c r="D470" s="1" t="s">
        <v>57</v>
      </c>
      <c r="E470" s="1">
        <v>1</v>
      </c>
      <c r="F470" s="1" t="s">
        <v>75</v>
      </c>
      <c r="G470">
        <v>38</v>
      </c>
      <c r="H470" s="1">
        <v>40</v>
      </c>
      <c r="I470">
        <f>VLOOKUP(C470,[1]M0113A!$A$1:$Z$211,24,TRUE)+(G470/100)</f>
        <v>103.75999999999999</v>
      </c>
      <c r="J470">
        <f t="shared" si="18"/>
        <v>103.77999999999999</v>
      </c>
      <c r="K470" s="42" t="s">
        <v>341</v>
      </c>
      <c r="L470" s="39" t="s">
        <v>77</v>
      </c>
      <c r="M470" s="41">
        <f t="shared" si="17"/>
        <v>1.9799999999999898</v>
      </c>
    </row>
    <row r="471" spans="1:13" x14ac:dyDescent="0.3">
      <c r="A471" s="1" t="s">
        <v>61</v>
      </c>
      <c r="B471" s="1" t="s">
        <v>31</v>
      </c>
      <c r="C471" s="1">
        <v>59</v>
      </c>
      <c r="D471" s="1" t="s">
        <v>57</v>
      </c>
      <c r="E471" s="1">
        <v>1</v>
      </c>
      <c r="F471" s="1" t="s">
        <v>75</v>
      </c>
      <c r="G471">
        <v>38</v>
      </c>
      <c r="H471" s="1">
        <v>40</v>
      </c>
      <c r="I471">
        <f>VLOOKUP(C471,[1]M0113A!$A$1:$Z$211,24,TRUE)+(G471/100)</f>
        <v>104.6</v>
      </c>
      <c r="J471">
        <f t="shared" si="18"/>
        <v>104.61999999999999</v>
      </c>
      <c r="K471" s="42" t="s">
        <v>347</v>
      </c>
      <c r="L471" s="39" t="s">
        <v>77</v>
      </c>
      <c r="M471" s="41">
        <f t="shared" si="17"/>
        <v>0.84000000000000341</v>
      </c>
    </row>
    <row r="472" spans="1:13" x14ac:dyDescent="0.3">
      <c r="A472" s="1" t="s">
        <v>61</v>
      </c>
      <c r="B472" s="1" t="s">
        <v>31</v>
      </c>
      <c r="C472" s="1">
        <v>60</v>
      </c>
      <c r="D472" s="1" t="s">
        <v>57</v>
      </c>
      <c r="E472" s="1">
        <v>1</v>
      </c>
      <c r="F472" s="1" t="s">
        <v>75</v>
      </c>
      <c r="G472">
        <v>38</v>
      </c>
      <c r="H472" s="1">
        <v>40</v>
      </c>
      <c r="I472">
        <f>VLOOKUP(C472,[1]M0113A!$A$1:$Z$211,24,TRUE)+(G472/100)</f>
        <v>105.41</v>
      </c>
      <c r="J472">
        <f t="shared" si="18"/>
        <v>105.42999999999999</v>
      </c>
      <c r="K472" s="42" t="s">
        <v>347</v>
      </c>
      <c r="L472" s="39" t="s">
        <v>77</v>
      </c>
      <c r="M472" s="41">
        <f t="shared" si="17"/>
        <v>0.81000000000000227</v>
      </c>
    </row>
    <row r="473" spans="1:13" x14ac:dyDescent="0.3">
      <c r="A473" s="1" t="s">
        <v>61</v>
      </c>
      <c r="B473" s="1" t="s">
        <v>31</v>
      </c>
      <c r="C473" s="1">
        <v>62</v>
      </c>
      <c r="D473" s="1" t="s">
        <v>34</v>
      </c>
      <c r="E473" s="1">
        <v>1</v>
      </c>
      <c r="F473" s="1" t="s">
        <v>75</v>
      </c>
      <c r="G473">
        <v>38</v>
      </c>
      <c r="H473" s="1">
        <v>40</v>
      </c>
      <c r="I473">
        <f>VLOOKUP(C473,[1]M0113A!$A$1:$Z$211,24,TRUE)+(G473/100)</f>
        <v>107.86999999999999</v>
      </c>
      <c r="J473">
        <f t="shared" si="18"/>
        <v>107.88999999999999</v>
      </c>
      <c r="K473" s="42" t="s">
        <v>348</v>
      </c>
      <c r="L473" s="39" t="s">
        <v>77</v>
      </c>
      <c r="M473" s="41">
        <f t="shared" si="17"/>
        <v>2.4599999999999937</v>
      </c>
    </row>
    <row r="474" spans="1:13" x14ac:dyDescent="0.3">
      <c r="A474" s="45" t="s">
        <v>61</v>
      </c>
      <c r="B474" s="45" t="s">
        <v>31</v>
      </c>
      <c r="C474" s="45">
        <v>63</v>
      </c>
      <c r="D474" s="45" t="s">
        <v>57</v>
      </c>
      <c r="E474" s="45">
        <v>1</v>
      </c>
      <c r="F474" s="45" t="s">
        <v>75</v>
      </c>
      <c r="G474" s="46">
        <v>38</v>
      </c>
      <c r="H474" s="45">
        <v>40</v>
      </c>
      <c r="I474" s="46">
        <f>VLOOKUP(C474,[1]M0113A!$A$1:$Z$211,24,TRUE)+(G474/100)</f>
        <v>109.36999999999999</v>
      </c>
      <c r="J474" s="46">
        <f t="shared" si="18"/>
        <v>109.38999999999999</v>
      </c>
      <c r="K474" s="46" t="s">
        <v>266</v>
      </c>
      <c r="L474" s="49" t="s">
        <v>77</v>
      </c>
      <c r="M474" s="47">
        <f t="shared" si="17"/>
        <v>1.5</v>
      </c>
    </row>
    <row r="475" spans="1:13" x14ac:dyDescent="0.3">
      <c r="A475" s="45" t="s">
        <v>61</v>
      </c>
      <c r="B475" s="45" t="s">
        <v>31</v>
      </c>
      <c r="C475" s="45">
        <v>64</v>
      </c>
      <c r="D475" s="45" t="s">
        <v>57</v>
      </c>
      <c r="E475" s="45">
        <v>1</v>
      </c>
      <c r="F475" s="45" t="s">
        <v>75</v>
      </c>
      <c r="G475" s="46">
        <v>8</v>
      </c>
      <c r="H475" s="45">
        <v>10</v>
      </c>
      <c r="I475" s="46">
        <f>VLOOKUP(C475,[1]M0113A!$A$1:$Z$211,24,TRUE)+(G475/100)</f>
        <v>110.01</v>
      </c>
      <c r="J475" s="46">
        <f t="shared" si="18"/>
        <v>110.03</v>
      </c>
      <c r="K475" s="52" t="s">
        <v>276</v>
      </c>
      <c r="L475" s="49" t="s">
        <v>77</v>
      </c>
      <c r="M475" s="47">
        <f t="shared" si="17"/>
        <v>0.64000000000001478</v>
      </c>
    </row>
    <row r="476" spans="1:13" x14ac:dyDescent="0.3">
      <c r="A476" s="45" t="s">
        <v>61</v>
      </c>
      <c r="B476" s="45" t="s">
        <v>31</v>
      </c>
      <c r="C476" s="45">
        <v>65</v>
      </c>
      <c r="D476" s="45" t="s">
        <v>34</v>
      </c>
      <c r="E476" s="45">
        <v>1</v>
      </c>
      <c r="F476" s="45" t="s">
        <v>75</v>
      </c>
      <c r="G476" s="46">
        <v>38</v>
      </c>
      <c r="H476" s="45">
        <v>40</v>
      </c>
      <c r="I476" s="46">
        <f>VLOOKUP(C476,[1]M0113A!$A$1:$Z$211,24,TRUE)+(G476/100)</f>
        <v>110.31</v>
      </c>
      <c r="J476" s="46">
        <f t="shared" si="18"/>
        <v>110.33</v>
      </c>
      <c r="K476" s="46" t="s">
        <v>266</v>
      </c>
      <c r="L476" s="49" t="s">
        <v>77</v>
      </c>
      <c r="M476" s="47">
        <f t="shared" si="17"/>
        <v>0.29999999999999716</v>
      </c>
    </row>
    <row r="477" spans="1:13" x14ac:dyDescent="0.3">
      <c r="A477" s="1" t="s">
        <v>61</v>
      </c>
      <c r="B477" s="1" t="s">
        <v>31</v>
      </c>
      <c r="C477" s="1">
        <v>66</v>
      </c>
      <c r="D477" s="1" t="s">
        <v>34</v>
      </c>
      <c r="E477" s="1">
        <v>1</v>
      </c>
      <c r="F477" s="1" t="s">
        <v>75</v>
      </c>
      <c r="G477">
        <v>18</v>
      </c>
      <c r="H477" s="1">
        <v>20</v>
      </c>
      <c r="I477">
        <f>VLOOKUP(C477,[1]M0113A!$A$1:$Z$211,24,TRUE)+(G477/100)</f>
        <v>112.17</v>
      </c>
      <c r="J477">
        <f t="shared" si="18"/>
        <v>112.19</v>
      </c>
      <c r="K477" s="42" t="s">
        <v>337</v>
      </c>
      <c r="L477" s="39" t="s">
        <v>296</v>
      </c>
      <c r="M477" s="41">
        <f t="shared" si="17"/>
        <v>1.8599999999999994</v>
      </c>
    </row>
    <row r="478" spans="1:13" x14ac:dyDescent="0.3">
      <c r="A478" s="1" t="s">
        <v>61</v>
      </c>
      <c r="B478" s="1" t="s">
        <v>31</v>
      </c>
      <c r="C478" s="1">
        <v>67</v>
      </c>
      <c r="D478" s="1" t="s">
        <v>34</v>
      </c>
      <c r="E478" s="1">
        <v>1</v>
      </c>
      <c r="F478" s="1" t="s">
        <v>75</v>
      </c>
      <c r="G478">
        <v>38</v>
      </c>
      <c r="H478" s="1">
        <v>40</v>
      </c>
      <c r="I478">
        <f>VLOOKUP(C478,[1]M0113A!$A$1:$Z$211,24,TRUE)+(G478/100)</f>
        <v>113.86999999999999</v>
      </c>
      <c r="J478">
        <f t="shared" si="18"/>
        <v>113.88999999999999</v>
      </c>
      <c r="K478" t="s">
        <v>347</v>
      </c>
      <c r="L478" s="39" t="s">
        <v>77</v>
      </c>
      <c r="M478" s="41">
        <f t="shared" si="17"/>
        <v>1.6999999999999886</v>
      </c>
    </row>
    <row r="479" spans="1:13" x14ac:dyDescent="0.3">
      <c r="A479" s="45" t="s">
        <v>61</v>
      </c>
      <c r="B479" s="45" t="s">
        <v>31</v>
      </c>
      <c r="C479" s="45">
        <v>68</v>
      </c>
      <c r="D479" s="45" t="s">
        <v>34</v>
      </c>
      <c r="E479" s="45">
        <v>1</v>
      </c>
      <c r="F479" s="45" t="s">
        <v>75</v>
      </c>
      <c r="G479" s="46">
        <v>38</v>
      </c>
      <c r="H479" s="45">
        <v>40</v>
      </c>
      <c r="I479" s="46">
        <f>VLOOKUP(C479,[1]M0113A!$A$1:$Z$211,24,TRUE)+(G479/100)</f>
        <v>115.36999999999999</v>
      </c>
      <c r="J479" s="46">
        <f t="shared" si="18"/>
        <v>115.38999999999999</v>
      </c>
      <c r="K479" s="52" t="s">
        <v>266</v>
      </c>
      <c r="L479" s="49" t="s">
        <v>77</v>
      </c>
      <c r="M479" s="47">
        <f t="shared" si="17"/>
        <v>1.5</v>
      </c>
    </row>
    <row r="480" spans="1:13" x14ac:dyDescent="0.3">
      <c r="A480" s="45" t="s">
        <v>61</v>
      </c>
      <c r="B480" s="45" t="s">
        <v>31</v>
      </c>
      <c r="C480" s="45">
        <v>69</v>
      </c>
      <c r="D480" s="45" t="s">
        <v>34</v>
      </c>
      <c r="E480" s="45">
        <v>1</v>
      </c>
      <c r="F480" s="45" t="s">
        <v>75</v>
      </c>
      <c r="G480" s="46">
        <v>38</v>
      </c>
      <c r="H480" s="45">
        <v>40</v>
      </c>
      <c r="I480" s="46">
        <f>VLOOKUP(C480,[1]M0113A!$A$1:$Z$211,24,TRUE)+(G480/100)</f>
        <v>116.86999999999999</v>
      </c>
      <c r="J480" s="46">
        <f t="shared" si="18"/>
        <v>116.88999999999999</v>
      </c>
      <c r="K480" s="46" t="s">
        <v>266</v>
      </c>
      <c r="L480" s="49" t="s">
        <v>77</v>
      </c>
      <c r="M480" s="47">
        <f t="shared" si="17"/>
        <v>1.5</v>
      </c>
    </row>
    <row r="481" spans="1:13" x14ac:dyDescent="0.3">
      <c r="A481" s="45" t="s">
        <v>61</v>
      </c>
      <c r="B481" s="45" t="s">
        <v>31</v>
      </c>
      <c r="C481" s="45">
        <v>70</v>
      </c>
      <c r="D481" s="45" t="s">
        <v>34</v>
      </c>
      <c r="E481" s="45">
        <v>1</v>
      </c>
      <c r="F481" s="45" t="s">
        <v>75</v>
      </c>
      <c r="G481" s="46">
        <v>38</v>
      </c>
      <c r="H481" s="45">
        <v>40</v>
      </c>
      <c r="I481" s="46">
        <f>VLOOKUP(C481,[1]M0113A!$A$1:$Z$211,24,TRUE)+(G481/100)</f>
        <v>118.36999999999999</v>
      </c>
      <c r="J481" s="46">
        <f t="shared" si="18"/>
        <v>118.38999999999999</v>
      </c>
      <c r="K481" s="52" t="s">
        <v>266</v>
      </c>
      <c r="L481" s="49" t="s">
        <v>77</v>
      </c>
      <c r="M481" s="47">
        <f t="shared" si="17"/>
        <v>1.5</v>
      </c>
    </row>
    <row r="482" spans="1:13" x14ac:dyDescent="0.3">
      <c r="A482" s="45" t="s">
        <v>61</v>
      </c>
      <c r="B482" s="45" t="s">
        <v>31</v>
      </c>
      <c r="C482" s="45">
        <v>71</v>
      </c>
      <c r="D482" s="45" t="s">
        <v>34</v>
      </c>
      <c r="E482" s="45">
        <v>1</v>
      </c>
      <c r="F482" s="45" t="s">
        <v>75</v>
      </c>
      <c r="G482" s="46">
        <v>18</v>
      </c>
      <c r="H482" s="45">
        <v>20</v>
      </c>
      <c r="I482" s="46">
        <f>VLOOKUP(C482,[1]M0113A!$A$1:$Z$211,24,TRUE)+(G482/100)</f>
        <v>119.67</v>
      </c>
      <c r="J482" s="46">
        <f t="shared" si="18"/>
        <v>119.69</v>
      </c>
      <c r="K482" s="52" t="s">
        <v>266</v>
      </c>
      <c r="L482" s="49" t="s">
        <v>77</v>
      </c>
      <c r="M482" s="47">
        <f t="shared" si="17"/>
        <v>1.3000000000000114</v>
      </c>
    </row>
    <row r="483" spans="1:13" x14ac:dyDescent="0.3">
      <c r="A483" s="45" t="s">
        <v>61</v>
      </c>
      <c r="B483" s="45" t="s">
        <v>31</v>
      </c>
      <c r="C483" s="45">
        <v>72</v>
      </c>
      <c r="D483" s="45" t="s">
        <v>34</v>
      </c>
      <c r="E483" s="45">
        <v>1</v>
      </c>
      <c r="F483" s="45" t="s">
        <v>75</v>
      </c>
      <c r="G483" s="46">
        <v>38</v>
      </c>
      <c r="H483" s="45">
        <v>40</v>
      </c>
      <c r="I483" s="46">
        <f>VLOOKUP(C483,[1]M0113A!$A$1:$Z$211,24,TRUE)+(G483/100)</f>
        <v>121.36999999999999</v>
      </c>
      <c r="J483" s="46">
        <f t="shared" si="18"/>
        <v>121.38999999999999</v>
      </c>
      <c r="K483" s="52" t="s">
        <v>266</v>
      </c>
      <c r="L483" s="49" t="s">
        <v>77</v>
      </c>
      <c r="M483" s="47">
        <f t="shared" si="17"/>
        <v>1.6999999999999886</v>
      </c>
    </row>
    <row r="484" spans="1:13" x14ac:dyDescent="0.3">
      <c r="A484" s="45" t="s">
        <v>61</v>
      </c>
      <c r="B484" s="45" t="s">
        <v>31</v>
      </c>
      <c r="C484" s="45">
        <v>73</v>
      </c>
      <c r="D484" s="45" t="s">
        <v>34</v>
      </c>
      <c r="E484" s="45">
        <v>1</v>
      </c>
      <c r="F484" s="45" t="s">
        <v>75</v>
      </c>
      <c r="G484" s="46">
        <v>38</v>
      </c>
      <c r="H484" s="45">
        <v>40</v>
      </c>
      <c r="I484" s="46">
        <f>VLOOKUP(C484,[1]M0113A!$A$1:$Z$211,24,TRUE)+(G484/100)</f>
        <v>122.86999999999999</v>
      </c>
      <c r="J484" s="46">
        <f t="shared" si="18"/>
        <v>122.88999999999999</v>
      </c>
      <c r="K484" s="52" t="s">
        <v>266</v>
      </c>
      <c r="L484" s="49" t="s">
        <v>77</v>
      </c>
      <c r="M484" s="47">
        <f t="shared" si="17"/>
        <v>1.5</v>
      </c>
    </row>
    <row r="485" spans="1:13" x14ac:dyDescent="0.3">
      <c r="A485" s="45" t="s">
        <v>61</v>
      </c>
      <c r="B485" s="45" t="s">
        <v>31</v>
      </c>
      <c r="C485" s="45">
        <v>74</v>
      </c>
      <c r="D485" s="45" t="s">
        <v>34</v>
      </c>
      <c r="E485" s="45">
        <v>1</v>
      </c>
      <c r="F485" s="45" t="s">
        <v>75</v>
      </c>
      <c r="G485" s="46">
        <v>38</v>
      </c>
      <c r="H485" s="45">
        <v>40</v>
      </c>
      <c r="I485" s="46">
        <f>VLOOKUP(C485,[1]M0113A!$A$1:$Z$211,24,TRUE)+(G485/100)</f>
        <v>124.36999999999999</v>
      </c>
      <c r="J485" s="46">
        <f t="shared" si="18"/>
        <v>124.38999999999999</v>
      </c>
      <c r="K485" s="52" t="s">
        <v>266</v>
      </c>
      <c r="L485" s="49" t="s">
        <v>77</v>
      </c>
      <c r="M485" s="47">
        <f t="shared" si="17"/>
        <v>1.5</v>
      </c>
    </row>
    <row r="486" spans="1:13" x14ac:dyDescent="0.3">
      <c r="A486" s="45" t="s">
        <v>61</v>
      </c>
      <c r="B486" s="45" t="s">
        <v>31</v>
      </c>
      <c r="C486" s="45">
        <v>75</v>
      </c>
      <c r="D486" s="45" t="s">
        <v>34</v>
      </c>
      <c r="E486" s="45">
        <v>1</v>
      </c>
      <c r="F486" s="45" t="s">
        <v>75</v>
      </c>
      <c r="G486" s="46">
        <v>38</v>
      </c>
      <c r="H486" s="45">
        <v>40</v>
      </c>
      <c r="I486" s="46">
        <f>VLOOKUP(C486,[1]M0113A!$A$1:$Z$211,24,TRUE)+(G486/100)</f>
        <v>125.86999999999999</v>
      </c>
      <c r="J486" s="46">
        <f t="shared" si="18"/>
        <v>125.88999999999999</v>
      </c>
      <c r="K486" s="52" t="s">
        <v>266</v>
      </c>
      <c r="L486" s="49" t="s">
        <v>77</v>
      </c>
      <c r="M486" s="47">
        <f t="shared" si="17"/>
        <v>1.5</v>
      </c>
    </row>
    <row r="487" spans="1:13" x14ac:dyDescent="0.3">
      <c r="A487" s="1" t="s">
        <v>61</v>
      </c>
      <c r="B487" s="1" t="s">
        <v>31</v>
      </c>
      <c r="C487" s="1">
        <v>76</v>
      </c>
      <c r="D487" s="1" t="s">
        <v>34</v>
      </c>
      <c r="E487" s="1">
        <v>1</v>
      </c>
      <c r="F487" s="1" t="s">
        <v>75</v>
      </c>
      <c r="G487">
        <v>7</v>
      </c>
      <c r="H487" s="1">
        <v>9</v>
      </c>
      <c r="I487">
        <f>VLOOKUP(C487,[1]M0113A!$A$1:$Z$211,24,TRUE)+(G487/100)</f>
        <v>127.05999999999999</v>
      </c>
      <c r="J487">
        <f t="shared" si="18"/>
        <v>127.07999999999998</v>
      </c>
      <c r="K487" s="42" t="s">
        <v>349</v>
      </c>
      <c r="L487" s="39" t="s">
        <v>77</v>
      </c>
      <c r="M487" s="41">
        <f t="shared" si="17"/>
        <v>1.1899999999999977</v>
      </c>
    </row>
    <row r="488" spans="1:13" x14ac:dyDescent="0.3">
      <c r="A488" s="1" t="s">
        <v>61</v>
      </c>
      <c r="B488" s="1" t="s">
        <v>31</v>
      </c>
      <c r="C488" s="1">
        <v>77</v>
      </c>
      <c r="D488" s="1" t="s">
        <v>34</v>
      </c>
      <c r="E488" s="1">
        <v>1</v>
      </c>
      <c r="F488" s="1" t="s">
        <v>75</v>
      </c>
      <c r="G488">
        <v>8</v>
      </c>
      <c r="H488" s="1">
        <v>10</v>
      </c>
      <c r="I488">
        <f>VLOOKUP(C488,[1]M0113A!$A$1:$Z$211,24,TRUE)+(G488/100)</f>
        <v>128.57000000000002</v>
      </c>
      <c r="J488">
        <f t="shared" si="18"/>
        <v>128.59000000000003</v>
      </c>
      <c r="K488" t="s">
        <v>350</v>
      </c>
      <c r="L488" s="39" t="s">
        <v>77</v>
      </c>
      <c r="M488" s="41">
        <f t="shared" si="17"/>
        <v>1.5100000000000335</v>
      </c>
    </row>
    <row r="489" spans="1:13" x14ac:dyDescent="0.3">
      <c r="A489" s="1" t="s">
        <v>61</v>
      </c>
      <c r="B489" s="1" t="s">
        <v>31</v>
      </c>
      <c r="C489" s="1">
        <v>78</v>
      </c>
      <c r="D489" s="1" t="s">
        <v>57</v>
      </c>
      <c r="E489" s="1">
        <v>1</v>
      </c>
      <c r="F489" s="1" t="s">
        <v>75</v>
      </c>
      <c r="G489">
        <v>38</v>
      </c>
      <c r="H489" s="1">
        <v>40</v>
      </c>
      <c r="I489">
        <f>VLOOKUP(C489,[1]M0113A!$A$1:$Z$211,24,TRUE)+(G489/100)</f>
        <v>130.37</v>
      </c>
      <c r="J489">
        <f t="shared" si="18"/>
        <v>130.39000000000001</v>
      </c>
      <c r="K489" s="42" t="s">
        <v>337</v>
      </c>
      <c r="L489" s="39" t="s">
        <v>77</v>
      </c>
      <c r="M489" s="41">
        <f t="shared" si="17"/>
        <v>1.7999999999999829</v>
      </c>
    </row>
    <row r="490" spans="1:13" x14ac:dyDescent="0.3">
      <c r="A490" s="45" t="s">
        <v>61</v>
      </c>
      <c r="B490" s="45" t="s">
        <v>31</v>
      </c>
      <c r="C490" s="45">
        <v>80</v>
      </c>
      <c r="D490" s="45" t="s">
        <v>34</v>
      </c>
      <c r="E490" s="45">
        <v>1</v>
      </c>
      <c r="F490" s="45" t="s">
        <v>75</v>
      </c>
      <c r="G490" s="46">
        <v>38</v>
      </c>
      <c r="H490" s="45">
        <v>40</v>
      </c>
      <c r="I490" s="46">
        <f>VLOOKUP(C490,[1]M0113A!$A$1:$Z$211,24,TRUE)+(G490/100)</f>
        <v>132.66999999999999</v>
      </c>
      <c r="J490" s="46">
        <f t="shared" si="18"/>
        <v>132.69</v>
      </c>
      <c r="K490" s="52" t="s">
        <v>266</v>
      </c>
      <c r="L490" s="49" t="s">
        <v>77</v>
      </c>
      <c r="M490" s="47">
        <f t="shared" si="17"/>
        <v>2.2999999999999829</v>
      </c>
    </row>
    <row r="491" spans="1:13" x14ac:dyDescent="0.3">
      <c r="A491" s="45" t="s">
        <v>61</v>
      </c>
      <c r="B491" s="45" t="s">
        <v>31</v>
      </c>
      <c r="C491" s="45">
        <v>81</v>
      </c>
      <c r="D491" s="45" t="s">
        <v>34</v>
      </c>
      <c r="E491" s="45">
        <v>1</v>
      </c>
      <c r="F491" s="45" t="s">
        <v>75</v>
      </c>
      <c r="G491" s="46">
        <v>38</v>
      </c>
      <c r="H491" s="45">
        <v>40</v>
      </c>
      <c r="I491" s="46">
        <f>VLOOKUP(C491,[1]M0113A!$A$1:$Z$211,24,TRUE)+(G491/100)</f>
        <v>134.87</v>
      </c>
      <c r="J491" s="46">
        <f t="shared" si="18"/>
        <v>134.89000000000001</v>
      </c>
      <c r="K491" s="52" t="s">
        <v>266</v>
      </c>
      <c r="L491" s="49" t="s">
        <v>77</v>
      </c>
      <c r="M491" s="47">
        <f t="shared" si="17"/>
        <v>2.2000000000000171</v>
      </c>
    </row>
    <row r="492" spans="1:13" x14ac:dyDescent="0.3">
      <c r="A492" s="45" t="s">
        <v>61</v>
      </c>
      <c r="B492" s="45" t="s">
        <v>31</v>
      </c>
      <c r="C492" s="45">
        <v>82</v>
      </c>
      <c r="D492" s="45" t="s">
        <v>34</v>
      </c>
      <c r="E492" s="45">
        <v>1</v>
      </c>
      <c r="F492" s="45" t="s">
        <v>75</v>
      </c>
      <c r="G492" s="46">
        <v>38</v>
      </c>
      <c r="H492" s="45">
        <v>40</v>
      </c>
      <c r="I492" s="46">
        <f>VLOOKUP(C492,[1]M0113A!$A$1:$Z$211,24,TRUE)+(G492/100)</f>
        <v>136.37</v>
      </c>
      <c r="J492" s="46">
        <f t="shared" si="18"/>
        <v>136.39000000000001</v>
      </c>
      <c r="K492" s="52" t="s">
        <v>266</v>
      </c>
      <c r="L492" s="49" t="s">
        <v>77</v>
      </c>
      <c r="M492" s="47">
        <f t="shared" si="17"/>
        <v>1.5</v>
      </c>
    </row>
    <row r="493" spans="1:13" x14ac:dyDescent="0.3">
      <c r="A493" s="45" t="s">
        <v>61</v>
      </c>
      <c r="B493" s="45" t="s">
        <v>31</v>
      </c>
      <c r="C493" s="45">
        <v>83</v>
      </c>
      <c r="D493" s="45" t="s">
        <v>34</v>
      </c>
      <c r="E493" s="45">
        <v>1</v>
      </c>
      <c r="F493" s="45" t="s">
        <v>75</v>
      </c>
      <c r="G493" s="46">
        <v>38</v>
      </c>
      <c r="H493" s="45">
        <v>40</v>
      </c>
      <c r="I493" s="46">
        <f>VLOOKUP(C493,[1]M0113A!$A$1:$Z$211,24,TRUE)+(G493/100)</f>
        <v>137.87</v>
      </c>
      <c r="J493" s="46">
        <f t="shared" si="18"/>
        <v>137.89000000000001</v>
      </c>
      <c r="K493" s="52" t="s">
        <v>266</v>
      </c>
      <c r="L493" s="49" t="s">
        <v>77</v>
      </c>
      <c r="M493" s="47">
        <f t="shared" si="17"/>
        <v>1.5</v>
      </c>
    </row>
    <row r="494" spans="1:13" x14ac:dyDescent="0.3">
      <c r="A494" s="45" t="s">
        <v>61</v>
      </c>
      <c r="B494" s="45" t="s">
        <v>31</v>
      </c>
      <c r="C494" s="45">
        <v>84</v>
      </c>
      <c r="D494" s="45" t="s">
        <v>34</v>
      </c>
      <c r="E494" s="45">
        <v>1</v>
      </c>
      <c r="F494" s="45" t="s">
        <v>75</v>
      </c>
      <c r="G494" s="46">
        <v>38</v>
      </c>
      <c r="H494" s="45">
        <v>40</v>
      </c>
      <c r="I494" s="46">
        <f>VLOOKUP(C494,[1]M0113A!$A$1:$Z$211,24,TRUE)+(G494/100)</f>
        <v>139.37</v>
      </c>
      <c r="J494" s="46">
        <f t="shared" si="18"/>
        <v>139.39000000000001</v>
      </c>
      <c r="K494" s="46" t="s">
        <v>262</v>
      </c>
      <c r="L494" s="49" t="s">
        <v>77</v>
      </c>
      <c r="M494" s="47">
        <f t="shared" si="17"/>
        <v>1.5</v>
      </c>
    </row>
    <row r="495" spans="1:13" x14ac:dyDescent="0.3">
      <c r="A495" s="45" t="s">
        <v>61</v>
      </c>
      <c r="B495" s="45" t="s">
        <v>31</v>
      </c>
      <c r="C495" s="45">
        <v>85</v>
      </c>
      <c r="D495" s="45" t="s">
        <v>34</v>
      </c>
      <c r="E495" s="45">
        <v>1</v>
      </c>
      <c r="F495" s="45" t="s">
        <v>75</v>
      </c>
      <c r="G495" s="46">
        <v>38</v>
      </c>
      <c r="H495" s="45">
        <v>40</v>
      </c>
      <c r="I495" s="46">
        <f>VLOOKUP(C495,[1]M0113A!$A$1:$Z$211,24,TRUE)+(G495/100)</f>
        <v>140.87</v>
      </c>
      <c r="J495" s="46">
        <f t="shared" si="18"/>
        <v>140.89000000000001</v>
      </c>
      <c r="K495" s="46" t="s">
        <v>262</v>
      </c>
      <c r="L495" s="49" t="s">
        <v>77</v>
      </c>
      <c r="M495" s="47">
        <f t="shared" si="17"/>
        <v>1.5</v>
      </c>
    </row>
    <row r="496" spans="1:13" x14ac:dyDescent="0.3">
      <c r="A496" s="45" t="s">
        <v>61</v>
      </c>
      <c r="B496" s="45" t="s">
        <v>31</v>
      </c>
      <c r="C496" s="45">
        <v>86</v>
      </c>
      <c r="D496" s="45" t="s">
        <v>34</v>
      </c>
      <c r="E496" s="45">
        <v>1</v>
      </c>
      <c r="F496" s="45" t="s">
        <v>75</v>
      </c>
      <c r="G496" s="46">
        <v>38</v>
      </c>
      <c r="H496" s="45">
        <v>40</v>
      </c>
      <c r="I496" s="46">
        <f>VLOOKUP(C496,[1]M0113A!$A$1:$Z$211,24,TRUE)+(G496/100)</f>
        <v>143.87</v>
      </c>
      <c r="J496" s="46">
        <f t="shared" si="18"/>
        <v>143.89000000000001</v>
      </c>
      <c r="K496" s="46" t="s">
        <v>262</v>
      </c>
      <c r="L496" s="49" t="s">
        <v>77</v>
      </c>
      <c r="M496" s="47">
        <f t="shared" si="17"/>
        <v>3</v>
      </c>
    </row>
    <row r="497" spans="1:13" x14ac:dyDescent="0.3">
      <c r="A497" s="45" t="s">
        <v>61</v>
      </c>
      <c r="B497" s="45" t="s">
        <v>31</v>
      </c>
      <c r="C497" s="45">
        <v>87</v>
      </c>
      <c r="D497" s="45" t="s">
        <v>34</v>
      </c>
      <c r="E497" s="45">
        <v>1</v>
      </c>
      <c r="F497" s="45" t="s">
        <v>75</v>
      </c>
      <c r="G497" s="46">
        <v>38</v>
      </c>
      <c r="H497" s="45">
        <v>40</v>
      </c>
      <c r="I497" s="46">
        <f>VLOOKUP(C497,[1]M0113A!$A$1:$Z$211,24,TRUE)+(G497/100)</f>
        <v>146.87</v>
      </c>
      <c r="J497" s="46">
        <f t="shared" si="18"/>
        <v>146.89000000000001</v>
      </c>
      <c r="K497" s="46" t="s">
        <v>266</v>
      </c>
      <c r="L497" s="49" t="s">
        <v>77</v>
      </c>
      <c r="M497" s="47">
        <f t="shared" si="17"/>
        <v>3</v>
      </c>
    </row>
    <row r="498" spans="1:13" x14ac:dyDescent="0.3">
      <c r="A498" s="1" t="s">
        <v>61</v>
      </c>
      <c r="B498" s="1" t="s">
        <v>31</v>
      </c>
      <c r="C498" s="1">
        <v>88</v>
      </c>
      <c r="D498" s="1" t="s">
        <v>34</v>
      </c>
      <c r="E498" s="1">
        <v>1</v>
      </c>
      <c r="F498" s="1" t="s">
        <v>75</v>
      </c>
      <c r="G498">
        <v>38</v>
      </c>
      <c r="H498" s="1">
        <v>40</v>
      </c>
      <c r="I498">
        <f>VLOOKUP(C498,[1]M0113A!$A$1:$Z$211,24,TRUE)+(G498/100)</f>
        <v>148.87</v>
      </c>
      <c r="J498">
        <f t="shared" si="18"/>
        <v>148.89000000000001</v>
      </c>
      <c r="K498" s="42" t="s">
        <v>331</v>
      </c>
      <c r="L498" s="39" t="s">
        <v>77</v>
      </c>
      <c r="M498" s="41">
        <f t="shared" ref="M498:M561" si="19">I498-I497</f>
        <v>2</v>
      </c>
    </row>
    <row r="499" spans="1:13" x14ac:dyDescent="0.3">
      <c r="A499" s="45" t="s">
        <v>61</v>
      </c>
      <c r="B499" s="45" t="s">
        <v>31</v>
      </c>
      <c r="C499" s="45">
        <v>89</v>
      </c>
      <c r="D499" s="45" t="s">
        <v>34</v>
      </c>
      <c r="E499" s="45">
        <v>1</v>
      </c>
      <c r="F499" s="45" t="s">
        <v>75</v>
      </c>
      <c r="G499" s="46">
        <v>38</v>
      </c>
      <c r="H499" s="45">
        <v>40</v>
      </c>
      <c r="I499" s="46">
        <f>VLOOKUP(C499,[1]M0113A!$A$1:$Z$211,24,TRUE)+(G499/100)</f>
        <v>151.87</v>
      </c>
      <c r="J499" s="46">
        <f t="shared" si="18"/>
        <v>151.89000000000001</v>
      </c>
      <c r="K499" s="46" t="s">
        <v>266</v>
      </c>
      <c r="L499" s="49" t="s">
        <v>77</v>
      </c>
      <c r="M499" s="47">
        <f t="shared" si="19"/>
        <v>3</v>
      </c>
    </row>
    <row r="500" spans="1:13" x14ac:dyDescent="0.3">
      <c r="A500" s="45" t="s">
        <v>61</v>
      </c>
      <c r="B500" s="45" t="s">
        <v>31</v>
      </c>
      <c r="C500" s="45">
        <v>90</v>
      </c>
      <c r="D500" s="45" t="s">
        <v>34</v>
      </c>
      <c r="E500" s="45">
        <v>1</v>
      </c>
      <c r="F500" s="45" t="s">
        <v>75</v>
      </c>
      <c r="G500" s="46">
        <v>38</v>
      </c>
      <c r="H500" s="45">
        <v>40</v>
      </c>
      <c r="I500" s="46">
        <f>VLOOKUP(C500,[1]M0113A!$A$1:$Z$211,24,TRUE)+(G500/100)</f>
        <v>153.07</v>
      </c>
      <c r="J500" s="46">
        <f t="shared" si="18"/>
        <v>153.09</v>
      </c>
      <c r="K500" s="46" t="s">
        <v>266</v>
      </c>
      <c r="L500" s="49" t="s">
        <v>77</v>
      </c>
      <c r="M500" s="47">
        <f t="shared" si="19"/>
        <v>1.1999999999999886</v>
      </c>
    </row>
    <row r="501" spans="1:13" x14ac:dyDescent="0.3">
      <c r="A501" s="45" t="s">
        <v>61</v>
      </c>
      <c r="B501" s="45" t="s">
        <v>31</v>
      </c>
      <c r="C501" s="45">
        <v>91</v>
      </c>
      <c r="D501" s="45" t="s">
        <v>34</v>
      </c>
      <c r="E501" s="45">
        <v>1</v>
      </c>
      <c r="F501" s="45" t="s">
        <v>75</v>
      </c>
      <c r="G501" s="46">
        <v>28</v>
      </c>
      <c r="H501" s="45">
        <v>30</v>
      </c>
      <c r="I501" s="46">
        <f>VLOOKUP(C501,[1]M0113A!$A$1:$Z$211,24,TRUE)+(G501/100)</f>
        <v>155.77000000000001</v>
      </c>
      <c r="J501" s="46">
        <f t="shared" si="18"/>
        <v>155.79000000000002</v>
      </c>
      <c r="K501" s="46" t="s">
        <v>266</v>
      </c>
      <c r="L501" s="49" t="s">
        <v>77</v>
      </c>
      <c r="M501" s="47">
        <f t="shared" si="19"/>
        <v>2.7000000000000171</v>
      </c>
    </row>
    <row r="502" spans="1:13" x14ac:dyDescent="0.3">
      <c r="A502" s="45" t="s">
        <v>61</v>
      </c>
      <c r="B502" s="45" t="s">
        <v>31</v>
      </c>
      <c r="C502" s="45">
        <v>92</v>
      </c>
      <c r="D502" s="45" t="s">
        <v>34</v>
      </c>
      <c r="E502" s="45">
        <v>1</v>
      </c>
      <c r="F502" s="45" t="s">
        <v>75</v>
      </c>
      <c r="G502" s="46">
        <v>38</v>
      </c>
      <c r="H502" s="45">
        <v>40</v>
      </c>
      <c r="I502" s="46">
        <f>VLOOKUP(C502,[1]M0113A!$A$1:$Z$211,24,TRUE)+(G502/100)</f>
        <v>158.87</v>
      </c>
      <c r="J502" s="46">
        <f t="shared" si="18"/>
        <v>158.89000000000001</v>
      </c>
      <c r="K502" s="46" t="s">
        <v>266</v>
      </c>
      <c r="L502" s="49" t="s">
        <v>77</v>
      </c>
      <c r="M502" s="47">
        <f t="shared" si="19"/>
        <v>3.0999999999999943</v>
      </c>
    </row>
    <row r="503" spans="1:13" x14ac:dyDescent="0.3">
      <c r="A503" s="45" t="s">
        <v>61</v>
      </c>
      <c r="B503" s="45" t="s">
        <v>31</v>
      </c>
      <c r="C503" s="45">
        <v>93</v>
      </c>
      <c r="D503" s="45" t="s">
        <v>34</v>
      </c>
      <c r="E503" s="45">
        <v>1</v>
      </c>
      <c r="F503" s="45" t="s">
        <v>75</v>
      </c>
      <c r="G503" s="46">
        <v>38</v>
      </c>
      <c r="H503" s="45">
        <v>40</v>
      </c>
      <c r="I503" s="46">
        <f>VLOOKUP(C503,[1]M0113A!$A$1:$Z$211,24,TRUE)+(G503/100)</f>
        <v>161.87</v>
      </c>
      <c r="J503" s="46">
        <f t="shared" si="18"/>
        <v>161.89000000000001</v>
      </c>
      <c r="K503" s="46" t="s">
        <v>266</v>
      </c>
      <c r="L503" s="49" t="s">
        <v>77</v>
      </c>
      <c r="M503" s="47">
        <f t="shared" si="19"/>
        <v>3</v>
      </c>
    </row>
    <row r="504" spans="1:13" x14ac:dyDescent="0.3">
      <c r="A504" s="1" t="s">
        <v>61</v>
      </c>
      <c r="B504" s="1" t="s">
        <v>31</v>
      </c>
      <c r="C504" s="1">
        <v>94</v>
      </c>
      <c r="D504" s="1" t="s">
        <v>34</v>
      </c>
      <c r="E504" s="1">
        <v>1</v>
      </c>
      <c r="F504" s="1" t="s">
        <v>75</v>
      </c>
      <c r="G504">
        <v>18</v>
      </c>
      <c r="H504" s="1">
        <v>20</v>
      </c>
      <c r="I504">
        <f>VLOOKUP(C504,[1]M0113A!$A$1:$Z$211,24,TRUE)+(G504/100)</f>
        <v>163.17000000000002</v>
      </c>
      <c r="J504">
        <f t="shared" si="18"/>
        <v>163.19000000000003</v>
      </c>
      <c r="K504" s="42" t="s">
        <v>351</v>
      </c>
      <c r="L504" s="39" t="s">
        <v>82</v>
      </c>
      <c r="M504" s="41">
        <f t="shared" si="19"/>
        <v>1.3000000000000114</v>
      </c>
    </row>
    <row r="505" spans="1:13" x14ac:dyDescent="0.3">
      <c r="A505" s="1" t="s">
        <v>61</v>
      </c>
      <c r="B505" s="1" t="s">
        <v>31</v>
      </c>
      <c r="C505" s="1">
        <v>95</v>
      </c>
      <c r="D505" s="1" t="s">
        <v>34</v>
      </c>
      <c r="E505" s="1">
        <v>1</v>
      </c>
      <c r="F505" s="1" t="s">
        <v>75</v>
      </c>
      <c r="G505">
        <v>18</v>
      </c>
      <c r="H505" s="1">
        <v>20</v>
      </c>
      <c r="I505">
        <f>VLOOKUP(C505,[1]M0113A!$A$1:$Z$211,24,TRUE)+(G505/100)</f>
        <v>164.67000000000002</v>
      </c>
      <c r="J505">
        <f t="shared" si="18"/>
        <v>164.69000000000003</v>
      </c>
      <c r="K505" s="42" t="s">
        <v>351</v>
      </c>
      <c r="L505" s="39" t="s">
        <v>82</v>
      </c>
      <c r="M505" s="41">
        <f t="shared" si="19"/>
        <v>1.5</v>
      </c>
    </row>
    <row r="506" spans="1:13" x14ac:dyDescent="0.3">
      <c r="A506" s="1" t="s">
        <v>61</v>
      </c>
      <c r="B506" s="1" t="s">
        <v>31</v>
      </c>
      <c r="C506" s="1">
        <v>96</v>
      </c>
      <c r="D506" s="1" t="s">
        <v>34</v>
      </c>
      <c r="E506" s="1">
        <v>1</v>
      </c>
      <c r="F506" s="1" t="s">
        <v>75</v>
      </c>
      <c r="G506">
        <v>18</v>
      </c>
      <c r="H506" s="1">
        <v>20</v>
      </c>
      <c r="I506">
        <f>VLOOKUP(C506,[1]M0113A!$A$1:$Z$211,24,TRUE)+(G506/100)</f>
        <v>166.17000000000002</v>
      </c>
      <c r="J506">
        <f t="shared" si="18"/>
        <v>166.19000000000003</v>
      </c>
      <c r="K506" s="42" t="s">
        <v>337</v>
      </c>
      <c r="L506" s="39" t="s">
        <v>77</v>
      </c>
      <c r="M506" s="41">
        <f t="shared" si="19"/>
        <v>1.5</v>
      </c>
    </row>
    <row r="507" spans="1:13" x14ac:dyDescent="0.3">
      <c r="A507" s="1" t="s">
        <v>61</v>
      </c>
      <c r="B507" s="1" t="s">
        <v>31</v>
      </c>
      <c r="C507" s="1">
        <v>97</v>
      </c>
      <c r="D507" s="1" t="s">
        <v>34</v>
      </c>
      <c r="E507" s="1">
        <v>1</v>
      </c>
      <c r="F507" s="1" t="s">
        <v>75</v>
      </c>
      <c r="G507">
        <v>38</v>
      </c>
      <c r="H507" s="1">
        <v>40</v>
      </c>
      <c r="I507">
        <f>VLOOKUP(C507,[1]M0113A!$A$1:$Z$211,24,TRUE)+(G507/100)</f>
        <v>167.87</v>
      </c>
      <c r="J507">
        <f t="shared" si="18"/>
        <v>167.89000000000001</v>
      </c>
      <c r="K507" t="s">
        <v>352</v>
      </c>
      <c r="L507" s="39" t="s">
        <v>77</v>
      </c>
      <c r="M507" s="41">
        <f t="shared" si="19"/>
        <v>1.6999999999999886</v>
      </c>
    </row>
    <row r="508" spans="1:13" x14ac:dyDescent="0.3">
      <c r="A508" s="1" t="s">
        <v>61</v>
      </c>
      <c r="B508" s="1" t="s">
        <v>31</v>
      </c>
      <c r="C508" s="1">
        <v>98</v>
      </c>
      <c r="D508" s="1" t="s">
        <v>34</v>
      </c>
      <c r="E508" s="1">
        <v>1</v>
      </c>
      <c r="F508" s="1" t="s">
        <v>75</v>
      </c>
      <c r="G508">
        <v>28</v>
      </c>
      <c r="H508" s="1">
        <v>30</v>
      </c>
      <c r="I508">
        <f>VLOOKUP(C508,[1]M0113A!$A$1:$Z$211,24,TRUE)+(G508/100)</f>
        <v>169.27</v>
      </c>
      <c r="J508">
        <f t="shared" si="18"/>
        <v>169.29000000000002</v>
      </c>
      <c r="K508" t="s">
        <v>353</v>
      </c>
      <c r="L508" s="39" t="s">
        <v>77</v>
      </c>
      <c r="M508" s="41">
        <f t="shared" si="19"/>
        <v>1.4000000000000057</v>
      </c>
    </row>
    <row r="509" spans="1:13" x14ac:dyDescent="0.3">
      <c r="A509" s="1" t="s">
        <v>61</v>
      </c>
      <c r="B509" s="1" t="s">
        <v>31</v>
      </c>
      <c r="C509" s="1">
        <v>99</v>
      </c>
      <c r="D509" s="1" t="s">
        <v>34</v>
      </c>
      <c r="E509" s="1">
        <v>1</v>
      </c>
      <c r="F509" s="1" t="s">
        <v>75</v>
      </c>
      <c r="G509">
        <v>38</v>
      </c>
      <c r="H509" s="1">
        <v>40</v>
      </c>
      <c r="I509">
        <f>VLOOKUP(C509,[1]M0113A!$A$1:$Z$211,24,TRUE)+(G509/100)</f>
        <v>170.87</v>
      </c>
      <c r="J509">
        <f t="shared" si="18"/>
        <v>170.89000000000001</v>
      </c>
      <c r="K509" t="s">
        <v>354</v>
      </c>
      <c r="L509" s="39" t="s">
        <v>77</v>
      </c>
      <c r="M509" s="41">
        <f t="shared" si="19"/>
        <v>1.5999999999999943</v>
      </c>
    </row>
    <row r="510" spans="1:13" x14ac:dyDescent="0.3">
      <c r="A510" s="45" t="s">
        <v>61</v>
      </c>
      <c r="B510" s="45" t="s">
        <v>31</v>
      </c>
      <c r="C510" s="45">
        <v>100</v>
      </c>
      <c r="D510" s="45" t="s">
        <v>34</v>
      </c>
      <c r="E510" s="45">
        <v>1</v>
      </c>
      <c r="F510" s="45" t="s">
        <v>75</v>
      </c>
      <c r="G510" s="46">
        <v>38</v>
      </c>
      <c r="H510" s="45">
        <v>40</v>
      </c>
      <c r="I510" s="46">
        <f>VLOOKUP(C510,[1]M0113A!$A$1:$Z$211,24,TRUE)+(G510/100)</f>
        <v>172.37</v>
      </c>
      <c r="J510" s="46">
        <f t="shared" si="18"/>
        <v>172.39000000000001</v>
      </c>
      <c r="K510" s="52" t="s">
        <v>355</v>
      </c>
      <c r="L510" s="49" t="s">
        <v>77</v>
      </c>
      <c r="M510" s="47">
        <f t="shared" si="19"/>
        <v>1.5</v>
      </c>
    </row>
    <row r="511" spans="1:13" x14ac:dyDescent="0.3">
      <c r="A511" s="45" t="s">
        <v>61</v>
      </c>
      <c r="B511" s="45" t="s">
        <v>31</v>
      </c>
      <c r="C511" s="45">
        <v>101</v>
      </c>
      <c r="D511" s="45" t="s">
        <v>34</v>
      </c>
      <c r="E511" s="45">
        <v>1</v>
      </c>
      <c r="F511" s="45" t="s">
        <v>75</v>
      </c>
      <c r="G511" s="46">
        <v>38</v>
      </c>
      <c r="H511" s="45">
        <v>40</v>
      </c>
      <c r="I511" s="46">
        <f>VLOOKUP(C511,[1]M0113A!$A$1:$Z$211,24,TRUE)+(G511/100)</f>
        <v>173.87</v>
      </c>
      <c r="J511" s="46">
        <f t="shared" si="18"/>
        <v>173.89000000000001</v>
      </c>
      <c r="K511" s="52" t="s">
        <v>355</v>
      </c>
      <c r="L511" s="49" t="s">
        <v>77</v>
      </c>
      <c r="M511" s="47">
        <f t="shared" si="19"/>
        <v>1.5</v>
      </c>
    </row>
    <row r="512" spans="1:13" x14ac:dyDescent="0.3">
      <c r="A512" s="1" t="s">
        <v>61</v>
      </c>
      <c r="B512" s="1" t="s">
        <v>31</v>
      </c>
      <c r="C512" s="1">
        <v>102</v>
      </c>
      <c r="D512" s="1" t="s">
        <v>34</v>
      </c>
      <c r="E512" s="1">
        <v>1</v>
      </c>
      <c r="F512" s="1" t="s">
        <v>75</v>
      </c>
      <c r="G512">
        <v>38</v>
      </c>
      <c r="H512" s="1">
        <v>40</v>
      </c>
      <c r="I512">
        <f>VLOOKUP(C512,[1]M0113A!$A$1:$Z$211,24,TRUE)+(G512/100)</f>
        <v>175.37</v>
      </c>
      <c r="J512">
        <f t="shared" ref="J512:J575" si="20">I512+0.02</f>
        <v>175.39000000000001</v>
      </c>
      <c r="K512" t="s">
        <v>356</v>
      </c>
      <c r="L512" s="39" t="s">
        <v>77</v>
      </c>
      <c r="M512" s="41">
        <f t="shared" si="19"/>
        <v>1.5</v>
      </c>
    </row>
    <row r="513" spans="1:13" x14ac:dyDescent="0.3">
      <c r="A513" s="1" t="s">
        <v>61</v>
      </c>
      <c r="B513" s="1" t="s">
        <v>31</v>
      </c>
      <c r="C513" s="1">
        <v>103</v>
      </c>
      <c r="D513" s="1" t="s">
        <v>34</v>
      </c>
      <c r="E513" s="1">
        <v>1</v>
      </c>
      <c r="F513" s="1" t="s">
        <v>75</v>
      </c>
      <c r="G513">
        <v>28</v>
      </c>
      <c r="H513" s="1">
        <v>30</v>
      </c>
      <c r="I513">
        <f>VLOOKUP(C513,[1]M0113A!$A$1:$Z$211,24,TRUE)+(G513/100)</f>
        <v>176.77</v>
      </c>
      <c r="J513">
        <f t="shared" si="20"/>
        <v>176.79000000000002</v>
      </c>
      <c r="K513" t="s">
        <v>356</v>
      </c>
      <c r="L513" s="39" t="s">
        <v>77</v>
      </c>
      <c r="M513" s="41">
        <f t="shared" si="19"/>
        <v>1.4000000000000057</v>
      </c>
    </row>
    <row r="514" spans="1:13" x14ac:dyDescent="0.3">
      <c r="A514" s="1" t="s">
        <v>61</v>
      </c>
      <c r="B514" s="1" t="s">
        <v>31</v>
      </c>
      <c r="C514" s="1">
        <v>104</v>
      </c>
      <c r="D514" s="1" t="s">
        <v>34</v>
      </c>
      <c r="E514" s="1">
        <v>1</v>
      </c>
      <c r="F514" s="1" t="s">
        <v>75</v>
      </c>
      <c r="G514">
        <v>38</v>
      </c>
      <c r="H514" s="1">
        <v>40</v>
      </c>
      <c r="I514">
        <f>VLOOKUP(C514,[1]M0113A!$A$1:$Z$211,24,TRUE)+(G514/100)</f>
        <v>178.37</v>
      </c>
      <c r="J514">
        <f t="shared" si="20"/>
        <v>178.39000000000001</v>
      </c>
      <c r="K514" t="s">
        <v>356</v>
      </c>
      <c r="L514" s="39" t="s">
        <v>77</v>
      </c>
      <c r="M514" s="41">
        <f t="shared" si="19"/>
        <v>1.5999999999999943</v>
      </c>
    </row>
    <row r="515" spans="1:13" x14ac:dyDescent="0.3">
      <c r="A515" s="1" t="s">
        <v>61</v>
      </c>
      <c r="B515" s="1" t="s">
        <v>31</v>
      </c>
      <c r="C515" s="1">
        <v>105</v>
      </c>
      <c r="D515" s="1" t="s">
        <v>34</v>
      </c>
      <c r="E515" s="1">
        <v>1</v>
      </c>
      <c r="F515" s="1" t="s">
        <v>75</v>
      </c>
      <c r="G515">
        <v>38</v>
      </c>
      <c r="H515" s="1">
        <v>40</v>
      </c>
      <c r="I515">
        <f>VLOOKUP(C515,[1]M0113A!$A$1:$Z$211,24,TRUE)+(G515/100)</f>
        <v>179.87</v>
      </c>
      <c r="J515">
        <f t="shared" si="20"/>
        <v>179.89000000000001</v>
      </c>
      <c r="K515" t="s">
        <v>356</v>
      </c>
      <c r="L515" s="39" t="s">
        <v>77</v>
      </c>
      <c r="M515" s="41">
        <f t="shared" si="19"/>
        <v>1.5</v>
      </c>
    </row>
    <row r="516" spans="1:13" x14ac:dyDescent="0.3">
      <c r="A516" s="1" t="s">
        <v>61</v>
      </c>
      <c r="B516" s="1" t="s">
        <v>31</v>
      </c>
      <c r="C516" s="1">
        <v>106</v>
      </c>
      <c r="D516" s="1" t="s">
        <v>34</v>
      </c>
      <c r="E516" s="1">
        <v>1</v>
      </c>
      <c r="F516" s="1" t="s">
        <v>75</v>
      </c>
      <c r="G516">
        <v>8</v>
      </c>
      <c r="H516" s="1">
        <v>10</v>
      </c>
      <c r="I516">
        <f>VLOOKUP(C516,[1]M0113A!$A$1:$Z$211,24,TRUE)+(G516/100)</f>
        <v>182.57000000000002</v>
      </c>
      <c r="J516">
        <f t="shared" si="20"/>
        <v>182.59000000000003</v>
      </c>
      <c r="K516" s="42" t="s">
        <v>105</v>
      </c>
      <c r="L516" s="39" t="s">
        <v>77</v>
      </c>
      <c r="M516" s="41">
        <f t="shared" si="19"/>
        <v>2.7000000000000171</v>
      </c>
    </row>
    <row r="517" spans="1:13" x14ac:dyDescent="0.3">
      <c r="A517" s="1" t="s">
        <v>61</v>
      </c>
      <c r="B517" s="1" t="s">
        <v>31</v>
      </c>
      <c r="C517" s="1">
        <v>107</v>
      </c>
      <c r="D517" s="1" t="s">
        <v>34</v>
      </c>
      <c r="E517" s="1">
        <v>1</v>
      </c>
      <c r="F517" s="1" t="s">
        <v>75</v>
      </c>
      <c r="G517">
        <v>38</v>
      </c>
      <c r="H517" s="1">
        <v>40</v>
      </c>
      <c r="I517">
        <f>VLOOKUP(C517,[1]M0113A!$A$1:$Z$211,24,TRUE)+(G517/100)</f>
        <v>185.87</v>
      </c>
      <c r="J517">
        <f t="shared" si="20"/>
        <v>185.89000000000001</v>
      </c>
      <c r="K517" s="42" t="s">
        <v>285</v>
      </c>
      <c r="L517" s="39" t="s">
        <v>77</v>
      </c>
      <c r="M517" s="41">
        <f t="shared" si="19"/>
        <v>3.2999999999999829</v>
      </c>
    </row>
    <row r="518" spans="1:13" x14ac:dyDescent="0.3">
      <c r="A518" s="1" t="s">
        <v>61</v>
      </c>
      <c r="B518" s="1" t="s">
        <v>31</v>
      </c>
      <c r="C518" s="1">
        <v>108</v>
      </c>
      <c r="D518" s="1" t="s">
        <v>34</v>
      </c>
      <c r="E518" s="1">
        <v>1</v>
      </c>
      <c r="F518" s="1" t="s">
        <v>75</v>
      </c>
      <c r="G518">
        <v>38</v>
      </c>
      <c r="H518" s="1">
        <v>40</v>
      </c>
      <c r="I518">
        <f>VLOOKUP(C518,[1]M0113A!$A$1:$Z$211,24,TRUE)+(G518/100)</f>
        <v>187.37</v>
      </c>
      <c r="J518">
        <f t="shared" si="20"/>
        <v>187.39000000000001</v>
      </c>
      <c r="K518" s="42" t="s">
        <v>285</v>
      </c>
      <c r="L518" s="39" t="s">
        <v>77</v>
      </c>
      <c r="M518" s="41">
        <f t="shared" si="19"/>
        <v>1.5</v>
      </c>
    </row>
    <row r="519" spans="1:13" x14ac:dyDescent="0.3">
      <c r="A519" s="1" t="s">
        <v>61</v>
      </c>
      <c r="B519" s="1" t="s">
        <v>31</v>
      </c>
      <c r="C519" s="1">
        <v>109</v>
      </c>
      <c r="D519" s="1" t="s">
        <v>34</v>
      </c>
      <c r="E519" s="1">
        <v>1</v>
      </c>
      <c r="F519" s="1" t="s">
        <v>75</v>
      </c>
      <c r="G519">
        <v>18</v>
      </c>
      <c r="H519" s="1">
        <v>20</v>
      </c>
      <c r="I519">
        <f>VLOOKUP(C519,[1]M0113A!$A$1:$Z$211,24,TRUE)+(G519/100)</f>
        <v>188.67000000000002</v>
      </c>
      <c r="J519">
        <f t="shared" si="20"/>
        <v>188.69000000000003</v>
      </c>
      <c r="K519" s="42" t="s">
        <v>285</v>
      </c>
      <c r="L519" s="39" t="s">
        <v>82</v>
      </c>
      <c r="M519" s="41">
        <f t="shared" si="19"/>
        <v>1.3000000000000114</v>
      </c>
    </row>
    <row r="520" spans="1:13" x14ac:dyDescent="0.3">
      <c r="A520" s="1" t="s">
        <v>61</v>
      </c>
      <c r="B520" s="1" t="s">
        <v>31</v>
      </c>
      <c r="C520" s="1">
        <v>110</v>
      </c>
      <c r="D520" s="1" t="s">
        <v>34</v>
      </c>
      <c r="E520" s="1">
        <v>1</v>
      </c>
      <c r="F520" s="1" t="s">
        <v>75</v>
      </c>
      <c r="G520">
        <v>38</v>
      </c>
      <c r="H520" s="1">
        <v>40</v>
      </c>
      <c r="I520">
        <f>VLOOKUP(C520,[1]M0113A!$A$1:$Z$211,24,TRUE)+(G520/100)</f>
        <v>190.37</v>
      </c>
      <c r="J520">
        <f t="shared" si="20"/>
        <v>190.39000000000001</v>
      </c>
      <c r="K520" s="42" t="s">
        <v>285</v>
      </c>
      <c r="L520" s="39" t="s">
        <v>77</v>
      </c>
      <c r="M520" s="41">
        <f t="shared" si="19"/>
        <v>1.6999999999999886</v>
      </c>
    </row>
    <row r="521" spans="1:13" x14ac:dyDescent="0.3">
      <c r="A521" s="1" t="s">
        <v>61</v>
      </c>
      <c r="B521" s="1" t="s">
        <v>31</v>
      </c>
      <c r="C521" s="1">
        <v>111</v>
      </c>
      <c r="D521" s="1" t="s">
        <v>34</v>
      </c>
      <c r="E521" s="1">
        <v>1</v>
      </c>
      <c r="F521" s="1" t="s">
        <v>75</v>
      </c>
      <c r="G521">
        <v>18</v>
      </c>
      <c r="H521" s="1">
        <v>20</v>
      </c>
      <c r="I521">
        <f>VLOOKUP(C521,[1]M0113A!$A$1:$Z$211,24,TRUE)+(G521/100)</f>
        <v>191.67000000000002</v>
      </c>
      <c r="J521">
        <f t="shared" si="20"/>
        <v>191.69000000000003</v>
      </c>
      <c r="K521" s="42" t="s">
        <v>285</v>
      </c>
      <c r="L521" s="39" t="s">
        <v>82</v>
      </c>
      <c r="M521" s="41">
        <f t="shared" si="19"/>
        <v>1.3000000000000114</v>
      </c>
    </row>
    <row r="522" spans="1:13" x14ac:dyDescent="0.3">
      <c r="A522" s="1" t="s">
        <v>61</v>
      </c>
      <c r="B522" s="1" t="s">
        <v>31</v>
      </c>
      <c r="C522" s="1">
        <v>112</v>
      </c>
      <c r="D522" s="1" t="s">
        <v>34</v>
      </c>
      <c r="E522" s="1">
        <v>1</v>
      </c>
      <c r="F522" s="1" t="s">
        <v>75</v>
      </c>
      <c r="G522">
        <v>18</v>
      </c>
      <c r="H522" s="1">
        <v>20</v>
      </c>
      <c r="I522">
        <f>VLOOKUP(C522,[1]M0113A!$A$1:$Z$211,24,TRUE)+(G522/100)</f>
        <v>193.17000000000002</v>
      </c>
      <c r="J522">
        <f t="shared" si="20"/>
        <v>193.19000000000003</v>
      </c>
      <c r="K522" s="42" t="s">
        <v>285</v>
      </c>
      <c r="L522" s="39" t="s">
        <v>82</v>
      </c>
      <c r="M522" s="41">
        <f t="shared" si="19"/>
        <v>1.5</v>
      </c>
    </row>
    <row r="523" spans="1:13" x14ac:dyDescent="0.3">
      <c r="A523" s="1" t="s">
        <v>61</v>
      </c>
      <c r="B523" s="1" t="s">
        <v>31</v>
      </c>
      <c r="C523" s="1">
        <v>114</v>
      </c>
      <c r="D523" s="1" t="s">
        <v>34</v>
      </c>
      <c r="E523" s="1">
        <v>1</v>
      </c>
      <c r="F523" s="1" t="s">
        <v>75</v>
      </c>
      <c r="G523">
        <v>38</v>
      </c>
      <c r="H523" s="1">
        <v>40</v>
      </c>
      <c r="I523">
        <f>VLOOKUP(C523,[1]M0113A!$A$1:$Z$211,24,TRUE)+(G523/100)</f>
        <v>196.37</v>
      </c>
      <c r="J523">
        <f t="shared" si="20"/>
        <v>196.39000000000001</v>
      </c>
      <c r="K523" s="42" t="s">
        <v>285</v>
      </c>
      <c r="L523" s="39" t="s">
        <v>77</v>
      </c>
      <c r="M523" s="41">
        <f t="shared" si="19"/>
        <v>3.1999999999999886</v>
      </c>
    </row>
    <row r="524" spans="1:13" x14ac:dyDescent="0.3">
      <c r="A524" s="1" t="s">
        <v>61</v>
      </c>
      <c r="B524" s="1" t="s">
        <v>31</v>
      </c>
      <c r="C524" s="1">
        <v>115</v>
      </c>
      <c r="D524" s="1" t="s">
        <v>34</v>
      </c>
      <c r="E524" s="1">
        <v>1</v>
      </c>
      <c r="F524" s="1" t="s">
        <v>75</v>
      </c>
      <c r="G524">
        <v>38</v>
      </c>
      <c r="H524" s="1">
        <v>40</v>
      </c>
      <c r="I524">
        <f>VLOOKUP(C524,[1]M0113A!$A$1:$Z$211,24,TRUE)+(G524/100)</f>
        <v>197.87</v>
      </c>
      <c r="J524">
        <f t="shared" si="20"/>
        <v>197.89000000000001</v>
      </c>
      <c r="K524" s="42" t="s">
        <v>285</v>
      </c>
      <c r="L524" s="39" t="s">
        <v>77</v>
      </c>
      <c r="M524" s="41">
        <f t="shared" si="19"/>
        <v>1.5</v>
      </c>
    </row>
    <row r="525" spans="1:13" x14ac:dyDescent="0.3">
      <c r="A525" s="1" t="s">
        <v>61</v>
      </c>
      <c r="B525" s="1" t="s">
        <v>31</v>
      </c>
      <c r="C525" s="1">
        <v>116</v>
      </c>
      <c r="D525" s="1" t="s">
        <v>34</v>
      </c>
      <c r="E525" s="1">
        <v>1</v>
      </c>
      <c r="F525" s="1" t="s">
        <v>75</v>
      </c>
      <c r="G525">
        <v>38</v>
      </c>
      <c r="H525" s="1">
        <v>40</v>
      </c>
      <c r="I525">
        <f>VLOOKUP(C525,[1]M0113A!$A$1:$Z$211,24,TRUE)+(G525/100)</f>
        <v>199.37</v>
      </c>
      <c r="J525">
        <f t="shared" si="20"/>
        <v>199.39000000000001</v>
      </c>
      <c r="K525" s="42" t="s">
        <v>207</v>
      </c>
      <c r="L525" s="39" t="s">
        <v>77</v>
      </c>
      <c r="M525" s="41">
        <f t="shared" si="19"/>
        <v>1.5</v>
      </c>
    </row>
    <row r="526" spans="1:13" x14ac:dyDescent="0.3">
      <c r="A526" s="1" t="s">
        <v>61</v>
      </c>
      <c r="B526" s="1" t="s">
        <v>31</v>
      </c>
      <c r="C526" s="1">
        <v>117</v>
      </c>
      <c r="D526" s="1" t="s">
        <v>34</v>
      </c>
      <c r="E526" s="1">
        <v>1</v>
      </c>
      <c r="F526" s="1" t="s">
        <v>75</v>
      </c>
      <c r="G526">
        <v>38</v>
      </c>
      <c r="H526" s="1">
        <v>40</v>
      </c>
      <c r="I526">
        <f>VLOOKUP(C526,[1]M0113A!$A$1:$Z$211,24,TRUE)+(G526/100)</f>
        <v>200.87</v>
      </c>
      <c r="J526">
        <f t="shared" si="20"/>
        <v>200.89000000000001</v>
      </c>
      <c r="K526" s="42" t="s">
        <v>285</v>
      </c>
      <c r="L526" s="39" t="s">
        <v>77</v>
      </c>
      <c r="M526" s="41">
        <f t="shared" si="19"/>
        <v>1.5</v>
      </c>
    </row>
    <row r="527" spans="1:13" x14ac:dyDescent="0.3">
      <c r="A527" s="1" t="s">
        <v>61</v>
      </c>
      <c r="B527" s="1" t="s">
        <v>31</v>
      </c>
      <c r="C527" s="1">
        <v>118</v>
      </c>
      <c r="D527" s="1" t="s">
        <v>34</v>
      </c>
      <c r="E527" s="1">
        <v>1</v>
      </c>
      <c r="F527" s="1" t="s">
        <v>75</v>
      </c>
      <c r="G527">
        <v>38</v>
      </c>
      <c r="H527" s="1">
        <v>40</v>
      </c>
      <c r="I527">
        <f>VLOOKUP(C527,[1]M0113A!$A$1:$Z$211,24,TRUE)+(G527/100)</f>
        <v>202.37</v>
      </c>
      <c r="J527">
        <f t="shared" si="20"/>
        <v>202.39000000000001</v>
      </c>
      <c r="K527" s="42" t="s">
        <v>164</v>
      </c>
      <c r="L527" s="39" t="s">
        <v>77</v>
      </c>
      <c r="M527" s="41">
        <f t="shared" si="19"/>
        <v>1.5</v>
      </c>
    </row>
    <row r="528" spans="1:13" x14ac:dyDescent="0.3">
      <c r="A528" s="1" t="s">
        <v>61</v>
      </c>
      <c r="B528" s="1" t="s">
        <v>31</v>
      </c>
      <c r="C528" s="1">
        <v>119</v>
      </c>
      <c r="D528" s="1" t="s">
        <v>34</v>
      </c>
      <c r="E528" s="1">
        <v>1</v>
      </c>
      <c r="F528" s="1" t="s">
        <v>75</v>
      </c>
      <c r="G528">
        <v>38</v>
      </c>
      <c r="H528" s="1">
        <v>40</v>
      </c>
      <c r="I528">
        <f>VLOOKUP(C528,[1]M0113A!$A$1:$Z$211,24,TRUE)+(G528/100)</f>
        <v>203.87</v>
      </c>
      <c r="J528">
        <f t="shared" si="20"/>
        <v>203.89000000000001</v>
      </c>
      <c r="K528" s="42" t="s">
        <v>164</v>
      </c>
      <c r="L528" s="39" t="s">
        <v>77</v>
      </c>
      <c r="M528" s="41">
        <f t="shared" si="19"/>
        <v>1.5</v>
      </c>
    </row>
    <row r="529" spans="1:13" x14ac:dyDescent="0.3">
      <c r="A529" s="45" t="s">
        <v>61</v>
      </c>
      <c r="B529" s="45" t="s">
        <v>31</v>
      </c>
      <c r="C529" s="45">
        <v>120</v>
      </c>
      <c r="D529" s="45" t="s">
        <v>34</v>
      </c>
      <c r="E529" s="45">
        <v>1</v>
      </c>
      <c r="F529" s="45" t="s">
        <v>75</v>
      </c>
      <c r="G529" s="46">
        <v>38</v>
      </c>
      <c r="H529" s="45">
        <v>40</v>
      </c>
      <c r="I529" s="46">
        <f>VLOOKUP(C529,[1]M0113A!$A$1:$Z$211,24,TRUE)+(G529/100)</f>
        <v>205.37</v>
      </c>
      <c r="J529" s="46">
        <f t="shared" si="20"/>
        <v>205.39000000000001</v>
      </c>
      <c r="K529" s="52" t="s">
        <v>357</v>
      </c>
      <c r="L529" s="49" t="s">
        <v>77</v>
      </c>
      <c r="M529" s="47">
        <f t="shared" si="19"/>
        <v>1.5</v>
      </c>
    </row>
    <row r="530" spans="1:13" x14ac:dyDescent="0.3">
      <c r="A530" s="1" t="s">
        <v>61</v>
      </c>
      <c r="B530" s="1" t="s">
        <v>31</v>
      </c>
      <c r="C530" s="1">
        <v>121</v>
      </c>
      <c r="D530" s="1" t="s">
        <v>34</v>
      </c>
      <c r="E530" s="1">
        <v>1</v>
      </c>
      <c r="F530" s="1" t="s">
        <v>75</v>
      </c>
      <c r="G530">
        <v>38</v>
      </c>
      <c r="H530" s="1">
        <v>40</v>
      </c>
      <c r="I530">
        <f>VLOOKUP(C530,[1]M0113A!$A$1:$Z$211,24,TRUE)+(G530/100)</f>
        <v>206.87</v>
      </c>
      <c r="J530">
        <f t="shared" si="20"/>
        <v>206.89000000000001</v>
      </c>
      <c r="K530" t="s">
        <v>285</v>
      </c>
      <c r="L530" s="39" t="s">
        <v>77</v>
      </c>
      <c r="M530" s="41">
        <f t="shared" si="19"/>
        <v>1.5</v>
      </c>
    </row>
    <row r="531" spans="1:13" x14ac:dyDescent="0.3">
      <c r="A531" s="45" t="s">
        <v>61</v>
      </c>
      <c r="B531" s="45" t="s">
        <v>31</v>
      </c>
      <c r="C531" s="45">
        <v>122</v>
      </c>
      <c r="D531" s="45" t="s">
        <v>34</v>
      </c>
      <c r="E531" s="45">
        <v>1</v>
      </c>
      <c r="F531" s="45" t="s">
        <v>75</v>
      </c>
      <c r="G531" s="46">
        <v>18</v>
      </c>
      <c r="H531" s="45">
        <v>20</v>
      </c>
      <c r="I531" s="46">
        <f>VLOOKUP(C531,[1]M0113A!$A$1:$Z$211,24,TRUE)+(G531/100)</f>
        <v>208.17000000000002</v>
      </c>
      <c r="J531" s="46">
        <f t="shared" si="20"/>
        <v>208.19000000000003</v>
      </c>
      <c r="K531" s="46" t="s">
        <v>284</v>
      </c>
      <c r="L531" s="49" t="s">
        <v>77</v>
      </c>
      <c r="M531" s="47">
        <f t="shared" si="19"/>
        <v>1.3000000000000114</v>
      </c>
    </row>
    <row r="532" spans="1:13" x14ac:dyDescent="0.3">
      <c r="A532" s="1" t="s">
        <v>61</v>
      </c>
      <c r="B532" s="1" t="s">
        <v>31</v>
      </c>
      <c r="C532" s="1">
        <v>124</v>
      </c>
      <c r="D532" s="1" t="s">
        <v>34</v>
      </c>
      <c r="E532" s="1">
        <v>1</v>
      </c>
      <c r="F532" s="1" t="s">
        <v>75</v>
      </c>
      <c r="G532">
        <v>38</v>
      </c>
      <c r="H532" s="1">
        <v>40</v>
      </c>
      <c r="I532">
        <f>VLOOKUP(C532,[1]M0113A!$A$1:$Z$211,24,TRUE)+(G532/100)</f>
        <v>211.37</v>
      </c>
      <c r="J532">
        <f t="shared" si="20"/>
        <v>211.39000000000001</v>
      </c>
      <c r="K532" t="s">
        <v>358</v>
      </c>
      <c r="L532" s="39" t="s">
        <v>77</v>
      </c>
      <c r="M532" s="41">
        <f t="shared" si="19"/>
        <v>3.1999999999999886</v>
      </c>
    </row>
    <row r="533" spans="1:13" x14ac:dyDescent="0.3">
      <c r="A533" s="1" t="s">
        <v>61</v>
      </c>
      <c r="B533" s="1" t="s">
        <v>31</v>
      </c>
      <c r="C533" s="1">
        <v>125</v>
      </c>
      <c r="D533" s="1" t="s">
        <v>34</v>
      </c>
      <c r="E533" s="1">
        <v>1</v>
      </c>
      <c r="F533" s="1" t="s">
        <v>75</v>
      </c>
      <c r="G533">
        <v>8</v>
      </c>
      <c r="H533" s="1">
        <v>10</v>
      </c>
      <c r="I533">
        <f>VLOOKUP(C533,[1]M0113A!$A$1:$Z$211,24,TRUE)+(G533/100)</f>
        <v>212.57000000000002</v>
      </c>
      <c r="J533">
        <f t="shared" si="20"/>
        <v>212.59000000000003</v>
      </c>
      <c r="K533" s="42" t="s">
        <v>358</v>
      </c>
      <c r="L533" s="39" t="s">
        <v>77</v>
      </c>
      <c r="M533" s="41">
        <f t="shared" si="19"/>
        <v>1.2000000000000171</v>
      </c>
    </row>
    <row r="534" spans="1:13" x14ac:dyDescent="0.3">
      <c r="A534" s="1" t="s">
        <v>61</v>
      </c>
      <c r="B534" s="1" t="s">
        <v>31</v>
      </c>
      <c r="C534" s="1">
        <v>126</v>
      </c>
      <c r="D534" s="1" t="s">
        <v>34</v>
      </c>
      <c r="E534" s="1">
        <v>1</v>
      </c>
      <c r="F534" s="1" t="s">
        <v>75</v>
      </c>
      <c r="G534">
        <v>38</v>
      </c>
      <c r="H534" s="1">
        <v>40</v>
      </c>
      <c r="I534">
        <f>VLOOKUP(C534,[1]M0113A!$A$1:$Z$211,24,TRUE)+(G534/100)</f>
        <v>215.87</v>
      </c>
      <c r="J534">
        <f t="shared" si="20"/>
        <v>215.89000000000001</v>
      </c>
      <c r="K534" s="42" t="s">
        <v>358</v>
      </c>
      <c r="L534" s="39" t="s">
        <v>77</v>
      </c>
      <c r="M534" s="41">
        <f t="shared" si="19"/>
        <v>3.2999999999999829</v>
      </c>
    </row>
    <row r="535" spans="1:13" x14ac:dyDescent="0.3">
      <c r="A535" s="1" t="s">
        <v>61</v>
      </c>
      <c r="B535" s="1" t="s">
        <v>31</v>
      </c>
      <c r="C535" s="1">
        <v>127</v>
      </c>
      <c r="D535" s="1" t="s">
        <v>34</v>
      </c>
      <c r="E535" s="1">
        <v>1</v>
      </c>
      <c r="F535" s="1" t="s">
        <v>75</v>
      </c>
      <c r="G535">
        <v>18</v>
      </c>
      <c r="H535" s="1">
        <v>20</v>
      </c>
      <c r="I535">
        <f>VLOOKUP(C535,[1]M0113A!$A$1:$Z$211,24,TRUE)+(G535/100)</f>
        <v>217.17000000000002</v>
      </c>
      <c r="J535">
        <f t="shared" si="20"/>
        <v>217.19000000000003</v>
      </c>
      <c r="K535" s="42" t="s">
        <v>358</v>
      </c>
      <c r="L535" s="39" t="s">
        <v>82</v>
      </c>
      <c r="M535" s="41">
        <f t="shared" si="19"/>
        <v>1.3000000000000114</v>
      </c>
    </row>
    <row r="536" spans="1:13" x14ac:dyDescent="0.3">
      <c r="A536" s="1" t="s">
        <v>61</v>
      </c>
      <c r="B536" s="1" t="s">
        <v>31</v>
      </c>
      <c r="C536" s="1">
        <v>128</v>
      </c>
      <c r="D536" s="1" t="s">
        <v>34</v>
      </c>
      <c r="E536" s="1">
        <v>1</v>
      </c>
      <c r="F536" s="1" t="s">
        <v>75</v>
      </c>
      <c r="G536">
        <v>38</v>
      </c>
      <c r="H536" s="1">
        <v>40</v>
      </c>
      <c r="I536">
        <f>VLOOKUP(C536,[1]M0113A!$A$1:$Z$211,24,TRUE)+(G536/100)</f>
        <v>217.85</v>
      </c>
      <c r="J536">
        <f t="shared" si="20"/>
        <v>217.87</v>
      </c>
      <c r="K536" s="42" t="s">
        <v>358</v>
      </c>
      <c r="L536" s="39" t="s">
        <v>77</v>
      </c>
      <c r="M536" s="41">
        <f t="shared" si="19"/>
        <v>0.6799999999999784</v>
      </c>
    </row>
    <row r="537" spans="1:13" x14ac:dyDescent="0.3">
      <c r="A537" s="1" t="s">
        <v>61</v>
      </c>
      <c r="B537" s="1" t="s">
        <v>31</v>
      </c>
      <c r="C537" s="1">
        <v>129</v>
      </c>
      <c r="D537" s="1" t="s">
        <v>34</v>
      </c>
      <c r="E537" s="1">
        <v>1</v>
      </c>
      <c r="F537" s="1" t="s">
        <v>75</v>
      </c>
      <c r="G537">
        <v>38</v>
      </c>
      <c r="H537" s="1">
        <v>40</v>
      </c>
      <c r="I537">
        <f>VLOOKUP(C537,[1]M0113A!$A$1:$Z$211,24,TRUE)+(G537/100)</f>
        <v>218.72</v>
      </c>
      <c r="J537">
        <f t="shared" si="20"/>
        <v>218.74</v>
      </c>
      <c r="K537" s="42" t="s">
        <v>358</v>
      </c>
      <c r="L537" s="39" t="s">
        <v>77</v>
      </c>
      <c r="M537" s="41">
        <f t="shared" si="19"/>
        <v>0.87000000000000455</v>
      </c>
    </row>
    <row r="538" spans="1:13" x14ac:dyDescent="0.3">
      <c r="A538" s="1" t="s">
        <v>61</v>
      </c>
      <c r="B538" s="1" t="s">
        <v>31</v>
      </c>
      <c r="C538" s="1">
        <v>132</v>
      </c>
      <c r="D538" s="1" t="s">
        <v>34</v>
      </c>
      <c r="E538" s="1">
        <v>1</v>
      </c>
      <c r="F538" s="1" t="s">
        <v>75</v>
      </c>
      <c r="G538">
        <v>38</v>
      </c>
      <c r="H538" s="1">
        <v>40</v>
      </c>
      <c r="I538">
        <f>VLOOKUP(C538,[1]M0113A!$A$1:$Z$211,24,TRUE)+(G538/100)</f>
        <v>219.82</v>
      </c>
      <c r="J538">
        <f t="shared" si="20"/>
        <v>219.84</v>
      </c>
      <c r="K538" t="s">
        <v>358</v>
      </c>
      <c r="L538" s="39" t="s">
        <v>77</v>
      </c>
      <c r="M538" s="41">
        <f t="shared" si="19"/>
        <v>1.0999999999999943</v>
      </c>
    </row>
    <row r="539" spans="1:13" x14ac:dyDescent="0.3">
      <c r="A539" s="1" t="s">
        <v>61</v>
      </c>
      <c r="B539" s="1" t="s">
        <v>31</v>
      </c>
      <c r="C539" s="1">
        <v>133</v>
      </c>
      <c r="D539" s="1" t="s">
        <v>34</v>
      </c>
      <c r="E539" s="1">
        <v>1</v>
      </c>
      <c r="F539" s="1" t="s">
        <v>75</v>
      </c>
      <c r="G539">
        <v>38</v>
      </c>
      <c r="H539" s="1">
        <v>40</v>
      </c>
      <c r="I539">
        <f>VLOOKUP(C539,[1]M0113A!$A$1:$Z$211,24,TRUE)+(G539/100)</f>
        <v>221.87</v>
      </c>
      <c r="J539">
        <f t="shared" si="20"/>
        <v>221.89000000000001</v>
      </c>
      <c r="K539" s="42" t="s">
        <v>113</v>
      </c>
      <c r="L539" s="39" t="s">
        <v>77</v>
      </c>
      <c r="M539" s="41">
        <f t="shared" si="19"/>
        <v>2.0500000000000114</v>
      </c>
    </row>
    <row r="540" spans="1:13" x14ac:dyDescent="0.3">
      <c r="A540" s="1" t="s">
        <v>61</v>
      </c>
      <c r="B540" s="1" t="s">
        <v>31</v>
      </c>
      <c r="C540" s="1">
        <v>134</v>
      </c>
      <c r="D540" s="1" t="s">
        <v>34</v>
      </c>
      <c r="E540" s="1">
        <v>1</v>
      </c>
      <c r="F540" s="1" t="s">
        <v>75</v>
      </c>
      <c r="G540">
        <v>38</v>
      </c>
      <c r="H540" s="1">
        <v>40</v>
      </c>
      <c r="I540">
        <f>VLOOKUP(C540,[1]M0113A!$A$1:$Z$211,24,TRUE)+(G540/100)</f>
        <v>223.32</v>
      </c>
      <c r="J540">
        <f t="shared" si="20"/>
        <v>223.34</v>
      </c>
      <c r="K540" s="42" t="s">
        <v>358</v>
      </c>
      <c r="L540" s="39" t="s">
        <v>77</v>
      </c>
      <c r="M540" s="41">
        <f t="shared" si="19"/>
        <v>1.4499999999999886</v>
      </c>
    </row>
    <row r="541" spans="1:13" x14ac:dyDescent="0.3">
      <c r="A541" s="1" t="s">
        <v>61</v>
      </c>
      <c r="B541" s="1" t="s">
        <v>31</v>
      </c>
      <c r="C541" s="1">
        <v>135</v>
      </c>
      <c r="D541" s="1" t="s">
        <v>34</v>
      </c>
      <c r="E541" s="1">
        <v>1</v>
      </c>
      <c r="F541" s="1" t="s">
        <v>75</v>
      </c>
      <c r="G541">
        <v>38</v>
      </c>
      <c r="H541" s="1">
        <v>40</v>
      </c>
      <c r="I541">
        <f>VLOOKUP(C541,[1]M0113A!$A$1:$Z$211,24,TRUE)+(G541/100)</f>
        <v>224.87</v>
      </c>
      <c r="J541">
        <f t="shared" si="20"/>
        <v>224.89000000000001</v>
      </c>
      <c r="K541" s="42" t="s">
        <v>358</v>
      </c>
      <c r="L541" s="39" t="s">
        <v>77</v>
      </c>
      <c r="M541" s="41">
        <f t="shared" si="19"/>
        <v>1.5500000000000114</v>
      </c>
    </row>
    <row r="542" spans="1:13" x14ac:dyDescent="0.3">
      <c r="A542" s="1" t="s">
        <v>61</v>
      </c>
      <c r="B542" s="1" t="s">
        <v>31</v>
      </c>
      <c r="C542" s="1">
        <v>136</v>
      </c>
      <c r="D542" s="1" t="s">
        <v>34</v>
      </c>
      <c r="E542" s="1">
        <v>1</v>
      </c>
      <c r="F542" s="1" t="s">
        <v>75</v>
      </c>
      <c r="G542">
        <v>38</v>
      </c>
      <c r="H542" s="1">
        <v>40</v>
      </c>
      <c r="I542">
        <f>VLOOKUP(C542,[1]M0113A!$A$1:$Z$211,24,TRUE)+(G542/100)</f>
        <v>227.87</v>
      </c>
      <c r="J542">
        <f t="shared" si="20"/>
        <v>227.89000000000001</v>
      </c>
      <c r="K542" s="42" t="s">
        <v>358</v>
      </c>
      <c r="L542" s="39" t="s">
        <v>77</v>
      </c>
      <c r="M542" s="41">
        <f t="shared" si="19"/>
        <v>3</v>
      </c>
    </row>
    <row r="543" spans="1:13" x14ac:dyDescent="0.3">
      <c r="A543" s="1" t="s">
        <v>61</v>
      </c>
      <c r="B543" s="1" t="s">
        <v>31</v>
      </c>
      <c r="C543" s="1">
        <v>138</v>
      </c>
      <c r="D543" s="1" t="s">
        <v>57</v>
      </c>
      <c r="E543" s="1">
        <v>1</v>
      </c>
      <c r="F543" s="1" t="s">
        <v>75</v>
      </c>
      <c r="G543">
        <v>38</v>
      </c>
      <c r="H543" s="1">
        <v>40</v>
      </c>
      <c r="I543">
        <f>VLOOKUP(C543,[1]M0113A!$A$1:$Z$211,24,TRUE)+(G543/100)</f>
        <v>231.97</v>
      </c>
      <c r="J543">
        <f t="shared" si="20"/>
        <v>231.99</v>
      </c>
      <c r="K543" s="42" t="s">
        <v>359</v>
      </c>
      <c r="L543" s="39" t="s">
        <v>77</v>
      </c>
      <c r="M543" s="41">
        <f t="shared" si="19"/>
        <v>4.0999999999999943</v>
      </c>
    </row>
    <row r="544" spans="1:13" x14ac:dyDescent="0.3">
      <c r="A544" s="1" t="s">
        <v>61</v>
      </c>
      <c r="B544" s="1" t="s">
        <v>31</v>
      </c>
      <c r="C544" s="1">
        <v>139</v>
      </c>
      <c r="D544" s="1" t="s">
        <v>57</v>
      </c>
      <c r="E544" s="1">
        <v>1</v>
      </c>
      <c r="F544" s="1" t="s">
        <v>75</v>
      </c>
      <c r="G544">
        <v>38</v>
      </c>
      <c r="H544" s="1">
        <v>40</v>
      </c>
      <c r="I544">
        <f>VLOOKUP(C544,[1]M0113A!$A$1:$Z$211,24,TRUE)+(G544/100)</f>
        <v>232.54999999999998</v>
      </c>
      <c r="J544">
        <f t="shared" si="20"/>
        <v>232.57</v>
      </c>
      <c r="K544" s="42" t="s">
        <v>359</v>
      </c>
      <c r="L544" s="39" t="s">
        <v>77</v>
      </c>
      <c r="M544" s="41">
        <f t="shared" si="19"/>
        <v>0.57999999999998408</v>
      </c>
    </row>
    <row r="545" spans="1:13" x14ac:dyDescent="0.3">
      <c r="A545" s="1" t="s">
        <v>61</v>
      </c>
      <c r="B545" s="1" t="s">
        <v>31</v>
      </c>
      <c r="C545" s="1">
        <v>140</v>
      </c>
      <c r="D545" s="1" t="s">
        <v>34</v>
      </c>
      <c r="E545" s="1">
        <v>1</v>
      </c>
      <c r="F545" s="1" t="s">
        <v>75</v>
      </c>
      <c r="G545">
        <v>38</v>
      </c>
      <c r="H545" s="1">
        <v>40</v>
      </c>
      <c r="I545">
        <f>VLOOKUP(C545,[1]M0113A!$A$1:$Z$211,24,TRUE)+(G545/100)</f>
        <v>233.24</v>
      </c>
      <c r="J545">
        <f t="shared" si="20"/>
        <v>233.26000000000002</v>
      </c>
      <c r="K545" s="42" t="s">
        <v>360</v>
      </c>
      <c r="L545" s="39" t="s">
        <v>77</v>
      </c>
      <c r="M545" s="41">
        <f t="shared" si="19"/>
        <v>0.69000000000002615</v>
      </c>
    </row>
    <row r="546" spans="1:13" x14ac:dyDescent="0.3">
      <c r="A546" s="1" t="s">
        <v>61</v>
      </c>
      <c r="B546" s="1" t="s">
        <v>31</v>
      </c>
      <c r="C546" s="1">
        <v>141</v>
      </c>
      <c r="D546" s="1" t="s">
        <v>34</v>
      </c>
      <c r="E546" s="1">
        <v>1</v>
      </c>
      <c r="F546" s="1" t="s">
        <v>75</v>
      </c>
      <c r="G546">
        <v>18</v>
      </c>
      <c r="H546" s="1">
        <v>20</v>
      </c>
      <c r="I546">
        <f>VLOOKUP(C546,[1]M0113A!$A$1:$Z$211,24,TRUE)+(G546/100)</f>
        <v>233.67000000000002</v>
      </c>
      <c r="J546">
        <f t="shared" si="20"/>
        <v>233.69000000000003</v>
      </c>
      <c r="K546" s="42" t="s">
        <v>360</v>
      </c>
      <c r="L546" s="39" t="s">
        <v>77</v>
      </c>
      <c r="M546" s="41">
        <f t="shared" si="19"/>
        <v>0.43000000000000682</v>
      </c>
    </row>
    <row r="547" spans="1:13" x14ac:dyDescent="0.3">
      <c r="A547" s="1" t="s">
        <v>61</v>
      </c>
      <c r="B547" s="1" t="s">
        <v>31</v>
      </c>
      <c r="C547" s="1">
        <v>142</v>
      </c>
      <c r="D547" s="1" t="s">
        <v>34</v>
      </c>
      <c r="E547" s="1">
        <v>1</v>
      </c>
      <c r="F547" s="1" t="s">
        <v>75</v>
      </c>
      <c r="G547">
        <v>38</v>
      </c>
      <c r="H547" s="1">
        <v>40</v>
      </c>
      <c r="I547">
        <f>VLOOKUP(C547,[1]M0113A!$A$1:$Z$211,24,TRUE)+(G547/100)</f>
        <v>235.37</v>
      </c>
      <c r="J547">
        <f t="shared" si="20"/>
        <v>235.39000000000001</v>
      </c>
      <c r="K547" s="42" t="s">
        <v>360</v>
      </c>
      <c r="L547" s="39" t="s">
        <v>77</v>
      </c>
      <c r="M547" s="41">
        <f t="shared" si="19"/>
        <v>1.6999999999999886</v>
      </c>
    </row>
    <row r="548" spans="1:13" x14ac:dyDescent="0.3">
      <c r="A548" s="45" t="s">
        <v>61</v>
      </c>
      <c r="B548" s="45" t="s">
        <v>31</v>
      </c>
      <c r="C548" s="45">
        <v>144</v>
      </c>
      <c r="D548" s="45" t="s">
        <v>34</v>
      </c>
      <c r="E548" s="45">
        <v>1</v>
      </c>
      <c r="F548" s="45" t="s">
        <v>75</v>
      </c>
      <c r="G548" s="46">
        <v>38</v>
      </c>
      <c r="H548" s="45">
        <v>40</v>
      </c>
      <c r="I548" s="46">
        <f>VLOOKUP(C548,[1]M0113A!$A$1:$Z$211,24,TRUE)+(G548/100)</f>
        <v>236.87</v>
      </c>
      <c r="J548" s="46">
        <f t="shared" si="20"/>
        <v>236.89000000000001</v>
      </c>
      <c r="K548" s="46" t="s">
        <v>284</v>
      </c>
      <c r="L548" s="49" t="s">
        <v>77</v>
      </c>
      <c r="M548" s="47">
        <f t="shared" si="19"/>
        <v>1.5</v>
      </c>
    </row>
    <row r="549" spans="1:13" x14ac:dyDescent="0.3">
      <c r="A549" s="45" t="s">
        <v>61</v>
      </c>
      <c r="B549" s="45" t="s">
        <v>31</v>
      </c>
      <c r="C549" s="45">
        <v>145</v>
      </c>
      <c r="D549" s="45" t="s">
        <v>34</v>
      </c>
      <c r="E549" s="45">
        <v>1</v>
      </c>
      <c r="F549" s="45" t="s">
        <v>75</v>
      </c>
      <c r="G549" s="46">
        <v>8</v>
      </c>
      <c r="H549" s="45">
        <v>10</v>
      </c>
      <c r="I549" s="46">
        <f>VLOOKUP(C549,[1]M0113A!$A$1:$Z$211,24,TRUE)+(G549/100)</f>
        <v>238.07000000000002</v>
      </c>
      <c r="J549" s="46">
        <f t="shared" si="20"/>
        <v>238.09000000000003</v>
      </c>
      <c r="K549" s="52" t="s">
        <v>284</v>
      </c>
      <c r="L549" s="49" t="s">
        <v>296</v>
      </c>
      <c r="M549" s="47">
        <f t="shared" si="19"/>
        <v>1.2000000000000171</v>
      </c>
    </row>
    <row r="550" spans="1:13" x14ac:dyDescent="0.3">
      <c r="A550" s="45" t="s">
        <v>61</v>
      </c>
      <c r="B550" s="45" t="s">
        <v>31</v>
      </c>
      <c r="C550" s="45">
        <v>146</v>
      </c>
      <c r="D550" s="45" t="s">
        <v>34</v>
      </c>
      <c r="E550" s="45">
        <v>1</v>
      </c>
      <c r="F550" s="45" t="s">
        <v>75</v>
      </c>
      <c r="G550" s="46">
        <v>38</v>
      </c>
      <c r="H550" s="45">
        <v>40</v>
      </c>
      <c r="I550" s="46">
        <f>VLOOKUP(C550,[1]M0113A!$A$1:$Z$211,24,TRUE)+(G550/100)</f>
        <v>239.87</v>
      </c>
      <c r="J550" s="46">
        <f t="shared" si="20"/>
        <v>239.89000000000001</v>
      </c>
      <c r="K550" s="52" t="s">
        <v>284</v>
      </c>
      <c r="L550" s="49" t="s">
        <v>77</v>
      </c>
      <c r="M550" s="47">
        <f t="shared" si="19"/>
        <v>1.7999999999999829</v>
      </c>
    </row>
    <row r="551" spans="1:13" x14ac:dyDescent="0.3">
      <c r="A551" s="45" t="s">
        <v>61</v>
      </c>
      <c r="B551" s="45" t="s">
        <v>31</v>
      </c>
      <c r="C551" s="45">
        <v>148</v>
      </c>
      <c r="D551" s="45" t="s">
        <v>34</v>
      </c>
      <c r="E551" s="45">
        <v>1</v>
      </c>
      <c r="F551" s="45" t="s">
        <v>75</v>
      </c>
      <c r="G551" s="46">
        <v>38</v>
      </c>
      <c r="H551" s="45">
        <v>40</v>
      </c>
      <c r="I551" s="46">
        <f>VLOOKUP(C551,[1]M0113A!$A$1:$Z$211,24,TRUE)+(G551/100)</f>
        <v>242.87</v>
      </c>
      <c r="J551" s="46">
        <f t="shared" si="20"/>
        <v>242.89000000000001</v>
      </c>
      <c r="K551" s="52" t="s">
        <v>284</v>
      </c>
      <c r="L551" s="49" t="s">
        <v>77</v>
      </c>
      <c r="M551" s="47">
        <f t="shared" si="19"/>
        <v>3</v>
      </c>
    </row>
    <row r="552" spans="1:13" x14ac:dyDescent="0.3">
      <c r="A552" s="1" t="s">
        <v>61</v>
      </c>
      <c r="B552" s="1" t="s">
        <v>31</v>
      </c>
      <c r="C552" s="1">
        <v>149</v>
      </c>
      <c r="D552" s="1" t="s">
        <v>34</v>
      </c>
      <c r="E552" s="1">
        <v>1</v>
      </c>
      <c r="F552" s="1" t="s">
        <v>75</v>
      </c>
      <c r="G552">
        <v>38</v>
      </c>
      <c r="H552" s="1">
        <v>40</v>
      </c>
      <c r="I552">
        <f>VLOOKUP(C552,[1]M0113A!$A$1:$Z$211,24,TRUE)+(G552/100)</f>
        <v>244.37</v>
      </c>
      <c r="J552">
        <f t="shared" si="20"/>
        <v>244.39000000000001</v>
      </c>
      <c r="K552" t="s">
        <v>361</v>
      </c>
      <c r="L552" s="39" t="s">
        <v>77</v>
      </c>
      <c r="M552" s="41">
        <f t="shared" si="19"/>
        <v>1.5</v>
      </c>
    </row>
    <row r="553" spans="1:13" x14ac:dyDescent="0.3">
      <c r="A553" s="1" t="s">
        <v>61</v>
      </c>
      <c r="B553" s="1" t="s">
        <v>31</v>
      </c>
      <c r="C553" s="1">
        <v>150</v>
      </c>
      <c r="D553" s="1" t="s">
        <v>34</v>
      </c>
      <c r="E553" s="1">
        <v>1</v>
      </c>
      <c r="F553" s="1" t="s">
        <v>75</v>
      </c>
      <c r="G553">
        <v>38</v>
      </c>
      <c r="H553" s="1">
        <v>40</v>
      </c>
      <c r="I553">
        <f>VLOOKUP(C553,[1]M0113A!$A$1:$Z$211,24,TRUE)+(G553/100)</f>
        <v>245.87</v>
      </c>
      <c r="J553">
        <f t="shared" si="20"/>
        <v>245.89000000000001</v>
      </c>
      <c r="K553" t="s">
        <v>362</v>
      </c>
      <c r="L553" s="39" t="s">
        <v>77</v>
      </c>
      <c r="M553" s="41">
        <f t="shared" si="19"/>
        <v>1.5</v>
      </c>
    </row>
    <row r="554" spans="1:13" x14ac:dyDescent="0.3">
      <c r="A554" s="1" t="s">
        <v>61</v>
      </c>
      <c r="B554" s="1" t="s">
        <v>31</v>
      </c>
      <c r="C554" s="1">
        <v>151</v>
      </c>
      <c r="D554" s="1" t="s">
        <v>34</v>
      </c>
      <c r="E554" s="1">
        <v>1</v>
      </c>
      <c r="F554" s="1" t="s">
        <v>75</v>
      </c>
      <c r="G554">
        <v>38</v>
      </c>
      <c r="H554" s="1">
        <v>40</v>
      </c>
      <c r="I554">
        <f>VLOOKUP(C554,[1]M0113A!$A$1:$Z$211,24,TRUE)+(G554/100)</f>
        <v>247.37</v>
      </c>
      <c r="J554">
        <f t="shared" si="20"/>
        <v>247.39000000000001</v>
      </c>
      <c r="K554" t="s">
        <v>363</v>
      </c>
      <c r="L554" s="39" t="s">
        <v>77</v>
      </c>
      <c r="M554" s="41">
        <f t="shared" si="19"/>
        <v>1.5</v>
      </c>
    </row>
    <row r="555" spans="1:13" x14ac:dyDescent="0.3">
      <c r="A555" s="1" t="s">
        <v>61</v>
      </c>
      <c r="B555" s="1" t="s">
        <v>31</v>
      </c>
      <c r="C555" s="1">
        <v>152</v>
      </c>
      <c r="D555" s="1" t="s">
        <v>34</v>
      </c>
      <c r="E555" s="1">
        <v>1</v>
      </c>
      <c r="F555" s="1" t="s">
        <v>75</v>
      </c>
      <c r="G555">
        <v>38</v>
      </c>
      <c r="H555" s="1">
        <v>40</v>
      </c>
      <c r="I555">
        <f>VLOOKUP(C555,[1]M0113A!$A$1:$Z$211,24,TRUE)+(G555/100)</f>
        <v>248.87</v>
      </c>
      <c r="J555">
        <f t="shared" si="20"/>
        <v>248.89000000000001</v>
      </c>
      <c r="K555" t="s">
        <v>364</v>
      </c>
      <c r="L555" s="39" t="s">
        <v>77</v>
      </c>
      <c r="M555" s="41">
        <f t="shared" si="19"/>
        <v>1.5</v>
      </c>
    </row>
    <row r="556" spans="1:13" x14ac:dyDescent="0.3">
      <c r="A556" s="1" t="s">
        <v>61</v>
      </c>
      <c r="B556" s="1" t="s">
        <v>31</v>
      </c>
      <c r="C556" s="1">
        <v>153</v>
      </c>
      <c r="D556" s="1" t="s">
        <v>34</v>
      </c>
      <c r="E556" s="1">
        <v>1</v>
      </c>
      <c r="F556" s="1" t="s">
        <v>75</v>
      </c>
      <c r="G556">
        <v>8</v>
      </c>
      <c r="H556" s="1">
        <v>10</v>
      </c>
      <c r="I556">
        <f>VLOOKUP(C556,[1]M0113A!$A$1:$Z$211,24,TRUE)+(G556/100)</f>
        <v>250.07000000000002</v>
      </c>
      <c r="J556">
        <f t="shared" si="20"/>
        <v>250.09000000000003</v>
      </c>
      <c r="K556" s="42" t="s">
        <v>365</v>
      </c>
      <c r="L556" s="39" t="s">
        <v>82</v>
      </c>
      <c r="M556" s="41">
        <f t="shared" si="19"/>
        <v>1.2000000000000171</v>
      </c>
    </row>
    <row r="557" spans="1:13" x14ac:dyDescent="0.3">
      <c r="A557" s="1" t="s">
        <v>61</v>
      </c>
      <c r="B557" s="1" t="s">
        <v>31</v>
      </c>
      <c r="C557" s="1">
        <v>154</v>
      </c>
      <c r="D557" s="1" t="s">
        <v>34</v>
      </c>
      <c r="E557" s="1">
        <v>1</v>
      </c>
      <c r="F557" s="1" t="s">
        <v>75</v>
      </c>
      <c r="G557">
        <v>8</v>
      </c>
      <c r="H557" s="1">
        <v>10</v>
      </c>
      <c r="I557">
        <f>VLOOKUP(C557,[1]M0113A!$A$1:$Z$211,24,TRUE)+(G557/100)</f>
        <v>250.92000000000002</v>
      </c>
      <c r="J557">
        <f t="shared" si="20"/>
        <v>250.94000000000003</v>
      </c>
      <c r="K557" s="42" t="s">
        <v>365</v>
      </c>
      <c r="L557" s="39" t="s">
        <v>77</v>
      </c>
      <c r="M557" s="41">
        <f t="shared" si="19"/>
        <v>0.84999999999999432</v>
      </c>
    </row>
    <row r="558" spans="1:13" x14ac:dyDescent="0.3">
      <c r="A558" s="1" t="s">
        <v>61</v>
      </c>
      <c r="B558" s="1" t="s">
        <v>31</v>
      </c>
      <c r="C558" s="1">
        <v>156</v>
      </c>
      <c r="D558" s="1" t="s">
        <v>57</v>
      </c>
      <c r="E558" s="1">
        <v>1</v>
      </c>
      <c r="F558" s="1" t="s">
        <v>75</v>
      </c>
      <c r="G558">
        <v>38</v>
      </c>
      <c r="H558" s="1">
        <v>40</v>
      </c>
      <c r="I558">
        <f>VLOOKUP(C558,[1]M0113A!$A$1:$Z$211,24,TRUE)+(G558/100)</f>
        <v>253.37</v>
      </c>
      <c r="J558">
        <f t="shared" si="20"/>
        <v>253.39000000000001</v>
      </c>
      <c r="K558" s="42" t="s">
        <v>365</v>
      </c>
      <c r="L558" s="39" t="s">
        <v>77</v>
      </c>
      <c r="M558" s="41">
        <f t="shared" si="19"/>
        <v>2.4499999999999886</v>
      </c>
    </row>
    <row r="559" spans="1:13" x14ac:dyDescent="0.3">
      <c r="A559" s="1" t="s">
        <v>61</v>
      </c>
      <c r="B559" s="1" t="s">
        <v>31</v>
      </c>
      <c r="C559" s="1">
        <v>157</v>
      </c>
      <c r="D559" s="1" t="s">
        <v>57</v>
      </c>
      <c r="E559" s="1">
        <v>1</v>
      </c>
      <c r="F559" s="1" t="s">
        <v>75</v>
      </c>
      <c r="G559">
        <v>38</v>
      </c>
      <c r="H559" s="1">
        <v>40</v>
      </c>
      <c r="I559">
        <f>VLOOKUP(C559,[1]M0113A!$A$1:$Z$211,24,TRUE)+(G559/100)</f>
        <v>254.53</v>
      </c>
      <c r="J559">
        <f t="shared" si="20"/>
        <v>254.55</v>
      </c>
      <c r="K559" s="42" t="s">
        <v>365</v>
      </c>
      <c r="L559" s="39" t="s">
        <v>77</v>
      </c>
      <c r="M559" s="41">
        <f t="shared" si="19"/>
        <v>1.1599999999999966</v>
      </c>
    </row>
    <row r="560" spans="1:13" x14ac:dyDescent="0.3">
      <c r="A560" s="1" t="s">
        <v>61</v>
      </c>
      <c r="B560" s="1" t="s">
        <v>31</v>
      </c>
      <c r="C560" s="1">
        <v>159</v>
      </c>
      <c r="D560" s="1" t="s">
        <v>57</v>
      </c>
      <c r="E560" s="1">
        <v>1</v>
      </c>
      <c r="F560" s="1" t="s">
        <v>75</v>
      </c>
      <c r="G560">
        <v>38</v>
      </c>
      <c r="H560" s="1">
        <v>40</v>
      </c>
      <c r="I560">
        <f>VLOOKUP(C560,[1]M0113A!$A$1:$Z$211,24,TRUE)+(G560/100)</f>
        <v>256.94</v>
      </c>
      <c r="J560">
        <f t="shared" si="20"/>
        <v>256.95999999999998</v>
      </c>
      <c r="K560" s="42" t="s">
        <v>366</v>
      </c>
      <c r="L560" s="39" t="s">
        <v>77</v>
      </c>
      <c r="M560" s="41">
        <f t="shared" si="19"/>
        <v>2.4099999999999966</v>
      </c>
    </row>
    <row r="561" spans="1:13" x14ac:dyDescent="0.3">
      <c r="A561" s="1" t="s">
        <v>61</v>
      </c>
      <c r="B561" s="1" t="s">
        <v>31</v>
      </c>
      <c r="C561" s="1">
        <v>160</v>
      </c>
      <c r="D561" s="1" t="s">
        <v>57</v>
      </c>
      <c r="E561" s="1">
        <v>1</v>
      </c>
      <c r="F561" s="1" t="s">
        <v>75</v>
      </c>
      <c r="G561">
        <v>38</v>
      </c>
      <c r="H561" s="1">
        <v>40</v>
      </c>
      <c r="I561">
        <f>VLOOKUP(C561,[1]M0113A!$A$1:$Z$211,24,TRUE)+(G561/100)</f>
        <v>258.67</v>
      </c>
      <c r="J561">
        <f t="shared" si="20"/>
        <v>258.69</v>
      </c>
      <c r="K561" s="42" t="s">
        <v>366</v>
      </c>
      <c r="L561" s="39" t="s">
        <v>77</v>
      </c>
      <c r="M561" s="41">
        <f t="shared" si="19"/>
        <v>1.7300000000000182</v>
      </c>
    </row>
    <row r="562" spans="1:13" x14ac:dyDescent="0.3">
      <c r="A562" s="1" t="s">
        <v>61</v>
      </c>
      <c r="B562" s="1" t="s">
        <v>31</v>
      </c>
      <c r="C562" s="1">
        <v>161</v>
      </c>
      <c r="D562" s="1" t="s">
        <v>57</v>
      </c>
      <c r="E562" s="1">
        <v>1</v>
      </c>
      <c r="F562" s="1" t="s">
        <v>75</v>
      </c>
      <c r="G562">
        <v>8</v>
      </c>
      <c r="H562" s="1">
        <v>10</v>
      </c>
      <c r="I562">
        <f>VLOOKUP(C562,[1]M0113A!$A$1:$Z$211,24,TRUE)+(G562/100)</f>
        <v>260.06</v>
      </c>
      <c r="J562">
        <f t="shared" si="20"/>
        <v>260.08</v>
      </c>
      <c r="K562" s="42" t="s">
        <v>366</v>
      </c>
      <c r="L562" s="39" t="s">
        <v>82</v>
      </c>
      <c r="M562" s="41">
        <f t="shared" ref="M562:M604" si="21">I562-I561</f>
        <v>1.3899999999999864</v>
      </c>
    </row>
    <row r="563" spans="1:13" x14ac:dyDescent="0.3">
      <c r="A563" s="1" t="s">
        <v>61</v>
      </c>
      <c r="B563" s="1" t="s">
        <v>31</v>
      </c>
      <c r="C563" s="1">
        <v>163</v>
      </c>
      <c r="D563" s="1" t="s">
        <v>57</v>
      </c>
      <c r="E563" s="1">
        <v>1</v>
      </c>
      <c r="F563" s="1" t="s">
        <v>75</v>
      </c>
      <c r="G563">
        <v>38</v>
      </c>
      <c r="H563" s="1">
        <v>40</v>
      </c>
      <c r="I563">
        <f>VLOOKUP(C563,[1]M0113A!$A$1:$Z$211,24,TRUE)+(G563/100)</f>
        <v>262.01</v>
      </c>
      <c r="J563">
        <f t="shared" si="20"/>
        <v>262.02999999999997</v>
      </c>
      <c r="K563" s="42" t="s">
        <v>366</v>
      </c>
      <c r="L563" s="39" t="s">
        <v>77</v>
      </c>
      <c r="M563" s="41">
        <f t="shared" si="21"/>
        <v>1.9499999999999886</v>
      </c>
    </row>
    <row r="564" spans="1:13" x14ac:dyDescent="0.3">
      <c r="A564" s="1" t="s">
        <v>61</v>
      </c>
      <c r="B564" s="1" t="s">
        <v>31</v>
      </c>
      <c r="C564" s="1">
        <v>164</v>
      </c>
      <c r="D564" s="1" t="s">
        <v>57</v>
      </c>
      <c r="E564" s="1">
        <v>1</v>
      </c>
      <c r="F564" s="1" t="s">
        <v>75</v>
      </c>
      <c r="G564">
        <v>38</v>
      </c>
      <c r="H564" s="1">
        <v>40</v>
      </c>
      <c r="I564">
        <f>VLOOKUP(C564,[1]M0113A!$A$1:$Z$211,24,TRUE)+(G564/100)</f>
        <v>262.87</v>
      </c>
      <c r="J564">
        <f t="shared" si="20"/>
        <v>262.89</v>
      </c>
      <c r="K564" s="42" t="s">
        <v>366</v>
      </c>
      <c r="L564" s="39" t="s">
        <v>77</v>
      </c>
      <c r="M564" s="41">
        <f t="shared" si="21"/>
        <v>0.86000000000001364</v>
      </c>
    </row>
    <row r="565" spans="1:13" x14ac:dyDescent="0.3">
      <c r="A565" s="1" t="s">
        <v>61</v>
      </c>
      <c r="B565" s="1" t="s">
        <v>31</v>
      </c>
      <c r="C565" s="1">
        <v>165</v>
      </c>
      <c r="D565" s="1" t="s">
        <v>57</v>
      </c>
      <c r="E565" s="1">
        <v>1</v>
      </c>
      <c r="F565" s="1" t="s">
        <v>75</v>
      </c>
      <c r="G565">
        <v>38</v>
      </c>
      <c r="H565" s="1">
        <v>40</v>
      </c>
      <c r="I565">
        <f>VLOOKUP(C565,[1]M0113A!$A$1:$Z$211,24,TRUE)+(G565/100)</f>
        <v>263.3</v>
      </c>
      <c r="J565">
        <f t="shared" si="20"/>
        <v>263.32</v>
      </c>
      <c r="K565" s="42" t="s">
        <v>366</v>
      </c>
      <c r="L565" s="39" t="s">
        <v>77</v>
      </c>
      <c r="M565" s="41">
        <f t="shared" si="21"/>
        <v>0.43000000000000682</v>
      </c>
    </row>
    <row r="566" spans="1:13" x14ac:dyDescent="0.3">
      <c r="A566" s="1" t="s">
        <v>61</v>
      </c>
      <c r="B566" s="1" t="s">
        <v>31</v>
      </c>
      <c r="C566" s="1">
        <v>166</v>
      </c>
      <c r="D566" s="1" t="s">
        <v>57</v>
      </c>
      <c r="E566" s="1">
        <v>1</v>
      </c>
      <c r="F566" s="1" t="s">
        <v>75</v>
      </c>
      <c r="G566">
        <v>38</v>
      </c>
      <c r="H566" s="1">
        <v>40</v>
      </c>
      <c r="I566">
        <f>VLOOKUP(C566,[1]M0113A!$A$1:$Z$211,24,TRUE)+(G566/100)</f>
        <v>265.44</v>
      </c>
      <c r="J566">
        <f t="shared" si="20"/>
        <v>265.45999999999998</v>
      </c>
      <c r="K566" s="42" t="s">
        <v>366</v>
      </c>
      <c r="L566" s="39" t="s">
        <v>77</v>
      </c>
      <c r="M566" s="41">
        <f t="shared" si="21"/>
        <v>2.1399999999999864</v>
      </c>
    </row>
    <row r="567" spans="1:13" x14ac:dyDescent="0.3">
      <c r="A567" s="1" t="s">
        <v>61</v>
      </c>
      <c r="B567" s="1" t="s">
        <v>31</v>
      </c>
      <c r="C567" s="1">
        <v>167</v>
      </c>
      <c r="D567" s="1" t="s">
        <v>57</v>
      </c>
      <c r="E567" s="1">
        <v>1</v>
      </c>
      <c r="F567" s="1" t="s">
        <v>75</v>
      </c>
      <c r="G567">
        <v>38</v>
      </c>
      <c r="H567" s="1">
        <v>40</v>
      </c>
      <c r="I567">
        <f>VLOOKUP(C567,[1]M0113A!$A$1:$Z$211,24,TRUE)+(G567/100)</f>
        <v>267.15999999999997</v>
      </c>
      <c r="J567">
        <f t="shared" si="20"/>
        <v>267.17999999999995</v>
      </c>
      <c r="K567" s="42" t="s">
        <v>366</v>
      </c>
      <c r="L567" s="39" t="s">
        <v>77</v>
      </c>
      <c r="M567" s="41">
        <f t="shared" si="21"/>
        <v>1.7199999999999704</v>
      </c>
    </row>
    <row r="568" spans="1:13" x14ac:dyDescent="0.3">
      <c r="A568" s="1" t="s">
        <v>61</v>
      </c>
      <c r="B568" s="1" t="s">
        <v>31</v>
      </c>
      <c r="C568" s="1">
        <v>168</v>
      </c>
      <c r="D568" s="1" t="s">
        <v>57</v>
      </c>
      <c r="E568" s="1">
        <v>1</v>
      </c>
      <c r="F568" s="1" t="s">
        <v>75</v>
      </c>
      <c r="G568">
        <v>38</v>
      </c>
      <c r="H568" s="1">
        <v>40</v>
      </c>
      <c r="I568">
        <f>VLOOKUP(C568,[1]M0113A!$A$1:$Z$211,24,TRUE)+(G568/100)</f>
        <v>269.40999999999997</v>
      </c>
      <c r="J568">
        <f t="shared" si="20"/>
        <v>269.42999999999995</v>
      </c>
      <c r="K568" s="42" t="s">
        <v>367</v>
      </c>
      <c r="L568" s="39" t="s">
        <v>77</v>
      </c>
      <c r="M568" s="41">
        <f t="shared" si="21"/>
        <v>2.25</v>
      </c>
    </row>
    <row r="569" spans="1:13" x14ac:dyDescent="0.3">
      <c r="A569" s="1" t="s">
        <v>61</v>
      </c>
      <c r="B569" s="1" t="s">
        <v>31</v>
      </c>
      <c r="C569" s="1">
        <v>169</v>
      </c>
      <c r="D569" s="1" t="s">
        <v>57</v>
      </c>
      <c r="E569" s="1">
        <v>1</v>
      </c>
      <c r="F569" s="1" t="s">
        <v>75</v>
      </c>
      <c r="G569">
        <v>38</v>
      </c>
      <c r="H569" s="1">
        <v>40</v>
      </c>
      <c r="I569">
        <f>VLOOKUP(C569,[1]M0113A!$A$1:$Z$211,24,TRUE)+(G569/100)</f>
        <v>271.33</v>
      </c>
      <c r="J569">
        <f t="shared" si="20"/>
        <v>271.34999999999997</v>
      </c>
      <c r="K569" s="42" t="s">
        <v>368</v>
      </c>
      <c r="L569" s="39" t="s">
        <v>77</v>
      </c>
      <c r="M569" s="41">
        <f t="shared" si="21"/>
        <v>1.9200000000000159</v>
      </c>
    </row>
    <row r="570" spans="1:13" x14ac:dyDescent="0.3">
      <c r="A570" s="1" t="s">
        <v>61</v>
      </c>
      <c r="B570" s="1" t="s">
        <v>31</v>
      </c>
      <c r="C570" s="1">
        <v>171</v>
      </c>
      <c r="D570" s="1" t="s">
        <v>57</v>
      </c>
      <c r="E570" s="1">
        <v>1</v>
      </c>
      <c r="F570" s="1" t="s">
        <v>75</v>
      </c>
      <c r="G570">
        <v>38</v>
      </c>
      <c r="H570" s="1">
        <v>40</v>
      </c>
      <c r="I570">
        <f>VLOOKUP(C570,[1]M0113A!$A$1:$Z$211,24,TRUE)+(G570/100)</f>
        <v>273.33999999999997</v>
      </c>
      <c r="J570">
        <f t="shared" si="20"/>
        <v>273.35999999999996</v>
      </c>
      <c r="K570" s="42" t="s">
        <v>369</v>
      </c>
      <c r="L570" s="39" t="s">
        <v>77</v>
      </c>
      <c r="M570" s="41">
        <f t="shared" si="21"/>
        <v>2.0099999999999909</v>
      </c>
    </row>
    <row r="571" spans="1:13" x14ac:dyDescent="0.3">
      <c r="A571" s="1" t="s">
        <v>61</v>
      </c>
      <c r="B571" s="1" t="s">
        <v>31</v>
      </c>
      <c r="C571" s="1">
        <v>172</v>
      </c>
      <c r="D571" s="1" t="s">
        <v>57</v>
      </c>
      <c r="E571" s="1">
        <v>1</v>
      </c>
      <c r="F571" s="1" t="s">
        <v>75</v>
      </c>
      <c r="G571">
        <v>38</v>
      </c>
      <c r="H571" s="1">
        <v>40</v>
      </c>
      <c r="I571">
        <f>VLOOKUP(C571,[1]M0113A!$A$1:$Z$211,24,TRUE)+(G571/100)</f>
        <v>274.83999999999997</v>
      </c>
      <c r="J571">
        <f t="shared" si="20"/>
        <v>274.85999999999996</v>
      </c>
      <c r="K571" s="42" t="s">
        <v>369</v>
      </c>
      <c r="L571" s="39" t="s">
        <v>77</v>
      </c>
      <c r="M571" s="41">
        <f t="shared" si="21"/>
        <v>1.5</v>
      </c>
    </row>
    <row r="572" spans="1:13" x14ac:dyDescent="0.3">
      <c r="A572" s="1" t="s">
        <v>61</v>
      </c>
      <c r="B572" s="1" t="s">
        <v>31</v>
      </c>
      <c r="C572" s="1">
        <v>173</v>
      </c>
      <c r="D572" s="1" t="s">
        <v>57</v>
      </c>
      <c r="E572" s="1">
        <v>1</v>
      </c>
      <c r="F572" s="1" t="s">
        <v>75</v>
      </c>
      <c r="G572">
        <v>38</v>
      </c>
      <c r="H572" s="1">
        <v>40</v>
      </c>
      <c r="I572">
        <f>VLOOKUP(C572,[1]M0113A!$A$1:$Z$211,24,TRUE)+(G572/100)</f>
        <v>277.21999999999997</v>
      </c>
      <c r="J572">
        <f t="shared" si="20"/>
        <v>277.23999999999995</v>
      </c>
      <c r="K572" s="42" t="s">
        <v>337</v>
      </c>
      <c r="L572" s="39" t="s">
        <v>77</v>
      </c>
      <c r="M572" s="41">
        <f t="shared" si="21"/>
        <v>2.3799999999999955</v>
      </c>
    </row>
    <row r="573" spans="1:13" x14ac:dyDescent="0.3">
      <c r="A573" s="1" t="s">
        <v>61</v>
      </c>
      <c r="B573" s="1" t="s">
        <v>31</v>
      </c>
      <c r="C573" s="1">
        <v>175</v>
      </c>
      <c r="D573" s="1" t="s">
        <v>34</v>
      </c>
      <c r="E573" s="1">
        <v>1</v>
      </c>
      <c r="F573" s="1" t="s">
        <v>75</v>
      </c>
      <c r="G573">
        <v>38</v>
      </c>
      <c r="H573" s="1">
        <v>40</v>
      </c>
      <c r="I573">
        <f>VLOOKUP(C573,[1]M0113A!$A$1:$Z$211,24,TRUE)+(G573/100)</f>
        <v>278.12</v>
      </c>
      <c r="J573">
        <f t="shared" si="20"/>
        <v>278.14</v>
      </c>
      <c r="K573" s="42" t="s">
        <v>370</v>
      </c>
      <c r="L573" s="39" t="s">
        <v>77</v>
      </c>
      <c r="M573" s="41">
        <f t="shared" si="21"/>
        <v>0.90000000000003411</v>
      </c>
    </row>
    <row r="574" spans="1:13" x14ac:dyDescent="0.3">
      <c r="A574" s="1" t="s">
        <v>61</v>
      </c>
      <c r="B574" s="1" t="s">
        <v>31</v>
      </c>
      <c r="C574" s="1">
        <v>176</v>
      </c>
      <c r="D574" s="1" t="s">
        <v>34</v>
      </c>
      <c r="E574" s="1">
        <v>1</v>
      </c>
      <c r="F574" s="1" t="s">
        <v>75</v>
      </c>
      <c r="G574">
        <v>28</v>
      </c>
      <c r="H574" s="1">
        <v>30</v>
      </c>
      <c r="I574">
        <f>VLOOKUP(C574,[1]M0113A!$A$1:$Z$211,24,TRUE)+(G574/100)</f>
        <v>280.02</v>
      </c>
      <c r="J574">
        <f t="shared" si="20"/>
        <v>280.03999999999996</v>
      </c>
      <c r="K574" s="42" t="s">
        <v>370</v>
      </c>
      <c r="L574" s="39" t="s">
        <v>82</v>
      </c>
      <c r="M574" s="41">
        <f t="shared" si="21"/>
        <v>1.8999999999999773</v>
      </c>
    </row>
    <row r="575" spans="1:13" x14ac:dyDescent="0.3">
      <c r="A575" s="1" t="s">
        <v>61</v>
      </c>
      <c r="B575" s="1" t="s">
        <v>31</v>
      </c>
      <c r="C575" s="1">
        <v>177</v>
      </c>
      <c r="D575" s="1" t="s">
        <v>57</v>
      </c>
      <c r="E575" s="1">
        <v>1</v>
      </c>
      <c r="F575" s="1" t="s">
        <v>75</v>
      </c>
      <c r="G575">
        <v>38</v>
      </c>
      <c r="H575" s="1">
        <v>40</v>
      </c>
      <c r="I575">
        <f>VLOOKUP(C575,[1]M0113A!$A$1:$Z$211,24,TRUE)+(G575/100)</f>
        <v>281.87</v>
      </c>
      <c r="J575">
        <f t="shared" si="20"/>
        <v>281.89</v>
      </c>
      <c r="K575" t="s">
        <v>371</v>
      </c>
      <c r="L575" s="39" t="s">
        <v>77</v>
      </c>
      <c r="M575" s="41">
        <f t="shared" si="21"/>
        <v>1.8500000000000227</v>
      </c>
    </row>
    <row r="576" spans="1:13" x14ac:dyDescent="0.3">
      <c r="A576" s="1" t="s">
        <v>61</v>
      </c>
      <c r="B576" s="1" t="s">
        <v>31</v>
      </c>
      <c r="C576" s="1">
        <v>178</v>
      </c>
      <c r="D576" s="1" t="s">
        <v>57</v>
      </c>
      <c r="E576" s="1">
        <v>1</v>
      </c>
      <c r="F576" s="1" t="s">
        <v>75</v>
      </c>
      <c r="G576">
        <v>38</v>
      </c>
      <c r="H576" s="1">
        <v>40</v>
      </c>
      <c r="I576">
        <f>VLOOKUP(C576,[1]M0113A!$A$1:$Z$211,24,TRUE)+(G576/100)</f>
        <v>283.27</v>
      </c>
      <c r="J576">
        <f t="shared" ref="J576:J604" si="22">I576+0.02</f>
        <v>283.28999999999996</v>
      </c>
      <c r="K576" t="s">
        <v>371</v>
      </c>
      <c r="L576" s="39" t="s">
        <v>77</v>
      </c>
      <c r="M576" s="41">
        <f t="shared" si="21"/>
        <v>1.3999999999999773</v>
      </c>
    </row>
    <row r="577" spans="1:13" x14ac:dyDescent="0.3">
      <c r="A577" s="1" t="s">
        <v>61</v>
      </c>
      <c r="B577" s="1" t="s">
        <v>31</v>
      </c>
      <c r="C577" s="1">
        <v>179</v>
      </c>
      <c r="D577" s="1" t="s">
        <v>57</v>
      </c>
      <c r="E577" s="1">
        <v>1</v>
      </c>
      <c r="F577" s="1" t="s">
        <v>75</v>
      </c>
      <c r="G577">
        <v>38</v>
      </c>
      <c r="H577" s="1">
        <v>40</v>
      </c>
      <c r="I577">
        <f>VLOOKUP(C577,[1]M0113A!$A$1:$Z$211,24,TRUE)+(G577/100)</f>
        <v>285.17</v>
      </c>
      <c r="J577">
        <f t="shared" si="22"/>
        <v>285.19</v>
      </c>
      <c r="K577" s="42" t="s">
        <v>372</v>
      </c>
      <c r="L577" s="39" t="s">
        <v>77</v>
      </c>
      <c r="M577" s="41">
        <f t="shared" si="21"/>
        <v>1.9000000000000341</v>
      </c>
    </row>
    <row r="578" spans="1:13" x14ac:dyDescent="0.3">
      <c r="A578" s="1" t="s">
        <v>61</v>
      </c>
      <c r="B578" s="1" t="s">
        <v>31</v>
      </c>
      <c r="C578" s="1">
        <v>180</v>
      </c>
      <c r="D578" s="1" t="s">
        <v>57</v>
      </c>
      <c r="E578" s="1">
        <v>1</v>
      </c>
      <c r="F578" s="1" t="s">
        <v>75</v>
      </c>
      <c r="G578">
        <v>38</v>
      </c>
      <c r="H578" s="1">
        <v>40</v>
      </c>
      <c r="I578">
        <f>VLOOKUP(C578,[1]M0113A!$A$1:$Z$211,24,TRUE)+(G578/100)</f>
        <v>286.46999999999997</v>
      </c>
      <c r="J578">
        <f t="shared" si="22"/>
        <v>286.48999999999995</v>
      </c>
      <c r="K578" s="42" t="s">
        <v>373</v>
      </c>
      <c r="L578" s="39" t="s">
        <v>77</v>
      </c>
      <c r="M578" s="41">
        <f t="shared" si="21"/>
        <v>1.2999999999999545</v>
      </c>
    </row>
    <row r="579" spans="1:13" x14ac:dyDescent="0.3">
      <c r="A579" s="1" t="s">
        <v>61</v>
      </c>
      <c r="B579" s="1" t="s">
        <v>31</v>
      </c>
      <c r="C579" s="1">
        <v>181</v>
      </c>
      <c r="D579" s="1" t="s">
        <v>57</v>
      </c>
      <c r="E579" s="1">
        <v>1</v>
      </c>
      <c r="F579" s="1" t="s">
        <v>75</v>
      </c>
      <c r="G579">
        <v>38</v>
      </c>
      <c r="H579" s="1">
        <v>40</v>
      </c>
      <c r="I579">
        <f>VLOOKUP(C579,[1]M0113A!$A$1:$Z$211,24,TRUE)+(G579/100)</f>
        <v>287.37</v>
      </c>
      <c r="J579">
        <f t="shared" si="22"/>
        <v>287.39</v>
      </c>
      <c r="K579" s="42" t="s">
        <v>373</v>
      </c>
      <c r="L579" s="39" t="s">
        <v>77</v>
      </c>
      <c r="M579" s="41">
        <f t="shared" si="21"/>
        <v>0.90000000000003411</v>
      </c>
    </row>
    <row r="580" spans="1:13" x14ac:dyDescent="0.3">
      <c r="A580" s="1" t="s">
        <v>61</v>
      </c>
      <c r="B580" s="1" t="s">
        <v>31</v>
      </c>
      <c r="C580" s="1">
        <v>182</v>
      </c>
      <c r="D580" s="1" t="s">
        <v>57</v>
      </c>
      <c r="E580" s="1">
        <v>1</v>
      </c>
      <c r="F580" s="1" t="s">
        <v>75</v>
      </c>
      <c r="G580">
        <v>38</v>
      </c>
      <c r="H580" s="1">
        <v>40</v>
      </c>
      <c r="I580">
        <f>VLOOKUP(C580,[1]M0113A!$A$1:$Z$211,24,TRUE)+(G580/100)</f>
        <v>288.77999999999997</v>
      </c>
      <c r="J580">
        <f t="shared" si="22"/>
        <v>288.79999999999995</v>
      </c>
      <c r="K580" s="42" t="s">
        <v>373</v>
      </c>
      <c r="L580" s="39" t="s">
        <v>77</v>
      </c>
      <c r="M580" s="41">
        <f t="shared" si="21"/>
        <v>1.4099999999999682</v>
      </c>
    </row>
    <row r="581" spans="1:13" x14ac:dyDescent="0.3">
      <c r="A581" s="1" t="s">
        <v>61</v>
      </c>
      <c r="B581" s="1" t="s">
        <v>31</v>
      </c>
      <c r="C581" s="1">
        <v>184</v>
      </c>
      <c r="D581" s="1" t="s">
        <v>57</v>
      </c>
      <c r="E581" s="1">
        <v>1</v>
      </c>
      <c r="F581" s="1" t="s">
        <v>75</v>
      </c>
      <c r="G581">
        <v>38</v>
      </c>
      <c r="H581" s="1">
        <v>40</v>
      </c>
      <c r="I581">
        <f>VLOOKUP(C581,[1]M0113A!$A$1:$Z$211,24,TRUE)+(G581/100)</f>
        <v>291.27</v>
      </c>
      <c r="J581">
        <f t="shared" si="22"/>
        <v>291.28999999999996</v>
      </c>
      <c r="K581" s="42" t="s">
        <v>374</v>
      </c>
      <c r="L581" s="39" t="s">
        <v>77</v>
      </c>
      <c r="M581" s="41">
        <f t="shared" si="21"/>
        <v>2.4900000000000091</v>
      </c>
    </row>
    <row r="582" spans="1:13" x14ac:dyDescent="0.3">
      <c r="A582" s="1" t="s">
        <v>61</v>
      </c>
      <c r="B582" s="1" t="s">
        <v>31</v>
      </c>
      <c r="C582" s="1">
        <v>185</v>
      </c>
      <c r="D582" s="1" t="s">
        <v>57</v>
      </c>
      <c r="E582" s="1">
        <v>1</v>
      </c>
      <c r="F582" s="1" t="s">
        <v>75</v>
      </c>
      <c r="G582">
        <v>38</v>
      </c>
      <c r="H582" s="1">
        <v>40</v>
      </c>
      <c r="I582">
        <f>VLOOKUP(C582,[1]M0113A!$A$1:$Z$211,24,TRUE)+(G582/100)</f>
        <v>292.57</v>
      </c>
      <c r="J582">
        <f t="shared" si="22"/>
        <v>292.58999999999997</v>
      </c>
      <c r="K582" s="42" t="s">
        <v>374</v>
      </c>
      <c r="L582" s="39" t="s">
        <v>77</v>
      </c>
      <c r="M582" s="41">
        <f t="shared" si="21"/>
        <v>1.3000000000000114</v>
      </c>
    </row>
    <row r="583" spans="1:13" x14ac:dyDescent="0.3">
      <c r="A583" s="1" t="s">
        <v>61</v>
      </c>
      <c r="B583" s="1" t="s">
        <v>31</v>
      </c>
      <c r="C583" s="1">
        <v>187</v>
      </c>
      <c r="D583" s="1" t="s">
        <v>57</v>
      </c>
      <c r="E583" s="1">
        <v>1</v>
      </c>
      <c r="F583" s="1" t="s">
        <v>75</v>
      </c>
      <c r="G583">
        <v>38</v>
      </c>
      <c r="H583" s="1">
        <v>40</v>
      </c>
      <c r="I583">
        <f>VLOOKUP(C583,[1]M0113A!$A$1:$Z$211,24,TRUE)+(G583/100)</f>
        <v>294.27</v>
      </c>
      <c r="J583">
        <f t="shared" si="22"/>
        <v>294.28999999999996</v>
      </c>
      <c r="K583" s="42" t="s">
        <v>374</v>
      </c>
      <c r="L583" s="39" t="s">
        <v>77</v>
      </c>
      <c r="M583" s="41">
        <f t="shared" si="21"/>
        <v>1.6999999999999886</v>
      </c>
    </row>
    <row r="584" spans="1:13" x14ac:dyDescent="0.3">
      <c r="A584" s="1" t="s">
        <v>61</v>
      </c>
      <c r="B584" s="1" t="s">
        <v>31</v>
      </c>
      <c r="C584" s="1">
        <v>188</v>
      </c>
      <c r="D584" s="1" t="s">
        <v>57</v>
      </c>
      <c r="E584" s="1">
        <v>1</v>
      </c>
      <c r="F584" s="1" t="s">
        <v>75</v>
      </c>
      <c r="G584">
        <v>38</v>
      </c>
      <c r="H584" s="1">
        <v>40</v>
      </c>
      <c r="I584">
        <f>VLOOKUP(C584,[1]M0113A!$A$1:$Z$211,24,TRUE)+(G584/100)</f>
        <v>294.85000000000002</v>
      </c>
      <c r="J584">
        <f t="shared" si="22"/>
        <v>294.87</v>
      </c>
      <c r="K584" s="42" t="s">
        <v>369</v>
      </c>
      <c r="L584" s="39" t="s">
        <v>77</v>
      </c>
      <c r="M584" s="41">
        <f t="shared" si="21"/>
        <v>0.58000000000004093</v>
      </c>
    </row>
    <row r="585" spans="1:13" x14ac:dyDescent="0.3">
      <c r="A585" s="1" t="s">
        <v>61</v>
      </c>
      <c r="B585" s="1" t="s">
        <v>31</v>
      </c>
      <c r="C585" s="1">
        <v>189</v>
      </c>
      <c r="D585" s="1" t="s">
        <v>34</v>
      </c>
      <c r="E585" s="1">
        <v>1</v>
      </c>
      <c r="F585" s="1" t="s">
        <v>75</v>
      </c>
      <c r="G585">
        <v>28</v>
      </c>
      <c r="H585" s="1">
        <v>30</v>
      </c>
      <c r="I585">
        <f>VLOOKUP(C585,[1]M0113A!$A$1:$Z$211,24,TRUE)+(G585/100)</f>
        <v>295.69</v>
      </c>
      <c r="J585">
        <f t="shared" si="22"/>
        <v>295.70999999999998</v>
      </c>
      <c r="K585" s="42" t="s">
        <v>375</v>
      </c>
      <c r="L585" s="39" t="s">
        <v>82</v>
      </c>
      <c r="M585" s="41">
        <f t="shared" si="21"/>
        <v>0.83999999999997499</v>
      </c>
    </row>
    <row r="586" spans="1:13" x14ac:dyDescent="0.3">
      <c r="A586" s="1" t="s">
        <v>61</v>
      </c>
      <c r="B586" s="1" t="s">
        <v>31</v>
      </c>
      <c r="C586" s="1">
        <v>190</v>
      </c>
      <c r="D586" s="1" t="s">
        <v>34</v>
      </c>
      <c r="E586" s="1">
        <v>1</v>
      </c>
      <c r="F586" s="1" t="s">
        <v>75</v>
      </c>
      <c r="G586">
        <v>18</v>
      </c>
      <c r="H586" s="1">
        <v>20</v>
      </c>
      <c r="I586">
        <f>VLOOKUP(C586,[1]M0113A!$A$1:$Z$211,24,TRUE)+(G586/100)</f>
        <v>296.67</v>
      </c>
      <c r="J586">
        <f t="shared" si="22"/>
        <v>296.69</v>
      </c>
      <c r="K586" s="42" t="s">
        <v>376</v>
      </c>
      <c r="L586" s="39" t="s">
        <v>82</v>
      </c>
      <c r="M586" s="41">
        <f t="shared" si="21"/>
        <v>0.98000000000001819</v>
      </c>
    </row>
    <row r="587" spans="1:13" x14ac:dyDescent="0.3">
      <c r="A587" s="1" t="s">
        <v>61</v>
      </c>
      <c r="B587" s="1" t="s">
        <v>31</v>
      </c>
      <c r="C587" s="1">
        <v>191</v>
      </c>
      <c r="D587" s="1" t="s">
        <v>57</v>
      </c>
      <c r="E587" s="1">
        <v>1</v>
      </c>
      <c r="F587" s="1" t="s">
        <v>75</v>
      </c>
      <c r="G587">
        <v>38</v>
      </c>
      <c r="H587" s="1">
        <v>40</v>
      </c>
      <c r="I587">
        <f>VLOOKUP(C587,[1]M0113A!$A$1:$Z$211,24,TRUE)+(G587/100)</f>
        <v>298.37</v>
      </c>
      <c r="J587">
        <f t="shared" si="22"/>
        <v>298.39</v>
      </c>
      <c r="K587" s="42" t="s">
        <v>376</v>
      </c>
      <c r="L587" s="39" t="s">
        <v>77</v>
      </c>
      <c r="M587" s="41">
        <f t="shared" si="21"/>
        <v>1.6999999999999886</v>
      </c>
    </row>
    <row r="588" spans="1:13" x14ac:dyDescent="0.3">
      <c r="A588" s="1" t="s">
        <v>61</v>
      </c>
      <c r="B588" s="1" t="s">
        <v>31</v>
      </c>
      <c r="C588" s="1">
        <v>192</v>
      </c>
      <c r="D588" s="1" t="s">
        <v>57</v>
      </c>
      <c r="E588" s="1">
        <v>1</v>
      </c>
      <c r="F588" s="1" t="s">
        <v>75</v>
      </c>
      <c r="G588">
        <v>38</v>
      </c>
      <c r="H588" s="1">
        <v>40</v>
      </c>
      <c r="I588">
        <f>VLOOKUP(C588,[1]M0113A!$A$1:$Z$211,24,TRUE)+(G588/100)</f>
        <v>300.20999999999998</v>
      </c>
      <c r="J588">
        <f t="shared" si="22"/>
        <v>300.22999999999996</v>
      </c>
      <c r="K588" s="42" t="s">
        <v>376</v>
      </c>
      <c r="L588" s="39" t="s">
        <v>77</v>
      </c>
      <c r="M588" s="41">
        <f t="shared" si="21"/>
        <v>1.839999999999975</v>
      </c>
    </row>
    <row r="589" spans="1:13" x14ac:dyDescent="0.3">
      <c r="A589" s="1" t="s">
        <v>61</v>
      </c>
      <c r="B589" s="1" t="s">
        <v>31</v>
      </c>
      <c r="C589" s="1">
        <v>193</v>
      </c>
      <c r="D589" s="1" t="s">
        <v>57</v>
      </c>
      <c r="E589" s="1">
        <v>1</v>
      </c>
      <c r="F589" s="1" t="s">
        <v>75</v>
      </c>
      <c r="G589">
        <v>38</v>
      </c>
      <c r="H589" s="1">
        <v>40</v>
      </c>
      <c r="I589">
        <f>VLOOKUP(C589,[1]M0113A!$A$1:$Z$211,24,TRUE)+(G589/100)</f>
        <v>301.35000000000002</v>
      </c>
      <c r="J589">
        <f t="shared" si="22"/>
        <v>301.37</v>
      </c>
      <c r="K589" s="42" t="s">
        <v>376</v>
      </c>
      <c r="L589" s="39" t="s">
        <v>77</v>
      </c>
      <c r="M589" s="41">
        <f t="shared" si="21"/>
        <v>1.1400000000000432</v>
      </c>
    </row>
    <row r="590" spans="1:13" x14ac:dyDescent="0.3">
      <c r="A590" s="1" t="s">
        <v>61</v>
      </c>
      <c r="B590" s="1" t="s">
        <v>31</v>
      </c>
      <c r="C590" s="1">
        <v>195</v>
      </c>
      <c r="D590" s="1" t="s">
        <v>57</v>
      </c>
      <c r="E590" s="1">
        <v>1</v>
      </c>
      <c r="F590" s="1" t="s">
        <v>75</v>
      </c>
      <c r="G590">
        <v>38</v>
      </c>
      <c r="H590" s="1">
        <v>40</v>
      </c>
      <c r="I590">
        <f>VLOOKUP(C590,[1]M0113A!$A$1:$Z$211,24,TRUE)+(G590/100)</f>
        <v>303.07</v>
      </c>
      <c r="J590">
        <f t="shared" si="22"/>
        <v>303.08999999999997</v>
      </c>
      <c r="K590" s="42" t="s">
        <v>376</v>
      </c>
      <c r="L590" s="39" t="s">
        <v>77</v>
      </c>
      <c r="M590" s="41">
        <f t="shared" si="21"/>
        <v>1.7199999999999704</v>
      </c>
    </row>
    <row r="591" spans="1:13" x14ac:dyDescent="0.3">
      <c r="A591" s="1" t="s">
        <v>61</v>
      </c>
      <c r="B591" s="1" t="s">
        <v>31</v>
      </c>
      <c r="C591" s="1">
        <v>196</v>
      </c>
      <c r="D591" s="1" t="s">
        <v>57</v>
      </c>
      <c r="E591" s="1">
        <v>1</v>
      </c>
      <c r="F591" s="1" t="s">
        <v>75</v>
      </c>
      <c r="G591">
        <v>38</v>
      </c>
      <c r="H591" s="1">
        <v>40</v>
      </c>
      <c r="I591">
        <f>VLOOKUP(C591,[1]M0113A!$A$1:$Z$211,24,TRUE)+(G591/100)</f>
        <v>303.64</v>
      </c>
      <c r="J591">
        <f t="shared" si="22"/>
        <v>303.65999999999997</v>
      </c>
      <c r="K591" s="42" t="s">
        <v>376</v>
      </c>
      <c r="L591" s="39" t="s">
        <v>77</v>
      </c>
      <c r="M591" s="41">
        <f t="shared" si="21"/>
        <v>0.56999999999999318</v>
      </c>
    </row>
    <row r="592" spans="1:13" x14ac:dyDescent="0.3">
      <c r="A592" s="1" t="s">
        <v>61</v>
      </c>
      <c r="B592" s="1" t="s">
        <v>31</v>
      </c>
      <c r="C592" s="1">
        <v>197</v>
      </c>
      <c r="D592" s="1" t="s">
        <v>57</v>
      </c>
      <c r="E592" s="1">
        <v>1</v>
      </c>
      <c r="F592" s="1" t="s">
        <v>75</v>
      </c>
      <c r="G592">
        <v>38</v>
      </c>
      <c r="H592" s="1">
        <v>40</v>
      </c>
      <c r="I592">
        <f>VLOOKUP(C592,[1]M0113A!$A$1:$Z$211,24,TRUE)+(G592/100)</f>
        <v>305.17</v>
      </c>
      <c r="J592">
        <f t="shared" si="22"/>
        <v>305.19</v>
      </c>
      <c r="K592" s="42" t="s">
        <v>376</v>
      </c>
      <c r="L592" s="39" t="s">
        <v>77</v>
      </c>
      <c r="M592" s="41">
        <f t="shared" si="21"/>
        <v>1.5300000000000296</v>
      </c>
    </row>
    <row r="593" spans="1:13" x14ac:dyDescent="0.3">
      <c r="A593" s="45" t="s">
        <v>61</v>
      </c>
      <c r="B593" s="45" t="s">
        <v>31</v>
      </c>
      <c r="C593" s="45">
        <v>199</v>
      </c>
      <c r="D593" s="45" t="s">
        <v>57</v>
      </c>
      <c r="E593" s="45">
        <v>1</v>
      </c>
      <c r="F593" s="45" t="s">
        <v>75</v>
      </c>
      <c r="G593" s="46">
        <v>38</v>
      </c>
      <c r="H593" s="45">
        <v>40</v>
      </c>
      <c r="I593" s="46">
        <f>VLOOKUP(C593,[1]M0113A!$A$1:$Z$211,24,TRUE)+(G593/100)</f>
        <v>306.42</v>
      </c>
      <c r="J593" s="46">
        <f t="shared" si="22"/>
        <v>306.44</v>
      </c>
      <c r="K593" s="52" t="s">
        <v>377</v>
      </c>
      <c r="L593" s="49" t="s">
        <v>77</v>
      </c>
      <c r="M593" s="47">
        <f t="shared" si="21"/>
        <v>1.25</v>
      </c>
    </row>
    <row r="594" spans="1:13" x14ac:dyDescent="0.3">
      <c r="A594" s="45" t="s">
        <v>61</v>
      </c>
      <c r="B594" s="45" t="s">
        <v>31</v>
      </c>
      <c r="C594" s="45">
        <v>200</v>
      </c>
      <c r="D594" s="45" t="s">
        <v>34</v>
      </c>
      <c r="E594" s="45">
        <v>1</v>
      </c>
      <c r="F594" s="45" t="s">
        <v>75</v>
      </c>
      <c r="G594" s="46">
        <v>38</v>
      </c>
      <c r="H594" s="45">
        <v>40</v>
      </c>
      <c r="I594" s="46">
        <f>VLOOKUP(C594,[1]M0113A!$A$1:$Z$211,24,TRUE)+(G594/100)</f>
        <v>306.83999999999997</v>
      </c>
      <c r="J594" s="46">
        <f t="shared" si="22"/>
        <v>306.85999999999996</v>
      </c>
      <c r="K594" s="52" t="s">
        <v>378</v>
      </c>
      <c r="L594" s="49" t="s">
        <v>77</v>
      </c>
      <c r="M594" s="47">
        <f t="shared" si="21"/>
        <v>0.41999999999995907</v>
      </c>
    </row>
    <row r="595" spans="1:13" x14ac:dyDescent="0.3">
      <c r="A595" s="45" t="s">
        <v>61</v>
      </c>
      <c r="B595" s="45" t="s">
        <v>31</v>
      </c>
      <c r="C595" s="45">
        <v>201</v>
      </c>
      <c r="D595" s="45" t="s">
        <v>34</v>
      </c>
      <c r="E595" s="45">
        <v>1</v>
      </c>
      <c r="F595" s="45" t="s">
        <v>75</v>
      </c>
      <c r="G595" s="46">
        <v>28</v>
      </c>
      <c r="H595" s="45">
        <v>30</v>
      </c>
      <c r="I595" s="46">
        <f>VLOOKUP(C595,[1]M0113A!$A$1:$Z$211,24,TRUE)+(G595/100)</f>
        <v>308.77</v>
      </c>
      <c r="J595" s="46">
        <f t="shared" si="22"/>
        <v>308.78999999999996</v>
      </c>
      <c r="K595" s="52" t="s">
        <v>378</v>
      </c>
      <c r="L595" s="49" t="s">
        <v>82</v>
      </c>
      <c r="M595" s="47">
        <f t="shared" si="21"/>
        <v>1.9300000000000068</v>
      </c>
    </row>
    <row r="596" spans="1:13" x14ac:dyDescent="0.3">
      <c r="A596" s="45" t="s">
        <v>61</v>
      </c>
      <c r="B596" s="45" t="s">
        <v>31</v>
      </c>
      <c r="C596" s="45">
        <v>202</v>
      </c>
      <c r="D596" s="45" t="s">
        <v>34</v>
      </c>
      <c r="E596" s="45">
        <v>1</v>
      </c>
      <c r="F596" s="45" t="s">
        <v>75</v>
      </c>
      <c r="G596" s="46">
        <v>38</v>
      </c>
      <c r="H596" s="45">
        <v>40</v>
      </c>
      <c r="I596" s="46">
        <f>VLOOKUP(C596,[1]M0113A!$A$1:$Z$211,24,TRUE)+(G596/100)</f>
        <v>311.87</v>
      </c>
      <c r="J596" s="46">
        <f t="shared" si="22"/>
        <v>311.89</v>
      </c>
      <c r="K596" s="52" t="s">
        <v>378</v>
      </c>
      <c r="L596" s="49" t="s">
        <v>77</v>
      </c>
      <c r="M596" s="47">
        <f t="shared" si="21"/>
        <v>3.1000000000000227</v>
      </c>
    </row>
    <row r="597" spans="1:13" x14ac:dyDescent="0.3">
      <c r="A597" s="45" t="s">
        <v>61</v>
      </c>
      <c r="B597" s="45" t="s">
        <v>31</v>
      </c>
      <c r="C597" s="45">
        <v>203</v>
      </c>
      <c r="D597" s="45" t="s">
        <v>34</v>
      </c>
      <c r="E597" s="45">
        <v>1</v>
      </c>
      <c r="F597" s="45" t="s">
        <v>75</v>
      </c>
      <c r="G597" s="46">
        <v>38</v>
      </c>
      <c r="H597" s="45">
        <v>40</v>
      </c>
      <c r="I597" s="46">
        <f>VLOOKUP(C597,[1]M0113A!$A$1:$Z$211,24,TRUE)+(G597/100)</f>
        <v>313.37</v>
      </c>
      <c r="J597" s="46">
        <f t="shared" si="22"/>
        <v>313.39</v>
      </c>
      <c r="K597" s="52" t="s">
        <v>378</v>
      </c>
      <c r="L597" s="49" t="s">
        <v>77</v>
      </c>
      <c r="M597" s="47">
        <f t="shared" si="21"/>
        <v>1.5</v>
      </c>
    </row>
    <row r="598" spans="1:13" x14ac:dyDescent="0.3">
      <c r="A598" s="45" t="s">
        <v>61</v>
      </c>
      <c r="B598" s="45" t="s">
        <v>31</v>
      </c>
      <c r="C598" s="45">
        <v>204</v>
      </c>
      <c r="D598" s="45" t="s">
        <v>34</v>
      </c>
      <c r="E598" s="45">
        <v>1</v>
      </c>
      <c r="F598" s="45" t="s">
        <v>75</v>
      </c>
      <c r="G598" s="46">
        <v>28</v>
      </c>
      <c r="H598" s="45">
        <v>30</v>
      </c>
      <c r="I598" s="46">
        <f>VLOOKUP(C598,[1]M0113A!$A$1:$Z$211,24,TRUE)+(G598/100)</f>
        <v>314.77</v>
      </c>
      <c r="J598" s="46">
        <f t="shared" si="22"/>
        <v>314.78999999999996</v>
      </c>
      <c r="K598" s="52" t="s">
        <v>378</v>
      </c>
      <c r="L598" s="49" t="s">
        <v>77</v>
      </c>
      <c r="M598" s="47">
        <f t="shared" si="21"/>
        <v>1.3999999999999773</v>
      </c>
    </row>
    <row r="599" spans="1:13" x14ac:dyDescent="0.3">
      <c r="A599" s="45" t="s">
        <v>61</v>
      </c>
      <c r="B599" s="45" t="s">
        <v>31</v>
      </c>
      <c r="C599" s="45">
        <v>205</v>
      </c>
      <c r="D599" s="45" t="s">
        <v>34</v>
      </c>
      <c r="E599" s="45">
        <v>1</v>
      </c>
      <c r="F599" s="45" t="s">
        <v>75</v>
      </c>
      <c r="G599" s="46">
        <v>38</v>
      </c>
      <c r="H599" s="45">
        <v>40</v>
      </c>
      <c r="I599" s="46">
        <f>VLOOKUP(C599,[1]M0113A!$A$1:$Z$211,24,TRUE)+(G599/100)</f>
        <v>316.37</v>
      </c>
      <c r="J599" s="46">
        <f t="shared" si="22"/>
        <v>316.39</v>
      </c>
      <c r="K599" s="52" t="s">
        <v>378</v>
      </c>
      <c r="L599" s="49" t="s">
        <v>77</v>
      </c>
      <c r="M599" s="47">
        <f t="shared" si="21"/>
        <v>1.6000000000000227</v>
      </c>
    </row>
    <row r="600" spans="1:13" x14ac:dyDescent="0.3">
      <c r="A600" s="45" t="s">
        <v>61</v>
      </c>
      <c r="B600" s="45" t="s">
        <v>31</v>
      </c>
      <c r="C600" s="45">
        <v>206</v>
      </c>
      <c r="D600" s="45" t="s">
        <v>34</v>
      </c>
      <c r="E600" s="45">
        <v>1</v>
      </c>
      <c r="F600" s="45" t="s">
        <v>75</v>
      </c>
      <c r="G600" s="46">
        <v>38</v>
      </c>
      <c r="H600" s="45">
        <v>40</v>
      </c>
      <c r="I600" s="46">
        <f>VLOOKUP(C600,[1]M0113A!$A$1:$Z$211,24,TRUE)+(G600/100)</f>
        <v>317.87</v>
      </c>
      <c r="J600" s="46">
        <f t="shared" si="22"/>
        <v>317.89</v>
      </c>
      <c r="K600" s="52" t="s">
        <v>378</v>
      </c>
      <c r="L600" s="49" t="s">
        <v>77</v>
      </c>
      <c r="M600" s="47">
        <f t="shared" si="21"/>
        <v>1.5</v>
      </c>
    </row>
    <row r="601" spans="1:13" x14ac:dyDescent="0.3">
      <c r="A601" s="45" t="s">
        <v>61</v>
      </c>
      <c r="B601" s="45" t="s">
        <v>31</v>
      </c>
      <c r="C601" s="45">
        <v>207</v>
      </c>
      <c r="D601" s="45" t="s">
        <v>34</v>
      </c>
      <c r="E601" s="45">
        <v>1</v>
      </c>
      <c r="F601" s="45" t="s">
        <v>75</v>
      </c>
      <c r="G601" s="46">
        <v>38</v>
      </c>
      <c r="H601" s="45">
        <v>40</v>
      </c>
      <c r="I601" s="46">
        <f>VLOOKUP(C601,[1]M0113A!$A$1:$Z$211,24,TRUE)+(G601/100)</f>
        <v>319.37</v>
      </c>
      <c r="J601" s="46">
        <f t="shared" si="22"/>
        <v>319.39</v>
      </c>
      <c r="K601" s="52" t="s">
        <v>378</v>
      </c>
      <c r="L601" s="49" t="s">
        <v>77</v>
      </c>
      <c r="M601" s="47">
        <f t="shared" si="21"/>
        <v>1.5</v>
      </c>
    </row>
    <row r="602" spans="1:13" x14ac:dyDescent="0.3">
      <c r="A602" s="45" t="s">
        <v>61</v>
      </c>
      <c r="B602" s="45" t="s">
        <v>31</v>
      </c>
      <c r="C602" s="45">
        <v>208</v>
      </c>
      <c r="D602" s="45" t="s">
        <v>34</v>
      </c>
      <c r="E602" s="45">
        <v>1</v>
      </c>
      <c r="F602" s="45" t="s">
        <v>75</v>
      </c>
      <c r="G602" s="46">
        <v>38</v>
      </c>
      <c r="H602" s="45">
        <v>40</v>
      </c>
      <c r="I602" s="46">
        <f>VLOOKUP(C602,[1]M0113A!$A$1:$Z$211,24,TRUE)+(G602/100)</f>
        <v>320.87</v>
      </c>
      <c r="J602" s="46">
        <f t="shared" si="22"/>
        <v>320.89</v>
      </c>
      <c r="K602" s="52" t="s">
        <v>378</v>
      </c>
      <c r="L602" s="49" t="s">
        <v>77</v>
      </c>
      <c r="M602" s="47">
        <f t="shared" si="21"/>
        <v>1.5</v>
      </c>
    </row>
    <row r="603" spans="1:13" x14ac:dyDescent="0.3">
      <c r="A603" s="1" t="s">
        <v>61</v>
      </c>
      <c r="B603" s="1" t="s">
        <v>31</v>
      </c>
      <c r="C603" s="1">
        <v>209</v>
      </c>
      <c r="D603" s="1" t="s">
        <v>34</v>
      </c>
      <c r="E603" s="1">
        <v>1</v>
      </c>
      <c r="F603" s="1" t="s">
        <v>75</v>
      </c>
      <c r="G603">
        <v>38</v>
      </c>
      <c r="H603" s="1">
        <v>40</v>
      </c>
      <c r="I603">
        <f>VLOOKUP(C603,[1]M0113A!$A$1:$Z$211,24,TRUE)+(G603/100)</f>
        <v>322.37</v>
      </c>
      <c r="J603">
        <f t="shared" si="22"/>
        <v>322.39</v>
      </c>
      <c r="K603" s="42" t="s">
        <v>379</v>
      </c>
      <c r="L603" s="39" t="s">
        <v>77</v>
      </c>
      <c r="M603" s="41">
        <f t="shared" si="21"/>
        <v>1.5</v>
      </c>
    </row>
    <row r="604" spans="1:13" x14ac:dyDescent="0.3">
      <c r="A604" s="1" t="s">
        <v>61</v>
      </c>
      <c r="B604" s="1" t="s">
        <v>31</v>
      </c>
      <c r="C604" s="1">
        <v>210</v>
      </c>
      <c r="D604" s="1" t="s">
        <v>34</v>
      </c>
      <c r="E604" s="1">
        <v>1</v>
      </c>
      <c r="F604" s="1" t="s">
        <v>75</v>
      </c>
      <c r="G604">
        <v>38</v>
      </c>
      <c r="H604" s="1">
        <v>40</v>
      </c>
      <c r="I604">
        <f>VLOOKUP(C604,[1]M0113A!$A$1:$Z$211,24,TRUE)+(G604/100)</f>
        <v>323.87</v>
      </c>
      <c r="J604">
        <f t="shared" si="22"/>
        <v>323.89</v>
      </c>
      <c r="K604" s="42" t="s">
        <v>380</v>
      </c>
      <c r="L604" s="39" t="s">
        <v>77</v>
      </c>
      <c r="M604" s="41">
        <f t="shared" si="21"/>
        <v>1.5</v>
      </c>
    </row>
    <row r="605" spans="1:13" x14ac:dyDescent="0.3">
      <c r="L605" s="44"/>
      <c r="M605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>
      <selection activeCell="J16" sqref="J16"/>
    </sheetView>
  </sheetViews>
  <sheetFormatPr defaultColWidth="8.6640625" defaultRowHeight="14.4" x14ac:dyDescent="0.3"/>
  <cols>
    <col min="1" max="5" width="4.109375" style="1" customWidth="1"/>
    <col min="6" max="7" width="7.6640625" customWidth="1"/>
    <col min="8" max="8" width="7" bestFit="1" customWidth="1"/>
    <col min="9" max="9" width="8.6640625" customWidth="1"/>
    <col min="10" max="10" width="9.6640625" customWidth="1"/>
    <col min="11" max="11" width="4.109375" style="3" customWidth="1"/>
    <col min="12" max="12" width="9.6640625" style="1" customWidth="1"/>
    <col min="13" max="13" width="4.109375" style="1" customWidth="1"/>
    <col min="14" max="15" width="9.6640625" style="1" customWidth="1"/>
    <col min="16" max="16" width="8.6640625" customWidth="1"/>
    <col min="17" max="17" width="9.6640625" customWidth="1"/>
    <col min="18" max="18" width="4.109375" customWidth="1"/>
    <col min="19" max="19" width="8.6640625" customWidth="1"/>
  </cols>
  <sheetData>
    <row r="1" spans="1:19" x14ac:dyDescent="0.3">
      <c r="A1" s="72" t="s">
        <v>41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s="2" customFormat="1" ht="69" x14ac:dyDescent="0.3">
      <c r="A2" s="4" t="s">
        <v>29</v>
      </c>
      <c r="B2" s="4" t="s">
        <v>30</v>
      </c>
      <c r="C2" s="4" t="s">
        <v>32</v>
      </c>
      <c r="D2" s="4" t="s">
        <v>33</v>
      </c>
      <c r="E2" s="4" t="s">
        <v>3</v>
      </c>
      <c r="F2" s="5" t="s">
        <v>4</v>
      </c>
      <c r="G2" s="5" t="s">
        <v>36</v>
      </c>
      <c r="H2" s="5" t="s">
        <v>6</v>
      </c>
      <c r="I2" s="6" t="s">
        <v>44</v>
      </c>
      <c r="J2" s="5" t="s">
        <v>38</v>
      </c>
      <c r="K2" s="4" t="s">
        <v>7</v>
      </c>
      <c r="L2" s="5" t="s">
        <v>37</v>
      </c>
      <c r="M2" s="4" t="s">
        <v>7</v>
      </c>
      <c r="N2" s="5" t="s">
        <v>45</v>
      </c>
      <c r="O2" s="5" t="s">
        <v>46</v>
      </c>
      <c r="P2" s="6" t="s">
        <v>43</v>
      </c>
      <c r="Q2" s="5" t="s">
        <v>39</v>
      </c>
      <c r="R2" s="4" t="s">
        <v>40</v>
      </c>
      <c r="S2" s="7" t="s">
        <v>42</v>
      </c>
    </row>
    <row r="3" spans="1:19" s="9" customFormat="1" ht="17.399999999999999" x14ac:dyDescent="0.35">
      <c r="A3" s="11"/>
      <c r="B3" s="11"/>
      <c r="C3" s="11"/>
      <c r="D3" s="11"/>
      <c r="E3" s="11"/>
      <c r="F3" s="12"/>
      <c r="G3" s="12"/>
      <c r="H3" s="12"/>
      <c r="I3" s="14"/>
      <c r="J3" s="12"/>
      <c r="K3" s="13"/>
      <c r="L3" s="11"/>
      <c r="M3" s="11"/>
      <c r="N3" s="11"/>
      <c r="O3" s="11"/>
      <c r="P3" s="14"/>
      <c r="Q3" s="12"/>
      <c r="R3" s="12"/>
      <c r="S3" s="14"/>
    </row>
    <row r="4" spans="1:19" s="9" customFormat="1" ht="17.399999999999999" x14ac:dyDescent="0.35">
      <c r="A4" s="11"/>
      <c r="B4" s="11"/>
      <c r="C4" s="11"/>
      <c r="D4" s="11"/>
      <c r="E4" s="11"/>
      <c r="F4" s="12"/>
      <c r="G4" s="12"/>
      <c r="H4" s="12"/>
      <c r="I4" s="14"/>
      <c r="J4" s="12"/>
      <c r="K4" s="13"/>
      <c r="L4" s="11"/>
      <c r="M4" s="11"/>
      <c r="N4" s="11"/>
      <c r="O4" s="11"/>
      <c r="P4" s="14"/>
      <c r="Q4" s="12"/>
      <c r="R4" s="12"/>
      <c r="S4" s="14"/>
    </row>
    <row r="5" spans="1:19" s="9" customFormat="1" ht="17.399999999999999" x14ac:dyDescent="0.35">
      <c r="A5" s="11"/>
      <c r="B5" s="11"/>
      <c r="C5" s="11"/>
      <c r="D5" s="11"/>
      <c r="E5" s="11"/>
      <c r="F5" s="12"/>
      <c r="G5" s="12"/>
      <c r="H5" s="12"/>
      <c r="I5" s="14"/>
      <c r="J5" s="12"/>
      <c r="K5" s="13"/>
      <c r="L5" s="11"/>
      <c r="M5" s="11"/>
      <c r="N5" s="11"/>
      <c r="O5" s="11"/>
      <c r="P5" s="14"/>
      <c r="Q5" s="12"/>
      <c r="R5" s="12"/>
      <c r="S5" s="14"/>
    </row>
    <row r="6" spans="1:19" s="9" customFormat="1" ht="17.399999999999999" x14ac:dyDescent="0.35">
      <c r="A6" s="11"/>
      <c r="B6" s="11"/>
      <c r="C6" s="11"/>
      <c r="D6" s="11"/>
      <c r="E6" s="11"/>
      <c r="F6" s="12"/>
      <c r="G6" s="12"/>
      <c r="H6" s="12"/>
      <c r="I6" s="14"/>
      <c r="J6" s="12"/>
      <c r="K6" s="13"/>
      <c r="L6" s="11"/>
      <c r="M6" s="11"/>
      <c r="N6" s="11"/>
      <c r="O6" s="11"/>
      <c r="P6" s="14"/>
      <c r="Q6" s="12"/>
      <c r="R6" s="12"/>
      <c r="S6" s="14"/>
    </row>
    <row r="7" spans="1:19" s="9" customFormat="1" ht="17.399999999999999" x14ac:dyDescent="0.35">
      <c r="A7" s="11"/>
      <c r="B7" s="11"/>
      <c r="C7" s="11"/>
      <c r="D7" s="11"/>
      <c r="E7" s="11"/>
      <c r="F7" s="12"/>
      <c r="G7" s="12"/>
      <c r="H7" s="12"/>
      <c r="I7" s="14"/>
      <c r="J7" s="12"/>
      <c r="K7" s="13"/>
      <c r="L7" s="11"/>
      <c r="M7" s="11"/>
      <c r="N7" s="11"/>
      <c r="O7" s="11"/>
      <c r="P7" s="14"/>
      <c r="Q7" s="12"/>
      <c r="R7" s="12"/>
      <c r="S7" s="14"/>
    </row>
    <row r="8" spans="1:19" s="9" customFormat="1" ht="17.399999999999999" x14ac:dyDescent="0.35">
      <c r="A8" s="11"/>
      <c r="B8" s="11"/>
      <c r="C8" s="11"/>
      <c r="D8" s="11"/>
      <c r="E8" s="11"/>
      <c r="F8" s="12"/>
      <c r="G8" s="12"/>
      <c r="H8" s="12"/>
      <c r="I8" s="14"/>
      <c r="J8" s="12"/>
      <c r="K8" s="13"/>
      <c r="L8" s="11"/>
      <c r="M8" s="11"/>
      <c r="N8" s="11"/>
      <c r="O8" s="11"/>
      <c r="P8" s="14"/>
      <c r="Q8" s="12"/>
      <c r="R8" s="12"/>
      <c r="S8" s="14"/>
    </row>
    <row r="9" spans="1:19" s="9" customFormat="1" ht="17.399999999999999" x14ac:dyDescent="0.35">
      <c r="A9" s="11"/>
      <c r="B9" s="11"/>
      <c r="C9" s="11"/>
      <c r="D9" s="11"/>
      <c r="E9" s="11"/>
      <c r="F9" s="12"/>
      <c r="G9" s="12"/>
      <c r="H9" s="12"/>
      <c r="I9" s="14"/>
      <c r="J9" s="12"/>
      <c r="K9" s="13"/>
      <c r="L9" s="11"/>
      <c r="M9" s="11"/>
      <c r="N9" s="11"/>
      <c r="O9" s="11"/>
      <c r="P9" s="14"/>
      <c r="Q9" s="12"/>
      <c r="R9" s="12"/>
      <c r="S9" s="14"/>
    </row>
    <row r="10" spans="1:19" s="9" customFormat="1" ht="17.399999999999999" x14ac:dyDescent="0.35">
      <c r="A10" s="11"/>
      <c r="B10" s="11"/>
      <c r="C10" s="11"/>
      <c r="D10" s="11"/>
      <c r="E10" s="11"/>
      <c r="F10" s="12"/>
      <c r="G10" s="12"/>
      <c r="H10" s="12"/>
      <c r="I10" s="14"/>
      <c r="J10" s="12"/>
      <c r="K10" s="13"/>
      <c r="L10" s="11"/>
      <c r="M10" s="11"/>
      <c r="N10" s="11"/>
      <c r="O10" s="11"/>
      <c r="P10" s="14"/>
      <c r="Q10" s="12"/>
      <c r="R10" s="12"/>
      <c r="S10" s="14"/>
    </row>
    <row r="11" spans="1:19" s="9" customFormat="1" ht="17.399999999999999" x14ac:dyDescent="0.35">
      <c r="A11" s="11"/>
      <c r="B11" s="11"/>
      <c r="C11" s="11"/>
      <c r="D11" s="11"/>
      <c r="E11" s="11"/>
      <c r="F11" s="12"/>
      <c r="G11" s="12"/>
      <c r="H11" s="12"/>
      <c r="I11" s="14"/>
      <c r="J11" s="12"/>
      <c r="K11" s="13"/>
      <c r="L11" s="11"/>
      <c r="M11" s="11"/>
      <c r="N11" s="11"/>
      <c r="O11" s="11"/>
      <c r="P11" s="14"/>
      <c r="Q11" s="12"/>
      <c r="R11" s="12"/>
      <c r="S11" s="14"/>
    </row>
    <row r="12" spans="1:19" s="9" customFormat="1" ht="17.399999999999999" x14ac:dyDescent="0.35">
      <c r="A12" s="11"/>
      <c r="B12" s="11"/>
      <c r="C12" s="11"/>
      <c r="D12" s="11"/>
      <c r="E12" s="11"/>
      <c r="F12" s="12"/>
      <c r="G12" s="12"/>
      <c r="H12" s="12"/>
      <c r="I12" s="14"/>
      <c r="J12" s="12"/>
      <c r="K12" s="13"/>
      <c r="L12" s="11"/>
      <c r="M12" s="11"/>
      <c r="N12" s="11"/>
      <c r="O12" s="11"/>
      <c r="P12" s="14"/>
      <c r="Q12" s="12"/>
      <c r="R12" s="12"/>
      <c r="S12" s="14"/>
    </row>
    <row r="13" spans="1:19" s="9" customFormat="1" ht="17.399999999999999" x14ac:dyDescent="0.35">
      <c r="A13" s="11"/>
      <c r="B13" s="11"/>
      <c r="C13" s="11"/>
      <c r="D13" s="11"/>
      <c r="E13" s="11"/>
      <c r="F13" s="12"/>
      <c r="G13" s="12"/>
      <c r="H13" s="12"/>
      <c r="I13" s="14"/>
      <c r="J13" s="12"/>
      <c r="K13" s="13"/>
      <c r="L13" s="11"/>
      <c r="M13" s="11"/>
      <c r="N13" s="11"/>
      <c r="O13" s="11"/>
      <c r="P13" s="14"/>
      <c r="Q13" s="12"/>
      <c r="R13" s="12"/>
      <c r="S13" s="14"/>
    </row>
    <row r="14" spans="1:19" s="9" customFormat="1" ht="17.399999999999999" x14ac:dyDescent="0.35">
      <c r="A14" s="11"/>
      <c r="B14" s="11"/>
      <c r="C14" s="11"/>
      <c r="D14" s="11"/>
      <c r="E14" s="11"/>
      <c r="F14" s="12"/>
      <c r="G14" s="12"/>
      <c r="H14" s="12"/>
      <c r="I14" s="14"/>
      <c r="J14" s="12"/>
      <c r="K14" s="13"/>
      <c r="L14" s="11"/>
      <c r="M14" s="11"/>
      <c r="N14" s="11"/>
      <c r="O14" s="11"/>
      <c r="P14" s="14"/>
      <c r="Q14" s="12"/>
      <c r="R14" s="12"/>
      <c r="S14" s="14"/>
    </row>
    <row r="15" spans="1:19" s="9" customFormat="1" ht="17.399999999999999" x14ac:dyDescent="0.35">
      <c r="A15" s="11"/>
      <c r="B15" s="11"/>
      <c r="C15" s="11"/>
      <c r="D15" s="11"/>
      <c r="E15" s="11"/>
      <c r="F15" s="12"/>
      <c r="G15" s="12"/>
      <c r="H15" s="12"/>
      <c r="I15" s="14"/>
      <c r="J15" s="12"/>
      <c r="K15" s="13"/>
      <c r="L15" s="11"/>
      <c r="M15" s="11"/>
      <c r="N15" s="11"/>
      <c r="O15" s="11"/>
      <c r="P15" s="14"/>
      <c r="Q15" s="12"/>
      <c r="R15" s="12"/>
      <c r="S15" s="14"/>
    </row>
    <row r="16" spans="1:19" s="9" customFormat="1" ht="17.399999999999999" x14ac:dyDescent="0.35">
      <c r="A16" s="11"/>
      <c r="B16" s="11"/>
      <c r="C16" s="11"/>
      <c r="D16" s="11"/>
      <c r="E16" s="11"/>
      <c r="F16" s="12"/>
      <c r="G16" s="12"/>
      <c r="H16" s="12"/>
      <c r="I16" s="14"/>
      <c r="J16" s="12"/>
      <c r="K16" s="13"/>
      <c r="L16" s="11"/>
      <c r="M16" s="11"/>
      <c r="N16" s="11"/>
      <c r="O16" s="11"/>
      <c r="P16" s="14"/>
      <c r="Q16" s="12"/>
      <c r="R16" s="12"/>
      <c r="S16" s="14"/>
    </row>
    <row r="17" spans="1:19" s="9" customFormat="1" ht="17.399999999999999" x14ac:dyDescent="0.35">
      <c r="A17" s="11"/>
      <c r="B17" s="11"/>
      <c r="C17" s="11"/>
      <c r="D17" s="11"/>
      <c r="E17" s="11"/>
      <c r="F17" s="12"/>
      <c r="G17" s="12"/>
      <c r="H17" s="12"/>
      <c r="I17" s="14"/>
      <c r="J17" s="12"/>
      <c r="K17" s="13"/>
      <c r="L17" s="11"/>
      <c r="M17" s="11"/>
      <c r="N17" s="11"/>
      <c r="O17" s="11"/>
      <c r="P17" s="14"/>
      <c r="Q17" s="12"/>
      <c r="R17" s="12"/>
      <c r="S17" s="14"/>
    </row>
    <row r="18" spans="1:19" s="9" customFormat="1" ht="17.399999999999999" x14ac:dyDescent="0.35">
      <c r="A18" s="11"/>
      <c r="B18" s="11"/>
      <c r="C18" s="11"/>
      <c r="D18" s="11"/>
      <c r="E18" s="11"/>
      <c r="F18" s="12"/>
      <c r="G18" s="12"/>
      <c r="H18" s="12"/>
      <c r="I18" s="14"/>
      <c r="J18" s="12"/>
      <c r="K18" s="13"/>
      <c r="L18" s="11"/>
      <c r="M18" s="11"/>
      <c r="N18" s="11"/>
      <c r="O18" s="11"/>
      <c r="P18" s="14"/>
      <c r="Q18" s="12"/>
      <c r="R18" s="12"/>
      <c r="S18" s="14"/>
    </row>
    <row r="19" spans="1:19" s="9" customFormat="1" ht="17.399999999999999" x14ac:dyDescent="0.35">
      <c r="A19" s="11"/>
      <c r="B19" s="11"/>
      <c r="C19" s="11"/>
      <c r="D19" s="11"/>
      <c r="E19" s="11"/>
      <c r="F19" s="12"/>
      <c r="G19" s="12"/>
      <c r="H19" s="12"/>
      <c r="I19" s="14"/>
      <c r="J19" s="12"/>
      <c r="K19" s="13"/>
      <c r="L19" s="11"/>
      <c r="M19" s="11"/>
      <c r="N19" s="11"/>
      <c r="O19" s="11"/>
      <c r="P19" s="14"/>
      <c r="Q19" s="12"/>
      <c r="R19" s="12"/>
      <c r="S19" s="14"/>
    </row>
    <row r="20" spans="1:19" s="9" customFormat="1" ht="17.399999999999999" x14ac:dyDescent="0.35">
      <c r="A20" s="11"/>
      <c r="B20" s="11"/>
      <c r="C20" s="11"/>
      <c r="D20" s="11"/>
      <c r="E20" s="11"/>
      <c r="F20" s="12"/>
      <c r="G20" s="12"/>
      <c r="H20" s="12"/>
      <c r="I20" s="14"/>
      <c r="J20" s="12"/>
      <c r="K20" s="13"/>
      <c r="L20" s="11"/>
      <c r="M20" s="11"/>
      <c r="N20" s="11"/>
      <c r="O20" s="11"/>
      <c r="P20" s="14"/>
      <c r="Q20" s="12"/>
      <c r="R20" s="12"/>
      <c r="S20" s="14"/>
    </row>
    <row r="21" spans="1:19" s="9" customFormat="1" ht="17.399999999999999" x14ac:dyDescent="0.35">
      <c r="A21" s="11"/>
      <c r="B21" s="11"/>
      <c r="C21" s="11"/>
      <c r="D21" s="11"/>
      <c r="E21" s="11"/>
      <c r="F21" s="12"/>
      <c r="G21" s="12"/>
      <c r="H21" s="12"/>
      <c r="I21" s="14"/>
      <c r="J21" s="12"/>
      <c r="K21" s="13"/>
      <c r="L21" s="11"/>
      <c r="M21" s="11"/>
      <c r="N21" s="11"/>
      <c r="O21" s="11"/>
      <c r="P21" s="14"/>
      <c r="Q21" s="12"/>
      <c r="R21" s="12"/>
      <c r="S21" s="14"/>
    </row>
    <row r="22" spans="1:19" s="9" customFormat="1" ht="17.399999999999999" x14ac:dyDescent="0.35">
      <c r="A22" s="11"/>
      <c r="B22" s="11"/>
      <c r="C22" s="11"/>
      <c r="D22" s="11"/>
      <c r="E22" s="11"/>
      <c r="F22" s="12"/>
      <c r="G22" s="12"/>
      <c r="H22" s="12"/>
      <c r="I22" s="14"/>
      <c r="J22" s="12"/>
      <c r="K22" s="13"/>
      <c r="L22" s="11"/>
      <c r="M22" s="11"/>
      <c r="N22" s="11"/>
      <c r="O22" s="11"/>
      <c r="P22" s="14"/>
      <c r="Q22" s="12"/>
      <c r="R22" s="12"/>
      <c r="S22" s="14"/>
    </row>
    <row r="23" spans="1:19" s="9" customFormat="1" ht="17.399999999999999" x14ac:dyDescent="0.35">
      <c r="A23" s="11"/>
      <c r="B23" s="11"/>
      <c r="C23" s="11"/>
      <c r="D23" s="11"/>
      <c r="E23" s="11"/>
      <c r="F23" s="12"/>
      <c r="G23" s="12"/>
      <c r="H23" s="12"/>
      <c r="I23" s="14"/>
      <c r="J23" s="12"/>
      <c r="K23" s="13"/>
      <c r="L23" s="11"/>
      <c r="M23" s="11"/>
      <c r="N23" s="11"/>
      <c r="O23" s="11"/>
      <c r="P23" s="14"/>
      <c r="Q23" s="12"/>
      <c r="R23" s="12"/>
      <c r="S23" s="14"/>
    </row>
    <row r="24" spans="1:19" s="9" customFormat="1" ht="17.399999999999999" x14ac:dyDescent="0.35">
      <c r="A24" s="11"/>
      <c r="B24" s="11"/>
      <c r="C24" s="11"/>
      <c r="D24" s="11"/>
      <c r="E24" s="11"/>
      <c r="F24" s="12"/>
      <c r="G24" s="12"/>
      <c r="H24" s="12"/>
      <c r="I24" s="14"/>
      <c r="J24" s="12"/>
      <c r="K24" s="13"/>
      <c r="L24" s="11"/>
      <c r="M24" s="11"/>
      <c r="N24" s="11"/>
      <c r="O24" s="11"/>
      <c r="P24" s="14"/>
      <c r="Q24" s="12"/>
      <c r="R24" s="12"/>
      <c r="S24" s="14"/>
    </row>
    <row r="25" spans="1:19" s="9" customFormat="1" ht="17.399999999999999" x14ac:dyDescent="0.35">
      <c r="A25" s="11"/>
      <c r="B25" s="11"/>
      <c r="C25" s="11"/>
      <c r="D25" s="11"/>
      <c r="E25" s="11"/>
      <c r="F25" s="12"/>
      <c r="G25" s="12"/>
      <c r="H25" s="12"/>
      <c r="I25" s="14"/>
      <c r="J25" s="12"/>
      <c r="K25" s="13"/>
      <c r="L25" s="11"/>
      <c r="M25" s="11"/>
      <c r="N25" s="11"/>
      <c r="O25" s="11"/>
      <c r="P25" s="14"/>
      <c r="Q25" s="12"/>
      <c r="R25" s="12"/>
      <c r="S25" s="14"/>
    </row>
    <row r="26" spans="1:19" s="9" customFormat="1" ht="17.399999999999999" x14ac:dyDescent="0.35">
      <c r="A26" s="11"/>
      <c r="B26" s="11"/>
      <c r="C26" s="11"/>
      <c r="D26" s="11"/>
      <c r="E26" s="11"/>
      <c r="F26" s="12"/>
      <c r="G26" s="12"/>
      <c r="H26" s="12"/>
      <c r="I26" s="14"/>
      <c r="J26" s="12"/>
      <c r="K26" s="13"/>
      <c r="L26" s="11"/>
      <c r="M26" s="11"/>
      <c r="N26" s="11"/>
      <c r="O26" s="11"/>
      <c r="P26" s="14"/>
      <c r="Q26" s="12"/>
      <c r="R26" s="12"/>
      <c r="S26" s="14"/>
    </row>
    <row r="27" spans="1:19" s="9" customFormat="1" ht="17.399999999999999" x14ac:dyDescent="0.35">
      <c r="A27" s="8"/>
      <c r="B27" s="8"/>
      <c r="C27" s="8"/>
      <c r="D27" s="8"/>
      <c r="E27" s="8"/>
      <c r="K27" s="10"/>
      <c r="L27" s="8"/>
      <c r="M27" s="8"/>
      <c r="N27" s="8"/>
      <c r="O27" s="8"/>
    </row>
    <row r="28" spans="1:19" s="9" customFormat="1" ht="17.399999999999999" x14ac:dyDescent="0.35">
      <c r="A28" s="8"/>
      <c r="B28" s="8"/>
      <c r="C28" s="8"/>
      <c r="D28" s="8"/>
      <c r="E28" s="8"/>
      <c r="K28" s="10"/>
      <c r="L28" s="8"/>
      <c r="M28" s="8"/>
      <c r="N28" s="8"/>
      <c r="O28" s="8"/>
    </row>
  </sheetData>
  <mergeCells count="1">
    <mergeCell ref="A1:S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4E8F-7BBD-470C-A824-54E738B01301}">
  <dimension ref="A1:AP114"/>
  <sheetViews>
    <sheetView topLeftCell="O12" workbookViewId="0">
      <selection activeCell="X17" sqref="X17:AA18"/>
    </sheetView>
  </sheetViews>
  <sheetFormatPr defaultColWidth="8.88671875" defaultRowHeight="14.4" x14ac:dyDescent="0.3"/>
  <cols>
    <col min="2" max="2" width="8.88671875" style="40"/>
  </cols>
  <sheetData>
    <row r="1" spans="1:42" x14ac:dyDescent="0.3">
      <c r="A1" t="s">
        <v>415</v>
      </c>
      <c r="B1" s="40" t="s">
        <v>414</v>
      </c>
      <c r="E1" t="s">
        <v>416</v>
      </c>
      <c r="F1" s="40" t="s">
        <v>414</v>
      </c>
      <c r="S1" t="s">
        <v>382</v>
      </c>
      <c r="T1" t="s">
        <v>386</v>
      </c>
      <c r="U1" t="s">
        <v>387</v>
      </c>
      <c r="V1" t="s">
        <v>383</v>
      </c>
      <c r="X1" t="s">
        <v>383</v>
      </c>
      <c r="Y1" t="s">
        <v>382</v>
      </c>
      <c r="Z1" t="s">
        <v>386</v>
      </c>
      <c r="AA1" t="s">
        <v>387</v>
      </c>
      <c r="AC1" t="s">
        <v>383</v>
      </c>
      <c r="AD1" t="s">
        <v>382</v>
      </c>
      <c r="AE1" t="s">
        <v>386</v>
      </c>
      <c r="AF1" t="s">
        <v>387</v>
      </c>
      <c r="AH1" t="s">
        <v>383</v>
      </c>
      <c r="AI1" t="s">
        <v>382</v>
      </c>
      <c r="AJ1" t="s">
        <v>386</v>
      </c>
      <c r="AK1" t="s">
        <v>387</v>
      </c>
      <c r="AM1" t="s">
        <v>383</v>
      </c>
      <c r="AN1" t="s">
        <v>386</v>
      </c>
      <c r="AO1" t="s">
        <v>387</v>
      </c>
      <c r="AP1" t="s">
        <v>382</v>
      </c>
    </row>
    <row r="2" spans="1:42" x14ac:dyDescent="0.3">
      <c r="A2" s="61">
        <v>52.800000000000004</v>
      </c>
      <c r="B2" s="61">
        <v>0.40890733392585349</v>
      </c>
      <c r="C2" s="62" t="s">
        <v>412</v>
      </c>
      <c r="E2" s="40">
        <v>0.63500000000000001</v>
      </c>
      <c r="F2" s="40">
        <v>0.34086151930200792</v>
      </c>
      <c r="G2" t="s">
        <v>83</v>
      </c>
      <c r="S2">
        <v>2</v>
      </c>
      <c r="T2">
        <v>9.2175999999999991</v>
      </c>
      <c r="U2">
        <v>-2.6999999999990365E-3</v>
      </c>
      <c r="V2">
        <v>1</v>
      </c>
      <c r="X2">
        <v>3</v>
      </c>
      <c r="Y2">
        <v>2</v>
      </c>
      <c r="Z2">
        <v>9.2133000000000003</v>
      </c>
      <c r="AA2">
        <v>1.5999999999998238E-3</v>
      </c>
      <c r="AC2">
        <v>4</v>
      </c>
      <c r="AD2">
        <v>3</v>
      </c>
      <c r="AE2">
        <v>9.2299000000000007</v>
      </c>
      <c r="AF2">
        <v>-1.5000000000000568E-2</v>
      </c>
      <c r="AH2">
        <v>1</v>
      </c>
      <c r="AI2">
        <v>5</v>
      </c>
      <c r="AJ2">
        <v>9.2014999999999993</v>
      </c>
      <c r="AK2">
        <v>1.3400000000000745E-2</v>
      </c>
      <c r="AM2">
        <v>5</v>
      </c>
      <c r="AN2">
        <v>9.1655999999999995</v>
      </c>
      <c r="AO2">
        <v>4.9300000000000566E-2</v>
      </c>
      <c r="AP2">
        <v>4</v>
      </c>
    </row>
    <row r="3" spans="1:42" x14ac:dyDescent="0.3">
      <c r="A3" s="63">
        <v>79.78</v>
      </c>
      <c r="B3" s="63">
        <v>0.41858324310745521</v>
      </c>
      <c r="C3" s="64" t="s">
        <v>412</v>
      </c>
      <c r="E3" s="40">
        <v>4.29</v>
      </c>
      <c r="F3" s="40">
        <v>0.39716197375055701</v>
      </c>
      <c r="G3" t="s">
        <v>83</v>
      </c>
      <c r="S3">
        <v>8</v>
      </c>
      <c r="T3">
        <v>9.1865000000000006</v>
      </c>
      <c r="U3">
        <v>2.8399999999999537E-2</v>
      </c>
      <c r="V3">
        <v>1</v>
      </c>
      <c r="X3">
        <v>10</v>
      </c>
      <c r="Y3">
        <v>2</v>
      </c>
      <c r="Z3">
        <v>9.2396999999999991</v>
      </c>
      <c r="AA3">
        <v>-2.4799999999999045E-2</v>
      </c>
      <c r="AC3">
        <v>11</v>
      </c>
      <c r="AD3">
        <v>3</v>
      </c>
      <c r="AE3">
        <v>9.2187000000000001</v>
      </c>
      <c r="AF3">
        <v>-3.8000000000000256E-3</v>
      </c>
      <c r="AH3">
        <v>7</v>
      </c>
      <c r="AI3">
        <v>5</v>
      </c>
      <c r="AJ3">
        <v>9.2126999999999999</v>
      </c>
      <c r="AK3">
        <v>2.2000000000002018E-3</v>
      </c>
      <c r="AM3" t="s">
        <v>393</v>
      </c>
      <c r="AN3">
        <v>9.2058999999999997</v>
      </c>
      <c r="AO3">
        <v>9.0000000000003411E-3</v>
      </c>
      <c r="AP3">
        <v>4</v>
      </c>
    </row>
    <row r="4" spans="1:42" x14ac:dyDescent="0.3">
      <c r="A4" s="63">
        <v>82.8</v>
      </c>
      <c r="B4" s="63">
        <v>0.42851343055783864</v>
      </c>
      <c r="C4" s="64" t="s">
        <v>412</v>
      </c>
      <c r="E4" s="40">
        <v>4.84</v>
      </c>
      <c r="F4" s="40">
        <v>0.39021315112177141</v>
      </c>
      <c r="G4" t="s">
        <v>83</v>
      </c>
      <c r="S4" t="s">
        <v>393</v>
      </c>
      <c r="T4">
        <v>9.2187999999999999</v>
      </c>
      <c r="U4">
        <v>-3.8999999999997925E-3</v>
      </c>
      <c r="V4">
        <v>1</v>
      </c>
      <c r="X4" t="s">
        <v>393</v>
      </c>
      <c r="Y4">
        <v>2</v>
      </c>
      <c r="Z4">
        <v>9.2111000000000001</v>
      </c>
      <c r="AA4">
        <v>3.8000000000000256E-3</v>
      </c>
      <c r="AC4">
        <v>15</v>
      </c>
      <c r="AD4">
        <v>3</v>
      </c>
      <c r="AE4">
        <v>9.1812000000000005</v>
      </c>
      <c r="AF4">
        <v>3.3699999999999619E-2</v>
      </c>
      <c r="AH4">
        <v>12</v>
      </c>
      <c r="AI4">
        <v>5</v>
      </c>
      <c r="AJ4">
        <v>9.2231000000000005</v>
      </c>
      <c r="AK4">
        <v>-8.2000000000004292E-3</v>
      </c>
      <c r="AM4">
        <v>6</v>
      </c>
      <c r="AN4">
        <v>9.1879000000000008</v>
      </c>
      <c r="AO4">
        <v>2.6999999999999247E-2</v>
      </c>
      <c r="AP4">
        <v>4</v>
      </c>
    </row>
    <row r="5" spans="1:42" x14ac:dyDescent="0.3">
      <c r="A5" s="63">
        <v>84.97999999999999</v>
      </c>
      <c r="B5" s="63">
        <v>0.47481257027881513</v>
      </c>
      <c r="C5" s="64" t="s">
        <v>412</v>
      </c>
      <c r="E5" s="40">
        <v>7.77</v>
      </c>
      <c r="F5" s="40">
        <v>0.39333308980937959</v>
      </c>
      <c r="G5" t="s">
        <v>83</v>
      </c>
      <c r="S5">
        <v>9</v>
      </c>
      <c r="T5">
        <v>9.2164000000000001</v>
      </c>
      <c r="U5">
        <v>-1.5000000000000568E-3</v>
      </c>
      <c r="V5">
        <v>1</v>
      </c>
      <c r="X5">
        <v>14</v>
      </c>
      <c r="Y5">
        <v>2</v>
      </c>
      <c r="Z5">
        <v>9.2141000000000002</v>
      </c>
      <c r="AA5">
        <v>7.9999999999991189E-4</v>
      </c>
      <c r="AC5">
        <v>19</v>
      </c>
      <c r="AD5">
        <v>3</v>
      </c>
      <c r="AE5">
        <v>9.2131000000000007</v>
      </c>
      <c r="AF5">
        <v>1.7999999999993577E-3</v>
      </c>
      <c r="AH5">
        <v>16</v>
      </c>
      <c r="AI5">
        <v>5</v>
      </c>
      <c r="AJ5">
        <v>9.2207000000000008</v>
      </c>
      <c r="AK5">
        <v>-5.8000000000006935E-3</v>
      </c>
      <c r="AM5" t="s">
        <v>393</v>
      </c>
      <c r="AN5" t="s">
        <v>395</v>
      </c>
      <c r="AP5">
        <v>4</v>
      </c>
    </row>
    <row r="6" spans="1:42" x14ac:dyDescent="0.3">
      <c r="A6" s="63">
        <v>86.78</v>
      </c>
      <c r="B6" s="63">
        <v>0.49347354241574826</v>
      </c>
      <c r="C6" s="64" t="s">
        <v>412</v>
      </c>
      <c r="E6" s="40">
        <v>10.6</v>
      </c>
      <c r="F6" s="40">
        <v>0.37049993482947408</v>
      </c>
      <c r="G6" t="s">
        <v>83</v>
      </c>
      <c r="S6">
        <v>13</v>
      </c>
      <c r="T6">
        <v>9.2204999999999995</v>
      </c>
      <c r="U6">
        <v>-5.5999999999993832E-3</v>
      </c>
      <c r="V6">
        <v>1</v>
      </c>
      <c r="X6">
        <v>18</v>
      </c>
      <c r="Y6">
        <v>2</v>
      </c>
      <c r="Z6">
        <v>9.2030999999999992</v>
      </c>
      <c r="AA6">
        <v>1.1800000000000921E-2</v>
      </c>
      <c r="AC6">
        <v>23</v>
      </c>
      <c r="AD6">
        <v>3</v>
      </c>
      <c r="AE6">
        <v>9.2050999999999998</v>
      </c>
      <c r="AF6">
        <v>9.800000000000253E-3</v>
      </c>
      <c r="AH6">
        <v>20</v>
      </c>
      <c r="AI6">
        <v>5</v>
      </c>
      <c r="AJ6">
        <v>9.2149999999999999</v>
      </c>
      <c r="AK6">
        <v>-9.9999999999766942E-5</v>
      </c>
      <c r="AM6" t="s">
        <v>393</v>
      </c>
      <c r="AN6">
        <v>9.2188999999999997</v>
      </c>
      <c r="AO6">
        <v>-3.9999999999995595E-3</v>
      </c>
      <c r="AP6">
        <v>4</v>
      </c>
    </row>
    <row r="7" spans="1:42" x14ac:dyDescent="0.3">
      <c r="A7" s="63">
        <v>88.78</v>
      </c>
      <c r="B7" s="63">
        <v>0.53979173688461646</v>
      </c>
      <c r="C7" s="64" t="s">
        <v>412</v>
      </c>
      <c r="E7" s="40">
        <v>12.899999999999999</v>
      </c>
      <c r="F7" s="40">
        <v>0.4036420959973821</v>
      </c>
      <c r="G7" t="s">
        <v>83</v>
      </c>
      <c r="S7">
        <v>17</v>
      </c>
      <c r="T7">
        <v>9.2044999999999995</v>
      </c>
      <c r="U7">
        <v>1.0400000000000631E-2</v>
      </c>
      <c r="V7">
        <v>1</v>
      </c>
      <c r="X7">
        <v>22</v>
      </c>
      <c r="Y7">
        <v>2</v>
      </c>
      <c r="Z7">
        <v>9.2304999999999993</v>
      </c>
      <c r="AA7">
        <v>-1.559999999999917E-2</v>
      </c>
      <c r="AC7">
        <v>27</v>
      </c>
      <c r="AD7">
        <v>3</v>
      </c>
      <c r="AE7">
        <v>9.2260000000000009</v>
      </c>
      <c r="AF7">
        <v>-1.1100000000000776E-2</v>
      </c>
      <c r="AH7">
        <v>24</v>
      </c>
      <c r="AI7">
        <v>5</v>
      </c>
      <c r="AJ7">
        <v>9.2265999999999995</v>
      </c>
      <c r="AK7">
        <v>-1.1699999999999378E-2</v>
      </c>
    </row>
    <row r="8" spans="1:42" x14ac:dyDescent="0.3">
      <c r="A8" s="63">
        <v>91.259999999999991</v>
      </c>
      <c r="B8" s="63">
        <v>0.48663105242539556</v>
      </c>
      <c r="C8" s="64" t="s">
        <v>412</v>
      </c>
      <c r="D8" s="41"/>
      <c r="E8" s="40">
        <v>14.08</v>
      </c>
      <c r="F8" s="40">
        <v>0.3850076381768282</v>
      </c>
      <c r="G8" t="s">
        <v>83</v>
      </c>
      <c r="H8" s="41"/>
      <c r="S8">
        <v>21</v>
      </c>
      <c r="T8">
        <v>9.2215000000000007</v>
      </c>
      <c r="U8">
        <v>-6.6000000000006054E-3</v>
      </c>
      <c r="V8">
        <v>1</v>
      </c>
      <c r="X8">
        <v>26</v>
      </c>
      <c r="Y8">
        <v>2</v>
      </c>
      <c r="Z8">
        <v>9.2152999999999992</v>
      </c>
      <c r="AA8">
        <v>-3.9999999999906777E-4</v>
      </c>
      <c r="AC8">
        <v>31</v>
      </c>
      <c r="AD8">
        <v>3</v>
      </c>
      <c r="AE8">
        <v>9.2201000000000004</v>
      </c>
      <c r="AF8">
        <v>-5.2000000000003155E-3</v>
      </c>
      <c r="AH8">
        <v>28</v>
      </c>
      <c r="AI8">
        <v>5</v>
      </c>
      <c r="AJ8">
        <v>9.2234999999999996</v>
      </c>
      <c r="AK8">
        <v>-8.5999999999994969E-3</v>
      </c>
    </row>
    <row r="9" spans="1:42" x14ac:dyDescent="0.3">
      <c r="A9" s="40">
        <v>100.67</v>
      </c>
      <c r="B9" s="40">
        <v>0.50234588327541863</v>
      </c>
      <c r="C9" t="s">
        <v>412</v>
      </c>
      <c r="E9" s="40">
        <v>14.95</v>
      </c>
      <c r="F9" s="40">
        <v>0.39294953121101284</v>
      </c>
      <c r="G9" t="s">
        <v>83</v>
      </c>
      <c r="S9">
        <v>25</v>
      </c>
      <c r="T9">
        <v>9.2236999999999991</v>
      </c>
      <c r="U9">
        <v>-8.7999999999990308E-3</v>
      </c>
      <c r="V9">
        <v>1</v>
      </c>
      <c r="X9">
        <v>30</v>
      </c>
      <c r="Y9">
        <v>2</v>
      </c>
      <c r="Z9">
        <v>9.1928000000000001</v>
      </c>
      <c r="AA9">
        <v>2.2100000000000009E-2</v>
      </c>
      <c r="AC9">
        <v>35</v>
      </c>
      <c r="AD9">
        <v>3</v>
      </c>
      <c r="AE9">
        <v>9.1983999999999995</v>
      </c>
      <c r="AF9">
        <v>1.6500000000000625E-2</v>
      </c>
      <c r="AH9">
        <v>32</v>
      </c>
      <c r="AI9">
        <v>5</v>
      </c>
      <c r="AJ9">
        <v>9.2217000000000002</v>
      </c>
      <c r="AK9">
        <v>-6.8000000000001393E-3</v>
      </c>
    </row>
    <row r="10" spans="1:42" x14ac:dyDescent="0.3">
      <c r="A10" s="40">
        <v>106.78999999999999</v>
      </c>
      <c r="B10" s="40">
        <v>0.48400682325947247</v>
      </c>
      <c r="C10" t="s">
        <v>412</v>
      </c>
      <c r="E10" s="40">
        <v>15.610000000000001</v>
      </c>
      <c r="F10" s="40">
        <v>0.35089957071551264</v>
      </c>
      <c r="G10" t="s">
        <v>83</v>
      </c>
      <c r="S10">
        <v>29</v>
      </c>
      <c r="T10">
        <v>9.2303999999999995</v>
      </c>
      <c r="U10">
        <v>-1.5499999999999403E-2</v>
      </c>
      <c r="V10">
        <v>1</v>
      </c>
      <c r="X10">
        <v>34</v>
      </c>
      <c r="Y10">
        <v>2</v>
      </c>
      <c r="Z10">
        <v>9.2164000000000001</v>
      </c>
      <c r="AA10">
        <v>-1.5000000000000568E-3</v>
      </c>
      <c r="AC10">
        <v>39</v>
      </c>
      <c r="AD10">
        <v>3</v>
      </c>
      <c r="AE10">
        <v>9.2056000000000004</v>
      </c>
      <c r="AF10">
        <v>9.2999999999996419E-3</v>
      </c>
      <c r="AH10">
        <v>36</v>
      </c>
      <c r="AI10">
        <v>5</v>
      </c>
      <c r="AJ10">
        <v>9.2075999999999993</v>
      </c>
      <c r="AK10">
        <v>7.3000000000007503E-3</v>
      </c>
    </row>
    <row r="11" spans="1:42" x14ac:dyDescent="0.3">
      <c r="A11" s="40">
        <v>103.78999999999999</v>
      </c>
      <c r="B11" s="63">
        <v>0.43670292617657352</v>
      </c>
      <c r="C11" t="s">
        <v>412</v>
      </c>
      <c r="E11" s="40">
        <v>16.739999999999998</v>
      </c>
      <c r="F11" s="40">
        <v>0.33345857160379655</v>
      </c>
      <c r="G11" t="s">
        <v>83</v>
      </c>
      <c r="S11">
        <v>33</v>
      </c>
      <c r="T11">
        <v>9.2264999999999997</v>
      </c>
      <c r="U11">
        <v>-1.1599999999999611E-2</v>
      </c>
      <c r="V11">
        <v>1</v>
      </c>
      <c r="X11">
        <v>38</v>
      </c>
      <c r="Y11">
        <v>2</v>
      </c>
      <c r="Z11">
        <v>9.2096</v>
      </c>
      <c r="AA11">
        <v>5.3000000000000824E-3</v>
      </c>
      <c r="AC11">
        <v>43</v>
      </c>
      <c r="AD11">
        <v>3</v>
      </c>
      <c r="AE11">
        <v>9.2077000000000009</v>
      </c>
      <c r="AF11">
        <v>7.199999999999207E-3</v>
      </c>
      <c r="AH11">
        <v>44</v>
      </c>
      <c r="AI11">
        <v>5</v>
      </c>
      <c r="AJ11">
        <v>9.2193000000000005</v>
      </c>
      <c r="AK11">
        <v>-4.4000000000004036E-3</v>
      </c>
    </row>
    <row r="12" spans="1:42" x14ac:dyDescent="0.3">
      <c r="A12" s="40">
        <v>109.8</v>
      </c>
      <c r="B12" s="40">
        <v>0.54841101055370167</v>
      </c>
      <c r="C12" t="s">
        <v>412</v>
      </c>
      <c r="E12" s="40">
        <v>32.729999999999997</v>
      </c>
      <c r="F12" s="40">
        <v>0.35296851627093923</v>
      </c>
      <c r="G12" t="s">
        <v>83</v>
      </c>
      <c r="S12">
        <v>37</v>
      </c>
      <c r="T12">
        <v>9.2241999999999997</v>
      </c>
      <c r="U12">
        <v>-9.2999999999996419E-3</v>
      </c>
      <c r="V12">
        <v>1</v>
      </c>
      <c r="X12">
        <v>46</v>
      </c>
      <c r="Y12">
        <v>2</v>
      </c>
      <c r="Z12">
        <v>9.2095000000000002</v>
      </c>
      <c r="AA12">
        <v>5.3999999999998494E-3</v>
      </c>
      <c r="AC12">
        <v>50</v>
      </c>
      <c r="AD12">
        <v>3</v>
      </c>
      <c r="AE12">
        <v>9.1775000000000002</v>
      </c>
      <c r="AF12">
        <v>3.7399999999999878E-2</v>
      </c>
      <c r="AH12">
        <v>48</v>
      </c>
      <c r="AI12">
        <v>5</v>
      </c>
      <c r="AJ12">
        <v>9.2250999999999994</v>
      </c>
      <c r="AK12">
        <v>-1.0199999999999321E-2</v>
      </c>
    </row>
    <row r="13" spans="1:42" x14ac:dyDescent="0.3">
      <c r="A13" s="40">
        <v>112.53999999999999</v>
      </c>
      <c r="B13" s="40">
        <v>0.45311272602282521</v>
      </c>
      <c r="C13" t="s">
        <v>412</v>
      </c>
      <c r="E13" s="40">
        <v>34.18</v>
      </c>
      <c r="F13" s="40">
        <v>0.42385449719810026</v>
      </c>
      <c r="G13" t="s">
        <v>83</v>
      </c>
      <c r="S13">
        <v>45</v>
      </c>
      <c r="T13">
        <v>9.2089999999999996</v>
      </c>
      <c r="U13">
        <v>5.9000000000004604E-3</v>
      </c>
      <c r="V13">
        <v>1</v>
      </c>
      <c r="X13">
        <v>53</v>
      </c>
      <c r="Y13">
        <v>2</v>
      </c>
      <c r="Z13">
        <v>9.1920999999999999</v>
      </c>
      <c r="AA13">
        <v>2.2800000000000153E-2</v>
      </c>
      <c r="AC13">
        <v>54</v>
      </c>
      <c r="AD13">
        <v>3</v>
      </c>
      <c r="AE13">
        <v>9.2041000000000004</v>
      </c>
      <c r="AF13">
        <v>1.0799999999999699E-2</v>
      </c>
      <c r="AH13">
        <v>51</v>
      </c>
      <c r="AI13">
        <v>5</v>
      </c>
      <c r="AJ13">
        <v>9.1936999999999998</v>
      </c>
      <c r="AK13">
        <v>2.120000000000033E-2</v>
      </c>
    </row>
    <row r="14" spans="1:42" x14ac:dyDescent="0.3">
      <c r="A14" s="40">
        <v>115.52</v>
      </c>
      <c r="B14" s="40">
        <v>0.46121964646059649</v>
      </c>
      <c r="C14" t="s">
        <v>412</v>
      </c>
      <c r="E14" s="40">
        <v>38.5</v>
      </c>
      <c r="F14" s="40">
        <v>0.37954219176152676</v>
      </c>
      <c r="G14" t="s">
        <v>83</v>
      </c>
      <c r="S14">
        <v>49</v>
      </c>
      <c r="T14">
        <v>9.2175999999999991</v>
      </c>
      <c r="U14">
        <v>-2.6999999999990365E-3</v>
      </c>
      <c r="V14">
        <v>1</v>
      </c>
      <c r="X14">
        <v>57</v>
      </c>
      <c r="Y14">
        <v>2</v>
      </c>
      <c r="Z14">
        <v>9.1940000000000008</v>
      </c>
      <c r="AA14">
        <v>2.0899999999999253E-2</v>
      </c>
      <c r="AC14">
        <v>58</v>
      </c>
      <c r="AD14">
        <v>3</v>
      </c>
      <c r="AE14">
        <v>9.1979000000000006</v>
      </c>
      <c r="AF14">
        <v>1.699999999999946E-2</v>
      </c>
      <c r="AH14">
        <v>55</v>
      </c>
      <c r="AI14">
        <v>5</v>
      </c>
      <c r="AJ14">
        <v>9.2050999999999998</v>
      </c>
      <c r="AK14">
        <v>9.800000000000253E-3</v>
      </c>
    </row>
    <row r="15" spans="1:42" x14ac:dyDescent="0.3">
      <c r="A15" s="40">
        <v>118.48</v>
      </c>
      <c r="B15" s="40">
        <v>0.46005746108542067</v>
      </c>
      <c r="C15" t="s">
        <v>412</v>
      </c>
      <c r="E15" s="40">
        <v>40.830000000000005</v>
      </c>
      <c r="F15" s="40">
        <v>0.34863609029123843</v>
      </c>
      <c r="G15" t="s">
        <v>83</v>
      </c>
      <c r="S15">
        <v>52</v>
      </c>
      <c r="T15">
        <v>9.2287999999999997</v>
      </c>
      <c r="U15">
        <v>-1.3899999999999579E-2</v>
      </c>
      <c r="V15">
        <v>1</v>
      </c>
      <c r="X15">
        <v>61</v>
      </c>
      <c r="Y15">
        <v>2</v>
      </c>
      <c r="Z15">
        <v>9.1569000000000003</v>
      </c>
      <c r="AA15">
        <v>5.7999999999999829E-2</v>
      </c>
      <c r="AC15">
        <v>62</v>
      </c>
      <c r="AD15">
        <v>3</v>
      </c>
      <c r="AE15">
        <v>9.1914999999999996</v>
      </c>
      <c r="AF15">
        <v>2.3400000000000531E-2</v>
      </c>
      <c r="AH15">
        <v>59</v>
      </c>
      <c r="AI15">
        <v>5</v>
      </c>
      <c r="AJ15">
        <v>9.2134999999999998</v>
      </c>
      <c r="AK15">
        <v>1.4000000000002899E-3</v>
      </c>
    </row>
    <row r="16" spans="1:42" x14ac:dyDescent="0.3">
      <c r="A16" s="40">
        <v>121.42999999999999</v>
      </c>
      <c r="B16" s="40">
        <v>0.5058792975381563</v>
      </c>
      <c r="C16" t="s">
        <v>412</v>
      </c>
      <c r="E16" s="40">
        <v>41.57</v>
      </c>
      <c r="F16" s="40">
        <v>0.38337632598933835</v>
      </c>
      <c r="G16" t="s">
        <v>83</v>
      </c>
      <c r="S16">
        <v>56</v>
      </c>
      <c r="T16">
        <v>9.2271000000000001</v>
      </c>
      <c r="U16">
        <v>-1.2199999999999989E-2</v>
      </c>
      <c r="V16">
        <v>1</v>
      </c>
      <c r="X16" t="s">
        <v>393</v>
      </c>
      <c r="Y16">
        <v>2</v>
      </c>
      <c r="Z16">
        <v>9.2101000000000006</v>
      </c>
      <c r="AA16">
        <v>4.7999999999994714E-3</v>
      </c>
      <c r="AC16">
        <v>66</v>
      </c>
      <c r="AD16">
        <v>3</v>
      </c>
      <c r="AE16">
        <v>9.1849000000000007</v>
      </c>
      <c r="AF16">
        <v>2.9999999999999361E-2</v>
      </c>
      <c r="AH16">
        <v>63</v>
      </c>
      <c r="AI16">
        <v>5</v>
      </c>
      <c r="AJ16">
        <v>9.2005999999999997</v>
      </c>
      <c r="AK16">
        <v>1.4300000000000423E-2</v>
      </c>
    </row>
    <row r="17" spans="1:37" x14ac:dyDescent="0.3">
      <c r="A17" s="40">
        <v>124.48</v>
      </c>
      <c r="B17" s="40">
        <v>0.44592801900958157</v>
      </c>
      <c r="C17" t="s">
        <v>412</v>
      </c>
      <c r="E17" s="40">
        <v>43.39</v>
      </c>
      <c r="F17" s="63">
        <v>0.43956129372996727</v>
      </c>
      <c r="G17" s="64" t="s">
        <v>83</v>
      </c>
      <c r="S17">
        <v>60</v>
      </c>
      <c r="T17">
        <v>9.2086000000000006</v>
      </c>
      <c r="U17">
        <v>6.2999999999995282E-3</v>
      </c>
      <c r="V17">
        <v>1</v>
      </c>
      <c r="X17">
        <v>65</v>
      </c>
      <c r="Y17">
        <v>2</v>
      </c>
      <c r="Z17">
        <v>9.2249999999999996</v>
      </c>
      <c r="AA17">
        <v>-1.0099999999999554E-2</v>
      </c>
      <c r="AH17">
        <v>67</v>
      </c>
      <c r="AI17">
        <v>5</v>
      </c>
      <c r="AJ17">
        <v>9.2134</v>
      </c>
      <c r="AK17">
        <v>1.5000000000000568E-3</v>
      </c>
    </row>
    <row r="18" spans="1:37" x14ac:dyDescent="0.3">
      <c r="A18" s="40">
        <v>127.39</v>
      </c>
      <c r="B18" s="40">
        <v>0.50130609563009854</v>
      </c>
      <c r="C18" t="s">
        <v>412</v>
      </c>
      <c r="E18" s="63">
        <v>44.21</v>
      </c>
      <c r="F18" s="63">
        <v>0.35780856507290215</v>
      </c>
      <c r="G18" s="64" t="s">
        <v>83</v>
      </c>
      <c r="S18">
        <v>64</v>
      </c>
      <c r="T18">
        <v>9.2266999999999992</v>
      </c>
      <c r="U18">
        <v>-1.1799999999999145E-2</v>
      </c>
      <c r="V18">
        <v>1</v>
      </c>
      <c r="X18">
        <v>69</v>
      </c>
      <c r="Y18">
        <v>2</v>
      </c>
      <c r="Z18">
        <v>9.2108000000000008</v>
      </c>
      <c r="AA18">
        <v>4.0999999999993264E-3</v>
      </c>
    </row>
    <row r="19" spans="1:37" x14ac:dyDescent="0.3">
      <c r="A19" s="40">
        <v>121.7</v>
      </c>
      <c r="B19" s="40">
        <v>0.57123734181952501</v>
      </c>
      <c r="C19" t="s">
        <v>412</v>
      </c>
      <c r="E19" s="63">
        <v>46.580000000000005</v>
      </c>
      <c r="F19" s="63">
        <v>0.34324645863049108</v>
      </c>
      <c r="G19" s="64" t="s">
        <v>83</v>
      </c>
      <c r="S19">
        <v>68</v>
      </c>
      <c r="T19">
        <v>9.2367000000000008</v>
      </c>
      <c r="U19">
        <v>-2.1800000000000708E-2</v>
      </c>
      <c r="V19">
        <v>1</v>
      </c>
    </row>
    <row r="20" spans="1:37" x14ac:dyDescent="0.3">
      <c r="A20" s="40">
        <v>124.2</v>
      </c>
      <c r="B20" s="40">
        <v>0.42808258556875817</v>
      </c>
      <c r="C20" t="s">
        <v>412</v>
      </c>
      <c r="E20" s="63">
        <v>49.080000000000005</v>
      </c>
      <c r="F20" s="63">
        <v>0.4181004874501752</v>
      </c>
      <c r="G20" s="64" t="s">
        <v>83</v>
      </c>
    </row>
    <row r="21" spans="1:37" x14ac:dyDescent="0.3">
      <c r="A21" s="40">
        <v>126.75</v>
      </c>
      <c r="B21" s="40">
        <v>0.44508372904809984</v>
      </c>
      <c r="C21" t="s">
        <v>412</v>
      </c>
      <c r="E21" s="63">
        <v>51.05</v>
      </c>
      <c r="F21" s="61">
        <v>0.44100833763152081</v>
      </c>
      <c r="G21" s="62" t="s">
        <v>83</v>
      </c>
    </row>
    <row r="22" spans="1:37" x14ac:dyDescent="0.3">
      <c r="A22" s="40">
        <v>127.82000000000001</v>
      </c>
      <c r="B22" s="40">
        <v>0.41169764576584916</v>
      </c>
      <c r="C22" t="s">
        <v>412</v>
      </c>
      <c r="E22" s="61">
        <v>55.300000000000004</v>
      </c>
      <c r="F22" s="61">
        <v>0.36571160442091388</v>
      </c>
      <c r="G22" s="62" t="s">
        <v>83</v>
      </c>
    </row>
    <row r="23" spans="1:37" x14ac:dyDescent="0.3">
      <c r="A23" s="40">
        <v>129.57</v>
      </c>
      <c r="B23" s="40">
        <v>0.37032419777071496</v>
      </c>
      <c r="C23" t="s">
        <v>412</v>
      </c>
      <c r="E23" s="61">
        <v>57.04</v>
      </c>
      <c r="F23" s="61">
        <v>0.40453146804726092</v>
      </c>
      <c r="G23" s="62" t="s">
        <v>83</v>
      </c>
    </row>
    <row r="24" spans="1:37" s="44" customFormat="1" x14ac:dyDescent="0.3">
      <c r="A24" s="66">
        <v>131.85</v>
      </c>
      <c r="B24" s="66">
        <v>0.45054828361072663</v>
      </c>
      <c r="C24" s="44" t="s">
        <v>412</v>
      </c>
      <c r="E24" s="67">
        <v>59.78</v>
      </c>
      <c r="F24" s="67">
        <v>0.38774970826703431</v>
      </c>
      <c r="G24" s="68" t="s">
        <v>83</v>
      </c>
    </row>
    <row r="25" spans="1:37" s="44" customFormat="1" x14ac:dyDescent="0.3">
      <c r="A25" s="66">
        <v>172.94</v>
      </c>
      <c r="B25" s="66">
        <v>0.58343856170112207</v>
      </c>
      <c r="C25" s="44" t="s">
        <v>412</v>
      </c>
      <c r="E25" s="67">
        <v>61.900000000000006</v>
      </c>
      <c r="F25" s="67">
        <v>0.3192030299949028</v>
      </c>
      <c r="G25" s="68" t="s">
        <v>83</v>
      </c>
    </row>
    <row r="26" spans="1:37" s="44" customFormat="1" x14ac:dyDescent="0.3">
      <c r="A26" s="66">
        <v>176.15</v>
      </c>
      <c r="B26" s="66">
        <v>0.49619428795059262</v>
      </c>
      <c r="C26" s="44" t="s">
        <v>412</v>
      </c>
      <c r="E26" s="67">
        <v>63.98</v>
      </c>
      <c r="F26" s="67">
        <v>0.36432402489601323</v>
      </c>
      <c r="G26" s="68" t="s">
        <v>83</v>
      </c>
    </row>
    <row r="27" spans="1:37" s="44" customFormat="1" x14ac:dyDescent="0.3">
      <c r="A27" s="66">
        <v>179.04</v>
      </c>
      <c r="B27" s="66">
        <v>0.51929471160676022</v>
      </c>
      <c r="C27" s="44" t="s">
        <v>412</v>
      </c>
      <c r="E27" s="67">
        <v>65.91</v>
      </c>
      <c r="F27" s="67">
        <v>0.33351631774495416</v>
      </c>
      <c r="G27" s="68" t="s">
        <v>83</v>
      </c>
    </row>
    <row r="28" spans="1:37" s="44" customFormat="1" x14ac:dyDescent="0.3">
      <c r="A28" s="66">
        <v>182.06</v>
      </c>
      <c r="B28" s="66">
        <v>0.47507782899788681</v>
      </c>
      <c r="C28" s="44" t="s">
        <v>412</v>
      </c>
      <c r="E28" s="67">
        <v>67.94</v>
      </c>
      <c r="F28" s="67">
        <v>0.38560856696138174</v>
      </c>
      <c r="G28" s="68" t="s">
        <v>83</v>
      </c>
    </row>
    <row r="29" spans="1:37" s="44" customFormat="1" x14ac:dyDescent="0.3">
      <c r="A29" s="66">
        <v>185.17</v>
      </c>
      <c r="B29" s="66">
        <v>0.51494340645771508</v>
      </c>
      <c r="C29" s="44" t="s">
        <v>412</v>
      </c>
      <c r="E29" s="67">
        <v>69.2</v>
      </c>
      <c r="F29" s="67">
        <v>0.34891201583834613</v>
      </c>
      <c r="G29" s="68" t="s">
        <v>83</v>
      </c>
    </row>
    <row r="30" spans="1:37" s="44" customFormat="1" x14ac:dyDescent="0.3">
      <c r="A30" s="66">
        <v>204.22</v>
      </c>
      <c r="B30" s="66">
        <v>0.48231687284753078</v>
      </c>
      <c r="C30" s="44" t="s">
        <v>412</v>
      </c>
      <c r="E30" s="67">
        <v>71.06</v>
      </c>
      <c r="F30" s="69">
        <v>0.24128172289958727</v>
      </c>
      <c r="G30" s="70" t="s">
        <v>83</v>
      </c>
    </row>
    <row r="31" spans="1:37" s="44" customFormat="1" x14ac:dyDescent="0.3">
      <c r="A31" s="66">
        <v>206.59</v>
      </c>
      <c r="B31" s="66">
        <v>0.5</v>
      </c>
      <c r="C31" s="44" t="s">
        <v>412</v>
      </c>
      <c r="E31" s="69">
        <v>72.14</v>
      </c>
      <c r="F31" s="69">
        <v>0.40369403602900977</v>
      </c>
      <c r="G31" s="70" t="s">
        <v>83</v>
      </c>
    </row>
    <row r="32" spans="1:37" s="44" customFormat="1" x14ac:dyDescent="0.3">
      <c r="A32" s="66">
        <v>224.94000000000003</v>
      </c>
      <c r="B32" s="66">
        <v>0.48973509428980344</v>
      </c>
      <c r="C32" s="44" t="s">
        <v>412</v>
      </c>
      <c r="E32" s="69">
        <v>76.8</v>
      </c>
      <c r="F32" s="69">
        <v>0.45427853530289081</v>
      </c>
      <c r="G32" s="70" t="s">
        <v>83</v>
      </c>
    </row>
    <row r="33" spans="1:7" s="44" customFormat="1" x14ac:dyDescent="0.3">
      <c r="A33" s="66">
        <v>228.01</v>
      </c>
      <c r="B33" s="66">
        <v>0.43369641330142633</v>
      </c>
      <c r="C33" s="44" t="s">
        <v>412</v>
      </c>
      <c r="E33" s="69">
        <v>73.760000000000005</v>
      </c>
      <c r="F33" s="69">
        <v>0.39530312635404402</v>
      </c>
      <c r="G33" s="70" t="s">
        <v>83</v>
      </c>
    </row>
    <row r="34" spans="1:7" s="44" customFormat="1" x14ac:dyDescent="0.3">
      <c r="A34" s="66">
        <v>234.17</v>
      </c>
      <c r="B34" s="66">
        <v>0.45097771069327208</v>
      </c>
      <c r="C34" s="44" t="s">
        <v>412</v>
      </c>
      <c r="E34" s="69">
        <v>94.28</v>
      </c>
      <c r="F34" s="69">
        <v>0.28617542368105386</v>
      </c>
      <c r="G34" s="44" t="s">
        <v>83</v>
      </c>
    </row>
    <row r="35" spans="1:7" s="44" customFormat="1" x14ac:dyDescent="0.3">
      <c r="A35" s="66">
        <v>234.91</v>
      </c>
      <c r="B35" s="66">
        <v>0.47385960062084204</v>
      </c>
      <c r="C35" s="44" t="s">
        <v>412</v>
      </c>
      <c r="E35" s="66">
        <v>96.64</v>
      </c>
      <c r="F35" s="69">
        <v>0.33206138563253668</v>
      </c>
      <c r="G35" s="44" t="s">
        <v>83</v>
      </c>
    </row>
    <row r="36" spans="1:7" s="44" customFormat="1" x14ac:dyDescent="0.3">
      <c r="A36" s="66">
        <v>245.62</v>
      </c>
      <c r="B36" s="66">
        <v>0.68405709654672264</v>
      </c>
      <c r="C36" s="44" t="s">
        <v>412</v>
      </c>
      <c r="E36" s="40">
        <v>98.940000000000012</v>
      </c>
      <c r="F36" s="63">
        <v>0.40440718814879134</v>
      </c>
      <c r="G36" t="s">
        <v>83</v>
      </c>
    </row>
    <row r="37" spans="1:7" s="44" customFormat="1" x14ac:dyDescent="0.3">
      <c r="A37" s="66">
        <v>247.14999999999998</v>
      </c>
      <c r="B37" s="66">
        <v>0.4566930260592757</v>
      </c>
      <c r="C37" s="44" t="s">
        <v>412</v>
      </c>
      <c r="E37" s="40">
        <v>134.82</v>
      </c>
      <c r="F37" s="40">
        <v>0.2956039995447608</v>
      </c>
      <c r="G37" t="s">
        <v>83</v>
      </c>
    </row>
    <row r="38" spans="1:7" s="44" customFormat="1" x14ac:dyDescent="0.3">
      <c r="A38" s="66">
        <v>250.45</v>
      </c>
      <c r="B38" s="66">
        <v>0.45672949913914829</v>
      </c>
      <c r="C38" s="44" t="s">
        <v>412</v>
      </c>
      <c r="E38" s="40">
        <v>138.15</v>
      </c>
      <c r="F38" s="40">
        <v>0.40306697617231618</v>
      </c>
      <c r="G38" t="s">
        <v>83</v>
      </c>
    </row>
    <row r="39" spans="1:7" s="44" customFormat="1" x14ac:dyDescent="0.3">
      <c r="A39" s="66">
        <v>259.31</v>
      </c>
      <c r="B39" s="66">
        <v>0.40885639931687995</v>
      </c>
      <c r="C39" s="44" t="s">
        <v>412</v>
      </c>
      <c r="E39" s="40">
        <v>141.19999999999999</v>
      </c>
      <c r="F39" s="40">
        <v>0.37391490782944486</v>
      </c>
      <c r="G39" t="s">
        <v>83</v>
      </c>
    </row>
    <row r="40" spans="1:7" s="44" customFormat="1" x14ac:dyDescent="0.3">
      <c r="A40">
        <v>268.51</v>
      </c>
      <c r="B40" s="40">
        <v>0.38998199900187575</v>
      </c>
      <c r="C40" t="s">
        <v>412</v>
      </c>
      <c r="E40" s="40">
        <v>144.55000000000001</v>
      </c>
      <c r="F40" s="40">
        <v>0.48837359012982423</v>
      </c>
      <c r="G40" t="s">
        <v>83</v>
      </c>
    </row>
    <row r="41" spans="1:7" x14ac:dyDescent="0.3">
      <c r="A41">
        <v>265.32</v>
      </c>
      <c r="B41" s="40">
        <v>0.35502148248722326</v>
      </c>
      <c r="C41" t="s">
        <v>412</v>
      </c>
      <c r="E41" s="40">
        <v>146.95500000000001</v>
      </c>
      <c r="F41" s="40">
        <v>0.5627799214171002</v>
      </c>
      <c r="G41" t="s">
        <v>83</v>
      </c>
    </row>
    <row r="42" spans="1:7" x14ac:dyDescent="0.3">
      <c r="A42">
        <v>271.31</v>
      </c>
      <c r="B42" s="40">
        <v>0.36336261049594576</v>
      </c>
      <c r="C42" t="s">
        <v>412</v>
      </c>
      <c r="E42" s="40">
        <v>149.69999999999999</v>
      </c>
      <c r="F42" s="40">
        <v>0.5671442007252443</v>
      </c>
      <c r="G42" t="s">
        <v>83</v>
      </c>
    </row>
    <row r="43" spans="1:7" x14ac:dyDescent="0.3">
      <c r="A43">
        <v>259.31</v>
      </c>
      <c r="B43" s="40">
        <v>0.40885639931687995</v>
      </c>
      <c r="C43" t="s">
        <v>412</v>
      </c>
      <c r="E43" s="40">
        <v>149.91999999999999</v>
      </c>
      <c r="F43" s="40">
        <v>0.56443218616946356</v>
      </c>
      <c r="G43" t="s">
        <v>83</v>
      </c>
    </row>
    <row r="44" spans="1:7" x14ac:dyDescent="0.3">
      <c r="A44">
        <v>281.94</v>
      </c>
      <c r="B44">
        <v>0.37367052563282371</v>
      </c>
      <c r="C44" t="s">
        <v>412</v>
      </c>
      <c r="E44" s="40">
        <v>152.59</v>
      </c>
      <c r="F44" s="40">
        <v>0.57789749796846301</v>
      </c>
      <c r="G44" t="s">
        <v>83</v>
      </c>
    </row>
    <row r="45" spans="1:7" x14ac:dyDescent="0.3">
      <c r="A45">
        <v>285.16000000000003</v>
      </c>
      <c r="B45">
        <v>0.38572616575107277</v>
      </c>
      <c r="C45" t="s">
        <v>412</v>
      </c>
      <c r="E45" s="40">
        <v>155.63999999999999</v>
      </c>
      <c r="F45" s="40">
        <v>0.40995847439179711</v>
      </c>
      <c r="G45" t="s">
        <v>83</v>
      </c>
    </row>
    <row r="46" spans="1:7" x14ac:dyDescent="0.3">
      <c r="A46">
        <v>289.70999999999998</v>
      </c>
      <c r="B46">
        <v>0.38735889075555235</v>
      </c>
      <c r="C46" t="s">
        <v>412</v>
      </c>
      <c r="E46" s="40">
        <v>158.39000000000001</v>
      </c>
      <c r="F46" s="40">
        <v>0.39261995810260591</v>
      </c>
      <c r="G46" t="s">
        <v>83</v>
      </c>
    </row>
    <row r="47" spans="1:7" x14ac:dyDescent="0.3">
      <c r="A47">
        <v>299.13</v>
      </c>
      <c r="B47">
        <v>0.45627836233271907</v>
      </c>
      <c r="C47" t="s">
        <v>412</v>
      </c>
      <c r="E47" s="40">
        <v>161.66000000000003</v>
      </c>
      <c r="F47" s="40">
        <v>0.40429397555798585</v>
      </c>
      <c r="G47" t="s">
        <v>83</v>
      </c>
    </row>
    <row r="48" spans="1:7" x14ac:dyDescent="0.3">
      <c r="A48">
        <v>301.52</v>
      </c>
      <c r="B48">
        <v>0.40333297836712051</v>
      </c>
      <c r="C48" t="s">
        <v>412</v>
      </c>
      <c r="E48" s="40">
        <v>168.89</v>
      </c>
      <c r="F48" s="40">
        <v>0.4130408464637762</v>
      </c>
      <c r="G48" t="s">
        <v>83</v>
      </c>
    </row>
    <row r="49" spans="1:7" x14ac:dyDescent="0.3">
      <c r="A49">
        <v>307.40999999999997</v>
      </c>
      <c r="B49">
        <v>0.50053006604363581</v>
      </c>
      <c r="C49" t="s">
        <v>412</v>
      </c>
      <c r="E49" s="40">
        <v>169.92999999999998</v>
      </c>
      <c r="F49" s="40">
        <v>0.42714995065655814</v>
      </c>
      <c r="G49" t="s">
        <v>83</v>
      </c>
    </row>
    <row r="50" spans="1:7" x14ac:dyDescent="0.3">
      <c r="A50">
        <v>310.51</v>
      </c>
      <c r="B50">
        <v>0.43747223162946247</v>
      </c>
      <c r="C50" t="s">
        <v>412</v>
      </c>
      <c r="E50" s="40">
        <v>188.22</v>
      </c>
      <c r="F50" s="40">
        <v>0.49145362360630901</v>
      </c>
      <c r="G50" t="s">
        <v>83</v>
      </c>
    </row>
    <row r="51" spans="1:7" x14ac:dyDescent="0.3">
      <c r="A51">
        <v>314.70000000000005</v>
      </c>
      <c r="B51">
        <v>0.41026115737446345</v>
      </c>
      <c r="C51" t="s">
        <v>412</v>
      </c>
      <c r="E51" s="40">
        <v>191.27</v>
      </c>
      <c r="F51" s="40">
        <v>0.49521679455785128</v>
      </c>
      <c r="G51" t="s">
        <v>83</v>
      </c>
    </row>
    <row r="52" spans="1:7" x14ac:dyDescent="0.3">
      <c r="A52">
        <v>316.28999999999996</v>
      </c>
      <c r="B52">
        <v>0.4183513413560212</v>
      </c>
      <c r="C52" t="s">
        <v>412</v>
      </c>
      <c r="E52" s="40">
        <v>194.35</v>
      </c>
      <c r="F52" s="40">
        <v>0.44410481141909691</v>
      </c>
      <c r="G52" t="s">
        <v>83</v>
      </c>
    </row>
    <row r="53" spans="1:7" x14ac:dyDescent="0.3">
      <c r="A53">
        <v>322.31</v>
      </c>
      <c r="B53">
        <v>0.36889167166524539</v>
      </c>
      <c r="C53" t="s">
        <v>412</v>
      </c>
      <c r="E53" s="40">
        <v>198.35</v>
      </c>
      <c r="F53" s="40">
        <v>0.46672549169153776</v>
      </c>
      <c r="G53" t="s">
        <v>83</v>
      </c>
    </row>
    <row r="54" spans="1:7" x14ac:dyDescent="0.3">
      <c r="A54">
        <v>323.84999999999997</v>
      </c>
      <c r="B54">
        <v>0.48210815471155838</v>
      </c>
      <c r="C54" t="s">
        <v>412</v>
      </c>
      <c r="E54" s="40">
        <v>201.23999999999998</v>
      </c>
      <c r="F54" s="40">
        <v>0.50379909500508857</v>
      </c>
      <c r="G54" t="s">
        <v>83</v>
      </c>
    </row>
    <row r="55" spans="1:7" x14ac:dyDescent="0.3">
      <c r="A55">
        <v>356.04</v>
      </c>
      <c r="B55">
        <v>0.4002395166837403</v>
      </c>
      <c r="C55" t="s">
        <v>412</v>
      </c>
      <c r="E55" s="40">
        <v>207.71</v>
      </c>
      <c r="F55" s="40">
        <v>0.41216125619887428</v>
      </c>
      <c r="G55" t="s">
        <v>83</v>
      </c>
    </row>
    <row r="56" spans="1:7" x14ac:dyDescent="0.3">
      <c r="A56">
        <v>361.21</v>
      </c>
      <c r="B56">
        <v>0.44076544182997279</v>
      </c>
      <c r="C56" t="s">
        <v>412</v>
      </c>
      <c r="E56" s="40">
        <v>215.71</v>
      </c>
      <c r="F56" s="40">
        <v>0.34840582717294277</v>
      </c>
      <c r="G56" t="s">
        <v>83</v>
      </c>
    </row>
    <row r="57" spans="1:7" x14ac:dyDescent="0.3">
      <c r="A57">
        <v>362.16</v>
      </c>
      <c r="B57">
        <v>0.48355554720638116</v>
      </c>
      <c r="C57" t="s">
        <v>412</v>
      </c>
      <c r="E57" s="40">
        <v>210.21</v>
      </c>
      <c r="F57" s="40">
        <v>0.49504503611925926</v>
      </c>
      <c r="G57" t="s">
        <v>83</v>
      </c>
    </row>
    <row r="58" spans="1:7" x14ac:dyDescent="0.3">
      <c r="A58">
        <v>364.80999999999995</v>
      </c>
      <c r="B58">
        <v>0.32490200856560336</v>
      </c>
      <c r="C58" t="s">
        <v>412</v>
      </c>
      <c r="E58" s="40">
        <v>213.26</v>
      </c>
      <c r="F58" s="40">
        <v>0.42754793877479108</v>
      </c>
      <c r="G58" t="s">
        <v>83</v>
      </c>
    </row>
    <row r="59" spans="1:7" x14ac:dyDescent="0.3">
      <c r="A59">
        <v>369.21</v>
      </c>
      <c r="B59">
        <v>0.30794154825010578</v>
      </c>
      <c r="C59" t="s">
        <v>412</v>
      </c>
      <c r="E59" s="40">
        <v>220.31</v>
      </c>
      <c r="F59" s="40">
        <v>0.4234415902230837</v>
      </c>
      <c r="G59" t="s">
        <v>83</v>
      </c>
    </row>
    <row r="60" spans="1:7" x14ac:dyDescent="0.3">
      <c r="A60">
        <v>369.21</v>
      </c>
      <c r="B60">
        <v>0.30794154825010578</v>
      </c>
      <c r="C60" t="s">
        <v>412</v>
      </c>
      <c r="E60" s="40">
        <v>224.27</v>
      </c>
      <c r="F60" s="40">
        <v>0.33156256640931386</v>
      </c>
      <c r="G60" t="s">
        <v>83</v>
      </c>
    </row>
    <row r="61" spans="1:7" x14ac:dyDescent="0.3">
      <c r="A61">
        <v>378.36</v>
      </c>
      <c r="B61">
        <v>0.56782773582003065</v>
      </c>
      <c r="C61" t="s">
        <v>412</v>
      </c>
      <c r="E61" s="40">
        <v>228.01</v>
      </c>
      <c r="F61" s="40">
        <v>0.43369641330142633</v>
      </c>
      <c r="G61" t="s">
        <v>83</v>
      </c>
    </row>
    <row r="62" spans="1:7" x14ac:dyDescent="0.3">
      <c r="A62">
        <v>381.45</v>
      </c>
      <c r="B62">
        <v>0.51570295637507457</v>
      </c>
      <c r="C62" t="s">
        <v>412</v>
      </c>
      <c r="E62" s="40">
        <v>234.17</v>
      </c>
      <c r="F62" s="40">
        <v>0.45097771069327208</v>
      </c>
      <c r="G62" t="s">
        <v>83</v>
      </c>
    </row>
    <row r="63" spans="1:7" x14ac:dyDescent="0.3">
      <c r="A63">
        <v>48.050000000000004</v>
      </c>
      <c r="B63">
        <v>0.55080903275544069</v>
      </c>
      <c r="C63" t="s">
        <v>412</v>
      </c>
      <c r="E63" s="40">
        <v>234.91</v>
      </c>
      <c r="F63" s="40">
        <v>0.47385960062084204</v>
      </c>
      <c r="G63" t="s">
        <v>83</v>
      </c>
    </row>
    <row r="64" spans="1:7" x14ac:dyDescent="0.3">
      <c r="A64">
        <v>49.790000000000006</v>
      </c>
      <c r="B64">
        <v>0.545706439117847</v>
      </c>
      <c r="C64" t="s">
        <v>412</v>
      </c>
      <c r="E64" s="40">
        <v>245.21</v>
      </c>
      <c r="F64" s="40">
        <v>0.45578011719022893</v>
      </c>
      <c r="G64" t="s">
        <v>83</v>
      </c>
    </row>
    <row r="65" spans="1:7" x14ac:dyDescent="0.3">
      <c r="A65">
        <v>111.53</v>
      </c>
      <c r="B65">
        <v>0.40363909874251214</v>
      </c>
      <c r="C65" t="s">
        <v>412</v>
      </c>
      <c r="E65" s="40">
        <v>237.96</v>
      </c>
      <c r="F65" s="40">
        <v>0.46161096651282862</v>
      </c>
      <c r="G65" t="s">
        <v>83</v>
      </c>
    </row>
    <row r="66" spans="1:7" x14ac:dyDescent="0.3">
      <c r="A66">
        <v>120.74</v>
      </c>
      <c r="B66">
        <v>0.51318370219361154</v>
      </c>
      <c r="C66" t="s">
        <v>412</v>
      </c>
      <c r="E66" s="40">
        <v>251.91</v>
      </c>
      <c r="F66" s="40">
        <v>0.42311014914603262</v>
      </c>
      <c r="G66" t="s">
        <v>83</v>
      </c>
    </row>
    <row r="67" spans="1:7" x14ac:dyDescent="0.3">
      <c r="A67">
        <v>126.41000000000001</v>
      </c>
      <c r="B67">
        <v>0.41996876852094261</v>
      </c>
      <c r="C67" t="s">
        <v>412</v>
      </c>
      <c r="E67" s="40">
        <v>253.21</v>
      </c>
      <c r="F67" s="40">
        <v>0.50890554140187616</v>
      </c>
      <c r="G67" t="s">
        <v>83</v>
      </c>
    </row>
    <row r="68" spans="1:7" x14ac:dyDescent="0.3">
      <c r="A68">
        <v>110.41</v>
      </c>
      <c r="B68">
        <v>0.42438633001844184</v>
      </c>
      <c r="C68" t="s">
        <v>412</v>
      </c>
      <c r="E68" s="40">
        <v>255.91</v>
      </c>
      <c r="F68" s="40">
        <v>0.406062382208773</v>
      </c>
      <c r="G68" t="s">
        <v>83</v>
      </c>
    </row>
    <row r="69" spans="1:7" x14ac:dyDescent="0.3">
      <c r="A69">
        <v>126.74</v>
      </c>
      <c r="B69">
        <v>0.43881899430525534</v>
      </c>
      <c r="C69" t="s">
        <v>412</v>
      </c>
      <c r="E69" s="40">
        <v>256.65999999999997</v>
      </c>
      <c r="F69" s="40">
        <v>0.37331079366844211</v>
      </c>
      <c r="G69" t="s">
        <v>83</v>
      </c>
    </row>
    <row r="70" spans="1:7" x14ac:dyDescent="0.3">
      <c r="A70">
        <v>150.38</v>
      </c>
      <c r="B70">
        <v>0.55619993648416166</v>
      </c>
      <c r="C70" t="s">
        <v>412</v>
      </c>
      <c r="E70">
        <v>262.36</v>
      </c>
      <c r="F70" s="40">
        <v>0.49196138488144897</v>
      </c>
      <c r="G70" t="s">
        <v>83</v>
      </c>
    </row>
    <row r="71" spans="1:7" x14ac:dyDescent="0.3">
      <c r="A71">
        <v>172.01500000000001</v>
      </c>
      <c r="B71">
        <v>0.47532019577615797</v>
      </c>
      <c r="C71" t="s">
        <v>412</v>
      </c>
      <c r="E71">
        <v>274.45999999999998</v>
      </c>
      <c r="F71" s="40">
        <v>0.18342745246107925</v>
      </c>
      <c r="G71" t="s">
        <v>83</v>
      </c>
    </row>
    <row r="72" spans="1:7" x14ac:dyDescent="0.3">
      <c r="A72">
        <v>177.70000000000002</v>
      </c>
      <c r="B72">
        <v>0.49037009810067039</v>
      </c>
      <c r="C72" t="s">
        <v>412</v>
      </c>
      <c r="E72">
        <v>275.56</v>
      </c>
      <c r="F72" s="40">
        <v>0.32631342031255761</v>
      </c>
      <c r="G72" t="s">
        <v>83</v>
      </c>
    </row>
    <row r="73" spans="1:7" x14ac:dyDescent="0.3">
      <c r="A73">
        <v>180.34</v>
      </c>
      <c r="B73">
        <v>0.52748827055272007</v>
      </c>
      <c r="C73" t="s">
        <v>412</v>
      </c>
      <c r="E73">
        <v>277.61</v>
      </c>
      <c r="F73" s="40">
        <v>0.31187083183809355</v>
      </c>
      <c r="G73" t="s">
        <v>83</v>
      </c>
    </row>
    <row r="74" spans="1:7" x14ac:dyDescent="0.3">
      <c r="A74">
        <v>185.125</v>
      </c>
      <c r="B74">
        <v>0.47701737383512521</v>
      </c>
      <c r="C74" t="s">
        <v>412</v>
      </c>
      <c r="E74">
        <v>278.31</v>
      </c>
      <c r="F74" s="40">
        <v>0.35025683690602227</v>
      </c>
      <c r="G74" t="s">
        <v>83</v>
      </c>
    </row>
    <row r="75" spans="1:7" x14ac:dyDescent="0.3">
      <c r="A75">
        <v>186.77500000000001</v>
      </c>
      <c r="B75">
        <v>0.49402356007221643</v>
      </c>
      <c r="C75" t="s">
        <v>412</v>
      </c>
      <c r="E75">
        <v>278.76</v>
      </c>
      <c r="F75">
        <v>0.24205216254497783</v>
      </c>
      <c r="G75" t="s">
        <v>83</v>
      </c>
    </row>
    <row r="76" spans="1:7" x14ac:dyDescent="0.3">
      <c r="A76">
        <v>207.84</v>
      </c>
      <c r="B76">
        <v>0.49575119565451259</v>
      </c>
      <c r="C76" t="s">
        <v>412</v>
      </c>
      <c r="E76">
        <v>288.37</v>
      </c>
      <c r="F76">
        <v>0.4363612544035485</v>
      </c>
      <c r="G76" t="s">
        <v>83</v>
      </c>
    </row>
    <row r="77" spans="1:7" x14ac:dyDescent="0.3">
      <c r="A77">
        <v>229.66000000000003</v>
      </c>
      <c r="B77">
        <v>0.48959671906541025</v>
      </c>
      <c r="C77" t="s">
        <v>412</v>
      </c>
      <c r="E77">
        <v>293.31</v>
      </c>
      <c r="F77">
        <v>0.40754122634245832</v>
      </c>
      <c r="G77" t="s">
        <v>83</v>
      </c>
    </row>
    <row r="78" spans="1:7" x14ac:dyDescent="0.3">
      <c r="A78">
        <v>207.84</v>
      </c>
      <c r="B78">
        <v>0.49575119565451259</v>
      </c>
      <c r="C78" t="s">
        <v>412</v>
      </c>
      <c r="E78">
        <v>296.01</v>
      </c>
      <c r="F78">
        <v>0.41952951184004345</v>
      </c>
      <c r="G78" t="s">
        <v>83</v>
      </c>
    </row>
    <row r="79" spans="1:7" x14ac:dyDescent="0.3">
      <c r="E79">
        <v>306.70999999999998</v>
      </c>
      <c r="F79">
        <v>0.3386176215559118</v>
      </c>
      <c r="G79" t="s">
        <v>83</v>
      </c>
    </row>
    <row r="80" spans="1:7" x14ac:dyDescent="0.3">
      <c r="E80">
        <v>319.64999999999998</v>
      </c>
      <c r="F80">
        <v>0.4324202898014915</v>
      </c>
      <c r="G80" t="s">
        <v>83</v>
      </c>
    </row>
    <row r="81" spans="5:7" x14ac:dyDescent="0.3">
      <c r="E81">
        <v>326.51</v>
      </c>
      <c r="F81">
        <v>0.5010937267393063</v>
      </c>
      <c r="G81" t="s">
        <v>83</v>
      </c>
    </row>
    <row r="82" spans="5:7" x14ac:dyDescent="0.3">
      <c r="E82">
        <v>329.28000000000003</v>
      </c>
      <c r="F82">
        <v>0.34126229061961527</v>
      </c>
      <c r="G82" t="s">
        <v>83</v>
      </c>
    </row>
    <row r="83" spans="5:7" x14ac:dyDescent="0.3">
      <c r="E83">
        <v>331.24</v>
      </c>
      <c r="F83">
        <v>0.34996316953639589</v>
      </c>
      <c r="G83" t="s">
        <v>83</v>
      </c>
    </row>
    <row r="84" spans="5:7" x14ac:dyDescent="0.3">
      <c r="E84">
        <v>332.96</v>
      </c>
      <c r="F84">
        <v>0.39540207494877688</v>
      </c>
      <c r="G84" t="s">
        <v>83</v>
      </c>
    </row>
    <row r="85" spans="5:7" x14ac:dyDescent="0.3">
      <c r="E85">
        <v>335.36</v>
      </c>
      <c r="F85">
        <v>0.41659262206198161</v>
      </c>
      <c r="G85" t="s">
        <v>83</v>
      </c>
    </row>
    <row r="86" spans="5:7" x14ac:dyDescent="0.3">
      <c r="E86">
        <v>336.71</v>
      </c>
      <c r="F86">
        <v>0.4187632308588235</v>
      </c>
      <c r="G86" t="s">
        <v>83</v>
      </c>
    </row>
    <row r="87" spans="5:7" x14ac:dyDescent="0.3">
      <c r="E87">
        <v>338.38</v>
      </c>
      <c r="F87">
        <v>0.30902750867295548</v>
      </c>
      <c r="G87" t="s">
        <v>83</v>
      </c>
    </row>
    <row r="88" spans="5:7" x14ac:dyDescent="0.3">
      <c r="E88">
        <v>344.61</v>
      </c>
      <c r="F88">
        <v>0.34419563425762012</v>
      </c>
      <c r="G88" t="s">
        <v>83</v>
      </c>
    </row>
    <row r="89" spans="5:7" x14ac:dyDescent="0.3">
      <c r="E89">
        <v>346.51</v>
      </c>
      <c r="F89">
        <v>0.33491309661867336</v>
      </c>
      <c r="G89" t="s">
        <v>83</v>
      </c>
    </row>
    <row r="90" spans="5:7" x14ac:dyDescent="0.3">
      <c r="E90">
        <v>350.53</v>
      </c>
      <c r="F90">
        <v>0.30399511623483033</v>
      </c>
      <c r="G90" t="s">
        <v>83</v>
      </c>
    </row>
    <row r="91" spans="5:7" x14ac:dyDescent="0.3">
      <c r="E91">
        <v>348.40999999999997</v>
      </c>
      <c r="F91">
        <v>0.43643007185524613</v>
      </c>
      <c r="G91" t="s">
        <v>83</v>
      </c>
    </row>
    <row r="92" spans="5:7" x14ac:dyDescent="0.3">
      <c r="E92">
        <v>351.55999999999995</v>
      </c>
      <c r="F92">
        <v>0.36866880771031219</v>
      </c>
      <c r="G92" t="s">
        <v>83</v>
      </c>
    </row>
    <row r="93" spans="5:7" x14ac:dyDescent="0.3">
      <c r="E93">
        <v>353.76</v>
      </c>
      <c r="F93">
        <v>0.29642500012896211</v>
      </c>
      <c r="G93" t="s">
        <v>83</v>
      </c>
    </row>
    <row r="94" spans="5:7" x14ac:dyDescent="0.3">
      <c r="E94">
        <v>366.46</v>
      </c>
      <c r="F94">
        <v>0.37703266658894596</v>
      </c>
      <c r="G94" t="s">
        <v>83</v>
      </c>
    </row>
    <row r="95" spans="5:7" x14ac:dyDescent="0.3">
      <c r="E95">
        <v>45.940000000000005</v>
      </c>
      <c r="F95">
        <v>0.22443659732492943</v>
      </c>
      <c r="G95" t="s">
        <v>83</v>
      </c>
    </row>
    <row r="96" spans="5:7" x14ac:dyDescent="0.3">
      <c r="E96">
        <v>153.49</v>
      </c>
      <c r="F96">
        <v>0.56259670082626489</v>
      </c>
      <c r="G96" t="s">
        <v>83</v>
      </c>
    </row>
    <row r="97" spans="5:7" x14ac:dyDescent="0.3">
      <c r="E97">
        <v>156.38</v>
      </c>
      <c r="F97">
        <v>0.47928114705371644</v>
      </c>
      <c r="G97" t="s">
        <v>83</v>
      </c>
    </row>
    <row r="98" spans="5:7" x14ac:dyDescent="0.3">
      <c r="E98">
        <v>159.38</v>
      </c>
      <c r="F98">
        <v>0.44207656612083207</v>
      </c>
      <c r="G98" t="s">
        <v>83</v>
      </c>
    </row>
    <row r="99" spans="5:7" x14ac:dyDescent="0.3">
      <c r="E99">
        <v>161.54</v>
      </c>
      <c r="F99">
        <v>0.40964604334843779</v>
      </c>
      <c r="G99" t="s">
        <v>83</v>
      </c>
    </row>
    <row r="100" spans="5:7" x14ac:dyDescent="0.3">
      <c r="E100">
        <v>162.74</v>
      </c>
      <c r="F100">
        <v>0.42887596080115897</v>
      </c>
      <c r="G100" t="s">
        <v>83</v>
      </c>
    </row>
    <row r="101" spans="5:7" x14ac:dyDescent="0.3">
      <c r="E101">
        <v>166.44000000000003</v>
      </c>
      <c r="F101">
        <v>0.48274915333306073</v>
      </c>
      <c r="G101" t="s">
        <v>83</v>
      </c>
    </row>
    <row r="102" spans="5:7" x14ac:dyDescent="0.3">
      <c r="E102">
        <v>168.74</v>
      </c>
      <c r="F102">
        <v>0.45889654196127694</v>
      </c>
      <c r="G102" t="s">
        <v>83</v>
      </c>
    </row>
    <row r="103" spans="5:7" x14ac:dyDescent="0.3">
      <c r="E103">
        <v>191.24</v>
      </c>
      <c r="F103">
        <v>0.47453448513506369</v>
      </c>
      <c r="G103" t="s">
        <v>83</v>
      </c>
    </row>
    <row r="104" spans="5:7" x14ac:dyDescent="0.3">
      <c r="E104">
        <v>192.74</v>
      </c>
      <c r="F104">
        <v>0.50592730044801748</v>
      </c>
      <c r="G104" t="s">
        <v>83</v>
      </c>
    </row>
    <row r="105" spans="5:7" x14ac:dyDescent="0.3">
      <c r="E105">
        <v>195.66000000000003</v>
      </c>
      <c r="F105">
        <v>0.46243801682062846</v>
      </c>
      <c r="G105" t="s">
        <v>83</v>
      </c>
    </row>
    <row r="106" spans="5:7" x14ac:dyDescent="0.3">
      <c r="E106">
        <v>198.74</v>
      </c>
      <c r="F106">
        <v>0.43959249629638059</v>
      </c>
      <c r="G106" t="s">
        <v>83</v>
      </c>
    </row>
    <row r="107" spans="5:7" x14ac:dyDescent="0.3">
      <c r="E107">
        <v>201.74</v>
      </c>
      <c r="F107">
        <v>0.43910038795551204</v>
      </c>
      <c r="G107" t="s">
        <v>83</v>
      </c>
    </row>
    <row r="108" spans="5:7" x14ac:dyDescent="0.3">
      <c r="E108">
        <v>204.66000000000003</v>
      </c>
      <c r="F108">
        <v>0.38554564023818899</v>
      </c>
      <c r="G108" t="s">
        <v>83</v>
      </c>
    </row>
    <row r="109" spans="5:7" x14ac:dyDescent="0.3">
      <c r="E109">
        <v>210.74</v>
      </c>
      <c r="F109">
        <v>0.40480673529275157</v>
      </c>
      <c r="G109" t="s">
        <v>83</v>
      </c>
    </row>
    <row r="110" spans="5:7" x14ac:dyDescent="0.3">
      <c r="E110">
        <v>213.74</v>
      </c>
      <c r="F110">
        <v>0.32465611469334743</v>
      </c>
      <c r="G110" t="s">
        <v>83</v>
      </c>
    </row>
    <row r="111" spans="5:7" x14ac:dyDescent="0.3">
      <c r="E111">
        <v>216.74</v>
      </c>
      <c r="F111">
        <v>0.41486213769338065</v>
      </c>
      <c r="G111" t="s">
        <v>83</v>
      </c>
    </row>
    <row r="112" spans="5:7" x14ac:dyDescent="0.3">
      <c r="E112">
        <v>219.74</v>
      </c>
      <c r="F112">
        <v>0.33208884135745315</v>
      </c>
      <c r="G112" t="s">
        <v>83</v>
      </c>
    </row>
    <row r="113" spans="5:7" x14ac:dyDescent="0.3">
      <c r="E113">
        <v>222.84</v>
      </c>
      <c r="F113">
        <v>0.32797229734921052</v>
      </c>
      <c r="G113" t="s">
        <v>83</v>
      </c>
    </row>
    <row r="114" spans="5:7" x14ac:dyDescent="0.3">
      <c r="E114">
        <v>223.535</v>
      </c>
      <c r="F114">
        <v>0.23692211719918735</v>
      </c>
      <c r="G114" t="s">
        <v>83</v>
      </c>
    </row>
  </sheetData>
  <sortState xmlns:xlrd2="http://schemas.microsoft.com/office/spreadsheetml/2017/richdata2" ref="S2:V50">
    <sortCondition ref="T2:T50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FD22-5AE0-4ABE-A69D-DBAAEA32F6CC}">
  <dimension ref="A1:AK61"/>
  <sheetViews>
    <sheetView workbookViewId="0">
      <selection activeCell="A25" sqref="A24:C28"/>
    </sheetView>
  </sheetViews>
  <sheetFormatPr defaultColWidth="8.88671875" defaultRowHeight="14.4" x14ac:dyDescent="0.3"/>
  <cols>
    <col min="1" max="16384" width="8.88671875" style="71"/>
  </cols>
  <sheetData>
    <row r="1" spans="1:37" x14ac:dyDescent="0.3">
      <c r="A1" s="71" t="s">
        <v>415</v>
      </c>
      <c r="B1" s="71" t="s">
        <v>414</v>
      </c>
      <c r="E1" s="71" t="s">
        <v>416</v>
      </c>
      <c r="F1" s="71" t="s">
        <v>414</v>
      </c>
      <c r="S1" s="71" t="s">
        <v>382</v>
      </c>
      <c r="T1" s="71" t="s">
        <v>383</v>
      </c>
      <c r="U1" s="71" t="s">
        <v>386</v>
      </c>
      <c r="V1" s="71" t="s">
        <v>387</v>
      </c>
      <c r="X1" s="71" t="s">
        <v>382</v>
      </c>
      <c r="Y1" s="71" t="s">
        <v>383</v>
      </c>
      <c r="Z1" s="71" t="s">
        <v>386</v>
      </c>
      <c r="AA1" s="71" t="s">
        <v>387</v>
      </c>
      <c r="AC1" s="71" t="s">
        <v>382</v>
      </c>
      <c r="AD1" s="71" t="s">
        <v>383</v>
      </c>
      <c r="AE1" s="71" t="s">
        <v>386</v>
      </c>
      <c r="AF1" s="71" t="s">
        <v>387</v>
      </c>
      <c r="AH1" s="71" t="s">
        <v>382</v>
      </c>
      <c r="AI1" s="71" t="s">
        <v>383</v>
      </c>
      <c r="AJ1" s="71" t="s">
        <v>386</v>
      </c>
      <c r="AK1" s="71" t="s">
        <v>387</v>
      </c>
    </row>
    <row r="2" spans="1:37" x14ac:dyDescent="0.3">
      <c r="A2" s="71">
        <v>39.03</v>
      </c>
      <c r="B2" s="71">
        <v>0.52254781932891525</v>
      </c>
      <c r="C2" s="71" t="s">
        <v>412</v>
      </c>
      <c r="E2" s="71">
        <v>0.55000000000000004</v>
      </c>
      <c r="F2" s="71">
        <v>0.43649313669309148</v>
      </c>
      <c r="G2" s="71" t="s">
        <v>83</v>
      </c>
      <c r="S2" s="71">
        <v>64</v>
      </c>
      <c r="T2" s="71">
        <v>1</v>
      </c>
      <c r="U2" s="71">
        <v>9.2266999999999992</v>
      </c>
      <c r="V2" s="71">
        <v>-1.1799999999999145E-2</v>
      </c>
      <c r="X2" s="71">
        <v>65</v>
      </c>
      <c r="Y2" s="71">
        <v>2</v>
      </c>
      <c r="Z2" s="71">
        <v>9.2249999999999996</v>
      </c>
      <c r="AA2" s="71">
        <v>-1.0099999999999554E-2</v>
      </c>
      <c r="AC2" s="71">
        <v>62</v>
      </c>
      <c r="AD2" s="71">
        <v>3</v>
      </c>
      <c r="AE2" s="71">
        <v>9.1914999999999996</v>
      </c>
      <c r="AF2" s="71">
        <v>2.3400000000000531E-2</v>
      </c>
      <c r="AH2" s="71">
        <v>63</v>
      </c>
      <c r="AI2" s="71">
        <v>5</v>
      </c>
      <c r="AJ2" s="71">
        <v>9.2005999999999997</v>
      </c>
      <c r="AK2" s="71">
        <v>1.4300000000000423E-2</v>
      </c>
    </row>
    <row r="3" spans="1:37" x14ac:dyDescent="0.3">
      <c r="A3" s="71">
        <v>55.589999999999996</v>
      </c>
      <c r="B3" s="71">
        <v>0.43934975901351581</v>
      </c>
      <c r="C3" s="40" t="s">
        <v>412</v>
      </c>
      <c r="E3" s="71">
        <v>2.59</v>
      </c>
      <c r="F3" s="71">
        <v>0.42294288667065483</v>
      </c>
      <c r="G3" s="71" t="s">
        <v>83</v>
      </c>
      <c r="S3" s="71">
        <v>68</v>
      </c>
      <c r="T3" s="71">
        <v>1</v>
      </c>
      <c r="U3" s="71">
        <v>9.2367000000000008</v>
      </c>
      <c r="V3" s="71">
        <v>-2.1800000000000708E-2</v>
      </c>
      <c r="X3" s="71">
        <v>69</v>
      </c>
      <c r="Y3" s="71">
        <v>2</v>
      </c>
      <c r="Z3" s="71">
        <v>9.2108000000000008</v>
      </c>
      <c r="AA3" s="71">
        <v>4.0999999999993264E-3</v>
      </c>
      <c r="AC3" s="71">
        <v>66</v>
      </c>
      <c r="AD3" s="71">
        <v>3</v>
      </c>
      <c r="AE3" s="71">
        <v>9.1849000000000007</v>
      </c>
      <c r="AF3" s="71">
        <v>2.9999999999999361E-2</v>
      </c>
      <c r="AH3" s="71">
        <v>67</v>
      </c>
      <c r="AI3" s="71">
        <v>5</v>
      </c>
      <c r="AJ3" s="71">
        <v>9.2134</v>
      </c>
      <c r="AK3" s="71">
        <v>1.5000000000000568E-3</v>
      </c>
    </row>
    <row r="4" spans="1:37" x14ac:dyDescent="0.3">
      <c r="A4" s="71">
        <v>56.68</v>
      </c>
      <c r="B4" s="71">
        <v>0.46691545667025525</v>
      </c>
      <c r="C4" s="40" t="s">
        <v>412</v>
      </c>
      <c r="E4" s="71">
        <v>5.45</v>
      </c>
      <c r="F4" s="71">
        <v>0.35828699576700102</v>
      </c>
      <c r="G4" s="71" t="s">
        <v>83</v>
      </c>
      <c r="S4" s="71">
        <v>73</v>
      </c>
      <c r="T4" s="71">
        <v>1</v>
      </c>
      <c r="U4" s="71">
        <v>9.2279999999999998</v>
      </c>
      <c r="V4" s="71">
        <v>-1.3099999999999667E-2</v>
      </c>
      <c r="X4" s="71">
        <v>74</v>
      </c>
      <c r="Y4" s="71">
        <v>2</v>
      </c>
      <c r="Z4" s="71">
        <v>9.2103000000000002</v>
      </c>
      <c r="AA4" s="71">
        <v>4.5999999999999375E-3</v>
      </c>
      <c r="AC4" s="71">
        <v>75</v>
      </c>
      <c r="AD4" s="71">
        <v>3</v>
      </c>
      <c r="AE4" s="71">
        <v>9.2396999999999991</v>
      </c>
      <c r="AF4" s="71">
        <v>-2.4799999999999045E-2</v>
      </c>
      <c r="AH4" s="71">
        <v>76</v>
      </c>
      <c r="AI4" s="71">
        <v>5</v>
      </c>
      <c r="AJ4" s="71">
        <v>9.2072000000000003</v>
      </c>
      <c r="AK4" s="71">
        <v>7.6999999999998181E-3</v>
      </c>
    </row>
    <row r="5" spans="1:37" x14ac:dyDescent="0.3">
      <c r="A5" s="71">
        <v>59.89</v>
      </c>
      <c r="B5" s="71">
        <v>0.42965403373972222</v>
      </c>
      <c r="C5" s="40" t="s">
        <v>412</v>
      </c>
      <c r="E5" s="71">
        <v>7.53</v>
      </c>
      <c r="F5" s="71">
        <v>0.38102488682085967</v>
      </c>
      <c r="G5" s="71" t="s">
        <v>83</v>
      </c>
      <c r="S5" s="71">
        <v>77</v>
      </c>
      <c r="T5" s="71">
        <v>1</v>
      </c>
      <c r="U5" s="71">
        <v>9.2116000000000007</v>
      </c>
      <c r="V5" s="71">
        <v>3.2999999999994145E-3</v>
      </c>
      <c r="X5" s="71">
        <v>78</v>
      </c>
      <c r="Y5" s="71">
        <v>2</v>
      </c>
      <c r="Z5" s="71">
        <v>9.2334999999999994</v>
      </c>
      <c r="AA5" s="71">
        <v>-1.8599999999999284E-2</v>
      </c>
      <c r="AC5" s="71">
        <v>79</v>
      </c>
      <c r="AD5" s="71">
        <v>3</v>
      </c>
      <c r="AE5" s="71">
        <v>9.1946999999999992</v>
      </c>
      <c r="AF5" s="71">
        <v>2.0200000000000884E-2</v>
      </c>
      <c r="AH5" s="71">
        <v>80</v>
      </c>
      <c r="AI5" s="71">
        <v>5</v>
      </c>
      <c r="AJ5" s="71">
        <v>9.2171000000000003</v>
      </c>
      <c r="AK5" s="71">
        <v>-2.2000000000002018E-3</v>
      </c>
    </row>
    <row r="6" spans="1:37" x14ac:dyDescent="0.3">
      <c r="A6" s="71">
        <v>60.89</v>
      </c>
      <c r="B6" s="71">
        <v>0.50230739839787275</v>
      </c>
      <c r="C6" s="40" t="s">
        <v>412</v>
      </c>
      <c r="E6" s="71">
        <v>9.65</v>
      </c>
      <c r="F6" s="71">
        <v>0.41205251303359225</v>
      </c>
      <c r="G6" s="71" t="s">
        <v>83</v>
      </c>
      <c r="S6" s="71">
        <v>81</v>
      </c>
      <c r="T6" s="71">
        <v>1</v>
      </c>
      <c r="U6" s="71">
        <v>9.2058999999999997</v>
      </c>
      <c r="V6" s="71">
        <v>9.0000000000003411E-3</v>
      </c>
      <c r="X6" s="71">
        <v>82</v>
      </c>
      <c r="Y6" s="71">
        <v>2</v>
      </c>
      <c r="Z6" s="71">
        <v>9.2438000000000002</v>
      </c>
      <c r="AA6" s="71">
        <v>-2.8900000000000148E-2</v>
      </c>
      <c r="AC6" s="71">
        <v>83</v>
      </c>
      <c r="AD6" s="71">
        <v>3</v>
      </c>
      <c r="AE6" s="71">
        <v>9.2786000000000008</v>
      </c>
      <c r="AF6" s="71">
        <v>-6.3700000000000756E-2</v>
      </c>
    </row>
    <row r="7" spans="1:37" x14ac:dyDescent="0.3">
      <c r="A7" s="71">
        <v>62.59</v>
      </c>
      <c r="B7" s="71">
        <v>0.49606339800044108</v>
      </c>
      <c r="C7" s="40" t="s">
        <v>412</v>
      </c>
      <c r="E7" s="71">
        <v>11.83</v>
      </c>
      <c r="F7" s="71">
        <v>0.37817454414993923</v>
      </c>
      <c r="G7" s="71" t="s">
        <v>83</v>
      </c>
      <c r="S7" s="71">
        <v>72</v>
      </c>
      <c r="T7" s="71">
        <v>5</v>
      </c>
      <c r="U7" s="71">
        <v>9.2106999999999992</v>
      </c>
      <c r="V7" s="71">
        <v>4.2000000000008697E-3</v>
      </c>
    </row>
    <row r="8" spans="1:37" x14ac:dyDescent="0.3">
      <c r="A8" s="71">
        <v>65.844999999999999</v>
      </c>
      <c r="B8" s="71">
        <v>0.53512813014670868</v>
      </c>
      <c r="C8" s="40" t="s">
        <v>412</v>
      </c>
      <c r="E8" s="71">
        <v>12.590000000000002</v>
      </c>
      <c r="F8" s="71">
        <v>0.43157729397936456</v>
      </c>
      <c r="G8" s="71" t="s">
        <v>83</v>
      </c>
    </row>
    <row r="9" spans="1:37" x14ac:dyDescent="0.3">
      <c r="A9" s="71">
        <v>67.945000000000007</v>
      </c>
      <c r="B9" s="71">
        <v>0.48890676410182043</v>
      </c>
      <c r="C9" s="40" t="s">
        <v>412</v>
      </c>
      <c r="E9" s="71">
        <v>14.96</v>
      </c>
      <c r="F9" s="71">
        <v>0.44033747257228173</v>
      </c>
      <c r="G9" s="71" t="s">
        <v>83</v>
      </c>
    </row>
    <row r="10" spans="1:37" x14ac:dyDescent="0.3">
      <c r="A10" s="71">
        <v>68.67</v>
      </c>
      <c r="B10" s="71">
        <v>0.43252586753047573</v>
      </c>
      <c r="C10" s="40" t="s">
        <v>412</v>
      </c>
      <c r="E10" s="71">
        <v>17.61</v>
      </c>
      <c r="F10" s="71">
        <v>0.40693485363540954</v>
      </c>
      <c r="G10" s="71" t="s">
        <v>83</v>
      </c>
    </row>
    <row r="11" spans="1:37" x14ac:dyDescent="0.3">
      <c r="A11" s="71">
        <v>69.489999999999995</v>
      </c>
      <c r="B11" s="71">
        <v>0.53974804559199607</v>
      </c>
      <c r="C11" s="40" t="s">
        <v>412</v>
      </c>
      <c r="E11" s="71">
        <v>20.470000000000002</v>
      </c>
      <c r="F11" s="71">
        <v>0.39069926617873157</v>
      </c>
      <c r="G11" s="71" t="s">
        <v>83</v>
      </c>
    </row>
    <row r="12" spans="1:37" x14ac:dyDescent="0.3">
      <c r="A12" s="71">
        <v>71.510000000000005</v>
      </c>
      <c r="B12" s="71">
        <v>0.51346903710396674</v>
      </c>
      <c r="C12" s="40" t="s">
        <v>412</v>
      </c>
      <c r="E12" s="71">
        <v>21.39</v>
      </c>
      <c r="F12" s="71">
        <v>0.34059234866232591</v>
      </c>
      <c r="G12" s="71" t="s">
        <v>83</v>
      </c>
    </row>
    <row r="13" spans="1:37" x14ac:dyDescent="0.3">
      <c r="A13" s="71">
        <v>73.425000000000011</v>
      </c>
      <c r="B13" s="71">
        <v>0.43658072434594219</v>
      </c>
      <c r="C13" s="40" t="s">
        <v>412</v>
      </c>
      <c r="E13" s="71">
        <v>24.16</v>
      </c>
      <c r="F13" s="71">
        <v>0.30625730418759378</v>
      </c>
      <c r="G13" s="71" t="s">
        <v>83</v>
      </c>
    </row>
    <row r="14" spans="1:37" x14ac:dyDescent="0.3">
      <c r="A14" s="71">
        <v>75.760000000000005</v>
      </c>
      <c r="B14" s="71">
        <v>0.50118955412364807</v>
      </c>
      <c r="C14" s="40" t="s">
        <v>412</v>
      </c>
      <c r="E14" s="71">
        <v>24.59</v>
      </c>
      <c r="F14" s="71">
        <v>0.32071350589980369</v>
      </c>
      <c r="G14" s="71" t="s">
        <v>83</v>
      </c>
    </row>
    <row r="15" spans="1:37" x14ac:dyDescent="0.3">
      <c r="A15" s="71">
        <v>77.649999999999991</v>
      </c>
      <c r="B15" s="71">
        <v>0.51091730465147545</v>
      </c>
      <c r="C15" s="40" t="s">
        <v>412</v>
      </c>
      <c r="E15" s="71">
        <v>26.27</v>
      </c>
      <c r="F15" s="71">
        <v>0.35831973785254312</v>
      </c>
      <c r="G15" s="71" t="s">
        <v>83</v>
      </c>
    </row>
    <row r="16" spans="1:37" x14ac:dyDescent="0.3">
      <c r="A16" s="71">
        <v>80.559999999999988</v>
      </c>
      <c r="B16" s="71">
        <v>0.51109751555192307</v>
      </c>
      <c r="C16" s="40" t="s">
        <v>412</v>
      </c>
      <c r="E16" s="71">
        <v>28.05</v>
      </c>
      <c r="F16" s="71">
        <v>0.36514553392687854</v>
      </c>
      <c r="G16" s="71" t="s">
        <v>83</v>
      </c>
    </row>
    <row r="17" spans="1:7" x14ac:dyDescent="0.3">
      <c r="A17" s="71">
        <v>83.61</v>
      </c>
      <c r="B17" s="71">
        <v>0.55709779152323002</v>
      </c>
      <c r="C17" s="40" t="s">
        <v>412</v>
      </c>
      <c r="E17" s="71">
        <v>33.510000000000005</v>
      </c>
      <c r="F17" s="71">
        <v>0.50165328914320606</v>
      </c>
      <c r="G17" s="71" t="s">
        <v>83</v>
      </c>
    </row>
    <row r="18" spans="1:7" x14ac:dyDescent="0.3">
      <c r="A18" s="71">
        <v>86.91</v>
      </c>
      <c r="B18" s="71">
        <v>0.50320124612852235</v>
      </c>
      <c r="C18" s="40" t="s">
        <v>412</v>
      </c>
      <c r="E18" s="71">
        <v>35.190000000000005</v>
      </c>
      <c r="F18" s="71">
        <v>0.40048447189239095</v>
      </c>
      <c r="G18" s="71" t="s">
        <v>83</v>
      </c>
    </row>
    <row r="19" spans="1:7" x14ac:dyDescent="0.3">
      <c r="A19" s="71">
        <v>88.14</v>
      </c>
      <c r="B19" s="71">
        <v>0.568423477669729</v>
      </c>
      <c r="C19" s="40" t="s">
        <v>412</v>
      </c>
      <c r="E19" s="71">
        <v>37.17</v>
      </c>
      <c r="F19" s="71">
        <v>0.41893205997507821</v>
      </c>
      <c r="G19" s="71" t="s">
        <v>83</v>
      </c>
    </row>
    <row r="20" spans="1:7" x14ac:dyDescent="0.3">
      <c r="A20" s="71">
        <v>89.61999999999999</v>
      </c>
      <c r="B20" s="71">
        <v>0.56947293793595255</v>
      </c>
      <c r="C20" s="40" t="s">
        <v>412</v>
      </c>
      <c r="E20" s="71">
        <v>41.760000000000005</v>
      </c>
      <c r="F20" s="71">
        <v>0.3365626763012895</v>
      </c>
      <c r="G20" s="71" t="s">
        <v>83</v>
      </c>
    </row>
    <row r="21" spans="1:7" x14ac:dyDescent="0.3">
      <c r="A21" s="71">
        <v>91.11</v>
      </c>
      <c r="B21" s="71">
        <v>0.53969522838161688</v>
      </c>
      <c r="C21" s="40" t="s">
        <v>412</v>
      </c>
      <c r="E21" s="71">
        <v>47.61</v>
      </c>
      <c r="F21" s="71">
        <v>0.4242458949931559</v>
      </c>
      <c r="G21" s="40" t="s">
        <v>83</v>
      </c>
    </row>
    <row r="22" spans="1:7" x14ac:dyDescent="0.3">
      <c r="A22" s="71">
        <v>94.089999999999989</v>
      </c>
      <c r="B22" s="71">
        <v>0.54359887543532204</v>
      </c>
      <c r="C22" s="40" t="s">
        <v>412</v>
      </c>
      <c r="E22" s="71">
        <v>50.34</v>
      </c>
      <c r="F22" s="71">
        <v>0.384526289511256</v>
      </c>
      <c r="G22" s="40" t="s">
        <v>83</v>
      </c>
    </row>
    <row r="23" spans="1:7" x14ac:dyDescent="0.3">
      <c r="A23" s="71">
        <v>95.589999999999989</v>
      </c>
      <c r="B23" s="71">
        <v>0.38379699048252247</v>
      </c>
      <c r="C23" s="40" t="s">
        <v>412</v>
      </c>
      <c r="E23" s="71">
        <v>51.88</v>
      </c>
      <c r="F23" s="71">
        <v>0.41259142122045367</v>
      </c>
      <c r="G23" s="40" t="s">
        <v>83</v>
      </c>
    </row>
    <row r="24" spans="1:7" x14ac:dyDescent="0.3">
      <c r="A24" s="71">
        <v>142.57000000000002</v>
      </c>
      <c r="B24" s="71">
        <v>0.50402868026417003</v>
      </c>
      <c r="C24" s="71" t="s">
        <v>412</v>
      </c>
      <c r="E24" s="71">
        <v>53.99</v>
      </c>
      <c r="F24" s="71">
        <v>0.42202523640472772</v>
      </c>
      <c r="G24" s="40" t="s">
        <v>83</v>
      </c>
    </row>
    <row r="25" spans="1:7" x14ac:dyDescent="0.3">
      <c r="A25" s="71">
        <v>143.59</v>
      </c>
      <c r="B25" s="71">
        <v>0.52950415750198399</v>
      </c>
      <c r="C25" s="71" t="s">
        <v>412</v>
      </c>
      <c r="E25" s="71">
        <v>59.39</v>
      </c>
      <c r="F25" s="71">
        <v>0.39198699098103584</v>
      </c>
      <c r="G25" s="40" t="s">
        <v>83</v>
      </c>
    </row>
    <row r="26" spans="1:7" x14ac:dyDescent="0.3">
      <c r="A26" s="71">
        <v>146.74</v>
      </c>
      <c r="B26" s="71">
        <v>0.55594239038240056</v>
      </c>
      <c r="C26" s="71" t="s">
        <v>412</v>
      </c>
      <c r="E26" s="71">
        <v>70.58</v>
      </c>
      <c r="F26" s="71">
        <v>0.43381185270543748</v>
      </c>
      <c r="G26" s="40" t="s">
        <v>83</v>
      </c>
    </row>
    <row r="27" spans="1:7" x14ac:dyDescent="0.3">
      <c r="A27" s="71">
        <v>153.77000000000001</v>
      </c>
      <c r="B27" s="71">
        <v>0.34721494501152267</v>
      </c>
      <c r="C27" s="71" t="s">
        <v>412</v>
      </c>
      <c r="E27" s="71">
        <v>72.48</v>
      </c>
      <c r="F27" s="71">
        <v>0.46047662360411656</v>
      </c>
      <c r="G27" s="40" t="s">
        <v>83</v>
      </c>
    </row>
    <row r="28" spans="1:7" x14ac:dyDescent="0.3">
      <c r="A28" s="71">
        <v>150.62</v>
      </c>
      <c r="B28" s="71">
        <v>0.46649001084553526</v>
      </c>
      <c r="C28" s="71" t="s">
        <v>412</v>
      </c>
      <c r="E28" s="71">
        <v>97.789999999999992</v>
      </c>
      <c r="F28" s="71">
        <v>0.31398826611728853</v>
      </c>
      <c r="G28" s="40" t="s">
        <v>83</v>
      </c>
    </row>
    <row r="29" spans="1:7" x14ac:dyDescent="0.3">
      <c r="E29" s="71">
        <v>98.94</v>
      </c>
      <c r="F29" s="71">
        <v>0.27487396920344587</v>
      </c>
      <c r="G29" s="40" t="s">
        <v>83</v>
      </c>
    </row>
    <row r="30" spans="1:7" x14ac:dyDescent="0.3">
      <c r="E30" s="71">
        <v>102.71</v>
      </c>
      <c r="F30" s="71">
        <v>0.28818329304651769</v>
      </c>
      <c r="G30" s="40" t="s">
        <v>83</v>
      </c>
    </row>
    <row r="31" spans="1:7" x14ac:dyDescent="0.3">
      <c r="E31" s="71">
        <v>103.32</v>
      </c>
      <c r="F31" s="71">
        <v>0.32296613693818071</v>
      </c>
      <c r="G31" s="40" t="s">
        <v>83</v>
      </c>
    </row>
    <row r="32" spans="1:7" x14ac:dyDescent="0.3">
      <c r="E32" s="71">
        <v>104.66</v>
      </c>
      <c r="F32" s="71">
        <v>0.32142582633555628</v>
      </c>
      <c r="G32" s="40" t="s">
        <v>83</v>
      </c>
    </row>
    <row r="33" spans="5:7" x14ac:dyDescent="0.3">
      <c r="E33" s="71">
        <v>107.33</v>
      </c>
      <c r="F33" s="71">
        <v>0.34054946685788978</v>
      </c>
      <c r="G33" s="40" t="s">
        <v>410</v>
      </c>
    </row>
    <row r="34" spans="5:7" x14ac:dyDescent="0.3">
      <c r="E34" s="71">
        <v>110.39</v>
      </c>
      <c r="F34" s="71">
        <v>0.42643977586103754</v>
      </c>
      <c r="G34" s="40" t="s">
        <v>83</v>
      </c>
    </row>
    <row r="35" spans="5:7" x14ac:dyDescent="0.3">
      <c r="E35" s="71">
        <v>113.28999999999999</v>
      </c>
      <c r="F35" s="71">
        <v>0.32327396415594173</v>
      </c>
      <c r="G35" s="40" t="s">
        <v>83</v>
      </c>
    </row>
    <row r="36" spans="5:7" x14ac:dyDescent="0.3">
      <c r="E36" s="71">
        <v>115.58999999999999</v>
      </c>
      <c r="F36" s="71">
        <v>0.38866029959853626</v>
      </c>
      <c r="G36" s="40" t="s">
        <v>83</v>
      </c>
    </row>
    <row r="37" spans="5:7" x14ac:dyDescent="0.3">
      <c r="E37" s="71">
        <v>117.28</v>
      </c>
      <c r="F37" s="71">
        <v>0.28190460578666715</v>
      </c>
      <c r="G37" s="71" t="s">
        <v>83</v>
      </c>
    </row>
    <row r="38" spans="5:7" x14ac:dyDescent="0.3">
      <c r="E38" s="71">
        <v>119.58999999999999</v>
      </c>
      <c r="F38" s="71">
        <v>-0.74918800947098219</v>
      </c>
      <c r="G38" s="71" t="s">
        <v>83</v>
      </c>
    </row>
    <row r="39" spans="5:7" x14ac:dyDescent="0.3">
      <c r="E39" s="71">
        <v>121.94999999999999</v>
      </c>
      <c r="F39" s="71">
        <v>0.5549424152308795</v>
      </c>
      <c r="G39" s="71" t="s">
        <v>83</v>
      </c>
    </row>
    <row r="40" spans="5:7" x14ac:dyDescent="0.3">
      <c r="E40" s="71">
        <v>92.72999999999999</v>
      </c>
      <c r="F40" s="71">
        <v>0.3547706909539094</v>
      </c>
    </row>
    <row r="41" spans="5:7" x14ac:dyDescent="0.3">
      <c r="E41" s="71">
        <v>120.74</v>
      </c>
      <c r="F41" s="71">
        <v>0.38399564745462283</v>
      </c>
    </row>
    <row r="42" spans="5:7" x14ac:dyDescent="0.3">
      <c r="E42" s="71">
        <v>122.5</v>
      </c>
      <c r="F42" s="71">
        <v>0.3659759529443341</v>
      </c>
    </row>
    <row r="43" spans="5:7" x14ac:dyDescent="0.3">
      <c r="E43" s="71">
        <v>124.92</v>
      </c>
      <c r="F43" s="71">
        <v>0.82084186664956094</v>
      </c>
    </row>
    <row r="44" spans="5:7" x14ac:dyDescent="0.3">
      <c r="E44" s="71">
        <v>124.23</v>
      </c>
      <c r="F44" s="71">
        <v>0.3309694333969157</v>
      </c>
    </row>
    <row r="45" spans="5:7" x14ac:dyDescent="0.3">
      <c r="E45" s="71">
        <v>126.27</v>
      </c>
      <c r="F45" s="71">
        <v>0.43978099643013169</v>
      </c>
    </row>
    <row r="46" spans="5:7" x14ac:dyDescent="0.3">
      <c r="E46" s="71">
        <v>126.86</v>
      </c>
      <c r="F46" s="71">
        <v>0.53941857494174417</v>
      </c>
      <c r="G46" s="71" t="s">
        <v>83</v>
      </c>
    </row>
    <row r="47" spans="5:7" x14ac:dyDescent="0.3">
      <c r="E47" s="71">
        <v>128.51000000000002</v>
      </c>
      <c r="F47" s="71">
        <v>0.45499451476974967</v>
      </c>
      <c r="G47" s="71" t="s">
        <v>83</v>
      </c>
    </row>
    <row r="48" spans="5:7" x14ac:dyDescent="0.3">
      <c r="E48" s="71">
        <v>131.10999999999999</v>
      </c>
      <c r="F48" s="71">
        <v>0.49567609182192063</v>
      </c>
      <c r="G48" s="71" t="s">
        <v>83</v>
      </c>
    </row>
    <row r="49" spans="5:7" x14ac:dyDescent="0.3">
      <c r="E49" s="71">
        <v>133.97999999999999</v>
      </c>
      <c r="F49" s="71">
        <v>0.51379230220776206</v>
      </c>
      <c r="G49" s="71" t="s">
        <v>83</v>
      </c>
    </row>
    <row r="50" spans="5:7" x14ac:dyDescent="0.3">
      <c r="E50" s="71">
        <v>136.62</v>
      </c>
      <c r="F50" s="71">
        <v>0.52195548787511181</v>
      </c>
      <c r="G50" s="71" t="s">
        <v>83</v>
      </c>
    </row>
    <row r="51" spans="5:7" x14ac:dyDescent="0.3">
      <c r="E51" s="71">
        <v>138.56</v>
      </c>
      <c r="F51" s="71">
        <v>0.4466775925523509</v>
      </c>
      <c r="G51" s="71" t="s">
        <v>83</v>
      </c>
    </row>
    <row r="52" spans="5:7" x14ac:dyDescent="0.3">
      <c r="E52" s="71">
        <v>141.59</v>
      </c>
      <c r="F52" s="71">
        <v>0.50311903736846586</v>
      </c>
      <c r="G52" s="71" t="s">
        <v>83</v>
      </c>
    </row>
    <row r="53" spans="5:7" x14ac:dyDescent="0.3">
      <c r="E53" s="71">
        <v>148.62</v>
      </c>
      <c r="F53" s="71">
        <v>0.52624832631363261</v>
      </c>
      <c r="G53" s="71" t="s">
        <v>83</v>
      </c>
    </row>
    <row r="54" spans="5:7" x14ac:dyDescent="0.3">
      <c r="E54" s="71">
        <v>155.6</v>
      </c>
      <c r="F54" s="71">
        <v>0.50380162516432081</v>
      </c>
      <c r="G54" s="71" t="s">
        <v>83</v>
      </c>
    </row>
    <row r="55" spans="5:7" x14ac:dyDescent="0.3">
      <c r="E55" s="71">
        <v>155.595</v>
      </c>
      <c r="F55" s="71">
        <v>0.43688182944166803</v>
      </c>
      <c r="G55" s="71" t="s">
        <v>83</v>
      </c>
    </row>
    <row r="56" spans="5:7" x14ac:dyDescent="0.3">
      <c r="E56" s="71">
        <v>157.75</v>
      </c>
      <c r="F56" s="71">
        <v>0.37752713250738479</v>
      </c>
      <c r="G56" s="71" t="s">
        <v>83</v>
      </c>
    </row>
    <row r="57" spans="5:7" x14ac:dyDescent="0.3">
      <c r="E57" s="71">
        <v>158.87</v>
      </c>
      <c r="F57" s="71">
        <v>0.37645895590144623</v>
      </c>
      <c r="G57" s="71" t="s">
        <v>83</v>
      </c>
    </row>
    <row r="58" spans="5:7" x14ac:dyDescent="0.3">
      <c r="E58" s="71">
        <v>160.85999999999999</v>
      </c>
      <c r="F58" s="71">
        <v>0.34191368188521803</v>
      </c>
      <c r="G58" s="71" t="s">
        <v>83</v>
      </c>
    </row>
    <row r="59" spans="5:7" x14ac:dyDescent="0.3">
      <c r="E59" s="71">
        <v>161.16</v>
      </c>
      <c r="F59" s="71">
        <v>0.40138060442266932</v>
      </c>
      <c r="G59" s="71" t="s">
        <v>83</v>
      </c>
    </row>
    <row r="60" spans="5:7" x14ac:dyDescent="0.3">
      <c r="E60" s="71">
        <v>163</v>
      </c>
      <c r="F60" s="71">
        <v>0.33720417081278514</v>
      </c>
      <c r="G60" s="71" t="s">
        <v>83</v>
      </c>
    </row>
    <row r="61" spans="5:7" x14ac:dyDescent="0.3">
      <c r="E61" s="71">
        <v>164.8</v>
      </c>
      <c r="F61" s="71">
        <v>0.3154263028967455</v>
      </c>
      <c r="G61" s="71" t="s">
        <v>83</v>
      </c>
    </row>
  </sheetData>
  <pageMargins left="0.7" right="0.7" top="0.75" bottom="0.75" header="0.3" footer="0.3"/>
  <pageSetup paperSize="2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54DAB-EA40-45B5-B897-4E73CBE83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MAD</vt:lpstr>
      <vt:lpstr>STD</vt:lpstr>
      <vt:lpstr>Depth vlookup</vt:lpstr>
      <vt:lpstr>Beakers</vt:lpstr>
      <vt:lpstr>Sample List</vt:lpstr>
      <vt:lpstr>PRINT</vt:lpstr>
      <vt:lpstr>Plots_M0111</vt:lpstr>
      <vt:lpstr>Plots_M0112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Rydzy, Marisa B. (Dr.)</dc:creator>
  <cp:lastModifiedBy>Maddox Chastain</cp:lastModifiedBy>
  <cp:lastPrinted>2024-02-07T15:07:26Z</cp:lastPrinted>
  <dcterms:created xsi:type="dcterms:W3CDTF">2024-02-05T08:47:56Z</dcterms:created>
  <dcterms:modified xsi:type="dcterms:W3CDTF">2026-06-18T20:08:34Z</dcterms:modified>
</cp:coreProperties>
</file>