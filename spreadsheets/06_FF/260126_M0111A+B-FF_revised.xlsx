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libration" sheetId="1" state="visible" r:id="rId3"/>
    <sheet name="Data Entry" sheetId="2" state="visible" r:id="rId4"/>
    <sheet name="Drift correction" sheetId="3" state="visible" r:id="rId5"/>
    <sheet name="Depth vlookup" sheetId="4" state="visible" r:id="rId6"/>
    <sheet name="salinity data" sheetId="5" state="visible" r:id="rId7"/>
    <sheet name="Temperature Corrections" sheetId="6" state="visible" r:id="rId8"/>
    <sheet name="Salinity Correc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<sst xmlns="http://schemas.openxmlformats.org/spreadsheetml/2006/main" count="3396" uniqueCount="122">
  <si>
    <t xml:space="preserve">Date</t>
  </si>
  <si>
    <t xml:space="preserve">Time</t>
  </si>
  <si>
    <t xml:space="preserve">Solution</t>
  </si>
  <si>
    <t xml:space="preserve">T, deg</t>
  </si>
  <si>
    <t xml:space="preserve">Conductivity</t>
  </si>
  <si>
    <t xml:space="preserve">unit</t>
  </si>
  <si>
    <t xml:space="preserve">Comment</t>
  </si>
  <si>
    <t xml:space="preserve">01/16/2026</t>
  </si>
  <si>
    <t xml:space="preserve">mS</t>
  </si>
  <si>
    <t xml:space="preserve">data captured by Vera B.</t>
  </si>
  <si>
    <t xml:space="preserve">NA</t>
  </si>
  <si>
    <r>
      <rPr>
        <i val="true"/>
        <sz val="11"/>
        <color rgb="FF000000"/>
        <rFont val="Verdana"/>
        <family val="2"/>
        <charset val="1"/>
      </rPr>
      <t xml:space="preserve">F</t>
    </r>
    <r>
      <rPr>
        <sz val="11"/>
        <color rgb="FF000000"/>
        <rFont val="Verdana"/>
        <family val="2"/>
        <charset val="1"/>
      </rPr>
      <t xml:space="preserve"> = χ</t>
    </r>
    <r>
      <rPr>
        <vertAlign val="subscript"/>
        <sz val="11"/>
        <color rgb="FF000000"/>
        <rFont val="Verdana"/>
        <family val="2"/>
        <charset val="1"/>
      </rPr>
      <t xml:space="preserve">sw</t>
    </r>
    <r>
      <rPr>
        <sz val="11"/>
        <color rgb="FF000000"/>
        <rFont val="Verdana"/>
        <family val="2"/>
        <charset val="1"/>
      </rPr>
      <t xml:space="preserve">/χ</t>
    </r>
    <r>
      <rPr>
        <vertAlign val="subscript"/>
        <sz val="11"/>
        <color rgb="FF000000"/>
        <rFont val="Verdana"/>
        <family val="2"/>
        <charset val="1"/>
      </rPr>
      <t xml:space="preserve">sed</t>
    </r>
    <r>
      <rPr>
        <sz val="11"/>
        <color rgb="FF000000"/>
        <rFont val="Verdana"/>
        <family val="2"/>
        <charset val="1"/>
      </rPr>
      <t xml:space="preserve">.</t>
    </r>
  </si>
  <si>
    <t xml:space="preserve">Expedition</t>
  </si>
  <si>
    <t xml:space="preserve">Site</t>
  </si>
  <si>
    <t xml:space="preserve">Hole</t>
  </si>
  <si>
    <t xml:space="preserve">Core</t>
  </si>
  <si>
    <t xml:space="preserve">Type</t>
  </si>
  <si>
    <t xml:space="preserve">Sec</t>
  </si>
  <si>
    <t xml:space="preserve">Sample [cm]</t>
  </si>
  <si>
    <t xml:space="preserve">Combined</t>
  </si>
  <si>
    <t xml:space="preserve">Note</t>
  </si>
  <si>
    <t xml:space="preserve">M0111</t>
  </si>
  <si>
    <t xml:space="preserve">A</t>
  </si>
  <si>
    <t xml:space="preserve">H</t>
  </si>
  <si>
    <t xml:space="preserve">M0111-A-1-1</t>
  </si>
  <si>
    <t xml:space="preserve">undiluted reference solution</t>
  </si>
  <si>
    <t xml:space="preserve">M0111-A-21-2</t>
  </si>
  <si>
    <t xml:space="preserve">B</t>
  </si>
  <si>
    <t xml:space="preserve">R</t>
  </si>
  <si>
    <t xml:space="preserve">diluted reference solution</t>
  </si>
  <si>
    <t xml:space="preserve">Reference Solution 30%</t>
  </si>
  <si>
    <t xml:space="preserve">01/19/26 16:00</t>
  </si>
  <si>
    <t xml:space="preserve">Eletcr 2</t>
  </si>
  <si>
    <t xml:space="preserve">44.7 mS/cm</t>
  </si>
  <si>
    <t xml:space="preserve">@21.1 degC</t>
  </si>
  <si>
    <t xml:space="preserve">Electr 1</t>
  </si>
  <si>
    <t xml:space="preserve">43.9 mS/cm</t>
  </si>
  <si>
    <t xml:space="preserve">sandy sediment, poorly consolidated</t>
  </si>
  <si>
    <t xml:space="preserve">sample number</t>
  </si>
  <si>
    <t xml:space="preserve">T and S corrected reference</t>
  </si>
  <si>
    <t xml:space="preserve">removed</t>
  </si>
  <si>
    <t xml:space="preserve">USE THIS SLOPE</t>
  </si>
  <si>
    <t xml:space="preserve">Core </t>
  </si>
  <si>
    <t xml:space="preserve">Section</t>
  </si>
  <si>
    <t xml:space="preserve">top_depth</t>
  </si>
  <si>
    <t xml:space="preserve">bottom_depth</t>
  </si>
  <si>
    <t xml:space="preserve">X</t>
  </si>
  <si>
    <t xml:space="preserve">C</t>
  </si>
  <si>
    <t xml:space="preserve">O</t>
  </si>
  <si>
    <t xml:space="preserve">M0112</t>
  </si>
  <si>
    <t xml:space="preserve">M0113</t>
  </si>
  <si>
    <t xml:space="preserve">Core Start</t>
  </si>
  <si>
    <t xml:space="preserve">Core Stop</t>
  </si>
  <si>
    <t xml:space="preserve">Salinity</t>
  </si>
  <si>
    <t xml:space="preserve">501_M0111_A_001H</t>
  </si>
  <si>
    <t xml:space="preserve">501_M0111_A_027H</t>
  </si>
  <si>
    <t xml:space="preserve">501_M0111_B_001H</t>
  </si>
  <si>
    <t xml:space="preserve">501_M0111_B_024R</t>
  </si>
  <si>
    <t xml:space="preserve">501_M0111_B_025R</t>
  </si>
  <si>
    <t xml:space="preserve">501_M0111_B_043R</t>
  </si>
  <si>
    <t xml:space="preserve">501_M0111_B_044R</t>
  </si>
  <si>
    <t xml:space="preserve">501_M0111_B_129R</t>
  </si>
  <si>
    <t xml:space="preserve">501_M0111_B_130R</t>
  </si>
  <si>
    <t xml:space="preserve">base of core</t>
  </si>
  <si>
    <t xml:space="preserve">501_M0111_C_002H</t>
  </si>
  <si>
    <t xml:space="preserve">501_M0111_C_9R</t>
  </si>
  <si>
    <t xml:space="preserve">501_M0111_C_010R</t>
  </si>
  <si>
    <t xml:space="preserve">501_M0111_C_039R</t>
  </si>
  <si>
    <t xml:space="preserve">501_M0112_A_001H</t>
  </si>
  <si>
    <t xml:space="preserve">501_M0112_A_036R</t>
  </si>
  <si>
    <t xml:space="preserve">501_M0112_A_037R</t>
  </si>
  <si>
    <t xml:space="preserve">501_M0112_A_051R</t>
  </si>
  <si>
    <t xml:space="preserve">501_M0112_A_052R</t>
  </si>
  <si>
    <t xml:space="preserve">501_M0112_B_002H</t>
  </si>
  <si>
    <t xml:space="preserve">501_M0112_B_010R</t>
  </si>
  <si>
    <t xml:space="preserve">501_M0112_B_011R</t>
  </si>
  <si>
    <t xml:space="preserve">501_M0112_B_057R</t>
  </si>
  <si>
    <t xml:space="preserve">501_M0113_A_001H</t>
  </si>
  <si>
    <t xml:space="preserve">501_M0113_A_136R</t>
  </si>
  <si>
    <t xml:space="preserve">501_M0113_A_137R</t>
  </si>
  <si>
    <t xml:space="preserve">501_M0113_A_185H</t>
  </si>
  <si>
    <t xml:space="preserve">501_M0113_A_186H</t>
  </si>
  <si>
    <t xml:space="preserve">base of hole</t>
  </si>
  <si>
    <r>
      <rPr>
        <i val="true"/>
        <sz val="13"/>
        <color rgb="FF000000"/>
        <rFont val="Verdana"/>
        <family val="2"/>
        <charset val="1"/>
      </rPr>
      <t xml:space="preserve">F</t>
    </r>
    <r>
      <rPr>
        <vertAlign val="subscript"/>
        <sz val="11"/>
        <color rgb="FF000000"/>
        <rFont val="Verdana"/>
        <family val="2"/>
        <charset val="1"/>
      </rPr>
      <t xml:space="preserve">a</t>
    </r>
    <r>
      <rPr>
        <sz val="13"/>
        <color rgb="FF000000"/>
        <rFont val="Verdana"/>
        <family val="2"/>
        <charset val="1"/>
      </rPr>
      <t xml:space="preserve"> = </t>
    </r>
    <r>
      <rPr>
        <i val="true"/>
        <sz val="13"/>
        <color rgb="FF000000"/>
        <rFont val="Verdana"/>
        <family val="2"/>
        <charset val="1"/>
      </rPr>
      <t xml:space="preserve">R</t>
    </r>
    <r>
      <rPr>
        <vertAlign val="subscript"/>
        <sz val="11"/>
        <color rgb="FF000000"/>
        <rFont val="Verdana"/>
        <family val="2"/>
        <charset val="1"/>
      </rPr>
      <t xml:space="preserve">e</t>
    </r>
    <r>
      <rPr>
        <sz val="13"/>
        <color rgb="FF000000"/>
        <rFont val="Verdana"/>
        <family val="2"/>
        <charset val="1"/>
      </rPr>
      <t xml:space="preserve">/</t>
    </r>
    <r>
      <rPr>
        <i val="true"/>
        <sz val="13"/>
        <color rgb="FF000000"/>
        <rFont val="Verdana"/>
        <family val="2"/>
        <charset val="1"/>
      </rPr>
      <t xml:space="preserve">R</t>
    </r>
    <r>
      <rPr>
        <vertAlign val="subscript"/>
        <sz val="11"/>
        <color rgb="FF000000"/>
        <rFont val="Verdana"/>
        <family val="2"/>
        <charset val="1"/>
      </rPr>
      <t xml:space="preserve">f</t>
    </r>
    <r>
      <rPr>
        <sz val="13"/>
        <color rgb="FF000000"/>
        <rFont val="Verdana"/>
        <family val="2"/>
        <charset val="1"/>
      </rPr>
      <t xml:space="preserve">.</t>
    </r>
  </si>
  <si>
    <t xml:space="preserve">Temperature correction</t>
  </si>
  <si>
    <r>
      <rPr>
        <sz val="13"/>
        <color rgb="FF000000"/>
        <rFont val="Verdana"/>
        <family val="2"/>
        <charset val="1"/>
      </rP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  <charset val="1"/>
      </rPr>
      <t xml:space="preserve">25°C</t>
    </r>
    <r>
      <rPr>
        <sz val="13"/>
        <color rgb="FF000000"/>
        <rFont val="Verdana"/>
        <family val="2"/>
        <charset val="1"/>
      </rPr>
      <t xml:space="preserve"> where the correction factor is given by a fifth-order polynomial (Janz and Singer, 1975),</t>
    </r>
  </si>
  <si>
    <r>
      <rPr>
        <sz val="10"/>
        <color rgb="FF000000"/>
        <rFont val="Verdana"/>
        <family val="2"/>
        <charset val="1"/>
      </rPr>
      <t xml:space="preserve">χ = a + b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sz val="10"/>
        <color rgb="FF000000"/>
        <rFont val="Verdana"/>
        <family val="2"/>
        <charset val="1"/>
      </rPr>
      <t xml:space="preserve"> + c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2</t>
    </r>
    <r>
      <rPr>
        <sz val="10"/>
        <color rgb="FF000000"/>
        <rFont val="Verdana"/>
        <family val="2"/>
        <charset val="1"/>
      </rPr>
      <t xml:space="preserve"> + d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3</t>
    </r>
    <r>
      <rPr>
        <sz val="10"/>
        <color rgb="FF000000"/>
        <rFont val="Verdana"/>
        <family val="2"/>
        <charset val="1"/>
      </rPr>
      <t xml:space="preserve"> + e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4</t>
    </r>
    <r>
      <rPr>
        <sz val="10"/>
        <color rgb="FF000000"/>
        <rFont val="Verdana"/>
        <family val="2"/>
        <charset val="1"/>
      </rPr>
      <t xml:space="preserve"> + f</t>
    </r>
    <r>
      <rPr>
        <i val="true"/>
        <sz val="10"/>
        <color rgb="FF000000"/>
        <rFont val="Verdana"/>
        <family val="2"/>
        <charset val="1"/>
      </rPr>
      <t xml:space="preserve">T</t>
    </r>
    <r>
      <rPr>
        <vertAlign val="superscript"/>
        <sz val="11"/>
        <color rgb="FF000000"/>
        <rFont val="Verdana"/>
        <family val="2"/>
        <charset val="1"/>
      </rPr>
      <t xml:space="preserve">5</t>
    </r>
    <r>
      <rPr>
        <sz val="10"/>
        <color rgb="FF000000"/>
        <rFont val="Verdana"/>
        <family val="2"/>
        <charset val="1"/>
      </rPr>
      <t xml:space="preserve">,</t>
    </r>
  </si>
  <si>
    <t xml:space="preserve">χ</t>
  </si>
  <si>
    <t xml:space="preserve">where</t>
  </si>
  <si>
    <t xml:space="preserve">a</t>
  </si>
  <si>
    <t xml:space="preserve">b</t>
  </si>
  <si>
    <t xml:space="preserve">c</t>
  </si>
  <si>
    <t xml:space="preserve">d </t>
  </si>
  <si>
    <t xml:space="preserve">e</t>
  </si>
  <si>
    <t xml:space="preserve">f</t>
  </si>
  <si>
    <r>
      <rPr>
        <sz val="13"/>
        <color rgb="FF000000"/>
        <rFont val="Verdana"/>
        <family val="2"/>
        <charset val="1"/>
      </rPr>
      <t xml:space="preserve">The temperature corrected measurement, σ</t>
    </r>
    <r>
      <rPr>
        <vertAlign val="subscript"/>
        <sz val="11"/>
        <color rgb="FF000000"/>
        <rFont val="Verdana"/>
        <family val="2"/>
        <charset val="1"/>
      </rPr>
      <t xml:space="preserve">T</t>
    </r>
    <r>
      <rPr>
        <sz val="13"/>
        <color rgb="FF000000"/>
        <rFont val="Verdana"/>
        <family val="2"/>
        <charset val="1"/>
      </rPr>
      <t xml:space="preserve">, is given by</t>
    </r>
  </si>
  <si>
    <r>
      <rPr>
        <sz val="10"/>
        <color rgb="FF000000"/>
        <rFont val="Verdana"/>
        <family val="2"/>
        <charset val="1"/>
      </rPr>
      <t xml:space="preserve">σ</t>
    </r>
    <r>
      <rPr>
        <vertAlign val="subscript"/>
        <sz val="11"/>
        <color rgb="FF000000"/>
        <rFont val="Verdana"/>
        <family val="2"/>
        <charset val="1"/>
      </rPr>
      <t xml:space="preserve">T</t>
    </r>
    <r>
      <rPr>
        <sz val="10"/>
        <color rgb="FF000000"/>
        <rFont val="Verdana"/>
        <family val="2"/>
        <charset val="1"/>
      </rPr>
      <t xml:space="preserve"> = σ × (χ</t>
    </r>
    <r>
      <rPr>
        <vertAlign val="subscript"/>
        <sz val="11"/>
        <color rgb="FF000000"/>
        <rFont val="Verdana"/>
        <family val="2"/>
        <charset val="1"/>
      </rPr>
      <t xml:space="preserve">25</t>
    </r>
    <r>
      <rPr>
        <sz val="10"/>
        <color rgb="FF000000"/>
        <rFont val="Verdana"/>
        <family val="2"/>
        <charset val="1"/>
      </rPr>
      <t xml:space="preserve">/χ</t>
    </r>
    <r>
      <rPr>
        <vertAlign val="subscript"/>
        <sz val="11"/>
        <color rgb="FF000000"/>
        <rFont val="Verdana"/>
        <family val="2"/>
        <charset val="1"/>
      </rPr>
      <t xml:space="preserve">obs</t>
    </r>
    <r>
      <rPr>
        <sz val="10"/>
        <color rgb="FF000000"/>
        <rFont val="Verdana"/>
        <family val="2"/>
        <charset val="1"/>
      </rPr>
      <t xml:space="preserve">),</t>
    </r>
  </si>
  <si>
    <r>
      <rPr>
        <sz val="13"/>
        <color rgb="FF000000"/>
        <rFont val="Verdana"/>
        <family val="2"/>
        <charset val="1"/>
      </rPr>
      <t xml:space="preserve">where σ is the measurement and χ</t>
    </r>
    <r>
      <rPr>
        <vertAlign val="subscript"/>
        <sz val="11"/>
        <color rgb="FF000000"/>
        <rFont val="Verdana"/>
        <family val="2"/>
        <charset val="1"/>
      </rPr>
      <t xml:space="preserve">20</t>
    </r>
    <r>
      <rPr>
        <sz val="13"/>
        <color rgb="FF000000"/>
        <rFont val="Verdana"/>
        <family val="2"/>
        <charset val="1"/>
      </rPr>
      <t xml:space="preserve"> and χ</t>
    </r>
    <r>
      <rPr>
        <vertAlign val="subscript"/>
        <sz val="11"/>
        <color rgb="FF000000"/>
        <rFont val="Verdana"/>
        <family val="2"/>
        <charset val="1"/>
      </rPr>
      <t xml:space="preserve">obs</t>
    </r>
    <r>
      <rPr>
        <sz val="13"/>
        <color rgb="FF000000"/>
        <rFont val="Verdana"/>
        <family val="2"/>
        <charset val="1"/>
      </rPr>
      <t xml:space="preserve"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 val="true"/>
        <sz val="13"/>
        <color rgb="FF000000"/>
        <rFont val="Verdana"/>
        <family val="2"/>
        <charset val="1"/>
      </rPr>
      <t xml:space="preserve">F</t>
    </r>
    <r>
      <rPr>
        <sz val="13"/>
        <color rgb="FF000000"/>
        <rFont val="Verdana"/>
        <family val="2"/>
        <charset val="1"/>
      </rPr>
      <t xml:space="preserve">, is computed as,</t>
    </r>
  </si>
  <si>
    <r>
      <rPr>
        <i val="true"/>
        <sz val="10"/>
        <color rgb="FF000000"/>
        <rFont val="Verdana"/>
        <family val="2"/>
        <charset val="1"/>
      </rPr>
      <t xml:space="preserve">F</t>
    </r>
    <r>
      <rPr>
        <sz val="10"/>
        <color rgb="FF000000"/>
        <rFont val="Verdana"/>
        <family val="2"/>
        <charset val="1"/>
      </rPr>
      <t xml:space="preserve"> = χ</t>
    </r>
    <r>
      <rPr>
        <vertAlign val="subscript"/>
        <sz val="11"/>
        <color rgb="FF000000"/>
        <rFont val="Verdana"/>
        <family val="2"/>
        <charset val="1"/>
      </rPr>
      <t xml:space="preserve">sw</t>
    </r>
    <r>
      <rPr>
        <sz val="10"/>
        <color rgb="FF000000"/>
        <rFont val="Verdana"/>
        <family val="2"/>
        <charset val="1"/>
      </rPr>
      <t xml:space="preserve">/χ</t>
    </r>
    <r>
      <rPr>
        <vertAlign val="subscript"/>
        <sz val="11"/>
        <color rgb="FF000000"/>
        <rFont val="Verdana"/>
        <family val="2"/>
        <charset val="1"/>
      </rPr>
      <t xml:space="preserve">sed</t>
    </r>
    <r>
      <rPr>
        <sz val="10"/>
        <color rgb="FF000000"/>
        <rFont val="Verdana"/>
        <family val="2"/>
        <charset val="1"/>
      </rPr>
      <t xml:space="preserve">.</t>
    </r>
  </si>
  <si>
    <t xml:space="preserve">mix= 0*(1-f)+ 35*f</t>
  </si>
  <si>
    <t xml:space="preserve">salinity dilution series for refractometer conductivity relationship</t>
  </si>
  <si>
    <t xml:space="preserve">f = mix/35</t>
  </si>
  <si>
    <t xml:space="preserve">Known Salinity</t>
  </si>
  <si>
    <t xml:space="preserve">Measured Refraction</t>
  </si>
  <si>
    <t xml:space="preserve">Average</t>
  </si>
  <si>
    <t xml:space="preserve">DI</t>
  </si>
  <si>
    <t xml:space="preserve">IAPSO</t>
  </si>
  <si>
    <t xml:space="preserve">Actual</t>
  </si>
  <si>
    <t xml:space="preserve">slope</t>
  </si>
  <si>
    <t xml:space="preserve">reference salinity</t>
  </si>
  <si>
    <t xml:space="preserve">intercept</t>
  </si>
  <si>
    <t xml:space="preserve">RSQ</t>
  </si>
  <si>
    <t xml:space="preserve">TOTAL USED</t>
  </si>
  <si>
    <t xml:space="preserve">Refractometer</t>
  </si>
  <si>
    <t xml:space="preserve">T of conductivity</t>
  </si>
  <si>
    <t xml:space="preserve">T corr</t>
  </si>
  <si>
    <t xml:space="preserve">conductivity at 25</t>
  </si>
  <si>
    <t xml:space="preserve">Drift monitoring</t>
  </si>
  <si>
    <t xml:space="preserve">measure reflectance</t>
  </si>
  <si>
    <t xml:space="preserve">measure conductivity</t>
  </si>
  <si>
    <t xml:space="preserve">diluted reference</t>
  </si>
  <si>
    <t xml:space="preserve">average conducitivity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</si>
</sst>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:mm"/>
    <numFmt numFmtId="166" formatCode="0.0"/>
    <numFmt numFmtId="167" formatCode="0.000"/>
    <numFmt numFmtId="168" formatCode="0"/>
    <numFmt numFmtId="169" formatCode="@"/>
    <numFmt numFmtId="170" formatCode="0.00"/>
  </numFmts>
  <fonts count="2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  <font>
      <sz val="10"/>
      <color rgb="FF000000"/>
      <name val="Aptos Narrow"/>
      <family val="2"/>
    </font>
    <font>
      <sz val="11"/>
      <color theme="1"/>
      <name val="Aptos Narrow"/>
      <family val="0"/>
      <charset val="1"/>
    </font>
    <font>
      <sz val="12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i val="true"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vertAlign val="subscript"/>
      <sz val="11"/>
      <color rgb="FF000000"/>
      <name val="Verdana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00000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  <font>
      <i val="true"/>
      <sz val="13"/>
      <color rgb="FF000000"/>
      <name val="Verdana"/>
      <family val="2"/>
      <charset val="1"/>
    </font>
    <font>
      <sz val="13"/>
      <color rgb="FF000000"/>
      <name val="Verdana"/>
      <family val="2"/>
      <charset val="1"/>
    </font>
    <font>
      <b val="true"/>
      <sz val="12"/>
      <color rgb="FF000000"/>
      <name val="Verdana"/>
      <family val="2"/>
      <charset val="1"/>
    </font>
    <font>
      <sz val="13"/>
      <color rgb="FFFF0000"/>
      <name val="Verdana"/>
      <family val="2"/>
      <charset val="1"/>
    </font>
    <font>
      <sz val="10"/>
      <color rgb="FF000000"/>
      <name val="Verdana"/>
      <family val="2"/>
      <charset val="1"/>
    </font>
    <font>
      <i val="true"/>
      <sz val="10"/>
      <color rgb="FF000000"/>
      <name val="Verdana"/>
      <family val="2"/>
      <charset val="1"/>
    </font>
    <font>
      <vertAlign val="superscript"/>
      <sz val="11"/>
      <color rgb="FF000000"/>
      <name val="Verdana"/>
      <family val="2"/>
      <charset val="1"/>
    </font>
    <font>
      <b val="true"/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theme="9" tint="0.7998"/>
        <bgColor rgb="FFE8E8E8"/>
      </patternFill>
    </fill>
    <fill>
      <patternFill patternType="solid">
        <fgColor theme="3" tint="0.8999"/>
        <bgColor rgb="FFE8E8E8"/>
      </patternFill>
    </fill>
    <fill>
      <patternFill patternType="solid">
        <fgColor theme="9" tint="0.3999"/>
        <bgColor rgb="FFBFBFBF"/>
      </patternFill>
    </fill>
    <fill>
      <patternFill patternType="solid">
        <fgColor theme="2"/>
        <bgColor rgb="FFDC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BFBFB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Formation Factor 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Calibration!$C$2:$C$6</c:f>
              <c:strCach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</c:v>
                </c:pt>
              </c:strCache>
            </c:str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</c:v>
                </c:pt>
                <c:pt idx="1">
                  <c:v>8.899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</c:ser>
        <c:gapWidth val="219"/>
        <c:overlap val="-27"/>
        <c:axId val="98837507"/>
        <c:axId val="93806944"/>
      </c:barChart>
      <c:catAx>
        <c:axId val="988375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3806944"/>
        <c:crosses val="autoZero"/>
        <c:auto val="1"/>
        <c:lblAlgn val="ctr"/>
        <c:lblOffset val="100"/>
        <c:noMultiLvlLbl val="0"/>
      </c:catAx>
      <c:valAx>
        <c:axId val="938069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0" lang="en-US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Conductivity,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8837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lang="en-GB" sz="1400" strike="noStrike" u="none">
                <a:solidFill>
                  <a:srgbClr val="595959"/>
                </a:solidFill>
                <a:uFillTx/>
                <a:latin typeface="Aptos Narrow"/>
              </a:rPr>
              <a:t>Conductivity v. Salinity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</c:v>
                </c:pt>
                <c:pt idx="1">
                  <c:v>8.899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</c:ser>
        <c:axId val="49079950"/>
        <c:axId val="68698883"/>
      </c:scatterChart>
      <c:valAx>
        <c:axId val="4907995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0" lang="en-GB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Salinity by refractometer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8698883"/>
        <c:crosses val="autoZero"/>
        <c:crossBetween val="midCat"/>
      </c:valAx>
      <c:valAx>
        <c:axId val="686988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0" lang="en-GB" sz="1000" strike="noStrike" u="none">
                    <a:solidFill>
                      <a:srgbClr val="595959"/>
                    </a:solidFill>
                    <a:uFillTx/>
                    <a:latin typeface="Aptos Narrow"/>
                  </a:rPr>
                  <a:t>Conductivity mS/cm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4907995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salinity</a:t>
            </a: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 refractometer 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9.997</c:v>
                </c:pt>
                <c:pt idx="1">
                  <c:v>30</c:v>
                </c:pt>
                <c:pt idx="2">
                  <c:v>34.993</c:v>
                </c:pt>
                <c:pt idx="3">
                  <c:v>37.999</c:v>
                </c:pt>
                <c:pt idx="4">
                  <c:v>9.997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1.33496666666667</c:v>
                </c:pt>
                <c:pt idx="1">
                  <c:v>1.33861</c:v>
                </c:pt>
                <c:pt idx="2">
                  <c:v>1.33958666666667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</c:ser>
        <c:axId val="98630979"/>
        <c:axId val="58613727"/>
      </c:scatterChart>
      <c:valAx>
        <c:axId val="986309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58613727"/>
        <c:crosses val="autoZero"/>
        <c:crossBetween val="midCat"/>
      </c:valAx>
      <c:valAx>
        <c:axId val="586137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986309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Calibri"/>
              </a:defRPr>
            </a:pPr>
            <a:r>
              <a:rPr b="0" lang="en-US" sz="1400" strike="noStrike" u="none">
                <a:solidFill>
                  <a:srgbClr val="595959"/>
                </a:solidFill>
                <a:uFillTx/>
                <a:latin typeface="Aptos Narrow"/>
              </a:rPr>
              <a:t>Salinity conductivity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1.4817304462752</c:v>
                </c:pt>
                <c:pt idx="1">
                  <c:v>4.71199681092452</c:v>
                </c:pt>
                <c:pt idx="2">
                  <c:v>9.89912832298192</c:v>
                </c:pt>
                <c:pt idx="3">
                  <c:v>24.3957579995315</c:v>
                </c:pt>
                <c:pt idx="4">
                  <c:v>34.7016746306279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</c:v>
                </c:pt>
                <c:pt idx="1">
                  <c:v>8.899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</c:ser>
        <c:axId val="75272381"/>
        <c:axId val="68570869"/>
      </c:scatterChart>
      <c:valAx>
        <c:axId val="7527238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Calibri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Aptos Narrow"/>
                  </a:rPr>
                  <a:t>salinity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68570869"/>
        <c:crosses val="autoZero"/>
        <c:crossBetween val="midCat"/>
      </c:valAx>
      <c:valAx>
        <c:axId val="6857086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52723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670680</xdr:colOff>
      <xdr:row>7</xdr:row>
      <xdr:rowOff>106560</xdr:rowOff>
    </xdr:from>
    <xdr:to>
      <xdr:col>12</xdr:col>
      <xdr:colOff>120960</xdr:colOff>
      <xdr:row>21</xdr:row>
      <xdr:rowOff>181800</xdr:rowOff>
    </xdr:to>
    <xdr:graphicFrame>
      <xdr:nvGraphicFramePr>
        <xdr:cNvPr id="1" name="Chart 1"/>
        <xdr:cNvGraphicFramePr/>
      </xdr:nvGraphicFramePr>
      <xdr:xfrm>
        <a:off x="5940000" y="1440000"/>
        <a:ext cx="520632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541080</xdr:colOff>
      <xdr:row>7</xdr:row>
      <xdr:rowOff>114480</xdr:rowOff>
    </xdr:from>
    <xdr:to>
      <xdr:col>5</xdr:col>
      <xdr:colOff>517320</xdr:colOff>
      <xdr:row>21</xdr:row>
      <xdr:rowOff>189720</xdr:rowOff>
    </xdr:to>
    <xdr:graphicFrame>
      <xdr:nvGraphicFramePr>
        <xdr:cNvPr id="2" name="Chart 2"/>
        <xdr:cNvGraphicFramePr/>
      </xdr:nvGraphicFramePr>
      <xdr:xfrm>
        <a:off x="541080" y="1447920"/>
        <a:ext cx="524556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297360</xdr:colOff>
      <xdr:row>0</xdr:row>
      <xdr:rowOff>150840</xdr:rowOff>
    </xdr:from>
    <xdr:to>
      <xdr:col>16</xdr:col>
      <xdr:colOff>705240</xdr:colOff>
      <xdr:row>10</xdr:row>
      <xdr:rowOff>158400</xdr:rowOff>
    </xdr:to>
    <xdr:graphicFrame>
      <xdr:nvGraphicFramePr>
        <xdr:cNvPr id="3" name="Chart 1"/>
        <xdr:cNvGraphicFramePr/>
      </xdr:nvGraphicFramePr>
      <xdr:xfrm>
        <a:off x="14018400" y="150840"/>
        <a:ext cx="5243400" cy="191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826920</xdr:colOff>
      <xdr:row>20</xdr:row>
      <xdr:rowOff>134280</xdr:rowOff>
    </xdr:from>
    <xdr:to>
      <xdr:col>17</xdr:col>
      <xdr:colOff>774000</xdr:colOff>
      <xdr:row>34</xdr:row>
      <xdr:rowOff>29880</xdr:rowOff>
    </xdr:to>
    <xdr:graphicFrame>
      <xdr:nvGraphicFramePr>
        <xdr:cNvPr id="4" name="Chart 3"/>
        <xdr:cNvGraphicFramePr/>
      </xdr:nvGraphicFramePr>
      <xdr:xfrm>
        <a:off x="14547960" y="4344480"/>
        <a:ext cx="5851440" cy="256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N25" activeCellId="1" sqref="X1:X41 N25"/>
    </sheetView>
  </sheetViews>
  <sheetFormatPr defaultColWidth="8.464843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3" style="0" width="17"/>
    <col collapsed="false" customWidth="true" hidden="false" outlineLevel="0" max="5" min="5" style="0" width="10.31"/>
  </cols>
  <sheetData>
    <row r="1" customFormat="false" ht="1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true" outlineLevel="0" collapsed="false">
      <c r="A2" s="0" t="s">
        <v>7</v>
      </c>
      <c r="B2" s="1" t="n">
        <v>0.336805555555556</v>
      </c>
      <c r="C2" s="0" t="n">
        <v>1.48</v>
      </c>
      <c r="D2" s="2" t="n">
        <v>20.9</v>
      </c>
      <c r="E2" s="3" t="n">
        <v>3.918</v>
      </c>
      <c r="F2" s="0" t="s">
        <v>8</v>
      </c>
      <c r="G2" s="0" t="s">
        <v>9</v>
      </c>
    </row>
    <row r="3" customFormat="false" ht="15" hidden="false" customHeight="true" outlineLevel="0" collapsed="false">
      <c r="A3" s="0" t="s">
        <v>7</v>
      </c>
      <c r="B3" s="1" t="n">
        <v>0.345138888888889</v>
      </c>
      <c r="C3" s="0" t="n">
        <v>4.71</v>
      </c>
      <c r="D3" s="2" t="n">
        <v>20.9</v>
      </c>
      <c r="E3" s="3" t="n">
        <v>8.899</v>
      </c>
      <c r="F3" s="0" t="s">
        <v>8</v>
      </c>
      <c r="G3" s="0" t="s">
        <v>9</v>
      </c>
    </row>
    <row r="4" customFormat="false" ht="15" hidden="false" customHeight="true" outlineLevel="0" collapsed="false">
      <c r="A4" s="0" t="s">
        <v>7</v>
      </c>
      <c r="B4" s="1" t="n">
        <v>0.347222222222222</v>
      </c>
      <c r="C4" s="0" t="n">
        <v>9.9</v>
      </c>
      <c r="D4" s="2" t="n">
        <v>20.9</v>
      </c>
      <c r="E4" s="3" t="n">
        <v>16.8</v>
      </c>
      <c r="F4" s="0" t="s">
        <v>8</v>
      </c>
      <c r="G4" s="0" t="s">
        <v>9</v>
      </c>
    </row>
    <row r="5" customFormat="false" ht="15" hidden="false" customHeight="true" outlineLevel="0" collapsed="false">
      <c r="A5" s="0" t="s">
        <v>7</v>
      </c>
      <c r="B5" s="1" t="n">
        <v>0.35</v>
      </c>
      <c r="C5" s="0" t="n">
        <v>24.4</v>
      </c>
      <c r="D5" s="2" t="n">
        <v>20.9</v>
      </c>
      <c r="E5" s="3" t="n">
        <v>38.01</v>
      </c>
      <c r="F5" s="0" t="s">
        <v>8</v>
      </c>
      <c r="G5" s="0" t="s">
        <v>9</v>
      </c>
    </row>
    <row r="6" customFormat="false" ht="15" hidden="false" customHeight="true" outlineLevel="0" collapsed="false">
      <c r="A6" s="0" t="s">
        <v>7</v>
      </c>
      <c r="B6" s="1" t="n">
        <v>0.354166666666667</v>
      </c>
      <c r="C6" s="0" t="n">
        <v>34.7</v>
      </c>
      <c r="D6" s="2" t="n">
        <v>21</v>
      </c>
      <c r="E6" s="3" t="n">
        <v>50.85</v>
      </c>
      <c r="F6" s="0" t="s">
        <v>8</v>
      </c>
      <c r="G6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AD4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0" ySplit="2" topLeftCell="A3" activePane="bottomLeft" state="frozen"/>
      <selection pane="topLeft" activeCell="A1" activeCellId="0" sqref="A1"/>
      <selection pane="bottomLeft" activeCell="X41" activeCellId="0" sqref="X1:X41"/>
    </sheetView>
  </sheetViews>
  <sheetFormatPr defaultColWidth="11" defaultRowHeight="13.5" customHeight="true" zeroHeight="false" outlineLevelRow="0" outlineLevelCol="0"/>
  <cols>
    <col collapsed="false" customWidth="true" hidden="false" outlineLevel="0" max="1" min="1" style="4" width="11.31"/>
    <col collapsed="false" customWidth="true" hidden="false" outlineLevel="0" max="6" min="2" style="4" width="10.84"/>
    <col collapsed="false" customWidth="true" hidden="false" outlineLevel="0" max="7" min="7" style="4" width="11.69"/>
    <col collapsed="false" customWidth="true" hidden="false" outlineLevel="0" max="8" min="8" style="5" width="14"/>
    <col collapsed="false" customWidth="false" hidden="false" outlineLevel="0" max="9" min="9" style="5" width="11"/>
    <col collapsed="false" customWidth="true" hidden="false" outlineLevel="0" max="10" min="10" style="5" width="10.84"/>
    <col collapsed="false" customWidth="true" hidden="false" outlineLevel="0" max="11" min="11" style="5" width="11.31"/>
    <col collapsed="false" customWidth="true" hidden="false" outlineLevel="0" max="12" min="12" style="6" width="12.69"/>
    <col collapsed="false" customWidth="true" hidden="false" outlineLevel="0" max="13" min="13" style="5" width="12"/>
    <col collapsed="false" customWidth="false" hidden="false" outlineLevel="0" max="14" min="14" style="7" width="11"/>
    <col collapsed="false" customWidth="true" hidden="false" outlineLevel="0" max="15" min="15" style="8" width="10.84"/>
    <col collapsed="false" customWidth="true" hidden="false" outlineLevel="0" max="16" min="16" style="4" width="12.69"/>
    <col collapsed="false" customWidth="true" hidden="false" outlineLevel="0" max="19" min="17" style="4" width="11.69"/>
    <col collapsed="false" customWidth="true" hidden="false" outlineLevel="0" max="24" min="20" style="4" width="10.84"/>
    <col collapsed="false" customWidth="false" hidden="false" outlineLevel="0" max="16384" min="25" style="5" width="11"/>
  </cols>
  <sheetData>
    <row r="1" s="17" customFormat="true" ht="15" hidden="false" customHeight="false" outlineLevel="0" collapsed="false">
      <c r="A1" s="4"/>
      <c r="B1" s="4"/>
      <c r="C1" s="4"/>
      <c r="D1" s="4"/>
      <c r="E1" s="4"/>
      <c r="F1" s="4"/>
      <c r="G1" s="4"/>
      <c r="H1" s="5"/>
      <c r="I1" s="9" t="n">
        <v>0.68</v>
      </c>
      <c r="J1" s="10" t="n">
        <v>2</v>
      </c>
      <c r="K1" s="10" t="n">
        <v>50.6</v>
      </c>
      <c r="L1" s="10" t="n">
        <v>21.3</v>
      </c>
      <c r="M1" s="10" t="n">
        <v>11450</v>
      </c>
      <c r="N1" s="10" t="n">
        <v>11.45</v>
      </c>
      <c r="O1" s="10" t="n">
        <v>19.3</v>
      </c>
      <c r="P1" s="10" t="n">
        <v>32</v>
      </c>
      <c r="Q1" s="11" t="n">
        <f aca="false">K1*('Temperature Corrections'!$D$9+'Temperature Corrections'!$D$10*'Data Entry'!$L1+('Temperature Corrections'!$D$11*('Data Entry'!$L1^2))+('Temperature Corrections'!$D$12*('Data Entry'!$L1^3))+('Temperature Corrections'!$D$13*('Data Entry'!$L1^4))+('Temperature Corrections'!$D$14*('Data Entry'!$L1^5)))/'Temperature Corrections'!$G$6</f>
        <v>52.0038798631325</v>
      </c>
      <c r="R1" s="11" t="n">
        <f aca="false">N1*('Temperature Corrections'!$D$9+'Temperature Corrections'!$D$10*'Data Entry'!$O1+('Temperature Corrections'!$D$11*('Data Entry'!$O1^2))+('Temperature Corrections'!$D$12*('Data Entry'!$O1^3))+('Temperature Corrections'!$D$13*('Data Entry'!$O1^4))+('Temperature Corrections'!$D$14*('Data Entry'!$O1^5)))/'Temperature Corrections'!$G$6</f>
        <v>11.2799182298423</v>
      </c>
      <c r="S1" s="11" t="n">
        <f aca="false">Q1*('Salinity Corrections'!$K$22*'Salinity Corrections'!$I$22+'Salinity Corrections'!$I$23)/'Salinity Corrections'!$K$23</f>
        <v>52.1394535411316</v>
      </c>
      <c r="T1" s="11" t="n">
        <f aca="false">R1*(P1*'Salinity Corrections'!$I$22+'Salinity Corrections'!$I$23)/'Salinity Corrections'!$K$23</f>
        <v>10.3833716814581</v>
      </c>
      <c r="U1" s="12" t="s">
        <v>10</v>
      </c>
      <c r="V1" s="13" t="n">
        <f aca="false">S1</f>
        <v>52.1394535411316</v>
      </c>
      <c r="W1" s="14" t="n">
        <f aca="false">T1</f>
        <v>10.3833716814581</v>
      </c>
      <c r="X1" s="15" t="n">
        <f aca="false">(AVERAGE(V$1:V$5))/W1</f>
        <v>5.01427235677679</v>
      </c>
      <c r="Y1" s="16" t="s">
        <v>11</v>
      </c>
      <c r="Z1" s="5"/>
      <c r="AA1" s="5"/>
      <c r="AB1" s="5"/>
      <c r="AC1" s="5"/>
      <c r="AD1" s="5"/>
    </row>
    <row r="2" s="17" customFormat="true" ht="15" hidden="false" customHeight="false" outlineLevel="0" collapsed="false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9" t="s">
        <v>18</v>
      </c>
      <c r="H2" s="20" t="s">
        <v>19</v>
      </c>
      <c r="I2" s="9" t="n">
        <v>49.01</v>
      </c>
      <c r="J2" s="10" t="n">
        <v>2</v>
      </c>
      <c r="K2" s="9" t="n">
        <v>50.3</v>
      </c>
      <c r="L2" s="10" t="n">
        <v>21.5</v>
      </c>
      <c r="M2" s="10" t="n">
        <v>12250</v>
      </c>
      <c r="N2" s="9" t="n">
        <v>12.25</v>
      </c>
      <c r="O2" s="10" t="n">
        <v>18.7</v>
      </c>
      <c r="P2" s="10" t="n">
        <v>32</v>
      </c>
      <c r="Q2" s="11" t="n">
        <f aca="false">K2*('Temperature Corrections'!$D$9+'Temperature Corrections'!$D$10*'Data Entry'!$L2+('Temperature Corrections'!$D$11*('Data Entry'!$L2^2))+('Temperature Corrections'!$D$12*('Data Entry'!$L2^3))+('Temperature Corrections'!$D$13*('Data Entry'!$L2^4))+('Temperature Corrections'!$D$14*('Data Entry'!$L2^5)))/'Temperature Corrections'!$G$6</f>
        <v>51.9111217469407</v>
      </c>
      <c r="R2" s="11" t="n">
        <f aca="false">N2*('Temperature Corrections'!$D$9+'Temperature Corrections'!$D$10*'Data Entry'!$O2+('Temperature Corrections'!$D$11*('Data Entry'!$O2^2))+('Temperature Corrections'!$D$12*('Data Entry'!$O2^3))+('Temperature Corrections'!$D$13*('Data Entry'!$O2^4))+('Temperature Corrections'!$D$14*('Data Entry'!$O2^5)))/'Temperature Corrections'!$G$6</f>
        <v>11.912686318487</v>
      </c>
      <c r="S2" s="11" t="n">
        <f aca="false">Q2*('Salinity Corrections'!$K$22*'Salinity Corrections'!$I$22+'Salinity Corrections'!$I$23)/'Salinity Corrections'!$K$23</f>
        <v>52.04645360531</v>
      </c>
      <c r="T2" s="11" t="n">
        <f aca="false">R2*(P2*'Salinity Corrections'!$I$22+'Salinity Corrections'!$I$23)/'Salinity Corrections'!$K$23</f>
        <v>10.9658463163523</v>
      </c>
      <c r="U2" s="12" t="s">
        <v>10</v>
      </c>
      <c r="V2" s="13" t="n">
        <f aca="false">S2</f>
        <v>52.04645360531</v>
      </c>
      <c r="W2" s="14" t="n">
        <f aca="false">T2</f>
        <v>10.9658463163523</v>
      </c>
      <c r="X2" s="15" t="n">
        <f aca="false">(AVERAGE(V$1:V$5))/W2</f>
        <v>4.74792843985375</v>
      </c>
      <c r="Y2" s="17" t="s">
        <v>20</v>
      </c>
    </row>
    <row r="3" s="17" customFormat="true" ht="15" hidden="false" customHeight="false" outlineLevel="0" collapsed="false">
      <c r="A3" s="9" t="n">
        <v>501</v>
      </c>
      <c r="B3" s="21" t="s">
        <v>21</v>
      </c>
      <c r="C3" s="22" t="s">
        <v>22</v>
      </c>
      <c r="D3" s="22" t="n">
        <v>1</v>
      </c>
      <c r="E3" s="22" t="s">
        <v>23</v>
      </c>
      <c r="F3" s="22" t="n">
        <v>1</v>
      </c>
      <c r="G3" s="22" t="n">
        <v>68</v>
      </c>
      <c r="H3" s="23" t="s">
        <v>24</v>
      </c>
      <c r="I3" s="9" t="n">
        <v>49.09</v>
      </c>
      <c r="J3" s="10" t="n">
        <v>2</v>
      </c>
      <c r="K3" s="9" t="n">
        <v>50.3</v>
      </c>
      <c r="L3" s="10" t="n">
        <v>21.5</v>
      </c>
      <c r="M3" s="10" t="n">
        <v>10200</v>
      </c>
      <c r="N3" s="9" t="n">
        <v>10.2</v>
      </c>
      <c r="O3" s="10" t="n">
        <v>18.9</v>
      </c>
      <c r="P3" s="10" t="n">
        <v>32</v>
      </c>
      <c r="Q3" s="11" t="n">
        <f aca="false"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51.9111217469407</v>
      </c>
      <c r="R3" s="11" t="n">
        <f aca="false"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9.96219727917173</v>
      </c>
      <c r="S3" s="11" t="n">
        <f aca="false">Q3*('Salinity Corrections'!$K$22*'Salinity Corrections'!$I$22+'Salinity Corrections'!$I$23)/'Salinity Corrections'!$K$23</f>
        <v>52.04645360531</v>
      </c>
      <c r="T3" s="11" t="n">
        <f aca="false">R3*(P3*'Salinity Corrections'!$I$22+'Salinity Corrections'!$I$23)/'Salinity Corrections'!$K$23</f>
        <v>9.17038537034651</v>
      </c>
      <c r="U3" s="12" t="s">
        <v>10</v>
      </c>
      <c r="V3" s="13" t="n">
        <f aca="false">S3</f>
        <v>52.04645360531</v>
      </c>
      <c r="W3" s="14" t="n">
        <f aca="false">T3</f>
        <v>9.17038537034651</v>
      </c>
      <c r="X3" s="15" t="n">
        <f aca="false">(AVERAGE(V$1:V$5))/W3</f>
        <v>5.6775207900022</v>
      </c>
      <c r="Y3" s="9" t="s">
        <v>25</v>
      </c>
    </row>
    <row r="4" customFormat="false" ht="15" hidden="false" customHeight="false" outlineLevel="0" collapsed="false">
      <c r="A4" s="9" t="n">
        <v>501</v>
      </c>
      <c r="B4" s="21" t="s">
        <v>21</v>
      </c>
      <c r="C4" s="9" t="s">
        <v>22</v>
      </c>
      <c r="D4" s="9" t="n">
        <v>21</v>
      </c>
      <c r="E4" s="9" t="s">
        <v>23</v>
      </c>
      <c r="F4" s="9" t="n">
        <v>2</v>
      </c>
      <c r="G4" s="9" t="n">
        <v>24</v>
      </c>
      <c r="H4" s="23" t="s">
        <v>26</v>
      </c>
      <c r="I4" s="24" t="n">
        <f aca="false">VLOOKUP(H6,'Depth vlookup'!G5:I1052,2,FALSE())+G6/100</f>
        <v>82.72</v>
      </c>
      <c r="J4" s="5" t="n">
        <v>2</v>
      </c>
      <c r="K4" s="25" t="n">
        <v>50.3</v>
      </c>
      <c r="L4" s="26" t="n">
        <v>21.5</v>
      </c>
      <c r="M4" s="5" t="n">
        <f aca="false">N4*1000</f>
        <v>6064</v>
      </c>
      <c r="N4" s="27" t="n">
        <v>6.064</v>
      </c>
      <c r="O4" s="28" t="n">
        <v>20.1</v>
      </c>
      <c r="P4" s="4" t="n">
        <v>30</v>
      </c>
      <c r="Q4" s="11" t="n">
        <f aca="false"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</v>
      </c>
      <c r="R4" s="11" t="n">
        <f aca="false"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6.07689851609529</v>
      </c>
      <c r="S4" s="11" t="n">
        <f aca="false">Q4*('Salinity Corrections'!$K$22*'Salinity Corrections'!$I$22+'Salinity Corrections'!$I$23)/'Salinity Corrections'!$K$23</f>
        <v>52.04645360531</v>
      </c>
      <c r="T4" s="11" t="n">
        <f aca="false">R4*('Salinity Corrections'!$K$22*'Salinity Corrections'!$I$22+'Salinity Corrections'!$I$23)/'Salinity Corrections'!$K$23</f>
        <v>6.09274093948413</v>
      </c>
      <c r="U4" s="12" t="s">
        <v>10</v>
      </c>
      <c r="V4" s="13" t="n">
        <f aca="false">S4</f>
        <v>52.04645360531</v>
      </c>
      <c r="W4" s="14" t="n">
        <f aca="false">T4</f>
        <v>6.09274093948413</v>
      </c>
      <c r="X4" s="13" t="n">
        <f aca="false">V4/W4</f>
        <v>8.54237101532119</v>
      </c>
      <c r="Y4" s="9" t="s">
        <v>25</v>
      </c>
      <c r="Z4" s="17"/>
      <c r="AA4" s="17"/>
      <c r="AB4" s="17"/>
      <c r="AC4" s="17"/>
      <c r="AD4" s="17"/>
    </row>
    <row r="5" customFormat="false" ht="15" hidden="false" customHeight="false" outlineLevel="0" collapsed="false">
      <c r="A5" s="9" t="n">
        <v>501</v>
      </c>
      <c r="B5" s="21" t="s">
        <v>21</v>
      </c>
      <c r="C5" s="9" t="s">
        <v>22</v>
      </c>
      <c r="D5" s="9" t="n">
        <v>21</v>
      </c>
      <c r="E5" s="9" t="s">
        <v>23</v>
      </c>
      <c r="F5" s="9" t="n">
        <v>2</v>
      </c>
      <c r="G5" s="9" t="n">
        <v>32</v>
      </c>
      <c r="H5" s="23" t="s">
        <v>26</v>
      </c>
      <c r="I5" s="24" t="n">
        <f aca="false">VLOOKUP(H7,'Depth vlookup'!G6:I1053,2,FALSE())+G7/100</f>
        <v>82.73</v>
      </c>
      <c r="J5" s="5" t="n">
        <v>2</v>
      </c>
      <c r="K5" s="25" t="n">
        <v>50.3</v>
      </c>
      <c r="L5" s="26" t="n">
        <v>21.5</v>
      </c>
      <c r="M5" s="5" t="n">
        <f aca="false">N5*1000</f>
        <v>6448</v>
      </c>
      <c r="N5" s="27" t="n">
        <v>6.448</v>
      </c>
      <c r="O5" s="28" t="n">
        <v>20.1</v>
      </c>
      <c r="P5" s="4" t="n">
        <v>30</v>
      </c>
      <c r="Q5" s="11" t="n">
        <f aca="false"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51.9111217469407</v>
      </c>
      <c r="R5" s="11" t="n">
        <f aca="false"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6.46171530867124</v>
      </c>
      <c r="S5" s="11" t="n">
        <f aca="false">Q5*('Salinity Corrections'!$K$22*'Salinity Corrections'!$I$22+'Salinity Corrections'!$I$23)/'Salinity Corrections'!$K$23</f>
        <v>52.04645360531</v>
      </c>
      <c r="T5" s="11" t="n">
        <f aca="false">R5*('Salinity Corrections'!$K$22*'Salinity Corrections'!$I$22+'Salinity Corrections'!$I$23)/'Salinity Corrections'!$K$23</f>
        <v>6.47856094620608</v>
      </c>
      <c r="U5" s="12" t="s">
        <v>10</v>
      </c>
      <c r="V5" s="13" t="n">
        <f aca="false">S5</f>
        <v>52.04645360531</v>
      </c>
      <c r="W5" s="14" t="n">
        <f aca="false">T5</f>
        <v>6.47856094620608</v>
      </c>
      <c r="X5" s="13" t="n">
        <f aca="false">V5/W5</f>
        <v>8.03364420547576</v>
      </c>
      <c r="Y5" s="9" t="s">
        <v>25</v>
      </c>
      <c r="Z5" s="17"/>
      <c r="AA5" s="17"/>
      <c r="AB5" s="17"/>
      <c r="AC5" s="17"/>
      <c r="AD5" s="17"/>
    </row>
    <row r="6" customFormat="false" ht="14.9" hidden="false" customHeight="false" outlineLevel="0" collapsed="false">
      <c r="A6" s="4" t="n">
        <v>501</v>
      </c>
      <c r="B6" s="4" t="n">
        <v>111</v>
      </c>
      <c r="C6" s="4" t="s">
        <v>27</v>
      </c>
      <c r="D6" s="4" t="n">
        <v>14</v>
      </c>
      <c r="E6" s="4" t="s">
        <v>28</v>
      </c>
      <c r="F6" s="4" t="n">
        <v>1</v>
      </c>
      <c r="G6" s="4" t="n">
        <v>12</v>
      </c>
      <c r="H6" s="20" t="str">
        <f aca="false">CONCATENATE("M0",B6,"-",C6, "-",D6, "-",F6)</f>
        <v>M0111-B-14-1</v>
      </c>
      <c r="I6" s="24" t="n">
        <f aca="false">VLOOKUP(H8,'Depth vlookup'!G7:I1054,2,FALSE())+G8/100</f>
        <v>91.285</v>
      </c>
      <c r="J6" s="5" t="n">
        <v>2</v>
      </c>
      <c r="K6" s="26" t="n">
        <v>44.48</v>
      </c>
      <c r="L6" s="26" t="n">
        <v>20.6</v>
      </c>
      <c r="M6" s="5" t="n">
        <f aca="false">N6*1000</f>
        <v>9250</v>
      </c>
      <c r="N6" s="27" t="n">
        <v>9.25</v>
      </c>
      <c r="O6" s="28" t="n">
        <v>17.2</v>
      </c>
      <c r="P6" s="4" t="n">
        <v>30</v>
      </c>
      <c r="Q6" s="11" t="n">
        <f aca="false"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45.0484799223358</v>
      </c>
      <c r="R6" s="11" t="n">
        <f aca="false"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8.70406400707963</v>
      </c>
      <c r="S6" s="11" t="n">
        <f aca="false">Q6*'Salinity Corrections'!$K$23/'Salinity Corrections'!$K$26</f>
        <v>51.9856188486659</v>
      </c>
      <c r="T6" s="11" t="n">
        <f aca="false">R6*('Salinity Corrections'!$K$22*'Salinity Corrections'!$I$22+'Salinity Corrections'!$I$23)/'Salinity Corrections'!$K$23</f>
        <v>8.72675542883672</v>
      </c>
      <c r="U6" s="12" t="s">
        <v>10</v>
      </c>
      <c r="V6" s="13" t="n">
        <f aca="false">S6</f>
        <v>51.9856188486659</v>
      </c>
      <c r="W6" s="14" t="n">
        <f aca="false">T6</f>
        <v>8.72675542883672</v>
      </c>
      <c r="X6" s="13" t="n">
        <f aca="false">V6/W6</f>
        <v>5.95703858926589</v>
      </c>
      <c r="Y6" s="5" t="s">
        <v>25</v>
      </c>
    </row>
    <row r="7" customFormat="false" ht="14.9" hidden="false" customHeight="false" outlineLevel="0" collapsed="false">
      <c r="A7" s="4" t="n">
        <v>501</v>
      </c>
      <c r="B7" s="4" t="n">
        <v>111</v>
      </c>
      <c r="C7" s="4" t="s">
        <v>27</v>
      </c>
      <c r="D7" s="4" t="n">
        <v>14</v>
      </c>
      <c r="E7" s="4" t="s">
        <v>28</v>
      </c>
      <c r="F7" s="4" t="n">
        <v>1</v>
      </c>
      <c r="G7" s="4" t="n">
        <v>13</v>
      </c>
      <c r="H7" s="20" t="str">
        <f aca="false">CONCATENATE("M0",B7,"-",C7, "-",D7, "-",F7)</f>
        <v>M0111-B-14-1</v>
      </c>
      <c r="I7" s="24" t="n">
        <f aca="false">VLOOKUP(H9,'Depth vlookup'!G8:I1055,2,FALSE())+G9/100</f>
        <v>91.31</v>
      </c>
      <c r="J7" s="5" t="n">
        <v>2</v>
      </c>
      <c r="K7" s="26" t="n">
        <v>43.76</v>
      </c>
      <c r="L7" s="26" t="n">
        <v>20.6</v>
      </c>
      <c r="M7" s="5" t="n">
        <f aca="false">N7*1000</f>
        <v>9260</v>
      </c>
      <c r="N7" s="27" t="n">
        <v>9.26</v>
      </c>
      <c r="O7" s="28" t="n">
        <v>17.2</v>
      </c>
      <c r="P7" s="4" t="n">
        <v>30</v>
      </c>
      <c r="Q7" s="11" t="n">
        <f aca="false"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44.3192779092045</v>
      </c>
      <c r="R7" s="11" t="n">
        <f aca="false"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8.7134738060062</v>
      </c>
      <c r="S7" s="11" t="n">
        <f aca="false">Q7*'Salinity Corrections'!$K$23/'Salinity Corrections'!$K$26</f>
        <v>51.1441250183818</v>
      </c>
      <c r="T7" s="11" t="n">
        <f aca="false">R7*('Salinity Corrections'!$K$22*'Salinity Corrections'!$I$22+'Salinity Corrections'!$I$23)/'Salinity Corrections'!$K$23</f>
        <v>8.73618975903006</v>
      </c>
      <c r="U7" s="12" t="s">
        <v>10</v>
      </c>
      <c r="V7" s="13" t="n">
        <f aca="false">S7</f>
        <v>51.1441250183818</v>
      </c>
      <c r="W7" s="14" t="n">
        <f aca="false">T7</f>
        <v>8.73618975903006</v>
      </c>
      <c r="X7" s="13" t="n">
        <f aca="false">V7/W7</f>
        <v>5.85428275130096</v>
      </c>
      <c r="Y7" s="5" t="s">
        <v>25</v>
      </c>
    </row>
    <row r="8" customFormat="false" ht="14.9" hidden="false" customHeight="false" outlineLevel="0" collapsed="false">
      <c r="A8" s="4" t="n">
        <v>501</v>
      </c>
      <c r="B8" s="4" t="n">
        <v>111</v>
      </c>
      <c r="C8" s="4" t="s">
        <v>27</v>
      </c>
      <c r="D8" s="4" t="n">
        <v>18</v>
      </c>
      <c r="E8" s="4" t="s">
        <v>28</v>
      </c>
      <c r="F8" s="4" t="n">
        <v>1</v>
      </c>
      <c r="G8" s="4" t="n">
        <v>18.5</v>
      </c>
      <c r="H8" s="20" t="str">
        <f aca="false">CONCATENATE("M0",B8,"-",C8, "-",D8, "-",F8)</f>
        <v>M0111-B-18-1</v>
      </c>
      <c r="I8" s="24" t="n">
        <f aca="false">VLOOKUP(H10,'Depth vlookup'!G9:I1056,2,FALSE())+G10/100</f>
        <v>103.79</v>
      </c>
      <c r="J8" s="5" t="n">
        <v>2</v>
      </c>
      <c r="K8" s="26" t="n">
        <v>44.8</v>
      </c>
      <c r="L8" s="26" t="n">
        <v>20.9</v>
      </c>
      <c r="M8" s="5" t="n">
        <f aca="false">N8*1000</f>
        <v>6476</v>
      </c>
      <c r="N8" s="27" t="n">
        <v>6.476</v>
      </c>
      <c r="O8" s="28" t="n">
        <v>20.5</v>
      </c>
      <c r="P8" s="4" t="n">
        <v>30</v>
      </c>
      <c r="Q8" s="11" t="n">
        <f aca="false"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45.6595723315469</v>
      </c>
      <c r="R8" s="11" t="n">
        <f aca="false"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6.54495307382482</v>
      </c>
      <c r="S8" s="11" t="n">
        <f aca="false">Q8*'Salinity Corrections'!$K$23/'Salinity Corrections'!$K$26</f>
        <v>52.6908150533177</v>
      </c>
      <c r="T8" s="11" t="n">
        <f aca="false">R8*('Salinity Corrections'!$K$22*'Salinity Corrections'!$I$22+'Salinity Corrections'!$I$23)/'Salinity Corrections'!$K$23</f>
        <v>6.56201571151426</v>
      </c>
      <c r="U8" s="12" t="s">
        <v>10</v>
      </c>
      <c r="V8" s="13" t="n">
        <f aca="false">S8</f>
        <v>52.6908150533177</v>
      </c>
      <c r="W8" s="14" t="n">
        <f aca="false">T8</f>
        <v>6.56201571151426</v>
      </c>
      <c r="X8" s="13" t="n">
        <f aca="false">V8/W8</f>
        <v>8.0296691397526</v>
      </c>
      <c r="Y8" s="5" t="s">
        <v>29</v>
      </c>
    </row>
    <row r="9" customFormat="false" ht="14.9" hidden="false" customHeight="false" outlineLevel="0" collapsed="false">
      <c r="A9" s="4" t="n">
        <v>501</v>
      </c>
      <c r="B9" s="4" t="n">
        <v>111</v>
      </c>
      <c r="C9" s="4" t="s">
        <v>27</v>
      </c>
      <c r="D9" s="4" t="n">
        <v>18</v>
      </c>
      <c r="E9" s="4" t="s">
        <v>28</v>
      </c>
      <c r="F9" s="4" t="n">
        <v>1</v>
      </c>
      <c r="G9" s="4" t="n">
        <v>21</v>
      </c>
      <c r="H9" s="20" t="str">
        <f aca="false">CONCATENATE("M0",B9,"-",C9, "-",D9, "-",F9)</f>
        <v>M0111-B-18-1</v>
      </c>
      <c r="I9" s="24" t="n">
        <f aca="false">VLOOKUP(H11,'Depth vlookup'!G10:I1057,2,FALSE())+G11/100</f>
        <v>103.765</v>
      </c>
      <c r="J9" s="5" t="n">
        <v>2</v>
      </c>
      <c r="K9" s="26" t="n">
        <v>44.11</v>
      </c>
      <c r="L9" s="26" t="n">
        <v>20.9</v>
      </c>
      <c r="M9" s="5" t="n">
        <f aca="false">N9*1000</f>
        <v>6125</v>
      </c>
      <c r="N9" s="27" t="n">
        <v>6.125</v>
      </c>
      <c r="O9" s="28" t="n">
        <v>20.5</v>
      </c>
      <c r="P9" s="4" t="n">
        <v>30</v>
      </c>
      <c r="Q9" s="11" t="n">
        <f aca="false"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44.9563333826905</v>
      </c>
      <c r="R9" s="11" t="n">
        <f aca="false"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6.19021580870553</v>
      </c>
      <c r="S9" s="11" t="n">
        <f aca="false">Q9*'Salinity Corrections'!$K$23/'Salinity Corrections'!$K$26</f>
        <v>51.8792824107555</v>
      </c>
      <c r="T9" s="11" t="n">
        <f aca="false">R9*('Salinity Corrections'!$K$22*'Salinity Corrections'!$I$22+'Salinity Corrections'!$I$23)/'Salinity Corrections'!$K$23</f>
        <v>6.2063536493244</v>
      </c>
      <c r="U9" s="12" t="s">
        <v>10</v>
      </c>
      <c r="V9" s="13" t="n">
        <f aca="false">S9</f>
        <v>51.8792824107555</v>
      </c>
      <c r="W9" s="14" t="n">
        <f aca="false">T9</f>
        <v>6.2063536493244</v>
      </c>
      <c r="X9" s="13" t="n">
        <f aca="false">V9/W9</f>
        <v>8.35905997983257</v>
      </c>
      <c r="Y9" s="5" t="s">
        <v>29</v>
      </c>
    </row>
    <row r="10" customFormat="false" ht="14.9" hidden="false" customHeight="false" outlineLevel="0" collapsed="false">
      <c r="A10" s="4" t="n">
        <v>501</v>
      </c>
      <c r="B10" s="4" t="n">
        <v>111</v>
      </c>
      <c r="C10" s="4" t="s">
        <v>27</v>
      </c>
      <c r="D10" s="4" t="n">
        <v>24</v>
      </c>
      <c r="E10" s="4" t="s">
        <v>28</v>
      </c>
      <c r="F10" s="4" t="n">
        <v>2</v>
      </c>
      <c r="G10" s="4" t="n">
        <v>88</v>
      </c>
      <c r="H10" s="20" t="str">
        <f aca="false">CONCATENATE("M0",B10,"-",C10, "-",D10, "-",F10)</f>
        <v>M0111-B-24-2</v>
      </c>
      <c r="I10" s="24" t="n">
        <f aca="false">VLOOKUP(H12,'Depth vlookup'!G11:I1058,2,FALSE())+G12/100</f>
        <v>112.375</v>
      </c>
      <c r="J10" s="5" t="n">
        <v>2</v>
      </c>
      <c r="K10" s="26" t="n">
        <v>45.12</v>
      </c>
      <c r="L10" s="26" t="n">
        <v>20.9</v>
      </c>
      <c r="M10" s="5" t="n">
        <f aca="false">N10*1000</f>
        <v>6757</v>
      </c>
      <c r="N10" s="27" t="n">
        <v>6.757</v>
      </c>
      <c r="O10" s="28" t="n">
        <v>19.6</v>
      </c>
      <c r="P10" s="4" t="n">
        <v>12</v>
      </c>
      <c r="Q10" s="11" t="n">
        <f aca="false"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45.9857121339151</v>
      </c>
      <c r="R10" s="11" t="n">
        <f aca="false"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6.69959385974278</v>
      </c>
      <c r="S10" s="11" t="n">
        <f aca="false">Q10*'Salinity Corrections'!$K$23/'Salinity Corrections'!$K$26</f>
        <v>53.0671780179843</v>
      </c>
      <c r="T10" s="11" t="n">
        <f aca="false">R10*('Salinity Corrections'!$K$22*'Salinity Corrections'!$I$22+'Salinity Corrections'!$I$23)/'Salinity Corrections'!$K$23</f>
        <v>6.71705964466221</v>
      </c>
      <c r="U10" s="12" t="s">
        <v>10</v>
      </c>
      <c r="V10" s="13" t="n">
        <f aca="false">S10</f>
        <v>53.0671780179843</v>
      </c>
      <c r="W10" s="14" t="n">
        <f aca="false">T10</f>
        <v>6.71705964466221</v>
      </c>
      <c r="X10" s="13" t="n">
        <f aca="false">V10/W10</f>
        <v>7.90035831528677</v>
      </c>
      <c r="Y10" s="5" t="s">
        <v>29</v>
      </c>
    </row>
    <row r="11" customFormat="false" ht="14.9" hidden="false" customHeight="false" outlineLevel="0" collapsed="false">
      <c r="A11" s="4" t="n">
        <v>501</v>
      </c>
      <c r="B11" s="4" t="n">
        <v>111</v>
      </c>
      <c r="C11" s="4" t="s">
        <v>27</v>
      </c>
      <c r="D11" s="4" t="n">
        <v>24</v>
      </c>
      <c r="E11" s="4" t="s">
        <v>28</v>
      </c>
      <c r="F11" s="4" t="n">
        <v>2</v>
      </c>
      <c r="G11" s="4" t="n">
        <v>85.5</v>
      </c>
      <c r="H11" s="20" t="str">
        <f aca="false">CONCATENATE("M0",B11,"-",C11, "-",D11, "-",F11)</f>
        <v>M0111-B-24-2</v>
      </c>
      <c r="I11" s="24" t="n">
        <f aca="false">VLOOKUP(H13,'Depth vlookup'!G12:I1059,2,FALSE())+G13/100</f>
        <v>112.4</v>
      </c>
      <c r="J11" s="5" t="n">
        <v>2</v>
      </c>
      <c r="K11" s="26" t="n">
        <v>44.13</v>
      </c>
      <c r="L11" s="26" t="n">
        <v>19.6</v>
      </c>
      <c r="M11" s="5" t="n">
        <f aca="false">N11*1000</f>
        <v>6694</v>
      </c>
      <c r="N11" s="27" t="n">
        <v>6.694</v>
      </c>
      <c r="O11" s="28" t="n">
        <v>19.6</v>
      </c>
      <c r="P11" s="4" t="n">
        <v>12</v>
      </c>
      <c r="Q11" s="11" t="n">
        <f aca="false">K11*('Temperature Corrections'!$D$9+'Temperature Corrections'!$D$10*'Data Entry'!$L11+('Temperature Corrections'!$D$11*('Data Entry'!$L11^2))+('Temperature Corrections'!$D$12*('Data Entry'!$L11^3))+('Temperature Corrections'!$D$13*('Data Entry'!$L11^4))+('Temperature Corrections'!$D$14*('Data Entry'!$L11^5)))/'Temperature Corrections'!$G$6</f>
        <v>43.7550802176186</v>
      </c>
      <c r="R11" s="11" t="n">
        <f aca="false">N11*('Temperature Corrections'!$D$9+'Temperature Corrections'!$D$10*'Data Entry'!$O11+('Temperature Corrections'!$D$11*('Data Entry'!$O11^2))+('Temperature Corrections'!$D$12*('Data Entry'!$O11^3))+('Temperature Corrections'!$D$13*('Data Entry'!$O11^4))+('Temperature Corrections'!$D$14*('Data Entry'!$O11^5)))/'Temperature Corrections'!$G$6</f>
        <v>6.63712909532605</v>
      </c>
      <c r="S11" s="11" t="n">
        <f aca="false">Q11*'Salinity Corrections'!$K$23/'Salinity Corrections'!$K$26</f>
        <v>50.493044977487</v>
      </c>
      <c r="T11" s="11" t="n">
        <f aca="false">R11*('Salinity Corrections'!$K$22*'Salinity Corrections'!$I$22+'Salinity Corrections'!$I$23)/'Salinity Corrections'!$K$23</f>
        <v>6.65443203512932</v>
      </c>
      <c r="U11" s="12" t="s">
        <v>10</v>
      </c>
      <c r="V11" s="29" t="n">
        <f aca="false">S11</f>
        <v>50.493044977487</v>
      </c>
      <c r="W11" s="30" t="n">
        <f aca="false">T11</f>
        <v>6.65443203512932</v>
      </c>
      <c r="X11" s="13" t="n">
        <f aca="false">V11/W11</f>
        <v>7.58788198766324</v>
      </c>
      <c r="Y11" s="5" t="s">
        <v>29</v>
      </c>
      <c r="AB11" s="5" t="s">
        <v>30</v>
      </c>
      <c r="AD11" s="5" t="s">
        <v>31</v>
      </c>
    </row>
    <row r="12" s="32" customFormat="true" ht="14.9" hidden="false" customHeight="false" outlineLevel="0" collapsed="false">
      <c r="A12" s="4" t="n">
        <v>501</v>
      </c>
      <c r="B12" s="4" t="n">
        <v>111</v>
      </c>
      <c r="C12" s="4" t="s">
        <v>27</v>
      </c>
      <c r="D12" s="4" t="n">
        <v>28</v>
      </c>
      <c r="E12" s="4" t="s">
        <v>28</v>
      </c>
      <c r="F12" s="4" t="n">
        <v>1</v>
      </c>
      <c r="G12" s="4" t="n">
        <v>7.5</v>
      </c>
      <c r="H12" s="20" t="str">
        <f aca="false">CONCATENATE("M0",B12,"-",C12, "-",D12, "-",F12)</f>
        <v>M0111-B-28-1</v>
      </c>
      <c r="I12" s="31" t="n">
        <f aca="false">VLOOKUP(H14,'Depth vlookup'!G13:I1060,2,FALSE())+G14/100</f>
        <v>121.34</v>
      </c>
      <c r="J12" s="32" t="n">
        <v>1</v>
      </c>
      <c r="K12" s="33" t="n">
        <v>43.63</v>
      </c>
      <c r="L12" s="33" t="n">
        <v>21.1</v>
      </c>
      <c r="M12" s="32" t="n">
        <f aca="false">N12*1000</f>
        <v>6920</v>
      </c>
      <c r="N12" s="34" t="n">
        <v>6.92</v>
      </c>
      <c r="O12" s="35" t="n">
        <v>20.8</v>
      </c>
      <c r="P12" s="36" t="n">
        <v>12</v>
      </c>
      <c r="Q12" s="37" t="n">
        <f aca="false">K12*('Temperature Corrections'!$D$9+'Temperature Corrections'!$D$10*'Data Entry'!$L12+('Temperature Corrections'!$D$11*('Data Entry'!$L12^2))+('Temperature Corrections'!$D$12*('Data Entry'!$L12^3))+('Temperature Corrections'!$D$13*('Data Entry'!$L12^4))+('Temperature Corrections'!$D$14*('Data Entry'!$L12^5)))/'Temperature Corrections'!$G$6</f>
        <v>44.6537130625031</v>
      </c>
      <c r="R12" s="37" t="n">
        <f aca="false">N12*('Temperature Corrections'!$D$9+'Temperature Corrections'!$D$10*'Data Entry'!$O12+('Temperature Corrections'!$D$11*('Data Entry'!$O12^2))+('Temperature Corrections'!$D$12*('Data Entry'!$O12^3))+('Temperature Corrections'!$D$13*('Data Entry'!$O12^4))+('Temperature Corrections'!$D$14*('Data Entry'!$O12^5)))/'Temperature Corrections'!$G$6</f>
        <v>7.0379879728232</v>
      </c>
      <c r="S12" s="11" t="n">
        <f aca="false">Q12*'Salinity Corrections'!$K$23/'Salinity Corrections'!$K$26</f>
        <v>51.5300607578108</v>
      </c>
      <c r="T12" s="11" t="n">
        <f aca="false">R12*('Salinity Corrections'!$K$22*'Salinity Corrections'!$I$22+'Salinity Corrections'!$I$23)/'Salinity Corrections'!$K$23</f>
        <v>7.0563359483531</v>
      </c>
      <c r="U12" s="38" t="n">
        <v>1</v>
      </c>
      <c r="V12" s="14" t="n">
        <f aca="false">S12--0.037*$U12</f>
        <v>51.5670607578108</v>
      </c>
      <c r="W12" s="14" t="n">
        <f aca="false">T12-'Drift correction'!D$4*$U12</f>
        <v>7.09928136142228</v>
      </c>
      <c r="X12" s="13" t="n">
        <f aca="false">V12/W12</f>
        <v>7.26370151182172</v>
      </c>
      <c r="Y12" s="5" t="s">
        <v>29</v>
      </c>
      <c r="Z12" s="5"/>
      <c r="AA12" s="5"/>
      <c r="AB12" s="5" t="s">
        <v>32</v>
      </c>
      <c r="AC12" s="5" t="s">
        <v>33</v>
      </c>
      <c r="AD12" s="5" t="s">
        <v>34</v>
      </c>
    </row>
    <row r="13" customFormat="false" ht="14.9" hidden="false" customHeight="false" outlineLevel="0" collapsed="false">
      <c r="A13" s="4" t="n">
        <v>501</v>
      </c>
      <c r="B13" s="4" t="n">
        <v>111</v>
      </c>
      <c r="C13" s="4" t="s">
        <v>27</v>
      </c>
      <c r="D13" s="4" t="n">
        <v>28</v>
      </c>
      <c r="E13" s="4" t="s">
        <v>28</v>
      </c>
      <c r="F13" s="4" t="n">
        <v>1</v>
      </c>
      <c r="G13" s="4" t="n">
        <v>10</v>
      </c>
      <c r="H13" s="20" t="str">
        <f aca="false">CONCATENATE("M0",B13,"-",C13, "-",D13, "-",F13)</f>
        <v>M0111-B-28-1</v>
      </c>
      <c r="I13" s="24" t="n">
        <f aca="false">VLOOKUP(H15,'Depth vlookup'!G14:I1061,2,FALSE())+G15/100</f>
        <v>121.38</v>
      </c>
      <c r="J13" s="5" t="n">
        <v>1</v>
      </c>
      <c r="K13" s="26" t="n">
        <v>43.6</v>
      </c>
      <c r="L13" s="26" t="n">
        <v>21.1</v>
      </c>
      <c r="M13" s="5" t="n">
        <f aca="false">N13*1000</f>
        <v>5636</v>
      </c>
      <c r="N13" s="27" t="n">
        <v>5.636</v>
      </c>
      <c r="O13" s="28" t="n">
        <v>20.3</v>
      </c>
      <c r="P13" s="4" t="n">
        <v>12</v>
      </c>
      <c r="Q13" s="11" t="n">
        <f aca="false"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44.6230091571198</v>
      </c>
      <c r="R13" s="11" t="n">
        <f aca="false"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5.67198506648521</v>
      </c>
      <c r="S13" s="11" t="n">
        <f aca="false">Q13*'Salinity Corrections'!$K$23/'Salinity Corrections'!$K$26</f>
        <v>51.4946286738609</v>
      </c>
      <c r="T13" s="11" t="n">
        <f aca="false">R13*('Salinity Corrections'!$K$22*'Salinity Corrections'!$I$22+'Salinity Corrections'!$I$23)/'Salinity Corrections'!$K$23</f>
        <v>5.68677188391197</v>
      </c>
      <c r="U13" s="14" t="n">
        <v>2</v>
      </c>
      <c r="V13" s="14" t="n">
        <f aca="false">S13--0.037*$U13</f>
        <v>51.5686286738609</v>
      </c>
      <c r="W13" s="14" t="n">
        <f aca="false">T13-'Drift correction'!D$4*$U13</f>
        <v>5.77266271005033</v>
      </c>
      <c r="X13" s="13" t="n">
        <f aca="false">V13/W13</f>
        <v>8.93324818442601</v>
      </c>
      <c r="Y13" s="5" t="s">
        <v>29</v>
      </c>
      <c r="AB13" s="5" t="s">
        <v>35</v>
      </c>
      <c r="AC13" s="5" t="s">
        <v>36</v>
      </c>
      <c r="AD13" s="5" t="s">
        <v>34</v>
      </c>
    </row>
    <row r="14" customFormat="false" ht="14.9" hidden="false" customHeight="false" outlineLevel="0" collapsed="false">
      <c r="A14" s="36" t="n">
        <v>501</v>
      </c>
      <c r="B14" s="36" t="n">
        <v>111</v>
      </c>
      <c r="C14" s="36" t="s">
        <v>27</v>
      </c>
      <c r="D14" s="36" t="n">
        <v>31</v>
      </c>
      <c r="E14" s="36" t="s">
        <v>28</v>
      </c>
      <c r="F14" s="36" t="n">
        <v>1</v>
      </c>
      <c r="G14" s="36" t="n">
        <v>4</v>
      </c>
      <c r="H14" s="39" t="str">
        <f aca="false">CONCATENATE("M0",B14,"-",C14, "-",D14, "-",F14)</f>
        <v>M0111-B-31-1</v>
      </c>
      <c r="I14" s="24" t="n">
        <f aca="false">VLOOKUP(H16,'Depth vlookup'!G15:I1062,2,FALSE())+G16/100</f>
        <v>131.71</v>
      </c>
      <c r="J14" s="5" t="n">
        <v>1</v>
      </c>
      <c r="K14" s="26" t="n">
        <v>43.27</v>
      </c>
      <c r="L14" s="26" t="n">
        <v>20.9</v>
      </c>
      <c r="M14" s="5" t="n">
        <f aca="false">N14*1000</f>
        <v>4313</v>
      </c>
      <c r="N14" s="27" t="n">
        <v>4.313</v>
      </c>
      <c r="O14" s="28" t="n">
        <v>20.5</v>
      </c>
      <c r="P14" s="4" t="n">
        <v>12</v>
      </c>
      <c r="Q14" s="11" t="n">
        <f aca="false"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44.100216401474</v>
      </c>
      <c r="R14" s="11" t="n">
        <f aca="false"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4.35892257680766</v>
      </c>
      <c r="S14" s="11" t="n">
        <f aca="false">Q14*'Salinity Corrections'!$K$23/'Salinity Corrections'!$K$26</f>
        <v>50.8913296285058</v>
      </c>
      <c r="T14" s="11" t="n">
        <f aca="false">R14*('Salinity Corrections'!$K$22*'Salinity Corrections'!$I$22+'Salinity Corrections'!$I$23)/'Salinity Corrections'!$K$23</f>
        <v>4.37028625135284</v>
      </c>
      <c r="U14" s="14" t="n">
        <v>3</v>
      </c>
      <c r="V14" s="14" t="n">
        <f aca="false">S14--0.037*$U14</f>
        <v>51.0023296285058</v>
      </c>
      <c r="W14" s="14" t="n">
        <f aca="false">T14-'Drift correction'!D$4*$U14</f>
        <v>4.49912249056038</v>
      </c>
      <c r="X14" s="13" t="n">
        <f aca="false">V14/W14</f>
        <v>11.3360615843454</v>
      </c>
      <c r="Y14" s="32" t="s">
        <v>29</v>
      </c>
      <c r="Z14" s="32"/>
      <c r="AA14" s="32"/>
      <c r="AB14" s="32"/>
      <c r="AC14" s="32"/>
      <c r="AD14" s="32"/>
    </row>
    <row r="15" customFormat="false" ht="14.9" hidden="false" customHeight="false" outlineLevel="0" collapsed="false">
      <c r="A15" s="4" t="n">
        <v>501</v>
      </c>
      <c r="B15" s="4" t="n">
        <v>111</v>
      </c>
      <c r="C15" s="4" t="s">
        <v>27</v>
      </c>
      <c r="D15" s="4" t="n">
        <v>31</v>
      </c>
      <c r="E15" s="4" t="s">
        <v>28</v>
      </c>
      <c r="F15" s="4" t="n">
        <v>1</v>
      </c>
      <c r="G15" s="4" t="n">
        <v>8</v>
      </c>
      <c r="H15" s="20" t="str">
        <f aca="false">CONCATENATE("M0",B15,"-",C15, "-",D15, "-",F15)</f>
        <v>M0111-B-31-1</v>
      </c>
      <c r="I15" s="24" t="n">
        <f aca="false">VLOOKUP(H17,'Depth vlookup'!G16:I1063,2,FALSE())+G17/100</f>
        <v>131.76</v>
      </c>
      <c r="J15" s="5" t="n">
        <v>1</v>
      </c>
      <c r="K15" s="26" t="n">
        <v>43.27</v>
      </c>
      <c r="L15" s="26" t="n">
        <v>20.9</v>
      </c>
      <c r="M15" s="5" t="n">
        <f aca="false">N15*1000</f>
        <v>4790</v>
      </c>
      <c r="N15" s="27" t="n">
        <v>4.79</v>
      </c>
      <c r="O15" s="28" t="n">
        <v>20.4</v>
      </c>
      <c r="P15" s="4" t="n">
        <v>12</v>
      </c>
      <c r="Q15" s="11" t="n">
        <f aca="false"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44.100216401474</v>
      </c>
      <c r="R15" s="11" t="n">
        <f aca="false"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4.83078958452577</v>
      </c>
      <c r="S15" s="11" t="n">
        <f aca="false">Q15*'Salinity Corrections'!$K$23/'Salinity Corrections'!$K$26</f>
        <v>50.8913296285058</v>
      </c>
      <c r="T15" s="11" t="n">
        <f aca="false">R15*('Salinity Corrections'!$K$22*'Salinity Corrections'!$I$22+'Salinity Corrections'!$I$23)/'Salinity Corrections'!$K$23</f>
        <v>4.84338341239664</v>
      </c>
      <c r="U15" s="14" t="n">
        <v>4</v>
      </c>
      <c r="V15" s="14" t="n">
        <f aca="false">S15--0.037*$U15</f>
        <v>51.0393296285058</v>
      </c>
      <c r="W15" s="14" t="n">
        <f aca="false">T15-'Drift correction'!D$4*$U15</f>
        <v>5.01516506467336</v>
      </c>
      <c r="X15" s="13" t="n">
        <f aca="false">V15/W15</f>
        <v>10.1769989562308</v>
      </c>
      <c r="Y15" s="5" t="s">
        <v>29</v>
      </c>
    </row>
    <row r="16" customFormat="false" ht="14.9" hidden="false" customHeight="false" outlineLevel="0" collapsed="false">
      <c r="A16" s="4" t="n">
        <v>501</v>
      </c>
      <c r="B16" s="4" t="n">
        <v>111</v>
      </c>
      <c r="C16" s="4" t="s">
        <v>27</v>
      </c>
      <c r="D16" s="4" t="n">
        <v>39</v>
      </c>
      <c r="E16" s="4" t="s">
        <v>28</v>
      </c>
      <c r="F16" s="4" t="n">
        <v>1</v>
      </c>
      <c r="G16" s="4" t="n">
        <v>4</v>
      </c>
      <c r="H16" s="20" t="str">
        <f aca="false">CONCATENATE("M0",B16,"-",C16, "-",D16, "-",F16)</f>
        <v>M0111-B-39-1</v>
      </c>
      <c r="I16" s="24" t="n">
        <f aca="false">VLOOKUP(H18,'Depth vlookup'!G17:I1064,2,FALSE())+G18/100</f>
        <v>146.81</v>
      </c>
      <c r="J16" s="5" t="n">
        <v>1</v>
      </c>
      <c r="K16" s="26" t="n">
        <v>41.92</v>
      </c>
      <c r="L16" s="26" t="n">
        <v>20.3</v>
      </c>
      <c r="M16" s="5" t="n">
        <f aca="false">N16*1000</f>
        <v>7216</v>
      </c>
      <c r="N16" s="27" t="n">
        <v>7.216</v>
      </c>
      <c r="O16" s="28" t="n">
        <v>18.4</v>
      </c>
      <c r="P16" s="4" t="n">
        <v>6</v>
      </c>
      <c r="Q16" s="11" t="n">
        <f aca="false"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42.187653297917</v>
      </c>
      <c r="R16" s="11" t="n">
        <f aca="false"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6.97167862923293</v>
      </c>
      <c r="S16" s="11" t="n">
        <f aca="false">Q16*'Salinity Corrections'!$K$23/'Salinity Corrections'!$K$26</f>
        <v>48.6842456892264</v>
      </c>
      <c r="T16" s="11" t="n">
        <f aca="false">R16*('Salinity Corrections'!$K$22*'Salinity Corrections'!$I$22+'Salinity Corrections'!$I$23)/'Salinity Corrections'!$K$23</f>
        <v>6.98985373686106</v>
      </c>
      <c r="U16" s="14" t="n">
        <v>5</v>
      </c>
      <c r="V16" s="14" t="n">
        <f aca="false">S16--0.037*$U16</f>
        <v>48.8692456892264</v>
      </c>
      <c r="W16" s="14" t="n">
        <f aca="false">T16-'Drift correction'!D$4*$U16</f>
        <v>7.20458080220695</v>
      </c>
      <c r="X16" s="13" t="n">
        <f aca="false">V16/W16</f>
        <v>6.78307968650396</v>
      </c>
      <c r="Y16" s="5" t="s">
        <v>29</v>
      </c>
    </row>
    <row r="17" customFormat="false" ht="14.9" hidden="false" customHeight="false" outlineLevel="0" collapsed="false">
      <c r="A17" s="4" t="n">
        <v>501</v>
      </c>
      <c r="B17" s="4" t="n">
        <v>111</v>
      </c>
      <c r="C17" s="4" t="s">
        <v>27</v>
      </c>
      <c r="D17" s="4" t="n">
        <v>39</v>
      </c>
      <c r="E17" s="4" t="s">
        <v>28</v>
      </c>
      <c r="F17" s="4" t="n">
        <v>1</v>
      </c>
      <c r="G17" s="4" t="n">
        <v>9</v>
      </c>
      <c r="H17" s="20" t="str">
        <f aca="false">CONCATENATE("M0",B17,"-",C17, "-",D17, "-",F17)</f>
        <v>M0111-B-39-1</v>
      </c>
      <c r="I17" s="24" t="n">
        <f aca="false">VLOOKUP(H19,'Depth vlookup'!G18:I1065,2,FALSE())+G19/100</f>
        <v>146.85</v>
      </c>
      <c r="J17" s="5" t="n">
        <v>1</v>
      </c>
      <c r="K17" s="26" t="n">
        <v>41.92</v>
      </c>
      <c r="L17" s="26" t="n">
        <v>20.3</v>
      </c>
      <c r="M17" s="5" t="n">
        <f aca="false">N17*1000</f>
        <v>5710</v>
      </c>
      <c r="N17" s="27" t="n">
        <v>5.71</v>
      </c>
      <c r="O17" s="28" t="n">
        <v>18.4</v>
      </c>
      <c r="P17" s="4" t="n">
        <v>6</v>
      </c>
      <c r="Q17" s="11" t="n">
        <f aca="false"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42.187653297917</v>
      </c>
      <c r="R17" s="11" t="n">
        <f aca="false"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5.5166692035643</v>
      </c>
      <c r="S17" s="11" t="n">
        <f aca="false">Q17*'Salinity Corrections'!$K$23/'Salinity Corrections'!$K$26</f>
        <v>48.6842456892264</v>
      </c>
      <c r="T17" s="11" t="n">
        <f aca="false">R17*('Salinity Corrections'!$K$22*'Salinity Corrections'!$I$22+'Salinity Corrections'!$I$23)/'Salinity Corrections'!$K$23</f>
        <v>5.531051113841</v>
      </c>
      <c r="U17" s="14" t="n">
        <v>6</v>
      </c>
      <c r="V17" s="14" t="n">
        <f aca="false">S17--0.037*$U17</f>
        <v>48.9062456892264</v>
      </c>
      <c r="W17" s="14" t="n">
        <f aca="false">T17-'Drift correction'!D$4*$U17</f>
        <v>5.78872359225607</v>
      </c>
      <c r="X17" s="13" t="n">
        <f aca="false">V17/W17</f>
        <v>8.4485370409897</v>
      </c>
      <c r="Y17" s="5" t="s">
        <v>29</v>
      </c>
    </row>
    <row r="18" customFormat="false" ht="14.9" hidden="false" customHeight="false" outlineLevel="0" collapsed="false">
      <c r="A18" s="4" t="n">
        <v>501</v>
      </c>
      <c r="B18" s="4" t="n">
        <v>111</v>
      </c>
      <c r="C18" s="4" t="s">
        <v>27</v>
      </c>
      <c r="D18" s="4" t="n">
        <v>44</v>
      </c>
      <c r="E18" s="4" t="s">
        <v>28</v>
      </c>
      <c r="F18" s="4" t="n">
        <v>1</v>
      </c>
      <c r="G18" s="4" t="n">
        <v>70</v>
      </c>
      <c r="H18" s="20" t="str">
        <f aca="false">CONCATENATE("M0",B18,"-",C18, "-",D18, "-",F18)</f>
        <v>M0111-B-44-1</v>
      </c>
      <c r="I18" s="24" t="n">
        <f aca="false">VLOOKUP(H20,'Depth vlookup'!G19:I1066,2,FALSE())+G20/100</f>
        <v>175.95</v>
      </c>
      <c r="J18" s="5" t="n">
        <v>1</v>
      </c>
      <c r="K18" s="26" t="n">
        <v>43.5</v>
      </c>
      <c r="L18" s="26" t="n">
        <v>21.3</v>
      </c>
      <c r="M18" s="5" t="n">
        <f aca="false">N18*1000</f>
        <v>3548</v>
      </c>
      <c r="N18" s="27" t="n">
        <v>3.548</v>
      </c>
      <c r="O18" s="28" t="n">
        <v>20.9</v>
      </c>
      <c r="P18" s="4" t="n">
        <v>6</v>
      </c>
      <c r="Q18" s="11" t="n">
        <f aca="false"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44.7068927677127</v>
      </c>
      <c r="R18" s="11" t="n">
        <f aca="false"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3.61607505875733</v>
      </c>
      <c r="S18" s="11" t="n">
        <f aca="false">Q18*'Salinity Corrections'!$K$23/'Salinity Corrections'!$K$26</f>
        <v>51.5914297516209</v>
      </c>
      <c r="T18" s="11" t="n">
        <f aca="false">R18*('Salinity Corrections'!$K$22*'Salinity Corrections'!$I$22+'Salinity Corrections'!$I$23)/'Salinity Corrections'!$K$23</f>
        <v>3.62550213606246</v>
      </c>
      <c r="U18" s="14" t="n">
        <v>7</v>
      </c>
      <c r="V18" s="14" t="n">
        <f aca="false">S18--0.037*$U18</f>
        <v>51.8504297516209</v>
      </c>
      <c r="W18" s="14" t="n">
        <f aca="false">T18-'Drift correction'!D$4*$U18</f>
        <v>3.92612002754672</v>
      </c>
      <c r="X18" s="13" t="n">
        <f aca="false">V18/W18</f>
        <v>13.2065319928643</v>
      </c>
      <c r="Y18" s="5" t="s">
        <v>37</v>
      </c>
    </row>
    <row r="19" customFormat="false" ht="14.9" hidden="false" customHeight="false" outlineLevel="0" collapsed="false">
      <c r="A19" s="4" t="n">
        <v>501</v>
      </c>
      <c r="B19" s="4" t="n">
        <v>111</v>
      </c>
      <c r="C19" s="4" t="s">
        <v>27</v>
      </c>
      <c r="D19" s="4" t="n">
        <v>44</v>
      </c>
      <c r="E19" s="4" t="s">
        <v>28</v>
      </c>
      <c r="F19" s="4" t="n">
        <v>1</v>
      </c>
      <c r="G19" s="4" t="n">
        <v>74</v>
      </c>
      <c r="H19" s="20" t="str">
        <f aca="false">CONCATENATE("M0",B19,"-",C19, "-",D19, "-",F19)</f>
        <v>M0111-B-44-1</v>
      </c>
      <c r="I19" s="24" t="n">
        <f aca="false">VLOOKUP(H21,'Depth vlookup'!G20:I1067,2,FALSE())+G21/100</f>
        <v>175.98</v>
      </c>
      <c r="J19" s="5" t="n">
        <v>1</v>
      </c>
      <c r="K19" s="26" t="n">
        <v>43.5</v>
      </c>
      <c r="L19" s="26" t="n">
        <v>21.3</v>
      </c>
      <c r="M19" s="5" t="n">
        <f aca="false">N19*1000</f>
        <v>3382</v>
      </c>
      <c r="N19" s="27" t="n">
        <v>3.382</v>
      </c>
      <c r="O19" s="28" t="n">
        <v>20.9</v>
      </c>
      <c r="P19" s="4" t="n">
        <v>6</v>
      </c>
      <c r="Q19" s="11" t="n">
        <f aca="false"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44.7068927677127</v>
      </c>
      <c r="R19" s="11" t="n">
        <f aca="false"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3.44689003627883</v>
      </c>
      <c r="S19" s="11" t="n">
        <f aca="false">Q19*'Salinity Corrections'!$K$23/'Salinity Corrections'!$K$26</f>
        <v>51.5914297516209</v>
      </c>
      <c r="T19" s="11" t="n">
        <f aca="false">R19*('Salinity Corrections'!$K$22*'Salinity Corrections'!$I$22+'Salinity Corrections'!$I$23)/'Salinity Corrections'!$K$23</f>
        <v>3.45587604965142</v>
      </c>
      <c r="U19" s="14" t="n">
        <v>8</v>
      </c>
      <c r="V19" s="14" t="n">
        <f aca="false">S19--0.037*$U19</f>
        <v>51.8874297516209</v>
      </c>
      <c r="W19" s="14" t="n">
        <f aca="false">T19-'Drift correction'!D$4*$U19</f>
        <v>3.79943935420486</v>
      </c>
      <c r="X19" s="13" t="n">
        <f aca="false">V19/W19</f>
        <v>13.6566016494504</v>
      </c>
      <c r="Y19" s="5" t="s">
        <v>37</v>
      </c>
    </row>
    <row r="20" customFormat="false" ht="14.9" hidden="false" customHeight="false" outlineLevel="0" collapsed="false">
      <c r="A20" s="4" t="n">
        <v>501</v>
      </c>
      <c r="B20" s="4" t="n">
        <v>111</v>
      </c>
      <c r="C20" s="4" t="s">
        <v>27</v>
      </c>
      <c r="D20" s="4" t="n">
        <v>61</v>
      </c>
      <c r="E20" s="4" t="s">
        <v>28</v>
      </c>
      <c r="F20" s="4" t="n">
        <v>1</v>
      </c>
      <c r="G20" s="4" t="n">
        <v>34</v>
      </c>
      <c r="H20" s="20" t="str">
        <f aca="false">CONCATENATE("M0",B20,"-",C20, "-",D20, "-",F20)</f>
        <v>M0111-B-61-1</v>
      </c>
      <c r="I20" s="24" t="n">
        <f aca="false">VLOOKUP(H22,'Depth vlookup'!G21:I1068,2,FALSE())+G22/100</f>
        <v>185.19</v>
      </c>
      <c r="J20" s="5" t="n">
        <v>1</v>
      </c>
      <c r="K20" s="26" t="n">
        <v>43.24</v>
      </c>
      <c r="L20" s="26" t="n">
        <v>21.2</v>
      </c>
      <c r="M20" s="5" t="n">
        <f aca="false">N20*1000</f>
        <v>2344</v>
      </c>
      <c r="N20" s="27" t="n">
        <v>2.344</v>
      </c>
      <c r="O20" s="28" t="n">
        <v>20.1</v>
      </c>
      <c r="P20" s="4" t="n">
        <v>6</v>
      </c>
      <c r="Q20" s="11" t="n">
        <f aca="false"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44.3470965060463</v>
      </c>
      <c r="R20" s="11" t="n">
        <f aca="false"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2.34898583801572</v>
      </c>
      <c r="S20" s="11" t="n">
        <f aca="false">Q20*'Salinity Corrections'!$K$23/'Salinity Corrections'!$K$26</f>
        <v>51.1762274772176</v>
      </c>
      <c r="T20" s="11" t="n">
        <f aca="false">R20*('Salinity Corrections'!$K$22*'Salinity Corrections'!$I$22+'Salinity Corrections'!$I$23)/'Salinity Corrections'!$K$23</f>
        <v>2.35510962436524</v>
      </c>
      <c r="U20" s="14" t="n">
        <v>9</v>
      </c>
      <c r="V20" s="14" t="n">
        <f aca="false">S20--0.037*$U20</f>
        <v>51.5092274772176</v>
      </c>
      <c r="W20" s="14" t="n">
        <f aca="false">T20-'Drift correction'!D$4*$U20</f>
        <v>2.74161834198785</v>
      </c>
      <c r="X20" s="13" t="n">
        <f aca="false">V20/W20</f>
        <v>18.7878913298596</v>
      </c>
    </row>
    <row r="21" customFormat="false" ht="14.9" hidden="false" customHeight="false" outlineLevel="0" collapsed="false">
      <c r="A21" s="4" t="n">
        <v>501</v>
      </c>
      <c r="B21" s="4" t="n">
        <v>111</v>
      </c>
      <c r="C21" s="4" t="s">
        <v>27</v>
      </c>
      <c r="D21" s="4" t="n">
        <v>61</v>
      </c>
      <c r="E21" s="4" t="s">
        <v>28</v>
      </c>
      <c r="F21" s="4" t="n">
        <v>1</v>
      </c>
      <c r="G21" s="4" t="n">
        <v>37</v>
      </c>
      <c r="H21" s="20" t="str">
        <f aca="false">CONCATENATE("M0",B21,"-",C21, "-",D21, "-",F21)</f>
        <v>M0111-B-61-1</v>
      </c>
      <c r="I21" s="24" t="n">
        <f aca="false">VLOOKUP(H23,'Depth vlookup'!G22:I1069,2,FALSE())+G23/100</f>
        <v>185.21</v>
      </c>
      <c r="J21" s="5" t="n">
        <v>1</v>
      </c>
      <c r="K21" s="26" t="n">
        <v>43.23</v>
      </c>
      <c r="L21" s="26" t="n">
        <v>21.2</v>
      </c>
      <c r="M21" s="5" t="n">
        <f aca="false">N21*1000</f>
        <v>2320</v>
      </c>
      <c r="N21" s="27" t="n">
        <v>2.32</v>
      </c>
      <c r="O21" s="28" t="n">
        <v>20.2</v>
      </c>
      <c r="P21" s="4" t="n">
        <v>6</v>
      </c>
      <c r="Q21" s="11" t="n">
        <f aca="false"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44.3368404707766</v>
      </c>
      <c r="R21" s="11" t="n">
        <f aca="false"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2.32987242049543</v>
      </c>
      <c r="S21" s="11" t="n">
        <f aca="false">Q21*'Salinity Corrections'!$K$23/'Salinity Corrections'!$K$26</f>
        <v>51.1643920869592</v>
      </c>
      <c r="T21" s="11" t="n">
        <f aca="false">R21*('Salinity Corrections'!$K$22*'Salinity Corrections'!$I$22+'Salinity Corrections'!$I$23)/'Salinity Corrections'!$K$23</f>
        <v>2.33594637832601</v>
      </c>
      <c r="U21" s="14" t="n">
        <v>10</v>
      </c>
      <c r="V21" s="14" t="n">
        <f aca="false">S21--0.037*$U21</f>
        <v>51.5343920869592</v>
      </c>
      <c r="W21" s="14" t="n">
        <f aca="false">T21-'Drift correction'!D$4*$U21</f>
        <v>2.76540050901781</v>
      </c>
      <c r="X21" s="13" t="n">
        <f aca="false">V21/W21</f>
        <v>18.6354171552759</v>
      </c>
    </row>
    <row r="22" customFormat="false" ht="14.9" hidden="false" customHeight="false" outlineLevel="0" collapsed="false">
      <c r="A22" s="4" t="n">
        <v>501</v>
      </c>
      <c r="B22" s="4" t="n">
        <v>111</v>
      </c>
      <c r="C22" s="4" t="s">
        <v>27</v>
      </c>
      <c r="D22" s="4" t="n">
        <v>64</v>
      </c>
      <c r="E22" s="4" t="s">
        <v>28</v>
      </c>
      <c r="F22" s="4" t="n">
        <v>1</v>
      </c>
      <c r="G22" s="4" t="n">
        <v>43</v>
      </c>
      <c r="H22" s="20" t="str">
        <f aca="false">CONCATENATE("M0",B22,"-",C22, "-",D22, "-",F22)</f>
        <v>M0111-B-64-1</v>
      </c>
      <c r="I22" s="24" t="n">
        <f aca="false">VLOOKUP(H24,'Depth vlookup'!G23:I1070,2,FALSE())+G24/100</f>
        <v>194.2</v>
      </c>
      <c r="J22" s="5" t="n">
        <v>1</v>
      </c>
      <c r="K22" s="26" t="n">
        <v>42.84</v>
      </c>
      <c r="L22" s="26" t="n">
        <v>20.8</v>
      </c>
      <c r="M22" s="5" t="n">
        <f aca="false">N22*1000</f>
        <v>3002</v>
      </c>
      <c r="N22" s="27" t="n">
        <v>3.002</v>
      </c>
      <c r="O22" s="28" t="n">
        <v>19.9</v>
      </c>
      <c r="P22" s="4" t="n">
        <v>6</v>
      </c>
      <c r="Q22" s="11" t="n">
        <f aca="false"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43.5704342132581</v>
      </c>
      <c r="R22" s="11" t="n">
        <f aca="false"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2.99561826274882</v>
      </c>
      <c r="S22" s="11" t="n">
        <f aca="false">Q22*'Salinity Corrections'!$K$23/'Salinity Corrections'!$K$26</f>
        <v>50.279964828697</v>
      </c>
      <c r="T22" s="11" t="n">
        <f aca="false">R22*('Salinity Corrections'!$K$22*'Salinity Corrections'!$I$22+'Salinity Corrections'!$I$23)/'Salinity Corrections'!$K$23</f>
        <v>3.00342781439826</v>
      </c>
      <c r="U22" s="14" t="n">
        <v>11</v>
      </c>
      <c r="V22" s="14" t="n">
        <f aca="false">S22--0.037*$U22</f>
        <v>50.686964828697</v>
      </c>
      <c r="W22" s="14" t="n">
        <f aca="false">T22-'Drift correction'!D$4*$U22</f>
        <v>3.47582735815923</v>
      </c>
      <c r="X22" s="13" t="n">
        <f aca="false">V22/W22</f>
        <v>14.5827049521644</v>
      </c>
    </row>
    <row r="23" customFormat="false" ht="14.9" hidden="false" customHeight="false" outlineLevel="0" collapsed="false">
      <c r="A23" s="4" t="n">
        <v>501</v>
      </c>
      <c r="B23" s="4" t="n">
        <v>111</v>
      </c>
      <c r="C23" s="4" t="s">
        <v>27</v>
      </c>
      <c r="D23" s="4" t="n">
        <v>64</v>
      </c>
      <c r="E23" s="4" t="s">
        <v>28</v>
      </c>
      <c r="F23" s="4" t="n">
        <v>1</v>
      </c>
      <c r="G23" s="4" t="n">
        <v>45</v>
      </c>
      <c r="H23" s="20" t="str">
        <f aca="false">CONCATENATE("M0",B23,"-",C23, "-",D23, "-",F23)</f>
        <v>M0111-B-64-1</v>
      </c>
      <c r="I23" s="24" t="n">
        <f aca="false">VLOOKUP(H25,'Depth vlookup'!G24:I1071,2,FALSE())+G25/100</f>
        <v>194.23</v>
      </c>
      <c r="J23" s="5" t="n">
        <v>1</v>
      </c>
      <c r="K23" s="26" t="n">
        <v>42.8</v>
      </c>
      <c r="L23" s="26" t="n">
        <v>20.8</v>
      </c>
      <c r="M23" s="5" t="n">
        <f aca="false">N23*1000</f>
        <v>2990</v>
      </c>
      <c r="N23" s="27" t="n">
        <v>2.99</v>
      </c>
      <c r="O23" s="28" t="n">
        <v>19.7</v>
      </c>
      <c r="P23" s="4" t="n">
        <v>6</v>
      </c>
      <c r="Q23" s="11" t="n">
        <f aca="false">K23*('Temperature Corrections'!$D$9+'Temperature Corrections'!$D$10*'Data Entry'!$L23+('Temperature Corrections'!$D$11*('Data Entry'!$L23^2))+('Temperature Corrections'!$D$12*('Data Entry'!$L23^3))+('Temperature Corrections'!$D$13*('Data Entry'!$L23^4))+('Temperature Corrections'!$D$14*('Data Entry'!$L23^5)))/'Temperature Corrections'!$G$6</f>
        <v>43.5297522018544</v>
      </c>
      <c r="R23" s="11" t="n">
        <f aca="false">N23*('Temperature Corrections'!$D$9+'Temperature Corrections'!$D$10*'Data Entry'!$O23+('Temperature Corrections'!$D$11*('Data Entry'!$O23^2))+('Temperature Corrections'!$D$12*('Data Entry'!$O23^3))+('Temperature Corrections'!$D$13*('Data Entry'!$O23^4))+('Temperature Corrections'!$D$14*('Data Entry'!$O23^5)))/'Temperature Corrections'!$G$6</f>
        <v>2.97094251785934</v>
      </c>
      <c r="S23" s="11" t="n">
        <f aca="false">Q23*'Salinity Corrections'!$K$23/'Salinity Corrections'!$K$26</f>
        <v>50.2330180828252</v>
      </c>
      <c r="T23" s="11" t="n">
        <f aca="false">R23*('Salinity Corrections'!$K$22*'Salinity Corrections'!$I$22+'Salinity Corrections'!$I$23)/'Salinity Corrections'!$K$23</f>
        <v>2.97868774004911</v>
      </c>
      <c r="U23" s="14" t="n">
        <v>12</v>
      </c>
      <c r="V23" s="14" t="n">
        <f aca="false">S23--0.037*$U23</f>
        <v>50.6770180828252</v>
      </c>
      <c r="W23" s="14" t="n">
        <f aca="false">T23-'Drift correction'!D$4*$U23</f>
        <v>3.49403269687926</v>
      </c>
      <c r="X23" s="13" t="n">
        <f aca="false">V23/W23</f>
        <v>14.503876316924</v>
      </c>
    </row>
    <row r="24" customFormat="false" ht="14.9" hidden="false" customHeight="false" outlineLevel="0" collapsed="false">
      <c r="A24" s="4" t="n">
        <v>501</v>
      </c>
      <c r="B24" s="4" t="n">
        <v>111</v>
      </c>
      <c r="C24" s="4" t="s">
        <v>27</v>
      </c>
      <c r="D24" s="4" t="n">
        <v>67</v>
      </c>
      <c r="E24" s="4" t="s">
        <v>28</v>
      </c>
      <c r="F24" s="4" t="n">
        <v>1</v>
      </c>
      <c r="G24" s="4" t="n">
        <v>29</v>
      </c>
      <c r="H24" s="20" t="str">
        <f aca="false">CONCATENATE("M0",B24,"-",C24, "-",D24, "-",F24)</f>
        <v>M0111-B-67-1</v>
      </c>
      <c r="I24" s="24" t="n">
        <f aca="false">VLOOKUP(H26,'Depth vlookup'!G25:I1072,2,FALSE())+G26/100</f>
        <v>206.14</v>
      </c>
      <c r="J24" s="5" t="n">
        <v>1</v>
      </c>
      <c r="K24" s="26" t="n">
        <v>43.03</v>
      </c>
      <c r="L24" s="26" t="n">
        <v>21.1</v>
      </c>
      <c r="M24" s="5" t="n">
        <f aca="false">N24*1000</f>
        <v>4100</v>
      </c>
      <c r="N24" s="27" t="n">
        <v>4.1</v>
      </c>
      <c r="O24" s="28" t="n">
        <v>21.8</v>
      </c>
      <c r="P24" s="4" t="n">
        <v>6</v>
      </c>
      <c r="Q24" s="11" t="n">
        <f aca="false">K24*('Temperature Corrections'!$D$9+'Temperature Corrections'!$D$10*'Data Entry'!$L24+('Temperature Corrections'!$D$11*('Data Entry'!$L24^2))+('Temperature Corrections'!$D$12*('Data Entry'!$L24^3))+('Temperature Corrections'!$D$13*('Data Entry'!$L24^4))+('Temperature Corrections'!$D$14*('Data Entry'!$L24^5)))/'Temperature Corrections'!$G$6</f>
        <v>44.0396349548363</v>
      </c>
      <c r="R24" s="11" t="n">
        <f aca="false">N24*('Temperature Corrections'!$D$9+'Temperature Corrections'!$D$10*'Data Entry'!$O24+('Temperature Corrections'!$D$11*('Data Entry'!$O24^2))+('Temperature Corrections'!$D$12*('Data Entry'!$O24^3))+('Temperature Corrections'!$D$13*('Data Entry'!$O24^4))+('Temperature Corrections'!$D$14*('Data Entry'!$O24^5)))/'Temperature Corrections'!$G$6</f>
        <v>4.2577139306457</v>
      </c>
      <c r="S24" s="11" t="n">
        <f aca="false">Q24*'Salinity Corrections'!$K$23/'Salinity Corrections'!$K$26</f>
        <v>50.8214190788127</v>
      </c>
      <c r="T24" s="11" t="n">
        <f aca="false">R24*('Salinity Corrections'!$K$22*'Salinity Corrections'!$I$22+'Salinity Corrections'!$I$23)/'Salinity Corrections'!$K$23</f>
        <v>4.26881375510043</v>
      </c>
      <c r="U24" s="14" t="n">
        <v>13</v>
      </c>
      <c r="V24" s="14" t="n">
        <f aca="false">S24--0.037*$U24</f>
        <v>51.3024190788127</v>
      </c>
      <c r="W24" s="14" t="n">
        <f aca="false">T24-'Drift correction'!D$4*$U24</f>
        <v>4.82710412499976</v>
      </c>
      <c r="X24" s="13" t="n">
        <f aca="false">V24/W24</f>
        <v>10.627990975607</v>
      </c>
    </row>
    <row r="25" customFormat="false" ht="14.9" hidden="false" customHeight="false" outlineLevel="0" collapsed="false">
      <c r="A25" s="4" t="n">
        <v>501</v>
      </c>
      <c r="B25" s="4" t="n">
        <v>111</v>
      </c>
      <c r="C25" s="4" t="s">
        <v>27</v>
      </c>
      <c r="D25" s="4" t="n">
        <v>67</v>
      </c>
      <c r="E25" s="4" t="s">
        <v>28</v>
      </c>
      <c r="F25" s="4" t="n">
        <v>1</v>
      </c>
      <c r="G25" s="4" t="n">
        <v>32</v>
      </c>
      <c r="H25" s="20" t="str">
        <f aca="false">CONCATENATE("M0",B25,"-",C25, "-",D25, "-",F25)</f>
        <v>M0111-B-67-1</v>
      </c>
      <c r="I25" s="24" t="n">
        <f aca="false">VLOOKUP(H27,'Depth vlookup'!G26:I1073,2,FALSE())+G27/100</f>
        <v>206.18</v>
      </c>
      <c r="J25" s="5" t="n">
        <v>1</v>
      </c>
      <c r="K25" s="26" t="n">
        <v>43</v>
      </c>
      <c r="L25" s="26" t="n">
        <v>21.1</v>
      </c>
      <c r="M25" s="5" t="n">
        <f aca="false">N25*1000</f>
        <v>4015</v>
      </c>
      <c r="N25" s="27" t="n">
        <v>4.015</v>
      </c>
      <c r="O25" s="28" t="n">
        <v>21.7</v>
      </c>
      <c r="P25" s="4" t="n">
        <v>6</v>
      </c>
      <c r="Q25" s="11" t="n">
        <f aca="false">K25*('Temperature Corrections'!$D$9+'Temperature Corrections'!$D$10*'Data Entry'!$L25+('Temperature Corrections'!$D$11*('Data Entry'!$L25^2))+('Temperature Corrections'!$D$12*('Data Entry'!$L25^3))+('Temperature Corrections'!$D$13*('Data Entry'!$L25^4))+('Temperature Corrections'!$D$14*('Data Entry'!$L25^5)))/'Temperature Corrections'!$G$6</f>
        <v>44.008931049453</v>
      </c>
      <c r="R25" s="11" t="n">
        <f aca="false">N25*('Temperature Corrections'!$D$9+'Temperature Corrections'!$D$10*'Data Entry'!$O25+('Temperature Corrections'!$D$11*('Data Entry'!$O25^2))+('Temperature Corrections'!$D$12*('Data Entry'!$O25^3))+('Temperature Corrections'!$D$13*('Data Entry'!$O25^4))+('Temperature Corrections'!$D$14*('Data Entry'!$O25^5)))/'Temperature Corrections'!$G$6</f>
        <v>4.16082566479903</v>
      </c>
      <c r="S25" s="11" t="n">
        <f aca="false">Q25*'Salinity Corrections'!$K$23/'Salinity Corrections'!$K$26</f>
        <v>50.7859869948628</v>
      </c>
      <c r="T25" s="11" t="n">
        <f aca="false">R25*('Salinity Corrections'!$K$22*'Salinity Corrections'!$I$22+'Salinity Corrections'!$I$23)/'Salinity Corrections'!$K$23</f>
        <v>4.1716729023585</v>
      </c>
      <c r="U25" s="14" t="n">
        <v>14</v>
      </c>
      <c r="V25" s="14" t="n">
        <f aca="false">S25--0.037*$U25</f>
        <v>51.3039869948628</v>
      </c>
      <c r="W25" s="14" t="n">
        <f aca="false">T25-'Drift correction'!D$4*$U25</f>
        <v>4.77290868532701</v>
      </c>
      <c r="X25" s="13" t="n">
        <f aca="false">V25/W25</f>
        <v>10.7489982267171</v>
      </c>
    </row>
    <row r="26" customFormat="false" ht="14.9" hidden="false" customHeight="false" outlineLevel="0" collapsed="false">
      <c r="A26" s="4" t="n">
        <v>501</v>
      </c>
      <c r="B26" s="4" t="n">
        <v>111</v>
      </c>
      <c r="C26" s="4" t="s">
        <v>27</v>
      </c>
      <c r="D26" s="4" t="n">
        <v>71</v>
      </c>
      <c r="E26" s="4" t="s">
        <v>28</v>
      </c>
      <c r="F26" s="4" t="n">
        <v>1</v>
      </c>
      <c r="G26" s="4" t="n">
        <v>3</v>
      </c>
      <c r="H26" s="20" t="str">
        <f aca="false">CONCATENATE("M0",B26,"-",C26, "-",D26, "-",F26)</f>
        <v>M0111-B-71-1</v>
      </c>
      <c r="I26" s="24" t="n">
        <f aca="false">VLOOKUP(H28,'Depth vlookup'!G27:I1074,2,FALSE())+G28/100</f>
        <v>234.14</v>
      </c>
      <c r="J26" s="5" t="n">
        <v>1</v>
      </c>
      <c r="K26" s="26" t="n">
        <v>43</v>
      </c>
      <c r="L26" s="26" t="n">
        <v>21.2</v>
      </c>
      <c r="M26" s="5" t="n">
        <f aca="false">N26*1000</f>
        <v>3383</v>
      </c>
      <c r="N26" s="27" t="n">
        <v>3.383</v>
      </c>
      <c r="O26" s="28" t="n">
        <v>20.5</v>
      </c>
      <c r="P26" s="4" t="n">
        <v>6</v>
      </c>
      <c r="Q26" s="11" t="n">
        <f aca="false">K26*('Temperature Corrections'!$D$9+'Temperature Corrections'!$D$10*'Data Entry'!$L26+('Temperature Corrections'!$D$11*('Data Entry'!$L26^2))+('Temperature Corrections'!$D$12*('Data Entry'!$L26^3))+('Temperature Corrections'!$D$13*('Data Entry'!$L26^4))+('Temperature Corrections'!$D$14*('Data Entry'!$L26^5)))/'Temperature Corrections'!$G$6</f>
        <v>44.1009516595742</v>
      </c>
      <c r="R26" s="11" t="n">
        <f aca="false">N26*('Temperature Corrections'!$D$9+'Temperature Corrections'!$D$10*'Data Entry'!$O26+('Temperature Corrections'!$D$11*('Data Entry'!$O26^2))+('Temperature Corrections'!$D$12*('Data Entry'!$O26^3))+('Temperature Corrections'!$D$13*('Data Entry'!$O26^4))+('Temperature Corrections'!$D$14*('Data Entry'!$O26^5)))/'Temperature Corrections'!$G$6</f>
        <v>3.4190204213634</v>
      </c>
      <c r="S26" s="11" t="n">
        <f aca="false">Q26*'Salinity Corrections'!$K$23/'Salinity Corrections'!$K$26</f>
        <v>50.8921781110166</v>
      </c>
      <c r="T26" s="11" t="n">
        <f aca="false">R26*('Salinity Corrections'!$K$22*'Salinity Corrections'!$I$22+'Salinity Corrections'!$I$23)/'Salinity Corrections'!$K$23</f>
        <v>3.42793377888399</v>
      </c>
      <c r="U26" s="14" t="n">
        <v>15</v>
      </c>
      <c r="V26" s="14" t="n">
        <f aca="false">S26--0.037*$U26</f>
        <v>51.4471781110166</v>
      </c>
      <c r="W26" s="14" t="n">
        <f aca="false">T26-'Drift correction'!D$4*$U26</f>
        <v>4.07211497492168</v>
      </c>
      <c r="X26" s="13" t="n">
        <f aca="false">V26/W26</f>
        <v>12.6340190362641</v>
      </c>
    </row>
    <row r="27" customFormat="false" ht="14.9" hidden="false" customHeight="false" outlineLevel="0" collapsed="false">
      <c r="A27" s="4" t="n">
        <v>501</v>
      </c>
      <c r="B27" s="4" t="n">
        <v>111</v>
      </c>
      <c r="C27" s="4" t="s">
        <v>27</v>
      </c>
      <c r="D27" s="4" t="n">
        <v>71</v>
      </c>
      <c r="E27" s="4" t="s">
        <v>28</v>
      </c>
      <c r="F27" s="4" t="n">
        <v>1</v>
      </c>
      <c r="G27" s="4" t="n">
        <v>7</v>
      </c>
      <c r="H27" s="20" t="str">
        <f aca="false">CONCATENATE("M0",B27,"-",C27, "-",D27, "-",F27)</f>
        <v>M0111-B-71-1</v>
      </c>
      <c r="I27" s="24" t="n">
        <f aca="false">VLOOKUP(H29,'Depth vlookup'!G28:I1075,2,FALSE())+G29/100</f>
        <v>234.16</v>
      </c>
      <c r="J27" s="5" t="n">
        <v>1</v>
      </c>
      <c r="K27" s="26" t="n">
        <v>43</v>
      </c>
      <c r="L27" s="26" t="n">
        <v>21.2</v>
      </c>
      <c r="M27" s="5" t="n">
        <f aca="false">N27*1000</f>
        <v>3524</v>
      </c>
      <c r="N27" s="27" t="n">
        <v>3.524</v>
      </c>
      <c r="O27" s="28" t="n">
        <v>20.4</v>
      </c>
      <c r="P27" s="4" t="n">
        <v>6</v>
      </c>
      <c r="Q27" s="11" t="n">
        <f aca="false">K27*('Temperature Corrections'!$D$9+'Temperature Corrections'!$D$10*'Data Entry'!$L27+('Temperature Corrections'!$D$11*('Data Entry'!$L27^2))+('Temperature Corrections'!$D$12*('Data Entry'!$L27^3))+('Temperature Corrections'!$D$13*('Data Entry'!$L27^4))+('Temperature Corrections'!$D$14*('Data Entry'!$L27^5)))/'Temperature Corrections'!$G$6</f>
        <v>44.1009516595742</v>
      </c>
      <c r="R27" s="11" t="n">
        <f aca="false">N27*('Temperature Corrections'!$D$9+'Temperature Corrections'!$D$10*'Data Entry'!$O27+('Temperature Corrections'!$D$11*('Data Entry'!$O27^2))+('Temperature Corrections'!$D$12*('Data Entry'!$O27^3))+('Temperature Corrections'!$D$13*('Data Entry'!$O27^4))+('Temperature Corrections'!$D$14*('Data Entry'!$O27^5)))/'Temperature Corrections'!$G$6</f>
        <v>3.55400887178889</v>
      </c>
      <c r="S27" s="11" t="n">
        <f aca="false">Q27*'Salinity Corrections'!$K$23/'Salinity Corrections'!$K$26</f>
        <v>50.8921781110166</v>
      </c>
      <c r="T27" s="11" t="n">
        <f aca="false">R27*('Salinity Corrections'!$K$22*'Salinity Corrections'!$I$22+'Salinity Corrections'!$I$23)/'Salinity Corrections'!$K$23</f>
        <v>3.56327414306592</v>
      </c>
      <c r="U27" s="14" t="n">
        <v>16</v>
      </c>
      <c r="V27" s="14" t="n">
        <f aca="false">S27--0.037*$U27</f>
        <v>51.4841781110166</v>
      </c>
      <c r="W27" s="14" t="n">
        <f aca="false">T27-'Drift correction'!D$4*$U27</f>
        <v>4.25040075217279</v>
      </c>
      <c r="X27" s="13" t="n">
        <f aca="false">V27/W27</f>
        <v>12.1127820911235</v>
      </c>
    </row>
    <row r="28" s="42" customFormat="true" ht="14.9" hidden="false" customHeight="false" outlineLevel="0" collapsed="false">
      <c r="A28" s="4" t="n">
        <v>501</v>
      </c>
      <c r="B28" s="4" t="n">
        <v>111</v>
      </c>
      <c r="C28" s="4" t="s">
        <v>27</v>
      </c>
      <c r="D28" s="4" t="n">
        <v>87</v>
      </c>
      <c r="E28" s="4" t="s">
        <v>28</v>
      </c>
      <c r="F28" s="4" t="n">
        <v>1</v>
      </c>
      <c r="G28" s="4" t="n">
        <v>41</v>
      </c>
      <c r="H28" s="20" t="str">
        <f aca="false">CONCATENATE("M0",B28,"-",C28, "-",D28, "-",F28)</f>
        <v>M0111-B-87-1</v>
      </c>
      <c r="I28" s="24" t="n">
        <f aca="false">VLOOKUP(H30,'Depth vlookup'!G29:I1076,2,FALSE())+G30/100</f>
        <v>245.69</v>
      </c>
      <c r="J28" s="5" t="n">
        <v>1</v>
      </c>
      <c r="K28" s="26" t="n">
        <v>42.75</v>
      </c>
      <c r="L28" s="40" t="n">
        <v>21.1</v>
      </c>
      <c r="M28" s="5" t="n">
        <f aca="false">N28*1000</f>
        <v>2463</v>
      </c>
      <c r="N28" s="27" t="n">
        <v>2.463</v>
      </c>
      <c r="O28" s="28" t="n">
        <v>18.9</v>
      </c>
      <c r="P28" s="41" t="n">
        <v>6</v>
      </c>
      <c r="Q28" s="11" t="n">
        <f aca="false">K28*('Temperature Corrections'!$D$9+'Temperature Corrections'!$D$10*'Data Entry'!$L28+('Temperature Corrections'!$D$11*('Data Entry'!$L28^2))+('Temperature Corrections'!$D$12*('Data Entry'!$L28^3))+('Temperature Corrections'!$D$13*('Data Entry'!$L28^4))+('Temperature Corrections'!$D$14*('Data Entry'!$L28^5)))/'Temperature Corrections'!$G$6</f>
        <v>43.7530651712585</v>
      </c>
      <c r="R28" s="11" t="n">
        <f aca="false">N28*('Temperature Corrections'!$D$9+'Temperature Corrections'!$D$10*'Data Entry'!$O28+('Temperature Corrections'!$D$11*('Data Entry'!$O28^2))+('Temperature Corrections'!$D$12*('Data Entry'!$O28^3))+('Temperature Corrections'!$D$13*('Data Entry'!$O28^4))+('Temperature Corrections'!$D$14*('Data Entry'!$O28^5)))/'Temperature Corrections'!$G$6</f>
        <v>2.40557763711765</v>
      </c>
      <c r="S28" s="11" t="n">
        <f aca="false">Q28*'Salinity Corrections'!$K$23/'Salinity Corrections'!$K$26</f>
        <v>50.4907196286136</v>
      </c>
      <c r="T28" s="11" t="n">
        <f aca="false">R28*('Salinity Corrections'!$K$22*'Salinity Corrections'!$I$22+'Salinity Corrections'!$I$23)/'Salinity Corrections'!$K$23</f>
        <v>2.41184895781208</v>
      </c>
      <c r="U28" s="14" t="n">
        <v>17</v>
      </c>
      <c r="V28" s="14" t="n">
        <f aca="false">S28--0.037*$U28</f>
        <v>51.1197196286136</v>
      </c>
      <c r="W28" s="14" t="n">
        <f aca="false">T28-'Drift correction'!D$4*$U28</f>
        <v>3.14192097998813</v>
      </c>
      <c r="X28" s="13" t="n">
        <f aca="false">V28/W28</f>
        <v>16.2702117444108</v>
      </c>
      <c r="Y28" s="5"/>
      <c r="Z28" s="5"/>
      <c r="AA28" s="5"/>
      <c r="AB28" s="5"/>
      <c r="AC28" s="5"/>
      <c r="AD28" s="5"/>
    </row>
    <row r="29" customFormat="false" ht="14.9" hidden="false" customHeight="false" outlineLevel="0" collapsed="false">
      <c r="A29" s="4" t="n">
        <v>501</v>
      </c>
      <c r="B29" s="4" t="n">
        <v>111</v>
      </c>
      <c r="C29" s="4" t="s">
        <v>27</v>
      </c>
      <c r="D29" s="4" t="n">
        <v>87</v>
      </c>
      <c r="E29" s="4" t="s">
        <v>28</v>
      </c>
      <c r="F29" s="4" t="n">
        <v>1</v>
      </c>
      <c r="G29" s="4" t="n">
        <v>43</v>
      </c>
      <c r="H29" s="20" t="str">
        <f aca="false">CONCATENATE("M0",B29,"-",C29, "-",D29, "-",F29)</f>
        <v>M0111-B-87-1</v>
      </c>
      <c r="I29" s="24" t="n">
        <f aca="false">VLOOKUP(H31,'Depth vlookup'!G30:I1077,2,FALSE())+G31/100</f>
        <v>245.71</v>
      </c>
      <c r="J29" s="5" t="n">
        <v>1</v>
      </c>
      <c r="K29" s="26" t="n">
        <v>42.75</v>
      </c>
      <c r="L29" s="40" t="n">
        <v>21.1</v>
      </c>
      <c r="M29" s="5" t="n">
        <f aca="false">N29*1000</f>
        <v>2319</v>
      </c>
      <c r="N29" s="43" t="n">
        <v>2.319</v>
      </c>
      <c r="O29" s="28" t="n">
        <v>19</v>
      </c>
      <c r="P29" s="41" t="n">
        <v>6</v>
      </c>
      <c r="Q29" s="11" t="n">
        <f aca="false">K29*('Temperature Corrections'!$D$9+'Temperature Corrections'!$D$10*'Data Entry'!$L29+('Temperature Corrections'!$D$11*('Data Entry'!$L29^2))+('Temperature Corrections'!$D$12*('Data Entry'!$L29^3))+('Temperature Corrections'!$D$13*('Data Entry'!$L29^4))+('Temperature Corrections'!$D$14*('Data Entry'!$L29^5)))/'Temperature Corrections'!$G$6</f>
        <v>43.7530651712585</v>
      </c>
      <c r="R29" s="11" t="n">
        <f aca="false">N29*('Temperature Corrections'!$D$9+'Temperature Corrections'!$D$10*'Data Entry'!$O29+('Temperature Corrections'!$D$11*('Data Entry'!$O29^2))+('Temperature Corrections'!$D$12*('Data Entry'!$O29^3))+('Temperature Corrections'!$D$13*('Data Entry'!$O29^4))+('Temperature Corrections'!$D$14*('Data Entry'!$O29^5)))/'Temperature Corrections'!$G$6</f>
        <v>2.26983473815743</v>
      </c>
      <c r="S29" s="11" t="n">
        <f aca="false">Q29*'Salinity Corrections'!$K$23/'Salinity Corrections'!$K$26</f>
        <v>50.4907196286136</v>
      </c>
      <c r="T29" s="11" t="n">
        <f aca="false">R29*('Salinity Corrections'!$K$22*'Salinity Corrections'!$I$22+'Salinity Corrections'!$I$23)/'Salinity Corrections'!$K$23</f>
        <v>2.27575217825443</v>
      </c>
      <c r="U29" s="14" t="n">
        <v>18</v>
      </c>
      <c r="V29" s="14" t="n">
        <f aca="false">S29--0.037*$U29</f>
        <v>51.1567196286136</v>
      </c>
      <c r="W29" s="14" t="n">
        <f aca="false">T29-'Drift correction'!D$4*$U29</f>
        <v>3.04876961349966</v>
      </c>
      <c r="X29" s="13" t="n">
        <f aca="false">V29/W29</f>
        <v>16.7794638867091</v>
      </c>
    </row>
    <row r="30" customFormat="false" ht="14.9" hidden="false" customHeight="false" outlineLevel="0" collapsed="false">
      <c r="A30" s="41" t="n">
        <v>501</v>
      </c>
      <c r="B30" s="41" t="n">
        <v>111</v>
      </c>
      <c r="C30" s="4" t="s">
        <v>27</v>
      </c>
      <c r="D30" s="4" t="n">
        <v>93</v>
      </c>
      <c r="E30" s="4" t="s">
        <v>28</v>
      </c>
      <c r="F30" s="4" t="n">
        <v>1</v>
      </c>
      <c r="G30" s="4" t="n">
        <v>41</v>
      </c>
      <c r="H30" s="20" t="str">
        <f aca="false">CONCATENATE("M0",B30,"-",C30, "-",D30, "-",F30)</f>
        <v>M0111-B-93-1</v>
      </c>
      <c r="I30" s="24" t="n">
        <f aca="false">VLOOKUP(H32,'Depth vlookup'!G31:I1078,2,FALSE())+G32/100</f>
        <v>265.16</v>
      </c>
      <c r="J30" s="5" t="n">
        <v>1</v>
      </c>
      <c r="K30" s="26" t="n">
        <v>42.05</v>
      </c>
      <c r="L30" s="26" t="n">
        <v>20.6</v>
      </c>
      <c r="M30" s="5" t="n">
        <f aca="false">N30*1000</f>
        <v>4183</v>
      </c>
      <c r="N30" s="43" t="n">
        <v>4.183</v>
      </c>
      <c r="O30" s="28" t="n">
        <v>20.6</v>
      </c>
      <c r="P30" s="4" t="n">
        <v>6</v>
      </c>
      <c r="Q30" s="11" t="n">
        <f aca="false">K30*('Temperature Corrections'!$D$9+'Temperature Corrections'!$D$10*'Data Entry'!$L30+('Temperature Corrections'!$D$11*('Data Entry'!$L30^2))+('Temperature Corrections'!$D$12*('Data Entry'!$L30^3))+('Temperature Corrections'!$D$13*('Data Entry'!$L30^4))+('Temperature Corrections'!$D$14*('Data Entry'!$L30^5)))/'Temperature Corrections'!$G$6</f>
        <v>42.5874231280175</v>
      </c>
      <c r="R30" s="11" t="n">
        <f aca="false">N30*('Temperature Corrections'!$D$9+'Temperature Corrections'!$D$10*'Data Entry'!$O30+('Temperature Corrections'!$D$11*('Data Entry'!$O30^2))+('Temperature Corrections'!$D$12*('Data Entry'!$O30^3))+('Temperature Corrections'!$D$13*('Data Entry'!$O30^4))+('Temperature Corrections'!$D$14*('Data Entry'!$O30^5)))/'Temperature Corrections'!$G$6</f>
        <v>4.2364611401783</v>
      </c>
      <c r="S30" s="11" t="n">
        <f aca="false">Q30*'Salinity Corrections'!$K$23/'Salinity Corrections'!$K$26</f>
        <v>49.1455771714569</v>
      </c>
      <c r="T30" s="11" t="n">
        <f aca="false">R30*('Salinity Corrections'!$K$22*'Salinity Corrections'!$I$22+'Salinity Corrections'!$I$23)/'Salinity Corrections'!$K$23</f>
        <v>4.24750555878679</v>
      </c>
      <c r="U30" s="14" t="n">
        <v>19</v>
      </c>
      <c r="V30" s="14" t="n">
        <f aca="false">S30--0.037*$U30</f>
        <v>49.8485771714569</v>
      </c>
      <c r="W30" s="14" t="n">
        <f aca="false">T30-'Drift correction'!D$4*$U30</f>
        <v>5.0634684071012</v>
      </c>
      <c r="X30" s="13" t="n">
        <f aca="false">V30/W30</f>
        <v>9.84474932272658</v>
      </c>
      <c r="Y30" s="42"/>
      <c r="Z30" s="42"/>
      <c r="AA30" s="42"/>
      <c r="AB30" s="42"/>
      <c r="AC30" s="42"/>
      <c r="AD30" s="42"/>
    </row>
    <row r="31" customFormat="false" ht="14.9" hidden="false" customHeight="false" outlineLevel="0" collapsed="false">
      <c r="A31" s="41" t="n">
        <v>501</v>
      </c>
      <c r="B31" s="41" t="n">
        <v>111</v>
      </c>
      <c r="C31" s="4" t="s">
        <v>27</v>
      </c>
      <c r="D31" s="4" t="n">
        <v>93</v>
      </c>
      <c r="E31" s="4" t="s">
        <v>28</v>
      </c>
      <c r="F31" s="4" t="n">
        <v>1</v>
      </c>
      <c r="G31" s="4" t="n">
        <v>43</v>
      </c>
      <c r="H31" s="20" t="str">
        <f aca="false">CONCATENATE("M0",B31,"-",C31, "-",D31, "-",F31)</f>
        <v>M0111-B-93-1</v>
      </c>
      <c r="I31" s="24" t="n">
        <f aca="false">VLOOKUP(H33,'Depth vlookup'!G32:I1079,2,FALSE())+G33/100</f>
        <v>265.19</v>
      </c>
      <c r="J31" s="5" t="n">
        <v>1</v>
      </c>
      <c r="K31" s="25" t="n">
        <v>42.1</v>
      </c>
      <c r="L31" s="26" t="n">
        <v>20.6</v>
      </c>
      <c r="M31" s="5" t="n">
        <f aca="false">N31*1000</f>
        <v>3477</v>
      </c>
      <c r="N31" s="43" t="n">
        <v>3.477</v>
      </c>
      <c r="O31" s="28" t="n">
        <v>20.4</v>
      </c>
      <c r="P31" s="4" t="n">
        <v>6</v>
      </c>
      <c r="Q31" s="11" t="n">
        <f aca="false">K31*('Temperature Corrections'!$D$9+'Temperature Corrections'!$D$10*'Data Entry'!$L31+('Temperature Corrections'!$D$11*('Data Entry'!$L31^2))+('Temperature Corrections'!$D$12*('Data Entry'!$L31^3))+('Temperature Corrections'!$D$13*('Data Entry'!$L31^4))+('Temperature Corrections'!$D$14*('Data Entry'!$L31^5)))/'Temperature Corrections'!$G$6</f>
        <v>42.6380621567072</v>
      </c>
      <c r="R31" s="11" t="n">
        <f aca="false">N31*('Temperature Corrections'!$D$9+'Temperature Corrections'!$D$10*'Data Entry'!$O31+('Temperature Corrections'!$D$11*('Data Entry'!$O31^2))+('Temperature Corrections'!$D$12*('Data Entry'!$O31^3))+('Temperature Corrections'!$D$13*('Data Entry'!$O31^4))+('Temperature Corrections'!$D$14*('Data Entry'!$O31^5)))/'Temperature Corrections'!$G$6</f>
        <v>3.50660863995743</v>
      </c>
      <c r="S31" s="11" t="n">
        <f aca="false">Q31*'Salinity Corrections'!$K$23/'Salinity Corrections'!$K$26</f>
        <v>49.2040142430044</v>
      </c>
      <c r="T31" s="11" t="n">
        <f aca="false">R31*('Salinity Corrections'!$K$22*'Salinity Corrections'!$I$22+'Salinity Corrections'!$I$23)/'Salinity Corrections'!$K$23</f>
        <v>3.51575033922821</v>
      </c>
      <c r="U31" s="14" t="n">
        <v>20</v>
      </c>
      <c r="V31" s="14" t="n">
        <f aca="false">S31--0.037*$U31</f>
        <v>49.9440142430044</v>
      </c>
      <c r="W31" s="14" t="n">
        <f aca="false">T31-'Drift correction'!D$4*$U31</f>
        <v>4.3746586006118</v>
      </c>
      <c r="X31" s="13" t="n">
        <f aca="false">V31/W31</f>
        <v>11.4166655738621</v>
      </c>
    </row>
    <row r="32" customFormat="false" ht="14.9" hidden="false" customHeight="false" outlineLevel="0" collapsed="false">
      <c r="A32" s="4" t="n">
        <v>501</v>
      </c>
      <c r="B32" s="4" t="n">
        <v>111</v>
      </c>
      <c r="C32" s="4" t="s">
        <v>27</v>
      </c>
      <c r="D32" s="4" t="n">
        <v>102</v>
      </c>
      <c r="E32" s="4" t="s">
        <v>28</v>
      </c>
      <c r="F32" s="4" t="n">
        <v>1</v>
      </c>
      <c r="G32" s="4" t="n">
        <v>13</v>
      </c>
      <c r="H32" s="5" t="str">
        <f aca="false">CONCATENATE("M0",B32,"-",C32, "-",D32, "-",F32)</f>
        <v>M0111-B-102-1</v>
      </c>
      <c r="I32" s="24" t="n">
        <f aca="false">VLOOKUP(H34,'Depth vlookup'!G33:I1080,2,FALSE())+G34/100</f>
        <v>281.91</v>
      </c>
      <c r="J32" s="5" t="n">
        <v>1</v>
      </c>
      <c r="K32" s="25" t="n">
        <v>43.22</v>
      </c>
      <c r="L32" s="26" t="n">
        <v>21</v>
      </c>
      <c r="M32" s="5" t="n">
        <f aca="false">N32*1000</f>
        <v>2387</v>
      </c>
      <c r="N32" s="43" t="n">
        <v>2.387</v>
      </c>
      <c r="O32" s="28" t="n">
        <v>20.2</v>
      </c>
      <c r="P32" s="4" t="n">
        <v>6</v>
      </c>
      <c r="Q32" s="11" t="n">
        <f aca="false">K32*('Temperature Corrections'!$D$9+'Temperature Corrections'!$D$10*'Data Entry'!$L32+('Temperature Corrections'!$D$11*('Data Entry'!$L32^2))+('Temperature Corrections'!$D$12*('Data Entry'!$L32^3))+('Temperature Corrections'!$D$13*('Data Entry'!$L32^4))+('Temperature Corrections'!$D$14*('Data Entry'!$L32^5)))/'Temperature Corrections'!$G$6</f>
        <v>44.1416504272704</v>
      </c>
      <c r="R32" s="11" t="n">
        <f aca="false">N32*('Temperature Corrections'!$D$9+'Temperature Corrections'!$D$10*'Data Entry'!$O32+('Temperature Corrections'!$D$11*('Data Entry'!$O32^2))+('Temperature Corrections'!$D$12*('Data Entry'!$O32^3))+('Temperature Corrections'!$D$13*('Data Entry'!$O32^4))+('Temperature Corrections'!$D$14*('Data Entry'!$O32^5)))/'Temperature Corrections'!$G$6</f>
        <v>2.39715752919077</v>
      </c>
      <c r="S32" s="11" t="n">
        <f aca="false">Q32*'Salinity Corrections'!$K$23/'Salinity Corrections'!$K$26</f>
        <v>50.9391441935284</v>
      </c>
      <c r="T32" s="11" t="n">
        <f aca="false">R32*('Salinity Corrections'!$K$22*'Salinity Corrections'!$I$22+'Salinity Corrections'!$I$23)/'Salinity Corrections'!$K$23</f>
        <v>2.40340689873456</v>
      </c>
      <c r="U32" s="14" t="n">
        <v>21</v>
      </c>
      <c r="V32" s="14" t="n">
        <f aca="false">S32--0.037*$U32</f>
        <v>51.7161441935284</v>
      </c>
      <c r="W32" s="14" t="n">
        <f aca="false">T32-'Drift correction'!D$4*$U32</f>
        <v>3.30526057318733</v>
      </c>
      <c r="X32" s="13" t="n">
        <f aca="false">V32/W32</f>
        <v>15.646616370599</v>
      </c>
    </row>
    <row r="33" customFormat="false" ht="14.9" hidden="false" customHeight="false" outlineLevel="0" collapsed="false">
      <c r="A33" s="4" t="n">
        <v>501</v>
      </c>
      <c r="B33" s="4" t="n">
        <v>111</v>
      </c>
      <c r="C33" s="4" t="s">
        <v>27</v>
      </c>
      <c r="D33" s="4" t="n">
        <v>102</v>
      </c>
      <c r="E33" s="4" t="s">
        <v>28</v>
      </c>
      <c r="F33" s="4" t="n">
        <v>1</v>
      </c>
      <c r="G33" s="4" t="n">
        <v>16</v>
      </c>
      <c r="H33" s="5" t="str">
        <f aca="false">CONCATENATE("M0",B33,"-",C33, "-",D33, "-",F33)</f>
        <v>M0111-B-102-1</v>
      </c>
      <c r="I33" s="24" t="n">
        <f aca="false">VLOOKUP(H35,'Depth vlookup'!G34:I1081,2,FALSE())+G35/100</f>
        <v>281.93</v>
      </c>
      <c r="J33" s="5" t="n">
        <v>1</v>
      </c>
      <c r="K33" s="25" t="n">
        <v>43.22</v>
      </c>
      <c r="L33" s="26" t="n">
        <v>21</v>
      </c>
      <c r="M33" s="5" t="n">
        <f aca="false">N33*1000</f>
        <v>2541</v>
      </c>
      <c r="N33" s="43" t="n">
        <v>2.541</v>
      </c>
      <c r="O33" s="28" t="n">
        <v>20.1</v>
      </c>
      <c r="P33" s="4" t="n">
        <v>6</v>
      </c>
      <c r="Q33" s="11" t="n">
        <f aca="false">K33*('Temperature Corrections'!$D$9+'Temperature Corrections'!$D$10*'Data Entry'!$L33+('Temperature Corrections'!$D$11*('Data Entry'!$L33^2))+('Temperature Corrections'!$D$12*('Data Entry'!$L33^3))+('Temperature Corrections'!$D$13*('Data Entry'!$L33^4))+('Temperature Corrections'!$D$14*('Data Entry'!$L33^5)))/'Temperature Corrections'!$G$6</f>
        <v>44.1416504272704</v>
      </c>
      <c r="R33" s="11" t="n">
        <f aca="false">N33*('Temperature Corrections'!$D$9+'Temperature Corrections'!$D$10*'Data Entry'!$O33+('Temperature Corrections'!$D$11*('Data Entry'!$O33^2))+('Temperature Corrections'!$D$12*('Data Entry'!$O33^3))+('Temperature Corrections'!$D$13*('Data Entry'!$O33^4))+('Temperature Corrections'!$D$14*('Data Entry'!$O33^5)))/'Temperature Corrections'!$G$6</f>
        <v>2.5464048696237</v>
      </c>
      <c r="S33" s="11" t="n">
        <f aca="false">Q33*'Salinity Corrections'!$K$23/'Salinity Corrections'!$K$26</f>
        <v>50.9391441935284</v>
      </c>
      <c r="T33" s="11" t="n">
        <f aca="false">R33*('Salinity Corrections'!$K$22*'Salinity Corrections'!$I$22+'Salinity Corrections'!$I$23)/'Salinity Corrections'!$K$23</f>
        <v>2.5530433257304</v>
      </c>
      <c r="U33" s="14" t="n">
        <v>22</v>
      </c>
      <c r="V33" s="14" t="n">
        <f aca="false">S33--0.037*$U33</f>
        <v>51.7531441935284</v>
      </c>
      <c r="W33" s="14" t="n">
        <f aca="false">T33-'Drift correction'!D$4*$U33</f>
        <v>3.49784241325235</v>
      </c>
      <c r="X33" s="13" t="n">
        <f aca="false">V33/W33</f>
        <v>14.7957335063038</v>
      </c>
    </row>
    <row r="34" customFormat="false" ht="14.9" hidden="false" customHeight="false" outlineLevel="0" collapsed="false">
      <c r="A34" s="4" t="n">
        <v>501</v>
      </c>
      <c r="B34" s="4" t="n">
        <v>111</v>
      </c>
      <c r="C34" s="4" t="s">
        <v>27</v>
      </c>
      <c r="D34" s="4" t="n">
        <v>114</v>
      </c>
      <c r="E34" s="4" t="s">
        <v>28</v>
      </c>
      <c r="F34" s="4" t="n">
        <v>1</v>
      </c>
      <c r="G34" s="4" t="n">
        <v>38</v>
      </c>
      <c r="H34" s="5" t="str">
        <f aca="false">CONCATENATE("M0",B34,"-",C34, "-",D34, "-",F34)</f>
        <v>M0111-B-114-1</v>
      </c>
      <c r="I34" s="24" t="n">
        <f aca="false">VLOOKUP(H36,'Depth vlookup'!G35:I1082,2,FALSE())+G36/100</f>
        <v>307.4</v>
      </c>
      <c r="J34" s="5" t="n">
        <v>1</v>
      </c>
      <c r="K34" s="25" t="n">
        <v>42.42</v>
      </c>
      <c r="L34" s="26" t="n">
        <v>21.1</v>
      </c>
      <c r="M34" s="5" t="n">
        <f aca="false">N34*1000</f>
        <v>3927</v>
      </c>
      <c r="N34" s="43" t="n">
        <v>3.927</v>
      </c>
      <c r="O34" s="28" t="n">
        <v>18.1</v>
      </c>
      <c r="P34" s="4" t="n">
        <v>6</v>
      </c>
      <c r="Q34" s="11" t="n">
        <f aca="false">K34*('Temperature Corrections'!$D$9+'Temperature Corrections'!$D$10*'Data Entry'!$L34+('Temperature Corrections'!$D$11*('Data Entry'!$L34^2))+('Temperature Corrections'!$D$12*('Data Entry'!$L34^3))+('Temperature Corrections'!$D$13*('Data Entry'!$L34^4))+('Temperature Corrections'!$D$14*('Data Entry'!$L34^5)))/'Temperature Corrections'!$G$6</f>
        <v>43.4153222120418</v>
      </c>
      <c r="R34" s="11" t="n">
        <f aca="false">N34*('Temperature Corrections'!$D$9+'Temperature Corrections'!$D$10*'Data Entry'!$O34+('Temperature Corrections'!$D$11*('Data Entry'!$O34^2))+('Temperature Corrections'!$D$12*('Data Entry'!$O34^3))+('Temperature Corrections'!$D$13*('Data Entry'!$O34^4))+('Temperature Corrections'!$D$14*('Data Entry'!$O34^5)))/'Temperature Corrections'!$G$6</f>
        <v>3.76925943032533</v>
      </c>
      <c r="S34" s="11" t="n">
        <f aca="false">Q34*'Salinity Corrections'!$K$23/'Salinity Corrections'!$K$26</f>
        <v>50.1009667051646</v>
      </c>
      <c r="T34" s="11" t="n">
        <f aca="false">R34*('Salinity Corrections'!$K$22*'Salinity Corrections'!$I$22+'Salinity Corrections'!$I$23)/'Salinity Corrections'!$K$23</f>
        <v>3.77908585800048</v>
      </c>
      <c r="U34" s="14" t="n">
        <v>23</v>
      </c>
      <c r="V34" s="14" t="n">
        <f aca="false">S34--0.037*$U34</f>
        <v>50.9519667051646</v>
      </c>
      <c r="W34" s="14" t="n">
        <f aca="false">T34-'Drift correction'!D$4*$U34</f>
        <v>4.7668303585916</v>
      </c>
      <c r="X34" s="13" t="n">
        <f aca="false">V34/W34</f>
        <v>10.6888567186643</v>
      </c>
    </row>
    <row r="35" customFormat="false" ht="14.9" hidden="false" customHeight="false" outlineLevel="0" collapsed="false">
      <c r="A35" s="4" t="n">
        <v>501</v>
      </c>
      <c r="B35" s="4" t="n">
        <v>111</v>
      </c>
      <c r="C35" s="4" t="s">
        <v>27</v>
      </c>
      <c r="D35" s="4" t="n">
        <v>114</v>
      </c>
      <c r="E35" s="4" t="s">
        <v>28</v>
      </c>
      <c r="F35" s="4" t="n">
        <v>1</v>
      </c>
      <c r="G35" s="4" t="n">
        <v>40</v>
      </c>
      <c r="H35" s="5" t="str">
        <f aca="false">CONCATENATE("M0",B35,"-",C35, "-",D35, "-",F35)</f>
        <v>M0111-B-114-1</v>
      </c>
      <c r="I35" s="24" t="n">
        <f aca="false">VLOOKUP(H37,'Depth vlookup'!G36:I1083,2,FALSE())+G37/100</f>
        <v>307.38</v>
      </c>
      <c r="J35" s="5" t="n">
        <v>1</v>
      </c>
      <c r="K35" s="25" t="n">
        <v>42.42</v>
      </c>
      <c r="L35" s="26" t="n">
        <v>21.1</v>
      </c>
      <c r="M35" s="5" t="n">
        <f aca="false">N35*1000</f>
        <v>3777</v>
      </c>
      <c r="N35" s="43" t="n">
        <v>3.777</v>
      </c>
      <c r="O35" s="28" t="n">
        <v>18.3</v>
      </c>
      <c r="P35" s="4" t="n">
        <v>6</v>
      </c>
      <c r="Q35" s="11" t="n">
        <f aca="false">K35*('Temperature Corrections'!$D$9+'Temperature Corrections'!$D$10*'Data Entry'!$L35+('Temperature Corrections'!$D$11*('Data Entry'!$L35^2))+('Temperature Corrections'!$D$12*('Data Entry'!$L35^3))+('Temperature Corrections'!$D$13*('Data Entry'!$L35^4))+('Temperature Corrections'!$D$14*('Data Entry'!$L35^5)))/'Temperature Corrections'!$G$6</f>
        <v>43.4153222120418</v>
      </c>
      <c r="R35" s="11" t="n">
        <f aca="false">N35*('Temperature Corrections'!$D$9+'Temperature Corrections'!$D$10*'Data Entry'!$O35+('Temperature Corrections'!$D$11*('Data Entry'!$O35^2))+('Temperature Corrections'!$D$12*('Data Entry'!$O35^3))+('Temperature Corrections'!$D$13*('Data Entry'!$O35^4))+('Temperature Corrections'!$D$14*('Data Entry'!$O35^5)))/'Temperature Corrections'!$G$6</f>
        <v>3.64116775044594</v>
      </c>
      <c r="S35" s="11" t="n">
        <f aca="false">Q35*'Salinity Corrections'!$K$23/'Salinity Corrections'!$K$26</f>
        <v>50.1009667051646</v>
      </c>
      <c r="T35" s="11" t="n">
        <f aca="false">R35*('Salinity Corrections'!$K$22*'Salinity Corrections'!$I$22+'Salinity Corrections'!$I$23)/'Salinity Corrections'!$K$23</f>
        <v>3.65066024418754</v>
      </c>
      <c r="U35" s="14" t="n">
        <v>24</v>
      </c>
      <c r="V35" s="14" t="n">
        <f aca="false">S35--0.037*$U35</f>
        <v>50.9889667051646</v>
      </c>
      <c r="W35" s="14" t="n">
        <f aca="false">T35-'Drift correction'!D$4*$U35</f>
        <v>4.68135015784784</v>
      </c>
      <c r="X35" s="13" t="n">
        <f aca="false">V35/W35</f>
        <v>10.8919360837998</v>
      </c>
    </row>
    <row r="36" customFormat="false" ht="14.9" hidden="false" customHeight="false" outlineLevel="0" collapsed="false">
      <c r="A36" s="4" t="n">
        <v>501</v>
      </c>
      <c r="B36" s="4" t="n">
        <v>111</v>
      </c>
      <c r="C36" s="4" t="s">
        <v>27</v>
      </c>
      <c r="D36" s="4" t="n">
        <v>126</v>
      </c>
      <c r="E36" s="4" t="s">
        <v>28</v>
      </c>
      <c r="F36" s="4" t="n">
        <v>1</v>
      </c>
      <c r="G36" s="4" t="n">
        <v>32</v>
      </c>
      <c r="H36" s="5" t="str">
        <f aca="false">CONCATENATE("M0",B36,"-",C36, "-",D36, "-",F36)</f>
        <v>M0111-B-126-1</v>
      </c>
      <c r="I36" s="24" t="n">
        <f aca="false">VLOOKUP(H38,'Depth vlookup'!G37:I1084,2,FALSE())+G38/100</f>
        <v>316.13</v>
      </c>
      <c r="J36" s="5" t="n">
        <v>1</v>
      </c>
      <c r="K36" s="25" t="n">
        <v>41.86</v>
      </c>
      <c r="L36" s="26" t="n">
        <v>20.7</v>
      </c>
      <c r="M36" s="5" t="n">
        <f aca="false">N36*1000</f>
        <v>3483</v>
      </c>
      <c r="N36" s="43" t="n">
        <v>3.483</v>
      </c>
      <c r="O36" s="28" t="n">
        <v>17.6</v>
      </c>
      <c r="P36" s="4" t="n">
        <v>6</v>
      </c>
      <c r="Q36" s="11" t="n">
        <f aca="false">K36*('Temperature Corrections'!$D$9+'Temperature Corrections'!$D$10*'Data Entry'!$L36+('Temperature Corrections'!$D$11*('Data Entry'!$L36^2))+('Temperature Corrections'!$D$12*('Data Entry'!$L36^3))+('Temperature Corrections'!$D$13*('Data Entry'!$L36^4))+('Temperature Corrections'!$D$14*('Data Entry'!$L36^5)))/'Temperature Corrections'!$G$6</f>
        <v>42.4843354410366</v>
      </c>
      <c r="R36" s="11" t="n">
        <f aca="false">N36*('Temperature Corrections'!$D$9+'Temperature Corrections'!$D$10*'Data Entry'!$O36+('Temperature Corrections'!$D$11*('Data Entry'!$O36^2))+('Temperature Corrections'!$D$12*('Data Entry'!$O36^3))+('Temperature Corrections'!$D$13*('Data Entry'!$O36^4))+('Temperature Corrections'!$D$14*('Data Entry'!$O36^5)))/'Temperature Corrections'!$G$6</f>
        <v>3.3065645612867</v>
      </c>
      <c r="S36" s="11" t="n">
        <f aca="false">Q36*'Salinity Corrections'!$K$23/'Salinity Corrections'!$K$26</f>
        <v>49.0266147289367</v>
      </c>
      <c r="T36" s="11" t="n">
        <f aca="false">R36*('Salinity Corrections'!$K$22*'Salinity Corrections'!$I$22+'Salinity Corrections'!$I$23)/'Salinity Corrections'!$K$23</f>
        <v>3.31518474732464</v>
      </c>
      <c r="U36" s="14" t="n">
        <v>25</v>
      </c>
      <c r="V36" s="14" t="n">
        <f aca="false">S36--0.037*$U36</f>
        <v>49.9516147289367</v>
      </c>
      <c r="W36" s="14" t="n">
        <f aca="false">T36-'Drift correction'!D$4*$U36</f>
        <v>4.38882007405412</v>
      </c>
      <c r="X36" s="13" t="n">
        <f aca="false">V36/W36</f>
        <v>11.3815590263637</v>
      </c>
    </row>
    <row r="37" customFormat="false" ht="14.9" hidden="false" customHeight="false" outlineLevel="0" collapsed="false">
      <c r="A37" s="4" t="n">
        <v>501</v>
      </c>
      <c r="B37" s="4" t="n">
        <v>111</v>
      </c>
      <c r="C37" s="4" t="s">
        <v>27</v>
      </c>
      <c r="D37" s="4" t="n">
        <v>126</v>
      </c>
      <c r="E37" s="4" t="s">
        <v>28</v>
      </c>
      <c r="F37" s="4" t="n">
        <v>1</v>
      </c>
      <c r="G37" s="4" t="n">
        <v>30</v>
      </c>
      <c r="H37" s="5" t="str">
        <f aca="false">CONCATENATE("M0",B37,"-",C37, "-",D37, "-",F37)</f>
        <v>M0111-B-126-1</v>
      </c>
      <c r="I37" s="24" t="n">
        <f aca="false">VLOOKUP(H39,'Depth vlookup'!G38:I1085,2,FALSE())+G39/100</f>
        <v>316.16</v>
      </c>
      <c r="J37" s="5" t="n">
        <v>1</v>
      </c>
      <c r="K37" s="25" t="n">
        <v>41.86</v>
      </c>
      <c r="L37" s="26" t="n">
        <v>20.7</v>
      </c>
      <c r="M37" s="5" t="n">
        <f aca="false">N37*1000</f>
        <v>3504</v>
      </c>
      <c r="N37" s="43" t="n">
        <v>3.504</v>
      </c>
      <c r="O37" s="28" t="n">
        <v>17.8</v>
      </c>
      <c r="P37" s="4" t="n">
        <v>6</v>
      </c>
      <c r="Q37" s="11" t="n">
        <f aca="false">K37*('Temperature Corrections'!$D$9+'Temperature Corrections'!$D$10*'Data Entry'!$L37+('Temperature Corrections'!$D$11*('Data Entry'!$L37^2))+('Temperature Corrections'!$D$12*('Data Entry'!$L37^3))+('Temperature Corrections'!$D$13*('Data Entry'!$L37^4))+('Temperature Corrections'!$D$14*('Data Entry'!$L37^5)))/'Temperature Corrections'!$G$6</f>
        <v>42.4843354410366</v>
      </c>
      <c r="R37" s="11" t="n">
        <f aca="false">N37*('Temperature Corrections'!$D$9+'Temperature Corrections'!$D$10*'Data Entry'!$O37+('Temperature Corrections'!$D$11*('Data Entry'!$O37^2))+('Temperature Corrections'!$D$12*('Data Entry'!$O37^3))+('Temperature Corrections'!$D$13*('Data Entry'!$O37^4))+('Temperature Corrections'!$D$14*('Data Entry'!$O37^5)))/'Temperature Corrections'!$G$6</f>
        <v>3.34118547068188</v>
      </c>
      <c r="S37" s="11" t="n">
        <f aca="false">Q37*'Salinity Corrections'!$K$23/'Salinity Corrections'!$K$26</f>
        <v>49.0266147289367</v>
      </c>
      <c r="T37" s="11" t="n">
        <f aca="false">R37*('Salinity Corrections'!$K$22*'Salinity Corrections'!$I$22+'Salinity Corrections'!$I$23)/'Salinity Corrections'!$K$23</f>
        <v>3.34989591313982</v>
      </c>
      <c r="U37" s="14" t="n">
        <v>26</v>
      </c>
      <c r="V37" s="14" t="n">
        <f aca="false">S37--0.037*$U37</f>
        <v>49.9886147289367</v>
      </c>
      <c r="W37" s="14" t="n">
        <f aca="false">T37-'Drift correction'!D$4*$U37</f>
        <v>4.46647665293849</v>
      </c>
      <c r="X37" s="13" t="n">
        <f aca="false">V37/W37</f>
        <v>11.1919570196453</v>
      </c>
    </row>
    <row r="38" customFormat="false" ht="14.9" hidden="false" customHeight="false" outlineLevel="0" collapsed="false">
      <c r="A38" s="4" t="n">
        <v>501</v>
      </c>
      <c r="B38" s="4" t="n">
        <v>111</v>
      </c>
      <c r="C38" s="4" t="s">
        <v>27</v>
      </c>
      <c r="D38" s="4" t="n">
        <v>129</v>
      </c>
      <c r="E38" s="4" t="s">
        <v>28</v>
      </c>
      <c r="F38" s="4" t="n">
        <v>1</v>
      </c>
      <c r="G38" s="4" t="n">
        <v>30</v>
      </c>
      <c r="H38" s="5" t="str">
        <f aca="false">CONCATENATE("M0",B38,"-",C38, "-",D38, "-",F38)</f>
        <v>M0111-B-129-1</v>
      </c>
      <c r="I38" s="24" t="n">
        <f aca="false">VLOOKUP(H40,'Depth vlookup'!G39:I1086,2,FALSE())+G40/100</f>
        <v>355.91</v>
      </c>
      <c r="J38" s="5" t="n">
        <v>1</v>
      </c>
      <c r="K38" s="5" t="n">
        <v>42.62</v>
      </c>
      <c r="L38" s="6" t="n">
        <v>21.3</v>
      </c>
      <c r="M38" s="5" t="n">
        <f aca="false">N38*1000</f>
        <v>4675</v>
      </c>
      <c r="N38" s="7" t="n">
        <v>4.675</v>
      </c>
      <c r="O38" s="8" t="n">
        <v>21.3</v>
      </c>
      <c r="P38" s="4" t="n">
        <v>25</v>
      </c>
      <c r="Q38" s="11" t="n">
        <f aca="false">K38*('Temperature Corrections'!$D$9+'Temperature Corrections'!$D$10*'Data Entry'!$L38+('Temperature Corrections'!$D$11*('Data Entry'!$L38^2))+('Temperature Corrections'!$D$12*('Data Entry'!$L38^3))+('Temperature Corrections'!$D$13*('Data Entry'!$L38^4))+('Temperature Corrections'!$D$14*('Data Entry'!$L38^5)))/'Temperature Corrections'!$G$6</f>
        <v>43.8024774657452</v>
      </c>
      <c r="R38" s="11" t="n">
        <f aca="false">N38*('Temperature Corrections'!$D$9+'Temperature Corrections'!$D$10*'Data Entry'!$O38+('Temperature Corrections'!$D$11*('Data Entry'!$O38^2))+('Temperature Corrections'!$D$12*('Data Entry'!$O38^3))+('Temperature Corrections'!$D$13*('Data Entry'!$O38^4))+('Temperature Corrections'!$D$14*('Data Entry'!$O38^5)))/'Temperature Corrections'!$G$6</f>
        <v>4.80470629170246</v>
      </c>
      <c r="S38" s="11" t="n">
        <f aca="false">Q38*'Salinity Corrections'!$K$23/'Salinity Corrections'!$K$26</f>
        <v>50.547741057795</v>
      </c>
      <c r="T38" s="11" t="n">
        <f aca="false">R38*('Salinity Corrections'!$K$22*'Salinity Corrections'!$I$22+'Salinity Corrections'!$I$23)/'Salinity Corrections'!$K$23</f>
        <v>4.81723212064802</v>
      </c>
      <c r="U38" s="14" t="n">
        <v>27</v>
      </c>
      <c r="V38" s="14" t="n">
        <f aca="false">S38--0.037*$U38</f>
        <v>51.546741057795</v>
      </c>
      <c r="W38" s="14" t="n">
        <f aca="false">T38-'Drift correction'!D$4*$U38</f>
        <v>5.97675827351587</v>
      </c>
      <c r="X38" s="13" t="n">
        <f aca="false">V38/W38</f>
        <v>8.62453167734896</v>
      </c>
    </row>
    <row r="39" customFormat="false" ht="14.9" hidden="false" customHeight="false" outlineLevel="0" collapsed="false">
      <c r="A39" s="4" t="n">
        <v>501</v>
      </c>
      <c r="B39" s="4" t="n">
        <v>111</v>
      </c>
      <c r="C39" s="4" t="s">
        <v>27</v>
      </c>
      <c r="D39" s="4" t="n">
        <v>129</v>
      </c>
      <c r="E39" s="4" t="s">
        <v>28</v>
      </c>
      <c r="F39" s="4" t="n">
        <v>1</v>
      </c>
      <c r="G39" s="4" t="n">
        <v>33</v>
      </c>
      <c r="H39" s="5" t="str">
        <f aca="false">CONCATENATE("M0",B39,"-",C39, "-",D39, "-",F39)</f>
        <v>M0111-B-129-1</v>
      </c>
      <c r="I39" s="24" t="n">
        <f aca="false">VLOOKUP(H41,'Depth vlookup'!G40:I1087,2,FALSE())+G41/100</f>
        <v>355.92</v>
      </c>
      <c r="J39" s="5" t="n">
        <v>1</v>
      </c>
      <c r="K39" s="5" t="n">
        <v>42.62</v>
      </c>
      <c r="L39" s="6" t="n">
        <v>21.3</v>
      </c>
      <c r="M39" s="5" t="n">
        <f aca="false">N39*1000</f>
        <v>4997</v>
      </c>
      <c r="N39" s="7" t="n">
        <v>4.997</v>
      </c>
      <c r="O39" s="8" t="n">
        <v>21.2</v>
      </c>
      <c r="P39" s="4" t="n">
        <v>25</v>
      </c>
      <c r="Q39" s="11" t="n">
        <f aca="false">K39*('Temperature Corrections'!$D$9+'Temperature Corrections'!$D$10*'Data Entry'!$L39+('Temperature Corrections'!$D$11*('Data Entry'!$L39^2))+('Temperature Corrections'!$D$12*('Data Entry'!$L39^3))+('Temperature Corrections'!$D$13*('Data Entry'!$L39^4))+('Temperature Corrections'!$D$14*('Data Entry'!$L39^5)))/'Temperature Corrections'!$G$6</f>
        <v>43.8024774657452</v>
      </c>
      <c r="R39" s="11" t="n">
        <f aca="false">N39*('Temperature Corrections'!$D$9+'Temperature Corrections'!$D$10*'Data Entry'!$O39+('Temperature Corrections'!$D$11*('Data Entry'!$O39^2))+('Temperature Corrections'!$D$12*('Data Entry'!$O39^3))+('Temperature Corrections'!$D$13*('Data Entry'!$O39^4))+('Temperature Corrections'!$D$14*('Data Entry'!$O39^5)))/'Temperature Corrections'!$G$6</f>
        <v>5.12494082425331</v>
      </c>
      <c r="S39" s="11" t="n">
        <f aca="false">Q39*'Salinity Corrections'!$K$23/'Salinity Corrections'!$K$26</f>
        <v>50.547741057795</v>
      </c>
      <c r="T39" s="11" t="n">
        <f aca="false">R39*('Salinity Corrections'!$K$22*'Salinity Corrections'!$I$22+'Salinity Corrections'!$I$23)/'Salinity Corrections'!$K$23</f>
        <v>5.13830150193544</v>
      </c>
      <c r="U39" s="14" t="n">
        <v>28</v>
      </c>
      <c r="V39" s="14" t="n">
        <f aca="false">S39--0.037*$U39</f>
        <v>51.583741057795</v>
      </c>
      <c r="W39" s="14" t="n">
        <f aca="false">T39-'Drift correction'!D$4*$U39</f>
        <v>6.34077306787246</v>
      </c>
      <c r="X39" s="13" t="n">
        <f aca="false">V39/W39</f>
        <v>8.13524478886658</v>
      </c>
    </row>
    <row r="40" customFormat="false" ht="14.9" hidden="false" customHeight="false" outlineLevel="0" collapsed="false">
      <c r="A40" s="4" t="n">
        <v>501</v>
      </c>
      <c r="B40" s="4" t="n">
        <v>111</v>
      </c>
      <c r="C40" s="4" t="s">
        <v>27</v>
      </c>
      <c r="D40" s="4" t="n">
        <v>155</v>
      </c>
      <c r="E40" s="4" t="s">
        <v>28</v>
      </c>
      <c r="F40" s="4" t="n">
        <v>1</v>
      </c>
      <c r="G40" s="4" t="n">
        <v>36</v>
      </c>
      <c r="H40" s="5" t="str">
        <f aca="false">CONCATENATE("M0",B40,"-",C40, "-",D40, "-",F40)</f>
        <v>M0111-B-155-1</v>
      </c>
      <c r="I40" s="24" t="n">
        <f aca="false">VLOOKUP(H42,'Depth vlookup'!G41:I1088,2,FALSE())+G42/100</f>
        <v>381.43</v>
      </c>
      <c r="J40" s="5" t="n">
        <v>1</v>
      </c>
      <c r="K40" s="5" t="n">
        <v>42.06</v>
      </c>
      <c r="L40" s="6" t="n">
        <v>21.3</v>
      </c>
      <c r="M40" s="5" t="n">
        <f aca="false">N40*1000</f>
        <v>7916</v>
      </c>
      <c r="N40" s="7" t="n">
        <v>7.916</v>
      </c>
      <c r="O40" s="8" t="n">
        <v>20.8</v>
      </c>
      <c r="P40" s="4" t="n">
        <v>25</v>
      </c>
      <c r="Q40" s="11" t="n">
        <f aca="false">K40*('Temperature Corrections'!$D$9+'Temperature Corrections'!$D$10*'Data Entry'!$L40+('Temperature Corrections'!$D$11*('Data Entry'!$L40^2))+('Temperature Corrections'!$D$12*('Data Entry'!$L40^3))+('Temperature Corrections'!$D$13*('Data Entry'!$L40^4))+('Temperature Corrections'!$D$14*('Data Entry'!$L40^5)))/'Temperature Corrections'!$G$6</f>
        <v>43.2269404554022</v>
      </c>
      <c r="R40" s="11" t="n">
        <f aca="false">N40*('Temperature Corrections'!$D$9+'Temperature Corrections'!$D$10*'Data Entry'!$O40+('Temperature Corrections'!$D$11*('Data Entry'!$O40^2))+('Temperature Corrections'!$D$12*('Data Entry'!$O40^3))+('Temperature Corrections'!$D$13*('Data Entry'!$O40^4))+('Temperature Corrections'!$D$14*('Data Entry'!$O40^5)))/'Temperature Corrections'!$G$6</f>
        <v>8.05097005677289</v>
      </c>
      <c r="S40" s="11" t="n">
        <f aca="false">Q40*'Salinity Corrections'!$K$23/'Salinity Corrections'!$K$26</f>
        <v>49.8835755253604</v>
      </c>
      <c r="T40" s="11" t="n">
        <f aca="false">R40*('Salinity Corrections'!$K$22*'Salinity Corrections'!$I$22+'Salinity Corrections'!$I$23)/'Salinity Corrections'!$K$23</f>
        <v>8.07195886808716</v>
      </c>
      <c r="U40" s="14" t="n">
        <v>29</v>
      </c>
      <c r="V40" s="14" t="n">
        <f aca="false">S40--0.037*$U40</f>
        <v>50.9565755253604</v>
      </c>
      <c r="W40" s="14" t="n">
        <f aca="false">T40-'Drift correction'!D$4*$U40</f>
        <v>9.31737584709337</v>
      </c>
      <c r="X40" s="13" t="n">
        <f aca="false">V40/W40</f>
        <v>5.46898358095715</v>
      </c>
    </row>
    <row r="41" customFormat="false" ht="14.9" hidden="false" customHeight="false" outlineLevel="0" collapsed="false">
      <c r="A41" s="4" t="n">
        <v>501</v>
      </c>
      <c r="B41" s="4" t="n">
        <v>111</v>
      </c>
      <c r="C41" s="4" t="s">
        <v>27</v>
      </c>
      <c r="D41" s="4" t="n">
        <v>155</v>
      </c>
      <c r="E41" s="4" t="s">
        <v>28</v>
      </c>
      <c r="F41" s="4" t="n">
        <v>1</v>
      </c>
      <c r="G41" s="4" t="n">
        <v>37</v>
      </c>
      <c r="H41" s="5" t="str">
        <f aca="false">CONCATENATE("M0",B41,"-",C41, "-",D41, "-",F41)</f>
        <v>M0111-B-155-1</v>
      </c>
      <c r="I41" s="24" t="n">
        <f aca="false">VLOOKUP(H43,'Depth vlookup'!G42:I1089,2,FALSE())+G43/100</f>
        <v>381.44</v>
      </c>
      <c r="J41" s="5" t="n">
        <v>1</v>
      </c>
      <c r="K41" s="5" t="n">
        <v>42.06</v>
      </c>
      <c r="L41" s="6" t="n">
        <v>21.3</v>
      </c>
      <c r="M41" s="5" t="n">
        <f aca="false">N41*1000</f>
        <v>7298</v>
      </c>
      <c r="N41" s="7" t="n">
        <v>7.298</v>
      </c>
      <c r="O41" s="8" t="n">
        <v>20.6</v>
      </c>
      <c r="P41" s="4" t="n">
        <v>25</v>
      </c>
      <c r="Q41" s="11" t="n">
        <f aca="false">K41*('Temperature Corrections'!$D$9+'Temperature Corrections'!$D$10*'Data Entry'!$L41+('Temperature Corrections'!$D$11*('Data Entry'!$L41^2))+('Temperature Corrections'!$D$12*('Data Entry'!$L41^3))+('Temperature Corrections'!$D$13*('Data Entry'!$L41^4))+('Temperature Corrections'!$D$14*('Data Entry'!$L41^5)))/'Temperature Corrections'!$G$6</f>
        <v>43.2269404554022</v>
      </c>
      <c r="R41" s="11" t="n">
        <f aca="false">N41*('Temperature Corrections'!$D$9+'Temperature Corrections'!$D$10*'Data Entry'!$O41+('Temperature Corrections'!$D$11*('Data Entry'!$O41^2))+('Temperature Corrections'!$D$12*('Data Entry'!$O41^3))+('Temperature Corrections'!$D$13*('Data Entry'!$O41^4))+('Temperature Corrections'!$D$14*('Data Entry'!$O41^5)))/'Temperature Corrections'!$G$6</f>
        <v>7.39127262754511</v>
      </c>
      <c r="S41" s="11" t="n">
        <f aca="false">Q41*'Salinity Corrections'!$K$23/'Salinity Corrections'!$K$26</f>
        <v>49.8835755253604</v>
      </c>
      <c r="T41" s="11" t="n">
        <f aca="false">R41*('Salinity Corrections'!$K$22*'Salinity Corrections'!$I$22+'Salinity Corrections'!$I$23)/'Salinity Corrections'!$K$23</f>
        <v>7.41054161320248</v>
      </c>
      <c r="U41" s="14" t="n">
        <v>30</v>
      </c>
      <c r="V41" s="14" t="n">
        <f aca="false">S41--0.037*$U41</f>
        <v>50.9935755253604</v>
      </c>
      <c r="W41" s="14" t="n">
        <f aca="false">T41-'Drift correction'!D$4*$U41</f>
        <v>8.69890400527786</v>
      </c>
      <c r="X41" s="13" t="n">
        <f aca="false">V41/W41</f>
        <v>5.86206900253425</v>
      </c>
    </row>
    <row r="42" customFormat="false" ht="15" hidden="false" customHeight="false" outlineLevel="0" collapsed="false">
      <c r="A42" s="4" t="n">
        <v>501</v>
      </c>
      <c r="B42" s="4" t="n">
        <v>111</v>
      </c>
      <c r="C42" s="4" t="s">
        <v>27</v>
      </c>
      <c r="D42" s="4" t="n">
        <v>166</v>
      </c>
      <c r="E42" s="4" t="s">
        <v>28</v>
      </c>
      <c r="F42" s="4" t="n">
        <v>1</v>
      </c>
      <c r="G42" s="4" t="n">
        <v>40</v>
      </c>
      <c r="H42" s="5" t="str">
        <f aca="false">CONCATENATE("M0",B42,"-",C42, "-",D42, "-",F42)</f>
        <v>M0111-B-166-1</v>
      </c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 customFormat="false" ht="15" hidden="false" customHeight="false" outlineLevel="0" collapsed="false">
      <c r="A43" s="4" t="n">
        <v>501</v>
      </c>
      <c r="B43" s="4" t="n">
        <v>111</v>
      </c>
      <c r="C43" s="4" t="s">
        <v>27</v>
      </c>
      <c r="D43" s="4" t="n">
        <v>166</v>
      </c>
      <c r="E43" s="4" t="s">
        <v>28</v>
      </c>
      <c r="F43" s="4" t="n">
        <v>1</v>
      </c>
      <c r="G43" s="4" t="n">
        <v>41</v>
      </c>
      <c r="H43" s="5" t="str">
        <f aca="false">CONCATENATE("M0",B43,"-",C43, "-",D43, "-",F43)</f>
        <v>M0111-B-166-1</v>
      </c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5" customFormat="false" ht="13.5" hidden="false" customHeight="true" outlineLevel="0" collapsed="false">
      <c r="S45" s="14"/>
      <c r="U45" s="14"/>
      <c r="V45" s="14"/>
    </row>
    <row r="46" customFormat="false" ht="13.5" hidden="false" customHeight="true" outlineLevel="0" collapsed="false">
      <c r="S46" s="14"/>
      <c r="V46" s="14"/>
    </row>
  </sheetData>
  <dataValidations count="1">
    <dataValidation allowBlank="true" errorStyle="stop" operator="between" showDropDown="false" showErrorMessage="true" showInputMessage="true" sqref="J4:J27" type="list">
      <formula1>"1,2"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5" activeCellId="1" sqref="X1:X41 D5"/>
    </sheetView>
  </sheetViews>
  <sheetFormatPr defaultColWidth="11.07421875" defaultRowHeight="15" customHeight="true" zeroHeight="false" outlineLevelRow="0" outlineLevelCol="0"/>
  <sheetData>
    <row r="1" s="44" customFormat="true" ht="15" hidden="false" customHeight="false" outlineLevel="0" collapsed="false">
      <c r="A1" s="0"/>
      <c r="B1" s="0"/>
      <c r="C1" s="0"/>
      <c r="D1" s="0"/>
    </row>
    <row r="2" customFormat="false" ht="19.5" hidden="false" customHeight="true" outlineLevel="0" collapsed="false"/>
    <row r="3" customFormat="false" ht="54.75" hidden="false" customHeight="true" outlineLevel="0" collapsed="false">
      <c r="A3" s="45" t="s">
        <v>38</v>
      </c>
      <c r="B3" s="45" t="s">
        <v>39</v>
      </c>
      <c r="C3" s="45" t="s">
        <v>40</v>
      </c>
      <c r="D3" s="44" t="s">
        <v>41</v>
      </c>
    </row>
    <row r="4" customFormat="false" ht="15" hidden="false" customHeight="false" outlineLevel="0" collapsed="false">
      <c r="A4" s="38" t="n">
        <f aca="false">'Data Entry'!U12</f>
        <v>1</v>
      </c>
      <c r="B4" s="11" t="n">
        <f aca="false">'Data Entry'!S12</f>
        <v>51.5300607578108</v>
      </c>
      <c r="D4" s="46" t="n">
        <f aca="false">SLOPE(B4:B33,A4:A33)</f>
        <v>-0.0429454130691794</v>
      </c>
    </row>
    <row r="5" customFormat="false" ht="15" hidden="false" customHeight="false" outlineLevel="0" collapsed="false">
      <c r="A5" s="14" t="n">
        <f aca="false">'Data Entry'!U13</f>
        <v>2</v>
      </c>
      <c r="B5" s="11" t="n">
        <f aca="false">'Data Entry'!S13</f>
        <v>51.4946286738609</v>
      </c>
    </row>
    <row r="6" customFormat="false" ht="15" hidden="false" customHeight="false" outlineLevel="0" collapsed="false">
      <c r="A6" s="14" t="n">
        <f aca="false">'Data Entry'!U14</f>
        <v>3</v>
      </c>
      <c r="B6" s="11" t="n">
        <f aca="false">'Data Entry'!S14</f>
        <v>50.8913296285058</v>
      </c>
    </row>
    <row r="7" customFormat="false" ht="15" hidden="false" customHeight="false" outlineLevel="0" collapsed="false">
      <c r="A7" s="14" t="n">
        <f aca="false">'Data Entry'!U15</f>
        <v>4</v>
      </c>
      <c r="B7" s="11" t="n">
        <f aca="false">'Data Entry'!S15</f>
        <v>50.8913296285058</v>
      </c>
    </row>
    <row r="8" customFormat="false" ht="15" hidden="false" customHeight="false" outlineLevel="0" collapsed="false">
      <c r="A8" s="14" t="n">
        <f aca="false">'Data Entry'!U16</f>
        <v>5</v>
      </c>
      <c r="C8" s="11" t="n">
        <f aca="false">'Data Entry'!S16</f>
        <v>48.6842456892264</v>
      </c>
    </row>
    <row r="9" customFormat="false" ht="15" hidden="false" customHeight="false" outlineLevel="0" collapsed="false">
      <c r="A9" s="14" t="n">
        <f aca="false">'Data Entry'!U17</f>
        <v>6</v>
      </c>
      <c r="C9" s="11" t="n">
        <f aca="false">'Data Entry'!S17</f>
        <v>48.6842456892264</v>
      </c>
    </row>
    <row r="10" customFormat="false" ht="15" hidden="false" customHeight="false" outlineLevel="0" collapsed="false">
      <c r="A10" s="14" t="n">
        <f aca="false">'Data Entry'!U18</f>
        <v>7</v>
      </c>
      <c r="B10" s="11" t="n">
        <f aca="false">'Data Entry'!S18</f>
        <v>51.5914297516209</v>
      </c>
    </row>
    <row r="11" customFormat="false" ht="15" hidden="false" customHeight="false" outlineLevel="0" collapsed="false">
      <c r="A11" s="14" t="n">
        <f aca="false">'Data Entry'!U19</f>
        <v>8</v>
      </c>
      <c r="B11" s="11" t="n">
        <f aca="false">'Data Entry'!S19</f>
        <v>51.5914297516209</v>
      </c>
    </row>
    <row r="12" customFormat="false" ht="15" hidden="false" customHeight="false" outlineLevel="0" collapsed="false">
      <c r="A12" s="14" t="n">
        <f aca="false">'Data Entry'!U20</f>
        <v>9</v>
      </c>
      <c r="B12" s="11" t="n">
        <f aca="false">'Data Entry'!S20</f>
        <v>51.1762274772176</v>
      </c>
    </row>
    <row r="13" customFormat="false" ht="15" hidden="false" customHeight="false" outlineLevel="0" collapsed="false">
      <c r="A13" s="14" t="n">
        <f aca="false">'Data Entry'!U21</f>
        <v>10</v>
      </c>
      <c r="B13" s="11" t="n">
        <f aca="false">'Data Entry'!S21</f>
        <v>51.1643920869592</v>
      </c>
    </row>
    <row r="14" customFormat="false" ht="15" hidden="false" customHeight="false" outlineLevel="0" collapsed="false">
      <c r="A14" s="14" t="n">
        <f aca="false">'Data Entry'!U22</f>
        <v>11</v>
      </c>
      <c r="B14" s="11" t="n">
        <f aca="false">'Data Entry'!S22</f>
        <v>50.279964828697</v>
      </c>
    </row>
    <row r="15" customFormat="false" ht="15" hidden="false" customHeight="false" outlineLevel="0" collapsed="false">
      <c r="A15" s="14" t="n">
        <f aca="false">'Data Entry'!U23</f>
        <v>12</v>
      </c>
      <c r="B15" s="11" t="n">
        <f aca="false">'Data Entry'!S23</f>
        <v>50.2330180828252</v>
      </c>
    </row>
    <row r="16" customFormat="false" ht="15" hidden="false" customHeight="false" outlineLevel="0" collapsed="false">
      <c r="A16" s="14" t="n">
        <f aca="false">'Data Entry'!U24</f>
        <v>13</v>
      </c>
      <c r="B16" s="11" t="n">
        <f aca="false">'Data Entry'!S24</f>
        <v>50.8214190788127</v>
      </c>
    </row>
    <row r="17" customFormat="false" ht="15" hidden="false" customHeight="false" outlineLevel="0" collapsed="false">
      <c r="A17" s="14" t="n">
        <f aca="false">'Data Entry'!U25</f>
        <v>14</v>
      </c>
      <c r="B17" s="11" t="n">
        <f aca="false">'Data Entry'!S25</f>
        <v>50.7859869948628</v>
      </c>
    </row>
    <row r="18" customFormat="false" ht="15" hidden="false" customHeight="false" outlineLevel="0" collapsed="false">
      <c r="A18" s="14" t="n">
        <f aca="false">'Data Entry'!U26</f>
        <v>15</v>
      </c>
      <c r="B18" s="11" t="n">
        <f aca="false">'Data Entry'!S26</f>
        <v>50.8921781110166</v>
      </c>
    </row>
    <row r="19" customFormat="false" ht="15" hidden="false" customHeight="false" outlineLevel="0" collapsed="false">
      <c r="A19" s="14" t="n">
        <f aca="false">'Data Entry'!U27</f>
        <v>16</v>
      </c>
      <c r="B19" s="11" t="n">
        <f aca="false">'Data Entry'!S27</f>
        <v>50.8921781110166</v>
      </c>
    </row>
    <row r="20" customFormat="false" ht="15" hidden="false" customHeight="false" outlineLevel="0" collapsed="false">
      <c r="A20" s="14" t="n">
        <f aca="false">'Data Entry'!U28</f>
        <v>17</v>
      </c>
      <c r="B20" s="11" t="n">
        <f aca="false">'Data Entry'!S28</f>
        <v>50.4907196286136</v>
      </c>
    </row>
    <row r="21" customFormat="false" ht="15" hidden="false" customHeight="false" outlineLevel="0" collapsed="false">
      <c r="A21" s="14" t="n">
        <f aca="false">'Data Entry'!U29</f>
        <v>18</v>
      </c>
      <c r="B21" s="11" t="n">
        <f aca="false">'Data Entry'!S29</f>
        <v>50.4907196286136</v>
      </c>
    </row>
    <row r="22" customFormat="false" ht="15" hidden="false" customHeight="false" outlineLevel="0" collapsed="false">
      <c r="A22" s="14" t="n">
        <f aca="false">'Data Entry'!U30</f>
        <v>19</v>
      </c>
      <c r="C22" s="11" t="n">
        <f aca="false">'Data Entry'!S30</f>
        <v>49.1455771714569</v>
      </c>
    </row>
    <row r="23" customFormat="false" ht="15" hidden="false" customHeight="false" outlineLevel="0" collapsed="false">
      <c r="A23" s="14" t="n">
        <f aca="false">'Data Entry'!U31</f>
        <v>20</v>
      </c>
      <c r="C23" s="11" t="n">
        <f aca="false">'Data Entry'!S31</f>
        <v>49.2040142430044</v>
      </c>
    </row>
    <row r="24" customFormat="false" ht="15" hidden="false" customHeight="false" outlineLevel="0" collapsed="false">
      <c r="A24" s="14" t="n">
        <f aca="false">'Data Entry'!U32</f>
        <v>21</v>
      </c>
      <c r="B24" s="11" t="n">
        <f aca="false">'Data Entry'!S32</f>
        <v>50.9391441935284</v>
      </c>
    </row>
    <row r="25" customFormat="false" ht="15" hidden="false" customHeight="false" outlineLevel="0" collapsed="false">
      <c r="A25" s="14" t="n">
        <f aca="false">'Data Entry'!U33</f>
        <v>22</v>
      </c>
      <c r="B25" s="11" t="n">
        <f aca="false">'Data Entry'!S33</f>
        <v>50.9391441935284</v>
      </c>
    </row>
    <row r="26" customFormat="false" ht="15" hidden="false" customHeight="false" outlineLevel="0" collapsed="false">
      <c r="A26" s="14" t="n">
        <f aca="false">'Data Entry'!U34</f>
        <v>23</v>
      </c>
      <c r="B26" s="11" t="n">
        <f aca="false">'Data Entry'!S34</f>
        <v>50.1009667051646</v>
      </c>
    </row>
    <row r="27" customFormat="false" ht="15" hidden="false" customHeight="false" outlineLevel="0" collapsed="false">
      <c r="A27" s="14" t="n">
        <f aca="false">'Data Entry'!U35</f>
        <v>24</v>
      </c>
      <c r="B27" s="11" t="n">
        <f aca="false">'Data Entry'!S35</f>
        <v>50.1009667051646</v>
      </c>
    </row>
    <row r="28" customFormat="false" ht="15" hidden="false" customHeight="false" outlineLevel="0" collapsed="false">
      <c r="A28" s="14" t="n">
        <f aca="false">'Data Entry'!U36</f>
        <v>25</v>
      </c>
      <c r="C28" s="11" t="n">
        <f aca="false">'Data Entry'!S36</f>
        <v>49.0266147289367</v>
      </c>
    </row>
    <row r="29" customFormat="false" ht="15" hidden="false" customHeight="false" outlineLevel="0" collapsed="false">
      <c r="A29" s="14" t="n">
        <f aca="false">'Data Entry'!U37</f>
        <v>26</v>
      </c>
      <c r="C29" s="11" t="n">
        <f aca="false">'Data Entry'!S37</f>
        <v>49.0266147289367</v>
      </c>
    </row>
    <row r="30" customFormat="false" ht="15" hidden="false" customHeight="false" outlineLevel="0" collapsed="false">
      <c r="A30" s="14" t="n">
        <f aca="false">'Data Entry'!U38</f>
        <v>27</v>
      </c>
      <c r="B30" s="11" t="n">
        <f aca="false">'Data Entry'!S38</f>
        <v>50.547741057795</v>
      </c>
    </row>
    <row r="31" customFormat="false" ht="15" hidden="false" customHeight="false" outlineLevel="0" collapsed="false">
      <c r="A31" s="14" t="n">
        <f aca="false">'Data Entry'!U39</f>
        <v>28</v>
      </c>
      <c r="B31" s="11" t="n">
        <f aca="false">'Data Entry'!S39</f>
        <v>50.547741057795</v>
      </c>
    </row>
    <row r="32" customFormat="false" ht="15" hidden="false" customHeight="false" outlineLevel="0" collapsed="false">
      <c r="A32" s="14" t="n">
        <f aca="false">'Data Entry'!U40</f>
        <v>29</v>
      </c>
      <c r="B32" s="11" t="n">
        <f aca="false">'Data Entry'!S40</f>
        <v>49.8835755253604</v>
      </c>
    </row>
    <row r="33" customFormat="false" ht="15" hidden="false" customHeight="false" outlineLevel="0" collapsed="false">
      <c r="A33" s="14" t="n">
        <f aca="false">'Data Entry'!U41</f>
        <v>30</v>
      </c>
      <c r="B33" s="11" t="n">
        <f aca="false">'Data Entry'!S41</f>
        <v>49.8835755253604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9"/>
  <sheetViews>
    <sheetView showFormulas="false" showGridLines="true" showRowColHeaders="true" showZeros="true" rightToLeft="false" tabSelected="false" showOutlineSymbols="true" defaultGridColor="true" view="normal" topLeftCell="A1031" colorId="64" zoomScale="200" zoomScaleNormal="200" zoomScalePageLayoutView="100" workbookViewId="0">
      <selection pane="topLeft" activeCell="G2" activeCellId="1" sqref="X1:X41 G2"/>
    </sheetView>
  </sheetViews>
  <sheetFormatPr defaultColWidth="8.6953125" defaultRowHeight="13.5" customHeight="true" zeroHeight="false" outlineLevelRow="0" outlineLevelCol="0"/>
  <cols>
    <col collapsed="false" customWidth="false" hidden="false" outlineLevel="0" max="6" min="1" style="20" width="8.69"/>
    <col collapsed="false" customWidth="true" hidden="false" outlineLevel="0" max="7" min="7" style="20" width="13.15"/>
    <col collapsed="false" customWidth="true" hidden="false" outlineLevel="0" max="8" min="8" style="20" width="10"/>
    <col collapsed="false" customWidth="true" hidden="false" outlineLevel="0" max="9" min="9" style="20" width="12.15"/>
    <col collapsed="false" customWidth="false" hidden="false" outlineLevel="0" max="13" min="10" style="20" width="8.69"/>
    <col collapsed="false" customWidth="true" hidden="false" outlineLevel="0" max="14" min="14" style="20" width="19"/>
    <col collapsed="false" customWidth="false" hidden="false" outlineLevel="0" max="16384" min="15" style="20" width="8.69"/>
  </cols>
  <sheetData>
    <row r="1" customFormat="false" ht="13.5" hidden="false" customHeight="true" outlineLevel="0" collapsed="false">
      <c r="A1" s="20" t="s">
        <v>12</v>
      </c>
      <c r="B1" s="20" t="s">
        <v>13</v>
      </c>
      <c r="C1" s="20" t="s">
        <v>14</v>
      </c>
      <c r="D1" s="20" t="s">
        <v>42</v>
      </c>
      <c r="E1" s="20" t="s">
        <v>16</v>
      </c>
      <c r="F1" s="20" t="s">
        <v>43</v>
      </c>
      <c r="G1" s="20" t="s">
        <v>19</v>
      </c>
      <c r="H1" s="20" t="s">
        <v>44</v>
      </c>
      <c r="I1" s="20" t="s">
        <v>45</v>
      </c>
    </row>
    <row r="2" customFormat="false" ht="13.5" hidden="false" customHeight="true" outlineLevel="0" collapsed="false">
      <c r="A2" s="20" t="n">
        <v>501</v>
      </c>
      <c r="B2" s="20" t="s">
        <v>21</v>
      </c>
      <c r="C2" s="20" t="s">
        <v>22</v>
      </c>
      <c r="D2" s="20" t="n">
        <v>1</v>
      </c>
      <c r="E2" s="20" t="s">
        <v>23</v>
      </c>
      <c r="F2" s="20" t="n">
        <v>1</v>
      </c>
      <c r="G2" s="20" t="str">
        <f aca="false">CONCATENATE(B2, "-",C2, "-", D2, "-", F2)</f>
        <v>M0111-A-1-1</v>
      </c>
      <c r="H2" s="20" t="n">
        <v>0</v>
      </c>
      <c r="I2" s="20" t="n">
        <v>1.5</v>
      </c>
    </row>
    <row r="3" customFormat="false" ht="13.5" hidden="false" customHeight="true" outlineLevel="0" collapsed="false">
      <c r="A3" s="20" t="n">
        <v>501</v>
      </c>
      <c r="B3" s="20" t="s">
        <v>21</v>
      </c>
      <c r="C3" s="20" t="s">
        <v>22</v>
      </c>
      <c r="D3" s="20" t="n">
        <v>1</v>
      </c>
      <c r="E3" s="20" t="s">
        <v>23</v>
      </c>
      <c r="F3" s="20" t="n">
        <v>2</v>
      </c>
      <c r="G3" s="20" t="str">
        <f aca="false">CONCATENATE(B3, "-",C3, "-", D3, "-", F3)</f>
        <v>M0111-A-1-2</v>
      </c>
      <c r="H3" s="20" t="n">
        <v>1.5</v>
      </c>
      <c r="I3" s="20" t="n">
        <v>2.9</v>
      </c>
    </row>
    <row r="4" customFormat="false" ht="13.5" hidden="false" customHeight="true" outlineLevel="0" collapsed="false">
      <c r="A4" s="20" t="n">
        <v>501</v>
      </c>
      <c r="B4" s="20" t="s">
        <v>21</v>
      </c>
      <c r="C4" s="20" t="s">
        <v>22</v>
      </c>
      <c r="D4" s="20" t="n">
        <v>2</v>
      </c>
      <c r="E4" s="20" t="s">
        <v>23</v>
      </c>
      <c r="F4" s="20" t="n">
        <v>1</v>
      </c>
      <c r="G4" s="20" t="str">
        <f aca="false">CONCATENATE(B4, "-",C4, "-", D4, "-", F4)</f>
        <v>M0111-A-2-1</v>
      </c>
      <c r="H4" s="20" t="n">
        <v>2.4</v>
      </c>
      <c r="I4" s="20" t="n">
        <v>3.91</v>
      </c>
    </row>
    <row r="5" customFormat="false" ht="13.5" hidden="false" customHeight="true" outlineLevel="0" collapsed="false">
      <c r="A5" s="20" t="n">
        <v>501</v>
      </c>
      <c r="B5" s="20" t="s">
        <v>21</v>
      </c>
      <c r="C5" s="20" t="s">
        <v>22</v>
      </c>
      <c r="D5" s="20" t="n">
        <v>2</v>
      </c>
      <c r="E5" s="20" t="s">
        <v>23</v>
      </c>
      <c r="F5" s="20" t="n">
        <v>2</v>
      </c>
      <c r="G5" s="20" t="str">
        <f aca="false">CONCATENATE(B5, "-",C5, "-", D5, "-", F5)</f>
        <v>M0111-A-2-2</v>
      </c>
      <c r="H5" s="20" t="n">
        <v>3.91</v>
      </c>
      <c r="I5" s="20" t="n">
        <v>4.99</v>
      </c>
    </row>
    <row r="6" customFormat="false" ht="13.5" hidden="false" customHeight="true" outlineLevel="0" collapsed="false">
      <c r="A6" s="20" t="n">
        <v>501</v>
      </c>
      <c r="B6" s="20" t="s">
        <v>21</v>
      </c>
      <c r="C6" s="20" t="s">
        <v>22</v>
      </c>
      <c r="D6" s="20" t="n">
        <v>3</v>
      </c>
      <c r="E6" s="20" t="s">
        <v>23</v>
      </c>
      <c r="F6" s="20" t="n">
        <v>1</v>
      </c>
      <c r="G6" s="20" t="str">
        <f aca="false">CONCATENATE(B6, "-",C6, "-", D6, "-", F6)</f>
        <v>M0111-A-3-1</v>
      </c>
      <c r="H6" s="20" t="n">
        <v>4.46</v>
      </c>
      <c r="I6" s="20" t="n">
        <v>5.97</v>
      </c>
    </row>
    <row r="7" customFormat="false" ht="13.5" hidden="false" customHeight="true" outlineLevel="0" collapsed="false">
      <c r="A7" s="20" t="n">
        <v>501</v>
      </c>
      <c r="B7" s="20" t="s">
        <v>21</v>
      </c>
      <c r="C7" s="20" t="s">
        <v>22</v>
      </c>
      <c r="D7" s="20" t="n">
        <v>3</v>
      </c>
      <c r="E7" s="20" t="s">
        <v>23</v>
      </c>
      <c r="F7" s="20" t="n">
        <v>2</v>
      </c>
      <c r="G7" s="20" t="str">
        <f aca="false">CONCATENATE(B7, "-",C7, "-", D7, "-", F7)</f>
        <v>M0111-A-3-2</v>
      </c>
      <c r="H7" s="20" t="n">
        <v>5.97</v>
      </c>
      <c r="I7" s="20" t="n">
        <v>7.1</v>
      </c>
    </row>
    <row r="8" customFormat="false" ht="13.5" hidden="false" customHeight="true" outlineLevel="0" collapsed="false">
      <c r="A8" s="20" t="n">
        <v>501</v>
      </c>
      <c r="B8" s="20" t="s">
        <v>21</v>
      </c>
      <c r="C8" s="20" t="s">
        <v>22</v>
      </c>
      <c r="D8" s="20" t="n">
        <v>4</v>
      </c>
      <c r="E8" s="20" t="s">
        <v>23</v>
      </c>
      <c r="F8" s="20" t="n">
        <v>1</v>
      </c>
      <c r="G8" s="20" t="str">
        <f aca="false">CONCATENATE(B8, "-",C8, "-", D8, "-", F8)</f>
        <v>M0111-A-4-1</v>
      </c>
      <c r="H8" s="20" t="n">
        <v>6.89</v>
      </c>
      <c r="I8" s="20" t="n">
        <v>8.4</v>
      </c>
    </row>
    <row r="9" customFormat="false" ht="13.5" hidden="false" customHeight="true" outlineLevel="0" collapsed="false">
      <c r="A9" s="20" t="n">
        <v>501</v>
      </c>
      <c r="B9" s="20" t="s">
        <v>21</v>
      </c>
      <c r="C9" s="20" t="s">
        <v>22</v>
      </c>
      <c r="D9" s="20" t="n">
        <v>4</v>
      </c>
      <c r="E9" s="20" t="s">
        <v>23</v>
      </c>
      <c r="F9" s="20" t="n">
        <v>2</v>
      </c>
      <c r="G9" s="20" t="str">
        <f aca="false">CONCATENATE(B9, "-",C9, "-", D9, "-", F9)</f>
        <v>M0111-A-4-2</v>
      </c>
      <c r="H9" s="20" t="n">
        <v>8.4</v>
      </c>
      <c r="I9" s="20" t="n">
        <v>9.6</v>
      </c>
    </row>
    <row r="10" customFormat="false" ht="13.5" hidden="false" customHeight="true" outlineLevel="0" collapsed="false">
      <c r="A10" s="20" t="n">
        <v>501</v>
      </c>
      <c r="B10" s="20" t="s">
        <v>21</v>
      </c>
      <c r="C10" s="20" t="s">
        <v>22</v>
      </c>
      <c r="D10" s="20" t="n">
        <v>5</v>
      </c>
      <c r="E10" s="20" t="s">
        <v>23</v>
      </c>
      <c r="F10" s="20" t="n">
        <v>1</v>
      </c>
      <c r="G10" s="20" t="str">
        <f aca="false">CONCATENATE(B10, "-",C10, "-", D10, "-", F10)</f>
        <v>M0111-A-5-1</v>
      </c>
      <c r="H10" s="20" t="n">
        <v>9.6</v>
      </c>
      <c r="I10" s="20" t="n">
        <v>11.1</v>
      </c>
    </row>
    <row r="11" customFormat="false" ht="13.5" hidden="false" customHeight="true" outlineLevel="0" collapsed="false">
      <c r="A11" s="20" t="n">
        <v>501</v>
      </c>
      <c r="B11" s="20" t="s">
        <v>21</v>
      </c>
      <c r="C11" s="20" t="s">
        <v>22</v>
      </c>
      <c r="D11" s="20" t="n">
        <v>5</v>
      </c>
      <c r="E11" s="20" t="s">
        <v>23</v>
      </c>
      <c r="F11" s="20" t="n">
        <v>2</v>
      </c>
      <c r="G11" s="20" t="str">
        <f aca="false">CONCATENATE(B11, "-",C11, "-", D11, "-", F11)</f>
        <v>M0111-A-5-2</v>
      </c>
      <c r="H11" s="20" t="n">
        <v>11.1</v>
      </c>
      <c r="I11" s="20" t="n">
        <v>12.05</v>
      </c>
    </row>
    <row r="12" customFormat="false" ht="13.5" hidden="false" customHeight="true" outlineLevel="0" collapsed="false">
      <c r="A12" s="20" t="n">
        <v>501</v>
      </c>
      <c r="B12" s="20" t="s">
        <v>21</v>
      </c>
      <c r="C12" s="20" t="s">
        <v>22</v>
      </c>
      <c r="D12" s="20" t="n">
        <v>6</v>
      </c>
      <c r="E12" s="20" t="s">
        <v>23</v>
      </c>
      <c r="F12" s="20" t="n">
        <v>1</v>
      </c>
      <c r="G12" s="20" t="str">
        <f aca="false">CONCATENATE(B12, "-",C12, "-", D12, "-", F12)</f>
        <v>M0111-A-6-1</v>
      </c>
      <c r="H12" s="20" t="n">
        <v>11.7</v>
      </c>
      <c r="I12" s="20" t="n">
        <v>13.2</v>
      </c>
    </row>
    <row r="13" customFormat="false" ht="13.5" hidden="false" customHeight="true" outlineLevel="0" collapsed="false">
      <c r="A13" s="20" t="n">
        <v>501</v>
      </c>
      <c r="B13" s="20" t="s">
        <v>21</v>
      </c>
      <c r="C13" s="20" t="s">
        <v>22</v>
      </c>
      <c r="D13" s="20" t="n">
        <v>6</v>
      </c>
      <c r="E13" s="20" t="s">
        <v>23</v>
      </c>
      <c r="F13" s="20" t="n">
        <v>2</v>
      </c>
      <c r="G13" s="20" t="str">
        <f aca="false">CONCATENATE(B13, "-",C13, "-", D13, "-", F13)</f>
        <v>M0111-A-6-2</v>
      </c>
      <c r="H13" s="20" t="n">
        <v>13.2</v>
      </c>
      <c r="I13" s="20" t="n">
        <v>13.94</v>
      </c>
    </row>
    <row r="14" customFormat="false" ht="13.5" hidden="false" customHeight="true" outlineLevel="0" collapsed="false">
      <c r="A14" s="20" t="n">
        <v>501</v>
      </c>
      <c r="B14" s="20" t="s">
        <v>21</v>
      </c>
      <c r="C14" s="20" t="s">
        <v>22</v>
      </c>
      <c r="D14" s="20" t="n">
        <v>7</v>
      </c>
      <c r="E14" s="20" t="s">
        <v>23</v>
      </c>
      <c r="F14" s="20" t="n">
        <v>1</v>
      </c>
      <c r="G14" s="20" t="str">
        <f aca="false">CONCATENATE(B14, "-",C14, "-", D14, "-", F14)</f>
        <v>M0111-A-7-1</v>
      </c>
      <c r="H14" s="20" t="n">
        <v>13.94</v>
      </c>
      <c r="I14" s="20" t="n">
        <v>14.17</v>
      </c>
    </row>
    <row r="15" customFormat="false" ht="13.5" hidden="false" customHeight="true" outlineLevel="0" collapsed="false">
      <c r="A15" s="20" t="n">
        <v>501</v>
      </c>
      <c r="B15" s="20" t="s">
        <v>21</v>
      </c>
      <c r="C15" s="20" t="s">
        <v>22</v>
      </c>
      <c r="D15" s="20" t="n">
        <v>8</v>
      </c>
      <c r="E15" s="20" t="s">
        <v>23</v>
      </c>
      <c r="F15" s="20" t="n">
        <v>1</v>
      </c>
      <c r="G15" s="20" t="str">
        <f aca="false">CONCATENATE(B15, "-",C15, "-", D15, "-", F15)</f>
        <v>M0111-A-8-1</v>
      </c>
      <c r="H15" s="20" t="n">
        <v>14.77</v>
      </c>
      <c r="I15" s="20" t="n">
        <v>14.77</v>
      </c>
    </row>
    <row r="16" customFormat="false" ht="13.5" hidden="false" customHeight="true" outlineLevel="0" collapsed="false">
      <c r="A16" s="20" t="n">
        <v>501</v>
      </c>
      <c r="B16" s="20" t="s">
        <v>21</v>
      </c>
      <c r="C16" s="20" t="s">
        <v>22</v>
      </c>
      <c r="D16" s="20" t="n">
        <v>9</v>
      </c>
      <c r="E16" s="20" t="s">
        <v>46</v>
      </c>
      <c r="F16" s="20" t="n">
        <v>1</v>
      </c>
      <c r="G16" s="20" t="str">
        <f aca="false">CONCATENATE(B16, "-",C16, "-", D16, "-", F16)</f>
        <v>M0111-A-9-1</v>
      </c>
      <c r="H16" s="20" t="n">
        <v>14.77</v>
      </c>
      <c r="I16" s="20" t="n">
        <v>15.05</v>
      </c>
    </row>
    <row r="17" customFormat="false" ht="13.5" hidden="false" customHeight="true" outlineLevel="0" collapsed="false">
      <c r="A17" s="20" t="n">
        <v>501</v>
      </c>
      <c r="B17" s="20" t="s">
        <v>21</v>
      </c>
      <c r="C17" s="20" t="s">
        <v>22</v>
      </c>
      <c r="D17" s="20" t="n">
        <v>10</v>
      </c>
      <c r="E17" s="20" t="s">
        <v>28</v>
      </c>
      <c r="F17" s="20" t="n">
        <v>1</v>
      </c>
      <c r="G17" s="20" t="str">
        <f aca="false">CONCATENATE(B17, "-",C17, "-", D17, "-", F17)</f>
        <v>M0111-A-10-1</v>
      </c>
      <c r="H17" s="20" t="n">
        <v>15.21</v>
      </c>
      <c r="I17" s="20" t="n">
        <v>16.54</v>
      </c>
    </row>
    <row r="18" customFormat="false" ht="13.5" hidden="false" customHeight="true" outlineLevel="0" collapsed="false">
      <c r="A18" s="20" t="n">
        <v>501</v>
      </c>
      <c r="B18" s="20" t="s">
        <v>21</v>
      </c>
      <c r="C18" s="20" t="s">
        <v>22</v>
      </c>
      <c r="D18" s="20" t="n">
        <v>11</v>
      </c>
      <c r="E18" s="20" t="s">
        <v>28</v>
      </c>
      <c r="F18" s="20" t="n">
        <v>1</v>
      </c>
      <c r="G18" s="20" t="str">
        <f aca="false">CONCATENATE(B18, "-",C18, "-", D18, "-", F18)</f>
        <v>M0111-A-11-1</v>
      </c>
      <c r="H18" s="20" t="n">
        <v>16.36</v>
      </c>
      <c r="I18" s="20" t="n">
        <v>16.84</v>
      </c>
    </row>
    <row r="19" customFormat="false" ht="13.5" hidden="false" customHeight="true" outlineLevel="0" collapsed="false">
      <c r="A19" s="20" t="n">
        <v>501</v>
      </c>
      <c r="B19" s="20" t="s">
        <v>21</v>
      </c>
      <c r="C19" s="20" t="s">
        <v>22</v>
      </c>
      <c r="D19" s="20" t="n">
        <v>12</v>
      </c>
      <c r="E19" s="20" t="s">
        <v>28</v>
      </c>
      <c r="F19" s="20" t="n">
        <v>1</v>
      </c>
      <c r="G19" s="20" t="str">
        <f aca="false">CONCATENATE(B19, "-",C19, "-", D19, "-", F19)</f>
        <v>M0111-A-12-1</v>
      </c>
      <c r="H19" s="20" t="n">
        <v>32.25</v>
      </c>
      <c r="I19" s="20" t="n">
        <v>33.02</v>
      </c>
    </row>
    <row r="20" customFormat="false" ht="13.5" hidden="false" customHeight="true" outlineLevel="0" collapsed="false">
      <c r="A20" s="20" t="n">
        <v>501</v>
      </c>
      <c r="B20" s="20" t="s">
        <v>21</v>
      </c>
      <c r="C20" s="20" t="s">
        <v>22</v>
      </c>
      <c r="D20" s="20" t="n">
        <v>13</v>
      </c>
      <c r="E20" s="20" t="s">
        <v>23</v>
      </c>
      <c r="F20" s="20" t="n">
        <v>1</v>
      </c>
      <c r="G20" s="20" t="str">
        <f aca="false">CONCATENATE(B20, "-",C20, "-", D20, "-", F20)</f>
        <v>M0111-A-13-1</v>
      </c>
      <c r="H20" s="20" t="n">
        <v>33.8</v>
      </c>
      <c r="I20" s="20" t="n">
        <v>34.9</v>
      </c>
    </row>
    <row r="21" customFormat="false" ht="13.5" hidden="false" customHeight="true" outlineLevel="0" collapsed="false">
      <c r="A21" s="20" t="n">
        <v>501</v>
      </c>
      <c r="B21" s="20" t="s">
        <v>21</v>
      </c>
      <c r="C21" s="20" t="s">
        <v>22</v>
      </c>
      <c r="D21" s="20" t="n">
        <v>13</v>
      </c>
      <c r="E21" s="20" t="s">
        <v>23</v>
      </c>
      <c r="F21" s="20" t="n">
        <v>2</v>
      </c>
      <c r="G21" s="20" t="str">
        <f aca="false">CONCATENATE(B21, "-",C21, "-", D21, "-", F21)</f>
        <v>M0111-A-13-2</v>
      </c>
      <c r="H21" s="20" t="n">
        <v>34.9</v>
      </c>
      <c r="I21" s="20" t="n">
        <v>35.35</v>
      </c>
    </row>
    <row r="22" customFormat="false" ht="13.5" hidden="false" customHeight="true" outlineLevel="0" collapsed="false">
      <c r="A22" s="20" t="n">
        <v>501</v>
      </c>
      <c r="B22" s="20" t="s">
        <v>21</v>
      </c>
      <c r="C22" s="20" t="s">
        <v>22</v>
      </c>
      <c r="D22" s="20" t="n">
        <v>14</v>
      </c>
      <c r="E22" s="20" t="s">
        <v>23</v>
      </c>
      <c r="F22" s="20" t="n">
        <v>1</v>
      </c>
      <c r="G22" s="20" t="str">
        <f aca="false">CONCATENATE(B22, "-",C22, "-", D22, "-", F22)</f>
        <v>M0111-A-14-1</v>
      </c>
      <c r="H22" s="20" t="n">
        <v>33.35</v>
      </c>
      <c r="I22" s="20" t="n">
        <v>34.85</v>
      </c>
    </row>
    <row r="23" customFormat="false" ht="13.5" hidden="false" customHeight="true" outlineLevel="0" collapsed="false">
      <c r="A23" s="20" t="n">
        <v>501</v>
      </c>
      <c r="B23" s="20" t="s">
        <v>21</v>
      </c>
      <c r="C23" s="20" t="s">
        <v>22</v>
      </c>
      <c r="D23" s="20" t="n">
        <v>14</v>
      </c>
      <c r="E23" s="20" t="s">
        <v>23</v>
      </c>
      <c r="F23" s="20" t="n">
        <v>2</v>
      </c>
      <c r="G23" s="20" t="str">
        <f aca="false">CONCATENATE(B23, "-",C23, "-", D23, "-", F23)</f>
        <v>M0111-A-14-2</v>
      </c>
      <c r="H23" s="20" t="n">
        <v>34.85</v>
      </c>
      <c r="I23" s="20" t="n">
        <v>36.12</v>
      </c>
    </row>
    <row r="24" customFormat="false" ht="13.5" hidden="false" customHeight="true" outlineLevel="0" collapsed="false">
      <c r="A24" s="20" t="n">
        <v>501</v>
      </c>
      <c r="B24" s="20" t="s">
        <v>21</v>
      </c>
      <c r="C24" s="20" t="s">
        <v>22</v>
      </c>
      <c r="D24" s="20" t="n">
        <v>15</v>
      </c>
      <c r="E24" s="20" t="s">
        <v>23</v>
      </c>
      <c r="F24" s="20" t="n">
        <v>1</v>
      </c>
      <c r="G24" s="20" t="str">
        <f aca="false">CONCATENATE(B24, "-",C24, "-", D24, "-", F24)</f>
        <v>M0111-A-15-1</v>
      </c>
      <c r="H24" s="20" t="n">
        <v>38.12</v>
      </c>
      <c r="I24" s="20" t="n">
        <v>39.63</v>
      </c>
    </row>
    <row r="25" customFormat="false" ht="13.5" hidden="false" customHeight="true" outlineLevel="0" collapsed="false">
      <c r="A25" s="20" t="n">
        <v>501</v>
      </c>
      <c r="B25" s="20" t="s">
        <v>21</v>
      </c>
      <c r="C25" s="20" t="s">
        <v>22</v>
      </c>
      <c r="D25" s="20" t="n">
        <v>15</v>
      </c>
      <c r="E25" s="20" t="s">
        <v>23</v>
      </c>
      <c r="F25" s="20" t="n">
        <v>2</v>
      </c>
      <c r="G25" s="20" t="str">
        <f aca="false">CONCATENATE(B25, "-",C25, "-", D25, "-", F25)</f>
        <v>M0111-A-15-2</v>
      </c>
      <c r="H25" s="20" t="n">
        <v>39.63</v>
      </c>
      <c r="I25" s="20" t="n">
        <v>40.45</v>
      </c>
    </row>
    <row r="26" customFormat="false" ht="13.5" hidden="false" customHeight="true" outlineLevel="0" collapsed="false">
      <c r="A26" s="20" t="n">
        <v>501</v>
      </c>
      <c r="B26" s="20" t="s">
        <v>21</v>
      </c>
      <c r="C26" s="20" t="s">
        <v>22</v>
      </c>
      <c r="D26" s="20" t="n">
        <v>16</v>
      </c>
      <c r="E26" s="20" t="s">
        <v>23</v>
      </c>
      <c r="F26" s="20" t="n">
        <v>1</v>
      </c>
      <c r="G26" s="20" t="str">
        <f aca="false">CONCATENATE(B26, "-",C26, "-", D26, "-", F26)</f>
        <v>M0111-A-16-1</v>
      </c>
      <c r="H26" s="20" t="n">
        <v>40.45</v>
      </c>
      <c r="I26" s="20" t="n">
        <v>41.19</v>
      </c>
    </row>
    <row r="27" customFormat="false" ht="13.5" hidden="false" customHeight="true" outlineLevel="0" collapsed="false">
      <c r="A27" s="20" t="n">
        <v>501</v>
      </c>
      <c r="B27" s="20" t="s">
        <v>21</v>
      </c>
      <c r="C27" s="20" t="s">
        <v>22</v>
      </c>
      <c r="D27" s="20" t="n">
        <v>17</v>
      </c>
      <c r="E27" s="20" t="s">
        <v>23</v>
      </c>
      <c r="F27" s="20" t="n">
        <v>1</v>
      </c>
      <c r="G27" s="20" t="str">
        <f aca="false">CONCATENATE(B27, "-",C27, "-", D27, "-", F27)</f>
        <v>M0111-A-17-1</v>
      </c>
      <c r="H27" s="20" t="n">
        <v>41.19</v>
      </c>
      <c r="I27" s="20" t="n">
        <v>42.69</v>
      </c>
    </row>
    <row r="28" customFormat="false" ht="13.5" hidden="false" customHeight="true" outlineLevel="0" collapsed="false">
      <c r="A28" s="20" t="n">
        <v>501</v>
      </c>
      <c r="B28" s="20" t="s">
        <v>21</v>
      </c>
      <c r="C28" s="20" t="s">
        <v>22</v>
      </c>
      <c r="D28" s="20" t="n">
        <v>17</v>
      </c>
      <c r="E28" s="20" t="s">
        <v>23</v>
      </c>
      <c r="F28" s="20" t="n">
        <v>2</v>
      </c>
      <c r="G28" s="20" t="str">
        <f aca="false">CONCATENATE(B28, "-",C28, "-", D28, "-", F28)</f>
        <v>M0111-A-17-2</v>
      </c>
      <c r="H28" s="20" t="n">
        <v>42.69</v>
      </c>
      <c r="I28" s="20" t="n">
        <v>43.32</v>
      </c>
    </row>
    <row r="29" customFormat="false" ht="13.5" hidden="false" customHeight="true" outlineLevel="0" collapsed="false">
      <c r="A29" s="20" t="n">
        <v>501</v>
      </c>
      <c r="B29" s="20" t="s">
        <v>21</v>
      </c>
      <c r="C29" s="20" t="s">
        <v>22</v>
      </c>
      <c r="D29" s="20" t="n">
        <v>18</v>
      </c>
      <c r="E29" s="20" t="s">
        <v>23</v>
      </c>
      <c r="F29" s="20" t="n">
        <v>1</v>
      </c>
      <c r="G29" s="20" t="str">
        <f aca="false">CONCATENATE(B29, "-",C29, "-", D29, "-", F29)</f>
        <v>M0111-A-18-1</v>
      </c>
      <c r="H29" s="20" t="n">
        <v>43.32</v>
      </c>
      <c r="I29" s="20" t="n">
        <v>43.83</v>
      </c>
    </row>
    <row r="30" customFormat="false" ht="13.5" hidden="false" customHeight="true" outlineLevel="0" collapsed="false">
      <c r="A30" s="20" t="n">
        <v>501</v>
      </c>
      <c r="B30" s="20" t="s">
        <v>21</v>
      </c>
      <c r="C30" s="20" t="s">
        <v>22</v>
      </c>
      <c r="D30" s="20" t="n">
        <v>19</v>
      </c>
      <c r="E30" s="20" t="s">
        <v>23</v>
      </c>
      <c r="F30" s="20" t="n">
        <v>1</v>
      </c>
      <c r="G30" s="20" t="str">
        <f aca="false">CONCATENATE(B30, "-",C30, "-", D30, "-", F30)</f>
        <v>M0111-A-19-1</v>
      </c>
      <c r="H30" s="20" t="n">
        <v>43.83</v>
      </c>
      <c r="I30" s="20" t="n">
        <v>45.33</v>
      </c>
    </row>
    <row r="31" customFormat="false" ht="13.5" hidden="false" customHeight="true" outlineLevel="0" collapsed="false">
      <c r="A31" s="20" t="n">
        <v>501</v>
      </c>
      <c r="B31" s="20" t="s">
        <v>21</v>
      </c>
      <c r="C31" s="20" t="s">
        <v>22</v>
      </c>
      <c r="D31" s="20" t="n">
        <v>19</v>
      </c>
      <c r="E31" s="20" t="s">
        <v>23</v>
      </c>
      <c r="F31" s="20" t="n">
        <v>2</v>
      </c>
      <c r="G31" s="20" t="str">
        <f aca="false">CONCATENATE(B31, "-",C31, "-", D31, "-", F31)</f>
        <v>M0111-A-19-2</v>
      </c>
      <c r="H31" s="20" t="n">
        <v>45.33</v>
      </c>
      <c r="I31" s="20" t="n">
        <v>46.2</v>
      </c>
    </row>
    <row r="32" customFormat="false" ht="13.5" hidden="false" customHeight="true" outlineLevel="0" collapsed="false">
      <c r="A32" s="20" t="n">
        <v>501</v>
      </c>
      <c r="B32" s="20" t="s">
        <v>21</v>
      </c>
      <c r="C32" s="20" t="s">
        <v>22</v>
      </c>
      <c r="D32" s="20" t="n">
        <v>20</v>
      </c>
      <c r="E32" s="20" t="s">
        <v>23</v>
      </c>
      <c r="F32" s="20" t="n">
        <v>1</v>
      </c>
      <c r="G32" s="20" t="str">
        <f aca="false">CONCATENATE(B32, "-",C32, "-", D32, "-", F32)</f>
        <v>M0111-A-20-1</v>
      </c>
      <c r="H32" s="20" t="n">
        <v>46.2</v>
      </c>
      <c r="I32" s="20" t="n">
        <v>47.7</v>
      </c>
    </row>
    <row r="33" customFormat="false" ht="13.5" hidden="false" customHeight="true" outlineLevel="0" collapsed="false">
      <c r="A33" s="20" t="n">
        <v>501</v>
      </c>
      <c r="B33" s="20" t="s">
        <v>21</v>
      </c>
      <c r="C33" s="20" t="s">
        <v>22</v>
      </c>
      <c r="D33" s="20" t="n">
        <v>20</v>
      </c>
      <c r="E33" s="20" t="s">
        <v>23</v>
      </c>
      <c r="F33" s="20" t="n">
        <v>2</v>
      </c>
      <c r="G33" s="20" t="str">
        <f aca="false">CONCATENATE(B33, "-",C33, "-", D33, "-", F33)</f>
        <v>M0111-A-20-2</v>
      </c>
      <c r="H33" s="20" t="n">
        <v>47.7</v>
      </c>
      <c r="I33" s="20" t="n">
        <v>48.67</v>
      </c>
    </row>
    <row r="34" customFormat="false" ht="13.5" hidden="false" customHeight="true" outlineLevel="0" collapsed="false">
      <c r="A34" s="20" t="n">
        <v>501</v>
      </c>
      <c r="B34" s="20" t="s">
        <v>21</v>
      </c>
      <c r="C34" s="20" t="s">
        <v>22</v>
      </c>
      <c r="D34" s="20" t="n">
        <v>21</v>
      </c>
      <c r="E34" s="20" t="s">
        <v>23</v>
      </c>
      <c r="F34" s="20" t="n">
        <v>1</v>
      </c>
      <c r="G34" s="20" t="str">
        <f aca="false">CONCATENATE(B34, "-",C34, "-", D34, "-", F34)</f>
        <v>M0111-A-21-1</v>
      </c>
      <c r="H34" s="20" t="n">
        <v>48.67</v>
      </c>
      <c r="I34" s="20" t="n">
        <v>48.77</v>
      </c>
    </row>
    <row r="35" customFormat="false" ht="13.5" hidden="false" customHeight="true" outlineLevel="0" collapsed="false">
      <c r="A35" s="20" t="n">
        <v>501</v>
      </c>
      <c r="B35" s="20" t="s">
        <v>21</v>
      </c>
      <c r="C35" s="20" t="s">
        <v>22</v>
      </c>
      <c r="D35" s="20" t="n">
        <v>21</v>
      </c>
      <c r="E35" s="20" t="s">
        <v>23</v>
      </c>
      <c r="F35" s="20" t="n">
        <v>2</v>
      </c>
      <c r="G35" s="20" t="str">
        <f aca="false">CONCATENATE(B35, "-",C35, "-", D35, "-", F35)</f>
        <v>M0111-A-21-2</v>
      </c>
      <c r="H35" s="20" t="n">
        <v>48.77</v>
      </c>
      <c r="I35" s="20" t="n">
        <v>50.08</v>
      </c>
    </row>
    <row r="36" customFormat="false" ht="13.5" hidden="false" customHeight="true" outlineLevel="0" collapsed="false">
      <c r="A36" s="20" t="n">
        <v>501</v>
      </c>
      <c r="B36" s="20" t="s">
        <v>21</v>
      </c>
      <c r="C36" s="20" t="s">
        <v>22</v>
      </c>
      <c r="D36" s="20" t="n">
        <v>21</v>
      </c>
      <c r="E36" s="20" t="s">
        <v>23</v>
      </c>
      <c r="F36" s="20" t="n">
        <v>3</v>
      </c>
      <c r="G36" s="20" t="str">
        <f aca="false">CONCATENATE(B36, "-",C36, "-", D36, "-", F36)</f>
        <v>M0111-A-21-3</v>
      </c>
      <c r="H36" s="20" t="n">
        <v>50.08</v>
      </c>
      <c r="I36" s="20" t="n">
        <v>50.9</v>
      </c>
    </row>
    <row r="37" customFormat="false" ht="13.5" hidden="false" customHeight="true" outlineLevel="0" collapsed="false">
      <c r="A37" s="20" t="n">
        <v>501</v>
      </c>
      <c r="B37" s="20" t="s">
        <v>21</v>
      </c>
      <c r="C37" s="20" t="s">
        <v>22</v>
      </c>
      <c r="D37" s="20" t="n">
        <v>22</v>
      </c>
      <c r="E37" s="20" t="s">
        <v>23</v>
      </c>
      <c r="F37" s="20" t="n">
        <v>1</v>
      </c>
      <c r="G37" s="20" t="str">
        <f aca="false">CONCATENATE(B37, "-",C37, "-", D37, "-", F37)</f>
        <v>M0111-A-22-1</v>
      </c>
      <c r="H37" s="20" t="n">
        <v>50.9</v>
      </c>
      <c r="I37" s="20" t="n">
        <v>51.07</v>
      </c>
    </row>
    <row r="38" customFormat="false" ht="13.5" hidden="false" customHeight="true" outlineLevel="0" collapsed="false">
      <c r="A38" s="20" t="n">
        <v>501</v>
      </c>
      <c r="B38" s="20" t="s">
        <v>21</v>
      </c>
      <c r="C38" s="20" t="s">
        <v>22</v>
      </c>
      <c r="D38" s="20" t="n">
        <v>22</v>
      </c>
      <c r="E38" s="20" t="s">
        <v>23</v>
      </c>
      <c r="F38" s="20" t="n">
        <v>2</v>
      </c>
      <c r="G38" s="20" t="str">
        <f aca="false">CONCATENATE(B38, "-",C38, "-", D38, "-", F38)</f>
        <v>M0111-A-22-2</v>
      </c>
      <c r="H38" s="20" t="n">
        <v>51.07</v>
      </c>
      <c r="I38" s="20" t="n">
        <v>52.42</v>
      </c>
    </row>
    <row r="39" customFormat="false" ht="13.5" hidden="false" customHeight="true" outlineLevel="0" collapsed="false">
      <c r="A39" s="20" t="n">
        <v>501</v>
      </c>
      <c r="B39" s="20" t="s">
        <v>21</v>
      </c>
      <c r="C39" s="20" t="s">
        <v>22</v>
      </c>
      <c r="D39" s="20" t="n">
        <v>23</v>
      </c>
      <c r="E39" s="20" t="s">
        <v>23</v>
      </c>
      <c r="F39" s="20" t="n">
        <v>1</v>
      </c>
      <c r="G39" s="20" t="str">
        <f aca="false">CONCATENATE(B39, "-",C39, "-", D39, "-", F39)</f>
        <v>M0111-A-23-1</v>
      </c>
      <c r="H39" s="20" t="n">
        <v>52.42</v>
      </c>
      <c r="I39" s="20" t="n">
        <v>53.92</v>
      </c>
    </row>
    <row r="40" customFormat="false" ht="13.5" hidden="false" customHeight="true" outlineLevel="0" collapsed="false">
      <c r="A40" s="20" t="n">
        <v>501</v>
      </c>
      <c r="B40" s="20" t="s">
        <v>21</v>
      </c>
      <c r="C40" s="20" t="s">
        <v>22</v>
      </c>
      <c r="D40" s="20" t="n">
        <v>23</v>
      </c>
      <c r="E40" s="20" t="s">
        <v>23</v>
      </c>
      <c r="F40" s="20" t="n">
        <v>2</v>
      </c>
      <c r="G40" s="20" t="str">
        <f aca="false">CONCATENATE(B40, "-",C40, "-", D40, "-", F40)</f>
        <v>M0111-A-23-2</v>
      </c>
      <c r="H40" s="20" t="n">
        <v>53.92</v>
      </c>
      <c r="I40" s="20" t="n">
        <v>54.92</v>
      </c>
    </row>
    <row r="41" customFormat="false" ht="13.5" hidden="false" customHeight="true" outlineLevel="0" collapsed="false">
      <c r="A41" s="20" t="n">
        <v>501</v>
      </c>
      <c r="B41" s="20" t="s">
        <v>21</v>
      </c>
      <c r="C41" s="20" t="s">
        <v>22</v>
      </c>
      <c r="D41" s="20" t="n">
        <v>24</v>
      </c>
      <c r="E41" s="20" t="s">
        <v>23</v>
      </c>
      <c r="F41" s="20" t="n">
        <v>1</v>
      </c>
      <c r="G41" s="20" t="str">
        <f aca="false">CONCATENATE(B41, "-",C41, "-", D41, "-", F41)</f>
        <v>M0111-A-24-1</v>
      </c>
      <c r="H41" s="20" t="n">
        <v>54.92</v>
      </c>
      <c r="I41" s="20" t="n">
        <v>55.92</v>
      </c>
    </row>
    <row r="42" customFormat="false" ht="13.5" hidden="false" customHeight="true" outlineLevel="0" collapsed="false">
      <c r="A42" s="20" t="n">
        <v>501</v>
      </c>
      <c r="B42" s="20" t="s">
        <v>21</v>
      </c>
      <c r="C42" s="20" t="s">
        <v>22</v>
      </c>
      <c r="D42" s="20" t="n">
        <v>24</v>
      </c>
      <c r="E42" s="20" t="s">
        <v>23</v>
      </c>
      <c r="F42" s="20" t="n">
        <v>2</v>
      </c>
      <c r="G42" s="20" t="str">
        <f aca="false">CONCATENATE(B42, "-",C42, "-", D42, "-", F42)</f>
        <v>M0111-A-24-2</v>
      </c>
      <c r="H42" s="20" t="n">
        <v>55.92</v>
      </c>
      <c r="I42" s="20" t="n">
        <v>56.66</v>
      </c>
    </row>
    <row r="43" customFormat="false" ht="13.5" hidden="false" customHeight="true" outlineLevel="0" collapsed="false">
      <c r="A43" s="20" t="n">
        <v>501</v>
      </c>
      <c r="B43" s="20" t="s">
        <v>21</v>
      </c>
      <c r="C43" s="20" t="s">
        <v>22</v>
      </c>
      <c r="D43" s="20" t="n">
        <v>25</v>
      </c>
      <c r="E43" s="20" t="s">
        <v>23</v>
      </c>
      <c r="F43" s="20" t="n">
        <v>1</v>
      </c>
      <c r="G43" s="20" t="str">
        <f aca="false">CONCATENATE(B43, "-",C43, "-", D43, "-", F43)</f>
        <v>M0111-A-25-1</v>
      </c>
      <c r="H43" s="20" t="n">
        <v>56.66</v>
      </c>
      <c r="I43" s="20" t="n">
        <v>58.17</v>
      </c>
    </row>
    <row r="44" customFormat="false" ht="13.5" hidden="false" customHeight="true" outlineLevel="0" collapsed="false">
      <c r="A44" s="20" t="n">
        <v>501</v>
      </c>
      <c r="B44" s="20" t="s">
        <v>21</v>
      </c>
      <c r="C44" s="20" t="s">
        <v>22</v>
      </c>
      <c r="D44" s="20" t="n">
        <v>25</v>
      </c>
      <c r="E44" s="20" t="s">
        <v>23</v>
      </c>
      <c r="F44" s="20" t="n">
        <v>2</v>
      </c>
      <c r="G44" s="20" t="str">
        <f aca="false">CONCATENATE(B44, "-",C44, "-", D44, "-", F44)</f>
        <v>M0111-A-25-2</v>
      </c>
      <c r="H44" s="20" t="n">
        <v>58.17</v>
      </c>
      <c r="I44" s="20" t="n">
        <v>58.88</v>
      </c>
    </row>
    <row r="45" customFormat="false" ht="13.5" hidden="false" customHeight="true" outlineLevel="0" collapsed="false">
      <c r="A45" s="20" t="n">
        <v>501</v>
      </c>
      <c r="B45" s="20" t="s">
        <v>21</v>
      </c>
      <c r="C45" s="20" t="s">
        <v>22</v>
      </c>
      <c r="D45" s="20" t="n">
        <v>26</v>
      </c>
      <c r="E45" s="20" t="s">
        <v>23</v>
      </c>
      <c r="F45" s="20" t="n">
        <v>1</v>
      </c>
      <c r="G45" s="20" t="str">
        <f aca="false">CONCATENATE(B45, "-",C45, "-", D45, "-", F45)</f>
        <v>M0111-A-26-1</v>
      </c>
      <c r="H45" s="20" t="n">
        <v>58.88</v>
      </c>
      <c r="I45" s="20" t="n">
        <v>60.39</v>
      </c>
    </row>
    <row r="46" customFormat="false" ht="13.5" hidden="false" customHeight="true" outlineLevel="0" collapsed="false">
      <c r="A46" s="20" t="n">
        <v>501</v>
      </c>
      <c r="B46" s="20" t="s">
        <v>21</v>
      </c>
      <c r="C46" s="20" t="s">
        <v>22</v>
      </c>
      <c r="D46" s="20" t="n">
        <v>26</v>
      </c>
      <c r="E46" s="20" t="s">
        <v>23</v>
      </c>
      <c r="F46" s="20" t="n">
        <v>2</v>
      </c>
      <c r="G46" s="20" t="str">
        <f aca="false">CONCATENATE(B46, "-",C46, "-", D46, "-", F46)</f>
        <v>M0111-A-26-2</v>
      </c>
      <c r="H46" s="20" t="n">
        <v>60.39</v>
      </c>
      <c r="I46" s="20" t="n">
        <v>61.9</v>
      </c>
    </row>
    <row r="47" customFormat="false" ht="13.5" hidden="false" customHeight="true" outlineLevel="0" collapsed="false">
      <c r="A47" s="20" t="n">
        <v>501</v>
      </c>
      <c r="B47" s="20" t="s">
        <v>21</v>
      </c>
      <c r="C47" s="20" t="s">
        <v>22</v>
      </c>
      <c r="D47" s="20" t="n">
        <v>27</v>
      </c>
      <c r="E47" s="20" t="s">
        <v>23</v>
      </c>
      <c r="F47" s="20" t="n">
        <v>1</v>
      </c>
      <c r="G47" s="20" t="str">
        <f aca="false">CONCATENATE(B47, "-",C47, "-", D47, "-", F47)</f>
        <v>M0111-A-27-1</v>
      </c>
      <c r="H47" s="20" t="n">
        <v>61.2</v>
      </c>
      <c r="I47" s="20" t="n">
        <v>62.7</v>
      </c>
    </row>
    <row r="48" customFormat="false" ht="13.5" hidden="false" customHeight="true" outlineLevel="0" collapsed="false">
      <c r="A48" s="20" t="n">
        <v>501</v>
      </c>
      <c r="B48" s="20" t="s">
        <v>21</v>
      </c>
      <c r="C48" s="20" t="s">
        <v>22</v>
      </c>
      <c r="D48" s="20" t="n">
        <v>27</v>
      </c>
      <c r="E48" s="20" t="s">
        <v>23</v>
      </c>
      <c r="F48" s="20" t="n">
        <v>2</v>
      </c>
      <c r="G48" s="20" t="str">
        <f aca="false">CONCATENATE(B48, "-",C48, "-", D48, "-", F48)</f>
        <v>M0111-A-27-2</v>
      </c>
      <c r="H48" s="20" t="n">
        <v>62.7</v>
      </c>
      <c r="I48" s="20" t="n">
        <v>64.2</v>
      </c>
    </row>
    <row r="49" customFormat="false" ht="13.5" hidden="false" customHeight="true" outlineLevel="0" collapsed="false">
      <c r="A49" s="20" t="n">
        <v>501</v>
      </c>
      <c r="B49" s="20" t="s">
        <v>21</v>
      </c>
      <c r="C49" s="20" t="s">
        <v>22</v>
      </c>
      <c r="D49" s="20" t="n">
        <v>28</v>
      </c>
      <c r="E49" s="20" t="s">
        <v>23</v>
      </c>
      <c r="F49" s="20" t="n">
        <v>1</v>
      </c>
      <c r="G49" s="20" t="str">
        <f aca="false">CONCATENATE(B49, "-",C49, "-", D49, "-", F49)</f>
        <v>M0111-A-28-1</v>
      </c>
      <c r="H49" s="20" t="n">
        <v>63.38</v>
      </c>
      <c r="I49" s="20" t="n">
        <v>63.76</v>
      </c>
    </row>
    <row r="50" customFormat="false" ht="13.5" hidden="false" customHeight="true" outlineLevel="0" collapsed="false">
      <c r="A50" s="20" t="n">
        <v>501</v>
      </c>
      <c r="B50" s="20" t="s">
        <v>21</v>
      </c>
      <c r="C50" s="20" t="s">
        <v>22</v>
      </c>
      <c r="D50" s="20" t="n">
        <v>29</v>
      </c>
      <c r="E50" s="20" t="s">
        <v>23</v>
      </c>
      <c r="F50" s="20" t="n">
        <v>1</v>
      </c>
      <c r="G50" s="20" t="str">
        <f aca="false">CONCATENATE(B50, "-",C50, "-", D50, "-", F50)</f>
        <v>M0111-A-29-1</v>
      </c>
      <c r="H50" s="20" t="n">
        <v>63.38</v>
      </c>
      <c r="I50" s="20" t="n">
        <v>63.65</v>
      </c>
    </row>
    <row r="51" customFormat="false" ht="13.5" hidden="false" customHeight="true" outlineLevel="0" collapsed="false">
      <c r="A51" s="20" t="n">
        <v>501</v>
      </c>
      <c r="B51" s="20" t="s">
        <v>21</v>
      </c>
      <c r="C51" s="20" t="s">
        <v>27</v>
      </c>
      <c r="D51" s="20" t="n">
        <v>1</v>
      </c>
      <c r="E51" s="20" t="s">
        <v>23</v>
      </c>
      <c r="F51" s="20" t="n">
        <v>1</v>
      </c>
      <c r="G51" s="20" t="str">
        <f aca="false">CONCATENATE(B51, "-",C51, "-", D51, "-", F51)</f>
        <v>M0111-B-1-1</v>
      </c>
      <c r="H51" s="20" t="n">
        <v>62</v>
      </c>
      <c r="I51" s="20" t="n">
        <v>63.5</v>
      </c>
    </row>
    <row r="52" customFormat="false" ht="13.5" hidden="false" customHeight="true" outlineLevel="0" collapsed="false">
      <c r="A52" s="20" t="n">
        <v>501</v>
      </c>
      <c r="B52" s="20" t="s">
        <v>21</v>
      </c>
      <c r="C52" s="20" t="s">
        <v>27</v>
      </c>
      <c r="D52" s="20" t="n">
        <v>1</v>
      </c>
      <c r="E52" s="20" t="s">
        <v>23</v>
      </c>
      <c r="F52" s="20" t="n">
        <v>2</v>
      </c>
      <c r="G52" s="20" t="str">
        <f aca="false">CONCATENATE(B52, "-",C52, "-", D52, "-", F52)</f>
        <v>M0111-B-1-2</v>
      </c>
      <c r="H52" s="20" t="n">
        <v>63.5</v>
      </c>
      <c r="I52" s="20" t="n">
        <v>64.24</v>
      </c>
    </row>
    <row r="53" customFormat="false" ht="13.5" hidden="false" customHeight="true" outlineLevel="0" collapsed="false">
      <c r="A53" s="20" t="n">
        <v>501</v>
      </c>
      <c r="B53" s="20" t="s">
        <v>21</v>
      </c>
      <c r="C53" s="20" t="s">
        <v>27</v>
      </c>
      <c r="D53" s="20" t="n">
        <v>2</v>
      </c>
      <c r="E53" s="20" t="s">
        <v>23</v>
      </c>
      <c r="F53" s="20" t="n">
        <v>1</v>
      </c>
      <c r="G53" s="20" t="str">
        <f aca="false">CONCATENATE(B53, "-",C53, "-", D53, "-", F53)</f>
        <v>M0111-B-2-1</v>
      </c>
      <c r="H53" s="20" t="n">
        <v>64.14</v>
      </c>
      <c r="I53" s="20" t="n">
        <v>65.14</v>
      </c>
    </row>
    <row r="54" customFormat="false" ht="13.5" hidden="false" customHeight="true" outlineLevel="0" collapsed="false">
      <c r="A54" s="20" t="n">
        <v>501</v>
      </c>
      <c r="B54" s="20" t="s">
        <v>21</v>
      </c>
      <c r="C54" s="20" t="s">
        <v>27</v>
      </c>
      <c r="D54" s="20" t="n">
        <v>2</v>
      </c>
      <c r="E54" s="20" t="s">
        <v>23</v>
      </c>
      <c r="F54" s="20" t="n">
        <v>2</v>
      </c>
      <c r="G54" s="20" t="str">
        <f aca="false">CONCATENATE(B54, "-",C54, "-", D54, "-", F54)</f>
        <v>M0111-B-2-2</v>
      </c>
      <c r="H54" s="20" t="n">
        <v>65.14</v>
      </c>
      <c r="I54" s="20" t="n">
        <v>66.06</v>
      </c>
    </row>
    <row r="55" customFormat="false" ht="13.5" hidden="false" customHeight="true" outlineLevel="0" collapsed="false">
      <c r="A55" s="20" t="n">
        <v>501</v>
      </c>
      <c r="B55" s="20" t="s">
        <v>21</v>
      </c>
      <c r="C55" s="20" t="s">
        <v>27</v>
      </c>
      <c r="D55" s="20" t="n">
        <v>3</v>
      </c>
      <c r="E55" s="20" t="s">
        <v>23</v>
      </c>
      <c r="F55" s="20" t="n">
        <v>1</v>
      </c>
      <c r="G55" s="20" t="str">
        <f aca="false">CONCATENATE(B55, "-",C55, "-", D55, "-", F55)</f>
        <v>M0111-B-3-1</v>
      </c>
      <c r="H55" s="20" t="n">
        <v>66.06</v>
      </c>
      <c r="I55" s="20" t="n">
        <v>67.56</v>
      </c>
    </row>
    <row r="56" customFormat="false" ht="13.5" hidden="false" customHeight="true" outlineLevel="0" collapsed="false">
      <c r="A56" s="20" t="n">
        <v>501</v>
      </c>
      <c r="B56" s="20" t="s">
        <v>21</v>
      </c>
      <c r="C56" s="20" t="s">
        <v>27</v>
      </c>
      <c r="D56" s="20" t="n">
        <v>3</v>
      </c>
      <c r="E56" s="20" t="s">
        <v>23</v>
      </c>
      <c r="F56" s="20" t="n">
        <v>2</v>
      </c>
      <c r="G56" s="20" t="str">
        <f aca="false">CONCATENATE(B56, "-",C56, "-", D56, "-", F56)</f>
        <v>M0111-B-3-2</v>
      </c>
      <c r="H56" s="20" t="n">
        <v>67.56</v>
      </c>
      <c r="I56" s="20" t="n">
        <v>68.2</v>
      </c>
    </row>
    <row r="57" customFormat="false" ht="13.5" hidden="false" customHeight="true" outlineLevel="0" collapsed="false">
      <c r="A57" s="20" t="n">
        <v>501</v>
      </c>
      <c r="B57" s="20" t="s">
        <v>21</v>
      </c>
      <c r="C57" s="20" t="s">
        <v>27</v>
      </c>
      <c r="D57" s="20" t="n">
        <v>4</v>
      </c>
      <c r="E57" s="20" t="s">
        <v>23</v>
      </c>
      <c r="F57" s="20" t="n">
        <v>1</v>
      </c>
      <c r="G57" s="20" t="str">
        <f aca="false">CONCATENATE(B57, "-",C57, "-", D57, "-", F57)</f>
        <v>M0111-B-4-1</v>
      </c>
      <c r="H57" s="20" t="n">
        <v>68.2</v>
      </c>
      <c r="I57" s="20" t="n">
        <v>69.65</v>
      </c>
    </row>
    <row r="58" customFormat="false" ht="13.5" hidden="false" customHeight="true" outlineLevel="0" collapsed="false">
      <c r="A58" s="20" t="n">
        <v>501</v>
      </c>
      <c r="B58" s="20" t="s">
        <v>21</v>
      </c>
      <c r="C58" s="20" t="s">
        <v>27</v>
      </c>
      <c r="D58" s="20" t="n">
        <v>5</v>
      </c>
      <c r="E58" s="20" t="s">
        <v>23</v>
      </c>
      <c r="F58" s="20" t="n">
        <v>1</v>
      </c>
      <c r="G58" s="20" t="str">
        <f aca="false">CONCATENATE(B58, "-",C58, "-", D58, "-", F58)</f>
        <v>M0111-B-5-1</v>
      </c>
      <c r="H58" s="20" t="n">
        <v>69.65</v>
      </c>
      <c r="I58" s="20" t="n">
        <v>70.54</v>
      </c>
    </row>
    <row r="59" customFormat="false" ht="13.5" hidden="false" customHeight="true" outlineLevel="0" collapsed="false">
      <c r="A59" s="20" t="n">
        <v>501</v>
      </c>
      <c r="B59" s="20" t="s">
        <v>21</v>
      </c>
      <c r="C59" s="20" t="s">
        <v>27</v>
      </c>
      <c r="D59" s="20" t="n">
        <v>5</v>
      </c>
      <c r="E59" s="20" t="s">
        <v>23</v>
      </c>
      <c r="F59" s="20" t="n">
        <v>2</v>
      </c>
      <c r="G59" s="20" t="str">
        <f aca="false">CONCATENATE(B59, "-",C59, "-", D59, "-", F59)</f>
        <v>M0111-B-5-2</v>
      </c>
      <c r="H59" s="20" t="n">
        <v>70.54</v>
      </c>
      <c r="I59" s="20" t="n">
        <v>71.54</v>
      </c>
    </row>
    <row r="60" customFormat="false" ht="13.5" hidden="false" customHeight="true" outlineLevel="0" collapsed="false">
      <c r="A60" s="20" t="n">
        <v>501</v>
      </c>
      <c r="B60" s="20" t="s">
        <v>21</v>
      </c>
      <c r="C60" s="20" t="s">
        <v>27</v>
      </c>
      <c r="D60" s="20" t="n">
        <v>6</v>
      </c>
      <c r="E60" s="20" t="s">
        <v>23</v>
      </c>
      <c r="F60" s="20" t="n">
        <v>1</v>
      </c>
      <c r="G60" s="20" t="str">
        <f aca="false">CONCATENATE(B60, "-",C60, "-", D60, "-", F60)</f>
        <v>M0111-B-6-1</v>
      </c>
      <c r="H60" s="20" t="n">
        <v>71.54</v>
      </c>
      <c r="I60" s="20" t="n">
        <v>72.26</v>
      </c>
    </row>
    <row r="61" customFormat="false" ht="13.5" hidden="false" customHeight="true" outlineLevel="0" collapsed="false">
      <c r="A61" s="20" t="n">
        <v>501</v>
      </c>
      <c r="B61" s="20" t="s">
        <v>21</v>
      </c>
      <c r="C61" s="20" t="s">
        <v>27</v>
      </c>
      <c r="D61" s="20" t="n">
        <v>7</v>
      </c>
      <c r="E61" s="20" t="s">
        <v>23</v>
      </c>
      <c r="F61" s="20" t="n">
        <v>1</v>
      </c>
      <c r="G61" s="20" t="str">
        <f aca="false">CONCATENATE(B61, "-",C61, "-", D61, "-", F61)</f>
        <v>M0111-B-7-1</v>
      </c>
      <c r="H61" s="20" t="n">
        <v>72.26</v>
      </c>
      <c r="I61" s="20" t="n">
        <v>72.76</v>
      </c>
    </row>
    <row r="62" customFormat="false" ht="13.5" hidden="false" customHeight="true" outlineLevel="0" collapsed="false">
      <c r="A62" s="20" t="n">
        <v>501</v>
      </c>
      <c r="B62" s="20" t="s">
        <v>21</v>
      </c>
      <c r="C62" s="20" t="s">
        <v>27</v>
      </c>
      <c r="D62" s="20" t="n">
        <v>8</v>
      </c>
      <c r="E62" s="20" t="s">
        <v>46</v>
      </c>
      <c r="F62" s="20" t="n">
        <v>1</v>
      </c>
      <c r="G62" s="20" t="str">
        <f aca="false">CONCATENATE(B62, "-",C62, "-", D62, "-", F62)</f>
        <v>M0111-B-8-1</v>
      </c>
      <c r="H62" s="20" t="n">
        <v>72.76</v>
      </c>
      <c r="I62" s="20" t="n">
        <v>72.26</v>
      </c>
    </row>
    <row r="63" customFormat="false" ht="13.5" hidden="false" customHeight="true" outlineLevel="0" collapsed="false">
      <c r="A63" s="20" t="n">
        <v>501</v>
      </c>
      <c r="B63" s="20" t="s">
        <v>21</v>
      </c>
      <c r="C63" s="20" t="s">
        <v>27</v>
      </c>
      <c r="D63" s="20" t="n">
        <v>9</v>
      </c>
      <c r="E63" s="20" t="s">
        <v>28</v>
      </c>
      <c r="F63" s="20" t="n">
        <v>1</v>
      </c>
      <c r="G63" s="20" t="str">
        <f aca="false">CONCATENATE(B63, "-",C63, "-", D63, "-", F63)</f>
        <v>M0111-B-9-1</v>
      </c>
      <c r="H63" s="20" t="n">
        <v>72.76</v>
      </c>
      <c r="I63" s="20" t="n">
        <v>74.08</v>
      </c>
    </row>
    <row r="64" customFormat="false" ht="13.5" hidden="false" customHeight="true" outlineLevel="0" collapsed="false">
      <c r="A64" s="20" t="n">
        <v>501</v>
      </c>
      <c r="B64" s="20" t="s">
        <v>21</v>
      </c>
      <c r="C64" s="20" t="s">
        <v>27</v>
      </c>
      <c r="D64" s="20" t="n">
        <v>11</v>
      </c>
      <c r="E64" s="20" t="s">
        <v>23</v>
      </c>
      <c r="F64" s="20" t="n">
        <v>1</v>
      </c>
      <c r="G64" s="20" t="str">
        <f aca="false">CONCATENATE(B64, "-",C64, "-", D64, "-", F64)</f>
        <v>M0111-B-11-1</v>
      </c>
      <c r="H64" s="20" t="n">
        <v>76.4</v>
      </c>
      <c r="I64" s="20" t="n">
        <v>76.69</v>
      </c>
    </row>
    <row r="65" customFormat="false" ht="13.5" hidden="false" customHeight="true" outlineLevel="0" collapsed="false">
      <c r="A65" s="20" t="n">
        <v>501</v>
      </c>
      <c r="B65" s="20" t="s">
        <v>21</v>
      </c>
      <c r="C65" s="20" t="s">
        <v>27</v>
      </c>
      <c r="D65" s="20" t="n">
        <v>12</v>
      </c>
      <c r="E65" s="20" t="s">
        <v>28</v>
      </c>
      <c r="F65" s="20" t="n">
        <v>1</v>
      </c>
      <c r="G65" s="20" t="str">
        <f aca="false">CONCATENATE(B65, "-",C65, "-", D65, "-", F65)</f>
        <v>M0111-B-12-1</v>
      </c>
      <c r="H65" s="20" t="n">
        <v>76.69</v>
      </c>
      <c r="I65" s="20" t="n">
        <v>77.38</v>
      </c>
    </row>
    <row r="66" customFormat="false" ht="13.5" hidden="false" customHeight="true" outlineLevel="0" collapsed="false">
      <c r="A66" s="20" t="n">
        <v>501</v>
      </c>
      <c r="B66" s="20" t="s">
        <v>21</v>
      </c>
      <c r="C66" s="20" t="s">
        <v>27</v>
      </c>
      <c r="D66" s="20" t="n">
        <v>12</v>
      </c>
      <c r="E66" s="20" t="s">
        <v>28</v>
      </c>
      <c r="F66" s="20" t="n">
        <v>2</v>
      </c>
      <c r="G66" s="20" t="str">
        <f aca="false">CONCATENATE(B66, "-",C66, "-", D66, "-", F66)</f>
        <v>M0111-B-12-2</v>
      </c>
      <c r="H66" s="20" t="n">
        <v>77.38</v>
      </c>
      <c r="I66" s="20" t="n">
        <v>77.51</v>
      </c>
    </row>
    <row r="67" customFormat="false" ht="13.5" hidden="false" customHeight="true" outlineLevel="0" collapsed="false">
      <c r="A67" s="20" t="n">
        <v>501</v>
      </c>
      <c r="B67" s="20" t="s">
        <v>21</v>
      </c>
      <c r="C67" s="20" t="s">
        <v>27</v>
      </c>
      <c r="D67" s="20" t="n">
        <v>13</v>
      </c>
      <c r="E67" s="20" t="s">
        <v>28</v>
      </c>
      <c r="F67" s="20" t="n">
        <v>1</v>
      </c>
      <c r="G67" s="20" t="str">
        <f aca="false">CONCATENATE(B67, "-",C67, "-", D67, "-", F67)</f>
        <v>M0111-B-13-1</v>
      </c>
      <c r="H67" s="20" t="n">
        <v>79.6</v>
      </c>
      <c r="I67" s="20" t="n">
        <v>80.5</v>
      </c>
    </row>
    <row r="68" customFormat="false" ht="13.5" hidden="false" customHeight="true" outlineLevel="0" collapsed="false">
      <c r="A68" s="20" t="n">
        <v>501</v>
      </c>
      <c r="B68" s="20" t="s">
        <v>21</v>
      </c>
      <c r="C68" s="20" t="s">
        <v>27</v>
      </c>
      <c r="D68" s="20" t="n">
        <v>13</v>
      </c>
      <c r="E68" s="20" t="s">
        <v>28</v>
      </c>
      <c r="F68" s="20" t="n">
        <v>2</v>
      </c>
      <c r="G68" s="20" t="str">
        <f aca="false">CONCATENATE(B68, "-",C68, "-", D68, "-", F68)</f>
        <v>M0111-B-13-2</v>
      </c>
      <c r="H68" s="20" t="n">
        <v>80.5</v>
      </c>
      <c r="I68" s="20" t="n">
        <v>80.66</v>
      </c>
    </row>
    <row r="69" customFormat="false" ht="13.5" hidden="false" customHeight="true" outlineLevel="0" collapsed="false">
      <c r="A69" s="20" t="n">
        <v>501</v>
      </c>
      <c r="B69" s="20" t="s">
        <v>21</v>
      </c>
      <c r="C69" s="20" t="s">
        <v>27</v>
      </c>
      <c r="D69" s="20" t="n">
        <v>14</v>
      </c>
      <c r="E69" s="20" t="s">
        <v>28</v>
      </c>
      <c r="F69" s="20" t="n">
        <v>1</v>
      </c>
      <c r="G69" s="20" t="str">
        <f aca="false">CONCATENATE(B69, "-",C69, "-", D69, "-", F69)</f>
        <v>M0111-B-14-1</v>
      </c>
      <c r="H69" s="20" t="n">
        <v>82.6</v>
      </c>
      <c r="I69" s="20" t="n">
        <v>84.08</v>
      </c>
    </row>
    <row r="70" customFormat="false" ht="13.5" hidden="false" customHeight="true" outlineLevel="0" collapsed="false">
      <c r="A70" s="20" t="n">
        <v>501</v>
      </c>
      <c r="B70" s="20" t="s">
        <v>21</v>
      </c>
      <c r="C70" s="20" t="s">
        <v>27</v>
      </c>
      <c r="D70" s="20" t="n">
        <v>15</v>
      </c>
      <c r="E70" s="20" t="s">
        <v>28</v>
      </c>
      <c r="F70" s="20" t="n">
        <v>1</v>
      </c>
      <c r="G70" s="20" t="str">
        <f aca="false">CONCATENATE(B70, "-",C70, "-", D70, "-", F70)</f>
        <v>M0111-B-15-1</v>
      </c>
      <c r="H70" s="20" t="n">
        <v>84.6</v>
      </c>
      <c r="I70" s="20" t="n">
        <v>86.1</v>
      </c>
    </row>
    <row r="71" customFormat="false" ht="13.5" hidden="false" customHeight="true" outlineLevel="0" collapsed="false">
      <c r="A71" s="20" t="n">
        <v>501</v>
      </c>
      <c r="B71" s="20" t="s">
        <v>21</v>
      </c>
      <c r="C71" s="20" t="s">
        <v>27</v>
      </c>
      <c r="D71" s="20" t="n">
        <v>15</v>
      </c>
      <c r="E71" s="20" t="s">
        <v>28</v>
      </c>
      <c r="F71" s="20" t="n">
        <v>2</v>
      </c>
      <c r="G71" s="20" t="str">
        <f aca="false">CONCATENATE(B71, "-",C71, "-", D71, "-", F71)</f>
        <v>M0111-B-15-2</v>
      </c>
      <c r="H71" s="20" t="n">
        <v>86.1</v>
      </c>
      <c r="I71" s="20" t="n">
        <v>86.82</v>
      </c>
    </row>
    <row r="72" customFormat="false" ht="13.5" hidden="false" customHeight="true" outlineLevel="0" collapsed="false">
      <c r="A72" s="20" t="n">
        <v>501</v>
      </c>
      <c r="B72" s="20" t="s">
        <v>21</v>
      </c>
      <c r="C72" s="20" t="s">
        <v>27</v>
      </c>
      <c r="D72" s="20" t="n">
        <v>16</v>
      </c>
      <c r="E72" s="20" t="s">
        <v>28</v>
      </c>
      <c r="F72" s="20" t="n">
        <v>1</v>
      </c>
      <c r="G72" s="20" t="str">
        <f aca="false">CONCATENATE(B72, "-",C72, "-", D72, "-", F72)</f>
        <v>M0111-B-16-1</v>
      </c>
      <c r="H72" s="20" t="n">
        <v>86.6</v>
      </c>
      <c r="I72" s="20" t="n">
        <v>88</v>
      </c>
    </row>
    <row r="73" customFormat="false" ht="13.5" hidden="false" customHeight="true" outlineLevel="0" collapsed="false">
      <c r="A73" s="20" t="n">
        <v>501</v>
      </c>
      <c r="B73" s="20" t="s">
        <v>21</v>
      </c>
      <c r="C73" s="20" t="s">
        <v>27</v>
      </c>
      <c r="D73" s="20" t="n">
        <v>17</v>
      </c>
      <c r="E73" s="20" t="s">
        <v>28</v>
      </c>
      <c r="F73" s="20" t="n">
        <v>1</v>
      </c>
      <c r="G73" s="20" t="str">
        <f aca="false">CONCATENATE(B73, "-",C73, "-", D73, "-", F73)</f>
        <v>M0111-B-17-1</v>
      </c>
      <c r="H73" s="20" t="n">
        <v>88.4</v>
      </c>
      <c r="I73" s="20" t="n">
        <v>89.4</v>
      </c>
    </row>
    <row r="74" customFormat="false" ht="13.5" hidden="false" customHeight="true" outlineLevel="0" collapsed="false">
      <c r="A74" s="20" t="n">
        <v>501</v>
      </c>
      <c r="B74" s="20" t="s">
        <v>21</v>
      </c>
      <c r="C74" s="20" t="s">
        <v>27</v>
      </c>
      <c r="D74" s="20" t="n">
        <v>17</v>
      </c>
      <c r="E74" s="20" t="s">
        <v>28</v>
      </c>
      <c r="F74" s="20" t="n">
        <v>2</v>
      </c>
      <c r="G74" s="20" t="str">
        <f aca="false">CONCATENATE(B74, "-",C74, "-", D74, "-", F74)</f>
        <v>M0111-B-17-2</v>
      </c>
      <c r="H74" s="20" t="n">
        <v>89.4</v>
      </c>
      <c r="I74" s="20" t="n">
        <v>90.4</v>
      </c>
    </row>
    <row r="75" customFormat="false" ht="13.5" hidden="false" customHeight="true" outlineLevel="0" collapsed="false">
      <c r="A75" s="20" t="n">
        <v>501</v>
      </c>
      <c r="B75" s="20" t="s">
        <v>21</v>
      </c>
      <c r="C75" s="20" t="s">
        <v>27</v>
      </c>
      <c r="D75" s="20" t="n">
        <v>18</v>
      </c>
      <c r="E75" s="20" t="s">
        <v>28</v>
      </c>
      <c r="F75" s="20" t="n">
        <v>1</v>
      </c>
      <c r="G75" s="20" t="str">
        <f aca="false">CONCATENATE(B75, "-",C75, "-", D75, "-", F75)</f>
        <v>M0111-B-18-1</v>
      </c>
      <c r="H75" s="20" t="n">
        <v>91.1</v>
      </c>
      <c r="I75" s="20" t="n">
        <v>92.56</v>
      </c>
    </row>
    <row r="76" customFormat="false" ht="13.5" hidden="false" customHeight="true" outlineLevel="0" collapsed="false">
      <c r="A76" s="20" t="n">
        <v>501</v>
      </c>
      <c r="B76" s="20" t="s">
        <v>21</v>
      </c>
      <c r="C76" s="20" t="s">
        <v>27</v>
      </c>
      <c r="D76" s="20" t="n">
        <v>19</v>
      </c>
      <c r="E76" s="20" t="s">
        <v>28</v>
      </c>
      <c r="F76" s="20" t="n">
        <v>1</v>
      </c>
      <c r="G76" s="20" t="str">
        <f aca="false">CONCATENATE(B76, "-",C76, "-", D76, "-", F76)</f>
        <v>M0111-B-19-1</v>
      </c>
      <c r="H76" s="20" t="n">
        <v>94.1</v>
      </c>
      <c r="I76" s="20" t="n">
        <v>94.49</v>
      </c>
    </row>
    <row r="77" customFormat="false" ht="13.5" hidden="false" customHeight="true" outlineLevel="0" collapsed="false">
      <c r="A77" s="20" t="n">
        <v>501</v>
      </c>
      <c r="B77" s="20" t="s">
        <v>21</v>
      </c>
      <c r="C77" s="20" t="s">
        <v>27</v>
      </c>
      <c r="D77" s="20" t="n">
        <v>21</v>
      </c>
      <c r="E77" s="20" t="s">
        <v>23</v>
      </c>
      <c r="F77" s="20" t="n">
        <v>1</v>
      </c>
      <c r="G77" s="20" t="str">
        <f aca="false">CONCATENATE(B77, "-",C77, "-", D77, "-", F77)</f>
        <v>M0111-B-21-1</v>
      </c>
      <c r="H77" s="20" t="n">
        <v>96.45</v>
      </c>
      <c r="I77" s="20" t="n">
        <v>97.95</v>
      </c>
    </row>
    <row r="78" customFormat="false" ht="13.5" hidden="false" customHeight="true" outlineLevel="0" collapsed="false">
      <c r="A78" s="20" t="n">
        <v>501</v>
      </c>
      <c r="B78" s="20" t="s">
        <v>21</v>
      </c>
      <c r="C78" s="20" t="s">
        <v>27</v>
      </c>
      <c r="D78" s="20" t="n">
        <v>21</v>
      </c>
      <c r="E78" s="20" t="s">
        <v>23</v>
      </c>
      <c r="F78" s="20" t="n">
        <v>2</v>
      </c>
      <c r="G78" s="20" t="str">
        <f aca="false">CONCATENATE(B78, "-",C78, "-", D78, "-", F78)</f>
        <v>M0111-B-21-2</v>
      </c>
      <c r="H78" s="20" t="n">
        <v>97.95</v>
      </c>
      <c r="I78" s="20" t="n">
        <v>98.76</v>
      </c>
    </row>
    <row r="79" customFormat="false" ht="13.5" hidden="false" customHeight="true" outlineLevel="0" collapsed="false">
      <c r="A79" s="20" t="n">
        <v>501</v>
      </c>
      <c r="B79" s="20" t="s">
        <v>21</v>
      </c>
      <c r="C79" s="20" t="s">
        <v>27</v>
      </c>
      <c r="D79" s="20" t="n">
        <v>22</v>
      </c>
      <c r="E79" s="20" t="s">
        <v>23</v>
      </c>
      <c r="F79" s="20" t="n">
        <v>1</v>
      </c>
      <c r="G79" s="20" t="str">
        <f aca="false">CONCATENATE(B79, "-",C79, "-", D79, "-", F79)</f>
        <v>M0111-B-22-1</v>
      </c>
      <c r="H79" s="20" t="n">
        <v>98.76</v>
      </c>
      <c r="I79" s="20" t="n">
        <v>99.76</v>
      </c>
    </row>
    <row r="80" customFormat="false" ht="13.5" hidden="false" customHeight="true" outlineLevel="0" collapsed="false">
      <c r="A80" s="20" t="n">
        <v>501</v>
      </c>
      <c r="B80" s="20" t="s">
        <v>21</v>
      </c>
      <c r="C80" s="20" t="s">
        <v>27</v>
      </c>
      <c r="D80" s="20" t="n">
        <v>22</v>
      </c>
      <c r="E80" s="20" t="s">
        <v>23</v>
      </c>
      <c r="F80" s="20" t="n">
        <v>2</v>
      </c>
      <c r="G80" s="20" t="str">
        <f aca="false">CONCATENATE(B80, "-",C80, "-", D80, "-", F80)</f>
        <v>M0111-B-22-2</v>
      </c>
      <c r="H80" s="20" t="n">
        <v>99.76</v>
      </c>
      <c r="I80" s="20" t="n">
        <v>100.54</v>
      </c>
    </row>
    <row r="81" customFormat="false" ht="13.5" hidden="false" customHeight="true" outlineLevel="0" collapsed="false">
      <c r="A81" s="20" t="n">
        <v>501</v>
      </c>
      <c r="B81" s="20" t="s">
        <v>21</v>
      </c>
      <c r="C81" s="20" t="s">
        <v>27</v>
      </c>
      <c r="D81" s="20" t="n">
        <v>23</v>
      </c>
      <c r="E81" s="20" t="s">
        <v>23</v>
      </c>
      <c r="F81" s="20" t="n">
        <v>1</v>
      </c>
      <c r="G81" s="20" t="str">
        <f aca="false">CONCATENATE(B81, "-",C81, "-", D81, "-", F81)</f>
        <v>M0111-B-23-1</v>
      </c>
      <c r="H81" s="20" t="n">
        <v>100.49</v>
      </c>
      <c r="I81" s="20" t="n">
        <v>101.75</v>
      </c>
    </row>
    <row r="82" customFormat="false" ht="13.5" hidden="false" customHeight="true" outlineLevel="0" collapsed="false">
      <c r="A82" s="20" t="n">
        <v>501</v>
      </c>
      <c r="B82" s="20" t="s">
        <v>21</v>
      </c>
      <c r="C82" s="20" t="s">
        <v>27</v>
      </c>
      <c r="D82" s="20" t="n">
        <v>23</v>
      </c>
      <c r="E82" s="20" t="s">
        <v>23</v>
      </c>
      <c r="F82" s="20" t="n">
        <v>2</v>
      </c>
      <c r="G82" s="20" t="str">
        <f aca="false">CONCATENATE(B82, "-",C82, "-", D82, "-", F82)</f>
        <v>M0111-B-23-2</v>
      </c>
      <c r="H82" s="20" t="n">
        <v>101.75</v>
      </c>
      <c r="I82" s="20" t="n">
        <v>101.84</v>
      </c>
    </row>
    <row r="83" customFormat="false" ht="13.5" hidden="false" customHeight="true" outlineLevel="0" collapsed="false">
      <c r="A83" s="20" t="n">
        <v>501</v>
      </c>
      <c r="B83" s="20" t="s">
        <v>21</v>
      </c>
      <c r="C83" s="20" t="s">
        <v>27</v>
      </c>
      <c r="D83" s="20" t="n">
        <v>24</v>
      </c>
      <c r="E83" s="20" t="s">
        <v>28</v>
      </c>
      <c r="F83" s="20" t="n">
        <v>1</v>
      </c>
      <c r="G83" s="20" t="str">
        <f aca="false">CONCATENATE(B83, "-",C83, "-", D83, "-", F83)</f>
        <v>M0111-B-24-1</v>
      </c>
      <c r="H83" s="20" t="n">
        <v>101.84</v>
      </c>
      <c r="I83" s="20" t="n">
        <v>102.91</v>
      </c>
    </row>
    <row r="84" customFormat="false" ht="13.5" hidden="false" customHeight="true" outlineLevel="0" collapsed="false">
      <c r="A84" s="20" t="n">
        <v>501</v>
      </c>
      <c r="B84" s="20" t="s">
        <v>21</v>
      </c>
      <c r="C84" s="20" t="s">
        <v>27</v>
      </c>
      <c r="D84" s="20" t="n">
        <v>24</v>
      </c>
      <c r="E84" s="20" t="s">
        <v>28</v>
      </c>
      <c r="F84" s="20" t="n">
        <v>2</v>
      </c>
      <c r="G84" s="20" t="str">
        <f aca="false">CONCATENATE(B84, "-",C84, "-", D84, "-", F84)</f>
        <v>M0111-B-24-2</v>
      </c>
      <c r="H84" s="20" t="n">
        <v>102.91</v>
      </c>
      <c r="I84" s="20" t="n">
        <v>103.98</v>
      </c>
    </row>
    <row r="85" customFormat="false" ht="13.5" hidden="false" customHeight="true" outlineLevel="0" collapsed="false">
      <c r="A85" s="20" t="n">
        <v>501</v>
      </c>
      <c r="B85" s="20" t="s">
        <v>21</v>
      </c>
      <c r="C85" s="20" t="s">
        <v>27</v>
      </c>
      <c r="D85" s="20" t="n">
        <v>25</v>
      </c>
      <c r="E85" s="20" t="s">
        <v>28</v>
      </c>
      <c r="F85" s="20" t="n">
        <v>1</v>
      </c>
      <c r="G85" s="20" t="str">
        <f aca="false">CONCATENATE(B85, "-",C85, "-", D85, "-", F85)</f>
        <v>M0111-B-25-1</v>
      </c>
      <c r="H85" s="20" t="n">
        <v>103.6</v>
      </c>
      <c r="I85" s="20" t="n">
        <v>103.75</v>
      </c>
    </row>
    <row r="86" customFormat="false" ht="13.5" hidden="false" customHeight="true" outlineLevel="0" collapsed="false">
      <c r="A86" s="20" t="n">
        <v>501</v>
      </c>
      <c r="B86" s="20" t="s">
        <v>21</v>
      </c>
      <c r="C86" s="20" t="s">
        <v>27</v>
      </c>
      <c r="D86" s="20" t="n">
        <v>26</v>
      </c>
      <c r="E86" s="20" t="s">
        <v>28</v>
      </c>
      <c r="F86" s="20" t="n">
        <v>1</v>
      </c>
      <c r="G86" s="20" t="str">
        <f aca="false">CONCATENATE(B86, "-",C86, "-", D86, "-", F86)</f>
        <v>M0111-B-26-1</v>
      </c>
      <c r="H86" s="20" t="n">
        <v>106.6</v>
      </c>
      <c r="I86" s="20" t="n">
        <v>108.1</v>
      </c>
    </row>
    <row r="87" customFormat="false" ht="13.5" hidden="false" customHeight="true" outlineLevel="0" collapsed="false">
      <c r="A87" s="20" t="n">
        <v>501</v>
      </c>
      <c r="B87" s="20" t="s">
        <v>21</v>
      </c>
      <c r="C87" s="20" t="s">
        <v>27</v>
      </c>
      <c r="D87" s="20" t="n">
        <v>26</v>
      </c>
      <c r="E87" s="20" t="s">
        <v>28</v>
      </c>
      <c r="F87" s="20" t="n">
        <v>2</v>
      </c>
      <c r="G87" s="20" t="str">
        <f aca="false">CONCATENATE(B87, "-",C87, "-", D87, "-", F87)</f>
        <v>M0111-B-26-2</v>
      </c>
      <c r="H87" s="20" t="n">
        <v>108.1</v>
      </c>
      <c r="I87" s="20" t="n">
        <v>109.06</v>
      </c>
    </row>
    <row r="88" customFormat="false" ht="13.5" hidden="false" customHeight="true" outlineLevel="0" collapsed="false">
      <c r="A88" s="20" t="n">
        <v>501</v>
      </c>
      <c r="B88" s="20" t="s">
        <v>21</v>
      </c>
      <c r="C88" s="20" t="s">
        <v>27</v>
      </c>
      <c r="D88" s="20" t="n">
        <v>27</v>
      </c>
      <c r="E88" s="20" t="s">
        <v>28</v>
      </c>
      <c r="F88" s="20" t="n">
        <v>1</v>
      </c>
      <c r="G88" s="20" t="str">
        <f aca="false">CONCATENATE(B88, "-",C88, "-", D88, "-", F88)</f>
        <v>M0111-B-27-1</v>
      </c>
      <c r="H88" s="20" t="n">
        <v>109.6</v>
      </c>
      <c r="I88" s="20" t="n">
        <v>111.1</v>
      </c>
    </row>
    <row r="89" customFormat="false" ht="13.5" hidden="false" customHeight="true" outlineLevel="0" collapsed="false">
      <c r="A89" s="20" t="n">
        <v>501</v>
      </c>
      <c r="B89" s="20" t="s">
        <v>21</v>
      </c>
      <c r="C89" s="20" t="s">
        <v>27</v>
      </c>
      <c r="D89" s="20" t="n">
        <v>27</v>
      </c>
      <c r="E89" s="20" t="s">
        <v>28</v>
      </c>
      <c r="F89" s="20" t="n">
        <v>2</v>
      </c>
      <c r="G89" s="20" t="str">
        <f aca="false">CONCATENATE(B89, "-",C89, "-", D89, "-", F89)</f>
        <v>M0111-B-27-2</v>
      </c>
      <c r="H89" s="20" t="n">
        <v>111.1</v>
      </c>
      <c r="I89" s="20" t="n">
        <v>112.39</v>
      </c>
    </row>
    <row r="90" customFormat="false" ht="13.5" hidden="false" customHeight="true" outlineLevel="0" collapsed="false">
      <c r="A90" s="20" t="n">
        <v>501</v>
      </c>
      <c r="B90" s="20" t="s">
        <v>21</v>
      </c>
      <c r="C90" s="20" t="s">
        <v>27</v>
      </c>
      <c r="D90" s="20" t="n">
        <v>28</v>
      </c>
      <c r="E90" s="20" t="s">
        <v>28</v>
      </c>
      <c r="F90" s="20" t="n">
        <v>1</v>
      </c>
      <c r="G90" s="20" t="str">
        <f aca="false">CONCATENATE(B90, "-",C90, "-", D90, "-", F90)</f>
        <v>M0111-B-28-1</v>
      </c>
      <c r="H90" s="20" t="n">
        <v>112.3</v>
      </c>
      <c r="I90" s="20" t="n">
        <v>113.8</v>
      </c>
    </row>
    <row r="91" customFormat="false" ht="13.5" hidden="false" customHeight="true" outlineLevel="0" collapsed="false">
      <c r="A91" s="20" t="n">
        <v>501</v>
      </c>
      <c r="B91" s="20" t="s">
        <v>21</v>
      </c>
      <c r="C91" s="20" t="s">
        <v>27</v>
      </c>
      <c r="D91" s="20" t="n">
        <v>28</v>
      </c>
      <c r="E91" s="20" t="s">
        <v>28</v>
      </c>
      <c r="F91" s="20" t="n">
        <v>2</v>
      </c>
      <c r="G91" s="20" t="str">
        <f aca="false">CONCATENATE(B91, "-",C91, "-", D91, "-", F91)</f>
        <v>M0111-B-28-2</v>
      </c>
      <c r="H91" s="20" t="n">
        <v>113.8</v>
      </c>
      <c r="I91" s="20" t="n">
        <v>115.25</v>
      </c>
    </row>
    <row r="92" customFormat="false" ht="13.5" hidden="false" customHeight="true" outlineLevel="0" collapsed="false">
      <c r="A92" s="20" t="n">
        <v>501</v>
      </c>
      <c r="B92" s="20" t="s">
        <v>21</v>
      </c>
      <c r="C92" s="20" t="s">
        <v>27</v>
      </c>
      <c r="D92" s="20" t="n">
        <v>29</v>
      </c>
      <c r="E92" s="20" t="s">
        <v>28</v>
      </c>
      <c r="F92" s="20" t="n">
        <v>1</v>
      </c>
      <c r="G92" s="20" t="str">
        <f aca="false">CONCATENATE(B92, "-",C92, "-", D92, "-", F92)</f>
        <v>M0111-B-29-1</v>
      </c>
      <c r="H92" s="20" t="n">
        <v>115.3</v>
      </c>
      <c r="I92" s="20" t="n">
        <v>116.81</v>
      </c>
    </row>
    <row r="93" customFormat="false" ht="13.5" hidden="false" customHeight="true" outlineLevel="0" collapsed="false">
      <c r="A93" s="20" t="n">
        <v>501</v>
      </c>
      <c r="B93" s="20" t="s">
        <v>21</v>
      </c>
      <c r="C93" s="20" t="s">
        <v>27</v>
      </c>
      <c r="D93" s="20" t="n">
        <v>29</v>
      </c>
      <c r="E93" s="20" t="s">
        <v>28</v>
      </c>
      <c r="F93" s="20" t="n">
        <v>2</v>
      </c>
      <c r="G93" s="20" t="str">
        <f aca="false">CONCATENATE(B93, "-",C93, "-", D93, "-", F93)</f>
        <v>M0111-B-29-2</v>
      </c>
      <c r="H93" s="20" t="n">
        <v>116.81</v>
      </c>
      <c r="I93" s="20" t="n">
        <v>117.81</v>
      </c>
    </row>
    <row r="94" customFormat="false" ht="13.5" hidden="false" customHeight="true" outlineLevel="0" collapsed="false">
      <c r="A94" s="20" t="n">
        <v>501</v>
      </c>
      <c r="B94" s="20" t="s">
        <v>21</v>
      </c>
      <c r="C94" s="20" t="s">
        <v>27</v>
      </c>
      <c r="D94" s="20" t="n">
        <v>29</v>
      </c>
      <c r="E94" s="20" t="s">
        <v>28</v>
      </c>
      <c r="F94" s="20" t="n">
        <v>3</v>
      </c>
      <c r="G94" s="20" t="str">
        <f aca="false">CONCATENATE(B94, "-",C94, "-", D94, "-", F94)</f>
        <v>M0111-B-29-3</v>
      </c>
      <c r="H94" s="20" t="n">
        <v>117.81</v>
      </c>
      <c r="I94" s="20" t="n">
        <v>118.53</v>
      </c>
    </row>
    <row r="95" customFormat="false" ht="13.5" hidden="false" customHeight="true" outlineLevel="0" collapsed="false">
      <c r="A95" s="20" t="n">
        <v>501</v>
      </c>
      <c r="B95" s="20" t="s">
        <v>21</v>
      </c>
      <c r="C95" s="20" t="s">
        <v>27</v>
      </c>
      <c r="D95" s="20" t="n">
        <v>30</v>
      </c>
      <c r="E95" s="20" t="s">
        <v>28</v>
      </c>
      <c r="F95" s="20" t="n">
        <v>1</v>
      </c>
      <c r="G95" s="20" t="str">
        <f aca="false">CONCATENATE(B95, "-",C95, "-", D95, "-", F95)</f>
        <v>M0111-B-30-1</v>
      </c>
      <c r="H95" s="20" t="n">
        <v>118.3</v>
      </c>
      <c r="I95" s="20" t="n">
        <v>119.8</v>
      </c>
    </row>
    <row r="96" customFormat="false" ht="13.5" hidden="false" customHeight="true" outlineLevel="0" collapsed="false">
      <c r="A96" s="20" t="n">
        <v>501</v>
      </c>
      <c r="B96" s="20" t="s">
        <v>21</v>
      </c>
      <c r="C96" s="20" t="s">
        <v>27</v>
      </c>
      <c r="D96" s="20" t="n">
        <v>30</v>
      </c>
      <c r="E96" s="20" t="s">
        <v>28</v>
      </c>
      <c r="F96" s="20" t="n">
        <v>2</v>
      </c>
      <c r="G96" s="20" t="str">
        <f aca="false">CONCATENATE(B96, "-",C96, "-", D96, "-", F96)</f>
        <v>M0111-B-30-2</v>
      </c>
      <c r="H96" s="20" t="n">
        <v>119.8</v>
      </c>
      <c r="I96" s="20" t="n">
        <v>120.76</v>
      </c>
    </row>
    <row r="97" customFormat="false" ht="13.5" hidden="false" customHeight="true" outlineLevel="0" collapsed="false">
      <c r="A97" s="20" t="n">
        <v>501</v>
      </c>
      <c r="B97" s="20" t="s">
        <v>21</v>
      </c>
      <c r="C97" s="20" t="s">
        <v>27</v>
      </c>
      <c r="D97" s="20" t="n">
        <v>31</v>
      </c>
      <c r="E97" s="20" t="s">
        <v>28</v>
      </c>
      <c r="F97" s="20" t="n">
        <v>1</v>
      </c>
      <c r="G97" s="20" t="str">
        <f aca="false">CONCATENATE(B97, "-",C97, "-", D97, "-", F97)</f>
        <v>M0111-B-31-1</v>
      </c>
      <c r="H97" s="20" t="n">
        <v>121.3</v>
      </c>
      <c r="I97" s="20" t="n">
        <v>122.8</v>
      </c>
    </row>
    <row r="98" customFormat="false" ht="13.5" hidden="false" customHeight="true" outlineLevel="0" collapsed="false">
      <c r="A98" s="20" t="n">
        <v>501</v>
      </c>
      <c r="B98" s="20" t="s">
        <v>21</v>
      </c>
      <c r="C98" s="20" t="s">
        <v>27</v>
      </c>
      <c r="D98" s="20" t="n">
        <v>31</v>
      </c>
      <c r="E98" s="20" t="s">
        <v>28</v>
      </c>
      <c r="F98" s="20" t="n">
        <v>2</v>
      </c>
      <c r="G98" s="20" t="str">
        <f aca="false">CONCATENATE(B98, "-",C98, "-", D98, "-", F98)</f>
        <v>M0111-B-31-2</v>
      </c>
      <c r="H98" s="20" t="n">
        <v>122.8</v>
      </c>
      <c r="I98" s="20" t="n">
        <v>123.82</v>
      </c>
    </row>
    <row r="99" customFormat="false" ht="13.5" hidden="false" customHeight="true" outlineLevel="0" collapsed="false">
      <c r="A99" s="20" t="n">
        <v>501</v>
      </c>
      <c r="B99" s="20" t="s">
        <v>21</v>
      </c>
      <c r="C99" s="20" t="s">
        <v>27</v>
      </c>
      <c r="D99" s="20" t="n">
        <v>32</v>
      </c>
      <c r="E99" s="20" t="s">
        <v>28</v>
      </c>
      <c r="F99" s="20" t="n">
        <v>1</v>
      </c>
      <c r="G99" s="20" t="str">
        <f aca="false">CONCATENATE(B99, "-",C99, "-", D99, "-", F99)</f>
        <v>M0111-B-32-1</v>
      </c>
      <c r="H99" s="20" t="n">
        <v>124.3</v>
      </c>
      <c r="I99" s="20" t="n">
        <v>124.64</v>
      </c>
    </row>
    <row r="100" customFormat="false" ht="13.5" hidden="false" customHeight="true" outlineLevel="0" collapsed="false">
      <c r="A100" s="20" t="n">
        <v>501</v>
      </c>
      <c r="B100" s="20" t="s">
        <v>21</v>
      </c>
      <c r="C100" s="20" t="s">
        <v>27</v>
      </c>
      <c r="D100" s="20" t="n">
        <v>33</v>
      </c>
      <c r="E100" s="20" t="s">
        <v>28</v>
      </c>
      <c r="F100" s="20" t="n">
        <v>1</v>
      </c>
      <c r="G100" s="20" t="str">
        <f aca="false">CONCATENATE(B100, "-",C100, "-", D100, "-", F100)</f>
        <v>M0111-B-33-1</v>
      </c>
      <c r="H100" s="20" t="n">
        <v>126.7</v>
      </c>
      <c r="I100" s="20" t="n">
        <v>127.31</v>
      </c>
    </row>
    <row r="101" customFormat="false" ht="13.5" hidden="false" customHeight="true" outlineLevel="0" collapsed="false">
      <c r="A101" s="20" t="n">
        <v>501</v>
      </c>
      <c r="B101" s="20" t="s">
        <v>21</v>
      </c>
      <c r="C101" s="20" t="s">
        <v>27</v>
      </c>
      <c r="D101" s="20" t="n">
        <v>33</v>
      </c>
      <c r="E101" s="20" t="s">
        <v>28</v>
      </c>
      <c r="F101" s="20" t="n">
        <v>2</v>
      </c>
      <c r="G101" s="20" t="str">
        <f aca="false">CONCATENATE(B101, "-",C101, "-", D101, "-", F101)</f>
        <v>M0111-B-33-2</v>
      </c>
      <c r="H101" s="20" t="n">
        <v>127.31</v>
      </c>
      <c r="I101" s="20" t="n">
        <v>127.48</v>
      </c>
    </row>
    <row r="102" customFormat="false" ht="13.5" hidden="false" customHeight="true" outlineLevel="0" collapsed="false">
      <c r="A102" s="20" t="n">
        <v>501</v>
      </c>
      <c r="B102" s="20" t="s">
        <v>21</v>
      </c>
      <c r="C102" s="20" t="s">
        <v>27</v>
      </c>
      <c r="D102" s="20" t="n">
        <v>34</v>
      </c>
      <c r="E102" s="20" t="s">
        <v>28</v>
      </c>
      <c r="F102" s="20" t="n">
        <v>1</v>
      </c>
      <c r="G102" s="20" t="str">
        <f aca="false">CONCATENATE(B102, "-",C102, "-", D102, "-", F102)</f>
        <v>M0111-B-34-1</v>
      </c>
      <c r="H102" s="20" t="n">
        <v>121.52</v>
      </c>
      <c r="I102" s="20" t="n">
        <v>122.49</v>
      </c>
    </row>
    <row r="103" customFormat="false" ht="13.5" hidden="false" customHeight="true" outlineLevel="0" collapsed="false">
      <c r="A103" s="20" t="n">
        <v>501</v>
      </c>
      <c r="B103" s="20" t="s">
        <v>21</v>
      </c>
      <c r="C103" s="20" t="s">
        <v>27</v>
      </c>
      <c r="D103" s="20" t="n">
        <v>34</v>
      </c>
      <c r="E103" s="20" t="s">
        <v>28</v>
      </c>
      <c r="F103" s="20" t="n">
        <v>2</v>
      </c>
      <c r="G103" s="20" t="str">
        <f aca="false">CONCATENATE(B103, "-",C103, "-", D103, "-", F103)</f>
        <v>M0111-B-34-2</v>
      </c>
      <c r="H103" s="20" t="n">
        <v>122.49</v>
      </c>
      <c r="I103" s="20" t="n">
        <v>123.1</v>
      </c>
    </row>
    <row r="104" customFormat="false" ht="13.5" hidden="false" customHeight="true" outlineLevel="0" collapsed="false">
      <c r="A104" s="20" t="n">
        <v>501</v>
      </c>
      <c r="B104" s="20" t="s">
        <v>21</v>
      </c>
      <c r="C104" s="20" t="s">
        <v>27</v>
      </c>
      <c r="D104" s="20" t="n">
        <v>35</v>
      </c>
      <c r="E104" s="20" t="s">
        <v>28</v>
      </c>
      <c r="F104" s="20" t="n">
        <v>1</v>
      </c>
      <c r="G104" s="20" t="str">
        <f aca="false">CONCATENATE(B104, "-",C104, "-", D104, "-", F104)</f>
        <v>M0111-B-35-1</v>
      </c>
      <c r="H104" s="20" t="n">
        <v>122.52</v>
      </c>
      <c r="I104" s="20" t="n">
        <v>124.02</v>
      </c>
    </row>
    <row r="105" customFormat="false" ht="13.5" hidden="false" customHeight="true" outlineLevel="0" collapsed="false">
      <c r="A105" s="20" t="n">
        <v>501</v>
      </c>
      <c r="B105" s="20" t="s">
        <v>21</v>
      </c>
      <c r="C105" s="20" t="s">
        <v>27</v>
      </c>
      <c r="D105" s="20" t="n">
        <v>35</v>
      </c>
      <c r="E105" s="20" t="s">
        <v>28</v>
      </c>
      <c r="F105" s="20" t="n">
        <v>2</v>
      </c>
      <c r="G105" s="20" t="str">
        <f aca="false">CONCATENATE(B105, "-",C105, "-", D105, "-", F105)</f>
        <v>M0111-B-35-2</v>
      </c>
      <c r="H105" s="20" t="n">
        <v>124.02</v>
      </c>
      <c r="I105" s="20" t="n">
        <v>125.02</v>
      </c>
    </row>
    <row r="106" customFormat="false" ht="13.5" hidden="false" customHeight="true" outlineLevel="0" collapsed="false">
      <c r="A106" s="20" t="n">
        <v>501</v>
      </c>
      <c r="B106" s="20" t="s">
        <v>21</v>
      </c>
      <c r="C106" s="20" t="s">
        <v>27</v>
      </c>
      <c r="D106" s="20" t="n">
        <v>35</v>
      </c>
      <c r="E106" s="20" t="s">
        <v>28</v>
      </c>
      <c r="F106" s="20" t="n">
        <v>3</v>
      </c>
      <c r="G106" s="20" t="str">
        <f aca="false">CONCATENATE(B106, "-",C106, "-", D106, "-", F106)</f>
        <v>M0111-B-35-3</v>
      </c>
      <c r="H106" s="20" t="n">
        <v>125.02</v>
      </c>
      <c r="I106" s="20" t="n">
        <v>125.67</v>
      </c>
    </row>
    <row r="107" customFormat="false" ht="13.5" hidden="false" customHeight="true" outlineLevel="0" collapsed="false">
      <c r="A107" s="20" t="n">
        <v>501</v>
      </c>
      <c r="B107" s="20" t="s">
        <v>21</v>
      </c>
      <c r="C107" s="20" t="s">
        <v>27</v>
      </c>
      <c r="D107" s="20" t="n">
        <v>36</v>
      </c>
      <c r="E107" s="20" t="s">
        <v>28</v>
      </c>
      <c r="F107" s="20" t="n">
        <v>1</v>
      </c>
      <c r="G107" s="20" t="str">
        <f aca="false">CONCATENATE(B107, "-",C107, "-", D107, "-", F107)</f>
        <v>M0111-B-36-1</v>
      </c>
      <c r="H107" s="20" t="n">
        <v>125.57</v>
      </c>
      <c r="I107" s="20" t="n">
        <v>126.57</v>
      </c>
    </row>
    <row r="108" customFormat="false" ht="13.5" hidden="false" customHeight="true" outlineLevel="0" collapsed="false">
      <c r="A108" s="20" t="n">
        <v>501</v>
      </c>
      <c r="B108" s="20" t="s">
        <v>21</v>
      </c>
      <c r="C108" s="20" t="s">
        <v>27</v>
      </c>
      <c r="D108" s="20" t="n">
        <v>36</v>
      </c>
      <c r="E108" s="20" t="s">
        <v>28</v>
      </c>
      <c r="F108" s="20" t="n">
        <v>2</v>
      </c>
      <c r="G108" s="20" t="str">
        <f aca="false">CONCATENATE(B108, "-",C108, "-", D108, "-", F108)</f>
        <v>M0111-B-36-2</v>
      </c>
      <c r="H108" s="20" t="n">
        <v>126.57</v>
      </c>
      <c r="I108" s="20" t="n">
        <v>127.48</v>
      </c>
    </row>
    <row r="109" customFormat="false" ht="13.5" hidden="false" customHeight="true" outlineLevel="0" collapsed="false">
      <c r="A109" s="20" t="n">
        <v>501</v>
      </c>
      <c r="B109" s="20" t="s">
        <v>21</v>
      </c>
      <c r="C109" s="20" t="s">
        <v>27</v>
      </c>
      <c r="D109" s="20" t="n">
        <v>37</v>
      </c>
      <c r="E109" s="20" t="s">
        <v>28</v>
      </c>
      <c r="F109" s="20" t="n">
        <v>1</v>
      </c>
      <c r="G109" s="20" t="str">
        <f aca="false">CONCATENATE(B109, "-",C109, "-", D109, "-", F109)</f>
        <v>M0111-B-37-1</v>
      </c>
      <c r="H109" s="20" t="n">
        <v>127.64</v>
      </c>
      <c r="I109" s="20" t="n">
        <v>128.71</v>
      </c>
    </row>
    <row r="110" customFormat="false" ht="13.5" hidden="false" customHeight="true" outlineLevel="0" collapsed="false">
      <c r="A110" s="20" t="n">
        <v>501</v>
      </c>
      <c r="B110" s="20" t="s">
        <v>21</v>
      </c>
      <c r="C110" s="20" t="s">
        <v>27</v>
      </c>
      <c r="D110" s="20" t="n">
        <v>38</v>
      </c>
      <c r="E110" s="20" t="s">
        <v>28</v>
      </c>
      <c r="F110" s="20" t="n">
        <v>1</v>
      </c>
      <c r="G110" s="20" t="str">
        <f aca="false">CONCATENATE(B110, "-",C110, "-", D110, "-", F110)</f>
        <v>M0111-B-38-1</v>
      </c>
      <c r="H110" s="20" t="n">
        <v>129.39</v>
      </c>
      <c r="I110" s="20" t="n">
        <v>130.89</v>
      </c>
    </row>
    <row r="111" customFormat="false" ht="13.5" hidden="false" customHeight="true" outlineLevel="0" collapsed="false">
      <c r="A111" s="20" t="n">
        <v>501</v>
      </c>
      <c r="B111" s="20" t="s">
        <v>21</v>
      </c>
      <c r="C111" s="20" t="s">
        <v>27</v>
      </c>
      <c r="D111" s="20" t="n">
        <v>38</v>
      </c>
      <c r="E111" s="20" t="s">
        <v>28</v>
      </c>
      <c r="F111" s="20" t="n">
        <v>2</v>
      </c>
      <c r="G111" s="20" t="str">
        <f aca="false">CONCATENATE(B111, "-",C111, "-", D111, "-", F111)</f>
        <v>M0111-B-38-2</v>
      </c>
      <c r="H111" s="20" t="n">
        <v>130.89</v>
      </c>
      <c r="I111" s="20" t="n">
        <v>131.49</v>
      </c>
    </row>
    <row r="112" customFormat="false" ht="13.5" hidden="false" customHeight="true" outlineLevel="0" collapsed="false">
      <c r="A112" s="20" t="n">
        <v>501</v>
      </c>
      <c r="B112" s="20" t="s">
        <v>21</v>
      </c>
      <c r="C112" s="20" t="s">
        <v>27</v>
      </c>
      <c r="D112" s="20" t="n">
        <v>39</v>
      </c>
      <c r="E112" s="20" t="s">
        <v>28</v>
      </c>
      <c r="F112" s="20" t="n">
        <v>1</v>
      </c>
      <c r="G112" s="20" t="str">
        <f aca="false">CONCATENATE(B112, "-",C112, "-", D112, "-", F112)</f>
        <v>M0111-B-39-1</v>
      </c>
      <c r="H112" s="20" t="n">
        <v>131.67</v>
      </c>
      <c r="I112" s="20" t="n">
        <v>133.16</v>
      </c>
    </row>
    <row r="113" customFormat="false" ht="13.5" hidden="false" customHeight="true" outlineLevel="0" collapsed="false">
      <c r="A113" s="20" t="n">
        <v>501</v>
      </c>
      <c r="B113" s="20" t="s">
        <v>21</v>
      </c>
      <c r="C113" s="20" t="s">
        <v>27</v>
      </c>
      <c r="D113" s="20" t="n">
        <v>39</v>
      </c>
      <c r="E113" s="20" t="s">
        <v>28</v>
      </c>
      <c r="F113" s="20" t="n">
        <v>2</v>
      </c>
      <c r="G113" s="20" t="str">
        <f aca="false">CONCATENATE(B113, "-",C113, "-", D113, "-", F113)</f>
        <v>M0111-B-39-2</v>
      </c>
      <c r="H113" s="20" t="n">
        <v>133.16</v>
      </c>
      <c r="I113" s="20" t="n">
        <v>134.46</v>
      </c>
    </row>
    <row r="114" customFormat="false" ht="13.5" hidden="false" customHeight="true" outlineLevel="0" collapsed="false">
      <c r="A114" s="20" t="n">
        <v>501</v>
      </c>
      <c r="B114" s="20" t="s">
        <v>21</v>
      </c>
      <c r="C114" s="20" t="s">
        <v>27</v>
      </c>
      <c r="D114" s="20" t="n">
        <v>40</v>
      </c>
      <c r="E114" s="20" t="s">
        <v>28</v>
      </c>
      <c r="F114" s="20" t="n">
        <v>1</v>
      </c>
      <c r="G114" s="20" t="str">
        <f aca="false">CONCATENATE(B114, "-",C114, "-", D114, "-", F114)</f>
        <v>M0111-B-40-1</v>
      </c>
      <c r="H114" s="20" t="n">
        <v>134.72</v>
      </c>
      <c r="I114" s="20" t="n">
        <v>135.87</v>
      </c>
    </row>
    <row r="115" customFormat="false" ht="13.5" hidden="false" customHeight="true" outlineLevel="0" collapsed="false">
      <c r="A115" s="20" t="n">
        <v>501</v>
      </c>
      <c r="B115" s="20" t="s">
        <v>21</v>
      </c>
      <c r="C115" s="20" t="s">
        <v>27</v>
      </c>
      <c r="D115" s="20" t="n">
        <v>41</v>
      </c>
      <c r="E115" s="20" t="s">
        <v>28</v>
      </c>
      <c r="F115" s="20" t="n">
        <v>1</v>
      </c>
      <c r="G115" s="20" t="str">
        <f aca="false">CONCATENATE(B115, "-",C115, "-", D115, "-", F115)</f>
        <v>M0111-B-41-1</v>
      </c>
      <c r="H115" s="20" t="n">
        <v>137.77</v>
      </c>
      <c r="I115" s="20" t="n">
        <v>139.27</v>
      </c>
    </row>
    <row r="116" customFormat="false" ht="13.5" hidden="false" customHeight="true" outlineLevel="0" collapsed="false">
      <c r="A116" s="20" t="n">
        <v>501</v>
      </c>
      <c r="B116" s="20" t="s">
        <v>21</v>
      </c>
      <c r="C116" s="20" t="s">
        <v>27</v>
      </c>
      <c r="D116" s="20" t="n">
        <v>41</v>
      </c>
      <c r="E116" s="20" t="s">
        <v>28</v>
      </c>
      <c r="F116" s="20" t="n">
        <v>2</v>
      </c>
      <c r="G116" s="20" t="str">
        <f aca="false">CONCATENATE(B116, "-",C116, "-", D116, "-", F116)</f>
        <v>M0111-B-41-2</v>
      </c>
      <c r="H116" s="20" t="n">
        <v>139.27</v>
      </c>
      <c r="I116" s="20" t="n">
        <v>140.23</v>
      </c>
    </row>
    <row r="117" customFormat="false" ht="13.5" hidden="false" customHeight="true" outlineLevel="0" collapsed="false">
      <c r="A117" s="20" t="n">
        <v>501</v>
      </c>
      <c r="B117" s="20" t="s">
        <v>21</v>
      </c>
      <c r="C117" s="20" t="s">
        <v>27</v>
      </c>
      <c r="D117" s="20" t="n">
        <v>42</v>
      </c>
      <c r="E117" s="20" t="s">
        <v>28</v>
      </c>
      <c r="F117" s="20" t="n">
        <v>1</v>
      </c>
      <c r="G117" s="20" t="str">
        <f aca="false">CONCATENATE(B117, "-",C117, "-", D117, "-", F117)</f>
        <v>M0111-B-42-1</v>
      </c>
      <c r="H117" s="20" t="n">
        <v>140.82</v>
      </c>
      <c r="I117" s="20" t="n">
        <v>141.87</v>
      </c>
    </row>
    <row r="118" customFormat="false" ht="13.5" hidden="false" customHeight="true" outlineLevel="0" collapsed="false">
      <c r="A118" s="20" t="n">
        <v>501</v>
      </c>
      <c r="B118" s="20" t="s">
        <v>21</v>
      </c>
      <c r="C118" s="20" t="s">
        <v>27</v>
      </c>
      <c r="D118" s="20" t="n">
        <v>43</v>
      </c>
      <c r="E118" s="20" t="s">
        <v>28</v>
      </c>
      <c r="F118" s="20" t="n">
        <v>1</v>
      </c>
      <c r="G118" s="20" t="str">
        <f aca="false">CONCATENATE(B118, "-",C118, "-", D118, "-", F118)</f>
        <v>M0111-B-43-1</v>
      </c>
      <c r="H118" s="20" t="n">
        <v>143.87</v>
      </c>
      <c r="I118" s="20" t="n">
        <v>144.72</v>
      </c>
    </row>
    <row r="119" customFormat="false" ht="13.5" hidden="false" customHeight="true" outlineLevel="0" collapsed="false">
      <c r="A119" s="20" t="n">
        <v>501</v>
      </c>
      <c r="B119" s="20" t="s">
        <v>21</v>
      </c>
      <c r="C119" s="20" t="s">
        <v>27</v>
      </c>
      <c r="D119" s="20" t="n">
        <v>43</v>
      </c>
      <c r="E119" s="20" t="s">
        <v>28</v>
      </c>
      <c r="F119" s="20" t="n">
        <v>2</v>
      </c>
      <c r="G119" s="20" t="str">
        <f aca="false">CONCATENATE(B119, "-",C119, "-", D119, "-", F119)</f>
        <v>M0111-B-43-2</v>
      </c>
      <c r="H119" s="20" t="n">
        <v>144.72</v>
      </c>
      <c r="I119" s="20" t="n">
        <v>145.26</v>
      </c>
    </row>
    <row r="120" customFormat="false" ht="13.5" hidden="false" customHeight="true" outlineLevel="0" collapsed="false">
      <c r="A120" s="20" t="n">
        <v>501</v>
      </c>
      <c r="B120" s="20" t="s">
        <v>21</v>
      </c>
      <c r="C120" s="20" t="s">
        <v>27</v>
      </c>
      <c r="D120" s="20" t="n">
        <v>44</v>
      </c>
      <c r="E120" s="20" t="s">
        <v>28</v>
      </c>
      <c r="F120" s="20" t="n">
        <v>1</v>
      </c>
      <c r="G120" s="20" t="str">
        <f aca="false">CONCATENATE(B120, "-",C120, "-", D120, "-", F120)</f>
        <v>M0111-B-44-1</v>
      </c>
      <c r="H120" s="20" t="n">
        <v>146.11</v>
      </c>
      <c r="I120" s="20" t="n">
        <v>147.61</v>
      </c>
    </row>
    <row r="121" customFormat="false" ht="13.5" hidden="false" customHeight="true" outlineLevel="0" collapsed="false">
      <c r="A121" s="20" t="n">
        <v>501</v>
      </c>
      <c r="B121" s="20" t="s">
        <v>21</v>
      </c>
      <c r="C121" s="20" t="s">
        <v>27</v>
      </c>
      <c r="D121" s="20" t="n">
        <v>44</v>
      </c>
      <c r="E121" s="20" t="s">
        <v>28</v>
      </c>
      <c r="F121" s="20" t="n">
        <v>2</v>
      </c>
      <c r="G121" s="20" t="str">
        <f aca="false">CONCATENATE(B121, "-",C121, "-", D121, "-", F121)</f>
        <v>M0111-B-44-2</v>
      </c>
      <c r="H121" s="20" t="n">
        <v>147.61</v>
      </c>
      <c r="I121" s="20" t="n">
        <v>148.4</v>
      </c>
    </row>
    <row r="122" customFormat="false" ht="13.5" hidden="false" customHeight="true" outlineLevel="0" collapsed="false">
      <c r="A122" s="20" t="n">
        <v>501</v>
      </c>
      <c r="B122" s="20" t="s">
        <v>21</v>
      </c>
      <c r="C122" s="20" t="s">
        <v>27</v>
      </c>
      <c r="D122" s="20" t="n">
        <v>45</v>
      </c>
      <c r="E122" s="20" t="s">
        <v>28</v>
      </c>
      <c r="F122" s="20" t="n">
        <v>1</v>
      </c>
      <c r="G122" s="20" t="str">
        <f aca="false">CONCATENATE(B122, "-",C122, "-", D122, "-", F122)</f>
        <v>M0111-B-45-1</v>
      </c>
      <c r="H122" s="20" t="n">
        <v>149.16</v>
      </c>
      <c r="I122" s="20" t="n">
        <v>150.14</v>
      </c>
    </row>
    <row r="123" customFormat="false" ht="13.5" hidden="false" customHeight="true" outlineLevel="0" collapsed="false">
      <c r="A123" s="20" t="n">
        <v>501</v>
      </c>
      <c r="B123" s="20" t="s">
        <v>21</v>
      </c>
      <c r="C123" s="20" t="s">
        <v>27</v>
      </c>
      <c r="D123" s="20" t="n">
        <v>46</v>
      </c>
      <c r="E123" s="20" t="s">
        <v>28</v>
      </c>
      <c r="F123" s="20" t="n">
        <v>1</v>
      </c>
      <c r="G123" s="20" t="str">
        <f aca="false">CONCATENATE(B123, "-",C123, "-", D123, "-", F123)</f>
        <v>M0111-B-46-1</v>
      </c>
      <c r="H123" s="20" t="n">
        <v>149.54</v>
      </c>
      <c r="I123" s="20" t="n">
        <v>151.04</v>
      </c>
    </row>
    <row r="124" customFormat="false" ht="13.5" hidden="false" customHeight="true" outlineLevel="0" collapsed="false">
      <c r="A124" s="20" t="n">
        <v>501</v>
      </c>
      <c r="B124" s="20" t="s">
        <v>21</v>
      </c>
      <c r="C124" s="20" t="s">
        <v>27</v>
      </c>
      <c r="D124" s="20" t="n">
        <v>46</v>
      </c>
      <c r="E124" s="20" t="s">
        <v>28</v>
      </c>
      <c r="F124" s="20" t="n">
        <v>2</v>
      </c>
      <c r="G124" s="20" t="str">
        <f aca="false">CONCATENATE(B124, "-",C124, "-", D124, "-", F124)</f>
        <v>M0111-B-46-2</v>
      </c>
      <c r="H124" s="20" t="n">
        <v>151.04</v>
      </c>
      <c r="I124" s="20" t="n">
        <v>152.29</v>
      </c>
    </row>
    <row r="125" customFormat="false" ht="13.5" hidden="false" customHeight="true" outlineLevel="0" collapsed="false">
      <c r="A125" s="20" t="n">
        <v>501</v>
      </c>
      <c r="B125" s="20" t="s">
        <v>21</v>
      </c>
      <c r="C125" s="20" t="s">
        <v>27</v>
      </c>
      <c r="D125" s="20" t="n">
        <v>47</v>
      </c>
      <c r="E125" s="20" t="s">
        <v>28</v>
      </c>
      <c r="F125" s="20" t="n">
        <v>1</v>
      </c>
      <c r="G125" s="20" t="str">
        <f aca="false">CONCATENATE(B125, "-",C125, "-", D125, "-", F125)</f>
        <v>M0111-B-47-1</v>
      </c>
      <c r="H125" s="20" t="n">
        <v>152.21</v>
      </c>
      <c r="I125" s="20" t="n">
        <v>153.71</v>
      </c>
    </row>
    <row r="126" customFormat="false" ht="13.5" hidden="false" customHeight="true" outlineLevel="0" collapsed="false">
      <c r="A126" s="20" t="n">
        <v>501</v>
      </c>
      <c r="B126" s="20" t="s">
        <v>21</v>
      </c>
      <c r="C126" s="20" t="s">
        <v>27</v>
      </c>
      <c r="D126" s="20" t="n">
        <v>47</v>
      </c>
      <c r="E126" s="20" t="s">
        <v>28</v>
      </c>
      <c r="F126" s="20" t="n">
        <v>2</v>
      </c>
      <c r="G126" s="20" t="str">
        <f aca="false">CONCATENATE(B126, "-",C126, "-", D126, "-", F126)</f>
        <v>M0111-B-47-2</v>
      </c>
      <c r="H126" s="20" t="n">
        <v>153.71</v>
      </c>
      <c r="I126" s="20" t="n">
        <v>154.71</v>
      </c>
    </row>
    <row r="127" customFormat="false" ht="13.5" hidden="false" customHeight="true" outlineLevel="0" collapsed="false">
      <c r="A127" s="20" t="n">
        <v>501</v>
      </c>
      <c r="B127" s="20" t="s">
        <v>21</v>
      </c>
      <c r="C127" s="20" t="s">
        <v>27</v>
      </c>
      <c r="D127" s="20" t="n">
        <v>47</v>
      </c>
      <c r="E127" s="20" t="s">
        <v>28</v>
      </c>
      <c r="F127" s="20" t="n">
        <v>3</v>
      </c>
      <c r="G127" s="20" t="str">
        <f aca="false">CONCATENATE(B127, "-",C127, "-", D127, "-", F127)</f>
        <v>M0111-B-47-3</v>
      </c>
      <c r="H127" s="20" t="n">
        <v>154.71</v>
      </c>
      <c r="I127" s="20" t="n">
        <v>155.35</v>
      </c>
    </row>
    <row r="128" customFormat="false" ht="13.5" hidden="false" customHeight="true" outlineLevel="0" collapsed="false">
      <c r="A128" s="20" t="n">
        <v>501</v>
      </c>
      <c r="B128" s="20" t="s">
        <v>21</v>
      </c>
      <c r="C128" s="20" t="s">
        <v>27</v>
      </c>
      <c r="D128" s="20" t="n">
        <v>48</v>
      </c>
      <c r="E128" s="20" t="s">
        <v>28</v>
      </c>
      <c r="F128" s="20" t="n">
        <v>1</v>
      </c>
      <c r="G128" s="20" t="str">
        <f aca="false">CONCATENATE(B128, "-",C128, "-", D128, "-", F128)</f>
        <v>M0111-B-48-1</v>
      </c>
      <c r="H128" s="20" t="n">
        <v>155.26</v>
      </c>
      <c r="I128" s="20" t="n">
        <v>155.73</v>
      </c>
    </row>
    <row r="129" customFormat="false" ht="13.5" hidden="false" customHeight="true" outlineLevel="0" collapsed="false">
      <c r="A129" s="20" t="n">
        <v>501</v>
      </c>
      <c r="B129" s="20" t="s">
        <v>21</v>
      </c>
      <c r="C129" s="20" t="s">
        <v>27</v>
      </c>
      <c r="D129" s="20" t="n">
        <v>49</v>
      </c>
      <c r="E129" s="20" t="s">
        <v>28</v>
      </c>
      <c r="F129" s="20" t="n">
        <v>1</v>
      </c>
      <c r="G129" s="20" t="str">
        <f aca="false">CONCATENATE(B129, "-",C129, "-", D129, "-", F129)</f>
        <v>M0111-B-49-1</v>
      </c>
      <c r="H129" s="20" t="n">
        <v>158.31</v>
      </c>
      <c r="I129" s="20" t="n">
        <v>158.5</v>
      </c>
    </row>
    <row r="130" customFormat="false" ht="13.5" hidden="false" customHeight="true" outlineLevel="0" collapsed="false">
      <c r="A130" s="20" t="n">
        <v>501</v>
      </c>
      <c r="B130" s="20" t="s">
        <v>21</v>
      </c>
      <c r="C130" s="20" t="s">
        <v>27</v>
      </c>
      <c r="D130" s="20" t="n">
        <v>50</v>
      </c>
      <c r="E130" s="20" t="s">
        <v>28</v>
      </c>
      <c r="F130" s="20" t="n">
        <v>1</v>
      </c>
      <c r="G130" s="20" t="str">
        <f aca="false">CONCATENATE(B130, "-",C130, "-", D130, "-", F130)</f>
        <v>M0111-B-50-1</v>
      </c>
      <c r="H130" s="20" t="n">
        <v>158.56</v>
      </c>
      <c r="I130" s="20" t="n">
        <v>158.75</v>
      </c>
    </row>
    <row r="131" customFormat="false" ht="13.5" hidden="false" customHeight="true" outlineLevel="0" collapsed="false">
      <c r="A131" s="20" t="n">
        <v>501</v>
      </c>
      <c r="B131" s="20" t="s">
        <v>21</v>
      </c>
      <c r="C131" s="20" t="s">
        <v>27</v>
      </c>
      <c r="D131" s="20" t="n">
        <v>51</v>
      </c>
      <c r="E131" s="20" t="s">
        <v>28</v>
      </c>
      <c r="F131" s="20" t="n">
        <v>1</v>
      </c>
      <c r="G131" s="20" t="str">
        <f aca="false">CONCATENATE(B131, "-",C131, "-", D131, "-", F131)</f>
        <v>M0111-B-51-1</v>
      </c>
      <c r="H131" s="20" t="n">
        <v>161.36</v>
      </c>
      <c r="I131" s="20" t="n">
        <v>161.96</v>
      </c>
    </row>
    <row r="132" customFormat="false" ht="13.5" hidden="false" customHeight="true" outlineLevel="0" collapsed="false">
      <c r="A132" s="20" t="n">
        <v>501</v>
      </c>
      <c r="B132" s="20" t="s">
        <v>21</v>
      </c>
      <c r="C132" s="20" t="s">
        <v>27</v>
      </c>
      <c r="D132" s="20" t="n">
        <v>52</v>
      </c>
      <c r="E132" s="20" t="s">
        <v>28</v>
      </c>
      <c r="F132" s="20" t="n">
        <v>1</v>
      </c>
      <c r="G132" s="20" t="str">
        <f aca="false">CONCATENATE(B132, "-",C132, "-", D132, "-", F132)</f>
        <v>M0111-B-52-1</v>
      </c>
      <c r="H132" s="20" t="n">
        <v>162.06</v>
      </c>
      <c r="I132" s="20" t="n">
        <v>162.32</v>
      </c>
    </row>
    <row r="133" customFormat="false" ht="13.5" hidden="false" customHeight="true" outlineLevel="0" collapsed="false">
      <c r="A133" s="20" t="n">
        <v>501</v>
      </c>
      <c r="B133" s="20" t="s">
        <v>21</v>
      </c>
      <c r="C133" s="20" t="s">
        <v>27</v>
      </c>
      <c r="D133" s="20" t="n">
        <v>53</v>
      </c>
      <c r="E133" s="20" t="s">
        <v>28</v>
      </c>
      <c r="F133" s="20" t="n">
        <v>1</v>
      </c>
      <c r="G133" s="20" t="str">
        <f aca="false">CONCATENATE(B133, "-",C133, "-", D133, "-", F133)</f>
        <v>M0111-B-53-1</v>
      </c>
      <c r="H133" s="20" t="n">
        <v>163.84</v>
      </c>
      <c r="I133" s="20" t="n">
        <v>164.1</v>
      </c>
    </row>
    <row r="134" customFormat="false" ht="13.5" hidden="false" customHeight="true" outlineLevel="0" collapsed="false">
      <c r="A134" s="20" t="n">
        <v>501</v>
      </c>
      <c r="B134" s="20" t="s">
        <v>21</v>
      </c>
      <c r="C134" s="20" t="s">
        <v>27</v>
      </c>
      <c r="D134" s="20" t="n">
        <v>54</v>
      </c>
      <c r="E134" s="20" t="s">
        <v>28</v>
      </c>
      <c r="F134" s="20" t="n">
        <v>1</v>
      </c>
      <c r="G134" s="20" t="str">
        <f aca="false">CONCATENATE(B134, "-",C134, "-", D134, "-", F134)</f>
        <v>M0111-B-54-1</v>
      </c>
      <c r="H134" s="20" t="n">
        <v>165.46</v>
      </c>
      <c r="I134" s="20" t="n">
        <v>165.84</v>
      </c>
    </row>
    <row r="135" customFormat="false" ht="13.5" hidden="false" customHeight="true" outlineLevel="0" collapsed="false">
      <c r="A135" s="20" t="n">
        <v>501</v>
      </c>
      <c r="B135" s="20" t="s">
        <v>21</v>
      </c>
      <c r="C135" s="20" t="s">
        <v>27</v>
      </c>
      <c r="D135" s="20" t="n">
        <v>55</v>
      </c>
      <c r="E135" s="20" t="s">
        <v>28</v>
      </c>
      <c r="F135" s="20" t="n">
        <v>1</v>
      </c>
      <c r="G135" s="20" t="str">
        <f aca="false">CONCATENATE(B135, "-",C135, "-", D135, "-", F135)</f>
        <v>M0111-B-55-1</v>
      </c>
      <c r="H135" s="20" t="n">
        <v>165.81</v>
      </c>
      <c r="I135" s="20" t="n">
        <v>166.31</v>
      </c>
    </row>
    <row r="136" customFormat="false" ht="13.5" hidden="false" customHeight="true" outlineLevel="0" collapsed="false">
      <c r="A136" s="20" t="n">
        <v>501</v>
      </c>
      <c r="B136" s="20" t="s">
        <v>21</v>
      </c>
      <c r="C136" s="20" t="s">
        <v>27</v>
      </c>
      <c r="D136" s="20" t="n">
        <v>56</v>
      </c>
      <c r="E136" s="20" t="s">
        <v>28</v>
      </c>
      <c r="F136" s="20" t="n">
        <v>1</v>
      </c>
      <c r="G136" s="20" t="str">
        <f aca="false">CONCATENATE(B136, "-",C136, "-", D136, "-", F136)</f>
        <v>M0111-B-56-1</v>
      </c>
      <c r="H136" s="20" t="n">
        <v>166.21</v>
      </c>
      <c r="I136" s="20" t="n">
        <v>166.52</v>
      </c>
    </row>
    <row r="137" customFormat="false" ht="13.5" hidden="false" customHeight="true" outlineLevel="0" collapsed="false">
      <c r="A137" s="20" t="n">
        <v>501</v>
      </c>
      <c r="B137" s="20" t="s">
        <v>21</v>
      </c>
      <c r="C137" s="20" t="s">
        <v>27</v>
      </c>
      <c r="D137" s="20" t="n">
        <v>57</v>
      </c>
      <c r="E137" s="20" t="s">
        <v>28</v>
      </c>
      <c r="F137" s="20" t="n">
        <v>1</v>
      </c>
      <c r="G137" s="20" t="str">
        <f aca="false">CONCATENATE(B137, "-",C137, "-", D137, "-", F137)</f>
        <v>M0111-B-57-1</v>
      </c>
      <c r="H137" s="20" t="n">
        <v>167.46</v>
      </c>
      <c r="I137" s="20" t="n">
        <v>168.16</v>
      </c>
    </row>
    <row r="138" customFormat="false" ht="13.5" hidden="false" customHeight="true" outlineLevel="0" collapsed="false">
      <c r="A138" s="20" t="n">
        <v>501</v>
      </c>
      <c r="B138" s="20" t="s">
        <v>21</v>
      </c>
      <c r="C138" s="20" t="s">
        <v>27</v>
      </c>
      <c r="D138" s="20" t="n">
        <v>58</v>
      </c>
      <c r="E138" s="20" t="s">
        <v>28</v>
      </c>
      <c r="F138" s="20" t="n">
        <v>1</v>
      </c>
      <c r="G138" s="20" t="str">
        <f aca="false">CONCATENATE(B138, "-",C138, "-", D138, "-", F138)</f>
        <v>M0111-B-58-1</v>
      </c>
      <c r="H138" s="20" t="n">
        <v>168.51</v>
      </c>
      <c r="I138" s="20" t="n">
        <v>169.33</v>
      </c>
    </row>
    <row r="139" customFormat="false" ht="13.5" hidden="false" customHeight="true" outlineLevel="0" collapsed="false">
      <c r="A139" s="20" t="n">
        <v>501</v>
      </c>
      <c r="B139" s="20" t="s">
        <v>21</v>
      </c>
      <c r="C139" s="20" t="s">
        <v>27</v>
      </c>
      <c r="D139" s="20" t="n">
        <v>59</v>
      </c>
      <c r="E139" s="20" t="s">
        <v>28</v>
      </c>
      <c r="F139" s="20" t="n">
        <v>1</v>
      </c>
      <c r="G139" s="20" t="str">
        <f aca="false">CONCATENATE(B139, "-",C139, "-", D139, "-", F139)</f>
        <v>M0111-B-59-1</v>
      </c>
      <c r="H139" s="20" t="n">
        <v>169.51</v>
      </c>
      <c r="I139" s="20" t="n">
        <v>170.22</v>
      </c>
    </row>
    <row r="140" customFormat="false" ht="13.5" hidden="false" customHeight="true" outlineLevel="0" collapsed="false">
      <c r="A140" s="20" t="n">
        <v>501</v>
      </c>
      <c r="B140" s="20" t="s">
        <v>21</v>
      </c>
      <c r="C140" s="20" t="s">
        <v>27</v>
      </c>
      <c r="D140" s="20" t="n">
        <v>59</v>
      </c>
      <c r="E140" s="20" t="s">
        <v>28</v>
      </c>
      <c r="F140" s="20" t="n">
        <v>2</v>
      </c>
      <c r="G140" s="20" t="str">
        <f aca="false">CONCATENATE(B140, "-",C140, "-", D140, "-", F140)</f>
        <v>M0111-B-59-2</v>
      </c>
      <c r="H140" s="20" t="n">
        <v>170.22</v>
      </c>
      <c r="I140" s="20" t="n">
        <v>170.76</v>
      </c>
    </row>
    <row r="141" customFormat="false" ht="13.5" hidden="false" customHeight="true" outlineLevel="0" collapsed="false">
      <c r="A141" s="20" t="n">
        <v>501</v>
      </c>
      <c r="B141" s="20" t="s">
        <v>21</v>
      </c>
      <c r="C141" s="20" t="s">
        <v>27</v>
      </c>
      <c r="D141" s="20" t="n">
        <v>59</v>
      </c>
      <c r="E141" s="20" t="s">
        <v>28</v>
      </c>
      <c r="F141" s="20" t="n">
        <v>3</v>
      </c>
      <c r="G141" s="20" t="str">
        <f aca="false">CONCATENATE(B141, "-",C141, "-", D141, "-", F141)</f>
        <v>M0111-B-59-3</v>
      </c>
      <c r="H141" s="20" t="n">
        <v>170.76</v>
      </c>
      <c r="I141" s="20" t="n">
        <v>170.9</v>
      </c>
    </row>
    <row r="142" customFormat="false" ht="13.5" hidden="false" customHeight="true" outlineLevel="0" collapsed="false">
      <c r="A142" s="20" t="n">
        <v>501</v>
      </c>
      <c r="B142" s="20" t="s">
        <v>21</v>
      </c>
      <c r="C142" s="20" t="s">
        <v>27</v>
      </c>
      <c r="D142" s="20" t="n">
        <v>60</v>
      </c>
      <c r="E142" s="20" t="s">
        <v>28</v>
      </c>
      <c r="F142" s="20" t="n">
        <v>1</v>
      </c>
      <c r="G142" s="20" t="str">
        <f aca="false">CONCATENATE(B142, "-",C142, "-", D142, "-", F142)</f>
        <v>M0111-B-60-1</v>
      </c>
      <c r="H142" s="20" t="n">
        <v>172.56</v>
      </c>
      <c r="I142" s="20" t="n">
        <v>173.28</v>
      </c>
    </row>
    <row r="143" customFormat="false" ht="13.5" hidden="false" customHeight="true" outlineLevel="0" collapsed="false">
      <c r="A143" s="20" t="n">
        <v>501</v>
      </c>
      <c r="B143" s="20" t="s">
        <v>21</v>
      </c>
      <c r="C143" s="20" t="s">
        <v>27</v>
      </c>
      <c r="D143" s="20" t="n">
        <v>60</v>
      </c>
      <c r="E143" s="20" t="s">
        <v>28</v>
      </c>
      <c r="F143" s="20" t="n">
        <v>2</v>
      </c>
      <c r="G143" s="20" t="str">
        <f aca="false">CONCATENATE(B143, "-",C143, "-", D143, "-", F143)</f>
        <v>M0111-B-60-2</v>
      </c>
      <c r="H143" s="20" t="n">
        <v>173.28</v>
      </c>
      <c r="I143" s="20" t="n">
        <v>174.76</v>
      </c>
    </row>
    <row r="144" customFormat="false" ht="13.5" hidden="false" customHeight="true" outlineLevel="0" collapsed="false">
      <c r="A144" s="20" t="n">
        <v>501</v>
      </c>
      <c r="B144" s="20" t="s">
        <v>21</v>
      </c>
      <c r="C144" s="20" t="s">
        <v>27</v>
      </c>
      <c r="D144" s="20" t="n">
        <v>60</v>
      </c>
      <c r="E144" s="20" t="s">
        <v>28</v>
      </c>
      <c r="F144" s="20" t="n">
        <v>3</v>
      </c>
      <c r="G144" s="20" t="str">
        <f aca="false">CONCATENATE(B144, "-",C144, "-", D144, "-", F144)</f>
        <v>M0111-B-60-3</v>
      </c>
      <c r="H144" s="20" t="n">
        <v>174.76</v>
      </c>
      <c r="I144" s="20" t="n">
        <v>175.58</v>
      </c>
    </row>
    <row r="145" customFormat="false" ht="13.5" hidden="false" customHeight="true" outlineLevel="0" collapsed="false">
      <c r="A145" s="20" t="n">
        <v>501</v>
      </c>
      <c r="B145" s="20" t="s">
        <v>21</v>
      </c>
      <c r="C145" s="20" t="s">
        <v>27</v>
      </c>
      <c r="D145" s="20" t="n">
        <v>60</v>
      </c>
      <c r="E145" s="20" t="s">
        <v>28</v>
      </c>
      <c r="F145" s="20" t="n">
        <v>4</v>
      </c>
      <c r="G145" s="20" t="str">
        <f aca="false">CONCATENATE(B145, "-",C145, "-", D145, "-", F145)</f>
        <v>M0111-B-60-4</v>
      </c>
      <c r="H145" s="20" t="n">
        <v>175.58</v>
      </c>
      <c r="I145" s="20" t="n">
        <v>175.78</v>
      </c>
    </row>
    <row r="146" customFormat="false" ht="13.5" hidden="false" customHeight="true" outlineLevel="0" collapsed="false">
      <c r="A146" s="20" t="n">
        <v>501</v>
      </c>
      <c r="B146" s="20" t="s">
        <v>21</v>
      </c>
      <c r="C146" s="20" t="s">
        <v>27</v>
      </c>
      <c r="D146" s="20" t="n">
        <v>61</v>
      </c>
      <c r="E146" s="20" t="s">
        <v>28</v>
      </c>
      <c r="F146" s="20" t="n">
        <v>1</v>
      </c>
      <c r="G146" s="20" t="str">
        <f aca="false">CONCATENATE(B146, "-",C146, "-", D146, "-", F146)</f>
        <v>M0111-B-61-1</v>
      </c>
      <c r="H146" s="20" t="n">
        <v>175.61</v>
      </c>
      <c r="I146" s="20" t="n">
        <v>177.11</v>
      </c>
    </row>
    <row r="147" customFormat="false" ht="13.5" hidden="false" customHeight="true" outlineLevel="0" collapsed="false">
      <c r="A147" s="20" t="n">
        <v>501</v>
      </c>
      <c r="B147" s="20" t="s">
        <v>21</v>
      </c>
      <c r="C147" s="20" t="s">
        <v>27</v>
      </c>
      <c r="D147" s="20" t="n">
        <v>61</v>
      </c>
      <c r="E147" s="20" t="s">
        <v>28</v>
      </c>
      <c r="F147" s="20" t="n">
        <v>2</v>
      </c>
      <c r="G147" s="20" t="str">
        <f aca="false">CONCATENATE(B147, "-",C147, "-", D147, "-", F147)</f>
        <v>M0111-B-61-2</v>
      </c>
      <c r="H147" s="20" t="n">
        <v>177.11</v>
      </c>
      <c r="I147" s="20" t="n">
        <v>178.11</v>
      </c>
    </row>
    <row r="148" customFormat="false" ht="13.5" hidden="false" customHeight="true" outlineLevel="0" collapsed="false">
      <c r="A148" s="20" t="n">
        <v>501</v>
      </c>
      <c r="B148" s="20" t="s">
        <v>21</v>
      </c>
      <c r="C148" s="20" t="s">
        <v>27</v>
      </c>
      <c r="D148" s="20" t="n">
        <v>61</v>
      </c>
      <c r="E148" s="20" t="s">
        <v>28</v>
      </c>
      <c r="F148" s="20" t="n">
        <v>3</v>
      </c>
      <c r="G148" s="20" t="str">
        <f aca="false">CONCATENATE(B148, "-",C148, "-", D148, "-", F148)</f>
        <v>M0111-B-61-3</v>
      </c>
      <c r="H148" s="20" t="n">
        <v>178.11</v>
      </c>
      <c r="I148" s="20" t="n">
        <v>178.68</v>
      </c>
    </row>
    <row r="149" customFormat="false" ht="13.5" hidden="false" customHeight="true" outlineLevel="0" collapsed="false">
      <c r="A149" s="20" t="n">
        <v>501</v>
      </c>
      <c r="B149" s="20" t="s">
        <v>21</v>
      </c>
      <c r="C149" s="20" t="s">
        <v>27</v>
      </c>
      <c r="D149" s="20" t="n">
        <v>61</v>
      </c>
      <c r="E149" s="20" t="s">
        <v>28</v>
      </c>
      <c r="F149" s="20" t="n">
        <v>4</v>
      </c>
      <c r="G149" s="20" t="str">
        <f aca="false">CONCATENATE(B149, "-",C149, "-", D149, "-", F149)</f>
        <v>M0111-B-61-4</v>
      </c>
      <c r="H149" s="20" t="n">
        <v>178.68</v>
      </c>
      <c r="I149" s="20" t="n">
        <v>178.85</v>
      </c>
    </row>
    <row r="150" customFormat="false" ht="13.5" hidden="false" customHeight="true" outlineLevel="0" collapsed="false">
      <c r="A150" s="20" t="n">
        <v>501</v>
      </c>
      <c r="B150" s="20" t="s">
        <v>21</v>
      </c>
      <c r="C150" s="20" t="s">
        <v>27</v>
      </c>
      <c r="D150" s="20" t="n">
        <v>62</v>
      </c>
      <c r="E150" s="20" t="s">
        <v>28</v>
      </c>
      <c r="F150" s="20" t="n">
        <v>1</v>
      </c>
      <c r="G150" s="20" t="str">
        <f aca="false">CONCATENATE(B150, "-",C150, "-", D150, "-", F150)</f>
        <v>M0111-B-62-1</v>
      </c>
      <c r="H150" s="20" t="n">
        <v>178.66</v>
      </c>
      <c r="I150" s="20" t="n">
        <v>180.16</v>
      </c>
    </row>
    <row r="151" customFormat="false" ht="13.5" hidden="false" customHeight="true" outlineLevel="0" collapsed="false">
      <c r="A151" s="20" t="n">
        <v>501</v>
      </c>
      <c r="B151" s="20" t="s">
        <v>21</v>
      </c>
      <c r="C151" s="20" t="s">
        <v>27</v>
      </c>
      <c r="D151" s="20" t="n">
        <v>63</v>
      </c>
      <c r="E151" s="20" t="s">
        <v>28</v>
      </c>
      <c r="F151" s="20" t="n">
        <v>1</v>
      </c>
      <c r="G151" s="20" t="str">
        <f aca="false">CONCATENATE(B151, "-",C151, "-", D151, "-", F151)</f>
        <v>M0111-B-63-1</v>
      </c>
      <c r="H151" s="20" t="n">
        <v>181.71</v>
      </c>
      <c r="I151" s="20" t="n">
        <v>183.21</v>
      </c>
    </row>
    <row r="152" customFormat="false" ht="13.5" hidden="false" customHeight="true" outlineLevel="0" collapsed="false">
      <c r="A152" s="20" t="n">
        <v>501</v>
      </c>
      <c r="B152" s="20" t="s">
        <v>21</v>
      </c>
      <c r="C152" s="20" t="s">
        <v>27</v>
      </c>
      <c r="D152" s="20" t="n">
        <v>63</v>
      </c>
      <c r="E152" s="20" t="s">
        <v>28</v>
      </c>
      <c r="F152" s="20" t="n">
        <v>2</v>
      </c>
      <c r="G152" s="20" t="str">
        <f aca="false">CONCATENATE(B152, "-",C152, "-", D152, "-", F152)</f>
        <v>M0111-B-63-2</v>
      </c>
      <c r="H152" s="20" t="n">
        <v>183.21</v>
      </c>
      <c r="I152" s="20" t="n">
        <v>184.21</v>
      </c>
    </row>
    <row r="153" customFormat="false" ht="13.5" hidden="false" customHeight="true" outlineLevel="0" collapsed="false">
      <c r="A153" s="20" t="n">
        <v>501</v>
      </c>
      <c r="B153" s="20" t="s">
        <v>21</v>
      </c>
      <c r="C153" s="20" t="s">
        <v>27</v>
      </c>
      <c r="D153" s="20" t="n">
        <v>63</v>
      </c>
      <c r="E153" s="20" t="s">
        <v>28</v>
      </c>
      <c r="F153" s="20" t="n">
        <v>3</v>
      </c>
      <c r="G153" s="20" t="str">
        <f aca="false">CONCATENATE(B153, "-",C153, "-", D153, "-", F153)</f>
        <v>M0111-B-63-3</v>
      </c>
      <c r="H153" s="20" t="n">
        <v>184.21</v>
      </c>
      <c r="I153" s="20" t="n">
        <v>184.79</v>
      </c>
    </row>
    <row r="154" customFormat="false" ht="13.5" hidden="false" customHeight="true" outlineLevel="0" collapsed="false">
      <c r="A154" s="20" t="n">
        <v>501</v>
      </c>
      <c r="B154" s="20" t="s">
        <v>21</v>
      </c>
      <c r="C154" s="20" t="s">
        <v>27</v>
      </c>
      <c r="D154" s="20" t="n">
        <v>63</v>
      </c>
      <c r="E154" s="20" t="s">
        <v>28</v>
      </c>
      <c r="F154" s="20" t="n">
        <v>4</v>
      </c>
      <c r="G154" s="20" t="str">
        <f aca="false">CONCATENATE(B154, "-",C154, "-", D154, "-", F154)</f>
        <v>M0111-B-63-4</v>
      </c>
      <c r="H154" s="20" t="n">
        <v>184.79</v>
      </c>
      <c r="I154" s="20" t="n">
        <v>184.92</v>
      </c>
    </row>
    <row r="155" customFormat="false" ht="13.5" hidden="false" customHeight="true" outlineLevel="0" collapsed="false">
      <c r="A155" s="20" t="n">
        <v>501</v>
      </c>
      <c r="B155" s="20" t="s">
        <v>21</v>
      </c>
      <c r="C155" s="20" t="s">
        <v>27</v>
      </c>
      <c r="D155" s="20" t="n">
        <v>64</v>
      </c>
      <c r="E155" s="20" t="s">
        <v>28</v>
      </c>
      <c r="F155" s="20" t="n">
        <v>1</v>
      </c>
      <c r="G155" s="20" t="str">
        <f aca="false">CONCATENATE(B155, "-",C155, "-", D155, "-", F155)</f>
        <v>M0111-B-64-1</v>
      </c>
      <c r="H155" s="20" t="n">
        <v>184.76</v>
      </c>
      <c r="I155" s="20" t="n">
        <v>185.33</v>
      </c>
    </row>
    <row r="156" customFormat="false" ht="13.5" hidden="false" customHeight="true" outlineLevel="0" collapsed="false">
      <c r="A156" s="20" t="n">
        <v>501</v>
      </c>
      <c r="B156" s="20" t="s">
        <v>21</v>
      </c>
      <c r="C156" s="20" t="s">
        <v>27</v>
      </c>
      <c r="D156" s="20" t="n">
        <v>64</v>
      </c>
      <c r="E156" s="20" t="s">
        <v>28</v>
      </c>
      <c r="F156" s="20" t="n">
        <v>2</v>
      </c>
      <c r="G156" s="20" t="str">
        <f aca="false">CONCATENATE(B156, "-",C156, "-", D156, "-", F156)</f>
        <v>M0111-B-64-2</v>
      </c>
      <c r="H156" s="20" t="n">
        <v>185.33</v>
      </c>
      <c r="I156" s="20" t="n">
        <v>185.66</v>
      </c>
    </row>
    <row r="157" customFormat="false" ht="13.5" hidden="false" customHeight="true" outlineLevel="0" collapsed="false">
      <c r="A157" s="20" t="n">
        <v>501</v>
      </c>
      <c r="B157" s="20" t="s">
        <v>21</v>
      </c>
      <c r="C157" s="20" t="s">
        <v>27</v>
      </c>
      <c r="D157" s="20" t="n">
        <v>65</v>
      </c>
      <c r="E157" s="20" t="s">
        <v>28</v>
      </c>
      <c r="F157" s="20" t="n">
        <v>1</v>
      </c>
      <c r="G157" s="20" t="str">
        <f aca="false">CONCATENATE(B157, "-",C157, "-", D157, "-", F157)</f>
        <v>M0111-B-65-1</v>
      </c>
      <c r="H157" s="20" t="n">
        <v>187.81</v>
      </c>
      <c r="I157" s="20" t="n">
        <v>189.3</v>
      </c>
    </row>
    <row r="158" customFormat="false" ht="13.5" hidden="false" customHeight="true" outlineLevel="0" collapsed="false">
      <c r="A158" s="20" t="n">
        <v>501</v>
      </c>
      <c r="B158" s="20" t="s">
        <v>21</v>
      </c>
      <c r="C158" s="20" t="s">
        <v>27</v>
      </c>
      <c r="D158" s="20" t="n">
        <v>65</v>
      </c>
      <c r="E158" s="20" t="s">
        <v>28</v>
      </c>
      <c r="F158" s="20" t="n">
        <v>2</v>
      </c>
      <c r="G158" s="20" t="str">
        <f aca="false">CONCATENATE(B158, "-",C158, "-", D158, "-", F158)</f>
        <v>M0111-B-65-2</v>
      </c>
      <c r="H158" s="20" t="n">
        <v>189.3</v>
      </c>
      <c r="I158" s="20" t="n">
        <v>190.22</v>
      </c>
    </row>
    <row r="159" customFormat="false" ht="13.5" hidden="false" customHeight="true" outlineLevel="0" collapsed="false">
      <c r="A159" s="20" t="n">
        <v>501</v>
      </c>
      <c r="B159" s="20" t="s">
        <v>21</v>
      </c>
      <c r="C159" s="20" t="s">
        <v>27</v>
      </c>
      <c r="D159" s="20" t="n">
        <v>65</v>
      </c>
      <c r="E159" s="20" t="s">
        <v>28</v>
      </c>
      <c r="F159" s="20" t="n">
        <v>3</v>
      </c>
      <c r="G159" s="20" t="str">
        <f aca="false">CONCATENATE(B159, "-",C159, "-", D159, "-", F159)</f>
        <v>M0111-B-65-3</v>
      </c>
      <c r="H159" s="20" t="n">
        <v>190.22</v>
      </c>
      <c r="I159" s="20" t="n">
        <v>190.87</v>
      </c>
    </row>
    <row r="160" customFormat="false" ht="13.5" hidden="false" customHeight="true" outlineLevel="0" collapsed="false">
      <c r="A160" s="20" t="n">
        <v>501</v>
      </c>
      <c r="B160" s="20" t="s">
        <v>21</v>
      </c>
      <c r="C160" s="20" t="s">
        <v>27</v>
      </c>
      <c r="D160" s="20" t="n">
        <v>65</v>
      </c>
      <c r="E160" s="20" t="s">
        <v>28</v>
      </c>
      <c r="F160" s="20" t="n">
        <v>4</v>
      </c>
      <c r="G160" s="20" t="str">
        <f aca="false">CONCATENATE(B160, "-",C160, "-", D160, "-", F160)</f>
        <v>M0111-B-65-4</v>
      </c>
      <c r="H160" s="20" t="n">
        <v>190.87</v>
      </c>
      <c r="I160" s="20" t="n">
        <v>190.98</v>
      </c>
    </row>
    <row r="161" customFormat="false" ht="13.5" hidden="false" customHeight="true" outlineLevel="0" collapsed="false">
      <c r="A161" s="20" t="n">
        <v>501</v>
      </c>
      <c r="B161" s="20" t="s">
        <v>21</v>
      </c>
      <c r="C161" s="20" t="s">
        <v>27</v>
      </c>
      <c r="D161" s="20" t="n">
        <v>66</v>
      </c>
      <c r="E161" s="20" t="s">
        <v>28</v>
      </c>
      <c r="F161" s="20" t="n">
        <v>1</v>
      </c>
      <c r="G161" s="20" t="str">
        <f aca="false">CONCATENATE(B161, "-",C161, "-", D161, "-", F161)</f>
        <v>M0111-B-66-1</v>
      </c>
      <c r="H161" s="20" t="n">
        <v>190.86</v>
      </c>
      <c r="I161" s="20" t="n">
        <v>192.35</v>
      </c>
    </row>
    <row r="162" customFormat="false" ht="13.5" hidden="false" customHeight="true" outlineLevel="0" collapsed="false">
      <c r="A162" s="20" t="n">
        <v>501</v>
      </c>
      <c r="B162" s="20" t="s">
        <v>21</v>
      </c>
      <c r="C162" s="20" t="s">
        <v>27</v>
      </c>
      <c r="D162" s="20" t="n">
        <v>66</v>
      </c>
      <c r="E162" s="20" t="s">
        <v>28</v>
      </c>
      <c r="F162" s="20" t="n">
        <v>2</v>
      </c>
      <c r="G162" s="20" t="str">
        <f aca="false">CONCATENATE(B162, "-",C162, "-", D162, "-", F162)</f>
        <v>M0111-B-66-2</v>
      </c>
      <c r="H162" s="20" t="n">
        <v>192.35</v>
      </c>
      <c r="I162" s="20" t="n">
        <v>193.25</v>
      </c>
    </row>
    <row r="163" customFormat="false" ht="13.5" hidden="false" customHeight="true" outlineLevel="0" collapsed="false">
      <c r="A163" s="20" t="n">
        <v>501</v>
      </c>
      <c r="B163" s="20" t="s">
        <v>21</v>
      </c>
      <c r="C163" s="20" t="s">
        <v>27</v>
      </c>
      <c r="D163" s="20" t="n">
        <v>66</v>
      </c>
      <c r="E163" s="20" t="s">
        <v>28</v>
      </c>
      <c r="F163" s="20" t="n">
        <v>3</v>
      </c>
      <c r="G163" s="20" t="str">
        <f aca="false">CONCATENATE(B163, "-",C163, "-", D163, "-", F163)</f>
        <v>M0111-B-66-3</v>
      </c>
      <c r="H163" s="20" t="n">
        <v>193.25</v>
      </c>
      <c r="I163" s="20" t="n">
        <v>193.93</v>
      </c>
    </row>
    <row r="164" customFormat="false" ht="13.5" hidden="false" customHeight="true" outlineLevel="0" collapsed="false">
      <c r="A164" s="20" t="n">
        <v>501</v>
      </c>
      <c r="B164" s="20" t="s">
        <v>21</v>
      </c>
      <c r="C164" s="20" t="s">
        <v>27</v>
      </c>
      <c r="D164" s="20" t="n">
        <v>66</v>
      </c>
      <c r="E164" s="20" t="s">
        <v>28</v>
      </c>
      <c r="F164" s="20" t="n">
        <v>4</v>
      </c>
      <c r="G164" s="20" t="str">
        <f aca="false">CONCATENATE(B164, "-",C164, "-", D164, "-", F164)</f>
        <v>M0111-B-66-4</v>
      </c>
      <c r="H164" s="20" t="n">
        <v>193.93</v>
      </c>
      <c r="I164" s="20" t="n">
        <v>194.05</v>
      </c>
    </row>
    <row r="165" customFormat="false" ht="13.5" hidden="false" customHeight="true" outlineLevel="0" collapsed="false">
      <c r="A165" s="20" t="n">
        <v>501</v>
      </c>
      <c r="B165" s="20" t="s">
        <v>21</v>
      </c>
      <c r="C165" s="20" t="s">
        <v>27</v>
      </c>
      <c r="D165" s="20" t="n">
        <v>67</v>
      </c>
      <c r="E165" s="20" t="s">
        <v>28</v>
      </c>
      <c r="F165" s="20" t="n">
        <v>1</v>
      </c>
      <c r="G165" s="20" t="str">
        <f aca="false">CONCATENATE(B165, "-",C165, "-", D165, "-", F165)</f>
        <v>M0111-B-67-1</v>
      </c>
      <c r="H165" s="20" t="n">
        <v>193.91</v>
      </c>
      <c r="I165" s="20" t="n">
        <v>195.4</v>
      </c>
    </row>
    <row r="166" customFormat="false" ht="13.5" hidden="false" customHeight="true" outlineLevel="0" collapsed="false">
      <c r="A166" s="20" t="n">
        <v>501</v>
      </c>
      <c r="B166" s="20" t="s">
        <v>21</v>
      </c>
      <c r="C166" s="20" t="s">
        <v>27</v>
      </c>
      <c r="D166" s="20" t="n">
        <v>67</v>
      </c>
      <c r="E166" s="20" t="s">
        <v>28</v>
      </c>
      <c r="F166" s="20" t="n">
        <v>2</v>
      </c>
      <c r="G166" s="20" t="str">
        <f aca="false">CONCATENATE(B166, "-",C166, "-", D166, "-", F166)</f>
        <v>M0111-B-67-2</v>
      </c>
      <c r="H166" s="20" t="n">
        <v>195.4</v>
      </c>
      <c r="I166" s="20" t="n">
        <v>196.23</v>
      </c>
    </row>
    <row r="167" customFormat="false" ht="13.5" hidden="false" customHeight="true" outlineLevel="0" collapsed="false">
      <c r="A167" s="20" t="n">
        <v>501</v>
      </c>
      <c r="B167" s="20" t="s">
        <v>21</v>
      </c>
      <c r="C167" s="20" t="s">
        <v>27</v>
      </c>
      <c r="D167" s="20" t="n">
        <v>67</v>
      </c>
      <c r="E167" s="20" t="s">
        <v>28</v>
      </c>
      <c r="F167" s="20" t="n">
        <v>3</v>
      </c>
      <c r="G167" s="20" t="str">
        <f aca="false">CONCATENATE(B167, "-",C167, "-", D167, "-", F167)</f>
        <v>M0111-B-67-3</v>
      </c>
      <c r="H167" s="20" t="n">
        <v>196.23</v>
      </c>
      <c r="I167" s="20" t="n">
        <v>196.33</v>
      </c>
    </row>
    <row r="168" customFormat="false" ht="13.5" hidden="false" customHeight="true" outlineLevel="0" collapsed="false">
      <c r="A168" s="20" t="n">
        <v>501</v>
      </c>
      <c r="B168" s="20" t="s">
        <v>21</v>
      </c>
      <c r="C168" s="20" t="s">
        <v>27</v>
      </c>
      <c r="D168" s="20" t="n">
        <v>68</v>
      </c>
      <c r="E168" s="20" t="s">
        <v>28</v>
      </c>
      <c r="F168" s="20" t="n">
        <v>1</v>
      </c>
      <c r="G168" s="20" t="str">
        <f aca="false">CONCATENATE(B168, "-",C168, "-", D168, "-", F168)</f>
        <v>M0111-B-68-1</v>
      </c>
      <c r="H168" s="20" t="n">
        <v>196.96</v>
      </c>
      <c r="I168" s="20" t="n">
        <v>198.46</v>
      </c>
    </row>
    <row r="169" customFormat="false" ht="13.5" hidden="false" customHeight="true" outlineLevel="0" collapsed="false">
      <c r="A169" s="20" t="n">
        <v>501</v>
      </c>
      <c r="B169" s="20" t="s">
        <v>21</v>
      </c>
      <c r="C169" s="20" t="s">
        <v>27</v>
      </c>
      <c r="D169" s="20" t="n">
        <v>68</v>
      </c>
      <c r="E169" s="20" t="s">
        <v>28</v>
      </c>
      <c r="F169" s="20" t="n">
        <v>2</v>
      </c>
      <c r="G169" s="20" t="str">
        <f aca="false">CONCATENATE(B169, "-",C169, "-", D169, "-", F169)</f>
        <v>M0111-B-68-2</v>
      </c>
      <c r="H169" s="20" t="n">
        <v>198.46</v>
      </c>
      <c r="I169" s="20" t="n">
        <v>199.67</v>
      </c>
    </row>
    <row r="170" customFormat="false" ht="13.5" hidden="false" customHeight="true" outlineLevel="0" collapsed="false">
      <c r="A170" s="20" t="n">
        <v>501</v>
      </c>
      <c r="B170" s="20" t="s">
        <v>21</v>
      </c>
      <c r="C170" s="20" t="s">
        <v>27</v>
      </c>
      <c r="D170" s="20" t="n">
        <v>69</v>
      </c>
      <c r="E170" s="20" t="s">
        <v>28</v>
      </c>
      <c r="F170" s="20" t="n">
        <v>1</v>
      </c>
      <c r="G170" s="20" t="str">
        <f aca="false">CONCATENATE(B170, "-",C170, "-", D170, "-", F170)</f>
        <v>M0111-B-69-1</v>
      </c>
      <c r="H170" s="20" t="n">
        <v>200.01</v>
      </c>
      <c r="I170" s="20" t="n">
        <v>201.51</v>
      </c>
    </row>
    <row r="171" customFormat="false" ht="13.5" hidden="false" customHeight="true" outlineLevel="0" collapsed="false">
      <c r="A171" s="20" t="n">
        <v>501</v>
      </c>
      <c r="B171" s="20" t="s">
        <v>21</v>
      </c>
      <c r="C171" s="20" t="s">
        <v>27</v>
      </c>
      <c r="D171" s="20" t="n">
        <v>69</v>
      </c>
      <c r="E171" s="20" t="s">
        <v>28</v>
      </c>
      <c r="F171" s="20" t="n">
        <v>2</v>
      </c>
      <c r="G171" s="20" t="str">
        <f aca="false">CONCATENATE(B171, "-",C171, "-", D171, "-", F171)</f>
        <v>M0111-B-69-2</v>
      </c>
      <c r="H171" s="20" t="n">
        <v>201.51</v>
      </c>
      <c r="I171" s="20" t="n">
        <v>202.99</v>
      </c>
    </row>
    <row r="172" customFormat="false" ht="13.5" hidden="false" customHeight="true" outlineLevel="0" collapsed="false">
      <c r="A172" s="20" t="n">
        <v>501</v>
      </c>
      <c r="B172" s="20" t="s">
        <v>21</v>
      </c>
      <c r="C172" s="20" t="s">
        <v>27</v>
      </c>
      <c r="D172" s="20" t="n">
        <v>70</v>
      </c>
      <c r="E172" s="20" t="s">
        <v>28</v>
      </c>
      <c r="F172" s="20" t="n">
        <v>1</v>
      </c>
      <c r="G172" s="20" t="str">
        <f aca="false">CONCATENATE(B172, "-",C172, "-", D172, "-", F172)</f>
        <v>M0111-B-70-1</v>
      </c>
      <c r="H172" s="20" t="n">
        <v>203.06</v>
      </c>
      <c r="I172" s="20" t="n">
        <v>204.32</v>
      </c>
    </row>
    <row r="173" customFormat="false" ht="13.5" hidden="false" customHeight="true" outlineLevel="0" collapsed="false">
      <c r="A173" s="20" t="n">
        <v>501</v>
      </c>
      <c r="B173" s="20" t="s">
        <v>21</v>
      </c>
      <c r="C173" s="20" t="s">
        <v>27</v>
      </c>
      <c r="D173" s="20" t="n">
        <v>70</v>
      </c>
      <c r="E173" s="20" t="s">
        <v>28</v>
      </c>
      <c r="F173" s="20" t="n">
        <v>2</v>
      </c>
      <c r="G173" s="20" t="str">
        <f aca="false">CONCATENATE(B173, "-",C173, "-", D173, "-", F173)</f>
        <v>M0111-B-70-2</v>
      </c>
      <c r="H173" s="20" t="n">
        <v>204.32</v>
      </c>
      <c r="I173" s="20" t="n">
        <v>204.5</v>
      </c>
    </row>
    <row r="174" customFormat="false" ht="13.5" hidden="false" customHeight="true" outlineLevel="0" collapsed="false">
      <c r="A174" s="20" t="n">
        <v>501</v>
      </c>
      <c r="B174" s="20" t="s">
        <v>21</v>
      </c>
      <c r="C174" s="20" t="s">
        <v>27</v>
      </c>
      <c r="D174" s="20" t="n">
        <v>71</v>
      </c>
      <c r="E174" s="20" t="s">
        <v>28</v>
      </c>
      <c r="F174" s="20" t="n">
        <v>1</v>
      </c>
      <c r="G174" s="20" t="str">
        <f aca="false">CONCATENATE(B174, "-",C174, "-", D174, "-", F174)</f>
        <v>M0111-B-71-1</v>
      </c>
      <c r="H174" s="20" t="n">
        <v>206.11</v>
      </c>
      <c r="I174" s="20" t="n">
        <v>207.29</v>
      </c>
    </row>
    <row r="175" customFormat="false" ht="13.5" hidden="false" customHeight="true" outlineLevel="0" collapsed="false">
      <c r="A175" s="20" t="n">
        <v>501</v>
      </c>
      <c r="B175" s="20" t="s">
        <v>21</v>
      </c>
      <c r="C175" s="20" t="s">
        <v>27</v>
      </c>
      <c r="D175" s="20" t="n">
        <v>72</v>
      </c>
      <c r="E175" s="20" t="s">
        <v>28</v>
      </c>
      <c r="F175" s="20" t="n">
        <v>1</v>
      </c>
      <c r="G175" s="20" t="str">
        <f aca="false">CONCATENATE(B175, "-",C175, "-", D175, "-", F175)</f>
        <v>M0111-B-72-1</v>
      </c>
      <c r="H175" s="20" t="n">
        <v>207.33</v>
      </c>
      <c r="I175" s="20" t="n">
        <v>208.46</v>
      </c>
    </row>
    <row r="176" customFormat="false" ht="13.5" hidden="false" customHeight="true" outlineLevel="0" collapsed="false">
      <c r="A176" s="20" t="n">
        <v>501</v>
      </c>
      <c r="B176" s="20" t="s">
        <v>21</v>
      </c>
      <c r="C176" s="20" t="s">
        <v>27</v>
      </c>
      <c r="D176" s="20" t="n">
        <v>73</v>
      </c>
      <c r="E176" s="20" t="s">
        <v>28</v>
      </c>
      <c r="F176" s="20" t="n">
        <v>1</v>
      </c>
      <c r="G176" s="20" t="str">
        <f aca="false">CONCATENATE(B176, "-",C176, "-", D176, "-", F176)</f>
        <v>M0111-B-73-1</v>
      </c>
      <c r="H176" s="20" t="n">
        <v>209.83</v>
      </c>
      <c r="I176" s="20" t="n">
        <v>211.33</v>
      </c>
    </row>
    <row r="177" customFormat="false" ht="13.5" hidden="false" customHeight="true" outlineLevel="0" collapsed="false">
      <c r="A177" s="20" t="n">
        <v>501</v>
      </c>
      <c r="B177" s="20" t="s">
        <v>21</v>
      </c>
      <c r="C177" s="20" t="s">
        <v>27</v>
      </c>
      <c r="D177" s="20" t="n">
        <v>73</v>
      </c>
      <c r="E177" s="20" t="s">
        <v>28</v>
      </c>
      <c r="F177" s="20" t="n">
        <v>2</v>
      </c>
      <c r="G177" s="20" t="str">
        <f aca="false">CONCATENATE(B177, "-",C177, "-", D177, "-", F177)</f>
        <v>M0111-B-73-2</v>
      </c>
      <c r="H177" s="20" t="n">
        <v>211.33</v>
      </c>
      <c r="I177" s="20" t="n">
        <v>212.38</v>
      </c>
    </row>
    <row r="178" customFormat="false" ht="13.5" hidden="false" customHeight="true" outlineLevel="0" collapsed="false">
      <c r="A178" s="20" t="n">
        <v>501</v>
      </c>
      <c r="B178" s="20" t="s">
        <v>21</v>
      </c>
      <c r="C178" s="20" t="s">
        <v>27</v>
      </c>
      <c r="D178" s="20" t="n">
        <v>74</v>
      </c>
      <c r="E178" s="20" t="s">
        <v>28</v>
      </c>
      <c r="F178" s="20" t="n">
        <v>1</v>
      </c>
      <c r="G178" s="20" t="str">
        <f aca="false">CONCATENATE(B178, "-",C178, "-", D178, "-", F178)</f>
        <v>M0111-B-74-1</v>
      </c>
      <c r="H178" s="20" t="n">
        <v>212.88</v>
      </c>
      <c r="I178" s="20" t="n">
        <v>213.67</v>
      </c>
    </row>
    <row r="179" customFormat="false" ht="13.5" hidden="false" customHeight="true" outlineLevel="0" collapsed="false">
      <c r="A179" s="20" t="n">
        <v>501</v>
      </c>
      <c r="B179" s="20" t="s">
        <v>21</v>
      </c>
      <c r="C179" s="20" t="s">
        <v>27</v>
      </c>
      <c r="D179" s="20" t="n">
        <v>75</v>
      </c>
      <c r="E179" s="20" t="s">
        <v>28</v>
      </c>
      <c r="F179" s="20" t="n">
        <v>1</v>
      </c>
      <c r="G179" s="20" t="str">
        <f aca="false">CONCATENATE(B179, "-",C179, "-", D179, "-", F179)</f>
        <v>M0111-B-75-1</v>
      </c>
      <c r="H179" s="20" t="n">
        <v>215.33</v>
      </c>
      <c r="I179" s="20" t="n">
        <v>216.1</v>
      </c>
    </row>
    <row r="180" customFormat="false" ht="13.5" hidden="false" customHeight="true" outlineLevel="0" collapsed="false">
      <c r="A180" s="20" t="n">
        <v>501</v>
      </c>
      <c r="B180" s="20" t="s">
        <v>21</v>
      </c>
      <c r="C180" s="20" t="s">
        <v>27</v>
      </c>
      <c r="D180" s="20" t="n">
        <v>78</v>
      </c>
      <c r="E180" s="20" t="s">
        <v>28</v>
      </c>
      <c r="F180" s="20" t="n">
        <v>1</v>
      </c>
      <c r="G180" s="20" t="str">
        <f aca="false">CONCATENATE(B180, "-",C180, "-", D180, "-", F180)</f>
        <v>M0111-B-78-1</v>
      </c>
      <c r="H180" s="20" t="n">
        <v>219.93</v>
      </c>
      <c r="I180" s="20" t="n">
        <v>220.62</v>
      </c>
    </row>
    <row r="181" customFormat="false" ht="13.5" hidden="false" customHeight="true" outlineLevel="0" collapsed="false">
      <c r="A181" s="20" t="n">
        <v>501</v>
      </c>
      <c r="B181" s="20" t="s">
        <v>21</v>
      </c>
      <c r="C181" s="20" t="s">
        <v>27</v>
      </c>
      <c r="D181" s="20" t="n">
        <v>81</v>
      </c>
      <c r="E181" s="20" t="s">
        <v>28</v>
      </c>
      <c r="F181" s="20" t="n">
        <v>1</v>
      </c>
      <c r="G181" s="20" t="str">
        <f aca="false">CONCATENATE(B181, "-",C181, "-", D181, "-", F181)</f>
        <v>M0111-B-81-1</v>
      </c>
      <c r="H181" s="20" t="n">
        <v>224.09</v>
      </c>
      <c r="I181" s="20" t="n">
        <v>224.42</v>
      </c>
    </row>
    <row r="182" customFormat="false" ht="13.5" hidden="false" customHeight="true" outlineLevel="0" collapsed="false">
      <c r="A182" s="20" t="n">
        <v>501</v>
      </c>
      <c r="B182" s="20" t="s">
        <v>21</v>
      </c>
      <c r="C182" s="20" t="s">
        <v>27</v>
      </c>
      <c r="D182" s="20" t="n">
        <v>82</v>
      </c>
      <c r="E182" s="20" t="s">
        <v>28</v>
      </c>
      <c r="F182" s="20" t="n">
        <v>1</v>
      </c>
      <c r="G182" s="20" t="str">
        <f aca="false">CONCATENATE(B182, "-",C182, "-", D182, "-", F182)</f>
        <v>M0111-B-82-1</v>
      </c>
      <c r="H182" s="20" t="n">
        <v>224.58</v>
      </c>
      <c r="I182" s="20" t="n">
        <v>225.42</v>
      </c>
    </row>
    <row r="183" customFormat="false" ht="13.5" hidden="false" customHeight="true" outlineLevel="0" collapsed="false">
      <c r="A183" s="20" t="n">
        <v>501</v>
      </c>
      <c r="B183" s="20" t="s">
        <v>21</v>
      </c>
      <c r="C183" s="20" t="s">
        <v>27</v>
      </c>
      <c r="D183" s="20" t="n">
        <v>83</v>
      </c>
      <c r="E183" s="20" t="s">
        <v>28</v>
      </c>
      <c r="F183" s="20" t="n">
        <v>1</v>
      </c>
      <c r="G183" s="20" t="str">
        <f aca="false">CONCATENATE(B183, "-",C183, "-", D183, "-", F183)</f>
        <v>M0111-B-83-1</v>
      </c>
      <c r="H183" s="20" t="n">
        <v>224.58</v>
      </c>
      <c r="I183" s="20" t="n">
        <v>225.04</v>
      </c>
    </row>
    <row r="184" customFormat="false" ht="13.5" hidden="false" customHeight="true" outlineLevel="0" collapsed="false">
      <c r="A184" s="20" t="n">
        <v>501</v>
      </c>
      <c r="B184" s="20" t="s">
        <v>21</v>
      </c>
      <c r="C184" s="20" t="s">
        <v>27</v>
      </c>
      <c r="D184" s="20" t="n">
        <v>84</v>
      </c>
      <c r="E184" s="20" t="s">
        <v>28</v>
      </c>
      <c r="F184" s="20" t="n">
        <v>1</v>
      </c>
      <c r="G184" s="20" t="str">
        <f aca="false">CONCATENATE(B184, "-",C184, "-", D184, "-", F184)</f>
        <v>M0111-B-84-1</v>
      </c>
      <c r="H184" s="20" t="n">
        <v>227.63</v>
      </c>
      <c r="I184" s="20" t="n">
        <v>228.63</v>
      </c>
    </row>
    <row r="185" customFormat="false" ht="13.5" hidden="false" customHeight="true" outlineLevel="0" collapsed="false">
      <c r="A185" s="20" t="n">
        <v>501</v>
      </c>
      <c r="B185" s="20" t="s">
        <v>21</v>
      </c>
      <c r="C185" s="20" t="s">
        <v>27</v>
      </c>
      <c r="D185" s="20" t="n">
        <v>84</v>
      </c>
      <c r="E185" s="20" t="s">
        <v>28</v>
      </c>
      <c r="F185" s="20" t="n">
        <v>2</v>
      </c>
      <c r="G185" s="20" t="str">
        <f aca="false">CONCATENATE(B185, "-",C185, "-", D185, "-", F185)</f>
        <v>M0111-B-84-2</v>
      </c>
      <c r="H185" s="20" t="n">
        <v>228.63</v>
      </c>
      <c r="I185" s="20" t="n">
        <v>229.24</v>
      </c>
    </row>
    <row r="186" customFormat="false" ht="13.5" hidden="false" customHeight="true" outlineLevel="0" collapsed="false">
      <c r="A186" s="20" t="n">
        <v>501</v>
      </c>
      <c r="B186" s="20" t="s">
        <v>21</v>
      </c>
      <c r="C186" s="20" t="s">
        <v>27</v>
      </c>
      <c r="D186" s="20" t="n">
        <v>85</v>
      </c>
      <c r="E186" s="20" t="s">
        <v>28</v>
      </c>
      <c r="F186" s="20" t="n">
        <v>1</v>
      </c>
      <c r="G186" s="20" t="str">
        <f aca="false">CONCATENATE(B186, "-",C186, "-", D186, "-", F186)</f>
        <v>M0111-B-85-1</v>
      </c>
      <c r="H186" s="20" t="n">
        <v>230.68</v>
      </c>
      <c r="I186" s="20" t="n">
        <v>231.08</v>
      </c>
    </row>
    <row r="187" customFormat="false" ht="13.5" hidden="false" customHeight="true" outlineLevel="0" collapsed="false">
      <c r="A187" s="20" t="n">
        <v>501</v>
      </c>
      <c r="B187" s="20" t="s">
        <v>21</v>
      </c>
      <c r="C187" s="20" t="s">
        <v>27</v>
      </c>
      <c r="D187" s="20" t="n">
        <v>86</v>
      </c>
      <c r="E187" s="20" t="s">
        <v>28</v>
      </c>
      <c r="F187" s="20" t="n">
        <v>1</v>
      </c>
      <c r="G187" s="20" t="str">
        <f aca="false">CONCATENATE(B187, "-",C187, "-", D187, "-", F187)</f>
        <v>M0111-B-86-1</v>
      </c>
      <c r="H187" s="20" t="n">
        <v>230.68</v>
      </c>
      <c r="I187" s="20" t="n">
        <v>232.18</v>
      </c>
    </row>
    <row r="188" customFormat="false" ht="13.5" hidden="false" customHeight="true" outlineLevel="0" collapsed="false">
      <c r="A188" s="20" t="n">
        <v>501</v>
      </c>
      <c r="B188" s="20" t="s">
        <v>21</v>
      </c>
      <c r="C188" s="20" t="s">
        <v>27</v>
      </c>
      <c r="D188" s="20" t="n">
        <v>86</v>
      </c>
      <c r="E188" s="20" t="s">
        <v>28</v>
      </c>
      <c r="F188" s="20" t="n">
        <v>2</v>
      </c>
      <c r="G188" s="20" t="str">
        <f aca="false">CONCATENATE(B188, "-",C188, "-", D188, "-", F188)</f>
        <v>M0111-B-86-2</v>
      </c>
      <c r="H188" s="20" t="n">
        <v>232.18</v>
      </c>
      <c r="I188" s="20" t="n">
        <v>233.49</v>
      </c>
    </row>
    <row r="189" customFormat="false" ht="13.5" hidden="false" customHeight="true" outlineLevel="0" collapsed="false">
      <c r="A189" s="20" t="n">
        <v>501</v>
      </c>
      <c r="B189" s="20" t="s">
        <v>21</v>
      </c>
      <c r="C189" s="20" t="s">
        <v>27</v>
      </c>
      <c r="D189" s="20" t="n">
        <v>87</v>
      </c>
      <c r="E189" s="20" t="s">
        <v>28</v>
      </c>
      <c r="F189" s="20" t="n">
        <v>1</v>
      </c>
      <c r="G189" s="20" t="str">
        <f aca="false">CONCATENATE(B189, "-",C189, "-", D189, "-", F189)</f>
        <v>M0111-B-87-1</v>
      </c>
      <c r="H189" s="20" t="n">
        <v>233.73</v>
      </c>
      <c r="I189" s="20" t="n">
        <v>234.67</v>
      </c>
    </row>
    <row r="190" customFormat="false" ht="13.5" hidden="false" customHeight="true" outlineLevel="0" collapsed="false">
      <c r="A190" s="20" t="n">
        <v>501</v>
      </c>
      <c r="B190" s="20" t="s">
        <v>21</v>
      </c>
      <c r="C190" s="20" t="s">
        <v>27</v>
      </c>
      <c r="D190" s="20" t="n">
        <v>88</v>
      </c>
      <c r="E190" s="20" t="s">
        <v>28</v>
      </c>
      <c r="F190" s="20" t="n">
        <v>1</v>
      </c>
      <c r="G190" s="20" t="str">
        <f aca="false">CONCATENATE(B190, "-",C190, "-", D190, "-", F190)</f>
        <v>M0111-B-88-1</v>
      </c>
      <c r="H190" s="20" t="n">
        <v>234.53</v>
      </c>
      <c r="I190" s="20" t="n">
        <v>235.75</v>
      </c>
    </row>
    <row r="191" customFormat="false" ht="13.5" hidden="false" customHeight="true" outlineLevel="0" collapsed="false">
      <c r="A191" s="20" t="n">
        <v>501</v>
      </c>
      <c r="B191" s="20" t="s">
        <v>21</v>
      </c>
      <c r="C191" s="20" t="s">
        <v>27</v>
      </c>
      <c r="D191" s="20" t="n">
        <v>88</v>
      </c>
      <c r="E191" s="20" t="s">
        <v>28</v>
      </c>
      <c r="F191" s="20" t="n">
        <v>2</v>
      </c>
      <c r="G191" s="20" t="str">
        <f aca="false">CONCATENATE(B191, "-",C191, "-", D191, "-", F191)</f>
        <v>M0111-B-88-2</v>
      </c>
      <c r="H191" s="20" t="n">
        <v>235.75</v>
      </c>
      <c r="I191" s="20" t="n">
        <v>236.52</v>
      </c>
    </row>
    <row r="192" customFormat="false" ht="13.5" hidden="false" customHeight="true" outlineLevel="0" collapsed="false">
      <c r="A192" s="20" t="n">
        <v>501</v>
      </c>
      <c r="B192" s="20" t="s">
        <v>21</v>
      </c>
      <c r="C192" s="20" t="s">
        <v>27</v>
      </c>
      <c r="D192" s="20" t="n">
        <v>89</v>
      </c>
      <c r="E192" s="20" t="s">
        <v>28</v>
      </c>
      <c r="F192" s="20" t="n">
        <v>1</v>
      </c>
      <c r="G192" s="20" t="str">
        <f aca="false">CONCATENATE(B192, "-",C192, "-", D192, "-", F192)</f>
        <v>M0111-B-89-1</v>
      </c>
      <c r="H192" s="20" t="n">
        <v>237.58</v>
      </c>
      <c r="I192" s="20" t="n">
        <v>239.08</v>
      </c>
    </row>
    <row r="193" customFormat="false" ht="13.5" hidden="false" customHeight="true" outlineLevel="0" collapsed="false">
      <c r="A193" s="20" t="n">
        <v>501</v>
      </c>
      <c r="B193" s="20" t="s">
        <v>21</v>
      </c>
      <c r="C193" s="20" t="s">
        <v>27</v>
      </c>
      <c r="D193" s="20" t="n">
        <v>89</v>
      </c>
      <c r="E193" s="20" t="s">
        <v>28</v>
      </c>
      <c r="F193" s="20" t="n">
        <v>2</v>
      </c>
      <c r="G193" s="20" t="str">
        <f aca="false">CONCATENATE(B193, "-",C193, "-", D193, "-", F193)</f>
        <v>M0111-B-89-2</v>
      </c>
      <c r="H193" s="20" t="n">
        <v>239.08</v>
      </c>
      <c r="I193" s="20" t="n">
        <v>240.02</v>
      </c>
    </row>
    <row r="194" customFormat="false" ht="13.5" hidden="false" customHeight="true" outlineLevel="0" collapsed="false">
      <c r="A194" s="20" t="n">
        <v>501</v>
      </c>
      <c r="B194" s="20" t="s">
        <v>21</v>
      </c>
      <c r="C194" s="20" t="s">
        <v>27</v>
      </c>
      <c r="D194" s="20" t="n">
        <v>92</v>
      </c>
      <c r="E194" s="20" t="s">
        <v>28</v>
      </c>
      <c r="F194" s="20" t="n">
        <v>1</v>
      </c>
      <c r="G194" s="20" t="str">
        <f aca="false">CONCATENATE(B194, "-",C194, "-", D194, "-", F194)</f>
        <v>M0111-B-92-1</v>
      </c>
      <c r="H194" s="20" t="n">
        <v>244.93</v>
      </c>
      <c r="I194" s="20" t="n">
        <v>245.35</v>
      </c>
    </row>
    <row r="195" customFormat="false" ht="13.5" hidden="false" customHeight="true" outlineLevel="0" collapsed="false">
      <c r="A195" s="20" t="n">
        <v>501</v>
      </c>
      <c r="B195" s="20" t="s">
        <v>21</v>
      </c>
      <c r="C195" s="20" t="s">
        <v>27</v>
      </c>
      <c r="D195" s="20" t="n">
        <v>93</v>
      </c>
      <c r="E195" s="20" t="s">
        <v>28</v>
      </c>
      <c r="F195" s="20" t="n">
        <v>1</v>
      </c>
      <c r="G195" s="20" t="str">
        <f aca="false">CONCATENATE(B195, "-",C195, "-", D195, "-", F195)</f>
        <v>M0111-B-93-1</v>
      </c>
      <c r="H195" s="20" t="n">
        <v>245.28</v>
      </c>
      <c r="I195" s="20" t="n">
        <v>245.83</v>
      </c>
    </row>
    <row r="196" customFormat="false" ht="13.5" hidden="false" customHeight="true" outlineLevel="0" collapsed="false">
      <c r="A196" s="20" t="n">
        <v>501</v>
      </c>
      <c r="B196" s="20" t="s">
        <v>21</v>
      </c>
      <c r="C196" s="20" t="s">
        <v>27</v>
      </c>
      <c r="D196" s="20" t="n">
        <v>93</v>
      </c>
      <c r="E196" s="20" t="s">
        <v>28</v>
      </c>
      <c r="F196" s="20" t="n">
        <v>2</v>
      </c>
      <c r="G196" s="20" t="str">
        <f aca="false">CONCATENATE(B196, "-",C196, "-", D196, "-", F196)</f>
        <v>M0111-B-93-2</v>
      </c>
      <c r="H196" s="20" t="n">
        <v>245.83</v>
      </c>
      <c r="I196" s="20" t="n">
        <v>245.92</v>
      </c>
    </row>
    <row r="197" customFormat="false" ht="13.5" hidden="false" customHeight="true" outlineLevel="0" collapsed="false">
      <c r="A197" s="20" t="n">
        <v>501</v>
      </c>
      <c r="B197" s="20" t="s">
        <v>21</v>
      </c>
      <c r="C197" s="20" t="s">
        <v>27</v>
      </c>
      <c r="D197" s="20" t="n">
        <v>94</v>
      </c>
      <c r="E197" s="20" t="s">
        <v>28</v>
      </c>
      <c r="F197" s="20" t="n">
        <v>1</v>
      </c>
      <c r="G197" s="20" t="str">
        <f aca="false">CONCATENATE(B197, "-",C197, "-", D197, "-", F197)</f>
        <v>M0111-B-94-1</v>
      </c>
      <c r="H197" s="20" t="n">
        <v>246.73</v>
      </c>
      <c r="I197" s="20" t="n">
        <v>248.24</v>
      </c>
    </row>
    <row r="198" customFormat="false" ht="13.5" hidden="false" customHeight="true" outlineLevel="0" collapsed="false">
      <c r="A198" s="20" t="n">
        <v>501</v>
      </c>
      <c r="B198" s="20" t="s">
        <v>21</v>
      </c>
      <c r="C198" s="20" t="s">
        <v>27</v>
      </c>
      <c r="D198" s="20" t="n">
        <v>94</v>
      </c>
      <c r="E198" s="20" t="s">
        <v>28</v>
      </c>
      <c r="F198" s="20" t="n">
        <v>2</v>
      </c>
      <c r="G198" s="20" t="str">
        <f aca="false">CONCATENATE(B198, "-",C198, "-", D198, "-", F198)</f>
        <v>M0111-B-94-2</v>
      </c>
      <c r="H198" s="20" t="n">
        <v>248.24</v>
      </c>
      <c r="I198" s="20" t="n">
        <v>249.44</v>
      </c>
    </row>
    <row r="199" customFormat="false" ht="13.5" hidden="false" customHeight="true" outlineLevel="0" collapsed="false">
      <c r="A199" s="20" t="n">
        <v>501</v>
      </c>
      <c r="B199" s="20" t="s">
        <v>21</v>
      </c>
      <c r="C199" s="20" t="s">
        <v>27</v>
      </c>
      <c r="D199" s="20" t="n">
        <v>94</v>
      </c>
      <c r="E199" s="20" t="s">
        <v>28</v>
      </c>
      <c r="F199" s="20" t="n">
        <v>3</v>
      </c>
      <c r="G199" s="20" t="str">
        <f aca="false">CONCATENATE(B199, "-",C199, "-", D199, "-", F199)</f>
        <v>M0111-B-94-3</v>
      </c>
      <c r="H199" s="20" t="n">
        <v>249.44</v>
      </c>
      <c r="I199" s="20" t="n">
        <v>249.89</v>
      </c>
    </row>
    <row r="200" customFormat="false" ht="13.5" hidden="false" customHeight="true" outlineLevel="0" collapsed="false">
      <c r="A200" s="20" t="n">
        <v>501</v>
      </c>
      <c r="B200" s="20" t="s">
        <v>21</v>
      </c>
      <c r="C200" s="20" t="s">
        <v>27</v>
      </c>
      <c r="D200" s="20" t="n">
        <v>95</v>
      </c>
      <c r="E200" s="20" t="s">
        <v>28</v>
      </c>
      <c r="F200" s="20" t="n">
        <v>1</v>
      </c>
      <c r="G200" s="20" t="str">
        <f aca="false">CONCATENATE(B200, "-",C200, "-", D200, "-", F200)</f>
        <v>M0111-B-95-1</v>
      </c>
      <c r="H200" s="20" t="n">
        <v>249.78</v>
      </c>
      <c r="I200" s="20" t="n">
        <v>250.78</v>
      </c>
    </row>
    <row r="201" customFormat="false" ht="13.5" hidden="false" customHeight="true" outlineLevel="0" collapsed="false">
      <c r="A201" s="20" t="n">
        <v>501</v>
      </c>
      <c r="B201" s="20" t="s">
        <v>21</v>
      </c>
      <c r="C201" s="20" t="s">
        <v>27</v>
      </c>
      <c r="D201" s="20" t="n">
        <v>95</v>
      </c>
      <c r="E201" s="20" t="s">
        <v>28</v>
      </c>
      <c r="F201" s="20" t="n">
        <v>2</v>
      </c>
      <c r="G201" s="20" t="str">
        <f aca="false">CONCATENATE(B201, "-",C201, "-", D201, "-", F201)</f>
        <v>M0111-B-95-2</v>
      </c>
      <c r="H201" s="20" t="n">
        <v>250.78</v>
      </c>
      <c r="I201" s="20" t="n">
        <v>251.32</v>
      </c>
    </row>
    <row r="202" customFormat="false" ht="13.5" hidden="false" customHeight="true" outlineLevel="0" collapsed="false">
      <c r="A202" s="20" t="n">
        <v>501</v>
      </c>
      <c r="B202" s="20" t="s">
        <v>21</v>
      </c>
      <c r="C202" s="20" t="s">
        <v>27</v>
      </c>
      <c r="D202" s="20" t="n">
        <v>96</v>
      </c>
      <c r="E202" s="20" t="s">
        <v>28</v>
      </c>
      <c r="F202" s="20" t="n">
        <v>1</v>
      </c>
      <c r="G202" s="20" t="str">
        <f aca="false">CONCATENATE(B202, "-",C202, "-", D202, "-", F202)</f>
        <v>M0111-B-96-1</v>
      </c>
      <c r="H202" s="20" t="n">
        <v>251.53</v>
      </c>
      <c r="I202" s="20" t="n">
        <v>252.38</v>
      </c>
    </row>
    <row r="203" customFormat="false" ht="13.5" hidden="false" customHeight="true" outlineLevel="0" collapsed="false">
      <c r="A203" s="20" t="n">
        <v>501</v>
      </c>
      <c r="B203" s="20" t="s">
        <v>21</v>
      </c>
      <c r="C203" s="20" t="s">
        <v>27</v>
      </c>
      <c r="D203" s="20" t="n">
        <v>97</v>
      </c>
      <c r="E203" s="20" t="s">
        <v>28</v>
      </c>
      <c r="F203" s="20" t="n">
        <v>1</v>
      </c>
      <c r="G203" s="20" t="str">
        <f aca="false">CONCATENATE(B203, "-",C203, "-", D203, "-", F203)</f>
        <v>M0111-B-97-1</v>
      </c>
      <c r="H203" s="20" t="n">
        <v>252.83</v>
      </c>
      <c r="I203" s="20" t="n">
        <v>254.16</v>
      </c>
    </row>
    <row r="204" customFormat="false" ht="13.5" hidden="false" customHeight="true" outlineLevel="0" collapsed="false">
      <c r="A204" s="20" t="n">
        <v>501</v>
      </c>
      <c r="B204" s="20" t="s">
        <v>21</v>
      </c>
      <c r="C204" s="20" t="s">
        <v>27</v>
      </c>
      <c r="D204" s="20" t="n">
        <v>98</v>
      </c>
      <c r="E204" s="20" t="s">
        <v>28</v>
      </c>
      <c r="F204" s="20" t="n">
        <v>1</v>
      </c>
      <c r="G204" s="20" t="str">
        <f aca="false">CONCATENATE(B204, "-",C204, "-", D204, "-", F204)</f>
        <v>M0111-B-98-1</v>
      </c>
      <c r="H204" s="20" t="n">
        <v>255.53</v>
      </c>
      <c r="I204" s="20" t="n">
        <v>256.27</v>
      </c>
    </row>
    <row r="205" customFormat="false" ht="13.5" hidden="false" customHeight="true" outlineLevel="0" collapsed="false">
      <c r="A205" s="20" t="n">
        <v>501</v>
      </c>
      <c r="B205" s="20" t="s">
        <v>21</v>
      </c>
      <c r="C205" s="20" t="s">
        <v>27</v>
      </c>
      <c r="D205" s="20" t="n">
        <v>99</v>
      </c>
      <c r="E205" s="20" t="s">
        <v>28</v>
      </c>
      <c r="F205" s="20" t="n">
        <v>1</v>
      </c>
      <c r="G205" s="20" t="str">
        <f aca="false">CONCATENATE(B205, "-",C205, "-", D205, "-", F205)</f>
        <v>M0111-B-99-1</v>
      </c>
      <c r="H205" s="20" t="n">
        <v>256.28</v>
      </c>
      <c r="I205" s="20" t="n">
        <v>257.2</v>
      </c>
    </row>
    <row r="206" customFormat="false" ht="13.5" hidden="false" customHeight="true" outlineLevel="0" collapsed="false">
      <c r="A206" s="20" t="n">
        <v>501</v>
      </c>
      <c r="B206" s="20" t="s">
        <v>21</v>
      </c>
      <c r="C206" s="20" t="s">
        <v>27</v>
      </c>
      <c r="D206" s="20" t="n">
        <v>100</v>
      </c>
      <c r="E206" s="20" t="s">
        <v>28</v>
      </c>
      <c r="F206" s="20" t="n">
        <v>1</v>
      </c>
      <c r="G206" s="20" t="str">
        <f aca="false">CONCATENATE(B206, "-",C206, "-", D206, "-", F206)</f>
        <v>M0111-B-100-1</v>
      </c>
      <c r="H206" s="20" t="n">
        <v>258.93</v>
      </c>
      <c r="I206" s="20" t="n">
        <v>260.43</v>
      </c>
    </row>
    <row r="207" customFormat="false" ht="13.5" hidden="false" customHeight="true" outlineLevel="0" collapsed="false">
      <c r="A207" s="20" t="n">
        <v>501</v>
      </c>
      <c r="B207" s="20" t="s">
        <v>21</v>
      </c>
      <c r="C207" s="20" t="s">
        <v>27</v>
      </c>
      <c r="D207" s="20" t="n">
        <v>100</v>
      </c>
      <c r="E207" s="20" t="s">
        <v>28</v>
      </c>
      <c r="F207" s="20" t="n">
        <v>2</v>
      </c>
      <c r="G207" s="20" t="str">
        <f aca="false">CONCATENATE(B207, "-",C207, "-", D207, "-", F207)</f>
        <v>M0111-B-100-2</v>
      </c>
      <c r="H207" s="20" t="n">
        <v>260.43</v>
      </c>
      <c r="I207" s="20" t="n">
        <v>261.02</v>
      </c>
    </row>
    <row r="208" customFormat="false" ht="13.5" hidden="false" customHeight="true" outlineLevel="0" collapsed="false">
      <c r="A208" s="20" t="n">
        <v>501</v>
      </c>
      <c r="B208" s="20" t="s">
        <v>21</v>
      </c>
      <c r="C208" s="20" t="s">
        <v>27</v>
      </c>
      <c r="D208" s="20" t="n">
        <v>101</v>
      </c>
      <c r="E208" s="20" t="s">
        <v>28</v>
      </c>
      <c r="F208" s="20" t="n">
        <v>1</v>
      </c>
      <c r="G208" s="20" t="str">
        <f aca="false">CONCATENATE(B208, "-",C208, "-", D208, "-", F208)</f>
        <v>M0111-B-101-1</v>
      </c>
      <c r="H208" s="20" t="n">
        <v>261.98</v>
      </c>
      <c r="I208" s="20" t="n">
        <v>263.46</v>
      </c>
    </row>
    <row r="209" customFormat="false" ht="13.5" hidden="false" customHeight="true" outlineLevel="0" collapsed="false">
      <c r="A209" s="20" t="n">
        <v>501</v>
      </c>
      <c r="B209" s="20" t="s">
        <v>21</v>
      </c>
      <c r="C209" s="20" t="s">
        <v>27</v>
      </c>
      <c r="D209" s="20" t="n">
        <v>101</v>
      </c>
      <c r="E209" s="20" t="s">
        <v>28</v>
      </c>
      <c r="F209" s="20" t="n">
        <v>2</v>
      </c>
      <c r="G209" s="20" t="str">
        <f aca="false">CONCATENATE(B209, "-",C209, "-", D209, "-", F209)</f>
        <v>M0111-B-101-2</v>
      </c>
      <c r="H209" s="20" t="n">
        <v>263.46</v>
      </c>
      <c r="I209" s="20" t="n">
        <v>264.3</v>
      </c>
    </row>
    <row r="210" customFormat="false" ht="13.5" hidden="false" customHeight="true" outlineLevel="0" collapsed="false">
      <c r="A210" s="20" t="n">
        <v>501</v>
      </c>
      <c r="B210" s="20" t="s">
        <v>21</v>
      </c>
      <c r="C210" s="20" t="s">
        <v>27</v>
      </c>
      <c r="D210" s="20" t="n">
        <v>102</v>
      </c>
      <c r="E210" s="20" t="s">
        <v>28</v>
      </c>
      <c r="F210" s="20" t="n">
        <v>1</v>
      </c>
      <c r="G210" s="20" t="str">
        <f aca="false">CONCATENATE(B210, "-",C210, "-", D210, "-", F210)</f>
        <v>M0111-B-102-1</v>
      </c>
      <c r="H210" s="20" t="n">
        <v>265.03</v>
      </c>
      <c r="I210" s="20" t="n">
        <v>265.93</v>
      </c>
    </row>
    <row r="211" customFormat="false" ht="13.5" hidden="false" customHeight="true" outlineLevel="0" collapsed="false">
      <c r="A211" s="20" t="n">
        <v>501</v>
      </c>
      <c r="B211" s="20" t="s">
        <v>21</v>
      </c>
      <c r="C211" s="20" t="s">
        <v>27</v>
      </c>
      <c r="D211" s="20" t="n">
        <v>103</v>
      </c>
      <c r="E211" s="20" t="s">
        <v>28</v>
      </c>
      <c r="F211" s="20" t="n">
        <v>1</v>
      </c>
      <c r="G211" s="20" t="str">
        <f aca="false">CONCATENATE(B211, "-",C211, "-", D211, "-", F211)</f>
        <v>M0111-B-103-1</v>
      </c>
      <c r="H211" s="20" t="n">
        <v>268.08</v>
      </c>
      <c r="I211" s="20" t="n">
        <v>268.84</v>
      </c>
    </row>
    <row r="212" customFormat="false" ht="13.5" hidden="false" customHeight="true" outlineLevel="0" collapsed="false">
      <c r="A212" s="20" t="n">
        <v>501</v>
      </c>
      <c r="B212" s="20" t="s">
        <v>21</v>
      </c>
      <c r="C212" s="20" t="s">
        <v>27</v>
      </c>
      <c r="D212" s="20" t="n">
        <v>103</v>
      </c>
      <c r="E212" s="20" t="s">
        <v>28</v>
      </c>
      <c r="F212" s="20" t="n">
        <v>2</v>
      </c>
      <c r="G212" s="20" t="str">
        <f aca="false">CONCATENATE(B212, "-",C212, "-", D212, "-", F212)</f>
        <v>M0111-B-103-2</v>
      </c>
      <c r="H212" s="20" t="n">
        <v>268.84</v>
      </c>
      <c r="I212" s="20" t="n">
        <v>270.34</v>
      </c>
    </row>
    <row r="213" customFormat="false" ht="13.5" hidden="false" customHeight="true" outlineLevel="0" collapsed="false">
      <c r="A213" s="20" t="n">
        <v>501</v>
      </c>
      <c r="B213" s="20" t="s">
        <v>21</v>
      </c>
      <c r="C213" s="20" t="s">
        <v>27</v>
      </c>
      <c r="D213" s="20" t="n">
        <v>103</v>
      </c>
      <c r="E213" s="20" t="s">
        <v>28</v>
      </c>
      <c r="F213" s="20" t="n">
        <v>3</v>
      </c>
      <c r="G213" s="20" t="str">
        <f aca="false">CONCATENATE(B213, "-",C213, "-", D213, "-", F213)</f>
        <v>M0111-B-103-3</v>
      </c>
      <c r="H213" s="20" t="n">
        <v>270.34</v>
      </c>
      <c r="I213" s="20" t="n">
        <v>271.13</v>
      </c>
    </row>
    <row r="214" customFormat="false" ht="13.5" hidden="false" customHeight="true" outlineLevel="0" collapsed="false">
      <c r="A214" s="20" t="n">
        <v>501</v>
      </c>
      <c r="B214" s="20" t="s">
        <v>21</v>
      </c>
      <c r="C214" s="20" t="s">
        <v>27</v>
      </c>
      <c r="D214" s="20" t="n">
        <v>103</v>
      </c>
      <c r="E214" s="20" t="s">
        <v>28</v>
      </c>
      <c r="F214" s="20" t="n">
        <v>4</v>
      </c>
      <c r="G214" s="20" t="str">
        <f aca="false">CONCATENATE(B214, "-",C214, "-", D214, "-", F214)</f>
        <v>M0111-B-103-4</v>
      </c>
      <c r="H214" s="20" t="n">
        <v>271.13</v>
      </c>
      <c r="I214" s="20" t="n">
        <v>271.2</v>
      </c>
    </row>
    <row r="215" customFormat="false" ht="13.5" hidden="false" customHeight="true" outlineLevel="0" collapsed="false">
      <c r="A215" s="20" t="n">
        <v>501</v>
      </c>
      <c r="B215" s="20" t="s">
        <v>21</v>
      </c>
      <c r="C215" s="20" t="s">
        <v>27</v>
      </c>
      <c r="D215" s="20" t="n">
        <v>104</v>
      </c>
      <c r="E215" s="20" t="s">
        <v>28</v>
      </c>
      <c r="F215" s="20" t="n">
        <v>1</v>
      </c>
      <c r="G215" s="20" t="str">
        <f aca="false">CONCATENATE(B215, "-",C215, "-", D215, "-", F215)</f>
        <v>M0111-B-104-1</v>
      </c>
      <c r="H215" s="20" t="n">
        <v>271.13</v>
      </c>
      <c r="I215" s="20" t="n">
        <v>271.42</v>
      </c>
    </row>
    <row r="216" customFormat="false" ht="13.5" hidden="false" customHeight="true" outlineLevel="0" collapsed="false">
      <c r="A216" s="20" t="n">
        <v>501</v>
      </c>
      <c r="B216" s="20" t="s">
        <v>21</v>
      </c>
      <c r="C216" s="20" t="s">
        <v>27</v>
      </c>
      <c r="D216" s="20" t="n">
        <v>104</v>
      </c>
      <c r="E216" s="20" t="s">
        <v>28</v>
      </c>
      <c r="F216" s="20" t="n">
        <v>2</v>
      </c>
      <c r="G216" s="20" t="str">
        <f aca="false">CONCATENATE(B216, "-",C216, "-", D216, "-", F216)</f>
        <v>M0111-B-104-2</v>
      </c>
      <c r="H216" s="20" t="n">
        <v>271.42</v>
      </c>
      <c r="I216" s="20" t="n">
        <v>272.92</v>
      </c>
    </row>
    <row r="217" customFormat="false" ht="13.5" hidden="false" customHeight="true" outlineLevel="0" collapsed="false">
      <c r="A217" s="20" t="n">
        <v>501</v>
      </c>
      <c r="B217" s="20" t="s">
        <v>21</v>
      </c>
      <c r="C217" s="20" t="s">
        <v>27</v>
      </c>
      <c r="D217" s="20" t="n">
        <v>104</v>
      </c>
      <c r="E217" s="20" t="s">
        <v>28</v>
      </c>
      <c r="F217" s="20" t="n">
        <v>3</v>
      </c>
      <c r="G217" s="20" t="str">
        <f aca="false">CONCATENATE(B217, "-",C217, "-", D217, "-", F217)</f>
        <v>M0111-B-104-3</v>
      </c>
      <c r="H217" s="20" t="n">
        <v>272.92</v>
      </c>
      <c r="I217" s="20" t="n">
        <v>273.9</v>
      </c>
    </row>
    <row r="218" customFormat="false" ht="13.5" hidden="false" customHeight="true" outlineLevel="0" collapsed="false">
      <c r="A218" s="20" t="n">
        <v>501</v>
      </c>
      <c r="B218" s="20" t="s">
        <v>21</v>
      </c>
      <c r="C218" s="20" t="s">
        <v>27</v>
      </c>
      <c r="D218" s="20" t="n">
        <v>105</v>
      </c>
      <c r="E218" s="20" t="s">
        <v>28</v>
      </c>
      <c r="F218" s="20" t="n">
        <v>1</v>
      </c>
      <c r="G218" s="20" t="str">
        <f aca="false">CONCATENATE(B218, "-",C218, "-", D218, "-", F218)</f>
        <v>M0111-B-105-1</v>
      </c>
      <c r="H218" s="20" t="n">
        <v>274.18</v>
      </c>
      <c r="I218" s="20" t="n">
        <v>274.66</v>
      </c>
    </row>
    <row r="219" customFormat="false" ht="13.5" hidden="false" customHeight="true" outlineLevel="0" collapsed="false">
      <c r="A219" s="20" t="n">
        <v>501</v>
      </c>
      <c r="B219" s="20" t="s">
        <v>21</v>
      </c>
      <c r="C219" s="20" t="s">
        <v>27</v>
      </c>
      <c r="D219" s="20" t="n">
        <v>106</v>
      </c>
      <c r="E219" s="20" t="s">
        <v>28</v>
      </c>
      <c r="F219" s="20" t="n">
        <v>1</v>
      </c>
      <c r="G219" s="20" t="str">
        <f aca="false">CONCATENATE(B219, "-",C219, "-", D219, "-", F219)</f>
        <v>M0111-B-106-1</v>
      </c>
      <c r="H219" s="20" t="n">
        <v>275.18</v>
      </c>
      <c r="I219" s="20" t="n">
        <v>276.68</v>
      </c>
    </row>
    <row r="220" customFormat="false" ht="13.5" hidden="false" customHeight="true" outlineLevel="0" collapsed="false">
      <c r="A220" s="20" t="n">
        <v>501</v>
      </c>
      <c r="B220" s="20" t="s">
        <v>21</v>
      </c>
      <c r="C220" s="20" t="s">
        <v>27</v>
      </c>
      <c r="D220" s="20" t="n">
        <v>106</v>
      </c>
      <c r="E220" s="20" t="s">
        <v>28</v>
      </c>
      <c r="F220" s="20" t="n">
        <v>2</v>
      </c>
      <c r="G220" s="20" t="str">
        <f aca="false">CONCATENATE(B220, "-",C220, "-", D220, "-", F220)</f>
        <v>M0111-B-106-2</v>
      </c>
      <c r="H220" s="20" t="n">
        <v>276.68</v>
      </c>
      <c r="I220" s="20" t="n">
        <v>277.47</v>
      </c>
    </row>
    <row r="221" customFormat="false" ht="13.5" hidden="false" customHeight="true" outlineLevel="0" collapsed="false">
      <c r="A221" s="20" t="n">
        <v>501</v>
      </c>
      <c r="B221" s="20" t="s">
        <v>21</v>
      </c>
      <c r="C221" s="20" t="s">
        <v>27</v>
      </c>
      <c r="D221" s="20" t="n">
        <v>107</v>
      </c>
      <c r="E221" s="20" t="s">
        <v>28</v>
      </c>
      <c r="F221" s="20" t="n">
        <v>1</v>
      </c>
      <c r="G221" s="20" t="str">
        <f aca="false">CONCATENATE(B221, "-",C221, "-", D221, "-", F221)</f>
        <v>M0111-B-107-1</v>
      </c>
      <c r="H221" s="20" t="n">
        <v>277.23</v>
      </c>
      <c r="I221" s="20" t="n">
        <v>278.19</v>
      </c>
    </row>
    <row r="222" customFormat="false" ht="13.5" hidden="false" customHeight="true" outlineLevel="0" collapsed="false">
      <c r="A222" s="20" t="n">
        <v>501</v>
      </c>
      <c r="B222" s="20" t="s">
        <v>21</v>
      </c>
      <c r="C222" s="20" t="s">
        <v>27</v>
      </c>
      <c r="D222" s="20" t="n">
        <v>108</v>
      </c>
      <c r="E222" s="20" t="s">
        <v>28</v>
      </c>
      <c r="F222" s="20" t="n">
        <v>1</v>
      </c>
      <c r="G222" s="20" t="str">
        <f aca="false">CONCATENATE(B222, "-",C222, "-", D222, "-", F222)</f>
        <v>M0111-B-108-1</v>
      </c>
      <c r="H222" s="20" t="n">
        <v>278.13</v>
      </c>
      <c r="I222" s="20" t="n">
        <v>278.51</v>
      </c>
    </row>
    <row r="223" customFormat="false" ht="13.5" hidden="false" customHeight="true" outlineLevel="0" collapsed="false">
      <c r="A223" s="20" t="n">
        <v>501</v>
      </c>
      <c r="B223" s="20" t="s">
        <v>21</v>
      </c>
      <c r="C223" s="20" t="s">
        <v>27</v>
      </c>
      <c r="D223" s="20" t="n">
        <v>109</v>
      </c>
      <c r="E223" s="20" t="s">
        <v>28</v>
      </c>
      <c r="F223" s="20" t="n">
        <v>1</v>
      </c>
      <c r="G223" s="20" t="str">
        <f aca="false">CONCATENATE(B223, "-",C223, "-", D223, "-", F223)</f>
        <v>M0111-B-109-1</v>
      </c>
      <c r="H223" s="20" t="n">
        <v>278.38</v>
      </c>
      <c r="I223" s="20" t="n">
        <v>278.98</v>
      </c>
    </row>
    <row r="224" customFormat="false" ht="13.5" hidden="false" customHeight="true" outlineLevel="0" collapsed="false">
      <c r="A224" s="20" t="n">
        <v>501</v>
      </c>
      <c r="B224" s="20" t="s">
        <v>21</v>
      </c>
      <c r="C224" s="20" t="s">
        <v>27</v>
      </c>
      <c r="D224" s="20" t="n">
        <v>110</v>
      </c>
      <c r="E224" s="20" t="s">
        <v>28</v>
      </c>
      <c r="F224" s="20" t="n">
        <v>1</v>
      </c>
      <c r="G224" s="20" t="str">
        <f aca="false">CONCATENATE(B224, "-",C224, "-", D224, "-", F224)</f>
        <v>M0111-B-110-1</v>
      </c>
      <c r="H224" s="20" t="n">
        <v>280.28</v>
      </c>
      <c r="I224" s="20" t="n">
        <v>280.5</v>
      </c>
    </row>
    <row r="225" customFormat="false" ht="13.5" hidden="false" customHeight="true" outlineLevel="0" collapsed="false">
      <c r="A225" s="20" t="n">
        <v>501</v>
      </c>
      <c r="B225" s="20" t="s">
        <v>21</v>
      </c>
      <c r="C225" s="20" t="s">
        <v>27</v>
      </c>
      <c r="D225" s="20" t="n">
        <v>113</v>
      </c>
      <c r="E225" s="20" t="s">
        <v>28</v>
      </c>
      <c r="F225" s="20" t="n">
        <v>1</v>
      </c>
      <c r="G225" s="20" t="str">
        <f aca="false">CONCATENATE(B225, "-",C225, "-", D225, "-", F225)</f>
        <v>M0111-B-113-1</v>
      </c>
      <c r="H225" s="20" t="n">
        <v>281.53</v>
      </c>
      <c r="I225" s="20" t="n">
        <v>282.69</v>
      </c>
    </row>
    <row r="226" customFormat="false" ht="13.5" hidden="false" customHeight="true" outlineLevel="0" collapsed="false">
      <c r="A226" s="20" t="n">
        <v>501</v>
      </c>
      <c r="B226" s="20" t="s">
        <v>21</v>
      </c>
      <c r="C226" s="20" t="s">
        <v>27</v>
      </c>
      <c r="D226" s="20" t="n">
        <v>114</v>
      </c>
      <c r="E226" s="20" t="s">
        <v>28</v>
      </c>
      <c r="F226" s="20" t="n">
        <v>1</v>
      </c>
      <c r="G226" s="20" t="str">
        <f aca="false">CONCATENATE(B226, "-",C226, "-", D226, "-", F226)</f>
        <v>M0111-B-114-1</v>
      </c>
      <c r="H226" s="20" t="n">
        <v>281.53</v>
      </c>
      <c r="I226" s="20" t="n">
        <v>282.54</v>
      </c>
    </row>
    <row r="227" customFormat="false" ht="13.5" hidden="false" customHeight="true" outlineLevel="0" collapsed="false">
      <c r="A227" s="20" t="n">
        <v>501</v>
      </c>
      <c r="B227" s="20" t="s">
        <v>21</v>
      </c>
      <c r="C227" s="20" t="s">
        <v>27</v>
      </c>
      <c r="D227" s="20" t="n">
        <v>114</v>
      </c>
      <c r="E227" s="20" t="s">
        <v>28</v>
      </c>
      <c r="F227" s="20" t="n">
        <v>1</v>
      </c>
      <c r="G227" s="20" t="str">
        <f aca="false">CONCATENATE(B227, "-",C227, "-", D227, "-", F227)</f>
        <v>M0111-B-114-1</v>
      </c>
      <c r="H227" s="20" t="n">
        <v>282.54</v>
      </c>
      <c r="I227" s="20" t="n">
        <v>283.3</v>
      </c>
    </row>
    <row r="228" customFormat="false" ht="13.5" hidden="false" customHeight="true" outlineLevel="0" collapsed="false">
      <c r="A228" s="20" t="n">
        <v>501</v>
      </c>
      <c r="B228" s="20" t="s">
        <v>21</v>
      </c>
      <c r="C228" s="20" t="s">
        <v>27</v>
      </c>
      <c r="D228" s="20" t="n">
        <v>115</v>
      </c>
      <c r="E228" s="20" t="s">
        <v>28</v>
      </c>
      <c r="F228" s="20" t="n">
        <v>2</v>
      </c>
      <c r="G228" s="20" t="str">
        <f aca="false">CONCATENATE(B228, "-",C228, "-", D228, "-", F228)</f>
        <v>M0111-B-115-2</v>
      </c>
      <c r="H228" s="20" t="n">
        <v>284.93</v>
      </c>
      <c r="I228" s="20" t="n">
        <v>286.38</v>
      </c>
    </row>
    <row r="229" customFormat="false" ht="13.5" hidden="false" customHeight="true" outlineLevel="0" collapsed="false">
      <c r="A229" s="20" t="n">
        <v>501</v>
      </c>
      <c r="B229" s="20" t="s">
        <v>21</v>
      </c>
      <c r="C229" s="20" t="s">
        <v>27</v>
      </c>
      <c r="D229" s="20" t="n">
        <v>115</v>
      </c>
      <c r="E229" s="20" t="s">
        <v>28</v>
      </c>
      <c r="F229" s="20" t="n">
        <v>1</v>
      </c>
      <c r="G229" s="20" t="str">
        <f aca="false">CONCATENATE(B229, "-",C229, "-", D229, "-", F229)</f>
        <v>M0111-B-115-1</v>
      </c>
      <c r="H229" s="20" t="n">
        <v>284.93</v>
      </c>
      <c r="I229" s="20" t="n">
        <v>286.38</v>
      </c>
    </row>
    <row r="230" customFormat="false" ht="13.5" hidden="false" customHeight="true" outlineLevel="0" collapsed="false">
      <c r="A230" s="20" t="n">
        <v>501</v>
      </c>
      <c r="B230" s="20" t="s">
        <v>21</v>
      </c>
      <c r="C230" s="20" t="s">
        <v>27</v>
      </c>
      <c r="D230" s="20" t="n">
        <v>116</v>
      </c>
      <c r="E230" s="20" t="s">
        <v>28</v>
      </c>
      <c r="F230" s="20" t="n">
        <v>2</v>
      </c>
      <c r="G230" s="20" t="str">
        <f aca="false">CONCATENATE(B230, "-",C230, "-", D230, "-", F230)</f>
        <v>M0111-B-116-2</v>
      </c>
      <c r="H230" s="20" t="n">
        <v>286.48</v>
      </c>
      <c r="I230" s="20" t="n">
        <v>287.99</v>
      </c>
    </row>
    <row r="231" customFormat="false" ht="13.5" hidden="false" customHeight="true" outlineLevel="0" collapsed="false">
      <c r="A231" s="20" t="n">
        <v>501</v>
      </c>
      <c r="B231" s="20" t="s">
        <v>21</v>
      </c>
      <c r="C231" s="20" t="s">
        <v>27</v>
      </c>
      <c r="D231" s="20" t="n">
        <v>116</v>
      </c>
      <c r="E231" s="20" t="s">
        <v>28</v>
      </c>
      <c r="F231" s="20" t="n">
        <v>1</v>
      </c>
      <c r="G231" s="20" t="str">
        <f aca="false">CONCATENATE(B231, "-",C231, "-", D231, "-", F231)</f>
        <v>M0111-B-116-1</v>
      </c>
      <c r="H231" s="20" t="n">
        <v>287.99</v>
      </c>
      <c r="I231" s="20" t="n">
        <v>288.62</v>
      </c>
    </row>
    <row r="232" customFormat="false" ht="13.5" hidden="false" customHeight="true" outlineLevel="0" collapsed="false">
      <c r="A232" s="20" t="n">
        <v>501</v>
      </c>
      <c r="B232" s="20" t="s">
        <v>21</v>
      </c>
      <c r="C232" s="20" t="s">
        <v>27</v>
      </c>
      <c r="D232" s="20" t="n">
        <v>116</v>
      </c>
      <c r="E232" s="20" t="s">
        <v>28</v>
      </c>
      <c r="F232" s="20" t="n">
        <v>2</v>
      </c>
      <c r="G232" s="20" t="str">
        <f aca="false">CONCATENATE(B232, "-",C232, "-", D232, "-", F232)</f>
        <v>M0111-B-116-2</v>
      </c>
      <c r="H232" s="20" t="n">
        <v>288.62</v>
      </c>
      <c r="I232" s="20" t="n">
        <v>288.78</v>
      </c>
    </row>
    <row r="233" customFormat="false" ht="13.5" hidden="false" customHeight="true" outlineLevel="0" collapsed="false">
      <c r="A233" s="20" t="n">
        <v>501</v>
      </c>
      <c r="B233" s="20" t="s">
        <v>21</v>
      </c>
      <c r="C233" s="20" t="s">
        <v>27</v>
      </c>
      <c r="D233" s="20" t="n">
        <v>117</v>
      </c>
      <c r="E233" s="20" t="s">
        <v>28</v>
      </c>
      <c r="F233" s="20" t="n">
        <v>3</v>
      </c>
      <c r="G233" s="20" t="str">
        <f aca="false">CONCATENATE(B233, "-",C233, "-", D233, "-", F233)</f>
        <v>M0111-B-117-3</v>
      </c>
      <c r="H233" s="20" t="n">
        <v>289.33</v>
      </c>
      <c r="I233" s="20" t="n">
        <v>290.29</v>
      </c>
    </row>
    <row r="234" customFormat="false" ht="13.5" hidden="false" customHeight="true" outlineLevel="0" collapsed="false">
      <c r="A234" s="20" t="n">
        <v>501</v>
      </c>
      <c r="B234" s="20" t="s">
        <v>21</v>
      </c>
      <c r="C234" s="20" t="s">
        <v>27</v>
      </c>
      <c r="D234" s="20" t="n">
        <v>119</v>
      </c>
      <c r="E234" s="20" t="s">
        <v>28</v>
      </c>
      <c r="F234" s="20" t="n">
        <v>1</v>
      </c>
      <c r="G234" s="20" t="str">
        <f aca="false">CONCATENATE(B234, "-",C234, "-", D234, "-", F234)</f>
        <v>M0111-B-119-1</v>
      </c>
      <c r="H234" s="20" t="n">
        <v>292.83</v>
      </c>
      <c r="I234" s="20" t="n">
        <v>293.49</v>
      </c>
    </row>
    <row r="235" customFormat="false" ht="13.5" hidden="false" customHeight="true" outlineLevel="0" collapsed="false">
      <c r="A235" s="20" t="n">
        <v>501</v>
      </c>
      <c r="B235" s="20" t="s">
        <v>21</v>
      </c>
      <c r="C235" s="20" t="s">
        <v>27</v>
      </c>
      <c r="D235" s="20" t="n">
        <v>120</v>
      </c>
      <c r="E235" s="20" t="s">
        <v>28</v>
      </c>
      <c r="F235" s="20" t="n">
        <v>1</v>
      </c>
      <c r="G235" s="20" t="str">
        <f aca="false">CONCATENATE(B235, "-",C235, "-", D235, "-", F235)</f>
        <v>M0111-B-120-1</v>
      </c>
      <c r="H235" s="20" t="n">
        <v>295.63</v>
      </c>
      <c r="I235" s="20" t="n">
        <v>296.71</v>
      </c>
    </row>
    <row r="236" customFormat="false" ht="13.5" hidden="false" customHeight="true" outlineLevel="0" collapsed="false">
      <c r="A236" s="20" t="n">
        <v>501</v>
      </c>
      <c r="B236" s="20" t="s">
        <v>21</v>
      </c>
      <c r="C236" s="20" t="s">
        <v>27</v>
      </c>
      <c r="D236" s="20" t="n">
        <v>121</v>
      </c>
      <c r="E236" s="20" t="s">
        <v>28</v>
      </c>
      <c r="F236" s="20" t="n">
        <v>1</v>
      </c>
      <c r="G236" s="20" t="str">
        <f aca="false">CONCATENATE(B236, "-",C236, "-", D236, "-", F236)</f>
        <v>M0111-B-121-1</v>
      </c>
      <c r="H236" s="20" t="n">
        <v>298.68</v>
      </c>
      <c r="I236" s="20" t="n">
        <v>299.68</v>
      </c>
    </row>
    <row r="237" customFormat="false" ht="13.5" hidden="false" customHeight="true" outlineLevel="0" collapsed="false">
      <c r="A237" s="20" t="n">
        <v>501</v>
      </c>
      <c r="B237" s="20" t="s">
        <v>21</v>
      </c>
      <c r="C237" s="20" t="s">
        <v>27</v>
      </c>
      <c r="D237" s="20" t="n">
        <v>121</v>
      </c>
      <c r="E237" s="20" t="s">
        <v>28</v>
      </c>
      <c r="F237" s="20" t="n">
        <v>1</v>
      </c>
      <c r="G237" s="20" t="str">
        <f aca="false">CONCATENATE(B237, "-",C237, "-", D237, "-", F237)</f>
        <v>M0111-B-121-1</v>
      </c>
      <c r="H237" s="20" t="n">
        <v>299.68</v>
      </c>
      <c r="I237" s="20" t="n">
        <v>300.34</v>
      </c>
    </row>
    <row r="238" customFormat="false" ht="13.5" hidden="false" customHeight="true" outlineLevel="0" collapsed="false">
      <c r="A238" s="20" t="n">
        <v>501</v>
      </c>
      <c r="B238" s="20" t="s">
        <v>21</v>
      </c>
      <c r="C238" s="20" t="s">
        <v>27</v>
      </c>
      <c r="D238" s="20" t="n">
        <v>122</v>
      </c>
      <c r="E238" s="20" t="s">
        <v>28</v>
      </c>
      <c r="F238" s="20" t="n">
        <v>2</v>
      </c>
      <c r="G238" s="20" t="str">
        <f aca="false">CONCATENATE(B238, "-",C238, "-", D238, "-", F238)</f>
        <v>M0111-B-122-2</v>
      </c>
      <c r="H238" s="20" t="n">
        <v>300.23</v>
      </c>
      <c r="I238" s="20" t="n">
        <v>301.14</v>
      </c>
    </row>
    <row r="239" customFormat="false" ht="13.5" hidden="false" customHeight="true" outlineLevel="0" collapsed="false">
      <c r="A239" s="20" t="n">
        <v>501</v>
      </c>
      <c r="B239" s="20" t="s">
        <v>21</v>
      </c>
      <c r="C239" s="20" t="s">
        <v>27</v>
      </c>
      <c r="D239" s="20" t="n">
        <v>122</v>
      </c>
      <c r="E239" s="20" t="s">
        <v>28</v>
      </c>
      <c r="F239" s="20" t="n">
        <v>1</v>
      </c>
      <c r="G239" s="20" t="str">
        <f aca="false">CONCATENATE(B239, "-",C239, "-", D239, "-", F239)</f>
        <v>M0111-B-122-1</v>
      </c>
      <c r="H239" s="20" t="n">
        <v>301.14</v>
      </c>
      <c r="I239" s="20" t="n">
        <v>301.65</v>
      </c>
    </row>
    <row r="240" customFormat="false" ht="13.5" hidden="false" customHeight="true" outlineLevel="0" collapsed="false">
      <c r="A240" s="20" t="n">
        <v>501</v>
      </c>
      <c r="B240" s="20" t="s">
        <v>21</v>
      </c>
      <c r="C240" s="20" t="s">
        <v>27</v>
      </c>
      <c r="D240" s="20" t="n">
        <v>125</v>
      </c>
      <c r="E240" s="20" t="s">
        <v>28</v>
      </c>
      <c r="F240" s="20" t="n">
        <v>2</v>
      </c>
      <c r="G240" s="20" t="str">
        <f aca="false">CONCATENATE(B240, "-",C240, "-", D240, "-", F240)</f>
        <v>M0111-B-125-2</v>
      </c>
      <c r="H240" s="20" t="n">
        <v>306.33</v>
      </c>
      <c r="I240" s="20" t="n">
        <v>306.8</v>
      </c>
    </row>
    <row r="241" customFormat="false" ht="13.5" hidden="false" customHeight="true" outlineLevel="0" collapsed="false">
      <c r="A241" s="20" t="n">
        <v>501</v>
      </c>
      <c r="B241" s="20" t="s">
        <v>21</v>
      </c>
      <c r="C241" s="20" t="s">
        <v>27</v>
      </c>
      <c r="D241" s="20" t="n">
        <v>126</v>
      </c>
      <c r="E241" s="20" t="s">
        <v>28</v>
      </c>
      <c r="F241" s="20" t="n">
        <v>1</v>
      </c>
      <c r="G241" s="20" t="str">
        <f aca="false">CONCATENATE(B241, "-",C241, "-", D241, "-", F241)</f>
        <v>M0111-B-126-1</v>
      </c>
      <c r="H241" s="20" t="n">
        <v>307.08</v>
      </c>
      <c r="I241" s="20" t="n">
        <v>307.5</v>
      </c>
    </row>
    <row r="242" customFormat="false" ht="13.5" hidden="false" customHeight="true" outlineLevel="0" collapsed="false">
      <c r="A242" s="20" t="n">
        <v>501</v>
      </c>
      <c r="B242" s="20" t="s">
        <v>21</v>
      </c>
      <c r="C242" s="20" t="s">
        <v>27</v>
      </c>
      <c r="D242" s="20" t="n">
        <v>127</v>
      </c>
      <c r="E242" s="20" t="s">
        <v>28</v>
      </c>
      <c r="F242" s="20" t="n">
        <v>1</v>
      </c>
      <c r="G242" s="20" t="str">
        <f aca="false">CONCATENATE(B242, "-",C242, "-", D242, "-", F242)</f>
        <v>M0111-B-127-1</v>
      </c>
      <c r="H242" s="20" t="n">
        <v>310.13</v>
      </c>
      <c r="I242" s="20" t="n">
        <v>311.13</v>
      </c>
    </row>
    <row r="243" customFormat="false" ht="13.5" hidden="false" customHeight="true" outlineLevel="0" collapsed="false">
      <c r="A243" s="20" t="n">
        <v>501</v>
      </c>
      <c r="B243" s="20" t="s">
        <v>21</v>
      </c>
      <c r="C243" s="20" t="s">
        <v>27</v>
      </c>
      <c r="D243" s="20" t="n">
        <v>127</v>
      </c>
      <c r="E243" s="20" t="s">
        <v>28</v>
      </c>
      <c r="F243" s="20" t="n">
        <v>1</v>
      </c>
      <c r="G243" s="20" t="str">
        <f aca="false">CONCATENATE(B243, "-",C243, "-", D243, "-", F243)</f>
        <v>M0111-B-127-1</v>
      </c>
      <c r="H243" s="20" t="n">
        <v>311.13</v>
      </c>
      <c r="I243" s="20" t="n">
        <v>311.97</v>
      </c>
    </row>
    <row r="244" customFormat="false" ht="13.5" hidden="false" customHeight="true" outlineLevel="0" collapsed="false">
      <c r="A244" s="20" t="n">
        <v>501</v>
      </c>
      <c r="B244" s="20" t="s">
        <v>21</v>
      </c>
      <c r="C244" s="20" t="s">
        <v>27</v>
      </c>
      <c r="D244" s="20" t="n">
        <v>128</v>
      </c>
      <c r="E244" s="20" t="s">
        <v>28</v>
      </c>
      <c r="F244" s="20" t="n">
        <v>2</v>
      </c>
      <c r="G244" s="20" t="str">
        <f aca="false">CONCATENATE(B244, "-",C244, "-", D244, "-", F244)</f>
        <v>M0111-B-128-2</v>
      </c>
      <c r="H244" s="20" t="n">
        <v>312.78</v>
      </c>
      <c r="I244" s="20" t="n">
        <v>314.29</v>
      </c>
    </row>
    <row r="245" customFormat="false" ht="13.5" hidden="false" customHeight="true" outlineLevel="0" collapsed="false">
      <c r="A245" s="20" t="n">
        <v>501</v>
      </c>
      <c r="B245" s="20" t="s">
        <v>21</v>
      </c>
      <c r="C245" s="20" t="s">
        <v>27</v>
      </c>
      <c r="D245" s="20" t="n">
        <v>128</v>
      </c>
      <c r="E245" s="20" t="s">
        <v>28</v>
      </c>
      <c r="F245" s="20" t="n">
        <v>1</v>
      </c>
      <c r="G245" s="20" t="str">
        <f aca="false">CONCATENATE(B245, "-",C245, "-", D245, "-", F245)</f>
        <v>M0111-B-128-1</v>
      </c>
      <c r="H245" s="20" t="n">
        <v>314.29</v>
      </c>
      <c r="I245" s="20" t="n">
        <v>315.3</v>
      </c>
    </row>
    <row r="246" customFormat="false" ht="13.5" hidden="false" customHeight="true" outlineLevel="0" collapsed="false">
      <c r="A246" s="20" t="n">
        <v>501</v>
      </c>
      <c r="B246" s="20" t="s">
        <v>21</v>
      </c>
      <c r="C246" s="20" t="s">
        <v>27</v>
      </c>
      <c r="D246" s="20" t="n">
        <v>128</v>
      </c>
      <c r="E246" s="20" t="s">
        <v>28</v>
      </c>
      <c r="F246" s="20" t="n">
        <v>2</v>
      </c>
      <c r="G246" s="20" t="str">
        <f aca="false">CONCATENATE(B246, "-",C246, "-", D246, "-", F246)</f>
        <v>M0111-B-128-2</v>
      </c>
      <c r="H246" s="20" t="n">
        <v>315.3</v>
      </c>
      <c r="I246" s="20" t="n">
        <v>315.96</v>
      </c>
    </row>
    <row r="247" customFormat="false" ht="13.5" hidden="false" customHeight="true" outlineLevel="0" collapsed="false">
      <c r="A247" s="20" t="n">
        <v>501</v>
      </c>
      <c r="B247" s="20" t="s">
        <v>21</v>
      </c>
      <c r="C247" s="20" t="s">
        <v>27</v>
      </c>
      <c r="D247" s="20" t="n">
        <v>129</v>
      </c>
      <c r="E247" s="20" t="s">
        <v>28</v>
      </c>
      <c r="F247" s="20" t="n">
        <v>1</v>
      </c>
      <c r="G247" s="20" t="str">
        <f aca="false">CONCATENATE(B247, "-",C247, "-", D247, "-", F247)</f>
        <v>M0111-B-129-1</v>
      </c>
      <c r="H247" s="20" t="n">
        <v>315.83</v>
      </c>
      <c r="I247" s="20" t="n">
        <v>317.33</v>
      </c>
    </row>
    <row r="248" customFormat="false" ht="13.5" hidden="false" customHeight="true" outlineLevel="0" collapsed="false">
      <c r="A248" s="20" t="n">
        <v>501</v>
      </c>
      <c r="B248" s="20" t="s">
        <v>21</v>
      </c>
      <c r="C248" s="20" t="s">
        <v>27</v>
      </c>
      <c r="D248" s="20" t="n">
        <v>129</v>
      </c>
      <c r="E248" s="20" t="s">
        <v>28</v>
      </c>
      <c r="F248" s="20" t="n">
        <v>2</v>
      </c>
      <c r="G248" s="20" t="str">
        <f aca="false">CONCATENATE(B248, "-",C248, "-", D248, "-", F248)</f>
        <v>M0111-B-129-2</v>
      </c>
      <c r="H248" s="20" t="n">
        <v>317.33</v>
      </c>
      <c r="I248" s="20" t="n">
        <v>318.64</v>
      </c>
    </row>
    <row r="249" customFormat="false" ht="13.5" hidden="false" customHeight="true" outlineLevel="0" collapsed="false">
      <c r="A249" s="20" t="n">
        <v>501</v>
      </c>
      <c r="B249" s="20" t="s">
        <v>21</v>
      </c>
      <c r="C249" s="20" t="s">
        <v>27</v>
      </c>
      <c r="D249" s="20" t="n">
        <v>130</v>
      </c>
      <c r="E249" s="20" t="s">
        <v>28</v>
      </c>
      <c r="F249" s="20" t="n">
        <v>1</v>
      </c>
      <c r="G249" s="20" t="str">
        <f aca="false">CONCATENATE(B249, "-",C249, "-", D249, "-", F249)</f>
        <v>M0111-B-130-1</v>
      </c>
      <c r="H249" s="20" t="n">
        <v>318.88</v>
      </c>
      <c r="I249" s="20" t="n">
        <v>320.38</v>
      </c>
    </row>
    <row r="250" customFormat="false" ht="13.5" hidden="false" customHeight="true" outlineLevel="0" collapsed="false">
      <c r="A250" s="20" t="n">
        <v>501</v>
      </c>
      <c r="B250" s="20" t="s">
        <v>21</v>
      </c>
      <c r="C250" s="20" t="s">
        <v>27</v>
      </c>
      <c r="D250" s="20" t="n">
        <v>130</v>
      </c>
      <c r="E250" s="20" t="s">
        <v>28</v>
      </c>
      <c r="F250" s="20" t="n">
        <v>2</v>
      </c>
      <c r="G250" s="20" t="str">
        <f aca="false">CONCATENATE(B250, "-",C250, "-", D250, "-", F250)</f>
        <v>M0111-B-130-2</v>
      </c>
      <c r="H250" s="20" t="n">
        <v>320.38</v>
      </c>
      <c r="I250" s="20" t="n">
        <v>321.46</v>
      </c>
    </row>
    <row r="251" customFormat="false" ht="13.5" hidden="false" customHeight="true" outlineLevel="0" collapsed="false">
      <c r="A251" s="20" t="n">
        <v>501</v>
      </c>
      <c r="B251" s="20" t="s">
        <v>21</v>
      </c>
      <c r="C251" s="20" t="s">
        <v>27</v>
      </c>
      <c r="D251" s="20" t="n">
        <v>131</v>
      </c>
      <c r="E251" s="20" t="s">
        <v>28</v>
      </c>
      <c r="F251" s="20" t="n">
        <v>1</v>
      </c>
      <c r="G251" s="20" t="str">
        <f aca="false">CONCATENATE(B251, "-",C251, "-", D251, "-", F251)</f>
        <v>M0111-B-131-1</v>
      </c>
      <c r="H251" s="20" t="n">
        <v>321.93</v>
      </c>
      <c r="I251" s="20" t="n">
        <v>322.47</v>
      </c>
    </row>
    <row r="252" customFormat="false" ht="13.5" hidden="false" customHeight="true" outlineLevel="0" collapsed="false">
      <c r="A252" s="20" t="n">
        <v>501</v>
      </c>
      <c r="B252" s="20" t="s">
        <v>21</v>
      </c>
      <c r="C252" s="20" t="s">
        <v>27</v>
      </c>
      <c r="D252" s="20" t="n">
        <v>132</v>
      </c>
      <c r="E252" s="20" t="s">
        <v>28</v>
      </c>
      <c r="F252" s="20" t="n">
        <v>1</v>
      </c>
      <c r="G252" s="20" t="str">
        <f aca="false">CONCATENATE(B252, "-",C252, "-", D252, "-", F252)</f>
        <v>M0111-B-132-1</v>
      </c>
      <c r="H252" s="20" t="n">
        <v>323.83</v>
      </c>
      <c r="I252" s="20" t="n">
        <v>324.06</v>
      </c>
    </row>
    <row r="253" customFormat="false" ht="13.5" hidden="false" customHeight="true" outlineLevel="0" collapsed="false">
      <c r="A253" s="20" t="n">
        <v>501</v>
      </c>
      <c r="B253" s="20" t="s">
        <v>21</v>
      </c>
      <c r="C253" s="20" t="s">
        <v>27</v>
      </c>
      <c r="D253" s="20" t="n">
        <v>133</v>
      </c>
      <c r="E253" s="20" t="s">
        <v>28</v>
      </c>
      <c r="F253" s="20" t="n">
        <v>1</v>
      </c>
      <c r="G253" s="20" t="str">
        <f aca="false">CONCATENATE(B253, "-",C253, "-", D253, "-", F253)</f>
        <v>M0111-B-133-1</v>
      </c>
      <c r="H253" s="20" t="n">
        <v>326.13</v>
      </c>
      <c r="I253" s="20" t="n">
        <v>327.63</v>
      </c>
    </row>
    <row r="254" customFormat="false" ht="13.5" hidden="false" customHeight="true" outlineLevel="0" collapsed="false">
      <c r="A254" s="20" t="n">
        <v>501</v>
      </c>
      <c r="B254" s="20" t="s">
        <v>21</v>
      </c>
      <c r="C254" s="20" t="s">
        <v>27</v>
      </c>
      <c r="D254" s="20" t="n">
        <v>133</v>
      </c>
      <c r="E254" s="20" t="s">
        <v>28</v>
      </c>
      <c r="F254" s="20" t="n">
        <v>2</v>
      </c>
      <c r="G254" s="20" t="str">
        <f aca="false">CONCATENATE(B254, "-",C254, "-", D254, "-", F254)</f>
        <v>M0111-B-133-2</v>
      </c>
      <c r="H254" s="20" t="n">
        <v>327.63</v>
      </c>
      <c r="I254" s="20" t="n">
        <v>328.33</v>
      </c>
    </row>
    <row r="255" customFormat="false" ht="13.5" hidden="false" customHeight="true" outlineLevel="0" collapsed="false">
      <c r="A255" s="20" t="n">
        <v>501</v>
      </c>
      <c r="B255" s="20" t="s">
        <v>21</v>
      </c>
      <c r="C255" s="20" t="s">
        <v>27</v>
      </c>
      <c r="D255" s="20" t="n">
        <v>134</v>
      </c>
      <c r="E255" s="20" t="s">
        <v>28</v>
      </c>
      <c r="F255" s="20" t="n">
        <v>1</v>
      </c>
      <c r="G255" s="20" t="str">
        <f aca="false">CONCATENATE(B255, "-",C255, "-", D255, "-", F255)</f>
        <v>M0111-B-134-1</v>
      </c>
      <c r="H255" s="20" t="n">
        <v>328.98</v>
      </c>
      <c r="I255" s="20" t="n">
        <v>329.69</v>
      </c>
    </row>
    <row r="256" customFormat="false" ht="13.5" hidden="false" customHeight="true" outlineLevel="0" collapsed="false">
      <c r="A256" s="20" t="n">
        <v>501</v>
      </c>
      <c r="B256" s="20" t="s">
        <v>21</v>
      </c>
      <c r="C256" s="20" t="s">
        <v>27</v>
      </c>
      <c r="D256" s="20" t="n">
        <v>135</v>
      </c>
      <c r="E256" s="20" t="s">
        <v>28</v>
      </c>
      <c r="F256" s="20" t="n">
        <v>1</v>
      </c>
      <c r="G256" s="20" t="str">
        <f aca="false">CONCATENATE(B256, "-",C256, "-", D256, "-", F256)</f>
        <v>M0111-B-135-1</v>
      </c>
      <c r="H256" s="20" t="n">
        <v>330.83</v>
      </c>
      <c r="I256" s="20" t="n">
        <v>331.55</v>
      </c>
    </row>
    <row r="257" customFormat="false" ht="13.5" hidden="false" customHeight="true" outlineLevel="0" collapsed="false">
      <c r="A257" s="20" t="n">
        <v>501</v>
      </c>
      <c r="B257" s="20" t="s">
        <v>21</v>
      </c>
      <c r="C257" s="20" t="s">
        <v>27</v>
      </c>
      <c r="D257" s="20" t="n">
        <v>137</v>
      </c>
      <c r="E257" s="20" t="s">
        <v>28</v>
      </c>
      <c r="F257" s="20" t="n">
        <v>1</v>
      </c>
      <c r="G257" s="20" t="str">
        <f aca="false">CONCATENATE(B257, "-",C257, "-", D257, "-", F257)</f>
        <v>M0111-B-137-1</v>
      </c>
      <c r="H257" s="20" t="n">
        <v>332.58</v>
      </c>
      <c r="I257" s="20" t="n">
        <v>333.22</v>
      </c>
    </row>
    <row r="258" customFormat="false" ht="13.5" hidden="false" customHeight="true" outlineLevel="0" collapsed="false">
      <c r="A258" s="20" t="n">
        <v>501</v>
      </c>
      <c r="B258" s="20" t="s">
        <v>21</v>
      </c>
      <c r="C258" s="20" t="s">
        <v>27</v>
      </c>
      <c r="D258" s="20" t="n">
        <v>138</v>
      </c>
      <c r="E258" s="20" t="s">
        <v>28</v>
      </c>
      <c r="F258" s="20" t="n">
        <v>1</v>
      </c>
      <c r="G258" s="20" t="str">
        <f aca="false">CONCATENATE(B258, "-",C258, "-", D258, "-", F258)</f>
        <v>M0111-B-138-1</v>
      </c>
      <c r="H258" s="20" t="n">
        <v>334.98</v>
      </c>
      <c r="I258" s="20" t="n">
        <v>336.37</v>
      </c>
    </row>
    <row r="259" customFormat="false" ht="13.5" hidden="false" customHeight="true" outlineLevel="0" collapsed="false">
      <c r="A259" s="20" t="n">
        <v>501</v>
      </c>
      <c r="B259" s="20" t="s">
        <v>21</v>
      </c>
      <c r="C259" s="20" t="s">
        <v>27</v>
      </c>
      <c r="D259" s="20" t="n">
        <v>139</v>
      </c>
      <c r="E259" s="20" t="s">
        <v>28</v>
      </c>
      <c r="F259" s="20" t="n">
        <v>1</v>
      </c>
      <c r="G259" s="20" t="str">
        <f aca="false">CONCATENATE(B259, "-",C259, "-", D259, "-", F259)</f>
        <v>M0111-B-139-1</v>
      </c>
      <c r="H259" s="20" t="n">
        <v>336.33</v>
      </c>
      <c r="I259" s="20" t="n">
        <v>337.24</v>
      </c>
    </row>
    <row r="260" customFormat="false" ht="13.5" hidden="false" customHeight="true" outlineLevel="0" collapsed="false">
      <c r="A260" s="20" t="n">
        <v>501</v>
      </c>
      <c r="B260" s="20" t="s">
        <v>21</v>
      </c>
      <c r="C260" s="20" t="s">
        <v>27</v>
      </c>
      <c r="D260" s="20" t="n">
        <v>140</v>
      </c>
      <c r="E260" s="20" t="s">
        <v>28</v>
      </c>
      <c r="F260" s="20" t="n">
        <v>1</v>
      </c>
      <c r="G260" s="20" t="str">
        <f aca="false">CONCATENATE(B260, "-",C260, "-", D260, "-", F260)</f>
        <v>M0111-B-140-1</v>
      </c>
      <c r="H260" s="20" t="n">
        <v>338.03</v>
      </c>
      <c r="I260" s="20" t="n">
        <v>338.65</v>
      </c>
      <c r="T260" s="20" t="n">
        <v>368.83</v>
      </c>
    </row>
    <row r="261" customFormat="false" ht="13.5" hidden="false" customHeight="true" outlineLevel="0" collapsed="false">
      <c r="A261" s="20" t="n">
        <v>501</v>
      </c>
      <c r="B261" s="20" t="s">
        <v>21</v>
      </c>
      <c r="C261" s="20" t="s">
        <v>27</v>
      </c>
      <c r="D261" s="20" t="n">
        <v>141</v>
      </c>
      <c r="E261" s="20" t="s">
        <v>28</v>
      </c>
      <c r="F261" s="20" t="n">
        <v>1</v>
      </c>
      <c r="G261" s="20" t="str">
        <f aca="false">CONCATENATE(B261, "-",C261, "-", D261, "-", F261)</f>
        <v>M0111-B-141-1</v>
      </c>
      <c r="H261" s="20" t="n">
        <v>339.68</v>
      </c>
      <c r="I261" s="20" t="n">
        <v>339.81</v>
      </c>
      <c r="T261" s="20" t="n">
        <v>371.23</v>
      </c>
    </row>
    <row r="262" customFormat="false" ht="13.5" hidden="false" customHeight="true" outlineLevel="0" collapsed="false">
      <c r="A262" s="20" t="n">
        <v>501</v>
      </c>
      <c r="B262" s="20" t="s">
        <v>21</v>
      </c>
      <c r="C262" s="20" t="s">
        <v>27</v>
      </c>
      <c r="D262" s="20" t="n">
        <v>144</v>
      </c>
      <c r="E262" s="20" t="s">
        <v>28</v>
      </c>
      <c r="F262" s="20" t="n">
        <v>1</v>
      </c>
      <c r="G262" s="20" t="str">
        <f aca="false">CONCATENATE(B262, "-",C262, "-", D262, "-", F262)</f>
        <v>M0111-B-144-1</v>
      </c>
      <c r="H262" s="20" t="n">
        <v>344.43</v>
      </c>
      <c r="I262" s="20" t="n">
        <v>344.89</v>
      </c>
      <c r="T262" s="20" t="n">
        <v>373.93</v>
      </c>
    </row>
    <row r="263" customFormat="false" ht="13.5" hidden="false" customHeight="true" outlineLevel="0" collapsed="false">
      <c r="A263" s="20" t="n">
        <v>501</v>
      </c>
      <c r="B263" s="20" t="s">
        <v>21</v>
      </c>
      <c r="C263" s="20" t="s">
        <v>27</v>
      </c>
      <c r="D263" s="20" t="n">
        <v>146</v>
      </c>
      <c r="E263" s="20" t="s">
        <v>28</v>
      </c>
      <c r="F263" s="20" t="n">
        <v>1</v>
      </c>
      <c r="G263" s="20" t="str">
        <f aca="false">CONCATENATE(B263, "-",C263, "-", D263, "-", F263)</f>
        <v>M0111-B-146-1</v>
      </c>
      <c r="H263" s="20" t="n">
        <v>345.78</v>
      </c>
      <c r="I263" s="20" t="n">
        <v>345.82</v>
      </c>
      <c r="T263" s="20" t="n">
        <v>374.93</v>
      </c>
    </row>
    <row r="264" customFormat="false" ht="13.5" hidden="false" customHeight="true" outlineLevel="0" collapsed="false">
      <c r="A264" s="20" t="n">
        <v>501</v>
      </c>
      <c r="B264" s="20" t="s">
        <v>21</v>
      </c>
      <c r="C264" s="20" t="s">
        <v>27</v>
      </c>
      <c r="D264" s="20" t="n">
        <v>147</v>
      </c>
      <c r="E264" s="20" t="s">
        <v>28</v>
      </c>
      <c r="F264" s="20" t="n">
        <v>1</v>
      </c>
      <c r="G264" s="20" t="str">
        <f aca="false">CONCATENATE(B264, "-",C264, "-", D264, "-", F264)</f>
        <v>M0111-B-147-1</v>
      </c>
      <c r="H264" s="20" t="n">
        <v>346.13</v>
      </c>
      <c r="I264" s="20" t="n">
        <v>346.57</v>
      </c>
    </row>
    <row r="265" customFormat="false" ht="13.5" hidden="false" customHeight="true" outlineLevel="0" collapsed="false">
      <c r="A265" s="20" t="n">
        <v>501</v>
      </c>
      <c r="B265" s="20" t="s">
        <v>21</v>
      </c>
      <c r="C265" s="20" t="s">
        <v>27</v>
      </c>
      <c r="D265" s="20" t="n">
        <v>149</v>
      </c>
      <c r="E265" s="20" t="s">
        <v>28</v>
      </c>
      <c r="F265" s="20" t="n">
        <v>1</v>
      </c>
      <c r="G265" s="20" t="str">
        <f aca="false">CONCATENATE(B265, "-",C265, "-", D265, "-", F265)</f>
        <v>M0111-B-149-1</v>
      </c>
      <c r="H265" s="20" t="n">
        <v>348.03</v>
      </c>
      <c r="I265" s="20" t="n">
        <v>349.15</v>
      </c>
    </row>
    <row r="266" customFormat="false" ht="13.5" hidden="false" customHeight="true" outlineLevel="0" collapsed="false">
      <c r="A266" s="20" t="n">
        <v>501</v>
      </c>
      <c r="B266" s="20" t="s">
        <v>21</v>
      </c>
      <c r="C266" s="20" t="s">
        <v>27</v>
      </c>
      <c r="D266" s="20" t="n">
        <v>150</v>
      </c>
      <c r="E266" s="20" t="s">
        <v>28</v>
      </c>
      <c r="F266" s="20" t="n">
        <v>1</v>
      </c>
      <c r="G266" s="20" t="str">
        <f aca="false">CONCATENATE(B266, "-",C266, "-", D266, "-", F266)</f>
        <v>M0111-B-150-1</v>
      </c>
      <c r="H266" s="20" t="n">
        <v>349.03</v>
      </c>
      <c r="I266" s="20" t="n">
        <v>349.13</v>
      </c>
    </row>
    <row r="267" customFormat="false" ht="13.5" hidden="false" customHeight="true" outlineLevel="0" collapsed="false">
      <c r="A267" s="20" t="n">
        <v>501</v>
      </c>
      <c r="B267" s="20" t="s">
        <v>21</v>
      </c>
      <c r="C267" s="20" t="s">
        <v>27</v>
      </c>
      <c r="D267" s="20" t="n">
        <v>151</v>
      </c>
      <c r="E267" s="20" t="s">
        <v>28</v>
      </c>
      <c r="F267" s="20" t="n">
        <v>1</v>
      </c>
      <c r="G267" s="20" t="str">
        <f aca="false">CONCATENATE(B267, "-",C267, "-", D267, "-", F267)</f>
        <v>M0111-B-151-1</v>
      </c>
      <c r="H267" s="20" t="n">
        <v>350.03</v>
      </c>
      <c r="I267" s="20" t="n">
        <v>350.67</v>
      </c>
    </row>
    <row r="268" customFormat="false" ht="13.5" hidden="false" customHeight="true" outlineLevel="0" collapsed="false">
      <c r="A268" s="20" t="n">
        <v>501</v>
      </c>
      <c r="B268" s="20" t="s">
        <v>21</v>
      </c>
      <c r="C268" s="20" t="s">
        <v>27</v>
      </c>
      <c r="D268" s="20" t="n">
        <v>152</v>
      </c>
      <c r="E268" s="20" t="s">
        <v>28</v>
      </c>
      <c r="F268" s="20" t="n">
        <v>1</v>
      </c>
      <c r="G268" s="20" t="str">
        <f aca="false">CONCATENATE(B268, "-",C268, "-", D268, "-", F268)</f>
        <v>M0111-B-152-1</v>
      </c>
      <c r="H268" s="20" t="n">
        <v>351.28</v>
      </c>
      <c r="I268" s="20" t="n">
        <v>351.62</v>
      </c>
    </row>
    <row r="269" customFormat="false" ht="13.5" hidden="false" customHeight="true" outlineLevel="0" collapsed="false">
      <c r="A269" s="20" t="n">
        <v>501</v>
      </c>
      <c r="B269" s="20" t="s">
        <v>21</v>
      </c>
      <c r="C269" s="20" t="s">
        <v>27</v>
      </c>
      <c r="D269" s="20" t="n">
        <v>154</v>
      </c>
      <c r="E269" s="20" t="s">
        <v>28</v>
      </c>
      <c r="F269" s="20" t="n">
        <v>1</v>
      </c>
      <c r="G269" s="20" t="str">
        <f aca="false">CONCATENATE(B269, "-",C269, "-", D269, "-", F269)</f>
        <v>M0111-B-154-1</v>
      </c>
      <c r="H269" s="20" t="n">
        <v>353.58</v>
      </c>
      <c r="I269" s="20" t="n">
        <v>353.81</v>
      </c>
    </row>
    <row r="270" customFormat="false" ht="13.5" hidden="false" customHeight="true" outlineLevel="0" collapsed="false">
      <c r="A270" s="20" t="n">
        <v>501</v>
      </c>
      <c r="B270" s="20" t="s">
        <v>21</v>
      </c>
      <c r="C270" s="20" t="s">
        <v>27</v>
      </c>
      <c r="D270" s="20" t="n">
        <v>155</v>
      </c>
      <c r="E270" s="20" t="s">
        <v>28</v>
      </c>
      <c r="F270" s="20" t="n">
        <v>1</v>
      </c>
      <c r="G270" s="20" t="str">
        <f aca="false">CONCATENATE(B270, "-",C270, "-", D270, "-", F270)</f>
        <v>M0111-B-155-1</v>
      </c>
      <c r="H270" s="20" t="n">
        <v>355.55</v>
      </c>
      <c r="I270" s="20" t="n">
        <v>356.52</v>
      </c>
    </row>
    <row r="271" customFormat="false" ht="13.5" hidden="false" customHeight="true" outlineLevel="0" collapsed="false">
      <c r="A271" s="20" t="n">
        <v>501</v>
      </c>
      <c r="B271" s="20" t="s">
        <v>21</v>
      </c>
      <c r="C271" s="20" t="s">
        <v>27</v>
      </c>
      <c r="D271" s="20" t="n">
        <v>156</v>
      </c>
      <c r="E271" s="20" t="s">
        <v>28</v>
      </c>
      <c r="F271" s="20" t="n">
        <v>1</v>
      </c>
      <c r="G271" s="20" t="str">
        <f aca="false">CONCATENATE(B271, "-",C271, "-", D271, "-", F271)</f>
        <v>M0111-B-156-1</v>
      </c>
      <c r="H271" s="20" t="n">
        <v>358.6</v>
      </c>
      <c r="I271" s="20" t="n">
        <v>358.75</v>
      </c>
    </row>
    <row r="272" customFormat="false" ht="13.5" hidden="false" customHeight="true" outlineLevel="0" collapsed="false">
      <c r="A272" s="20" t="n">
        <v>501</v>
      </c>
      <c r="B272" s="20" t="s">
        <v>21</v>
      </c>
      <c r="C272" s="20" t="s">
        <v>27</v>
      </c>
      <c r="D272" s="20" t="n">
        <v>157</v>
      </c>
      <c r="E272" s="20" t="s">
        <v>28</v>
      </c>
      <c r="F272" s="20" t="n">
        <v>1</v>
      </c>
      <c r="G272" s="20" t="str">
        <f aca="false">CONCATENATE(B272, "-",C272, "-", D272, "-", F272)</f>
        <v>M0111-B-157-1</v>
      </c>
      <c r="H272" s="20" t="n">
        <v>360.83</v>
      </c>
      <c r="I272" s="20" t="n">
        <v>361.57</v>
      </c>
    </row>
    <row r="273" customFormat="false" ht="13.5" hidden="false" customHeight="true" outlineLevel="0" collapsed="false">
      <c r="A273" s="20" t="n">
        <v>501</v>
      </c>
      <c r="B273" s="20" t="s">
        <v>21</v>
      </c>
      <c r="C273" s="20" t="s">
        <v>27</v>
      </c>
      <c r="D273" s="20" t="n">
        <v>158</v>
      </c>
      <c r="E273" s="20" t="s">
        <v>28</v>
      </c>
      <c r="F273" s="20" t="n">
        <v>1</v>
      </c>
      <c r="G273" s="20" t="str">
        <f aca="false">CONCATENATE(B273, "-",C273, "-", D273, "-", F273)</f>
        <v>M0111-B-158-1</v>
      </c>
      <c r="H273" s="20" t="n">
        <v>361.73</v>
      </c>
      <c r="I273" s="20" t="n">
        <v>362.35</v>
      </c>
    </row>
    <row r="274" customFormat="false" ht="13.5" hidden="false" customHeight="true" outlineLevel="0" collapsed="false">
      <c r="A274" s="20" t="n">
        <v>501</v>
      </c>
      <c r="B274" s="20" t="s">
        <v>21</v>
      </c>
      <c r="C274" s="20" t="s">
        <v>27</v>
      </c>
      <c r="D274" s="20" t="n">
        <v>158</v>
      </c>
      <c r="E274" s="20" t="s">
        <v>28</v>
      </c>
      <c r="F274" s="20" t="n">
        <v>2</v>
      </c>
      <c r="G274" s="20" t="str">
        <f aca="false">CONCATENATE(B274, "-",C274, "-", D274, "-", F274)</f>
        <v>M0111-B-158-2</v>
      </c>
      <c r="H274" s="20" t="n">
        <v>362.35</v>
      </c>
      <c r="I274" s="20" t="n">
        <v>362.72</v>
      </c>
    </row>
    <row r="275" customFormat="false" ht="13.5" hidden="false" customHeight="true" outlineLevel="0" collapsed="false">
      <c r="A275" s="20" t="n">
        <v>501</v>
      </c>
      <c r="B275" s="20" t="s">
        <v>21</v>
      </c>
      <c r="C275" s="20" t="s">
        <v>27</v>
      </c>
      <c r="D275" s="20" t="n">
        <v>159</v>
      </c>
      <c r="E275" s="20" t="s">
        <v>28</v>
      </c>
      <c r="F275" s="20" t="n">
        <v>1</v>
      </c>
      <c r="G275" s="20" t="str">
        <f aca="false">CONCATENATE(B275, "-",C275, "-", D275, "-", F275)</f>
        <v>M0111-B-159-1</v>
      </c>
      <c r="H275" s="20" t="n">
        <v>364.78</v>
      </c>
      <c r="I275" s="20" t="n">
        <v>365.38</v>
      </c>
    </row>
    <row r="276" customFormat="false" ht="13.5" hidden="false" customHeight="true" outlineLevel="0" collapsed="false">
      <c r="A276" s="20" t="n">
        <v>501</v>
      </c>
      <c r="B276" s="20" t="s">
        <v>21</v>
      </c>
      <c r="C276" s="20" t="s">
        <v>27</v>
      </c>
      <c r="D276" s="20" t="n">
        <v>160</v>
      </c>
      <c r="E276" s="20" t="s">
        <v>28</v>
      </c>
      <c r="F276" s="20" t="n">
        <v>1</v>
      </c>
      <c r="G276" s="20" t="str">
        <f aca="false">CONCATENATE(B276, "-",C276, "-", D276, "-", F276)</f>
        <v>M0111-B-160-1</v>
      </c>
      <c r="H276" s="20" t="n">
        <v>366.08</v>
      </c>
      <c r="I276" s="20" t="n">
        <v>366.5</v>
      </c>
    </row>
    <row r="277" customFormat="false" ht="13.5" hidden="false" customHeight="true" outlineLevel="0" collapsed="false">
      <c r="A277" s="20" t="n">
        <v>501</v>
      </c>
      <c r="B277" s="20" t="s">
        <v>21</v>
      </c>
      <c r="C277" s="20" t="s">
        <v>27</v>
      </c>
      <c r="D277" s="20" t="n">
        <v>161</v>
      </c>
      <c r="E277" s="20" t="s">
        <v>28</v>
      </c>
      <c r="F277" s="20" t="n">
        <v>1</v>
      </c>
      <c r="G277" s="20" t="str">
        <f aca="false">CONCATENATE(B277, "-",C277, "-", D277, "-", F277)</f>
        <v>M0111-B-161-1</v>
      </c>
      <c r="H277" s="20" t="n">
        <v>368.83</v>
      </c>
      <c r="I277" s="20" t="n">
        <v>369.83</v>
      </c>
    </row>
    <row r="278" customFormat="false" ht="13.5" hidden="false" customHeight="true" outlineLevel="0" collapsed="false">
      <c r="A278" s="20" t="n">
        <v>501</v>
      </c>
      <c r="B278" s="20" t="s">
        <v>21</v>
      </c>
      <c r="C278" s="20" t="s">
        <v>27</v>
      </c>
      <c r="D278" s="20" t="n">
        <v>165</v>
      </c>
      <c r="E278" s="20" t="s">
        <v>28</v>
      </c>
      <c r="F278" s="20" t="n">
        <v>1</v>
      </c>
      <c r="G278" s="20" t="str">
        <f aca="false">CONCATENATE(B278, "-",C278, "-", D278, "-", F278)</f>
        <v>M0111-B-165-1</v>
      </c>
      <c r="H278" s="20" t="n">
        <v>377.98</v>
      </c>
      <c r="I278" s="20" t="n">
        <v>379.48</v>
      </c>
    </row>
    <row r="279" customFormat="false" ht="13.5" hidden="false" customHeight="true" outlineLevel="0" collapsed="false">
      <c r="A279" s="20" t="n">
        <v>501</v>
      </c>
      <c r="B279" s="20" t="s">
        <v>21</v>
      </c>
      <c r="C279" s="20" t="s">
        <v>27</v>
      </c>
      <c r="D279" s="20" t="n">
        <v>165</v>
      </c>
      <c r="E279" s="20" t="s">
        <v>28</v>
      </c>
      <c r="F279" s="20" t="n">
        <v>2</v>
      </c>
      <c r="G279" s="20" t="str">
        <f aca="false">CONCATENATE(B279, "-",C279, "-", D279, "-", F279)</f>
        <v>M0111-B-165-2</v>
      </c>
      <c r="H279" s="20" t="n">
        <v>379.48</v>
      </c>
      <c r="I279" s="20" t="n">
        <v>379.91</v>
      </c>
    </row>
    <row r="280" customFormat="false" ht="13.5" hidden="false" customHeight="true" outlineLevel="0" collapsed="false">
      <c r="A280" s="20" t="n">
        <v>501</v>
      </c>
      <c r="B280" s="20" t="s">
        <v>21</v>
      </c>
      <c r="C280" s="20" t="s">
        <v>27</v>
      </c>
      <c r="D280" s="20" t="n">
        <v>166</v>
      </c>
      <c r="E280" s="20" t="s">
        <v>28</v>
      </c>
      <c r="F280" s="20" t="n">
        <v>1</v>
      </c>
      <c r="G280" s="20" t="str">
        <f aca="false">CONCATENATE(B280, "-",C280, "-", D280, "-", F280)</f>
        <v>M0111-B-166-1</v>
      </c>
      <c r="H280" s="20" t="n">
        <v>381.03</v>
      </c>
      <c r="I280" s="20" t="n">
        <v>381.93</v>
      </c>
    </row>
    <row r="281" customFormat="false" ht="13.5" hidden="false" customHeight="true" outlineLevel="0" collapsed="false">
      <c r="A281" s="20" t="n">
        <v>501</v>
      </c>
      <c r="B281" s="20" t="s">
        <v>21</v>
      </c>
      <c r="C281" s="20" t="s">
        <v>27</v>
      </c>
      <c r="D281" s="20" t="n">
        <v>168</v>
      </c>
      <c r="E281" s="20" t="s">
        <v>28</v>
      </c>
      <c r="F281" s="20" t="n">
        <v>1</v>
      </c>
      <c r="G281" s="20" t="str">
        <f aca="false">CONCATENATE(B281, "-",C281, "-", D281, "-", F281)</f>
        <v>M0111-B-168-1</v>
      </c>
      <c r="H281" s="20" t="n">
        <v>383.08</v>
      </c>
      <c r="I281" s="20" t="n">
        <v>383.25</v>
      </c>
    </row>
    <row r="282" customFormat="false" ht="13.5" hidden="false" customHeight="true" outlineLevel="0" collapsed="false">
      <c r="A282" s="20" t="n">
        <v>501</v>
      </c>
      <c r="B282" s="20" t="s">
        <v>21</v>
      </c>
      <c r="C282" s="20" t="s">
        <v>27</v>
      </c>
      <c r="D282" s="20" t="n">
        <v>169</v>
      </c>
      <c r="E282" s="20" t="s">
        <v>28</v>
      </c>
      <c r="F282" s="20" t="n">
        <v>1</v>
      </c>
      <c r="G282" s="20" t="str">
        <f aca="false">CONCATENATE(B282, "-",C282, "-", D282, "-", F282)</f>
        <v>M0111-B-169-1</v>
      </c>
      <c r="H282" s="20" t="n">
        <v>384.08</v>
      </c>
      <c r="I282" s="20" t="n">
        <v>384.26</v>
      </c>
      <c r="T282" s="20" t="n">
        <v>377.98</v>
      </c>
    </row>
    <row r="283" customFormat="false" ht="13.5" hidden="false" customHeight="true" outlineLevel="0" collapsed="false">
      <c r="A283" s="20" t="n">
        <v>501</v>
      </c>
      <c r="B283" s="20" t="s">
        <v>21</v>
      </c>
      <c r="C283" s="20" t="s">
        <v>27</v>
      </c>
      <c r="D283" s="20" t="n">
        <v>171</v>
      </c>
      <c r="E283" s="20" t="s">
        <v>28</v>
      </c>
      <c r="F283" s="20" t="n">
        <v>1</v>
      </c>
      <c r="G283" s="20" t="str">
        <f aca="false">CONCATENATE(B283, "-",C283, "-", D283, "-", F283)</f>
        <v>M0111-B-171-1</v>
      </c>
      <c r="H283" s="20" t="n">
        <v>389.18</v>
      </c>
      <c r="I283" s="20" t="n">
        <v>389.3</v>
      </c>
      <c r="T283" s="20" t="n">
        <v>381.03</v>
      </c>
    </row>
    <row r="284" customFormat="false" ht="13.5" hidden="false" customHeight="true" outlineLevel="0" collapsed="false">
      <c r="A284" s="20" t="n">
        <v>501</v>
      </c>
      <c r="B284" s="20" t="s">
        <v>21</v>
      </c>
      <c r="C284" s="20" t="s">
        <v>47</v>
      </c>
      <c r="D284" s="20" t="n">
        <v>1</v>
      </c>
      <c r="E284" s="20" t="s">
        <v>23</v>
      </c>
      <c r="F284" s="20" t="n">
        <v>1</v>
      </c>
      <c r="G284" s="20" t="str">
        <f aca="false">CONCATENATE(B284, "-",C284, "-", D284, "-", F284)</f>
        <v>M0111-C-1-1</v>
      </c>
      <c r="H284" s="20" t="n">
        <v>45.56</v>
      </c>
      <c r="I284" s="20" t="n">
        <v>47.06</v>
      </c>
    </row>
    <row r="285" customFormat="false" ht="13.5" hidden="false" customHeight="true" outlineLevel="0" collapsed="false">
      <c r="A285" s="20" t="n">
        <v>501</v>
      </c>
      <c r="B285" s="20" t="s">
        <v>21</v>
      </c>
      <c r="C285" s="20" t="s">
        <v>47</v>
      </c>
      <c r="D285" s="20" t="n">
        <v>1</v>
      </c>
      <c r="E285" s="20" t="s">
        <v>23</v>
      </c>
      <c r="F285" s="20" t="n">
        <v>2</v>
      </c>
      <c r="G285" s="20" t="str">
        <f aca="false">CONCATENATE(B285, "-",C285, "-", D285, "-", F285)</f>
        <v>M0111-C-1-2</v>
      </c>
      <c r="H285" s="20" t="n">
        <v>47.06</v>
      </c>
      <c r="I285" s="20" t="n">
        <v>47.67</v>
      </c>
    </row>
    <row r="286" customFormat="false" ht="13.5" hidden="false" customHeight="true" outlineLevel="0" collapsed="false">
      <c r="A286" s="20" t="n">
        <v>501</v>
      </c>
      <c r="B286" s="20" t="s">
        <v>21</v>
      </c>
      <c r="C286" s="20" t="s">
        <v>47</v>
      </c>
      <c r="D286" s="20" t="n">
        <v>2</v>
      </c>
      <c r="E286" s="20" t="s">
        <v>23</v>
      </c>
      <c r="F286" s="20" t="n">
        <v>1</v>
      </c>
      <c r="G286" s="20" t="str">
        <f aca="false">CONCATENATE(B286, "-",C286, "-", D286, "-", F286)</f>
        <v>M0111-C-2-1</v>
      </c>
      <c r="H286" s="20" t="n">
        <v>47.67</v>
      </c>
      <c r="I286" s="20" t="n">
        <v>48.24</v>
      </c>
    </row>
    <row r="287" customFormat="false" ht="13.5" hidden="false" customHeight="true" outlineLevel="0" collapsed="false">
      <c r="A287" s="20" t="n">
        <v>501</v>
      </c>
      <c r="B287" s="20" t="s">
        <v>21</v>
      </c>
      <c r="C287" s="20" t="s">
        <v>47</v>
      </c>
      <c r="D287" s="20" t="n">
        <v>2</v>
      </c>
      <c r="E287" s="20" t="s">
        <v>23</v>
      </c>
      <c r="F287" s="20" t="n">
        <v>2</v>
      </c>
      <c r="G287" s="20" t="str">
        <f aca="false">CONCATENATE(B287, "-",C287, "-", D287, "-", F287)</f>
        <v>M0111-C-2-2</v>
      </c>
      <c r="H287" s="20" t="n">
        <v>48.24</v>
      </c>
      <c r="I287" s="20" t="n">
        <v>48.56</v>
      </c>
    </row>
    <row r="288" customFormat="false" ht="13.5" hidden="false" customHeight="true" outlineLevel="0" collapsed="false">
      <c r="A288" s="20" t="n">
        <v>501</v>
      </c>
      <c r="B288" s="20" t="s">
        <v>21</v>
      </c>
      <c r="C288" s="20" t="s">
        <v>47</v>
      </c>
      <c r="D288" s="20" t="n">
        <v>3</v>
      </c>
      <c r="E288" s="20" t="s">
        <v>23</v>
      </c>
      <c r="F288" s="20" t="n">
        <v>1</v>
      </c>
      <c r="G288" s="20" t="str">
        <f aca="false">CONCATENATE(B288, "-",C288, "-", D288, "-", F288)</f>
        <v>M0111-C-3-1</v>
      </c>
      <c r="H288" s="20" t="n">
        <v>48.56</v>
      </c>
      <c r="I288" s="20" t="n">
        <v>49.77</v>
      </c>
    </row>
    <row r="289" customFormat="false" ht="13.5" hidden="false" customHeight="true" outlineLevel="0" collapsed="false">
      <c r="A289" s="20" t="n">
        <v>501</v>
      </c>
      <c r="B289" s="20" t="s">
        <v>21</v>
      </c>
      <c r="C289" s="20" t="s">
        <v>47</v>
      </c>
      <c r="D289" s="20" t="n">
        <v>3</v>
      </c>
      <c r="E289" s="20" t="s">
        <v>23</v>
      </c>
      <c r="F289" s="20" t="n">
        <v>2</v>
      </c>
      <c r="G289" s="20" t="str">
        <f aca="false">CONCATENATE(B289, "-",C289, "-", D289, "-", F289)</f>
        <v>M0111-C-3-2</v>
      </c>
      <c r="H289" s="20" t="n">
        <v>49.77</v>
      </c>
      <c r="I289" s="20" t="n">
        <v>50</v>
      </c>
    </row>
    <row r="290" customFormat="false" ht="13.5" hidden="false" customHeight="true" outlineLevel="0" collapsed="false">
      <c r="A290" s="20" t="n">
        <v>501</v>
      </c>
      <c r="B290" s="20" t="s">
        <v>21</v>
      </c>
      <c r="C290" s="20" t="s">
        <v>47</v>
      </c>
      <c r="D290" s="20" t="n">
        <v>4</v>
      </c>
      <c r="E290" s="20" t="s">
        <v>23</v>
      </c>
      <c r="F290" s="20" t="n">
        <v>1</v>
      </c>
      <c r="G290" s="20" t="str">
        <f aca="false">CONCATENATE(B290, "-",C290, "-", D290, "-", F290)</f>
        <v>M0111-C-4-1</v>
      </c>
      <c r="H290" s="20" t="n">
        <v>50</v>
      </c>
      <c r="I290" s="20" t="n">
        <v>51.1</v>
      </c>
    </row>
    <row r="291" customFormat="false" ht="13.5" hidden="false" customHeight="true" outlineLevel="0" collapsed="false">
      <c r="A291" s="20" t="n">
        <v>501</v>
      </c>
      <c r="B291" s="20" t="s">
        <v>21</v>
      </c>
      <c r="C291" s="20" t="s">
        <v>47</v>
      </c>
      <c r="D291" s="20" t="n">
        <v>5</v>
      </c>
      <c r="E291" s="20" t="s">
        <v>23</v>
      </c>
      <c r="F291" s="20" t="n">
        <v>1</v>
      </c>
      <c r="G291" s="20" t="str">
        <f aca="false">CONCATENATE(B291, "-",C291, "-", D291, "-", F291)</f>
        <v>M0111-C-5-1</v>
      </c>
      <c r="H291" s="20" t="n">
        <v>110</v>
      </c>
      <c r="I291" s="20" t="n">
        <v>110.77</v>
      </c>
    </row>
    <row r="292" customFormat="false" ht="13.5" hidden="false" customHeight="true" outlineLevel="0" collapsed="false">
      <c r="A292" s="20" t="n">
        <v>501</v>
      </c>
      <c r="B292" s="20" t="s">
        <v>21</v>
      </c>
      <c r="C292" s="20" t="s">
        <v>47</v>
      </c>
      <c r="D292" s="20" t="n">
        <v>6</v>
      </c>
      <c r="E292" s="20" t="s">
        <v>23</v>
      </c>
      <c r="F292" s="20" t="n">
        <v>1</v>
      </c>
      <c r="G292" s="20" t="str">
        <f aca="false">CONCATENATE(B292, "-",C292, "-", D292, "-", F292)</f>
        <v>M0111-C-6-1</v>
      </c>
      <c r="H292" s="20" t="n">
        <v>111.36</v>
      </c>
      <c r="I292" s="20" t="n">
        <v>112.09</v>
      </c>
    </row>
    <row r="293" customFormat="false" ht="13.5" hidden="false" customHeight="true" outlineLevel="0" collapsed="false">
      <c r="A293" s="20" t="n">
        <v>501</v>
      </c>
      <c r="B293" s="20" t="s">
        <v>21</v>
      </c>
      <c r="C293" s="20" t="s">
        <v>47</v>
      </c>
      <c r="D293" s="20" t="n">
        <v>6</v>
      </c>
      <c r="E293" s="20" t="s">
        <v>23</v>
      </c>
      <c r="F293" s="20" t="n">
        <v>2</v>
      </c>
      <c r="G293" s="20" t="str">
        <f aca="false">CONCATENATE(B293, "-",C293, "-", D293, "-", F293)</f>
        <v>M0111-C-6-2</v>
      </c>
      <c r="H293" s="20" t="n">
        <v>112.09</v>
      </c>
      <c r="I293" s="20" t="n">
        <v>112.66</v>
      </c>
    </row>
    <row r="294" customFormat="false" ht="13.5" hidden="false" customHeight="true" outlineLevel="0" collapsed="false">
      <c r="A294" s="20" t="n">
        <v>501</v>
      </c>
      <c r="B294" s="20" t="s">
        <v>21</v>
      </c>
      <c r="C294" s="20" t="s">
        <v>47</v>
      </c>
      <c r="D294" s="20" t="n">
        <v>7</v>
      </c>
      <c r="E294" s="20" t="s">
        <v>28</v>
      </c>
      <c r="F294" s="20" t="n">
        <v>1</v>
      </c>
      <c r="G294" s="20" t="str">
        <f aca="false">CONCATENATE(B294, "-",C294, "-", D294, "-", F294)</f>
        <v>M0111-C-7-1</v>
      </c>
      <c r="H294" s="20" t="n">
        <v>120.36</v>
      </c>
      <c r="I294" s="20" t="n">
        <v>121.87</v>
      </c>
    </row>
    <row r="295" customFormat="false" ht="13.5" hidden="false" customHeight="true" outlineLevel="0" collapsed="false">
      <c r="A295" s="20" t="n">
        <v>501</v>
      </c>
      <c r="B295" s="20" t="s">
        <v>21</v>
      </c>
      <c r="C295" s="20" t="s">
        <v>47</v>
      </c>
      <c r="D295" s="20" t="n">
        <v>7</v>
      </c>
      <c r="E295" s="20" t="s">
        <v>28</v>
      </c>
      <c r="F295" s="20" t="n">
        <v>2</v>
      </c>
      <c r="G295" s="20" t="str">
        <f aca="false">CONCATENATE(B295, "-",C295, "-", D295, "-", F295)</f>
        <v>M0111-C-7-2</v>
      </c>
      <c r="H295" s="20" t="n">
        <v>121.87</v>
      </c>
      <c r="I295" s="20" t="n">
        <v>123.29</v>
      </c>
    </row>
    <row r="296" customFormat="false" ht="13.5" hidden="false" customHeight="true" outlineLevel="0" collapsed="false">
      <c r="A296" s="20" t="n">
        <v>501</v>
      </c>
      <c r="B296" s="20" t="s">
        <v>21</v>
      </c>
      <c r="C296" s="20" t="s">
        <v>47</v>
      </c>
      <c r="D296" s="20" t="n">
        <v>8</v>
      </c>
      <c r="E296" s="20" t="s">
        <v>28</v>
      </c>
      <c r="F296" s="20" t="n">
        <v>1</v>
      </c>
      <c r="G296" s="20" t="str">
        <f aca="false">CONCATENATE(B296, "-",C296, "-", D296, "-", F296)</f>
        <v>M0111-C-8-1</v>
      </c>
      <c r="H296" s="20" t="n">
        <v>125</v>
      </c>
      <c r="I296" s="20" t="n">
        <v>126.01</v>
      </c>
    </row>
    <row r="297" customFormat="false" ht="13.5" hidden="false" customHeight="true" outlineLevel="0" collapsed="false">
      <c r="A297" s="20" t="n">
        <v>501</v>
      </c>
      <c r="B297" s="20" t="s">
        <v>21</v>
      </c>
      <c r="C297" s="20" t="s">
        <v>47</v>
      </c>
      <c r="D297" s="20" t="n">
        <v>8</v>
      </c>
      <c r="E297" s="20" t="s">
        <v>28</v>
      </c>
      <c r="F297" s="20" t="n">
        <v>2</v>
      </c>
      <c r="G297" s="20" t="str">
        <f aca="false">CONCATENATE(B297, "-",C297, "-", D297, "-", F297)</f>
        <v>M0111-C-8-2</v>
      </c>
      <c r="H297" s="20" t="n">
        <v>126.01</v>
      </c>
      <c r="I297" s="20" t="n">
        <v>126.45</v>
      </c>
    </row>
    <row r="298" customFormat="false" ht="13.5" hidden="false" customHeight="true" outlineLevel="0" collapsed="false">
      <c r="A298" s="20" t="n">
        <v>501</v>
      </c>
      <c r="B298" s="20" t="s">
        <v>21</v>
      </c>
      <c r="C298" s="20" t="s">
        <v>47</v>
      </c>
      <c r="D298" s="20" t="n">
        <v>9</v>
      </c>
      <c r="E298" s="20" t="s">
        <v>28</v>
      </c>
      <c r="F298" s="20" t="n">
        <v>1</v>
      </c>
      <c r="G298" s="20" t="str">
        <f aca="false">CONCATENATE(B298, "-",C298, "-", D298, "-", F298)</f>
        <v>M0111-C-9-1</v>
      </c>
      <c r="H298" s="20" t="n">
        <v>126.36</v>
      </c>
      <c r="I298" s="20" t="n">
        <v>127.87</v>
      </c>
    </row>
    <row r="299" customFormat="false" ht="13.5" hidden="false" customHeight="true" outlineLevel="0" collapsed="false">
      <c r="A299" s="20" t="n">
        <v>501</v>
      </c>
      <c r="B299" s="20" t="s">
        <v>21</v>
      </c>
      <c r="C299" s="20" t="s">
        <v>47</v>
      </c>
      <c r="D299" s="20" t="n">
        <v>9</v>
      </c>
      <c r="E299" s="20" t="s">
        <v>28</v>
      </c>
      <c r="F299" s="20" t="n">
        <v>2</v>
      </c>
      <c r="G299" s="20" t="str">
        <f aca="false">CONCATENATE(B299, "-",C299, "-", D299, "-", F299)</f>
        <v>M0111-C-9-2</v>
      </c>
      <c r="H299" s="20" t="n">
        <v>127.87</v>
      </c>
      <c r="I299" s="20" t="n">
        <v>129.19</v>
      </c>
    </row>
    <row r="300" customFormat="false" ht="13.5" hidden="false" customHeight="true" outlineLevel="0" collapsed="false">
      <c r="A300" s="20" t="n">
        <v>501</v>
      </c>
      <c r="B300" s="20" t="s">
        <v>21</v>
      </c>
      <c r="C300" s="20" t="s">
        <v>47</v>
      </c>
      <c r="D300" s="20" t="n">
        <v>10</v>
      </c>
      <c r="E300" s="20" t="s">
        <v>28</v>
      </c>
      <c r="F300" s="20" t="n">
        <v>1</v>
      </c>
      <c r="G300" s="20" t="str">
        <f aca="false">CONCATENATE(B300, "-",C300, "-", D300, "-", F300)</f>
        <v>M0111-C-10-1</v>
      </c>
      <c r="H300" s="20" t="n">
        <v>150</v>
      </c>
      <c r="I300" s="20" t="n">
        <v>151.5</v>
      </c>
    </row>
    <row r="301" customFormat="false" ht="13.5" hidden="false" customHeight="true" outlineLevel="0" collapsed="false">
      <c r="A301" s="20" t="n">
        <v>501</v>
      </c>
      <c r="B301" s="20" t="s">
        <v>21</v>
      </c>
      <c r="C301" s="20" t="s">
        <v>47</v>
      </c>
      <c r="D301" s="20" t="n">
        <v>10</v>
      </c>
      <c r="E301" s="20" t="s">
        <v>28</v>
      </c>
      <c r="F301" s="20" t="n">
        <v>2</v>
      </c>
      <c r="G301" s="20" t="str">
        <f aca="false">CONCATENATE(B301, "-",C301, "-", D301, "-", F301)</f>
        <v>M0111-C-10-2</v>
      </c>
      <c r="H301" s="20" t="n">
        <v>151.5</v>
      </c>
      <c r="I301" s="20" t="n">
        <v>152.5</v>
      </c>
    </row>
    <row r="302" customFormat="false" ht="13.5" hidden="false" customHeight="true" outlineLevel="0" collapsed="false">
      <c r="A302" s="20" t="n">
        <v>501</v>
      </c>
      <c r="B302" s="20" t="s">
        <v>21</v>
      </c>
      <c r="C302" s="20" t="s">
        <v>47</v>
      </c>
      <c r="D302" s="20" t="n">
        <v>10</v>
      </c>
      <c r="E302" s="20" t="s">
        <v>28</v>
      </c>
      <c r="F302" s="20" t="n">
        <v>3</v>
      </c>
      <c r="G302" s="20" t="str">
        <f aca="false">CONCATENATE(B302, "-",C302, "-", D302, "-", F302)</f>
        <v>M0111-C-10-3</v>
      </c>
      <c r="H302" s="20" t="n">
        <v>152.5</v>
      </c>
      <c r="I302" s="20" t="n">
        <v>153.12</v>
      </c>
    </row>
    <row r="303" customFormat="false" ht="13.5" hidden="false" customHeight="true" outlineLevel="0" collapsed="false">
      <c r="A303" s="20" t="n">
        <v>501</v>
      </c>
      <c r="B303" s="20" t="s">
        <v>21</v>
      </c>
      <c r="C303" s="20" t="s">
        <v>47</v>
      </c>
      <c r="D303" s="20" t="n">
        <v>11</v>
      </c>
      <c r="E303" s="20" t="s">
        <v>28</v>
      </c>
      <c r="F303" s="20" t="n">
        <v>1</v>
      </c>
      <c r="G303" s="20" t="str">
        <f aca="false">CONCATENATE(B303, "-",C303, "-", D303, "-", F303)</f>
        <v>M0111-C-11-1</v>
      </c>
      <c r="H303" s="20" t="n">
        <v>153</v>
      </c>
      <c r="I303" s="20" t="n">
        <v>154.5</v>
      </c>
    </row>
    <row r="304" customFormat="false" ht="13.5" hidden="false" customHeight="true" outlineLevel="0" collapsed="false">
      <c r="A304" s="20" t="n">
        <v>501</v>
      </c>
      <c r="B304" s="20" t="s">
        <v>21</v>
      </c>
      <c r="C304" s="20" t="s">
        <v>47</v>
      </c>
      <c r="D304" s="20" t="n">
        <v>11</v>
      </c>
      <c r="E304" s="20" t="s">
        <v>28</v>
      </c>
      <c r="F304" s="20" t="n">
        <v>2</v>
      </c>
      <c r="G304" s="20" t="str">
        <f aca="false">CONCATENATE(B304, "-",C304, "-", D304, "-", F304)</f>
        <v>M0111-C-11-2</v>
      </c>
      <c r="H304" s="20" t="n">
        <v>154.5</v>
      </c>
      <c r="I304" s="20" t="n">
        <v>155.49</v>
      </c>
    </row>
    <row r="305" customFormat="false" ht="13.5" hidden="false" customHeight="true" outlineLevel="0" collapsed="false">
      <c r="A305" s="20" t="n">
        <v>501</v>
      </c>
      <c r="B305" s="20" t="s">
        <v>21</v>
      </c>
      <c r="C305" s="20" t="s">
        <v>47</v>
      </c>
      <c r="D305" s="20" t="n">
        <v>11</v>
      </c>
      <c r="E305" s="20" t="s">
        <v>28</v>
      </c>
      <c r="F305" s="20" t="n">
        <v>3</v>
      </c>
      <c r="G305" s="20" t="str">
        <f aca="false">CONCATENATE(B305, "-",C305, "-", D305, "-", F305)</f>
        <v>M0111-C-11-3</v>
      </c>
      <c r="H305" s="20" t="n">
        <v>155.49</v>
      </c>
      <c r="I305" s="20" t="n">
        <v>156.12</v>
      </c>
    </row>
    <row r="306" customFormat="false" ht="13.5" hidden="false" customHeight="true" outlineLevel="0" collapsed="false">
      <c r="A306" s="20" t="n">
        <v>501</v>
      </c>
      <c r="B306" s="20" t="s">
        <v>21</v>
      </c>
      <c r="C306" s="20" t="s">
        <v>47</v>
      </c>
      <c r="D306" s="20" t="n">
        <v>12</v>
      </c>
      <c r="E306" s="20" t="s">
        <v>28</v>
      </c>
      <c r="F306" s="20" t="n">
        <v>1</v>
      </c>
      <c r="G306" s="20" t="str">
        <f aca="false">CONCATENATE(B306, "-",C306, "-", D306, "-", F306)</f>
        <v>M0111-C-12-1</v>
      </c>
      <c r="H306" s="20" t="n">
        <v>156</v>
      </c>
      <c r="I306" s="20" t="n">
        <v>157.48</v>
      </c>
    </row>
    <row r="307" customFormat="false" ht="13.5" hidden="false" customHeight="true" outlineLevel="0" collapsed="false">
      <c r="A307" s="20" t="n">
        <v>501</v>
      </c>
      <c r="B307" s="20" t="s">
        <v>21</v>
      </c>
      <c r="C307" s="20" t="s">
        <v>47</v>
      </c>
      <c r="D307" s="20" t="n">
        <v>12</v>
      </c>
      <c r="E307" s="20" t="s">
        <v>28</v>
      </c>
      <c r="F307" s="20" t="n">
        <v>2</v>
      </c>
      <c r="G307" s="20" t="str">
        <f aca="false">CONCATENATE(B307, "-",C307, "-", D307, "-", F307)</f>
        <v>M0111-C-12-2</v>
      </c>
      <c r="H307" s="20" t="n">
        <v>157.48</v>
      </c>
      <c r="I307" s="20" t="n">
        <v>158.11</v>
      </c>
    </row>
    <row r="308" customFormat="false" ht="13.5" hidden="false" customHeight="true" outlineLevel="0" collapsed="false">
      <c r="A308" s="20" t="n">
        <v>501</v>
      </c>
      <c r="B308" s="20" t="s">
        <v>21</v>
      </c>
      <c r="C308" s="20" t="s">
        <v>47</v>
      </c>
      <c r="D308" s="20" t="n">
        <v>13</v>
      </c>
      <c r="E308" s="20" t="s">
        <v>28</v>
      </c>
      <c r="F308" s="20" t="n">
        <v>1</v>
      </c>
      <c r="G308" s="20" t="str">
        <f aca="false">CONCATENATE(B308, "-",C308, "-", D308, "-", F308)</f>
        <v>M0111-C-13-1</v>
      </c>
      <c r="H308" s="20" t="n">
        <v>159</v>
      </c>
      <c r="I308" s="20" t="n">
        <v>159.83</v>
      </c>
    </row>
    <row r="309" customFormat="false" ht="13.5" hidden="false" customHeight="true" outlineLevel="0" collapsed="false">
      <c r="A309" s="20" t="n">
        <v>501</v>
      </c>
      <c r="B309" s="20" t="s">
        <v>21</v>
      </c>
      <c r="C309" s="20" t="s">
        <v>47</v>
      </c>
      <c r="D309" s="20" t="n">
        <v>14</v>
      </c>
      <c r="E309" s="20" t="s">
        <v>28</v>
      </c>
      <c r="F309" s="20" t="n">
        <v>1</v>
      </c>
      <c r="G309" s="20" t="str">
        <f aca="false">CONCATENATE(B309, "-",C309, "-", D309, "-", F309)</f>
        <v>M0111-C-14-1</v>
      </c>
      <c r="H309" s="20" t="n">
        <v>161.16</v>
      </c>
      <c r="I309" s="20" t="n">
        <v>162.14</v>
      </c>
    </row>
    <row r="310" customFormat="false" ht="13.5" hidden="false" customHeight="true" outlineLevel="0" collapsed="false">
      <c r="A310" s="20" t="n">
        <v>501</v>
      </c>
      <c r="B310" s="20" t="s">
        <v>21</v>
      </c>
      <c r="C310" s="20" t="s">
        <v>47</v>
      </c>
      <c r="D310" s="20" t="n">
        <v>15</v>
      </c>
      <c r="E310" s="20" t="s">
        <v>28</v>
      </c>
      <c r="F310" s="20" t="n">
        <v>1</v>
      </c>
      <c r="G310" s="20" t="str">
        <f aca="false">CONCATENATE(B310, "-",C310, "-", D310, "-", F310)</f>
        <v>M0111-C-15-1</v>
      </c>
      <c r="H310" s="20" t="n">
        <v>162.36</v>
      </c>
      <c r="I310" s="20" t="n">
        <v>163.25</v>
      </c>
    </row>
    <row r="311" customFormat="false" ht="13.5" hidden="false" customHeight="true" outlineLevel="0" collapsed="false">
      <c r="A311" s="20" t="n">
        <v>501</v>
      </c>
      <c r="B311" s="20" t="s">
        <v>21</v>
      </c>
      <c r="C311" s="20" t="s">
        <v>47</v>
      </c>
      <c r="D311" s="20" t="n">
        <v>17</v>
      </c>
      <c r="E311" s="20" t="s">
        <v>28</v>
      </c>
      <c r="F311" s="20" t="n">
        <v>1</v>
      </c>
      <c r="G311" s="20" t="str">
        <f aca="false">CONCATENATE(B311, "-",C311, "-", D311, "-", F311)</f>
        <v>M0111-C-17-1</v>
      </c>
      <c r="H311" s="20" t="n">
        <v>166.36</v>
      </c>
      <c r="I311" s="20" t="n">
        <v>166.53</v>
      </c>
    </row>
    <row r="312" customFormat="false" ht="13.5" hidden="false" customHeight="true" outlineLevel="0" collapsed="false">
      <c r="A312" s="20" t="n">
        <v>501</v>
      </c>
      <c r="B312" s="20" t="s">
        <v>21</v>
      </c>
      <c r="C312" s="20" t="s">
        <v>47</v>
      </c>
      <c r="D312" s="20" t="n">
        <v>18</v>
      </c>
      <c r="E312" s="20" t="s">
        <v>28</v>
      </c>
      <c r="F312" s="20" t="n">
        <v>1</v>
      </c>
      <c r="G312" s="20" t="str">
        <f aca="false">CONCATENATE(B312, "-",C312, "-", D312, "-", F312)</f>
        <v>M0111-C-18-1</v>
      </c>
      <c r="H312" s="20" t="n">
        <v>168.36</v>
      </c>
      <c r="I312" s="20" t="n">
        <v>169.86</v>
      </c>
    </row>
    <row r="313" customFormat="false" ht="13.5" hidden="false" customHeight="true" outlineLevel="0" collapsed="false">
      <c r="A313" s="20" t="n">
        <v>501</v>
      </c>
      <c r="B313" s="20" t="s">
        <v>21</v>
      </c>
      <c r="C313" s="20" t="s">
        <v>47</v>
      </c>
      <c r="D313" s="20" t="n">
        <v>18</v>
      </c>
      <c r="E313" s="20" t="s">
        <v>28</v>
      </c>
      <c r="F313" s="20" t="n">
        <v>2</v>
      </c>
      <c r="G313" s="20" t="str">
        <f aca="false">CONCATENATE(B313, "-",C313, "-", D313, "-", F313)</f>
        <v>M0111-C-18-2</v>
      </c>
      <c r="H313" s="20" t="n">
        <v>169.86</v>
      </c>
      <c r="I313" s="20" t="n">
        <v>171.22</v>
      </c>
    </row>
    <row r="314" customFormat="false" ht="13.5" hidden="false" customHeight="true" outlineLevel="0" collapsed="false">
      <c r="A314" s="20" t="n">
        <v>501</v>
      </c>
      <c r="B314" s="20" t="s">
        <v>21</v>
      </c>
      <c r="C314" s="20" t="s">
        <v>47</v>
      </c>
      <c r="D314" s="20" t="n">
        <v>19</v>
      </c>
      <c r="E314" s="20" t="s">
        <v>48</v>
      </c>
      <c r="F314" s="20" t="n">
        <v>1</v>
      </c>
      <c r="G314" s="20" t="str">
        <f aca="false">CONCATENATE(B314, "-",C314, "-", D314, "-", F314)</f>
        <v>M0111-C-19-1</v>
      </c>
      <c r="H314" s="20" t="n">
        <v>150.36</v>
      </c>
      <c r="I314" s="20" t="n">
        <v>165.36</v>
      </c>
    </row>
    <row r="315" customFormat="false" ht="13.5" hidden="false" customHeight="true" outlineLevel="0" collapsed="false">
      <c r="A315" s="20" t="n">
        <v>501</v>
      </c>
      <c r="B315" s="20" t="s">
        <v>21</v>
      </c>
      <c r="C315" s="20" t="s">
        <v>47</v>
      </c>
      <c r="D315" s="20" t="n">
        <v>20</v>
      </c>
      <c r="E315" s="20" t="s">
        <v>28</v>
      </c>
      <c r="F315" s="20" t="n">
        <v>1</v>
      </c>
      <c r="G315" s="20" t="str">
        <f aca="false">CONCATENATE(B315, "-",C315, "-", D315, "-", F315)</f>
        <v>M0111-C-20-1</v>
      </c>
      <c r="H315" s="20" t="n">
        <v>171.36</v>
      </c>
      <c r="I315" s="20" t="n">
        <v>172.86</v>
      </c>
    </row>
    <row r="316" customFormat="false" ht="13.5" hidden="false" customHeight="true" outlineLevel="0" collapsed="false">
      <c r="A316" s="20" t="n">
        <v>501</v>
      </c>
      <c r="B316" s="20" t="s">
        <v>21</v>
      </c>
      <c r="C316" s="20" t="s">
        <v>47</v>
      </c>
      <c r="D316" s="20" t="n">
        <v>20</v>
      </c>
      <c r="E316" s="20" t="s">
        <v>28</v>
      </c>
      <c r="F316" s="20" t="n">
        <v>2</v>
      </c>
      <c r="G316" s="20" t="str">
        <f aca="false">CONCATENATE(B316, "-",C316, "-", D316, "-", F316)</f>
        <v>M0111-C-20-2</v>
      </c>
      <c r="H316" s="20" t="n">
        <v>172.86</v>
      </c>
      <c r="I316" s="20" t="n">
        <v>174.36</v>
      </c>
    </row>
    <row r="317" customFormat="false" ht="13.5" hidden="false" customHeight="true" outlineLevel="0" collapsed="false">
      <c r="A317" s="20" t="n">
        <v>501</v>
      </c>
      <c r="B317" s="20" t="s">
        <v>21</v>
      </c>
      <c r="C317" s="20" t="s">
        <v>47</v>
      </c>
      <c r="D317" s="20" t="n">
        <v>20</v>
      </c>
      <c r="E317" s="20" t="s">
        <v>28</v>
      </c>
      <c r="F317" s="20" t="n">
        <v>3</v>
      </c>
      <c r="G317" s="20" t="str">
        <f aca="false">CONCATENATE(B317, "-",C317, "-", D317, "-", F317)</f>
        <v>M0111-C-20-3</v>
      </c>
      <c r="H317" s="20" t="n">
        <v>174.36</v>
      </c>
      <c r="I317" s="20" t="n">
        <v>174.68</v>
      </c>
    </row>
    <row r="318" customFormat="false" ht="13.5" hidden="false" customHeight="true" outlineLevel="0" collapsed="false">
      <c r="A318" s="20" t="n">
        <v>501</v>
      </c>
      <c r="B318" s="20" t="s">
        <v>21</v>
      </c>
      <c r="C318" s="20" t="s">
        <v>47</v>
      </c>
      <c r="D318" s="20" t="n">
        <v>21</v>
      </c>
      <c r="E318" s="20" t="s">
        <v>28</v>
      </c>
      <c r="F318" s="20" t="n">
        <v>1</v>
      </c>
      <c r="G318" s="20" t="str">
        <f aca="false">CONCATENATE(B318, "-",C318, "-", D318, "-", F318)</f>
        <v>M0111-C-21-1</v>
      </c>
      <c r="H318" s="20" t="n">
        <v>177.36</v>
      </c>
      <c r="I318" s="20" t="n">
        <v>178.88</v>
      </c>
    </row>
    <row r="319" customFormat="false" ht="13.5" hidden="false" customHeight="true" outlineLevel="0" collapsed="false">
      <c r="A319" s="20" t="n">
        <v>501</v>
      </c>
      <c r="B319" s="20" t="s">
        <v>21</v>
      </c>
      <c r="C319" s="20" t="s">
        <v>47</v>
      </c>
      <c r="D319" s="20" t="n">
        <v>21</v>
      </c>
      <c r="E319" s="20" t="s">
        <v>28</v>
      </c>
      <c r="F319" s="20" t="n">
        <v>2</v>
      </c>
      <c r="G319" s="20" t="str">
        <f aca="false">CONCATENATE(B319, "-",C319, "-", D319, "-", F319)</f>
        <v>M0111-C-21-2</v>
      </c>
      <c r="H319" s="20" t="n">
        <v>178.88</v>
      </c>
      <c r="I319" s="20" t="n">
        <v>180.39</v>
      </c>
    </row>
    <row r="320" customFormat="false" ht="13.5" hidden="false" customHeight="true" outlineLevel="0" collapsed="false">
      <c r="A320" s="20" t="n">
        <v>501</v>
      </c>
      <c r="B320" s="20" t="s">
        <v>21</v>
      </c>
      <c r="C320" s="20" t="s">
        <v>47</v>
      </c>
      <c r="D320" s="20" t="n">
        <v>21</v>
      </c>
      <c r="E320" s="20" t="s">
        <v>28</v>
      </c>
      <c r="F320" s="20" t="n">
        <v>3</v>
      </c>
      <c r="G320" s="20" t="str">
        <f aca="false">CONCATENATE(B320, "-",C320, "-", D320, "-", F320)</f>
        <v>M0111-C-21-3</v>
      </c>
      <c r="H320" s="20" t="n">
        <v>180.39</v>
      </c>
      <c r="I320" s="20" t="n">
        <v>180.72</v>
      </c>
    </row>
    <row r="321" customFormat="false" ht="13.5" hidden="false" customHeight="true" outlineLevel="0" collapsed="false">
      <c r="A321" s="20" t="n">
        <v>501</v>
      </c>
      <c r="B321" s="20" t="s">
        <v>21</v>
      </c>
      <c r="C321" s="20" t="s">
        <v>47</v>
      </c>
      <c r="D321" s="20" t="n">
        <v>22</v>
      </c>
      <c r="E321" s="20" t="s">
        <v>28</v>
      </c>
      <c r="F321" s="20" t="n">
        <v>1</v>
      </c>
      <c r="G321" s="20" t="str">
        <f aca="false">CONCATENATE(B321, "-",C321, "-", D321, "-", F321)</f>
        <v>M0111-C-22-1</v>
      </c>
      <c r="H321" s="20" t="n">
        <v>185</v>
      </c>
      <c r="I321" s="20" t="n">
        <v>185.79</v>
      </c>
    </row>
    <row r="322" customFormat="false" ht="13.5" hidden="false" customHeight="true" outlineLevel="0" collapsed="false">
      <c r="A322" s="20" t="n">
        <v>501</v>
      </c>
      <c r="B322" s="20" t="s">
        <v>21</v>
      </c>
      <c r="C322" s="20" t="s">
        <v>47</v>
      </c>
      <c r="D322" s="20" t="n">
        <v>23</v>
      </c>
      <c r="E322" s="20" t="s">
        <v>28</v>
      </c>
      <c r="F322" s="20" t="n">
        <v>1</v>
      </c>
      <c r="G322" s="20" t="str">
        <f aca="false">CONCATENATE(B322, "-",C322, "-", D322, "-", F322)</f>
        <v>M0111-C-23-1</v>
      </c>
      <c r="H322" s="20" t="n">
        <v>186.36</v>
      </c>
      <c r="I322" s="20" t="n">
        <v>187.87</v>
      </c>
    </row>
    <row r="323" customFormat="false" ht="13.5" hidden="false" customHeight="true" outlineLevel="0" collapsed="false">
      <c r="A323" s="20" t="n">
        <v>501</v>
      </c>
      <c r="B323" s="20" t="s">
        <v>21</v>
      </c>
      <c r="C323" s="20" t="s">
        <v>47</v>
      </c>
      <c r="D323" s="20" t="n">
        <v>23</v>
      </c>
      <c r="E323" s="20" t="s">
        <v>28</v>
      </c>
      <c r="F323" s="20" t="n">
        <v>2</v>
      </c>
      <c r="G323" s="20" t="str">
        <f aca="false">CONCATENATE(B323, "-",C323, "-", D323, "-", F323)</f>
        <v>M0111-C-23-2</v>
      </c>
      <c r="H323" s="20" t="n">
        <v>187.87</v>
      </c>
      <c r="I323" s="20" t="n">
        <v>189.37</v>
      </c>
    </row>
    <row r="324" customFormat="false" ht="13.5" hidden="false" customHeight="true" outlineLevel="0" collapsed="false">
      <c r="A324" s="20" t="n">
        <v>501</v>
      </c>
      <c r="B324" s="20" t="s">
        <v>21</v>
      </c>
      <c r="C324" s="20" t="s">
        <v>47</v>
      </c>
      <c r="D324" s="20" t="n">
        <v>23</v>
      </c>
      <c r="E324" s="20" t="s">
        <v>28</v>
      </c>
      <c r="F324" s="20" t="n">
        <v>3</v>
      </c>
      <c r="G324" s="20" t="str">
        <f aca="false">CONCATENATE(B324, "-",C324, "-", D324, "-", F324)</f>
        <v>M0111-C-23-3</v>
      </c>
      <c r="H324" s="20" t="n">
        <v>189.37</v>
      </c>
      <c r="I324" s="20" t="n">
        <v>189.71</v>
      </c>
    </row>
    <row r="325" customFormat="false" ht="13.5" hidden="false" customHeight="true" outlineLevel="0" collapsed="false">
      <c r="A325" s="20" t="n">
        <v>501</v>
      </c>
      <c r="B325" s="20" t="s">
        <v>21</v>
      </c>
      <c r="C325" s="20" t="s">
        <v>47</v>
      </c>
      <c r="D325" s="20" t="n">
        <v>24</v>
      </c>
      <c r="E325" s="20" t="s">
        <v>28</v>
      </c>
      <c r="F325" s="20" t="n">
        <v>1</v>
      </c>
      <c r="G325" s="20" t="str">
        <f aca="false">CONCATENATE(B325, "-",C325, "-", D325, "-", F325)</f>
        <v>M0111-C-24-1</v>
      </c>
      <c r="H325" s="20" t="n">
        <v>189.36</v>
      </c>
      <c r="I325" s="20" t="n">
        <v>190.86</v>
      </c>
    </row>
    <row r="326" customFormat="false" ht="13.5" hidden="false" customHeight="true" outlineLevel="0" collapsed="false">
      <c r="A326" s="20" t="n">
        <v>501</v>
      </c>
      <c r="B326" s="20" t="s">
        <v>21</v>
      </c>
      <c r="C326" s="20" t="s">
        <v>47</v>
      </c>
      <c r="D326" s="20" t="n">
        <v>24</v>
      </c>
      <c r="E326" s="20" t="s">
        <v>28</v>
      </c>
      <c r="F326" s="20" t="n">
        <v>2</v>
      </c>
      <c r="G326" s="20" t="str">
        <f aca="false">CONCATENATE(B326, "-",C326, "-", D326, "-", F326)</f>
        <v>M0111-C-24-2</v>
      </c>
      <c r="H326" s="20" t="n">
        <v>190.86</v>
      </c>
      <c r="I326" s="20" t="n">
        <v>192.36</v>
      </c>
    </row>
    <row r="327" customFormat="false" ht="13.5" hidden="false" customHeight="true" outlineLevel="0" collapsed="false">
      <c r="A327" s="20" t="n">
        <v>501</v>
      </c>
      <c r="B327" s="20" t="s">
        <v>21</v>
      </c>
      <c r="C327" s="20" t="s">
        <v>47</v>
      </c>
      <c r="D327" s="20" t="n">
        <v>24</v>
      </c>
      <c r="E327" s="20" t="s">
        <v>28</v>
      </c>
      <c r="F327" s="20" t="n">
        <v>3</v>
      </c>
      <c r="G327" s="20" t="str">
        <f aca="false">CONCATENATE(B327, "-",C327, "-", D327, "-", F327)</f>
        <v>M0111-C-24-3</v>
      </c>
      <c r="H327" s="20" t="n">
        <v>192.36</v>
      </c>
      <c r="I327" s="20" t="n">
        <v>192.51</v>
      </c>
    </row>
    <row r="328" customFormat="false" ht="13.5" hidden="false" customHeight="true" outlineLevel="0" collapsed="false">
      <c r="A328" s="20" t="n">
        <v>501</v>
      </c>
      <c r="B328" s="20" t="s">
        <v>21</v>
      </c>
      <c r="C328" s="20" t="s">
        <v>47</v>
      </c>
      <c r="D328" s="20" t="n">
        <v>25</v>
      </c>
      <c r="E328" s="20" t="s">
        <v>28</v>
      </c>
      <c r="F328" s="20" t="n">
        <v>1</v>
      </c>
      <c r="G328" s="20" t="str">
        <f aca="false">CONCATENATE(B328, "-",C328, "-", D328, "-", F328)</f>
        <v>M0111-C-25-1</v>
      </c>
      <c r="H328" s="20" t="n">
        <v>192.36</v>
      </c>
      <c r="I328" s="20" t="n">
        <v>193.86</v>
      </c>
    </row>
    <row r="329" customFormat="false" ht="13.5" hidden="false" customHeight="true" outlineLevel="0" collapsed="false">
      <c r="A329" s="20" t="n">
        <v>501</v>
      </c>
      <c r="B329" s="20" t="s">
        <v>21</v>
      </c>
      <c r="C329" s="20" t="s">
        <v>47</v>
      </c>
      <c r="D329" s="20" t="n">
        <v>25</v>
      </c>
      <c r="E329" s="20" t="s">
        <v>28</v>
      </c>
      <c r="F329" s="20" t="n">
        <v>2</v>
      </c>
      <c r="G329" s="20" t="str">
        <f aca="false">CONCATENATE(B329, "-",C329, "-", D329, "-", F329)</f>
        <v>M0111-C-25-2</v>
      </c>
      <c r="H329" s="20" t="n">
        <v>193.86</v>
      </c>
      <c r="I329" s="20" t="n">
        <v>195.17</v>
      </c>
    </row>
    <row r="330" customFormat="false" ht="13.5" hidden="false" customHeight="true" outlineLevel="0" collapsed="false">
      <c r="A330" s="20" t="n">
        <v>501</v>
      </c>
      <c r="B330" s="20" t="s">
        <v>21</v>
      </c>
      <c r="C330" s="20" t="s">
        <v>47</v>
      </c>
      <c r="D330" s="20" t="n">
        <v>26</v>
      </c>
      <c r="E330" s="20" t="s">
        <v>28</v>
      </c>
      <c r="F330" s="20" t="n">
        <v>1</v>
      </c>
      <c r="G330" s="20" t="str">
        <f aca="false">CONCATENATE(B330, "-",C330, "-", D330, "-", F330)</f>
        <v>M0111-C-26-1</v>
      </c>
      <c r="H330" s="20" t="n">
        <v>195.36</v>
      </c>
      <c r="I330" s="20" t="n">
        <v>196.87</v>
      </c>
    </row>
    <row r="331" customFormat="false" ht="13.5" hidden="false" customHeight="true" outlineLevel="0" collapsed="false">
      <c r="A331" s="20" t="n">
        <v>501</v>
      </c>
      <c r="B331" s="20" t="s">
        <v>21</v>
      </c>
      <c r="C331" s="20" t="s">
        <v>47</v>
      </c>
      <c r="D331" s="20" t="n">
        <v>26</v>
      </c>
      <c r="E331" s="20" t="s">
        <v>28</v>
      </c>
      <c r="F331" s="20" t="n">
        <v>2</v>
      </c>
      <c r="G331" s="20" t="str">
        <f aca="false">CONCATENATE(B331, "-",C331, "-", D331, "-", F331)</f>
        <v>M0111-C-26-2</v>
      </c>
      <c r="H331" s="20" t="n">
        <v>196.87</v>
      </c>
      <c r="I331" s="20" t="n">
        <v>197.67</v>
      </c>
    </row>
    <row r="332" customFormat="false" ht="13.5" hidden="false" customHeight="true" outlineLevel="0" collapsed="false">
      <c r="A332" s="20" t="n">
        <v>501</v>
      </c>
      <c r="B332" s="20" t="s">
        <v>21</v>
      </c>
      <c r="C332" s="20" t="s">
        <v>47</v>
      </c>
      <c r="D332" s="20" t="n">
        <v>27</v>
      </c>
      <c r="E332" s="20" t="s">
        <v>28</v>
      </c>
      <c r="F332" s="20" t="n">
        <v>1</v>
      </c>
      <c r="G332" s="20" t="str">
        <f aca="false">CONCATENATE(B332, "-",C332, "-", D332, "-", F332)</f>
        <v>M0111-C-27-1</v>
      </c>
      <c r="H332" s="20" t="n">
        <v>198.36</v>
      </c>
      <c r="I332" s="20" t="n">
        <v>199.86</v>
      </c>
    </row>
    <row r="333" customFormat="false" ht="13.5" hidden="false" customHeight="true" outlineLevel="0" collapsed="false">
      <c r="A333" s="20" t="n">
        <v>501</v>
      </c>
      <c r="B333" s="20" t="s">
        <v>21</v>
      </c>
      <c r="C333" s="20" t="s">
        <v>47</v>
      </c>
      <c r="D333" s="20" t="n">
        <v>27</v>
      </c>
      <c r="E333" s="20" t="s">
        <v>28</v>
      </c>
      <c r="F333" s="20" t="n">
        <v>2</v>
      </c>
      <c r="G333" s="20" t="str">
        <f aca="false">CONCATENATE(B333, "-",C333, "-", D333, "-", F333)</f>
        <v>M0111-C-27-2</v>
      </c>
      <c r="H333" s="20" t="n">
        <v>199.86</v>
      </c>
      <c r="I333" s="20" t="n">
        <v>200.97</v>
      </c>
    </row>
    <row r="334" customFormat="false" ht="13.5" hidden="false" customHeight="true" outlineLevel="0" collapsed="false">
      <c r="A334" s="20" t="n">
        <v>501</v>
      </c>
      <c r="B334" s="20" t="s">
        <v>21</v>
      </c>
      <c r="C334" s="20" t="s">
        <v>47</v>
      </c>
      <c r="D334" s="20" t="n">
        <v>28</v>
      </c>
      <c r="E334" s="20" t="s">
        <v>28</v>
      </c>
      <c r="F334" s="20" t="n">
        <v>1</v>
      </c>
      <c r="G334" s="20" t="str">
        <f aca="false">CONCATENATE(B334, "-",C334, "-", D334, "-", F334)</f>
        <v>M0111-C-28-1</v>
      </c>
      <c r="H334" s="20" t="n">
        <v>201.36</v>
      </c>
      <c r="I334" s="20" t="n">
        <v>202.86</v>
      </c>
    </row>
    <row r="335" customFormat="false" ht="13.5" hidden="false" customHeight="true" outlineLevel="0" collapsed="false">
      <c r="A335" s="20" t="n">
        <v>501</v>
      </c>
      <c r="B335" s="20" t="s">
        <v>21</v>
      </c>
      <c r="C335" s="20" t="s">
        <v>47</v>
      </c>
      <c r="D335" s="20" t="n">
        <v>28</v>
      </c>
      <c r="E335" s="20" t="s">
        <v>28</v>
      </c>
      <c r="F335" s="20" t="n">
        <v>2</v>
      </c>
      <c r="G335" s="20" t="str">
        <f aca="false">CONCATENATE(B335, "-",C335, "-", D335, "-", F335)</f>
        <v>M0111-C-28-2</v>
      </c>
      <c r="H335" s="20" t="n">
        <v>202.86</v>
      </c>
      <c r="I335" s="20" t="n">
        <v>204.33</v>
      </c>
    </row>
    <row r="336" customFormat="false" ht="13.5" hidden="false" customHeight="true" outlineLevel="0" collapsed="false">
      <c r="A336" s="20" t="n">
        <v>501</v>
      </c>
      <c r="B336" s="20" t="s">
        <v>21</v>
      </c>
      <c r="C336" s="20" t="s">
        <v>47</v>
      </c>
      <c r="D336" s="20" t="n">
        <v>28</v>
      </c>
      <c r="E336" s="20" t="s">
        <v>28</v>
      </c>
      <c r="F336" s="20" t="n">
        <v>3</v>
      </c>
      <c r="G336" s="20" t="str">
        <f aca="false">CONCATENATE(B336, "-",C336, "-", D336, "-", F336)</f>
        <v>M0111-C-28-3</v>
      </c>
      <c r="H336" s="20" t="n">
        <v>204.33</v>
      </c>
      <c r="I336" s="20" t="n">
        <v>204.51</v>
      </c>
    </row>
    <row r="337" customFormat="false" ht="13.5" hidden="false" customHeight="true" outlineLevel="0" collapsed="false">
      <c r="A337" s="20" t="n">
        <v>501</v>
      </c>
      <c r="B337" s="20" t="s">
        <v>21</v>
      </c>
      <c r="C337" s="20" t="s">
        <v>47</v>
      </c>
      <c r="D337" s="20" t="n">
        <v>29</v>
      </c>
      <c r="E337" s="20" t="s">
        <v>28</v>
      </c>
      <c r="F337" s="20" t="n">
        <v>1</v>
      </c>
      <c r="G337" s="20" t="str">
        <f aca="false">CONCATENATE(B337, "-",C337, "-", D337, "-", F337)</f>
        <v>M0111-C-29-1</v>
      </c>
      <c r="H337" s="20" t="n">
        <v>204.36</v>
      </c>
      <c r="I337" s="20" t="n">
        <v>204.69</v>
      </c>
    </row>
    <row r="338" customFormat="false" ht="13.5" hidden="false" customHeight="true" outlineLevel="0" collapsed="false">
      <c r="A338" s="20" t="n">
        <v>501</v>
      </c>
      <c r="B338" s="20" t="s">
        <v>21</v>
      </c>
      <c r="C338" s="20" t="s">
        <v>47</v>
      </c>
      <c r="D338" s="20" t="n">
        <v>30</v>
      </c>
      <c r="E338" s="20" t="s">
        <v>28</v>
      </c>
      <c r="F338" s="20" t="n">
        <v>1</v>
      </c>
      <c r="G338" s="20" t="str">
        <f aca="false">CONCATENATE(B338, "-",C338, "-", D338, "-", F338)</f>
        <v>M0111-C-30-1</v>
      </c>
      <c r="H338" s="20" t="n">
        <v>207.36</v>
      </c>
      <c r="I338" s="20" t="n">
        <v>208.87</v>
      </c>
    </row>
    <row r="339" customFormat="false" ht="13.5" hidden="false" customHeight="true" outlineLevel="0" collapsed="false">
      <c r="A339" s="20" t="n">
        <v>501</v>
      </c>
      <c r="B339" s="20" t="s">
        <v>21</v>
      </c>
      <c r="C339" s="20" t="s">
        <v>47</v>
      </c>
      <c r="D339" s="20" t="n">
        <v>30</v>
      </c>
      <c r="E339" s="20" t="s">
        <v>28</v>
      </c>
      <c r="F339" s="20" t="n">
        <v>2</v>
      </c>
      <c r="G339" s="20" t="str">
        <f aca="false">CONCATENATE(B339, "-",C339, "-", D339, "-", F339)</f>
        <v>M0111-C-30-2</v>
      </c>
      <c r="H339" s="20" t="n">
        <v>208.87</v>
      </c>
      <c r="I339" s="20" t="n">
        <v>209.97</v>
      </c>
    </row>
    <row r="340" customFormat="false" ht="13.5" hidden="false" customHeight="true" outlineLevel="0" collapsed="false">
      <c r="A340" s="20" t="n">
        <v>501</v>
      </c>
      <c r="B340" s="20" t="s">
        <v>21</v>
      </c>
      <c r="C340" s="20" t="s">
        <v>47</v>
      </c>
      <c r="D340" s="20" t="n">
        <v>30</v>
      </c>
      <c r="E340" s="20" t="s">
        <v>28</v>
      </c>
      <c r="F340" s="20" t="n">
        <v>3</v>
      </c>
      <c r="G340" s="20" t="str">
        <f aca="false">CONCATENATE(B340, "-",C340, "-", D340, "-", F340)</f>
        <v>M0111-C-30-3</v>
      </c>
      <c r="H340" s="20" t="n">
        <v>209.97</v>
      </c>
      <c r="I340" s="20" t="n">
        <v>210.25</v>
      </c>
    </row>
    <row r="341" customFormat="false" ht="13.5" hidden="false" customHeight="true" outlineLevel="0" collapsed="false">
      <c r="A341" s="20" t="n">
        <v>501</v>
      </c>
      <c r="B341" s="20" t="s">
        <v>21</v>
      </c>
      <c r="C341" s="20" t="s">
        <v>47</v>
      </c>
      <c r="D341" s="20" t="n">
        <v>31</v>
      </c>
      <c r="E341" s="20" t="s">
        <v>28</v>
      </c>
      <c r="F341" s="20" t="n">
        <v>1</v>
      </c>
      <c r="G341" s="20" t="str">
        <f aca="false">CONCATENATE(B341, "-",C341, "-", D341, "-", F341)</f>
        <v>M0111-C-31-1</v>
      </c>
      <c r="H341" s="20" t="n">
        <v>210.36</v>
      </c>
      <c r="I341" s="20" t="n">
        <v>211.67</v>
      </c>
    </row>
    <row r="342" customFormat="false" ht="13.5" hidden="false" customHeight="true" outlineLevel="0" collapsed="false">
      <c r="A342" s="20" t="n">
        <v>501</v>
      </c>
      <c r="B342" s="20" t="s">
        <v>21</v>
      </c>
      <c r="C342" s="20" t="s">
        <v>47</v>
      </c>
      <c r="D342" s="20" t="n">
        <v>32</v>
      </c>
      <c r="E342" s="20" t="s">
        <v>28</v>
      </c>
      <c r="F342" s="20" t="n">
        <v>1</v>
      </c>
      <c r="G342" s="20" t="str">
        <f aca="false">CONCATENATE(B342, "-",C342, "-", D342, "-", F342)</f>
        <v>M0111-C-32-1</v>
      </c>
      <c r="H342" s="20" t="n">
        <v>213.36</v>
      </c>
      <c r="I342" s="20" t="n">
        <v>213.83</v>
      </c>
    </row>
    <row r="343" customFormat="false" ht="13.5" hidden="false" customHeight="true" outlineLevel="0" collapsed="false">
      <c r="A343" s="20" t="n">
        <v>501</v>
      </c>
      <c r="B343" s="20" t="s">
        <v>21</v>
      </c>
      <c r="C343" s="20" t="s">
        <v>47</v>
      </c>
      <c r="D343" s="20" t="n">
        <v>33</v>
      </c>
      <c r="E343" s="20" t="s">
        <v>28</v>
      </c>
      <c r="F343" s="20" t="n">
        <v>1</v>
      </c>
      <c r="G343" s="20" t="str">
        <f aca="false">CONCATENATE(B343, "-",C343, "-", D343, "-", F343)</f>
        <v>M0111-C-33-1</v>
      </c>
      <c r="H343" s="20" t="n">
        <v>216.36</v>
      </c>
      <c r="I343" s="20" t="n">
        <v>217.79</v>
      </c>
    </row>
    <row r="344" customFormat="false" ht="13.5" hidden="false" customHeight="true" outlineLevel="0" collapsed="false">
      <c r="A344" s="20" t="n">
        <v>501</v>
      </c>
      <c r="B344" s="20" t="s">
        <v>21</v>
      </c>
      <c r="C344" s="20" t="s">
        <v>47</v>
      </c>
      <c r="D344" s="20" t="n">
        <v>33</v>
      </c>
      <c r="E344" s="20" t="s">
        <v>28</v>
      </c>
      <c r="F344" s="20" t="n">
        <v>2</v>
      </c>
      <c r="G344" s="20" t="str">
        <f aca="false">CONCATENATE(B344, "-",C344, "-", D344, "-", F344)</f>
        <v>M0111-C-33-2</v>
      </c>
      <c r="H344" s="20" t="n">
        <v>217.79</v>
      </c>
      <c r="I344" s="20" t="n">
        <v>218.68</v>
      </c>
    </row>
    <row r="345" customFormat="false" ht="13.5" hidden="false" customHeight="true" outlineLevel="0" collapsed="false">
      <c r="A345" s="20" t="n">
        <v>501</v>
      </c>
      <c r="B345" s="20" t="s">
        <v>21</v>
      </c>
      <c r="C345" s="20" t="s">
        <v>47</v>
      </c>
      <c r="D345" s="20" t="n">
        <v>34</v>
      </c>
      <c r="E345" s="20" t="s">
        <v>28</v>
      </c>
      <c r="F345" s="20" t="n">
        <v>1</v>
      </c>
      <c r="G345" s="20" t="str">
        <f aca="false">CONCATENATE(B345, "-",C345, "-", D345, "-", F345)</f>
        <v>M0111-C-34-1</v>
      </c>
      <c r="H345" s="20" t="n">
        <v>219.36</v>
      </c>
      <c r="I345" s="20" t="n">
        <v>220.86</v>
      </c>
    </row>
    <row r="346" customFormat="false" ht="13.5" hidden="false" customHeight="true" outlineLevel="0" collapsed="false">
      <c r="A346" s="20" t="n">
        <v>501</v>
      </c>
      <c r="B346" s="20" t="s">
        <v>21</v>
      </c>
      <c r="C346" s="20" t="s">
        <v>47</v>
      </c>
      <c r="D346" s="20" t="n">
        <v>34</v>
      </c>
      <c r="E346" s="20" t="s">
        <v>28</v>
      </c>
      <c r="F346" s="20" t="n">
        <v>2</v>
      </c>
      <c r="G346" s="20" t="str">
        <f aca="false">CONCATENATE(B346, "-",C346, "-", D346, "-", F346)</f>
        <v>M0111-C-34-2</v>
      </c>
      <c r="H346" s="20" t="n">
        <v>220.86</v>
      </c>
      <c r="I346" s="20" t="n">
        <v>221.74</v>
      </c>
    </row>
    <row r="347" customFormat="false" ht="13.5" hidden="false" customHeight="true" outlineLevel="0" collapsed="false">
      <c r="A347" s="20" t="n">
        <v>501</v>
      </c>
      <c r="B347" s="20" t="s">
        <v>21</v>
      </c>
      <c r="C347" s="20" t="s">
        <v>47</v>
      </c>
      <c r="D347" s="20" t="n">
        <v>35</v>
      </c>
      <c r="E347" s="20" t="s">
        <v>28</v>
      </c>
      <c r="F347" s="20" t="n">
        <v>1</v>
      </c>
      <c r="G347" s="20" t="str">
        <f aca="false">CONCATENATE(B347, "-",C347, "-", D347, "-", F347)</f>
        <v>M0111-C-35-1</v>
      </c>
      <c r="H347" s="20" t="n">
        <v>222.36</v>
      </c>
      <c r="I347" s="20" t="n">
        <v>222.99</v>
      </c>
    </row>
    <row r="348" customFormat="false" ht="13.5" hidden="false" customHeight="true" outlineLevel="0" collapsed="false">
      <c r="A348" s="20" t="n">
        <v>501</v>
      </c>
      <c r="B348" s="20" t="s">
        <v>21</v>
      </c>
      <c r="C348" s="20" t="s">
        <v>47</v>
      </c>
      <c r="D348" s="20" t="n">
        <v>36</v>
      </c>
      <c r="E348" s="20" t="s">
        <v>28</v>
      </c>
      <c r="F348" s="20" t="n">
        <v>1</v>
      </c>
      <c r="G348" s="20" t="str">
        <f aca="false">CONCATENATE(B348, "-",C348, "-", D348, "-", F348)</f>
        <v>M0111-C-36-1</v>
      </c>
      <c r="H348" s="20" t="n">
        <v>223.16</v>
      </c>
      <c r="I348" s="20" t="n">
        <v>223.66</v>
      </c>
    </row>
    <row r="349" customFormat="false" ht="13.5" hidden="false" customHeight="true" outlineLevel="0" collapsed="false">
      <c r="A349" s="20" t="n">
        <v>501</v>
      </c>
      <c r="B349" s="20" t="s">
        <v>21</v>
      </c>
      <c r="C349" s="20" t="s">
        <v>47</v>
      </c>
      <c r="D349" s="20" t="n">
        <v>37</v>
      </c>
      <c r="E349" s="20" t="s">
        <v>28</v>
      </c>
      <c r="F349" s="20" t="n">
        <v>1</v>
      </c>
      <c r="G349" s="20" t="str">
        <f aca="false">CONCATENATE(B349, "-",C349, "-", D349, "-", F349)</f>
        <v>M0111-C-37-1</v>
      </c>
      <c r="H349" s="20" t="n">
        <v>225.36</v>
      </c>
      <c r="I349" s="20" t="n">
        <v>225.39</v>
      </c>
    </row>
    <row r="350" customFormat="false" ht="13.5" hidden="false" customHeight="true" outlineLevel="0" collapsed="false">
      <c r="A350" s="20" t="n">
        <v>501</v>
      </c>
      <c r="B350" s="20" t="s">
        <v>21</v>
      </c>
      <c r="C350" s="20" t="s">
        <v>47</v>
      </c>
      <c r="D350" s="20" t="n">
        <v>38</v>
      </c>
      <c r="E350" s="20" t="s">
        <v>28</v>
      </c>
      <c r="F350" s="20" t="n">
        <v>1</v>
      </c>
      <c r="G350" s="20" t="str">
        <f aca="false">CONCATENATE(B350, "-",C350, "-", D350, "-", F350)</f>
        <v>M0111-C-38-1</v>
      </c>
      <c r="H350" s="20" t="n">
        <v>228.36</v>
      </c>
      <c r="I350" s="20" t="n">
        <v>228.38</v>
      </c>
    </row>
    <row r="351" customFormat="false" ht="13.5" hidden="false" customHeight="true" outlineLevel="0" collapsed="false">
      <c r="A351" s="20" t="n">
        <v>501</v>
      </c>
      <c r="B351" s="20" t="s">
        <v>21</v>
      </c>
      <c r="C351" s="20" t="s">
        <v>47</v>
      </c>
      <c r="D351" s="20" t="n">
        <v>39</v>
      </c>
      <c r="E351" s="20" t="s">
        <v>28</v>
      </c>
      <c r="F351" s="20" t="n">
        <v>1</v>
      </c>
      <c r="G351" s="20" t="str">
        <f aca="false">CONCATENATE(B351, "-",C351, "-", D351, "-", F351)</f>
        <v>M0111-C-39-1</v>
      </c>
      <c r="H351" s="20" t="n">
        <v>229.36</v>
      </c>
      <c r="I351" s="20" t="n">
        <v>230.3</v>
      </c>
    </row>
    <row r="352" customFormat="false" ht="13.5" hidden="false" customHeight="true" outlineLevel="0" collapsed="false">
      <c r="A352" s="20" t="n">
        <v>501</v>
      </c>
      <c r="B352" s="20" t="s">
        <v>49</v>
      </c>
      <c r="C352" s="20" t="s">
        <v>22</v>
      </c>
      <c r="D352" s="20" t="n">
        <v>1</v>
      </c>
      <c r="E352" s="20" t="s">
        <v>23</v>
      </c>
      <c r="F352" s="20" t="n">
        <v>1</v>
      </c>
      <c r="G352" s="20" t="str">
        <f aca="false">CONCATENATE(B352, "-",C352, "-", D352, "-", F352)</f>
        <v>M0112-A-1-1</v>
      </c>
      <c r="H352" s="20" t="n">
        <v>0</v>
      </c>
      <c r="I352" s="20" t="n">
        <v>0.71</v>
      </c>
    </row>
    <row r="353" customFormat="false" ht="13.5" hidden="false" customHeight="true" outlineLevel="0" collapsed="false">
      <c r="A353" s="20" t="n">
        <v>501</v>
      </c>
      <c r="B353" s="20" t="s">
        <v>49</v>
      </c>
      <c r="C353" s="20" t="s">
        <v>22</v>
      </c>
      <c r="D353" s="20" t="n">
        <v>1</v>
      </c>
      <c r="E353" s="20" t="s">
        <v>23</v>
      </c>
      <c r="F353" s="20" t="n">
        <v>2</v>
      </c>
      <c r="G353" s="20" t="str">
        <f aca="false">CONCATENATE(B353, "-",C353, "-", D353, "-", F353)</f>
        <v>M0112-A-1-2</v>
      </c>
      <c r="H353" s="20" t="n">
        <v>0.71</v>
      </c>
      <c r="I353" s="20" t="n">
        <v>2.21</v>
      </c>
    </row>
    <row r="354" customFormat="false" ht="13.5" hidden="false" customHeight="true" outlineLevel="0" collapsed="false">
      <c r="A354" s="20" t="n">
        <v>501</v>
      </c>
      <c r="B354" s="20" t="s">
        <v>49</v>
      </c>
      <c r="C354" s="20" t="s">
        <v>22</v>
      </c>
      <c r="D354" s="20" t="n">
        <v>2</v>
      </c>
      <c r="E354" s="20" t="s">
        <v>23</v>
      </c>
      <c r="F354" s="20" t="n">
        <v>1</v>
      </c>
      <c r="G354" s="20" t="str">
        <f aca="false">CONCATENATE(B354, "-",C354, "-", D354, "-", F354)</f>
        <v>M0112-A-2-1</v>
      </c>
      <c r="H354" s="20" t="n">
        <v>2.21</v>
      </c>
      <c r="I354" s="20" t="n">
        <v>3.71</v>
      </c>
    </row>
    <row r="355" customFormat="false" ht="13.5" hidden="false" customHeight="true" outlineLevel="0" collapsed="false">
      <c r="A355" s="20" t="n">
        <v>501</v>
      </c>
      <c r="B355" s="20" t="s">
        <v>49</v>
      </c>
      <c r="C355" s="20" t="s">
        <v>22</v>
      </c>
      <c r="D355" s="20" t="n">
        <v>2</v>
      </c>
      <c r="E355" s="20" t="s">
        <v>23</v>
      </c>
      <c r="F355" s="20" t="n">
        <v>2</v>
      </c>
      <c r="G355" s="20" t="str">
        <f aca="false">CONCATENATE(B355, "-",C355, "-", D355, "-", F355)</f>
        <v>M0112-A-2-2</v>
      </c>
      <c r="H355" s="20" t="n">
        <v>3.71</v>
      </c>
      <c r="I355" s="20" t="n">
        <v>5.01</v>
      </c>
    </row>
    <row r="356" customFormat="false" ht="13.5" hidden="false" customHeight="true" outlineLevel="0" collapsed="false">
      <c r="A356" s="20" t="n">
        <v>501</v>
      </c>
      <c r="B356" s="20" t="s">
        <v>49</v>
      </c>
      <c r="C356" s="20" t="s">
        <v>22</v>
      </c>
      <c r="D356" s="20" t="n">
        <v>3</v>
      </c>
      <c r="E356" s="20" t="s">
        <v>23</v>
      </c>
      <c r="F356" s="20" t="n">
        <v>1</v>
      </c>
      <c r="G356" s="20" t="str">
        <f aca="false">CONCATENATE(B356, "-",C356, "-", D356, "-", F356)</f>
        <v>M0112-A-3-1</v>
      </c>
      <c r="H356" s="20" t="n">
        <v>5.01</v>
      </c>
      <c r="I356" s="20" t="n">
        <v>6.52</v>
      </c>
    </row>
    <row r="357" customFormat="false" ht="13.5" hidden="false" customHeight="true" outlineLevel="0" collapsed="false">
      <c r="A357" s="20" t="n">
        <v>501</v>
      </c>
      <c r="B357" s="20" t="s">
        <v>49</v>
      </c>
      <c r="C357" s="20" t="s">
        <v>22</v>
      </c>
      <c r="D357" s="20" t="n">
        <v>3</v>
      </c>
      <c r="E357" s="20" t="s">
        <v>23</v>
      </c>
      <c r="F357" s="20" t="n">
        <v>2</v>
      </c>
      <c r="G357" s="20" t="str">
        <f aca="false">CONCATENATE(B357, "-",C357, "-", D357, "-", F357)</f>
        <v>M0112-A-3-2</v>
      </c>
      <c r="H357" s="20" t="n">
        <v>6.52</v>
      </c>
      <c r="I357" s="20" t="n">
        <v>7.17</v>
      </c>
    </row>
    <row r="358" customFormat="false" ht="13.5" hidden="false" customHeight="true" outlineLevel="0" collapsed="false">
      <c r="A358" s="20" t="n">
        <v>501</v>
      </c>
      <c r="B358" s="20" t="s">
        <v>49</v>
      </c>
      <c r="C358" s="20" t="s">
        <v>22</v>
      </c>
      <c r="D358" s="20" t="n">
        <v>4</v>
      </c>
      <c r="E358" s="20" t="s">
        <v>23</v>
      </c>
      <c r="F358" s="20" t="n">
        <v>1</v>
      </c>
      <c r="G358" s="20" t="str">
        <f aca="false">CONCATENATE(B358, "-",C358, "-", D358, "-", F358)</f>
        <v>M0112-A-4-1</v>
      </c>
      <c r="H358" s="20" t="n">
        <v>7.17</v>
      </c>
      <c r="I358" s="20" t="n">
        <v>8.67</v>
      </c>
    </row>
    <row r="359" customFormat="false" ht="13.5" hidden="false" customHeight="true" outlineLevel="0" collapsed="false">
      <c r="A359" s="20" t="n">
        <v>501</v>
      </c>
      <c r="B359" s="20" t="s">
        <v>49</v>
      </c>
      <c r="C359" s="20" t="s">
        <v>22</v>
      </c>
      <c r="D359" s="20" t="n">
        <v>4</v>
      </c>
      <c r="E359" s="20" t="s">
        <v>23</v>
      </c>
      <c r="F359" s="20" t="n">
        <v>2</v>
      </c>
      <c r="G359" s="20" t="str">
        <f aca="false">CONCATENATE(B359, "-",C359, "-", D359, "-", F359)</f>
        <v>M0112-A-4-2</v>
      </c>
      <c r="H359" s="20" t="n">
        <v>8.67</v>
      </c>
      <c r="I359" s="20" t="n">
        <v>9.25</v>
      </c>
    </row>
    <row r="360" customFormat="false" ht="13.5" hidden="false" customHeight="true" outlineLevel="0" collapsed="false">
      <c r="A360" s="20" t="n">
        <v>501</v>
      </c>
      <c r="B360" s="20" t="s">
        <v>49</v>
      </c>
      <c r="C360" s="20" t="s">
        <v>22</v>
      </c>
      <c r="D360" s="20" t="n">
        <v>5</v>
      </c>
      <c r="E360" s="20" t="s">
        <v>23</v>
      </c>
      <c r="F360" s="20" t="n">
        <v>1</v>
      </c>
      <c r="G360" s="20" t="str">
        <f aca="false">CONCATENATE(B360, "-",C360, "-", D360, "-", F360)</f>
        <v>M0112-A-5-1</v>
      </c>
      <c r="H360" s="20" t="n">
        <v>9.25</v>
      </c>
      <c r="I360" s="20" t="n">
        <v>10.5</v>
      </c>
    </row>
    <row r="361" customFormat="false" ht="13.5" hidden="false" customHeight="true" outlineLevel="0" collapsed="false">
      <c r="A361" s="20" t="n">
        <v>501</v>
      </c>
      <c r="B361" s="20" t="s">
        <v>49</v>
      </c>
      <c r="C361" s="20" t="s">
        <v>22</v>
      </c>
      <c r="D361" s="20" t="n">
        <v>5</v>
      </c>
      <c r="E361" s="20" t="s">
        <v>23</v>
      </c>
      <c r="F361" s="20" t="n">
        <v>2</v>
      </c>
      <c r="G361" s="20" t="str">
        <f aca="false">CONCATENATE(B361, "-",C361, "-", D361, "-", F361)</f>
        <v>M0112-A-5-2</v>
      </c>
      <c r="H361" s="20" t="n">
        <v>10.5</v>
      </c>
      <c r="I361" s="20" t="n">
        <v>11.45</v>
      </c>
    </row>
    <row r="362" customFormat="false" ht="13.5" hidden="false" customHeight="true" outlineLevel="0" collapsed="false">
      <c r="A362" s="20" t="n">
        <v>501</v>
      </c>
      <c r="B362" s="20" t="s">
        <v>49</v>
      </c>
      <c r="C362" s="20" t="s">
        <v>22</v>
      </c>
      <c r="D362" s="20" t="n">
        <v>6</v>
      </c>
      <c r="E362" s="20" t="s">
        <v>23</v>
      </c>
      <c r="F362" s="20" t="n">
        <v>1</v>
      </c>
      <c r="G362" s="20" t="str">
        <f aca="false">CONCATENATE(B362, "-",C362, "-", D362, "-", F362)</f>
        <v>M0112-A-6-1</v>
      </c>
      <c r="H362" s="20" t="n">
        <v>11.45</v>
      </c>
      <c r="I362" s="20" t="n">
        <v>12.21</v>
      </c>
    </row>
    <row r="363" customFormat="false" ht="13.5" hidden="false" customHeight="true" outlineLevel="0" collapsed="false">
      <c r="A363" s="20" t="n">
        <v>501</v>
      </c>
      <c r="B363" s="20" t="s">
        <v>49</v>
      </c>
      <c r="C363" s="20" t="s">
        <v>22</v>
      </c>
      <c r="D363" s="20" t="n">
        <v>7</v>
      </c>
      <c r="E363" s="20" t="s">
        <v>23</v>
      </c>
      <c r="F363" s="20" t="n">
        <v>1</v>
      </c>
      <c r="G363" s="20" t="str">
        <f aca="false">CONCATENATE(B363, "-",C363, "-", D363, "-", F363)</f>
        <v>M0112-A-7-1</v>
      </c>
      <c r="H363" s="20" t="n">
        <v>12.21</v>
      </c>
      <c r="I363" s="20" t="n">
        <v>13.71</v>
      </c>
    </row>
    <row r="364" customFormat="false" ht="13.5" hidden="false" customHeight="true" outlineLevel="0" collapsed="false">
      <c r="A364" s="20" t="n">
        <v>501</v>
      </c>
      <c r="B364" s="20" t="s">
        <v>49</v>
      </c>
      <c r="C364" s="20" t="s">
        <v>22</v>
      </c>
      <c r="D364" s="20" t="n">
        <v>7</v>
      </c>
      <c r="E364" s="20" t="s">
        <v>23</v>
      </c>
      <c r="F364" s="20" t="n">
        <v>2</v>
      </c>
      <c r="G364" s="20" t="str">
        <f aca="false">CONCATENATE(B364, "-",C364, "-", D364, "-", F364)</f>
        <v>M0112-A-7-2</v>
      </c>
      <c r="H364" s="20" t="n">
        <v>13.71</v>
      </c>
      <c r="I364" s="20" t="n">
        <v>14.58</v>
      </c>
    </row>
    <row r="365" customFormat="false" ht="13.5" hidden="false" customHeight="true" outlineLevel="0" collapsed="false">
      <c r="A365" s="20" t="n">
        <v>501</v>
      </c>
      <c r="B365" s="20" t="s">
        <v>49</v>
      </c>
      <c r="C365" s="20" t="s">
        <v>22</v>
      </c>
      <c r="D365" s="20" t="n">
        <v>8</v>
      </c>
      <c r="E365" s="20" t="s">
        <v>23</v>
      </c>
      <c r="F365" s="20" t="n">
        <v>1</v>
      </c>
      <c r="G365" s="20" t="str">
        <f aca="false">CONCATENATE(B365, "-",C365, "-", D365, "-", F365)</f>
        <v>M0112-A-8-1</v>
      </c>
      <c r="H365" s="20" t="n">
        <v>14.58</v>
      </c>
      <c r="I365" s="20" t="n">
        <v>16.07</v>
      </c>
    </row>
    <row r="366" customFormat="false" ht="13.5" hidden="false" customHeight="true" outlineLevel="0" collapsed="false">
      <c r="A366" s="20" t="n">
        <v>501</v>
      </c>
      <c r="B366" s="20" t="s">
        <v>49</v>
      </c>
      <c r="C366" s="20" t="s">
        <v>22</v>
      </c>
      <c r="D366" s="20" t="n">
        <v>8</v>
      </c>
      <c r="E366" s="20" t="s">
        <v>23</v>
      </c>
      <c r="F366" s="20" t="n">
        <v>2</v>
      </c>
      <c r="G366" s="20" t="str">
        <f aca="false">CONCATENATE(B366, "-",C366, "-", D366, "-", F366)</f>
        <v>M0112-A-8-2</v>
      </c>
      <c r="H366" s="20" t="n">
        <v>16.07</v>
      </c>
      <c r="I366" s="20" t="n">
        <v>17.23</v>
      </c>
    </row>
    <row r="367" customFormat="false" ht="13.5" hidden="false" customHeight="true" outlineLevel="0" collapsed="false">
      <c r="A367" s="20" t="n">
        <v>501</v>
      </c>
      <c r="B367" s="20" t="s">
        <v>49</v>
      </c>
      <c r="C367" s="20" t="s">
        <v>22</v>
      </c>
      <c r="D367" s="20" t="n">
        <v>9</v>
      </c>
      <c r="E367" s="20" t="s">
        <v>23</v>
      </c>
      <c r="F367" s="20" t="n">
        <v>1</v>
      </c>
      <c r="G367" s="20" t="str">
        <f aca="false">CONCATENATE(B367, "-",C367, "-", D367, "-", F367)</f>
        <v>M0112-A-9-1</v>
      </c>
      <c r="H367" s="20" t="n">
        <v>17.23</v>
      </c>
      <c r="I367" s="20" t="n">
        <v>18.73</v>
      </c>
    </row>
    <row r="368" customFormat="false" ht="13.5" hidden="false" customHeight="true" outlineLevel="0" collapsed="false">
      <c r="A368" s="20" t="n">
        <v>501</v>
      </c>
      <c r="B368" s="20" t="s">
        <v>49</v>
      </c>
      <c r="C368" s="20" t="s">
        <v>22</v>
      </c>
      <c r="D368" s="20" t="n">
        <v>9</v>
      </c>
      <c r="E368" s="20" t="s">
        <v>23</v>
      </c>
      <c r="F368" s="20" t="n">
        <v>2</v>
      </c>
      <c r="G368" s="20" t="str">
        <f aca="false">CONCATENATE(B368, "-",C368, "-", D368, "-", F368)</f>
        <v>M0112-A-9-2</v>
      </c>
      <c r="H368" s="20" t="n">
        <v>18.73</v>
      </c>
      <c r="I368" s="20" t="n">
        <v>19.87</v>
      </c>
    </row>
    <row r="369" customFormat="false" ht="13.5" hidden="false" customHeight="true" outlineLevel="0" collapsed="false">
      <c r="A369" s="20" t="n">
        <v>501</v>
      </c>
      <c r="B369" s="20" t="s">
        <v>49</v>
      </c>
      <c r="C369" s="20" t="s">
        <v>22</v>
      </c>
      <c r="D369" s="20" t="n">
        <v>10</v>
      </c>
      <c r="E369" s="20" t="s">
        <v>23</v>
      </c>
      <c r="F369" s="20" t="n">
        <v>1</v>
      </c>
      <c r="G369" s="20" t="str">
        <f aca="false">CONCATENATE(B369, "-",C369, "-", D369, "-", F369)</f>
        <v>M0112-A-10-1</v>
      </c>
      <c r="H369" s="20" t="n">
        <v>19.87</v>
      </c>
      <c r="I369" s="20" t="n">
        <v>21.28</v>
      </c>
    </row>
    <row r="370" customFormat="false" ht="13.5" hidden="false" customHeight="true" outlineLevel="0" collapsed="false">
      <c r="A370" s="20" t="n">
        <v>501</v>
      </c>
      <c r="B370" s="20" t="s">
        <v>49</v>
      </c>
      <c r="C370" s="20" t="s">
        <v>22</v>
      </c>
      <c r="D370" s="20" t="n">
        <v>11</v>
      </c>
      <c r="E370" s="20" t="s">
        <v>23</v>
      </c>
      <c r="F370" s="20" t="n">
        <v>1</v>
      </c>
      <c r="G370" s="20" t="str">
        <f aca="false">CONCATENATE(B370, "-",C370, "-", D370, "-", F370)</f>
        <v>M0112-A-11-1</v>
      </c>
      <c r="H370" s="20" t="n">
        <v>21.28</v>
      </c>
      <c r="I370" s="20" t="n">
        <v>22.79</v>
      </c>
    </row>
    <row r="371" customFormat="false" ht="13.5" hidden="false" customHeight="true" outlineLevel="0" collapsed="false">
      <c r="A371" s="20" t="n">
        <v>501</v>
      </c>
      <c r="B371" s="20" t="s">
        <v>49</v>
      </c>
      <c r="C371" s="20" t="s">
        <v>22</v>
      </c>
      <c r="D371" s="20" t="n">
        <v>11</v>
      </c>
      <c r="E371" s="20" t="s">
        <v>23</v>
      </c>
      <c r="F371" s="20" t="n">
        <v>2</v>
      </c>
      <c r="G371" s="20" t="str">
        <f aca="false">CONCATENATE(B371, "-",C371, "-", D371, "-", F371)</f>
        <v>M0112-A-11-2</v>
      </c>
      <c r="H371" s="20" t="n">
        <v>22.79</v>
      </c>
      <c r="I371" s="20" t="n">
        <v>23.91</v>
      </c>
    </row>
    <row r="372" customFormat="false" ht="13.5" hidden="false" customHeight="true" outlineLevel="0" collapsed="false">
      <c r="A372" s="20" t="n">
        <v>501</v>
      </c>
      <c r="B372" s="20" t="s">
        <v>49</v>
      </c>
      <c r="C372" s="20" t="s">
        <v>22</v>
      </c>
      <c r="D372" s="20" t="n">
        <v>12</v>
      </c>
      <c r="E372" s="20" t="s">
        <v>23</v>
      </c>
      <c r="F372" s="20" t="n">
        <v>1</v>
      </c>
      <c r="G372" s="20" t="str">
        <f aca="false">CONCATENATE(B372, "-",C372, "-", D372, "-", F372)</f>
        <v>M0112-A-12-1</v>
      </c>
      <c r="H372" s="20" t="n">
        <v>23.91</v>
      </c>
      <c r="I372" s="20" t="n">
        <v>23.92</v>
      </c>
    </row>
    <row r="373" customFormat="false" ht="13.5" hidden="false" customHeight="true" outlineLevel="0" collapsed="false">
      <c r="A373" s="20" t="n">
        <v>501</v>
      </c>
      <c r="B373" s="20" t="s">
        <v>49</v>
      </c>
      <c r="C373" s="20" t="s">
        <v>22</v>
      </c>
      <c r="D373" s="20" t="n">
        <v>13</v>
      </c>
      <c r="E373" s="20" t="s">
        <v>23</v>
      </c>
      <c r="F373" s="20" t="n">
        <v>1</v>
      </c>
      <c r="G373" s="20" t="str">
        <f aca="false">CONCATENATE(B373, "-",C373, "-", D373, "-", F373)</f>
        <v>M0112-A-13-1</v>
      </c>
      <c r="H373" s="20" t="n">
        <v>23.92</v>
      </c>
      <c r="I373" s="20" t="n">
        <v>24.33</v>
      </c>
    </row>
    <row r="374" customFormat="false" ht="13.5" hidden="false" customHeight="true" outlineLevel="0" collapsed="false">
      <c r="A374" s="20" t="n">
        <v>501</v>
      </c>
      <c r="B374" s="20" t="s">
        <v>49</v>
      </c>
      <c r="C374" s="20" t="s">
        <v>22</v>
      </c>
      <c r="D374" s="20" t="n">
        <v>14</v>
      </c>
      <c r="E374" s="20" t="s">
        <v>23</v>
      </c>
      <c r="F374" s="20" t="n">
        <v>1</v>
      </c>
      <c r="G374" s="20" t="str">
        <f aca="false">CONCATENATE(B374, "-",C374, "-", D374, "-", F374)</f>
        <v>M0112-A-14-1</v>
      </c>
      <c r="H374" s="20" t="n">
        <v>24.33</v>
      </c>
      <c r="I374" s="20" t="n">
        <v>25.79</v>
      </c>
    </row>
    <row r="375" customFormat="false" ht="13.5" hidden="false" customHeight="true" outlineLevel="0" collapsed="false">
      <c r="A375" s="20" t="n">
        <v>501</v>
      </c>
      <c r="B375" s="20" t="s">
        <v>49</v>
      </c>
      <c r="C375" s="20" t="s">
        <v>22</v>
      </c>
      <c r="D375" s="20" t="n">
        <v>15</v>
      </c>
      <c r="E375" s="20" t="s">
        <v>23</v>
      </c>
      <c r="F375" s="20" t="n">
        <v>1</v>
      </c>
      <c r="G375" s="20" t="str">
        <f aca="false">CONCATENATE(B375, "-",C375, "-", D375, "-", F375)</f>
        <v>M0112-A-15-1</v>
      </c>
      <c r="H375" s="20" t="n">
        <v>25.79</v>
      </c>
      <c r="I375" s="20" t="n">
        <v>27.3</v>
      </c>
    </row>
    <row r="376" customFormat="false" ht="13.5" hidden="false" customHeight="true" outlineLevel="0" collapsed="false">
      <c r="A376" s="20" t="n">
        <v>501</v>
      </c>
      <c r="B376" s="20" t="s">
        <v>49</v>
      </c>
      <c r="C376" s="20" t="s">
        <v>22</v>
      </c>
      <c r="D376" s="20" t="n">
        <v>15</v>
      </c>
      <c r="E376" s="20" t="s">
        <v>23</v>
      </c>
      <c r="F376" s="20" t="n">
        <v>2</v>
      </c>
      <c r="G376" s="20" t="str">
        <f aca="false">CONCATENATE(B376, "-",C376, "-", D376, "-", F376)</f>
        <v>M0112-A-15-2</v>
      </c>
      <c r="H376" s="20" t="n">
        <v>27.3</v>
      </c>
      <c r="I376" s="20" t="n">
        <v>27.67</v>
      </c>
    </row>
    <row r="377" customFormat="false" ht="13.5" hidden="false" customHeight="true" outlineLevel="0" collapsed="false">
      <c r="A377" s="20" t="n">
        <v>501</v>
      </c>
      <c r="B377" s="20" t="s">
        <v>49</v>
      </c>
      <c r="C377" s="20" t="s">
        <v>22</v>
      </c>
      <c r="D377" s="20" t="n">
        <v>16</v>
      </c>
      <c r="E377" s="20" t="s">
        <v>23</v>
      </c>
      <c r="F377" s="20" t="n">
        <v>1</v>
      </c>
      <c r="G377" s="20" t="str">
        <f aca="false">CONCATENATE(B377, "-",C377, "-", D377, "-", F377)</f>
        <v>M0112-A-16-1</v>
      </c>
      <c r="H377" s="20" t="n">
        <v>27.67</v>
      </c>
      <c r="I377" s="20" t="n">
        <v>29.16</v>
      </c>
    </row>
    <row r="378" customFormat="false" ht="13.5" hidden="false" customHeight="true" outlineLevel="0" collapsed="false">
      <c r="A378" s="20" t="n">
        <v>501</v>
      </c>
      <c r="B378" s="20" t="s">
        <v>49</v>
      </c>
      <c r="C378" s="20" t="s">
        <v>22</v>
      </c>
      <c r="D378" s="20" t="n">
        <v>16</v>
      </c>
      <c r="E378" s="20" t="s">
        <v>23</v>
      </c>
      <c r="F378" s="20" t="n">
        <v>2</v>
      </c>
      <c r="G378" s="20" t="str">
        <f aca="false">CONCATENATE(B378, "-",C378, "-", D378, "-", F378)</f>
        <v>M0112-A-16-2</v>
      </c>
      <c r="H378" s="20" t="n">
        <v>29.16</v>
      </c>
      <c r="I378" s="20" t="n">
        <v>29.48</v>
      </c>
    </row>
    <row r="379" customFormat="false" ht="13.5" hidden="false" customHeight="true" outlineLevel="0" collapsed="false">
      <c r="A379" s="20" t="n">
        <v>501</v>
      </c>
      <c r="B379" s="20" t="s">
        <v>49</v>
      </c>
      <c r="C379" s="20" t="s">
        <v>22</v>
      </c>
      <c r="D379" s="20" t="n">
        <v>17</v>
      </c>
      <c r="E379" s="20" t="s">
        <v>23</v>
      </c>
      <c r="F379" s="20" t="n">
        <v>1</v>
      </c>
      <c r="G379" s="20" t="str">
        <f aca="false">CONCATENATE(B379, "-",C379, "-", D379, "-", F379)</f>
        <v>M0112-A-17-1</v>
      </c>
      <c r="H379" s="20" t="n">
        <v>29.48</v>
      </c>
      <c r="I379" s="20" t="n">
        <v>30.1</v>
      </c>
    </row>
    <row r="380" customFormat="false" ht="13.5" hidden="false" customHeight="true" outlineLevel="0" collapsed="false">
      <c r="A380" s="20" t="n">
        <v>501</v>
      </c>
      <c r="B380" s="20" t="s">
        <v>49</v>
      </c>
      <c r="C380" s="20" t="s">
        <v>22</v>
      </c>
      <c r="D380" s="20" t="n">
        <v>19</v>
      </c>
      <c r="E380" s="20" t="s">
        <v>23</v>
      </c>
      <c r="F380" s="20" t="n">
        <v>1</v>
      </c>
      <c r="G380" s="20" t="str">
        <f aca="false">CONCATENATE(B380, "-",C380, "-", D380, "-", F380)</f>
        <v>M0112-A-19-1</v>
      </c>
      <c r="H380" s="20" t="n">
        <v>32.21</v>
      </c>
      <c r="I380" s="20" t="n">
        <v>32.8</v>
      </c>
    </row>
    <row r="381" customFormat="false" ht="13.5" hidden="false" customHeight="true" outlineLevel="0" collapsed="false">
      <c r="A381" s="20" t="n">
        <v>501</v>
      </c>
      <c r="B381" s="20" t="s">
        <v>49</v>
      </c>
      <c r="C381" s="20" t="s">
        <v>22</v>
      </c>
      <c r="D381" s="20" t="n">
        <v>19</v>
      </c>
      <c r="E381" s="20" t="s">
        <v>23</v>
      </c>
      <c r="F381" s="20" t="n">
        <v>2</v>
      </c>
      <c r="G381" s="20" t="str">
        <f aca="false">CONCATENATE(B381, "-",C381, "-", D381, "-", F381)</f>
        <v>M0112-A-19-2</v>
      </c>
      <c r="H381" s="20" t="n">
        <v>32.8</v>
      </c>
      <c r="I381" s="20" t="n">
        <v>33.13</v>
      </c>
    </row>
    <row r="382" customFormat="false" ht="13.5" hidden="false" customHeight="true" outlineLevel="0" collapsed="false">
      <c r="A382" s="20" t="n">
        <v>501</v>
      </c>
      <c r="B382" s="20" t="s">
        <v>49</v>
      </c>
      <c r="C382" s="20" t="s">
        <v>22</v>
      </c>
      <c r="D382" s="20" t="n">
        <v>20</v>
      </c>
      <c r="E382" s="20" t="s">
        <v>23</v>
      </c>
      <c r="F382" s="20" t="n">
        <v>1</v>
      </c>
      <c r="G382" s="20" t="str">
        <f aca="false">CONCATENATE(B382, "-",C382, "-", D382, "-", F382)</f>
        <v>M0112-A-20-1</v>
      </c>
      <c r="H382" s="20" t="n">
        <v>33.13</v>
      </c>
      <c r="I382" s="20" t="n">
        <v>34.61</v>
      </c>
    </row>
    <row r="383" customFormat="false" ht="13.5" hidden="false" customHeight="true" outlineLevel="0" collapsed="false">
      <c r="A383" s="20" t="n">
        <v>501</v>
      </c>
      <c r="B383" s="20" t="s">
        <v>49</v>
      </c>
      <c r="C383" s="20" t="s">
        <v>22</v>
      </c>
      <c r="D383" s="20" t="n">
        <v>20</v>
      </c>
      <c r="E383" s="20" t="s">
        <v>23</v>
      </c>
      <c r="F383" s="20" t="n">
        <v>2</v>
      </c>
      <c r="G383" s="20" t="str">
        <f aca="false">CONCATENATE(B383, "-",C383, "-", D383, "-", F383)</f>
        <v>M0112-A-20-2</v>
      </c>
      <c r="H383" s="20" t="n">
        <v>34.61</v>
      </c>
      <c r="I383" s="20" t="n">
        <v>34.81</v>
      </c>
    </row>
    <row r="384" customFormat="false" ht="13.5" hidden="false" customHeight="true" outlineLevel="0" collapsed="false">
      <c r="A384" s="20" t="n">
        <v>501</v>
      </c>
      <c r="B384" s="20" t="s">
        <v>49</v>
      </c>
      <c r="C384" s="20" t="s">
        <v>22</v>
      </c>
      <c r="D384" s="20" t="n">
        <v>21</v>
      </c>
      <c r="E384" s="20" t="s">
        <v>23</v>
      </c>
      <c r="F384" s="20" t="n">
        <v>1</v>
      </c>
      <c r="G384" s="20" t="str">
        <f aca="false">CONCATENATE(B384, "-",C384, "-", D384, "-", F384)</f>
        <v>M0112-A-21-1</v>
      </c>
      <c r="H384" s="20" t="n">
        <v>34.81</v>
      </c>
      <c r="I384" s="20" t="n">
        <v>36.31</v>
      </c>
    </row>
    <row r="385" customFormat="false" ht="13.5" hidden="false" customHeight="true" outlineLevel="0" collapsed="false">
      <c r="A385" s="20" t="n">
        <v>501</v>
      </c>
      <c r="B385" s="20" t="s">
        <v>49</v>
      </c>
      <c r="C385" s="20" t="s">
        <v>22</v>
      </c>
      <c r="D385" s="20" t="n">
        <v>21</v>
      </c>
      <c r="E385" s="20" t="s">
        <v>23</v>
      </c>
      <c r="F385" s="20" t="n">
        <v>2</v>
      </c>
      <c r="G385" s="20" t="str">
        <f aca="false">CONCATENATE(B385, "-",C385, "-", D385, "-", F385)</f>
        <v>M0112-A-21-2</v>
      </c>
      <c r="H385" s="20" t="n">
        <v>36.31</v>
      </c>
      <c r="I385" s="20" t="n">
        <v>36.79</v>
      </c>
    </row>
    <row r="386" customFormat="false" ht="13.5" hidden="false" customHeight="true" outlineLevel="0" collapsed="false">
      <c r="A386" s="20" t="n">
        <v>501</v>
      </c>
      <c r="B386" s="20" t="s">
        <v>49</v>
      </c>
      <c r="C386" s="20" t="s">
        <v>22</v>
      </c>
      <c r="D386" s="20" t="n">
        <v>22</v>
      </c>
      <c r="E386" s="20" t="s">
        <v>23</v>
      </c>
      <c r="F386" s="20" t="n">
        <v>1</v>
      </c>
      <c r="G386" s="20" t="str">
        <f aca="false">CONCATENATE(B386, "-",C386, "-", D386, "-", F386)</f>
        <v>M0112-A-22-1</v>
      </c>
      <c r="H386" s="20" t="n">
        <v>36.79</v>
      </c>
      <c r="I386" s="20" t="n">
        <v>38.23</v>
      </c>
    </row>
    <row r="387" customFormat="false" ht="13.5" hidden="false" customHeight="true" outlineLevel="0" collapsed="false">
      <c r="A387" s="20" t="n">
        <v>501</v>
      </c>
      <c r="B387" s="20" t="s">
        <v>49</v>
      </c>
      <c r="C387" s="20" t="s">
        <v>22</v>
      </c>
      <c r="D387" s="20" t="n">
        <v>22</v>
      </c>
      <c r="E387" s="20" t="s">
        <v>23</v>
      </c>
      <c r="F387" s="20" t="n">
        <v>2</v>
      </c>
      <c r="G387" s="20" t="str">
        <f aca="false">CONCATENATE(B387, "-",C387, "-", D387, "-", F387)</f>
        <v>M0112-A-22-2</v>
      </c>
      <c r="H387" s="20" t="n">
        <v>38.23</v>
      </c>
      <c r="I387" s="20" t="n">
        <v>38.59</v>
      </c>
    </row>
    <row r="388" customFormat="false" ht="13.5" hidden="false" customHeight="true" outlineLevel="0" collapsed="false">
      <c r="A388" s="20" t="n">
        <v>501</v>
      </c>
      <c r="B388" s="20" t="s">
        <v>49</v>
      </c>
      <c r="C388" s="20" t="s">
        <v>22</v>
      </c>
      <c r="D388" s="20" t="n">
        <v>23</v>
      </c>
      <c r="E388" s="20" t="s">
        <v>23</v>
      </c>
      <c r="F388" s="20" t="n">
        <v>1</v>
      </c>
      <c r="G388" s="20" t="str">
        <f aca="false">CONCATENATE(B388, "-",C388, "-", D388, "-", F388)</f>
        <v>M0112-A-23-1</v>
      </c>
      <c r="H388" s="20" t="n">
        <v>38.59</v>
      </c>
      <c r="I388" s="20" t="n">
        <v>40.07</v>
      </c>
    </row>
    <row r="389" customFormat="false" ht="13.5" hidden="false" customHeight="true" outlineLevel="0" collapsed="false">
      <c r="A389" s="20" t="n">
        <v>501</v>
      </c>
      <c r="B389" s="20" t="s">
        <v>49</v>
      </c>
      <c r="C389" s="20" t="s">
        <v>22</v>
      </c>
      <c r="D389" s="20" t="n">
        <v>23</v>
      </c>
      <c r="E389" s="20" t="s">
        <v>23</v>
      </c>
      <c r="F389" s="20" t="n">
        <v>2</v>
      </c>
      <c r="G389" s="20" t="str">
        <f aca="false">CONCATENATE(B389, "-",C389, "-", D389, "-", F389)</f>
        <v>M0112-A-23-2</v>
      </c>
      <c r="H389" s="20" t="n">
        <v>40.07</v>
      </c>
      <c r="I389" s="20" t="n">
        <v>41.48</v>
      </c>
    </row>
    <row r="390" customFormat="false" ht="13.5" hidden="false" customHeight="true" outlineLevel="0" collapsed="false">
      <c r="A390" s="20" t="n">
        <v>501</v>
      </c>
      <c r="B390" s="20" t="s">
        <v>49</v>
      </c>
      <c r="C390" s="20" t="s">
        <v>22</v>
      </c>
      <c r="D390" s="20" t="n">
        <v>24</v>
      </c>
      <c r="E390" s="20" t="s">
        <v>23</v>
      </c>
      <c r="F390" s="20" t="n">
        <v>1</v>
      </c>
      <c r="G390" s="20" t="str">
        <f aca="false">CONCATENATE(B390, "-",C390, "-", D390, "-", F390)</f>
        <v>M0112-A-24-1</v>
      </c>
      <c r="H390" s="20" t="n">
        <v>41.38</v>
      </c>
      <c r="I390" s="20" t="n">
        <v>42.87</v>
      </c>
    </row>
    <row r="391" customFormat="false" ht="13.5" hidden="false" customHeight="true" outlineLevel="0" collapsed="false">
      <c r="A391" s="20" t="n">
        <v>501</v>
      </c>
      <c r="B391" s="20" t="s">
        <v>49</v>
      </c>
      <c r="C391" s="20" t="s">
        <v>22</v>
      </c>
      <c r="D391" s="20" t="n">
        <v>24</v>
      </c>
      <c r="E391" s="20" t="s">
        <v>23</v>
      </c>
      <c r="F391" s="20" t="n">
        <v>2</v>
      </c>
      <c r="G391" s="20" t="str">
        <f aca="false">CONCATENATE(B391, "-",C391, "-", D391, "-", F391)</f>
        <v>M0112-A-24-2</v>
      </c>
      <c r="H391" s="20" t="n">
        <v>42.87</v>
      </c>
      <c r="I391" s="20" t="n">
        <v>44.31</v>
      </c>
    </row>
    <row r="392" customFormat="false" ht="13.5" hidden="false" customHeight="true" outlineLevel="0" collapsed="false">
      <c r="A392" s="20" t="n">
        <v>501</v>
      </c>
      <c r="B392" s="20" t="s">
        <v>49</v>
      </c>
      <c r="C392" s="20" t="s">
        <v>22</v>
      </c>
      <c r="D392" s="20" t="n">
        <v>25</v>
      </c>
      <c r="E392" s="20" t="s">
        <v>23</v>
      </c>
      <c r="F392" s="20" t="n">
        <v>1</v>
      </c>
      <c r="G392" s="20" t="str">
        <f aca="false">CONCATENATE(B392, "-",C392, "-", D392, "-", F392)</f>
        <v>M0112-A-25-1</v>
      </c>
      <c r="H392" s="20" t="n">
        <v>44.14</v>
      </c>
      <c r="I392" s="20" t="n">
        <v>45.36</v>
      </c>
    </row>
    <row r="393" customFormat="false" ht="13.5" hidden="false" customHeight="true" outlineLevel="0" collapsed="false">
      <c r="A393" s="20" t="n">
        <v>501</v>
      </c>
      <c r="B393" s="20" t="s">
        <v>49</v>
      </c>
      <c r="C393" s="20" t="s">
        <v>22</v>
      </c>
      <c r="D393" s="20" t="n">
        <v>27</v>
      </c>
      <c r="E393" s="20" t="s">
        <v>23</v>
      </c>
      <c r="F393" s="20" t="n">
        <v>1</v>
      </c>
      <c r="G393" s="20" t="str">
        <f aca="false">CONCATENATE(B393, "-",C393, "-", D393, "-", F393)</f>
        <v>M0112-A-27-1</v>
      </c>
      <c r="H393" s="20" t="n">
        <v>45.36</v>
      </c>
      <c r="I393" s="20" t="n">
        <v>46.43</v>
      </c>
    </row>
    <row r="394" customFormat="false" ht="13.5" hidden="false" customHeight="true" outlineLevel="0" collapsed="false">
      <c r="A394" s="20" t="n">
        <v>501</v>
      </c>
      <c r="B394" s="20" t="s">
        <v>49</v>
      </c>
      <c r="C394" s="20" t="s">
        <v>22</v>
      </c>
      <c r="D394" s="20" t="n">
        <v>28</v>
      </c>
      <c r="E394" s="20" t="s">
        <v>23</v>
      </c>
      <c r="F394" s="20" t="n">
        <v>1</v>
      </c>
      <c r="G394" s="20" t="str">
        <f aca="false">CONCATENATE(B394, "-",C394, "-", D394, "-", F394)</f>
        <v>M0112-A-28-1</v>
      </c>
      <c r="H394" s="20" t="n">
        <v>46.43</v>
      </c>
      <c r="I394" s="20" t="n">
        <v>47.43</v>
      </c>
    </row>
    <row r="395" customFormat="false" ht="13.5" hidden="false" customHeight="true" outlineLevel="0" collapsed="false">
      <c r="A395" s="20" t="n">
        <v>501</v>
      </c>
      <c r="B395" s="20" t="s">
        <v>49</v>
      </c>
      <c r="C395" s="20" t="s">
        <v>22</v>
      </c>
      <c r="D395" s="20" t="n">
        <v>29</v>
      </c>
      <c r="E395" s="20" t="s">
        <v>23</v>
      </c>
      <c r="F395" s="20" t="n">
        <v>1</v>
      </c>
      <c r="G395" s="20" t="str">
        <f aca="false">CONCATENATE(B395, "-",C395, "-", D395, "-", F395)</f>
        <v>M0112-A-29-1</v>
      </c>
      <c r="H395" s="20" t="n">
        <v>47.43</v>
      </c>
      <c r="I395" s="20" t="n">
        <v>47.96</v>
      </c>
    </row>
    <row r="396" customFormat="false" ht="13.5" hidden="false" customHeight="true" outlineLevel="0" collapsed="false">
      <c r="A396" s="20" t="n">
        <v>501</v>
      </c>
      <c r="B396" s="20" t="s">
        <v>49</v>
      </c>
      <c r="C396" s="20" t="s">
        <v>22</v>
      </c>
      <c r="D396" s="20" t="n">
        <v>30</v>
      </c>
      <c r="E396" s="20" t="s">
        <v>23</v>
      </c>
      <c r="F396" s="20" t="n">
        <v>1</v>
      </c>
      <c r="G396" s="20" t="str">
        <f aca="false">CONCATENATE(B396, "-",C396, "-", D396, "-", F396)</f>
        <v>M0112-A-30-1</v>
      </c>
      <c r="H396" s="20" t="n">
        <v>47.96</v>
      </c>
      <c r="I396" s="20" t="n">
        <v>48.18</v>
      </c>
    </row>
    <row r="397" customFormat="false" ht="13.5" hidden="false" customHeight="true" outlineLevel="0" collapsed="false">
      <c r="A397" s="20" t="n">
        <v>501</v>
      </c>
      <c r="B397" s="20" t="s">
        <v>49</v>
      </c>
      <c r="C397" s="20" t="s">
        <v>22</v>
      </c>
      <c r="D397" s="20" t="n">
        <v>31</v>
      </c>
      <c r="E397" s="20" t="s">
        <v>23</v>
      </c>
      <c r="F397" s="20" t="n">
        <v>1</v>
      </c>
      <c r="G397" s="20" t="str">
        <f aca="false">CONCATENATE(B397, "-",C397, "-", D397, "-", F397)</f>
        <v>M0112-A-31-1</v>
      </c>
      <c r="H397" s="20" t="n">
        <v>49.96</v>
      </c>
      <c r="I397" s="20" t="n">
        <v>51.45</v>
      </c>
    </row>
    <row r="398" customFormat="false" ht="13.5" hidden="false" customHeight="true" outlineLevel="0" collapsed="false">
      <c r="A398" s="20" t="n">
        <v>501</v>
      </c>
      <c r="B398" s="20" t="s">
        <v>49</v>
      </c>
      <c r="C398" s="20" t="s">
        <v>22</v>
      </c>
      <c r="D398" s="20" t="n">
        <v>32</v>
      </c>
      <c r="E398" s="20" t="s">
        <v>23</v>
      </c>
      <c r="F398" s="20" t="n">
        <v>1</v>
      </c>
      <c r="G398" s="20" t="str">
        <f aca="false">CONCATENATE(B398, "-",C398, "-", D398, "-", F398)</f>
        <v>M0112-A-32-1</v>
      </c>
      <c r="H398" s="20" t="n">
        <v>51.45</v>
      </c>
      <c r="I398" s="20" t="n">
        <v>52.95</v>
      </c>
    </row>
    <row r="399" customFormat="false" ht="13.5" hidden="false" customHeight="true" outlineLevel="0" collapsed="false">
      <c r="A399" s="20" t="n">
        <v>501</v>
      </c>
      <c r="B399" s="20" t="s">
        <v>49</v>
      </c>
      <c r="C399" s="20" t="s">
        <v>22</v>
      </c>
      <c r="D399" s="20" t="n">
        <v>32</v>
      </c>
      <c r="E399" s="20" t="s">
        <v>23</v>
      </c>
      <c r="F399" s="20" t="n">
        <v>2</v>
      </c>
      <c r="G399" s="20" t="str">
        <f aca="false">CONCATENATE(B399, "-",C399, "-", D399, "-", F399)</f>
        <v>M0112-A-32-2</v>
      </c>
      <c r="H399" s="20" t="n">
        <v>52.95</v>
      </c>
      <c r="I399" s="20" t="n">
        <v>53.61</v>
      </c>
    </row>
    <row r="400" customFormat="false" ht="13.5" hidden="false" customHeight="true" outlineLevel="0" collapsed="false">
      <c r="A400" s="20" t="n">
        <v>501</v>
      </c>
      <c r="B400" s="20" t="s">
        <v>49</v>
      </c>
      <c r="C400" s="20" t="s">
        <v>22</v>
      </c>
      <c r="D400" s="20" t="n">
        <v>33</v>
      </c>
      <c r="E400" s="20" t="s">
        <v>23</v>
      </c>
      <c r="F400" s="20" t="n">
        <v>1</v>
      </c>
      <c r="G400" s="20" t="str">
        <f aca="false">CONCATENATE(B400, "-",C400, "-", D400, "-", F400)</f>
        <v>M0112-A-33-1</v>
      </c>
      <c r="H400" s="20" t="n">
        <v>53.61</v>
      </c>
      <c r="I400" s="20" t="n">
        <v>54.51</v>
      </c>
    </row>
    <row r="401" customFormat="false" ht="13.5" hidden="false" customHeight="true" outlineLevel="0" collapsed="false">
      <c r="A401" s="20" t="n">
        <v>501</v>
      </c>
      <c r="B401" s="20" t="s">
        <v>49</v>
      </c>
      <c r="C401" s="20" t="s">
        <v>22</v>
      </c>
      <c r="D401" s="20" t="n">
        <v>33</v>
      </c>
      <c r="E401" s="20" t="s">
        <v>23</v>
      </c>
      <c r="F401" s="20" t="n">
        <v>2</v>
      </c>
      <c r="G401" s="20" t="str">
        <f aca="false">CONCATENATE(B401, "-",C401, "-", D401, "-", F401)</f>
        <v>M0112-A-33-2</v>
      </c>
      <c r="H401" s="20" t="n">
        <v>54.51</v>
      </c>
      <c r="I401" s="20" t="n">
        <v>55.15</v>
      </c>
    </row>
    <row r="402" customFormat="false" ht="13.5" hidden="false" customHeight="true" outlineLevel="0" collapsed="false">
      <c r="A402" s="20" t="n">
        <v>501</v>
      </c>
      <c r="B402" s="20" t="s">
        <v>49</v>
      </c>
      <c r="C402" s="20" t="s">
        <v>22</v>
      </c>
      <c r="D402" s="20" t="n">
        <v>34</v>
      </c>
      <c r="E402" s="20" t="s">
        <v>23</v>
      </c>
      <c r="F402" s="20" t="n">
        <v>1</v>
      </c>
      <c r="G402" s="20" t="str">
        <f aca="false">CONCATENATE(B402, "-",C402, "-", D402, "-", F402)</f>
        <v>M0112-A-34-1</v>
      </c>
      <c r="H402" s="20" t="n">
        <v>55.15</v>
      </c>
      <c r="I402" s="20" t="n">
        <v>56.15</v>
      </c>
    </row>
    <row r="403" customFormat="false" ht="13.5" hidden="false" customHeight="true" outlineLevel="0" collapsed="false">
      <c r="A403" s="20" t="n">
        <v>501</v>
      </c>
      <c r="B403" s="20" t="s">
        <v>49</v>
      </c>
      <c r="C403" s="20" t="s">
        <v>22</v>
      </c>
      <c r="D403" s="20" t="n">
        <v>34</v>
      </c>
      <c r="E403" s="20" t="s">
        <v>23</v>
      </c>
      <c r="F403" s="20" t="n">
        <v>2</v>
      </c>
      <c r="G403" s="20" t="str">
        <f aca="false">CONCATENATE(B403, "-",C403, "-", D403, "-", F403)</f>
        <v>M0112-A-34-2</v>
      </c>
      <c r="H403" s="20" t="n">
        <v>56.15</v>
      </c>
      <c r="I403" s="20" t="n">
        <v>56.31</v>
      </c>
    </row>
    <row r="404" customFormat="false" ht="13.5" hidden="false" customHeight="true" outlineLevel="0" collapsed="false">
      <c r="A404" s="20" t="n">
        <v>501</v>
      </c>
      <c r="B404" s="20" t="s">
        <v>49</v>
      </c>
      <c r="C404" s="20" t="s">
        <v>22</v>
      </c>
      <c r="D404" s="20" t="n">
        <v>35</v>
      </c>
      <c r="E404" s="20" t="s">
        <v>28</v>
      </c>
      <c r="F404" s="20" t="n">
        <v>1</v>
      </c>
      <c r="G404" s="20" t="str">
        <f aca="false">CONCATENATE(B404, "-",C404, "-", D404, "-", F404)</f>
        <v>M0112-A-35-1</v>
      </c>
      <c r="H404" s="20" t="n">
        <v>56.3</v>
      </c>
      <c r="I404" s="20" t="n">
        <v>56.68</v>
      </c>
    </row>
    <row r="405" customFormat="false" ht="13.5" hidden="false" customHeight="true" outlineLevel="0" collapsed="false">
      <c r="A405" s="20" t="n">
        <v>501</v>
      </c>
      <c r="B405" s="20" t="s">
        <v>49</v>
      </c>
      <c r="C405" s="20" t="s">
        <v>22</v>
      </c>
      <c r="D405" s="20" t="n">
        <v>36</v>
      </c>
      <c r="E405" s="20" t="s">
        <v>28</v>
      </c>
      <c r="F405" s="20" t="n">
        <v>1</v>
      </c>
      <c r="G405" s="20" t="str">
        <f aca="false">CONCATENATE(B405, "-",C405, "-", D405, "-", F405)</f>
        <v>M0112-A-36-1</v>
      </c>
      <c r="H405" s="20" t="n">
        <v>56.3</v>
      </c>
      <c r="I405" s="20" t="n">
        <v>57.8</v>
      </c>
    </row>
    <row r="406" customFormat="false" ht="13.5" hidden="false" customHeight="true" outlineLevel="0" collapsed="false">
      <c r="A406" s="20" t="n">
        <v>501</v>
      </c>
      <c r="B406" s="20" t="s">
        <v>49</v>
      </c>
      <c r="C406" s="20" t="s">
        <v>22</v>
      </c>
      <c r="D406" s="20" t="n">
        <v>36</v>
      </c>
      <c r="E406" s="20" t="s">
        <v>28</v>
      </c>
      <c r="F406" s="20" t="n">
        <v>2</v>
      </c>
      <c r="G406" s="20" t="str">
        <f aca="false">CONCATENATE(B406, "-",C406, "-", D406, "-", F406)</f>
        <v>M0112-A-36-2</v>
      </c>
      <c r="H406" s="20" t="n">
        <v>57.8</v>
      </c>
      <c r="I406" s="20" t="n">
        <v>59.3</v>
      </c>
    </row>
    <row r="407" customFormat="false" ht="13.5" hidden="false" customHeight="true" outlineLevel="0" collapsed="false">
      <c r="A407" s="20" t="n">
        <v>501</v>
      </c>
      <c r="B407" s="20" t="s">
        <v>49</v>
      </c>
      <c r="C407" s="20" t="s">
        <v>22</v>
      </c>
      <c r="D407" s="20" t="n">
        <v>37</v>
      </c>
      <c r="E407" s="20" t="s">
        <v>28</v>
      </c>
      <c r="F407" s="20" t="n">
        <v>1</v>
      </c>
      <c r="G407" s="20" t="str">
        <f aca="false">CONCATENATE(B407, "-",C407, "-", D407, "-", F407)</f>
        <v>M0112-A-37-1</v>
      </c>
      <c r="H407" s="20" t="n">
        <v>59.21</v>
      </c>
      <c r="I407" s="20" t="n">
        <v>59.52</v>
      </c>
    </row>
    <row r="408" customFormat="false" ht="13.5" hidden="false" customHeight="true" outlineLevel="0" collapsed="false">
      <c r="A408" s="20" t="n">
        <v>501</v>
      </c>
      <c r="B408" s="20" t="s">
        <v>49</v>
      </c>
      <c r="C408" s="20" t="s">
        <v>22</v>
      </c>
      <c r="D408" s="20" t="n">
        <v>38</v>
      </c>
      <c r="E408" s="20" t="s">
        <v>28</v>
      </c>
      <c r="F408" s="20" t="n">
        <v>1</v>
      </c>
      <c r="G408" s="20" t="str">
        <f aca="false">CONCATENATE(B408, "-",C408, "-", D408, "-", F408)</f>
        <v>M0112-A-38-1</v>
      </c>
      <c r="H408" s="20" t="n">
        <v>59.61</v>
      </c>
      <c r="I408" s="20" t="n">
        <v>60.11</v>
      </c>
    </row>
    <row r="409" customFormat="false" ht="13.5" hidden="false" customHeight="true" outlineLevel="0" collapsed="false">
      <c r="A409" s="20" t="n">
        <v>501</v>
      </c>
      <c r="B409" s="20" t="s">
        <v>49</v>
      </c>
      <c r="C409" s="20" t="s">
        <v>22</v>
      </c>
      <c r="D409" s="20" t="n">
        <v>39</v>
      </c>
      <c r="E409" s="20" t="s">
        <v>28</v>
      </c>
      <c r="F409" s="20" t="n">
        <v>1</v>
      </c>
      <c r="G409" s="20" t="str">
        <f aca="false">CONCATENATE(B409, "-",C409, "-", D409, "-", F409)</f>
        <v>M0112-A-39-1</v>
      </c>
      <c r="H409" s="20" t="n">
        <v>60.51</v>
      </c>
      <c r="I409" s="20" t="n">
        <v>61.27</v>
      </c>
    </row>
    <row r="410" customFormat="false" ht="13.5" hidden="false" customHeight="true" outlineLevel="0" collapsed="false">
      <c r="A410" s="20" t="n">
        <v>501</v>
      </c>
      <c r="B410" s="20" t="s">
        <v>49</v>
      </c>
      <c r="C410" s="20" t="s">
        <v>22</v>
      </c>
      <c r="D410" s="20" t="n">
        <v>40</v>
      </c>
      <c r="E410" s="20" t="s">
        <v>28</v>
      </c>
      <c r="F410" s="20" t="n">
        <v>1</v>
      </c>
      <c r="G410" s="20" t="str">
        <f aca="false">CONCATENATE(B410, "-",C410, "-", D410, "-", F410)</f>
        <v>M0112-A-40-1</v>
      </c>
      <c r="H410" s="20" t="n">
        <v>62.21</v>
      </c>
      <c r="I410" s="20" t="n">
        <v>63.21</v>
      </c>
    </row>
    <row r="411" customFormat="false" ht="13.5" hidden="false" customHeight="true" outlineLevel="0" collapsed="false">
      <c r="A411" s="20" t="n">
        <v>501</v>
      </c>
      <c r="B411" s="20" t="s">
        <v>49</v>
      </c>
      <c r="C411" s="20" t="s">
        <v>22</v>
      </c>
      <c r="D411" s="20" t="n">
        <v>40</v>
      </c>
      <c r="E411" s="20" t="s">
        <v>28</v>
      </c>
      <c r="F411" s="20" t="n">
        <v>2</v>
      </c>
      <c r="G411" s="20" t="str">
        <f aca="false">CONCATENATE(B411, "-",C411, "-", D411, "-", F411)</f>
        <v>M0112-A-40-2</v>
      </c>
      <c r="H411" s="20" t="n">
        <v>63.21</v>
      </c>
      <c r="I411" s="20" t="n">
        <v>63.56</v>
      </c>
    </row>
    <row r="412" customFormat="false" ht="13.5" hidden="false" customHeight="true" outlineLevel="0" collapsed="false">
      <c r="A412" s="20" t="n">
        <v>501</v>
      </c>
      <c r="B412" s="20" t="s">
        <v>49</v>
      </c>
      <c r="C412" s="20" t="s">
        <v>22</v>
      </c>
      <c r="D412" s="20" t="n">
        <v>41</v>
      </c>
      <c r="E412" s="20" t="s">
        <v>23</v>
      </c>
      <c r="F412" s="20" t="n">
        <v>1</v>
      </c>
      <c r="G412" s="20" t="str">
        <f aca="false">CONCATENATE(B412, "-",C412, "-", D412, "-", F412)</f>
        <v>M0112-A-41-1</v>
      </c>
      <c r="H412" s="20" t="n">
        <v>65.21</v>
      </c>
      <c r="I412" s="20" t="n">
        <v>66.7</v>
      </c>
    </row>
    <row r="413" customFormat="false" ht="13.5" hidden="false" customHeight="true" outlineLevel="0" collapsed="false">
      <c r="A413" s="20" t="n">
        <v>501</v>
      </c>
      <c r="B413" s="20" t="s">
        <v>49</v>
      </c>
      <c r="C413" s="20" t="s">
        <v>22</v>
      </c>
      <c r="D413" s="20" t="n">
        <v>41</v>
      </c>
      <c r="E413" s="20" t="s">
        <v>23</v>
      </c>
      <c r="F413" s="20" t="n">
        <v>2</v>
      </c>
      <c r="G413" s="20" t="str">
        <f aca="false">CONCATENATE(B413, "-",C413, "-", D413, "-", F413)</f>
        <v>M0112-A-41-2</v>
      </c>
      <c r="H413" s="20" t="n">
        <v>66.7</v>
      </c>
      <c r="I413" s="20" t="n">
        <v>68.09</v>
      </c>
    </row>
    <row r="414" customFormat="false" ht="13.5" hidden="false" customHeight="true" outlineLevel="0" collapsed="false">
      <c r="A414" s="20" t="n">
        <v>501</v>
      </c>
      <c r="B414" s="20" t="s">
        <v>49</v>
      </c>
      <c r="C414" s="20" t="s">
        <v>22</v>
      </c>
      <c r="D414" s="20" t="n">
        <v>42</v>
      </c>
      <c r="E414" s="20" t="s">
        <v>23</v>
      </c>
      <c r="F414" s="20" t="n">
        <v>1</v>
      </c>
      <c r="G414" s="20" t="str">
        <f aca="false">CONCATENATE(B414, "-",C414, "-", D414, "-", F414)</f>
        <v>M0112-A-42-1</v>
      </c>
      <c r="H414" s="20" t="n">
        <v>67.59</v>
      </c>
      <c r="I414" s="20" t="n">
        <v>68.34</v>
      </c>
    </row>
    <row r="415" customFormat="false" ht="13.5" hidden="false" customHeight="true" outlineLevel="0" collapsed="false">
      <c r="A415" s="20" t="n">
        <v>501</v>
      </c>
      <c r="B415" s="20" t="s">
        <v>49</v>
      </c>
      <c r="C415" s="20" t="s">
        <v>22</v>
      </c>
      <c r="D415" s="20" t="n">
        <v>43</v>
      </c>
      <c r="E415" s="20" t="s">
        <v>23</v>
      </c>
      <c r="F415" s="20" t="n">
        <v>1</v>
      </c>
      <c r="G415" s="20" t="str">
        <f aca="false">CONCATENATE(B415, "-",C415, "-", D415, "-", F415)</f>
        <v>M0112-A-43-1</v>
      </c>
      <c r="H415" s="20" t="n">
        <v>68.34</v>
      </c>
      <c r="I415" s="20" t="n">
        <v>69.14</v>
      </c>
    </row>
    <row r="416" customFormat="false" ht="13.5" hidden="false" customHeight="true" outlineLevel="0" collapsed="false">
      <c r="A416" s="20" t="n">
        <v>501</v>
      </c>
      <c r="B416" s="20" t="s">
        <v>49</v>
      </c>
      <c r="C416" s="20" t="s">
        <v>22</v>
      </c>
      <c r="D416" s="20" t="n">
        <v>43</v>
      </c>
      <c r="E416" s="20" t="s">
        <v>23</v>
      </c>
      <c r="F416" s="20" t="n">
        <v>2</v>
      </c>
      <c r="G416" s="20" t="str">
        <f aca="false">CONCATENATE(B416, "-",C416, "-", D416, "-", F416)</f>
        <v>M0112-A-43-2</v>
      </c>
      <c r="H416" s="20" t="n">
        <v>69.14</v>
      </c>
      <c r="I416" s="20" t="n">
        <v>69.42</v>
      </c>
    </row>
    <row r="417" customFormat="false" ht="13.5" hidden="false" customHeight="true" outlineLevel="0" collapsed="false">
      <c r="A417" s="20" t="n">
        <v>501</v>
      </c>
      <c r="B417" s="20" t="s">
        <v>49</v>
      </c>
      <c r="C417" s="20" t="s">
        <v>22</v>
      </c>
      <c r="D417" s="20" t="n">
        <v>44</v>
      </c>
      <c r="E417" s="20" t="s">
        <v>23</v>
      </c>
      <c r="F417" s="20" t="n">
        <v>1</v>
      </c>
      <c r="G417" s="20" t="str">
        <f aca="false">CONCATENATE(B417, "-",C417, "-", D417, "-", F417)</f>
        <v>M0112-A-44-1</v>
      </c>
      <c r="H417" s="20" t="n">
        <v>69.42</v>
      </c>
      <c r="I417" s="20" t="n">
        <v>70.29</v>
      </c>
    </row>
    <row r="418" customFormat="false" ht="13.5" hidden="false" customHeight="true" outlineLevel="0" collapsed="false">
      <c r="A418" s="20" t="n">
        <v>501</v>
      </c>
      <c r="B418" s="20" t="s">
        <v>49</v>
      </c>
      <c r="C418" s="20" t="s">
        <v>22</v>
      </c>
      <c r="D418" s="20" t="n">
        <v>45</v>
      </c>
      <c r="E418" s="20" t="s">
        <v>23</v>
      </c>
      <c r="F418" s="20" t="n">
        <v>1</v>
      </c>
      <c r="G418" s="20" t="str">
        <f aca="false">CONCATENATE(B418, "-",C418, "-", D418, "-", F418)</f>
        <v>M0112-A-45-1</v>
      </c>
      <c r="H418" s="20" t="n">
        <v>70.08</v>
      </c>
      <c r="I418" s="20" t="n">
        <v>71.11</v>
      </c>
    </row>
    <row r="419" customFormat="false" ht="13.5" hidden="false" customHeight="true" outlineLevel="0" collapsed="false">
      <c r="A419" s="20" t="n">
        <v>501</v>
      </c>
      <c r="B419" s="20" t="s">
        <v>49</v>
      </c>
      <c r="C419" s="20" t="s">
        <v>22</v>
      </c>
      <c r="D419" s="20" t="n">
        <v>46</v>
      </c>
      <c r="E419" s="20" t="s">
        <v>23</v>
      </c>
      <c r="F419" s="20" t="n">
        <v>1</v>
      </c>
      <c r="G419" s="20" t="str">
        <f aca="false">CONCATENATE(B419, "-",C419, "-", D419, "-", F419)</f>
        <v>M0112-A-46-1</v>
      </c>
      <c r="H419" s="20" t="n">
        <v>71.11</v>
      </c>
      <c r="I419" s="20" t="n">
        <v>71.96</v>
      </c>
    </row>
    <row r="420" customFormat="false" ht="13.5" hidden="false" customHeight="true" outlineLevel="0" collapsed="false">
      <c r="A420" s="20" t="n">
        <v>501</v>
      </c>
      <c r="B420" s="20" t="s">
        <v>49</v>
      </c>
      <c r="C420" s="20" t="s">
        <v>22</v>
      </c>
      <c r="D420" s="20" t="n">
        <v>46</v>
      </c>
      <c r="E420" s="20" t="s">
        <v>23</v>
      </c>
      <c r="F420" s="20" t="n">
        <v>2</v>
      </c>
      <c r="G420" s="20" t="str">
        <f aca="false">CONCATENATE(B420, "-",C420, "-", D420, "-", F420)</f>
        <v>M0112-A-46-2</v>
      </c>
      <c r="H420" s="20" t="n">
        <v>71.96</v>
      </c>
      <c r="I420" s="20" t="n">
        <v>72.18</v>
      </c>
    </row>
    <row r="421" customFormat="false" ht="13.5" hidden="false" customHeight="true" outlineLevel="0" collapsed="false">
      <c r="A421" s="20" t="n">
        <v>501</v>
      </c>
      <c r="B421" s="20" t="s">
        <v>49</v>
      </c>
      <c r="C421" s="20" t="s">
        <v>22</v>
      </c>
      <c r="D421" s="20" t="n">
        <v>47</v>
      </c>
      <c r="E421" s="20" t="s">
        <v>23</v>
      </c>
      <c r="F421" s="20" t="n">
        <v>1</v>
      </c>
      <c r="G421" s="20" t="str">
        <f aca="false">CONCATENATE(B421, "-",C421, "-", D421, "-", F421)</f>
        <v>M0112-A-47-1</v>
      </c>
      <c r="H421" s="20" t="n">
        <v>72.18</v>
      </c>
      <c r="I421" s="20" t="n">
        <v>72.86</v>
      </c>
    </row>
    <row r="422" customFormat="false" ht="13.5" hidden="false" customHeight="true" outlineLevel="0" collapsed="false">
      <c r="A422" s="20" t="n">
        <v>501</v>
      </c>
      <c r="B422" s="20" t="s">
        <v>49</v>
      </c>
      <c r="C422" s="20" t="s">
        <v>22</v>
      </c>
      <c r="D422" s="20" t="n">
        <v>48</v>
      </c>
      <c r="E422" s="20" t="s">
        <v>23</v>
      </c>
      <c r="F422" s="20" t="n">
        <v>1</v>
      </c>
      <c r="G422" s="20" t="str">
        <f aca="false">CONCATENATE(B422, "-",C422, "-", D422, "-", F422)</f>
        <v>M0112-A-48-1</v>
      </c>
      <c r="H422" s="20" t="n">
        <v>72.86</v>
      </c>
      <c r="I422" s="20" t="n">
        <v>73.01</v>
      </c>
    </row>
    <row r="423" customFormat="false" ht="13.5" hidden="false" customHeight="true" outlineLevel="0" collapsed="false">
      <c r="A423" s="20" t="n">
        <v>501</v>
      </c>
      <c r="B423" s="20" t="s">
        <v>49</v>
      </c>
      <c r="C423" s="20" t="s">
        <v>22</v>
      </c>
      <c r="D423" s="20" t="n">
        <v>48</v>
      </c>
      <c r="E423" s="20" t="s">
        <v>23</v>
      </c>
      <c r="F423" s="20" t="n">
        <v>2</v>
      </c>
      <c r="G423" s="20" t="str">
        <f aca="false">CONCATENATE(B423, "-",C423, "-", D423, "-", F423)</f>
        <v>M0112-A-48-2</v>
      </c>
      <c r="H423" s="20" t="n">
        <v>73.01</v>
      </c>
      <c r="I423" s="20" t="n">
        <v>74.19</v>
      </c>
    </row>
    <row r="424" customFormat="false" ht="13.5" hidden="false" customHeight="true" outlineLevel="0" collapsed="false">
      <c r="A424" s="20" t="n">
        <v>501</v>
      </c>
      <c r="B424" s="20" t="s">
        <v>49</v>
      </c>
      <c r="C424" s="20" t="s">
        <v>22</v>
      </c>
      <c r="D424" s="20" t="n">
        <v>49</v>
      </c>
      <c r="E424" s="20" t="s">
        <v>23</v>
      </c>
      <c r="F424" s="20" t="n">
        <v>1</v>
      </c>
      <c r="G424" s="20" t="str">
        <f aca="false">CONCATENATE(B424, "-",C424, "-", D424, "-", F424)</f>
        <v>M0112-A-49-1</v>
      </c>
      <c r="H424" s="20" t="n">
        <v>74.19</v>
      </c>
      <c r="I424" s="20" t="n">
        <v>75.39</v>
      </c>
    </row>
    <row r="425" customFormat="false" ht="13.5" hidden="false" customHeight="true" outlineLevel="0" collapsed="false">
      <c r="A425" s="20" t="n">
        <v>501</v>
      </c>
      <c r="B425" s="20" t="s">
        <v>49</v>
      </c>
      <c r="C425" s="20" t="s">
        <v>22</v>
      </c>
      <c r="D425" s="20" t="n">
        <v>50</v>
      </c>
      <c r="E425" s="20" t="s">
        <v>28</v>
      </c>
      <c r="F425" s="20" t="n">
        <v>1</v>
      </c>
      <c r="G425" s="20" t="str">
        <f aca="false">CONCATENATE(B425, "-",C425, "-", D425, "-", F425)</f>
        <v>M0112-A-50-1</v>
      </c>
      <c r="H425" s="20" t="n">
        <v>75.39</v>
      </c>
      <c r="I425" s="20" t="n">
        <v>76.69</v>
      </c>
    </row>
    <row r="426" customFormat="false" ht="13.5" hidden="false" customHeight="true" outlineLevel="0" collapsed="false">
      <c r="A426" s="20" t="n">
        <v>501</v>
      </c>
      <c r="B426" s="20" t="s">
        <v>49</v>
      </c>
      <c r="C426" s="20" t="s">
        <v>22</v>
      </c>
      <c r="D426" s="20" t="n">
        <v>50</v>
      </c>
      <c r="E426" s="20" t="s">
        <v>28</v>
      </c>
      <c r="F426" s="20" t="n">
        <v>2</v>
      </c>
      <c r="G426" s="20" t="str">
        <f aca="false">CONCATENATE(B426, "-",C426, "-", D426, "-", F426)</f>
        <v>M0112-A-50-2</v>
      </c>
      <c r="H426" s="20" t="n">
        <v>76.69</v>
      </c>
      <c r="I426" s="20" t="n">
        <v>77.42</v>
      </c>
    </row>
    <row r="427" customFormat="false" ht="13.5" hidden="false" customHeight="true" outlineLevel="0" collapsed="false">
      <c r="A427" s="20" t="n">
        <v>501</v>
      </c>
      <c r="B427" s="20" t="s">
        <v>49</v>
      </c>
      <c r="C427" s="20" t="s">
        <v>22</v>
      </c>
      <c r="D427" s="20" t="n">
        <v>51</v>
      </c>
      <c r="E427" s="20" t="s">
        <v>28</v>
      </c>
      <c r="F427" s="20" t="n">
        <v>1</v>
      </c>
      <c r="G427" s="20" t="str">
        <f aca="false">CONCATENATE(B427, "-",C427, "-", D427, "-", F427)</f>
        <v>M0112-A-51-1</v>
      </c>
      <c r="H427" s="20" t="n">
        <v>77.24</v>
      </c>
      <c r="I427" s="20" t="n">
        <v>78.74</v>
      </c>
    </row>
    <row r="428" customFormat="false" ht="13.5" hidden="false" customHeight="true" outlineLevel="0" collapsed="false">
      <c r="A428" s="20" t="n">
        <v>501</v>
      </c>
      <c r="B428" s="20" t="s">
        <v>49</v>
      </c>
      <c r="C428" s="20" t="s">
        <v>22</v>
      </c>
      <c r="D428" s="20" t="n">
        <v>51</v>
      </c>
      <c r="E428" s="20" t="s">
        <v>28</v>
      </c>
      <c r="F428" s="20" t="n">
        <v>2</v>
      </c>
      <c r="G428" s="20" t="str">
        <f aca="false">CONCATENATE(B428, "-",C428, "-", D428, "-", F428)</f>
        <v>M0112-A-51-2</v>
      </c>
      <c r="H428" s="20" t="n">
        <v>78.74</v>
      </c>
      <c r="I428" s="20" t="n">
        <v>79.99</v>
      </c>
    </row>
    <row r="429" customFormat="false" ht="13.5" hidden="false" customHeight="true" outlineLevel="0" collapsed="false">
      <c r="A429" s="20" t="n">
        <v>501</v>
      </c>
      <c r="B429" s="20" t="s">
        <v>49</v>
      </c>
      <c r="C429" s="20" t="s">
        <v>22</v>
      </c>
      <c r="D429" s="20" t="n">
        <v>51</v>
      </c>
      <c r="E429" s="20" t="s">
        <v>28</v>
      </c>
      <c r="F429" s="20" t="n">
        <v>3</v>
      </c>
      <c r="G429" s="20" t="str">
        <f aca="false">CONCATENATE(B429, "-",C429, "-", D429, "-", F429)</f>
        <v>M0112-A-51-3</v>
      </c>
      <c r="H429" s="20" t="n">
        <v>79.99</v>
      </c>
      <c r="I429" s="20" t="n">
        <v>80.34</v>
      </c>
    </row>
    <row r="430" customFormat="false" ht="13.5" hidden="false" customHeight="true" outlineLevel="0" collapsed="false">
      <c r="A430" s="20" t="n">
        <v>501</v>
      </c>
      <c r="B430" s="20" t="s">
        <v>49</v>
      </c>
      <c r="C430" s="20" t="s">
        <v>22</v>
      </c>
      <c r="D430" s="20" t="n">
        <v>52</v>
      </c>
      <c r="E430" s="20" t="s">
        <v>28</v>
      </c>
      <c r="F430" s="20" t="n">
        <v>1</v>
      </c>
      <c r="G430" s="20" t="str">
        <f aca="false">CONCATENATE(B430, "-",C430, "-", D430, "-", F430)</f>
        <v>M0112-A-52-1</v>
      </c>
      <c r="H430" s="20" t="n">
        <v>80.21</v>
      </c>
      <c r="I430" s="20" t="n">
        <v>81.71</v>
      </c>
    </row>
    <row r="431" customFormat="false" ht="13.5" hidden="false" customHeight="true" outlineLevel="0" collapsed="false">
      <c r="A431" s="20" t="n">
        <v>501</v>
      </c>
      <c r="B431" s="20" t="s">
        <v>49</v>
      </c>
      <c r="C431" s="20" t="s">
        <v>22</v>
      </c>
      <c r="D431" s="20" t="n">
        <v>52</v>
      </c>
      <c r="E431" s="20" t="s">
        <v>28</v>
      </c>
      <c r="F431" s="20" t="n">
        <v>2</v>
      </c>
      <c r="G431" s="20" t="str">
        <f aca="false">CONCATENATE(B431, "-",C431, "-", D431, "-", F431)</f>
        <v>M0112-A-52-2</v>
      </c>
      <c r="H431" s="20" t="n">
        <v>81.71</v>
      </c>
      <c r="I431" s="20" t="n">
        <v>82.56</v>
      </c>
    </row>
    <row r="432" customFormat="false" ht="13.5" hidden="false" customHeight="true" outlineLevel="0" collapsed="false">
      <c r="A432" s="20" t="n">
        <v>501</v>
      </c>
      <c r="B432" s="20" t="s">
        <v>49</v>
      </c>
      <c r="C432" s="20" t="s">
        <v>22</v>
      </c>
      <c r="D432" s="20" t="n">
        <v>53</v>
      </c>
      <c r="E432" s="20" t="s">
        <v>28</v>
      </c>
      <c r="F432" s="20" t="n">
        <v>1</v>
      </c>
      <c r="G432" s="20" t="str">
        <f aca="false">CONCATENATE(B432, "-",C432, "-", D432, "-", F432)</f>
        <v>M0112-A-53-1</v>
      </c>
      <c r="H432" s="20" t="n">
        <v>83.21</v>
      </c>
      <c r="I432" s="20" t="n">
        <v>83.93</v>
      </c>
    </row>
    <row r="433" customFormat="false" ht="13.5" hidden="false" customHeight="true" outlineLevel="0" collapsed="false">
      <c r="A433" s="20" t="n">
        <v>501</v>
      </c>
      <c r="B433" s="20" t="s">
        <v>49</v>
      </c>
      <c r="C433" s="20" t="s">
        <v>22</v>
      </c>
      <c r="D433" s="20" t="n">
        <v>54</v>
      </c>
      <c r="E433" s="20" t="s">
        <v>28</v>
      </c>
      <c r="F433" s="20" t="n">
        <v>1</v>
      </c>
      <c r="G433" s="20" t="str">
        <f aca="false">CONCATENATE(B433, "-",C433, "-", D433, "-", F433)</f>
        <v>M0112-A-54-1</v>
      </c>
      <c r="H433" s="20" t="n">
        <v>86.21</v>
      </c>
      <c r="I433" s="20" t="n">
        <v>86.98</v>
      </c>
    </row>
    <row r="434" customFormat="false" ht="13.5" hidden="false" customHeight="true" outlineLevel="0" collapsed="false">
      <c r="A434" s="20" t="n">
        <v>501</v>
      </c>
      <c r="B434" s="20" t="s">
        <v>49</v>
      </c>
      <c r="C434" s="20" t="s">
        <v>22</v>
      </c>
      <c r="D434" s="20" t="n">
        <v>55</v>
      </c>
      <c r="E434" s="20" t="s">
        <v>28</v>
      </c>
      <c r="F434" s="20" t="n">
        <v>1</v>
      </c>
      <c r="G434" s="20" t="str">
        <f aca="false">CONCATENATE(B434, "-",C434, "-", D434, "-", F434)</f>
        <v>M0112-A-55-1</v>
      </c>
      <c r="H434" s="20" t="n">
        <v>87.71</v>
      </c>
      <c r="I434" s="20" t="n">
        <v>88.89</v>
      </c>
    </row>
    <row r="435" customFormat="false" ht="13.5" hidden="false" customHeight="true" outlineLevel="0" collapsed="false">
      <c r="A435" s="20" t="n">
        <v>501</v>
      </c>
      <c r="B435" s="20" t="s">
        <v>49</v>
      </c>
      <c r="C435" s="20" t="s">
        <v>22</v>
      </c>
      <c r="D435" s="20" t="n">
        <v>55</v>
      </c>
      <c r="E435" s="20" t="s">
        <v>28</v>
      </c>
      <c r="F435" s="20" t="n">
        <v>2</v>
      </c>
      <c r="G435" s="20" t="str">
        <f aca="false">CONCATENATE(B435, "-",C435, "-", D435, "-", F435)</f>
        <v>M0112-A-55-2</v>
      </c>
      <c r="H435" s="20" t="n">
        <v>88.89</v>
      </c>
      <c r="I435" s="20" t="n">
        <v>89.24</v>
      </c>
    </row>
    <row r="436" customFormat="false" ht="13.5" hidden="false" customHeight="true" outlineLevel="0" collapsed="false">
      <c r="A436" s="20" t="n">
        <v>501</v>
      </c>
      <c r="B436" s="20" t="s">
        <v>49</v>
      </c>
      <c r="C436" s="20" t="s">
        <v>22</v>
      </c>
      <c r="D436" s="20" t="n">
        <v>56</v>
      </c>
      <c r="E436" s="20" t="s">
        <v>28</v>
      </c>
      <c r="F436" s="20" t="n">
        <v>1</v>
      </c>
      <c r="G436" s="20" t="str">
        <f aca="false">CONCATENATE(B436, "-",C436, "-", D436, "-", F436)</f>
        <v>M0112-A-56-1</v>
      </c>
      <c r="H436" s="20" t="n">
        <v>89.21</v>
      </c>
      <c r="I436" s="20" t="n">
        <v>90.69</v>
      </c>
    </row>
    <row r="437" customFormat="false" ht="13.5" hidden="false" customHeight="true" outlineLevel="0" collapsed="false">
      <c r="A437" s="20" t="n">
        <v>501</v>
      </c>
      <c r="B437" s="20" t="s">
        <v>49</v>
      </c>
      <c r="C437" s="20" t="s">
        <v>22</v>
      </c>
      <c r="D437" s="20" t="n">
        <v>57</v>
      </c>
      <c r="E437" s="20" t="s">
        <v>28</v>
      </c>
      <c r="F437" s="20" t="n">
        <v>1</v>
      </c>
      <c r="G437" s="20" t="str">
        <f aca="false">CONCATENATE(B437, "-",C437, "-", D437, "-", F437)</f>
        <v>M0112-A-57-1</v>
      </c>
      <c r="H437" s="20" t="n">
        <v>90.71</v>
      </c>
      <c r="I437" s="20" t="n">
        <v>91.94</v>
      </c>
    </row>
    <row r="438" customFormat="false" ht="13.5" hidden="false" customHeight="true" outlineLevel="0" collapsed="false">
      <c r="A438" s="20" t="n">
        <v>501</v>
      </c>
      <c r="B438" s="20" t="s">
        <v>49</v>
      </c>
      <c r="C438" s="20" t="s">
        <v>22</v>
      </c>
      <c r="D438" s="20" t="n">
        <v>57</v>
      </c>
      <c r="E438" s="20" t="s">
        <v>28</v>
      </c>
      <c r="F438" s="20" t="n">
        <v>2</v>
      </c>
      <c r="G438" s="20" t="str">
        <f aca="false">CONCATENATE(B438, "-",C438, "-", D438, "-", F438)</f>
        <v>M0112-A-57-2</v>
      </c>
      <c r="H438" s="20" t="n">
        <v>91.94</v>
      </c>
      <c r="I438" s="20" t="n">
        <v>92.37</v>
      </c>
    </row>
    <row r="439" customFormat="false" ht="13.5" hidden="false" customHeight="true" outlineLevel="0" collapsed="false">
      <c r="A439" s="20" t="n">
        <v>501</v>
      </c>
      <c r="B439" s="20" t="s">
        <v>49</v>
      </c>
      <c r="C439" s="20" t="s">
        <v>22</v>
      </c>
      <c r="D439" s="20" t="n">
        <v>58</v>
      </c>
      <c r="E439" s="20" t="s">
        <v>28</v>
      </c>
      <c r="F439" s="20" t="n">
        <v>1</v>
      </c>
      <c r="G439" s="20" t="str">
        <f aca="false">CONCATENATE(B439, "-",C439, "-", D439, "-", F439)</f>
        <v>M0112-A-58-1</v>
      </c>
      <c r="H439" s="20" t="n">
        <v>92.21</v>
      </c>
      <c r="I439" s="20" t="n">
        <v>93.27</v>
      </c>
    </row>
    <row r="440" customFormat="false" ht="13.5" hidden="false" customHeight="true" outlineLevel="0" collapsed="false">
      <c r="A440" s="20" t="n">
        <v>501</v>
      </c>
      <c r="B440" s="20" t="s">
        <v>49</v>
      </c>
      <c r="C440" s="20" t="s">
        <v>22</v>
      </c>
      <c r="D440" s="20" t="n">
        <v>58</v>
      </c>
      <c r="E440" s="20" t="s">
        <v>28</v>
      </c>
      <c r="F440" s="20" t="n">
        <v>2</v>
      </c>
      <c r="G440" s="20" t="str">
        <f aca="false">CONCATENATE(B440, "-",C440, "-", D440, "-", F440)</f>
        <v>M0112-A-58-2</v>
      </c>
      <c r="H440" s="20" t="n">
        <v>93.27</v>
      </c>
      <c r="I440" s="20" t="n">
        <v>93.86</v>
      </c>
    </row>
    <row r="441" customFormat="false" ht="13.5" hidden="false" customHeight="true" outlineLevel="0" collapsed="false">
      <c r="A441" s="20" t="n">
        <v>501</v>
      </c>
      <c r="B441" s="20" t="s">
        <v>49</v>
      </c>
      <c r="C441" s="20" t="s">
        <v>22</v>
      </c>
      <c r="D441" s="20" t="n">
        <v>59</v>
      </c>
      <c r="E441" s="20" t="s">
        <v>28</v>
      </c>
      <c r="F441" s="20" t="n">
        <v>1</v>
      </c>
      <c r="G441" s="20" t="str">
        <f aca="false">CONCATENATE(B441, "-",C441, "-", D441, "-", F441)</f>
        <v>M0112-A-59-1</v>
      </c>
      <c r="H441" s="20" t="n">
        <v>93.71</v>
      </c>
      <c r="I441" s="20" t="n">
        <v>95.13</v>
      </c>
    </row>
    <row r="442" customFormat="false" ht="13.5" hidden="false" customHeight="true" outlineLevel="0" collapsed="false">
      <c r="A442" s="20" t="n">
        <v>501</v>
      </c>
      <c r="B442" s="20" t="s">
        <v>49</v>
      </c>
      <c r="C442" s="20" t="s">
        <v>22</v>
      </c>
      <c r="D442" s="20" t="n">
        <v>60</v>
      </c>
      <c r="E442" s="20" t="s">
        <v>28</v>
      </c>
      <c r="F442" s="20" t="n">
        <v>1</v>
      </c>
      <c r="G442" s="20" t="str">
        <f aca="false">CONCATENATE(B442, "-",C442, "-", D442, "-", F442)</f>
        <v>M0112-A-60-1</v>
      </c>
      <c r="H442" s="20" t="n">
        <v>95.21</v>
      </c>
      <c r="I442" s="20" t="n">
        <v>95.88</v>
      </c>
    </row>
    <row r="443" customFormat="false" ht="13.5" hidden="false" customHeight="true" outlineLevel="0" collapsed="false">
      <c r="A443" s="20" t="n">
        <v>501</v>
      </c>
      <c r="B443" s="20" t="s">
        <v>49</v>
      </c>
      <c r="C443" s="20" t="s">
        <v>22</v>
      </c>
      <c r="D443" s="20" t="n">
        <v>62</v>
      </c>
      <c r="E443" s="20" t="s">
        <v>23</v>
      </c>
      <c r="F443" s="20" t="n">
        <v>1</v>
      </c>
      <c r="G443" s="20" t="str">
        <f aca="false">CONCATENATE(B443, "-",C443, "-", D443, "-", F443)</f>
        <v>M0112-A-62-1</v>
      </c>
      <c r="H443" s="20" t="n">
        <v>97.41</v>
      </c>
      <c r="I443" s="20" t="n">
        <v>98.61</v>
      </c>
    </row>
    <row r="444" customFormat="false" ht="13.5" hidden="false" customHeight="true" outlineLevel="0" collapsed="false">
      <c r="A444" s="20" t="n">
        <v>501</v>
      </c>
      <c r="B444" s="20" t="s">
        <v>49</v>
      </c>
      <c r="C444" s="20" t="s">
        <v>22</v>
      </c>
      <c r="D444" s="20" t="n">
        <v>62</v>
      </c>
      <c r="E444" s="20" t="s">
        <v>23</v>
      </c>
      <c r="F444" s="20" t="n">
        <v>2</v>
      </c>
      <c r="G444" s="20" t="str">
        <f aca="false">CONCATENATE(B444, "-",C444, "-", D444, "-", F444)</f>
        <v>M0112-A-62-2</v>
      </c>
      <c r="H444" s="20" t="n">
        <v>98.61</v>
      </c>
      <c r="I444" s="20" t="n">
        <v>99.26</v>
      </c>
    </row>
    <row r="445" customFormat="false" ht="13.5" hidden="false" customHeight="true" outlineLevel="0" collapsed="false">
      <c r="A445" s="20" t="n">
        <v>501</v>
      </c>
      <c r="B445" s="20" t="s">
        <v>49</v>
      </c>
      <c r="C445" s="20" t="s">
        <v>22</v>
      </c>
      <c r="D445" s="20" t="n">
        <v>63</v>
      </c>
      <c r="E445" s="20" t="s">
        <v>28</v>
      </c>
      <c r="F445" s="20" t="n">
        <v>1</v>
      </c>
      <c r="G445" s="20" t="str">
        <f aca="false">CONCATENATE(B445, "-",C445, "-", D445, "-", F445)</f>
        <v>M0112-A-63-1</v>
      </c>
      <c r="H445" s="20" t="n">
        <v>98.86</v>
      </c>
      <c r="I445" s="20" t="n">
        <v>98.98</v>
      </c>
    </row>
    <row r="446" customFormat="false" ht="13.5" hidden="false" customHeight="true" outlineLevel="0" collapsed="false">
      <c r="A446" s="20" t="n">
        <v>501</v>
      </c>
      <c r="B446" s="20" t="s">
        <v>49</v>
      </c>
      <c r="C446" s="20" t="s">
        <v>22</v>
      </c>
      <c r="D446" s="20" t="n">
        <v>64</v>
      </c>
      <c r="E446" s="20" t="s">
        <v>28</v>
      </c>
      <c r="F446" s="20" t="n">
        <v>1</v>
      </c>
      <c r="G446" s="20" t="str">
        <f aca="false">CONCATENATE(B446, "-",C446, "-", D446, "-", F446)</f>
        <v>M0112-A-64-1</v>
      </c>
      <c r="H446" s="20" t="n">
        <v>99.46</v>
      </c>
      <c r="I446" s="20" t="n">
        <v>99.73</v>
      </c>
    </row>
    <row r="447" customFormat="false" ht="13.5" hidden="false" customHeight="true" outlineLevel="0" collapsed="false">
      <c r="A447" s="20" t="n">
        <v>501</v>
      </c>
      <c r="B447" s="20" t="s">
        <v>49</v>
      </c>
      <c r="C447" s="20" t="s">
        <v>22</v>
      </c>
      <c r="D447" s="20" t="n">
        <v>66</v>
      </c>
      <c r="E447" s="20" t="s">
        <v>23</v>
      </c>
      <c r="F447" s="20" t="n">
        <v>1</v>
      </c>
      <c r="G447" s="20" t="str">
        <f aca="false">CONCATENATE(B447, "-",C447, "-", D447, "-", F447)</f>
        <v>M0112-A-66-1</v>
      </c>
      <c r="H447" s="20" t="n">
        <v>102.21</v>
      </c>
      <c r="I447" s="20" t="n">
        <v>102.33</v>
      </c>
    </row>
    <row r="448" customFormat="false" ht="13.5" hidden="false" customHeight="true" outlineLevel="0" collapsed="false">
      <c r="A448" s="20" t="n">
        <v>501</v>
      </c>
      <c r="B448" s="20" t="s">
        <v>49</v>
      </c>
      <c r="C448" s="20" t="s">
        <v>22</v>
      </c>
      <c r="D448" s="20" t="n">
        <v>67</v>
      </c>
      <c r="E448" s="20" t="s">
        <v>23</v>
      </c>
      <c r="F448" s="20" t="n">
        <v>1</v>
      </c>
      <c r="G448" s="20" t="str">
        <f aca="false">CONCATENATE(B448, "-",C448, "-", D448, "-", F448)</f>
        <v>M0112-A-67-1</v>
      </c>
      <c r="H448" s="20" t="n">
        <v>102.33</v>
      </c>
      <c r="I448" s="20" t="n">
        <v>103.24</v>
      </c>
    </row>
    <row r="449" customFormat="false" ht="13.5" hidden="false" customHeight="true" outlineLevel="0" collapsed="false">
      <c r="A449" s="20" t="n">
        <v>501</v>
      </c>
      <c r="B449" s="20" t="s">
        <v>49</v>
      </c>
      <c r="C449" s="20" t="s">
        <v>22</v>
      </c>
      <c r="D449" s="20" t="n">
        <v>68</v>
      </c>
      <c r="E449" s="20" t="s">
        <v>23</v>
      </c>
      <c r="F449" s="20" t="n">
        <v>1</v>
      </c>
      <c r="G449" s="20" t="str">
        <f aca="false">CONCATENATE(B449, "-",C449, "-", D449, "-", F449)</f>
        <v>M0112-A-68-1</v>
      </c>
      <c r="H449" s="20" t="n">
        <v>103.24</v>
      </c>
      <c r="I449" s="20" t="n">
        <v>103.38</v>
      </c>
    </row>
    <row r="450" customFormat="false" ht="13.5" hidden="false" customHeight="true" outlineLevel="0" collapsed="false">
      <c r="A450" s="20" t="n">
        <v>501</v>
      </c>
      <c r="B450" s="20" t="s">
        <v>49</v>
      </c>
      <c r="C450" s="20" t="s">
        <v>22</v>
      </c>
      <c r="D450" s="20" t="n">
        <v>69</v>
      </c>
      <c r="E450" s="20" t="s">
        <v>28</v>
      </c>
      <c r="F450" s="20" t="n">
        <v>1</v>
      </c>
      <c r="G450" s="20" t="str">
        <f aca="false">CONCATENATE(B450, "-",C450, "-", D450, "-", F450)</f>
        <v>M0112-A-69-1</v>
      </c>
      <c r="H450" s="20" t="n">
        <v>103.38</v>
      </c>
      <c r="I450" s="20" t="n">
        <v>103.65</v>
      </c>
    </row>
    <row r="451" customFormat="false" ht="13.5" hidden="false" customHeight="true" outlineLevel="0" collapsed="false">
      <c r="A451" s="20" t="n">
        <v>501</v>
      </c>
      <c r="B451" s="20" t="s">
        <v>49</v>
      </c>
      <c r="C451" s="20" t="s">
        <v>22</v>
      </c>
      <c r="D451" s="20" t="n">
        <v>70</v>
      </c>
      <c r="E451" s="20" t="s">
        <v>28</v>
      </c>
      <c r="F451" s="20" t="n">
        <v>1</v>
      </c>
      <c r="G451" s="20" t="str">
        <f aca="false">CONCATENATE(B451, "-",C451, "-", D451, "-", F451)</f>
        <v>M0112-A-70-1</v>
      </c>
      <c r="H451" s="20" t="n">
        <v>104.28</v>
      </c>
      <c r="I451" s="20" t="n">
        <v>104.91</v>
      </c>
    </row>
    <row r="452" customFormat="false" ht="13.5" hidden="false" customHeight="true" outlineLevel="0" collapsed="false">
      <c r="A452" s="20" t="n">
        <v>501</v>
      </c>
      <c r="B452" s="20" t="s">
        <v>49</v>
      </c>
      <c r="C452" s="20" t="s">
        <v>22</v>
      </c>
      <c r="D452" s="20" t="n">
        <v>71</v>
      </c>
      <c r="E452" s="20" t="s">
        <v>28</v>
      </c>
      <c r="F452" s="20" t="n">
        <v>1</v>
      </c>
      <c r="G452" s="20" t="str">
        <f aca="false">CONCATENATE(B452, "-",C452, "-", D452, "-", F452)</f>
        <v>M0112-A-71-1</v>
      </c>
      <c r="H452" s="20" t="n">
        <v>107.21</v>
      </c>
      <c r="I452" s="20" t="n">
        <v>107.47</v>
      </c>
    </row>
    <row r="453" customFormat="false" ht="13.5" hidden="false" customHeight="true" outlineLevel="0" collapsed="false">
      <c r="A453" s="20" t="n">
        <v>501</v>
      </c>
      <c r="B453" s="20" t="s">
        <v>49</v>
      </c>
      <c r="C453" s="20" t="s">
        <v>22</v>
      </c>
      <c r="D453" s="20" t="n">
        <v>72</v>
      </c>
      <c r="E453" s="20" t="s">
        <v>23</v>
      </c>
      <c r="F453" s="20" t="n">
        <v>1</v>
      </c>
      <c r="G453" s="20" t="str">
        <f aca="false">CONCATENATE(B453, "-",C453, "-", D453, "-", F453)</f>
        <v>M0112-A-72-1</v>
      </c>
      <c r="H453" s="20" t="n">
        <v>110.21</v>
      </c>
      <c r="I453" s="20" t="n">
        <v>110.54</v>
      </c>
    </row>
    <row r="454" customFormat="false" ht="13.5" hidden="false" customHeight="true" outlineLevel="0" collapsed="false">
      <c r="A454" s="20" t="n">
        <v>501</v>
      </c>
      <c r="B454" s="20" t="s">
        <v>49</v>
      </c>
      <c r="C454" s="20" t="s">
        <v>22</v>
      </c>
      <c r="D454" s="20" t="n">
        <v>75</v>
      </c>
      <c r="E454" s="20" t="s">
        <v>23</v>
      </c>
      <c r="F454" s="20" t="n">
        <v>1</v>
      </c>
      <c r="G454" s="20" t="str">
        <f aca="false">CONCATENATE(B454, "-",C454, "-", D454, "-", F454)</f>
        <v>M0112-A-75-1</v>
      </c>
      <c r="H454" s="20" t="n">
        <v>113.21</v>
      </c>
      <c r="I454" s="20" t="n">
        <v>113.35</v>
      </c>
    </row>
    <row r="455" customFormat="false" ht="13.5" hidden="false" customHeight="true" outlineLevel="0" collapsed="false">
      <c r="A455" s="20" t="n">
        <v>501</v>
      </c>
      <c r="B455" s="20" t="s">
        <v>49</v>
      </c>
      <c r="C455" s="20" t="s">
        <v>22</v>
      </c>
      <c r="D455" s="20" t="n">
        <v>77</v>
      </c>
      <c r="E455" s="20" t="s">
        <v>23</v>
      </c>
      <c r="F455" s="20" t="n">
        <v>1</v>
      </c>
      <c r="G455" s="20" t="str">
        <f aca="false">CONCATENATE(B455, "-",C455, "-", D455, "-", F455)</f>
        <v>M0112-A-77-1</v>
      </c>
      <c r="H455" s="20" t="n">
        <v>115.21</v>
      </c>
      <c r="I455" s="20" t="n">
        <v>115.23</v>
      </c>
    </row>
    <row r="456" customFormat="false" ht="13.5" hidden="false" customHeight="true" outlineLevel="0" collapsed="false">
      <c r="A456" s="20" t="n">
        <v>501</v>
      </c>
      <c r="B456" s="20" t="s">
        <v>49</v>
      </c>
      <c r="C456" s="20" t="s">
        <v>22</v>
      </c>
      <c r="D456" s="20" t="n">
        <v>78</v>
      </c>
      <c r="E456" s="20" t="s">
        <v>23</v>
      </c>
      <c r="F456" s="20" t="n">
        <v>1</v>
      </c>
      <c r="G456" s="20" t="str">
        <f aca="false">CONCATENATE(B456, "-",C456, "-", D456, "-", F456)</f>
        <v>M0112-A-78-1</v>
      </c>
      <c r="H456" s="20" t="n">
        <v>115.21</v>
      </c>
      <c r="I456" s="20" t="n">
        <v>116.7</v>
      </c>
    </row>
    <row r="457" customFormat="false" ht="13.5" hidden="false" customHeight="true" outlineLevel="0" collapsed="false">
      <c r="A457" s="20" t="n">
        <v>501</v>
      </c>
      <c r="B457" s="20" t="s">
        <v>49</v>
      </c>
      <c r="C457" s="20" t="s">
        <v>22</v>
      </c>
      <c r="D457" s="20" t="n">
        <v>78</v>
      </c>
      <c r="E457" s="20" t="s">
        <v>23</v>
      </c>
      <c r="F457" s="20" t="n">
        <v>2</v>
      </c>
      <c r="G457" s="20" t="str">
        <f aca="false">CONCATENATE(B457, "-",C457, "-", D457, "-", F457)</f>
        <v>M0112-A-78-2</v>
      </c>
      <c r="H457" s="20" t="n">
        <v>116.7</v>
      </c>
      <c r="I457" s="20" t="n">
        <v>117.2</v>
      </c>
    </row>
    <row r="458" customFormat="false" ht="13.5" hidden="false" customHeight="true" outlineLevel="0" collapsed="false">
      <c r="A458" s="20" t="n">
        <v>501</v>
      </c>
      <c r="B458" s="20" t="s">
        <v>49</v>
      </c>
      <c r="C458" s="20" t="s">
        <v>22</v>
      </c>
      <c r="D458" s="20" t="n">
        <v>80</v>
      </c>
      <c r="E458" s="20" t="s">
        <v>23</v>
      </c>
      <c r="F458" s="20" t="n">
        <v>1</v>
      </c>
      <c r="G458" s="20" t="str">
        <f aca="false">CONCATENATE(B458, "-",C458, "-", D458, "-", F458)</f>
        <v>M0112-A-80-1</v>
      </c>
      <c r="H458" s="20" t="n">
        <v>117.2</v>
      </c>
      <c r="I458" s="20" t="n">
        <v>117.22</v>
      </c>
    </row>
    <row r="459" customFormat="false" ht="13.5" hidden="false" customHeight="true" outlineLevel="0" collapsed="false">
      <c r="A459" s="20" t="n">
        <v>501</v>
      </c>
      <c r="B459" s="20" t="s">
        <v>49</v>
      </c>
      <c r="C459" s="20" t="s">
        <v>22</v>
      </c>
      <c r="D459" s="20" t="n">
        <v>81</v>
      </c>
      <c r="E459" s="20" t="s">
        <v>28</v>
      </c>
      <c r="F459" s="20" t="n">
        <v>1</v>
      </c>
      <c r="G459" s="20" t="str">
        <f aca="false">CONCATENATE(B459, "-",C459, "-", D459, "-", F459)</f>
        <v>M0112-A-81-1</v>
      </c>
      <c r="H459" s="20" t="n">
        <v>117.2</v>
      </c>
      <c r="I459" s="20" t="n">
        <v>117.36</v>
      </c>
    </row>
    <row r="460" customFormat="false" ht="13.5" hidden="false" customHeight="true" outlineLevel="0" collapsed="false">
      <c r="A460" s="20" t="n">
        <v>501</v>
      </c>
      <c r="B460" s="20" t="s">
        <v>49</v>
      </c>
      <c r="C460" s="20" t="s">
        <v>22</v>
      </c>
      <c r="D460" s="20" t="n">
        <v>82</v>
      </c>
      <c r="E460" s="20" t="s">
        <v>23</v>
      </c>
      <c r="F460" s="20" t="n">
        <v>1</v>
      </c>
      <c r="G460" s="20" t="str">
        <f aca="false">CONCATENATE(B460, "-",C460, "-", D460, "-", F460)</f>
        <v>M0112-A-82-1</v>
      </c>
      <c r="H460" s="20" t="n">
        <v>119.21</v>
      </c>
      <c r="I460" s="20" t="n">
        <v>120.24</v>
      </c>
    </row>
    <row r="461" customFormat="false" ht="13.5" hidden="false" customHeight="true" outlineLevel="0" collapsed="false">
      <c r="A461" s="20" t="n">
        <v>501</v>
      </c>
      <c r="B461" s="20" t="s">
        <v>49</v>
      </c>
      <c r="C461" s="20" t="s">
        <v>22</v>
      </c>
      <c r="D461" s="20" t="n">
        <v>83</v>
      </c>
      <c r="E461" s="20" t="s">
        <v>23</v>
      </c>
      <c r="F461" s="20" t="n">
        <v>1</v>
      </c>
      <c r="G461" s="20" t="str">
        <f aca="false">CONCATENATE(B461, "-",C461, "-", D461, "-", F461)</f>
        <v>M0112-A-83-1</v>
      </c>
      <c r="H461" s="20" t="n">
        <v>120.24</v>
      </c>
      <c r="I461" s="20" t="n">
        <v>120.36</v>
      </c>
    </row>
    <row r="462" customFormat="false" ht="13.5" hidden="false" customHeight="true" outlineLevel="0" collapsed="false">
      <c r="A462" s="20" t="n">
        <v>501</v>
      </c>
      <c r="B462" s="20" t="s">
        <v>49</v>
      </c>
      <c r="C462" s="20" t="s">
        <v>22</v>
      </c>
      <c r="D462" s="20" t="n">
        <v>84</v>
      </c>
      <c r="E462" s="20" t="s">
        <v>23</v>
      </c>
      <c r="F462" s="20" t="n">
        <v>1</v>
      </c>
      <c r="G462" s="20" t="str">
        <f aca="false">CONCATENATE(B462, "-",C462, "-", D462, "-", F462)</f>
        <v>M0112-A-84-1</v>
      </c>
      <c r="H462" s="20" t="n">
        <v>120.36</v>
      </c>
      <c r="I462" s="20" t="n">
        <v>121.57</v>
      </c>
    </row>
    <row r="463" customFormat="false" ht="13.5" hidden="false" customHeight="true" outlineLevel="0" collapsed="false">
      <c r="A463" s="20" t="n">
        <v>501</v>
      </c>
      <c r="B463" s="20" t="s">
        <v>49</v>
      </c>
      <c r="C463" s="20" t="s">
        <v>22</v>
      </c>
      <c r="D463" s="20" t="n">
        <v>85</v>
      </c>
      <c r="E463" s="20" t="s">
        <v>23</v>
      </c>
      <c r="F463" s="20" t="n">
        <v>1</v>
      </c>
      <c r="G463" s="20" t="str">
        <f aca="false">CONCATENATE(B463, "-",C463, "-", D463, "-", F463)</f>
        <v>M0112-A-85-1</v>
      </c>
      <c r="H463" s="20" t="n">
        <v>121.57</v>
      </c>
      <c r="I463" s="20" t="n">
        <v>122.12</v>
      </c>
    </row>
    <row r="464" customFormat="false" ht="13.5" hidden="false" customHeight="true" outlineLevel="0" collapsed="false">
      <c r="A464" s="20" t="n">
        <v>501</v>
      </c>
      <c r="B464" s="20" t="s">
        <v>49</v>
      </c>
      <c r="C464" s="20" t="s">
        <v>22</v>
      </c>
      <c r="D464" s="20" t="n">
        <v>86</v>
      </c>
      <c r="E464" s="20" t="s">
        <v>23</v>
      </c>
      <c r="F464" s="20" t="n">
        <v>1</v>
      </c>
      <c r="G464" s="20" t="str">
        <f aca="false">CONCATENATE(B464, "-",C464, "-", D464, "-", F464)</f>
        <v>M0112-A-86-1</v>
      </c>
      <c r="H464" s="20" t="n">
        <v>122.12</v>
      </c>
      <c r="I464" s="20" t="n">
        <v>123.62</v>
      </c>
    </row>
    <row r="465" customFormat="false" ht="13.5" hidden="false" customHeight="true" outlineLevel="0" collapsed="false">
      <c r="A465" s="20" t="n">
        <v>501</v>
      </c>
      <c r="B465" s="20" t="s">
        <v>49</v>
      </c>
      <c r="C465" s="20" t="s">
        <v>22</v>
      </c>
      <c r="D465" s="20" t="n">
        <v>86</v>
      </c>
      <c r="E465" s="20" t="s">
        <v>23</v>
      </c>
      <c r="F465" s="20" t="n">
        <v>2</v>
      </c>
      <c r="G465" s="20" t="str">
        <f aca="false">CONCATENATE(B465, "-",C465, "-", D465, "-", F465)</f>
        <v>M0112-A-86-2</v>
      </c>
      <c r="H465" s="20" t="n">
        <v>123.62</v>
      </c>
      <c r="I465" s="20" t="n">
        <v>124.15</v>
      </c>
    </row>
    <row r="466" customFormat="false" ht="13.5" hidden="false" customHeight="true" outlineLevel="0" collapsed="false">
      <c r="A466" s="20" t="n">
        <v>501</v>
      </c>
      <c r="B466" s="20" t="s">
        <v>49</v>
      </c>
      <c r="C466" s="20" t="s">
        <v>22</v>
      </c>
      <c r="D466" s="20" t="n">
        <v>87</v>
      </c>
      <c r="E466" s="20" t="s">
        <v>23</v>
      </c>
      <c r="F466" s="20" t="n">
        <v>1</v>
      </c>
      <c r="G466" s="20" t="str">
        <f aca="false">CONCATENATE(B466, "-",C466, "-", D466, "-", F466)</f>
        <v>M0112-A-87-1</v>
      </c>
      <c r="H466" s="20" t="n">
        <v>124.15</v>
      </c>
      <c r="I466" s="20" t="n">
        <v>124.34</v>
      </c>
    </row>
    <row r="467" customFormat="false" ht="13.5" hidden="false" customHeight="true" outlineLevel="0" collapsed="false">
      <c r="A467" s="20" t="n">
        <v>501</v>
      </c>
      <c r="B467" s="20" t="s">
        <v>49</v>
      </c>
      <c r="C467" s="20" t="s">
        <v>22</v>
      </c>
      <c r="D467" s="20" t="n">
        <v>88</v>
      </c>
      <c r="E467" s="20" t="s">
        <v>23</v>
      </c>
      <c r="F467" s="20" t="n">
        <v>1</v>
      </c>
      <c r="G467" s="20" t="str">
        <f aca="false">CONCATENATE(B467, "-",C467, "-", D467, "-", F467)</f>
        <v>M0112-A-88-1</v>
      </c>
      <c r="H467" s="20" t="n">
        <v>124.34</v>
      </c>
      <c r="I467" s="20" t="n">
        <v>124.47</v>
      </c>
    </row>
    <row r="468" customFormat="false" ht="13.5" hidden="false" customHeight="true" outlineLevel="0" collapsed="false">
      <c r="A468" s="20" t="n">
        <v>501</v>
      </c>
      <c r="B468" s="20" t="s">
        <v>49</v>
      </c>
      <c r="C468" s="20" t="s">
        <v>22</v>
      </c>
      <c r="D468" s="20" t="n">
        <v>89</v>
      </c>
      <c r="E468" s="20" t="s">
        <v>23</v>
      </c>
      <c r="F468" s="20" t="n">
        <v>1</v>
      </c>
      <c r="G468" s="20" t="str">
        <f aca="false">CONCATENATE(B468, "-",C468, "-", D468, "-", F468)</f>
        <v>M0112-A-89-1</v>
      </c>
      <c r="H468" s="20" t="n">
        <v>124.47</v>
      </c>
      <c r="I468" s="20" t="n">
        <v>125.13</v>
      </c>
    </row>
    <row r="469" customFormat="false" ht="13.5" hidden="false" customHeight="true" outlineLevel="0" collapsed="false">
      <c r="A469" s="20" t="n">
        <v>501</v>
      </c>
      <c r="B469" s="20" t="s">
        <v>49</v>
      </c>
      <c r="C469" s="20" t="s">
        <v>22</v>
      </c>
      <c r="D469" s="20" t="n">
        <v>89</v>
      </c>
      <c r="E469" s="20" t="s">
        <v>23</v>
      </c>
      <c r="F469" s="20" t="n">
        <v>2</v>
      </c>
      <c r="G469" s="20" t="str">
        <f aca="false">CONCATENATE(B469, "-",C469, "-", D469, "-", F469)</f>
        <v>M0112-A-89-2</v>
      </c>
      <c r="H469" s="20" t="n">
        <v>125.13</v>
      </c>
      <c r="I469" s="20" t="n">
        <v>125.89</v>
      </c>
    </row>
    <row r="470" customFormat="false" ht="13.5" hidden="false" customHeight="true" outlineLevel="0" collapsed="false">
      <c r="A470" s="20" t="n">
        <v>501</v>
      </c>
      <c r="B470" s="20" t="s">
        <v>49</v>
      </c>
      <c r="C470" s="20" t="s">
        <v>22</v>
      </c>
      <c r="D470" s="20" t="n">
        <v>90</v>
      </c>
      <c r="E470" s="20" t="s">
        <v>23</v>
      </c>
      <c r="F470" s="20" t="n">
        <v>1</v>
      </c>
      <c r="G470" s="20" t="str">
        <f aca="false">CONCATENATE(B470, "-",C470, "-", D470, "-", F470)</f>
        <v>M0112-A-90-1</v>
      </c>
      <c r="H470" s="20" t="n">
        <v>125.89</v>
      </c>
      <c r="I470" s="20" t="n">
        <v>126.41</v>
      </c>
    </row>
    <row r="471" customFormat="false" ht="13.5" hidden="false" customHeight="true" outlineLevel="0" collapsed="false">
      <c r="A471" s="20" t="n">
        <v>501</v>
      </c>
      <c r="B471" s="20" t="s">
        <v>49</v>
      </c>
      <c r="C471" s="20" t="s">
        <v>22</v>
      </c>
      <c r="D471" s="20" t="n">
        <v>91</v>
      </c>
      <c r="E471" s="20" t="s">
        <v>23</v>
      </c>
      <c r="F471" s="20" t="n">
        <v>1</v>
      </c>
      <c r="G471" s="20" t="str">
        <f aca="false">CONCATENATE(B471, "-",C471, "-", D471, "-", F471)</f>
        <v>M0112-A-91-1</v>
      </c>
      <c r="H471" s="20" t="n">
        <v>126.41</v>
      </c>
      <c r="I471" s="20" t="n">
        <v>126.88</v>
      </c>
    </row>
    <row r="472" customFormat="false" ht="13.5" hidden="false" customHeight="true" outlineLevel="0" collapsed="false">
      <c r="A472" s="20" t="n">
        <v>501</v>
      </c>
      <c r="B472" s="20" t="s">
        <v>49</v>
      </c>
      <c r="C472" s="20" t="s">
        <v>22</v>
      </c>
      <c r="D472" s="20" t="n">
        <v>91</v>
      </c>
      <c r="E472" s="20" t="s">
        <v>23</v>
      </c>
      <c r="F472" s="20" t="n">
        <v>2</v>
      </c>
      <c r="G472" s="20" t="str">
        <f aca="false">CONCATENATE(B472, "-",C472, "-", D472, "-", F472)</f>
        <v>M0112-A-91-2</v>
      </c>
      <c r="H472" s="20" t="n">
        <v>126.88</v>
      </c>
      <c r="I472" s="20" t="n">
        <v>127.89</v>
      </c>
    </row>
    <row r="473" customFormat="false" ht="13.5" hidden="false" customHeight="true" outlineLevel="0" collapsed="false">
      <c r="A473" s="20" t="n">
        <v>501</v>
      </c>
      <c r="B473" s="20" t="s">
        <v>49</v>
      </c>
      <c r="C473" s="20" t="s">
        <v>22</v>
      </c>
      <c r="D473" s="20" t="n">
        <v>91</v>
      </c>
      <c r="E473" s="20" t="s">
        <v>23</v>
      </c>
      <c r="F473" s="20" t="n">
        <v>3</v>
      </c>
      <c r="G473" s="20" t="str">
        <f aca="false">CONCATENATE(B473, "-",C473, "-", D473, "-", F473)</f>
        <v>M0112-A-91-3</v>
      </c>
      <c r="H473" s="20" t="n">
        <v>127.89</v>
      </c>
      <c r="I473" s="20" t="n">
        <v>128.43</v>
      </c>
    </row>
    <row r="474" customFormat="false" ht="13.5" hidden="false" customHeight="true" outlineLevel="0" collapsed="false">
      <c r="A474" s="20" t="n">
        <v>501</v>
      </c>
      <c r="B474" s="20" t="s">
        <v>49</v>
      </c>
      <c r="C474" s="20" t="s">
        <v>22</v>
      </c>
      <c r="D474" s="20" t="n">
        <v>92</v>
      </c>
      <c r="E474" s="20" t="s">
        <v>23</v>
      </c>
      <c r="F474" s="20" t="n">
        <v>1</v>
      </c>
      <c r="G474" s="20" t="str">
        <f aca="false">CONCATENATE(B474, "-",C474, "-", D474, "-", F474)</f>
        <v>M0112-A-92-1</v>
      </c>
      <c r="H474" s="20" t="n">
        <v>128.43</v>
      </c>
      <c r="I474" s="20" t="n">
        <v>129.93</v>
      </c>
    </row>
    <row r="475" customFormat="false" ht="13.5" hidden="false" customHeight="true" outlineLevel="0" collapsed="false">
      <c r="A475" s="20" t="n">
        <v>501</v>
      </c>
      <c r="B475" s="20" t="s">
        <v>49</v>
      </c>
      <c r="C475" s="20" t="s">
        <v>22</v>
      </c>
      <c r="D475" s="20" t="n">
        <v>92</v>
      </c>
      <c r="E475" s="20" t="s">
        <v>23</v>
      </c>
      <c r="F475" s="20" t="n">
        <v>2</v>
      </c>
      <c r="G475" s="20" t="str">
        <f aca="false">CONCATENATE(B475, "-",C475, "-", D475, "-", F475)</f>
        <v>M0112-A-92-2</v>
      </c>
      <c r="H475" s="20" t="n">
        <v>129.93</v>
      </c>
      <c r="I475" s="20" t="n">
        <v>130.73</v>
      </c>
    </row>
    <row r="476" customFormat="false" ht="13.5" hidden="false" customHeight="true" outlineLevel="0" collapsed="false">
      <c r="A476" s="20" t="n">
        <v>501</v>
      </c>
      <c r="B476" s="20" t="s">
        <v>49</v>
      </c>
      <c r="C476" s="20" t="s">
        <v>22</v>
      </c>
      <c r="D476" s="20" t="n">
        <v>93</v>
      </c>
      <c r="E476" s="20" t="s">
        <v>23</v>
      </c>
      <c r="F476" s="20" t="n">
        <v>1</v>
      </c>
      <c r="G476" s="20" t="str">
        <f aca="false">CONCATENATE(B476, "-",C476, "-", D476, "-", F476)</f>
        <v>M0112-A-93-1</v>
      </c>
      <c r="H476" s="20" t="n">
        <v>130.73</v>
      </c>
      <c r="I476" s="20" t="n">
        <v>132.23</v>
      </c>
    </row>
    <row r="477" customFormat="false" ht="13.5" hidden="false" customHeight="true" outlineLevel="0" collapsed="false">
      <c r="A477" s="20" t="n">
        <v>501</v>
      </c>
      <c r="B477" s="20" t="s">
        <v>49</v>
      </c>
      <c r="C477" s="20" t="s">
        <v>22</v>
      </c>
      <c r="D477" s="20" t="n">
        <v>93</v>
      </c>
      <c r="E477" s="20" t="s">
        <v>23</v>
      </c>
      <c r="F477" s="20" t="n">
        <v>2</v>
      </c>
      <c r="G477" s="20" t="str">
        <f aca="false">CONCATENATE(B477, "-",C477, "-", D477, "-", F477)</f>
        <v>M0112-A-93-2</v>
      </c>
      <c r="H477" s="20" t="n">
        <v>132.23</v>
      </c>
      <c r="I477" s="20" t="n">
        <v>133.59</v>
      </c>
    </row>
    <row r="478" customFormat="false" ht="13.5" hidden="false" customHeight="true" outlineLevel="0" collapsed="false">
      <c r="A478" s="20" t="n">
        <v>501</v>
      </c>
      <c r="B478" s="20" t="s">
        <v>49</v>
      </c>
      <c r="C478" s="20" t="s">
        <v>22</v>
      </c>
      <c r="D478" s="20" t="n">
        <v>94</v>
      </c>
      <c r="E478" s="20" t="s">
        <v>23</v>
      </c>
      <c r="F478" s="20" t="n">
        <v>1</v>
      </c>
      <c r="G478" s="20" t="str">
        <f aca="false">CONCATENATE(B478, "-",C478, "-", D478, "-", F478)</f>
        <v>M0112-A-94-1</v>
      </c>
      <c r="H478" s="20" t="n">
        <v>133.59</v>
      </c>
      <c r="I478" s="20" t="n">
        <v>135.09</v>
      </c>
    </row>
    <row r="479" customFormat="false" ht="13.5" hidden="false" customHeight="true" outlineLevel="0" collapsed="false">
      <c r="A479" s="20" t="n">
        <v>501</v>
      </c>
      <c r="B479" s="20" t="s">
        <v>49</v>
      </c>
      <c r="C479" s="20" t="s">
        <v>22</v>
      </c>
      <c r="D479" s="20" t="n">
        <v>94</v>
      </c>
      <c r="E479" s="20" t="s">
        <v>23</v>
      </c>
      <c r="F479" s="20" t="n">
        <v>2</v>
      </c>
      <c r="G479" s="20" t="str">
        <f aca="false">CONCATENATE(B479, "-",C479, "-", D479, "-", F479)</f>
        <v>M0112-A-94-2</v>
      </c>
      <c r="H479" s="20" t="n">
        <v>135.09</v>
      </c>
      <c r="I479" s="20" t="n">
        <v>136.34</v>
      </c>
    </row>
    <row r="480" customFormat="false" ht="13.5" hidden="false" customHeight="true" outlineLevel="0" collapsed="false">
      <c r="A480" s="20" t="n">
        <v>501</v>
      </c>
      <c r="B480" s="20" t="s">
        <v>49</v>
      </c>
      <c r="C480" s="20" t="s">
        <v>22</v>
      </c>
      <c r="D480" s="20" t="n">
        <v>95</v>
      </c>
      <c r="E480" s="20" t="s">
        <v>23</v>
      </c>
      <c r="F480" s="20" t="n">
        <v>1</v>
      </c>
      <c r="G480" s="20" t="str">
        <f aca="false">CONCATENATE(B480, "-",C480, "-", D480, "-", F480)</f>
        <v>M0112-A-95-1</v>
      </c>
      <c r="H480" s="20" t="n">
        <v>136.24</v>
      </c>
      <c r="I480" s="20" t="n">
        <v>136.79</v>
      </c>
    </row>
    <row r="481" customFormat="false" ht="13.5" hidden="false" customHeight="true" outlineLevel="0" collapsed="false">
      <c r="A481" s="20" t="n">
        <v>501</v>
      </c>
      <c r="B481" s="20" t="s">
        <v>49</v>
      </c>
      <c r="C481" s="20" t="s">
        <v>22</v>
      </c>
      <c r="D481" s="20" t="n">
        <v>95</v>
      </c>
      <c r="E481" s="20" t="s">
        <v>23</v>
      </c>
      <c r="F481" s="20" t="n">
        <v>2</v>
      </c>
      <c r="G481" s="20" t="str">
        <f aca="false">CONCATENATE(B481, "-",C481, "-", D481, "-", F481)</f>
        <v>M0112-A-95-2</v>
      </c>
      <c r="H481" s="20" t="n">
        <v>136.79</v>
      </c>
      <c r="I481" s="20" t="n">
        <v>138.22</v>
      </c>
    </row>
    <row r="482" customFormat="false" ht="13.5" hidden="false" customHeight="true" outlineLevel="0" collapsed="false">
      <c r="A482" s="20" t="n">
        <v>501</v>
      </c>
      <c r="B482" s="20" t="s">
        <v>49</v>
      </c>
      <c r="C482" s="20" t="s">
        <v>22</v>
      </c>
      <c r="D482" s="20" t="n">
        <v>96</v>
      </c>
      <c r="E482" s="20" t="s">
        <v>23</v>
      </c>
      <c r="F482" s="20" t="n">
        <v>1</v>
      </c>
      <c r="G482" s="20" t="str">
        <f aca="false">CONCATENATE(B482, "-",C482, "-", D482, "-", F482)</f>
        <v>M0112-A-96-1</v>
      </c>
      <c r="H482" s="20" t="n">
        <v>138.22</v>
      </c>
      <c r="I482" s="20" t="n">
        <v>139.04</v>
      </c>
    </row>
    <row r="483" customFormat="false" ht="13.5" hidden="false" customHeight="true" outlineLevel="0" collapsed="false">
      <c r="A483" s="20" t="n">
        <v>501</v>
      </c>
      <c r="B483" s="20" t="s">
        <v>49</v>
      </c>
      <c r="C483" s="20" t="s">
        <v>22</v>
      </c>
      <c r="D483" s="20" t="n">
        <v>96</v>
      </c>
      <c r="E483" s="20" t="s">
        <v>23</v>
      </c>
      <c r="F483" s="20" t="n">
        <v>2</v>
      </c>
      <c r="G483" s="20" t="str">
        <f aca="false">CONCATENATE(B483, "-",C483, "-", D483, "-", F483)</f>
        <v>M0112-A-96-2</v>
      </c>
      <c r="H483" s="20" t="n">
        <v>139.04</v>
      </c>
      <c r="I483" s="20" t="n">
        <v>139.16</v>
      </c>
    </row>
    <row r="484" customFormat="false" ht="13.5" hidden="false" customHeight="true" outlineLevel="0" collapsed="false">
      <c r="A484" s="20" t="n">
        <v>501</v>
      </c>
      <c r="B484" s="20" t="s">
        <v>49</v>
      </c>
      <c r="C484" s="20" t="s">
        <v>22</v>
      </c>
      <c r="D484" s="20" t="n">
        <v>98</v>
      </c>
      <c r="E484" s="20" t="s">
        <v>23</v>
      </c>
      <c r="F484" s="20" t="n">
        <v>1</v>
      </c>
      <c r="G484" s="20" t="str">
        <f aca="false">CONCATENATE(B484, "-",C484, "-", D484, "-", F484)</f>
        <v>M0112-A-98-1</v>
      </c>
      <c r="H484" s="20" t="n">
        <v>140.21</v>
      </c>
      <c r="I484" s="20" t="n">
        <v>140.33</v>
      </c>
    </row>
    <row r="485" customFormat="false" ht="13.5" hidden="false" customHeight="true" outlineLevel="0" collapsed="false">
      <c r="A485" s="20" t="n">
        <v>501</v>
      </c>
      <c r="B485" s="20" t="s">
        <v>49</v>
      </c>
      <c r="C485" s="20" t="s">
        <v>22</v>
      </c>
      <c r="D485" s="20" t="n">
        <v>99</v>
      </c>
      <c r="E485" s="20" t="s">
        <v>28</v>
      </c>
      <c r="F485" s="20" t="n">
        <v>1</v>
      </c>
      <c r="G485" s="20" t="str">
        <f aca="false">CONCATENATE(B485, "-",C485, "-", D485, "-", F485)</f>
        <v>M0112-A-99-1</v>
      </c>
      <c r="H485" s="20" t="n">
        <v>141.21</v>
      </c>
      <c r="I485" s="20" t="n">
        <v>142.42</v>
      </c>
    </row>
    <row r="486" customFormat="false" ht="13.5" hidden="false" customHeight="true" outlineLevel="0" collapsed="false">
      <c r="A486" s="20" t="n">
        <v>501</v>
      </c>
      <c r="B486" s="20" t="s">
        <v>49</v>
      </c>
      <c r="C486" s="20" t="s">
        <v>22</v>
      </c>
      <c r="D486" s="20" t="n">
        <v>99</v>
      </c>
      <c r="E486" s="20" t="s">
        <v>28</v>
      </c>
      <c r="F486" s="20" t="n">
        <v>2</v>
      </c>
      <c r="G486" s="20" t="str">
        <f aca="false">CONCATENATE(B486, "-",C486, "-", D486, "-", F486)</f>
        <v>M0112-A-99-2</v>
      </c>
      <c r="H486" s="20" t="n">
        <v>142.42</v>
      </c>
      <c r="I486" s="20" t="n">
        <v>142.88</v>
      </c>
    </row>
    <row r="487" customFormat="false" ht="13.5" hidden="false" customHeight="true" outlineLevel="0" collapsed="false">
      <c r="A487" s="20" t="n">
        <v>501</v>
      </c>
      <c r="B487" s="20" t="s">
        <v>49</v>
      </c>
      <c r="C487" s="20" t="s">
        <v>22</v>
      </c>
      <c r="D487" s="20" t="n">
        <v>100</v>
      </c>
      <c r="E487" s="20" t="s">
        <v>28</v>
      </c>
      <c r="F487" s="20" t="n">
        <v>1</v>
      </c>
      <c r="G487" s="20" t="str">
        <f aca="false">CONCATENATE(B487, "-",C487, "-", D487, "-", F487)</f>
        <v>M0112-A-100-1</v>
      </c>
      <c r="H487" s="20" t="n">
        <v>142.21</v>
      </c>
      <c r="I487" s="20" t="n">
        <v>143.18</v>
      </c>
    </row>
    <row r="488" customFormat="false" ht="13.5" hidden="false" customHeight="true" outlineLevel="0" collapsed="false">
      <c r="A488" s="20" t="n">
        <v>501</v>
      </c>
      <c r="B488" s="20" t="s">
        <v>49</v>
      </c>
      <c r="C488" s="20" t="s">
        <v>22</v>
      </c>
      <c r="D488" s="20" t="n">
        <v>101</v>
      </c>
      <c r="E488" s="20" t="s">
        <v>28</v>
      </c>
      <c r="F488" s="20" t="n">
        <v>1</v>
      </c>
      <c r="G488" s="20" t="str">
        <f aca="false">CONCATENATE(B488, "-",C488, "-", D488, "-", F488)</f>
        <v>M0112-A-101-1</v>
      </c>
      <c r="H488" s="20" t="n">
        <v>143.21</v>
      </c>
      <c r="I488" s="20" t="n">
        <v>144.4</v>
      </c>
    </row>
    <row r="489" customFormat="false" ht="13.5" hidden="false" customHeight="true" outlineLevel="0" collapsed="false">
      <c r="A489" s="20" t="n">
        <v>501</v>
      </c>
      <c r="B489" s="20" t="s">
        <v>49</v>
      </c>
      <c r="C489" s="20" t="s">
        <v>22</v>
      </c>
      <c r="D489" s="20" t="n">
        <v>101</v>
      </c>
      <c r="E489" s="20" t="s">
        <v>28</v>
      </c>
      <c r="F489" s="20" t="n">
        <v>2</v>
      </c>
      <c r="G489" s="20" t="str">
        <f aca="false">CONCATENATE(B489, "-",C489, "-", D489, "-", F489)</f>
        <v>M0112-A-101-2</v>
      </c>
      <c r="H489" s="20" t="n">
        <v>144.4</v>
      </c>
      <c r="I489" s="20" t="n">
        <v>144.97</v>
      </c>
    </row>
    <row r="490" customFormat="false" ht="13.5" hidden="false" customHeight="true" outlineLevel="0" collapsed="false">
      <c r="A490" s="20" t="n">
        <v>501</v>
      </c>
      <c r="B490" s="20" t="s">
        <v>49</v>
      </c>
      <c r="C490" s="20" t="s">
        <v>22</v>
      </c>
      <c r="D490" s="20" t="n">
        <v>102</v>
      </c>
      <c r="E490" s="20" t="s">
        <v>28</v>
      </c>
      <c r="F490" s="20" t="n">
        <v>1</v>
      </c>
      <c r="G490" s="20" t="str">
        <f aca="false">CONCATENATE(B490, "-",C490, "-", D490, "-", F490)</f>
        <v>M0112-A-102-1</v>
      </c>
      <c r="H490" s="20" t="n">
        <v>146.21</v>
      </c>
      <c r="I490" s="20" t="n">
        <v>147.26</v>
      </c>
    </row>
    <row r="491" customFormat="false" ht="13.5" hidden="false" customHeight="true" outlineLevel="0" collapsed="false">
      <c r="A491" s="20" t="n">
        <v>501</v>
      </c>
      <c r="B491" s="20" t="s">
        <v>49</v>
      </c>
      <c r="C491" s="20" t="s">
        <v>22</v>
      </c>
      <c r="D491" s="20" t="n">
        <v>103</v>
      </c>
      <c r="E491" s="20" t="s">
        <v>28</v>
      </c>
      <c r="F491" s="20" t="n">
        <v>1</v>
      </c>
      <c r="G491" s="20" t="str">
        <f aca="false">CONCATENATE(B491, "-",C491, "-", D491, "-", F491)</f>
        <v>M0112-A-103-1</v>
      </c>
      <c r="H491" s="20" t="n">
        <v>148.21</v>
      </c>
      <c r="I491" s="20" t="n">
        <v>149.09</v>
      </c>
    </row>
    <row r="492" customFormat="false" ht="13.5" hidden="false" customHeight="true" outlineLevel="0" collapsed="false">
      <c r="A492" s="20" t="n">
        <v>501</v>
      </c>
      <c r="B492" s="20" t="s">
        <v>49</v>
      </c>
      <c r="C492" s="20" t="s">
        <v>22</v>
      </c>
      <c r="D492" s="20" t="n">
        <v>104</v>
      </c>
      <c r="E492" s="20" t="s">
        <v>28</v>
      </c>
      <c r="F492" s="20" t="n">
        <v>1</v>
      </c>
      <c r="G492" s="20" t="str">
        <f aca="false">CONCATENATE(B492, "-",C492, "-", D492, "-", F492)</f>
        <v>M0112-A-104-1</v>
      </c>
      <c r="H492" s="20" t="n">
        <v>150.21</v>
      </c>
      <c r="I492" s="20" t="n">
        <v>150.62</v>
      </c>
    </row>
    <row r="493" customFormat="false" ht="13.5" hidden="false" customHeight="true" outlineLevel="0" collapsed="false">
      <c r="A493" s="20" t="n">
        <v>501</v>
      </c>
      <c r="B493" s="20" t="s">
        <v>49</v>
      </c>
      <c r="C493" s="20" t="s">
        <v>22</v>
      </c>
      <c r="D493" s="20" t="n">
        <v>106</v>
      </c>
      <c r="E493" s="20" t="s">
        <v>23</v>
      </c>
      <c r="F493" s="20" t="n">
        <v>1</v>
      </c>
      <c r="G493" s="20" t="str">
        <f aca="false">CONCATENATE(B493, "-",C493, "-", D493, "-", F493)</f>
        <v>M0112-A-106-1</v>
      </c>
      <c r="H493" s="20" t="n">
        <v>153.36</v>
      </c>
      <c r="I493" s="20" t="n">
        <v>153.5</v>
      </c>
    </row>
    <row r="494" customFormat="false" ht="13.5" hidden="false" customHeight="true" outlineLevel="0" collapsed="false">
      <c r="A494" s="20" t="n">
        <v>501</v>
      </c>
      <c r="B494" s="20" t="s">
        <v>49</v>
      </c>
      <c r="C494" s="20" t="s">
        <v>22</v>
      </c>
      <c r="D494" s="20" t="n">
        <v>107</v>
      </c>
      <c r="E494" s="20" t="s">
        <v>23</v>
      </c>
      <c r="F494" s="20" t="n">
        <v>1</v>
      </c>
      <c r="G494" s="20" t="str">
        <f aca="false">CONCATENATE(B494, "-",C494, "-", D494, "-", F494)</f>
        <v>M0112-A-107-1</v>
      </c>
      <c r="H494" s="20" t="n">
        <v>153.5</v>
      </c>
      <c r="I494" s="20" t="n">
        <v>153.7</v>
      </c>
    </row>
    <row r="495" customFormat="false" ht="13.5" hidden="false" customHeight="true" outlineLevel="0" collapsed="false">
      <c r="A495" s="20" t="n">
        <v>501</v>
      </c>
      <c r="B495" s="20" t="s">
        <v>49</v>
      </c>
      <c r="C495" s="20" t="s">
        <v>22</v>
      </c>
      <c r="D495" s="20" t="n">
        <v>108</v>
      </c>
      <c r="E495" s="20" t="s">
        <v>28</v>
      </c>
      <c r="F495" s="20" t="n">
        <v>1</v>
      </c>
      <c r="G495" s="20" t="str">
        <f aca="false">CONCATENATE(B495, "-",C495, "-", D495, "-", F495)</f>
        <v>M0112-A-108-1</v>
      </c>
      <c r="H495" s="20" t="n">
        <v>153.7</v>
      </c>
      <c r="I495" s="20" t="n">
        <v>153.8</v>
      </c>
    </row>
    <row r="496" customFormat="false" ht="13.5" hidden="false" customHeight="true" outlineLevel="0" collapsed="false">
      <c r="A496" s="20" t="n">
        <v>501</v>
      </c>
      <c r="B496" s="20" t="s">
        <v>49</v>
      </c>
      <c r="C496" s="20" t="s">
        <v>22</v>
      </c>
      <c r="D496" s="20" t="n">
        <v>109</v>
      </c>
      <c r="E496" s="20" t="s">
        <v>23</v>
      </c>
      <c r="F496" s="20" t="n">
        <v>1</v>
      </c>
      <c r="G496" s="20" t="str">
        <f aca="false">CONCATENATE(B496, "-",C496, "-", D496, "-", F496)</f>
        <v>M0112-A-109-1</v>
      </c>
      <c r="H496" s="20" t="n">
        <v>155.21</v>
      </c>
      <c r="I496" s="20" t="n">
        <v>155.37</v>
      </c>
    </row>
    <row r="497" customFormat="false" ht="13.5" hidden="false" customHeight="true" outlineLevel="0" collapsed="false">
      <c r="A497" s="20" t="n">
        <v>501</v>
      </c>
      <c r="B497" s="20" t="s">
        <v>49</v>
      </c>
      <c r="C497" s="20" t="s">
        <v>22</v>
      </c>
      <c r="D497" s="20" t="n">
        <v>110</v>
      </c>
      <c r="E497" s="20" t="s">
        <v>23</v>
      </c>
      <c r="F497" s="20" t="n">
        <v>1</v>
      </c>
      <c r="G497" s="20" t="str">
        <f aca="false">CONCATENATE(B497, "-",C497, "-", D497, "-", F497)</f>
        <v>M0112-A-110-1</v>
      </c>
      <c r="H497" s="20" t="n">
        <v>155.37</v>
      </c>
      <c r="I497" s="20" t="n">
        <v>155.49</v>
      </c>
    </row>
    <row r="498" customFormat="false" ht="13.5" hidden="false" customHeight="true" outlineLevel="0" collapsed="false">
      <c r="A498" s="20" t="n">
        <v>501</v>
      </c>
      <c r="B498" s="20" t="s">
        <v>49</v>
      </c>
      <c r="C498" s="20" t="s">
        <v>22</v>
      </c>
      <c r="D498" s="20" t="n">
        <v>111</v>
      </c>
      <c r="E498" s="20" t="s">
        <v>23</v>
      </c>
      <c r="F498" s="20" t="n">
        <v>1</v>
      </c>
      <c r="G498" s="20" t="str">
        <f aca="false">CONCATENATE(B498, "-",C498, "-", D498, "-", F498)</f>
        <v>M0112-A-111-1</v>
      </c>
      <c r="H498" s="20" t="n">
        <v>155.49</v>
      </c>
      <c r="I498" s="20" t="n">
        <v>156.36</v>
      </c>
    </row>
    <row r="499" customFormat="false" ht="13.5" hidden="false" customHeight="true" outlineLevel="0" collapsed="false">
      <c r="A499" s="20" t="n">
        <v>501</v>
      </c>
      <c r="B499" s="20" t="s">
        <v>49</v>
      </c>
      <c r="C499" s="20" t="s">
        <v>22</v>
      </c>
      <c r="D499" s="20" t="n">
        <v>111</v>
      </c>
      <c r="E499" s="20" t="s">
        <v>23</v>
      </c>
      <c r="F499" s="20" t="n">
        <v>2</v>
      </c>
      <c r="G499" s="20" t="str">
        <f aca="false">CONCATENATE(B499, "-",C499, "-", D499, "-", F499)</f>
        <v>M0112-A-111-2</v>
      </c>
      <c r="H499" s="20" t="n">
        <v>156.36</v>
      </c>
      <c r="I499" s="20" t="n">
        <v>157.54</v>
      </c>
    </row>
    <row r="500" customFormat="false" ht="13.5" hidden="false" customHeight="true" outlineLevel="0" collapsed="false">
      <c r="A500" s="20" t="n">
        <v>501</v>
      </c>
      <c r="B500" s="20" t="s">
        <v>49</v>
      </c>
      <c r="C500" s="20" t="s">
        <v>22</v>
      </c>
      <c r="D500" s="20" t="n">
        <v>112</v>
      </c>
      <c r="E500" s="20" t="s">
        <v>23</v>
      </c>
      <c r="F500" s="20" t="n">
        <v>1</v>
      </c>
      <c r="G500" s="20" t="str">
        <f aca="false">CONCATENATE(B500, "-",C500, "-", D500, "-", F500)</f>
        <v>M0112-A-112-1</v>
      </c>
      <c r="H500" s="20" t="n">
        <v>157.54</v>
      </c>
      <c r="I500" s="20" t="n">
        <v>158.79</v>
      </c>
    </row>
    <row r="501" customFormat="false" ht="13.5" hidden="false" customHeight="true" outlineLevel="0" collapsed="false">
      <c r="A501" s="20" t="n">
        <v>501</v>
      </c>
      <c r="B501" s="20" t="s">
        <v>49</v>
      </c>
      <c r="C501" s="20" t="s">
        <v>22</v>
      </c>
      <c r="D501" s="20" t="n">
        <v>113</v>
      </c>
      <c r="E501" s="20" t="s">
        <v>23</v>
      </c>
      <c r="F501" s="20" t="n">
        <v>1</v>
      </c>
      <c r="G501" s="20" t="str">
        <f aca="false">CONCATENATE(B501, "-",C501, "-", D501, "-", F501)</f>
        <v>M0112-A-113-1</v>
      </c>
      <c r="H501" s="20" t="n">
        <v>158.79</v>
      </c>
      <c r="I501" s="20" t="n">
        <v>159.79</v>
      </c>
    </row>
    <row r="502" customFormat="false" ht="13.5" hidden="false" customHeight="true" outlineLevel="0" collapsed="false">
      <c r="A502" s="20" t="n">
        <v>501</v>
      </c>
      <c r="B502" s="20" t="s">
        <v>49</v>
      </c>
      <c r="C502" s="20" t="s">
        <v>22</v>
      </c>
      <c r="D502" s="20" t="n">
        <v>113</v>
      </c>
      <c r="E502" s="20" t="s">
        <v>23</v>
      </c>
      <c r="F502" s="20" t="n">
        <v>2</v>
      </c>
      <c r="G502" s="20" t="str">
        <f aca="false">CONCATENATE(B502, "-",C502, "-", D502, "-", F502)</f>
        <v>M0112-A-113-2</v>
      </c>
      <c r="H502" s="20" t="n">
        <v>159.79</v>
      </c>
      <c r="I502" s="20" t="n">
        <v>160.6</v>
      </c>
    </row>
    <row r="503" customFormat="false" ht="13.5" hidden="false" customHeight="true" outlineLevel="0" collapsed="false">
      <c r="A503" s="20" t="n">
        <v>501</v>
      </c>
      <c r="B503" s="20" t="s">
        <v>49</v>
      </c>
      <c r="C503" s="20" t="s">
        <v>22</v>
      </c>
      <c r="D503" s="20" t="n">
        <v>114</v>
      </c>
      <c r="E503" s="20" t="s">
        <v>23</v>
      </c>
      <c r="F503" s="20" t="n">
        <v>1</v>
      </c>
      <c r="G503" s="20" t="str">
        <f aca="false">CONCATENATE(B503, "-",C503, "-", D503, "-", F503)</f>
        <v>M0112-A-114-1</v>
      </c>
      <c r="H503" s="20" t="n">
        <v>160.6</v>
      </c>
      <c r="I503" s="20" t="n">
        <v>160.78</v>
      </c>
    </row>
    <row r="504" customFormat="false" ht="13.5" hidden="false" customHeight="true" outlineLevel="0" collapsed="false">
      <c r="A504" s="20" t="n">
        <v>501</v>
      </c>
      <c r="B504" s="20" t="s">
        <v>49</v>
      </c>
      <c r="C504" s="20" t="s">
        <v>22</v>
      </c>
      <c r="D504" s="20" t="n">
        <v>115</v>
      </c>
      <c r="E504" s="20" t="s">
        <v>23</v>
      </c>
      <c r="F504" s="20" t="n">
        <v>1</v>
      </c>
      <c r="G504" s="20" t="str">
        <f aca="false">CONCATENATE(B504, "-",C504, "-", D504, "-", F504)</f>
        <v>M0112-A-115-1</v>
      </c>
      <c r="H504" s="20" t="n">
        <v>160.78</v>
      </c>
      <c r="I504" s="20" t="n">
        <v>161.98</v>
      </c>
    </row>
    <row r="505" customFormat="false" ht="13.5" hidden="false" customHeight="true" outlineLevel="0" collapsed="false">
      <c r="A505" s="20" t="n">
        <v>501</v>
      </c>
      <c r="B505" s="20" t="s">
        <v>49</v>
      </c>
      <c r="C505" s="20" t="s">
        <v>22</v>
      </c>
      <c r="D505" s="20" t="n">
        <v>115</v>
      </c>
      <c r="E505" s="20" t="s">
        <v>23</v>
      </c>
      <c r="F505" s="20" t="n">
        <v>2</v>
      </c>
      <c r="G505" s="20" t="str">
        <f aca="false">CONCATENATE(B505, "-",C505, "-", D505, "-", F505)</f>
        <v>M0112-A-115-2</v>
      </c>
      <c r="H505" s="20" t="n">
        <v>161.98</v>
      </c>
      <c r="I505" s="20" t="n">
        <v>162.62</v>
      </c>
    </row>
    <row r="506" customFormat="false" ht="13.5" hidden="false" customHeight="true" outlineLevel="0" collapsed="false">
      <c r="A506" s="20" t="n">
        <v>501</v>
      </c>
      <c r="B506" s="20" t="s">
        <v>49</v>
      </c>
      <c r="C506" s="20" t="s">
        <v>22</v>
      </c>
      <c r="D506" s="20" t="n">
        <v>116</v>
      </c>
      <c r="E506" s="20" t="s">
        <v>23</v>
      </c>
      <c r="F506" s="20" t="n">
        <v>1</v>
      </c>
      <c r="G506" s="20" t="str">
        <f aca="false">CONCATENATE(B506, "-",C506, "-", D506, "-", F506)</f>
        <v>M0112-A-116-1</v>
      </c>
      <c r="H506" s="20" t="n">
        <v>162.62</v>
      </c>
      <c r="I506" s="20" t="n">
        <v>164.14</v>
      </c>
    </row>
    <row r="507" customFormat="false" ht="13.5" hidden="false" customHeight="true" outlineLevel="0" collapsed="false">
      <c r="A507" s="20" t="n">
        <v>501</v>
      </c>
      <c r="B507" s="20" t="s">
        <v>49</v>
      </c>
      <c r="C507" s="20" t="s">
        <v>22</v>
      </c>
      <c r="D507" s="20" t="n">
        <v>116</v>
      </c>
      <c r="E507" s="20" t="s">
        <v>23</v>
      </c>
      <c r="F507" s="20" t="n">
        <v>2</v>
      </c>
      <c r="G507" s="20" t="str">
        <f aca="false">CONCATENATE(B507, "-",C507, "-", D507, "-", F507)</f>
        <v>M0112-A-116-2</v>
      </c>
      <c r="H507" s="20" t="n">
        <v>164.14</v>
      </c>
      <c r="I507" s="20" t="n">
        <v>164.78</v>
      </c>
    </row>
    <row r="508" customFormat="false" ht="13.5" hidden="false" customHeight="true" outlineLevel="0" collapsed="false">
      <c r="A508" s="20" t="n">
        <v>501</v>
      </c>
      <c r="B508" s="20" t="s">
        <v>49</v>
      </c>
      <c r="C508" s="20" t="s">
        <v>22</v>
      </c>
      <c r="D508" s="20" t="n">
        <v>117</v>
      </c>
      <c r="E508" s="20" t="s">
        <v>23</v>
      </c>
      <c r="F508" s="20" t="n">
        <v>1</v>
      </c>
      <c r="G508" s="20" t="str">
        <f aca="false">CONCATENATE(B508, "-",C508, "-", D508, "-", F508)</f>
        <v>M0112-A-117-1</v>
      </c>
      <c r="H508" s="20" t="n">
        <v>164.78</v>
      </c>
      <c r="I508" s="20" t="n">
        <v>166.28</v>
      </c>
    </row>
    <row r="509" customFormat="false" ht="13.5" hidden="false" customHeight="true" outlineLevel="0" collapsed="false">
      <c r="A509" s="20" t="n">
        <v>501</v>
      </c>
      <c r="B509" s="20" t="s">
        <v>49</v>
      </c>
      <c r="C509" s="20" t="s">
        <v>22</v>
      </c>
      <c r="D509" s="20" t="n">
        <v>117</v>
      </c>
      <c r="E509" s="20" t="s">
        <v>23</v>
      </c>
      <c r="F509" s="20" t="n">
        <v>2</v>
      </c>
      <c r="G509" s="20" t="str">
        <f aca="false">CONCATENATE(B509, "-",C509, "-", D509, "-", F509)</f>
        <v>M0112-A-117-2</v>
      </c>
      <c r="H509" s="20" t="n">
        <v>166.28</v>
      </c>
      <c r="I509" s="20" t="n">
        <v>167.54</v>
      </c>
    </row>
    <row r="510" customFormat="false" ht="13.5" hidden="false" customHeight="true" outlineLevel="0" collapsed="false">
      <c r="A510" s="20" t="n">
        <v>501</v>
      </c>
      <c r="B510" s="20" t="s">
        <v>49</v>
      </c>
      <c r="C510" s="20" t="s">
        <v>22</v>
      </c>
      <c r="D510" s="20" t="n">
        <v>118</v>
      </c>
      <c r="E510" s="20" t="s">
        <v>23</v>
      </c>
      <c r="F510" s="20" t="n">
        <v>1</v>
      </c>
      <c r="G510" s="20" t="str">
        <f aca="false">CONCATENATE(B510, "-",C510, "-", D510, "-", F510)</f>
        <v>M0112-A-118-1</v>
      </c>
      <c r="H510" s="20" t="n">
        <v>167.54</v>
      </c>
      <c r="I510" s="20" t="n">
        <v>169.04</v>
      </c>
    </row>
    <row r="511" customFormat="false" ht="13.5" hidden="false" customHeight="true" outlineLevel="0" collapsed="false">
      <c r="A511" s="20" t="n">
        <v>501</v>
      </c>
      <c r="B511" s="20" t="s">
        <v>49</v>
      </c>
      <c r="C511" s="20" t="s">
        <v>22</v>
      </c>
      <c r="D511" s="20" t="n">
        <v>118</v>
      </c>
      <c r="E511" s="20" t="s">
        <v>23</v>
      </c>
      <c r="F511" s="20" t="n">
        <v>2</v>
      </c>
      <c r="G511" s="20" t="str">
        <f aca="false">CONCATENATE(B511, "-",C511, "-", D511, "-", F511)</f>
        <v>M0112-A-118-2</v>
      </c>
      <c r="H511" s="20" t="n">
        <v>169.04</v>
      </c>
      <c r="I511" s="20" t="n">
        <v>170.4</v>
      </c>
    </row>
    <row r="512" customFormat="false" ht="13.5" hidden="false" customHeight="true" outlineLevel="0" collapsed="false">
      <c r="A512" s="20" t="n">
        <v>501</v>
      </c>
      <c r="B512" s="20" t="s">
        <v>49</v>
      </c>
      <c r="C512" s="20" t="s">
        <v>22</v>
      </c>
      <c r="D512" s="20" t="n">
        <v>119</v>
      </c>
      <c r="E512" s="20" t="s">
        <v>23</v>
      </c>
      <c r="F512" s="20" t="n">
        <v>1</v>
      </c>
      <c r="G512" s="20" t="str">
        <f aca="false">CONCATENATE(B512, "-",C512, "-", D512, "-", F512)</f>
        <v>M0112-A-119-1</v>
      </c>
      <c r="H512" s="20" t="n">
        <v>170.4</v>
      </c>
      <c r="I512" s="20" t="n">
        <v>171.9</v>
      </c>
    </row>
    <row r="513" customFormat="false" ht="13.5" hidden="false" customHeight="true" outlineLevel="0" collapsed="false">
      <c r="A513" s="20" t="n">
        <v>501</v>
      </c>
      <c r="B513" s="20" t="s">
        <v>49</v>
      </c>
      <c r="C513" s="20" t="s">
        <v>22</v>
      </c>
      <c r="D513" s="20" t="n">
        <v>119</v>
      </c>
      <c r="E513" s="20" t="s">
        <v>23</v>
      </c>
      <c r="F513" s="20" t="n">
        <v>2</v>
      </c>
      <c r="G513" s="20" t="str">
        <f aca="false">CONCATENATE(B513, "-",C513, "-", D513, "-", F513)</f>
        <v>M0112-A-119-2</v>
      </c>
      <c r="H513" s="20" t="n">
        <v>171.9</v>
      </c>
      <c r="I513" s="20" t="n">
        <v>173.02</v>
      </c>
    </row>
    <row r="514" customFormat="false" ht="13.5" hidden="false" customHeight="true" outlineLevel="0" collapsed="false">
      <c r="A514" s="20" t="n">
        <v>501</v>
      </c>
      <c r="B514" s="20" t="s">
        <v>49</v>
      </c>
      <c r="C514" s="20" t="s">
        <v>22</v>
      </c>
      <c r="D514" s="20" t="n">
        <v>120</v>
      </c>
      <c r="E514" s="20" t="s">
        <v>23</v>
      </c>
      <c r="F514" s="20" t="n">
        <v>1</v>
      </c>
      <c r="G514" s="20" t="str">
        <f aca="false">CONCATENATE(B514, "-",C514, "-", D514, "-", F514)</f>
        <v>M0112-A-120-1</v>
      </c>
      <c r="H514" s="20" t="n">
        <v>173.02</v>
      </c>
      <c r="I514" s="20" t="n">
        <v>174.46</v>
      </c>
    </row>
    <row r="515" customFormat="false" ht="13.5" hidden="false" customHeight="true" outlineLevel="0" collapsed="false">
      <c r="A515" s="20" t="n">
        <v>501</v>
      </c>
      <c r="B515" s="20" t="s">
        <v>49</v>
      </c>
      <c r="C515" s="20" t="s">
        <v>22</v>
      </c>
      <c r="D515" s="20" t="n">
        <v>120</v>
      </c>
      <c r="E515" s="20" t="s">
        <v>23</v>
      </c>
      <c r="F515" s="20" t="n">
        <v>2</v>
      </c>
      <c r="G515" s="20" t="str">
        <f aca="false">CONCATENATE(B515, "-",C515, "-", D515, "-", F515)</f>
        <v>M0112-A-120-2</v>
      </c>
      <c r="H515" s="20" t="n">
        <v>174.46</v>
      </c>
      <c r="I515" s="20" t="n">
        <v>175.65</v>
      </c>
    </row>
    <row r="516" customFormat="false" ht="13.5" hidden="false" customHeight="true" outlineLevel="0" collapsed="false">
      <c r="A516" s="20" t="n">
        <v>501</v>
      </c>
      <c r="B516" s="20" t="s">
        <v>49</v>
      </c>
      <c r="C516" s="20" t="s">
        <v>22</v>
      </c>
      <c r="D516" s="20" t="n">
        <v>121</v>
      </c>
      <c r="E516" s="20" t="s">
        <v>23</v>
      </c>
      <c r="F516" s="20" t="n">
        <v>1</v>
      </c>
      <c r="G516" s="20" t="str">
        <f aca="false">CONCATENATE(B516, "-",C516, "-", D516, "-", F516)</f>
        <v>M0112-A-121-1</v>
      </c>
      <c r="H516" s="20" t="n">
        <v>175.65</v>
      </c>
      <c r="I516" s="20" t="n">
        <v>177.09</v>
      </c>
    </row>
    <row r="517" customFormat="false" ht="13.5" hidden="false" customHeight="true" outlineLevel="0" collapsed="false">
      <c r="A517" s="20" t="n">
        <v>501</v>
      </c>
      <c r="B517" s="20" t="s">
        <v>49</v>
      </c>
      <c r="C517" s="20" t="s">
        <v>22</v>
      </c>
      <c r="D517" s="20" t="n">
        <v>121</v>
      </c>
      <c r="E517" s="20" t="s">
        <v>23</v>
      </c>
      <c r="F517" s="20" t="n">
        <v>2</v>
      </c>
      <c r="G517" s="20" t="str">
        <f aca="false">CONCATENATE(B517, "-",C517, "-", D517, "-", F517)</f>
        <v>M0112-A-121-2</v>
      </c>
      <c r="H517" s="20" t="n">
        <v>177.09</v>
      </c>
      <c r="I517" s="20" t="n">
        <v>177.89</v>
      </c>
    </row>
    <row r="518" customFormat="false" ht="13.5" hidden="false" customHeight="true" outlineLevel="0" collapsed="false">
      <c r="A518" s="20" t="n">
        <v>501</v>
      </c>
      <c r="B518" s="20" t="s">
        <v>49</v>
      </c>
      <c r="C518" s="20" t="s">
        <v>22</v>
      </c>
      <c r="D518" s="20" t="n">
        <v>122</v>
      </c>
      <c r="E518" s="20" t="s">
        <v>23</v>
      </c>
      <c r="F518" s="20" t="n">
        <v>1</v>
      </c>
      <c r="G518" s="20" t="str">
        <f aca="false">CONCATENATE(B518, "-",C518, "-", D518, "-", F518)</f>
        <v>M0112-A-122-1</v>
      </c>
      <c r="H518" s="20" t="n">
        <v>177.89</v>
      </c>
      <c r="I518" s="20" t="n">
        <v>179.39</v>
      </c>
    </row>
    <row r="519" customFormat="false" ht="13.5" hidden="false" customHeight="true" outlineLevel="0" collapsed="false">
      <c r="A519" s="20" t="n">
        <v>501</v>
      </c>
      <c r="B519" s="20" t="s">
        <v>49</v>
      </c>
      <c r="C519" s="20" t="s">
        <v>22</v>
      </c>
      <c r="D519" s="20" t="n">
        <v>122</v>
      </c>
      <c r="E519" s="20" t="s">
        <v>23</v>
      </c>
      <c r="F519" s="20" t="n">
        <v>2</v>
      </c>
      <c r="G519" s="20" t="str">
        <f aca="false">CONCATENATE(B519, "-",C519, "-", D519, "-", F519)</f>
        <v>M0112-A-122-2</v>
      </c>
      <c r="H519" s="20" t="n">
        <v>179.39</v>
      </c>
      <c r="I519" s="20" t="n">
        <v>180.25</v>
      </c>
    </row>
    <row r="520" customFormat="false" ht="13.5" hidden="false" customHeight="true" outlineLevel="0" collapsed="false">
      <c r="A520" s="20" t="n">
        <v>501</v>
      </c>
      <c r="B520" s="20" t="s">
        <v>49</v>
      </c>
      <c r="C520" s="20" t="s">
        <v>22</v>
      </c>
      <c r="D520" s="20" t="n">
        <v>123</v>
      </c>
      <c r="E520" s="20" t="s">
        <v>23</v>
      </c>
      <c r="F520" s="20" t="n">
        <v>1</v>
      </c>
      <c r="G520" s="20" t="str">
        <f aca="false">CONCATENATE(B520, "-",C520, "-", D520, "-", F520)</f>
        <v>M0112-A-123-1</v>
      </c>
      <c r="H520" s="20" t="n">
        <v>180.25</v>
      </c>
      <c r="I520" s="20" t="n">
        <v>181.74</v>
      </c>
    </row>
    <row r="521" customFormat="false" ht="13.5" hidden="false" customHeight="true" outlineLevel="0" collapsed="false">
      <c r="A521" s="20" t="n">
        <v>501</v>
      </c>
      <c r="B521" s="20" t="s">
        <v>49</v>
      </c>
      <c r="C521" s="20" t="s">
        <v>22</v>
      </c>
      <c r="D521" s="20" t="n">
        <v>123</v>
      </c>
      <c r="E521" s="20" t="s">
        <v>23</v>
      </c>
      <c r="F521" s="20" t="n">
        <v>2</v>
      </c>
      <c r="G521" s="20" t="str">
        <f aca="false">CONCATENATE(B521, "-",C521, "-", D521, "-", F521)</f>
        <v>M0112-A-123-2</v>
      </c>
      <c r="H521" s="20" t="n">
        <v>181.74</v>
      </c>
      <c r="I521" s="20" t="n">
        <v>182.93</v>
      </c>
    </row>
    <row r="522" customFormat="false" ht="13.5" hidden="false" customHeight="true" outlineLevel="0" collapsed="false">
      <c r="A522" s="20" t="n">
        <v>501</v>
      </c>
      <c r="B522" s="20" t="s">
        <v>49</v>
      </c>
      <c r="C522" s="20" t="s">
        <v>22</v>
      </c>
      <c r="D522" s="20" t="n">
        <v>124</v>
      </c>
      <c r="E522" s="20" t="s">
        <v>23</v>
      </c>
      <c r="F522" s="20" t="n">
        <v>1</v>
      </c>
      <c r="G522" s="20" t="str">
        <f aca="false">CONCATENATE(B522, "-",C522, "-", D522, "-", F522)</f>
        <v>M0112-A-124-1</v>
      </c>
      <c r="H522" s="20" t="n">
        <v>182.93</v>
      </c>
      <c r="I522" s="20" t="n">
        <v>184.43</v>
      </c>
    </row>
    <row r="523" customFormat="false" ht="13.5" hidden="false" customHeight="true" outlineLevel="0" collapsed="false">
      <c r="A523" s="20" t="n">
        <v>501</v>
      </c>
      <c r="B523" s="20" t="s">
        <v>49</v>
      </c>
      <c r="C523" s="20" t="s">
        <v>22</v>
      </c>
      <c r="D523" s="20" t="n">
        <v>124</v>
      </c>
      <c r="E523" s="20" t="s">
        <v>23</v>
      </c>
      <c r="F523" s="20" t="n">
        <v>2</v>
      </c>
      <c r="G523" s="20" t="str">
        <f aca="false">CONCATENATE(B523, "-",C523, "-", D523, "-", F523)</f>
        <v>M0112-A-124-2</v>
      </c>
      <c r="H523" s="20" t="n">
        <v>184.43</v>
      </c>
      <c r="I523" s="20" t="n">
        <v>185.42</v>
      </c>
    </row>
    <row r="524" customFormat="false" ht="13.5" hidden="false" customHeight="true" outlineLevel="0" collapsed="false">
      <c r="A524" s="20" t="n">
        <v>501</v>
      </c>
      <c r="B524" s="20" t="s">
        <v>49</v>
      </c>
      <c r="C524" s="20" t="s">
        <v>22</v>
      </c>
      <c r="D524" s="20" t="n">
        <v>125</v>
      </c>
      <c r="E524" s="20" t="s">
        <v>23</v>
      </c>
      <c r="F524" s="20" t="n">
        <v>1</v>
      </c>
      <c r="G524" s="20" t="str">
        <f aca="false">CONCATENATE(B524, "-",C524, "-", D524, "-", F524)</f>
        <v>M0112-A-125-1</v>
      </c>
      <c r="H524" s="20" t="n">
        <v>185.42</v>
      </c>
      <c r="I524" s="20" t="n">
        <v>186.92</v>
      </c>
    </row>
    <row r="525" customFormat="false" ht="13.5" hidden="false" customHeight="true" outlineLevel="0" collapsed="false">
      <c r="A525" s="20" t="n">
        <v>501</v>
      </c>
      <c r="B525" s="20" t="s">
        <v>49</v>
      </c>
      <c r="C525" s="20" t="s">
        <v>22</v>
      </c>
      <c r="D525" s="20" t="n">
        <v>125</v>
      </c>
      <c r="E525" s="20" t="s">
        <v>23</v>
      </c>
      <c r="F525" s="20" t="n">
        <v>2</v>
      </c>
      <c r="G525" s="20" t="str">
        <f aca="false">CONCATENATE(B525, "-",C525, "-", D525, "-", F525)</f>
        <v>M0112-A-125-2</v>
      </c>
      <c r="H525" s="20" t="n">
        <v>186.92</v>
      </c>
      <c r="I525" s="20" t="n">
        <v>188.09</v>
      </c>
    </row>
    <row r="526" customFormat="false" ht="13.5" hidden="false" customHeight="true" outlineLevel="0" collapsed="false">
      <c r="A526" s="20" t="n">
        <v>501</v>
      </c>
      <c r="B526" s="20" t="s">
        <v>49</v>
      </c>
      <c r="C526" s="20" t="s">
        <v>22</v>
      </c>
      <c r="D526" s="20" t="n">
        <v>126</v>
      </c>
      <c r="E526" s="20" t="s">
        <v>23</v>
      </c>
      <c r="F526" s="20" t="n">
        <v>1</v>
      </c>
      <c r="G526" s="20" t="str">
        <f aca="false">CONCATENATE(B526, "-",C526, "-", D526, "-", F526)</f>
        <v>M0112-A-126-1</v>
      </c>
      <c r="H526" s="20" t="n">
        <v>197.88</v>
      </c>
      <c r="I526" s="20" t="n">
        <v>188.63</v>
      </c>
    </row>
    <row r="527" customFormat="false" ht="13.5" hidden="false" customHeight="true" outlineLevel="0" collapsed="false">
      <c r="A527" s="20" t="n">
        <v>501</v>
      </c>
      <c r="B527" s="20" t="s">
        <v>49</v>
      </c>
      <c r="C527" s="20" t="s">
        <v>22</v>
      </c>
      <c r="D527" s="20" t="n">
        <v>127</v>
      </c>
      <c r="E527" s="20" t="s">
        <v>23</v>
      </c>
      <c r="F527" s="20" t="n">
        <v>1</v>
      </c>
      <c r="G527" s="20" t="str">
        <f aca="false">CONCATENATE(B527, "-",C527, "-", D527, "-", F527)</f>
        <v>M0112-A-127-1</v>
      </c>
      <c r="H527" s="20" t="n">
        <v>188.63</v>
      </c>
      <c r="I527" s="20" t="n">
        <v>190.13</v>
      </c>
    </row>
    <row r="528" customFormat="false" ht="13.5" hidden="false" customHeight="true" outlineLevel="0" collapsed="false">
      <c r="A528" s="20" t="n">
        <v>501</v>
      </c>
      <c r="B528" s="20" t="s">
        <v>49</v>
      </c>
      <c r="C528" s="20" t="s">
        <v>22</v>
      </c>
      <c r="D528" s="20" t="n">
        <v>127</v>
      </c>
      <c r="E528" s="20" t="s">
        <v>23</v>
      </c>
      <c r="F528" s="20" t="n">
        <v>2</v>
      </c>
      <c r="G528" s="20" t="str">
        <f aca="false">CONCATENATE(B528, "-",C528, "-", D528, "-", F528)</f>
        <v>M0112-A-127-2</v>
      </c>
      <c r="H528" s="20" t="n">
        <v>190.13</v>
      </c>
      <c r="I528" s="20" t="n">
        <v>191.38</v>
      </c>
    </row>
    <row r="529" customFormat="false" ht="13.5" hidden="false" customHeight="true" outlineLevel="0" collapsed="false">
      <c r="A529" s="20" t="n">
        <v>501</v>
      </c>
      <c r="B529" s="20" t="s">
        <v>49</v>
      </c>
      <c r="C529" s="20" t="s">
        <v>22</v>
      </c>
      <c r="D529" s="20" t="n">
        <v>128</v>
      </c>
      <c r="E529" s="20" t="s">
        <v>23</v>
      </c>
      <c r="F529" s="20" t="n">
        <v>1</v>
      </c>
      <c r="G529" s="20" t="str">
        <f aca="false">CONCATENATE(B529, "-",C529, "-", D529, "-", F529)</f>
        <v>M0112-A-128-1</v>
      </c>
      <c r="H529" s="20" t="n">
        <v>191.38</v>
      </c>
      <c r="I529" s="20" t="n">
        <v>192.7</v>
      </c>
    </row>
    <row r="530" customFormat="false" ht="13.5" hidden="false" customHeight="true" outlineLevel="0" collapsed="false">
      <c r="A530" s="20" t="n">
        <v>501</v>
      </c>
      <c r="B530" s="20" t="s">
        <v>49</v>
      </c>
      <c r="C530" s="20" t="s">
        <v>22</v>
      </c>
      <c r="D530" s="20" t="n">
        <v>128</v>
      </c>
      <c r="E530" s="20" t="s">
        <v>23</v>
      </c>
      <c r="F530" s="20" t="n">
        <v>2</v>
      </c>
      <c r="G530" s="20" t="str">
        <f aca="false">CONCATENATE(B530, "-",C530, "-", D530, "-", F530)</f>
        <v>M0112-A-128-2</v>
      </c>
      <c r="H530" s="20" t="n">
        <v>192.7</v>
      </c>
      <c r="I530" s="20" t="n">
        <v>192.88</v>
      </c>
    </row>
    <row r="531" customFormat="false" ht="13.5" hidden="false" customHeight="true" outlineLevel="0" collapsed="false">
      <c r="A531" s="20" t="n">
        <v>501</v>
      </c>
      <c r="B531" s="20" t="s">
        <v>49</v>
      </c>
      <c r="C531" s="20" t="s">
        <v>22</v>
      </c>
      <c r="D531" s="20" t="n">
        <v>129</v>
      </c>
      <c r="E531" s="20" t="s">
        <v>23</v>
      </c>
      <c r="F531" s="20" t="n">
        <v>1</v>
      </c>
      <c r="G531" s="20" t="str">
        <f aca="false">CONCATENATE(B531, "-",C531, "-", D531, "-", F531)</f>
        <v>M0112-A-129-1</v>
      </c>
      <c r="H531" s="20" t="n">
        <v>192.88</v>
      </c>
      <c r="I531" s="20" t="n">
        <v>193.73</v>
      </c>
    </row>
    <row r="532" customFormat="false" ht="13.5" hidden="false" customHeight="true" outlineLevel="0" collapsed="false">
      <c r="A532" s="20" t="n">
        <v>501</v>
      </c>
      <c r="B532" s="20" t="s">
        <v>49</v>
      </c>
      <c r="C532" s="20" t="s">
        <v>22</v>
      </c>
      <c r="D532" s="20" t="n">
        <v>130</v>
      </c>
      <c r="E532" s="20" t="s">
        <v>23</v>
      </c>
      <c r="F532" s="20" t="n">
        <v>1</v>
      </c>
      <c r="G532" s="20" t="str">
        <f aca="false">CONCATENATE(B532, "-",C532, "-", D532, "-", F532)</f>
        <v>M0112-A-130-1</v>
      </c>
      <c r="H532" s="20" t="n">
        <v>193.73</v>
      </c>
      <c r="I532" s="20" t="n">
        <v>194.25</v>
      </c>
    </row>
    <row r="533" customFormat="false" ht="13.5" hidden="false" customHeight="true" outlineLevel="0" collapsed="false">
      <c r="A533" s="20" t="n">
        <v>501</v>
      </c>
      <c r="B533" s="20" t="s">
        <v>49</v>
      </c>
      <c r="C533" s="20" t="s">
        <v>22</v>
      </c>
      <c r="D533" s="20" t="n">
        <v>131</v>
      </c>
      <c r="E533" s="20" t="s">
        <v>28</v>
      </c>
      <c r="F533" s="20" t="n">
        <v>1</v>
      </c>
      <c r="G533" s="20" t="str">
        <f aca="false">CONCATENATE(B533, "-",C533, "-", D533, "-", F533)</f>
        <v>M0112-A-131-1</v>
      </c>
      <c r="H533" s="20" t="n">
        <v>194.25</v>
      </c>
      <c r="I533" s="20" t="n">
        <v>195.14</v>
      </c>
    </row>
    <row r="534" customFormat="false" ht="13.5" hidden="false" customHeight="true" outlineLevel="0" collapsed="false">
      <c r="A534" s="20" t="n">
        <v>501</v>
      </c>
      <c r="B534" s="20" t="s">
        <v>49</v>
      </c>
      <c r="C534" s="20" t="s">
        <v>22</v>
      </c>
      <c r="D534" s="20" t="n">
        <v>132</v>
      </c>
      <c r="E534" s="20" t="s">
        <v>28</v>
      </c>
      <c r="F534" s="20" t="n">
        <v>1</v>
      </c>
      <c r="G534" s="20" t="str">
        <f aca="false">CONCATENATE(B534, "-",C534, "-", D534, "-", F534)</f>
        <v>M0112-A-132-1</v>
      </c>
      <c r="H534" s="20" t="n">
        <v>195.21</v>
      </c>
      <c r="I534" s="20" t="n">
        <v>196.71</v>
      </c>
    </row>
    <row r="535" customFormat="false" ht="13.5" hidden="false" customHeight="true" outlineLevel="0" collapsed="false">
      <c r="A535" s="20" t="n">
        <v>501</v>
      </c>
      <c r="B535" s="20" t="s">
        <v>49</v>
      </c>
      <c r="C535" s="20" t="s">
        <v>22</v>
      </c>
      <c r="D535" s="20" t="n">
        <v>132</v>
      </c>
      <c r="E535" s="20" t="s">
        <v>28</v>
      </c>
      <c r="F535" s="20" t="n">
        <v>2</v>
      </c>
      <c r="G535" s="20" t="str">
        <f aca="false">CONCATENATE(B535, "-",C535, "-", D535, "-", F535)</f>
        <v>M0112-A-132-2</v>
      </c>
      <c r="H535" s="20" t="n">
        <v>196.71</v>
      </c>
      <c r="I535" s="20" t="n">
        <v>197.21</v>
      </c>
    </row>
    <row r="536" customFormat="false" ht="13.5" hidden="false" customHeight="true" outlineLevel="0" collapsed="false">
      <c r="A536" s="20" t="n">
        <v>501</v>
      </c>
      <c r="B536" s="20" t="s">
        <v>49</v>
      </c>
      <c r="C536" s="20" t="s">
        <v>22</v>
      </c>
      <c r="D536" s="20" t="n">
        <v>133</v>
      </c>
      <c r="E536" s="20" t="s">
        <v>28</v>
      </c>
      <c r="F536" s="20" t="n">
        <v>1</v>
      </c>
      <c r="G536" s="20" t="str">
        <f aca="false">CONCATENATE(B536, "-",C536, "-", D536, "-", F536)</f>
        <v>M0112-A-133-1</v>
      </c>
      <c r="H536" s="20" t="n">
        <v>197.21</v>
      </c>
      <c r="I536" s="20" t="n">
        <v>197.81</v>
      </c>
    </row>
    <row r="537" customFormat="false" ht="13.5" hidden="false" customHeight="true" outlineLevel="0" collapsed="false">
      <c r="A537" s="20" t="n">
        <v>501</v>
      </c>
      <c r="B537" s="20" t="s">
        <v>49</v>
      </c>
      <c r="C537" s="20" t="s">
        <v>22</v>
      </c>
      <c r="D537" s="20" t="n">
        <v>133</v>
      </c>
      <c r="E537" s="20" t="s">
        <v>28</v>
      </c>
      <c r="F537" s="20" t="n">
        <v>2</v>
      </c>
      <c r="G537" s="20" t="str">
        <f aca="false">CONCATENATE(B537, "-",C537, "-", D537, "-", F537)</f>
        <v>M0112-A-133-2</v>
      </c>
      <c r="H537" s="20" t="n">
        <v>197.81</v>
      </c>
      <c r="I537" s="20" t="n">
        <v>198.36</v>
      </c>
    </row>
    <row r="538" customFormat="false" ht="13.5" hidden="false" customHeight="true" outlineLevel="0" collapsed="false">
      <c r="A538" s="20" t="n">
        <v>501</v>
      </c>
      <c r="B538" s="20" t="s">
        <v>49</v>
      </c>
      <c r="C538" s="20" t="s">
        <v>22</v>
      </c>
      <c r="D538" s="20" t="n">
        <v>134</v>
      </c>
      <c r="E538" s="20" t="s">
        <v>28</v>
      </c>
      <c r="F538" s="20" t="n">
        <v>1</v>
      </c>
      <c r="G538" s="20" t="str">
        <f aca="false">CONCATENATE(B538, "-",C538, "-", D538, "-", F538)</f>
        <v>M0112-A-134-1</v>
      </c>
      <c r="H538" s="20" t="n">
        <v>200.21</v>
      </c>
      <c r="I538" s="20" t="n">
        <v>200.55</v>
      </c>
    </row>
    <row r="539" customFormat="false" ht="13.5" hidden="false" customHeight="true" outlineLevel="0" collapsed="false">
      <c r="A539" s="20" t="n">
        <v>501</v>
      </c>
      <c r="B539" s="20" t="s">
        <v>49</v>
      </c>
      <c r="C539" s="20" t="s">
        <v>22</v>
      </c>
      <c r="D539" s="20" t="n">
        <v>136</v>
      </c>
      <c r="E539" s="20" t="s">
        <v>23</v>
      </c>
      <c r="F539" s="20" t="n">
        <v>1</v>
      </c>
      <c r="G539" s="20" t="str">
        <f aca="false">CONCATENATE(B539, "-",C539, "-", D539, "-", F539)</f>
        <v>M0112-A-136-1</v>
      </c>
      <c r="H539" s="20" t="n">
        <v>203.21</v>
      </c>
      <c r="I539" s="20" t="n">
        <v>204.78</v>
      </c>
    </row>
    <row r="540" customFormat="false" ht="13.5" hidden="false" customHeight="true" outlineLevel="0" collapsed="false">
      <c r="A540" s="20" t="n">
        <v>501</v>
      </c>
      <c r="B540" s="20" t="s">
        <v>49</v>
      </c>
      <c r="C540" s="20" t="s">
        <v>22</v>
      </c>
      <c r="D540" s="20" t="n">
        <v>136</v>
      </c>
      <c r="E540" s="20" t="s">
        <v>23</v>
      </c>
      <c r="F540" s="20" t="n">
        <v>2</v>
      </c>
      <c r="G540" s="20" t="str">
        <f aca="false">CONCATENATE(B540, "-",C540, "-", D540, "-", F540)</f>
        <v>M0112-A-136-2</v>
      </c>
      <c r="H540" s="20" t="n">
        <v>204.78</v>
      </c>
      <c r="I540" s="20" t="n">
        <v>205.28</v>
      </c>
    </row>
    <row r="541" customFormat="false" ht="13.5" hidden="false" customHeight="true" outlineLevel="0" collapsed="false">
      <c r="A541" s="20" t="n">
        <v>501</v>
      </c>
      <c r="B541" s="20" t="s">
        <v>49</v>
      </c>
      <c r="C541" s="20" t="s">
        <v>22</v>
      </c>
      <c r="D541" s="20" t="n">
        <v>137</v>
      </c>
      <c r="E541" s="20" t="s">
        <v>23</v>
      </c>
      <c r="F541" s="20" t="n">
        <v>1</v>
      </c>
      <c r="G541" s="20" t="str">
        <f aca="false">CONCATENATE(B541, "-",C541, "-", D541, "-", F541)</f>
        <v>M0112-A-137-1</v>
      </c>
      <c r="H541" s="20" t="n">
        <v>205.28</v>
      </c>
      <c r="I541" s="20" t="n">
        <v>206.2</v>
      </c>
    </row>
    <row r="542" customFormat="false" ht="13.5" hidden="false" customHeight="true" outlineLevel="0" collapsed="false">
      <c r="A542" s="20" t="n">
        <v>501</v>
      </c>
      <c r="B542" s="20" t="s">
        <v>49</v>
      </c>
      <c r="C542" s="20" t="s">
        <v>22</v>
      </c>
      <c r="D542" s="20" t="n">
        <v>137</v>
      </c>
      <c r="E542" s="20" t="s">
        <v>23</v>
      </c>
      <c r="F542" s="20" t="n">
        <v>2</v>
      </c>
      <c r="G542" s="20" t="str">
        <f aca="false">CONCATENATE(B542, "-",C542, "-", D542, "-", F542)</f>
        <v>M0112-A-137-2</v>
      </c>
      <c r="H542" s="20" t="n">
        <v>206.2</v>
      </c>
      <c r="I542" s="20" t="n">
        <v>207.71</v>
      </c>
    </row>
    <row r="543" customFormat="false" ht="13.5" hidden="false" customHeight="true" outlineLevel="0" collapsed="false">
      <c r="A543" s="20" t="n">
        <v>501</v>
      </c>
      <c r="B543" s="20" t="s">
        <v>49</v>
      </c>
      <c r="C543" s="20" t="s">
        <v>22</v>
      </c>
      <c r="D543" s="20" t="n">
        <v>138</v>
      </c>
      <c r="E543" s="20" t="s">
        <v>23</v>
      </c>
      <c r="F543" s="20" t="n">
        <v>1</v>
      </c>
      <c r="G543" s="20" t="str">
        <f aca="false">CONCATENATE(B543, "-",C543, "-", D543, "-", F543)</f>
        <v>M0112-A-138-1</v>
      </c>
      <c r="H543" s="20" t="n">
        <v>207.71</v>
      </c>
      <c r="I543" s="20" t="n">
        <v>208.14</v>
      </c>
    </row>
    <row r="544" customFormat="false" ht="13.5" hidden="false" customHeight="true" outlineLevel="0" collapsed="false">
      <c r="A544" s="20" t="n">
        <v>501</v>
      </c>
      <c r="B544" s="20" t="s">
        <v>49</v>
      </c>
      <c r="C544" s="20" t="s">
        <v>22</v>
      </c>
      <c r="D544" s="20" t="n">
        <v>139</v>
      </c>
      <c r="E544" s="20" t="s">
        <v>23</v>
      </c>
      <c r="F544" s="20" t="n">
        <v>1</v>
      </c>
      <c r="G544" s="20" t="str">
        <f aca="false">CONCATENATE(B544, "-",C544, "-", D544, "-", F544)</f>
        <v>M0112-A-139-1</v>
      </c>
      <c r="H544" s="20" t="n">
        <v>208.14</v>
      </c>
      <c r="I544" s="20" t="n">
        <v>209.64</v>
      </c>
    </row>
    <row r="545" customFormat="false" ht="13.5" hidden="false" customHeight="true" outlineLevel="0" collapsed="false">
      <c r="A545" s="20" t="n">
        <v>501</v>
      </c>
      <c r="B545" s="20" t="s">
        <v>49</v>
      </c>
      <c r="C545" s="20" t="s">
        <v>22</v>
      </c>
      <c r="D545" s="20" t="n">
        <v>139</v>
      </c>
      <c r="E545" s="20" t="s">
        <v>23</v>
      </c>
      <c r="F545" s="20" t="n">
        <v>2</v>
      </c>
      <c r="G545" s="20" t="str">
        <f aca="false">CONCATENATE(B545, "-",C545, "-", D545, "-", F545)</f>
        <v>M0112-A-139-2</v>
      </c>
      <c r="H545" s="20" t="n">
        <v>209.64</v>
      </c>
      <c r="I545" s="20" t="n">
        <v>210.33</v>
      </c>
    </row>
    <row r="546" customFormat="false" ht="13.5" hidden="false" customHeight="true" outlineLevel="0" collapsed="false">
      <c r="A546" s="20" t="n">
        <v>501</v>
      </c>
      <c r="B546" s="20" t="s">
        <v>49</v>
      </c>
      <c r="C546" s="20" t="s">
        <v>22</v>
      </c>
      <c r="D546" s="20" t="n">
        <v>140</v>
      </c>
      <c r="E546" s="20" t="s">
        <v>23</v>
      </c>
      <c r="F546" s="20" t="n">
        <v>1</v>
      </c>
      <c r="G546" s="20" t="str">
        <f aca="false">CONCATENATE(B546, "-",C546, "-", D546, "-", F546)</f>
        <v>M0112-A-140-1</v>
      </c>
      <c r="H546" s="20" t="n">
        <v>210.33</v>
      </c>
      <c r="I546" s="20" t="n">
        <v>211.83</v>
      </c>
    </row>
    <row r="547" customFormat="false" ht="13.5" hidden="false" customHeight="true" outlineLevel="0" collapsed="false">
      <c r="A547" s="20" t="n">
        <v>501</v>
      </c>
      <c r="B547" s="20" t="s">
        <v>49</v>
      </c>
      <c r="C547" s="20" t="s">
        <v>22</v>
      </c>
      <c r="D547" s="20" t="n">
        <v>140</v>
      </c>
      <c r="E547" s="20" t="s">
        <v>23</v>
      </c>
      <c r="F547" s="20" t="n">
        <v>2</v>
      </c>
      <c r="G547" s="20" t="str">
        <f aca="false">CONCATENATE(B547, "-",C547, "-", D547, "-", F547)</f>
        <v>M0112-A-140-2</v>
      </c>
      <c r="H547" s="20" t="n">
        <v>211.83</v>
      </c>
      <c r="I547" s="20" t="n">
        <v>212.68</v>
      </c>
    </row>
    <row r="548" customFormat="false" ht="13.5" hidden="false" customHeight="true" outlineLevel="0" collapsed="false">
      <c r="A548" s="20" t="n">
        <v>501</v>
      </c>
      <c r="B548" s="20" t="s">
        <v>49</v>
      </c>
      <c r="C548" s="20" t="s">
        <v>22</v>
      </c>
      <c r="D548" s="20" t="n">
        <v>141</v>
      </c>
      <c r="E548" s="20" t="s">
        <v>23</v>
      </c>
      <c r="F548" s="20" t="n">
        <v>1</v>
      </c>
      <c r="G548" s="20" t="str">
        <f aca="false">CONCATENATE(B548, "-",C548, "-", D548, "-", F548)</f>
        <v>M0112-A-141-1</v>
      </c>
      <c r="H548" s="20" t="n">
        <v>212.68</v>
      </c>
      <c r="I548" s="20" t="n">
        <v>214.18</v>
      </c>
    </row>
    <row r="549" customFormat="false" ht="13.5" hidden="false" customHeight="true" outlineLevel="0" collapsed="false">
      <c r="A549" s="20" t="n">
        <v>501</v>
      </c>
      <c r="B549" s="20" t="s">
        <v>49</v>
      </c>
      <c r="C549" s="20" t="s">
        <v>22</v>
      </c>
      <c r="D549" s="20" t="n">
        <v>141</v>
      </c>
      <c r="E549" s="20" t="s">
        <v>23</v>
      </c>
      <c r="F549" s="20" t="n">
        <v>2</v>
      </c>
      <c r="G549" s="20" t="str">
        <f aca="false">CONCATENATE(B549, "-",C549, "-", D549, "-", F549)</f>
        <v>M0112-A-141-2</v>
      </c>
      <c r="H549" s="20" t="n">
        <v>214.18</v>
      </c>
      <c r="I549" s="20" t="n">
        <v>215.34</v>
      </c>
    </row>
    <row r="550" customFormat="false" ht="13.5" hidden="false" customHeight="true" outlineLevel="0" collapsed="false">
      <c r="A550" s="20" t="n">
        <v>501</v>
      </c>
      <c r="B550" s="20" t="s">
        <v>49</v>
      </c>
      <c r="C550" s="20" t="s">
        <v>22</v>
      </c>
      <c r="D550" s="20" t="n">
        <v>142</v>
      </c>
      <c r="E550" s="20" t="s">
        <v>23</v>
      </c>
      <c r="F550" s="20" t="n">
        <v>1</v>
      </c>
      <c r="G550" s="20" t="str">
        <f aca="false">CONCATENATE(B550, "-",C550, "-", D550, "-", F550)</f>
        <v>M0112-A-142-1</v>
      </c>
      <c r="H550" s="20" t="n">
        <v>215.34</v>
      </c>
      <c r="I550" s="20" t="n">
        <v>216.11</v>
      </c>
    </row>
    <row r="551" customFormat="false" ht="13.5" hidden="false" customHeight="true" outlineLevel="0" collapsed="false">
      <c r="A551" s="20" t="n">
        <v>501</v>
      </c>
      <c r="B551" s="20" t="s">
        <v>49</v>
      </c>
      <c r="C551" s="20" t="s">
        <v>22</v>
      </c>
      <c r="D551" s="20" t="n">
        <v>143</v>
      </c>
      <c r="E551" s="20" t="s">
        <v>28</v>
      </c>
      <c r="F551" s="20" t="n">
        <v>1</v>
      </c>
      <c r="G551" s="20" t="str">
        <f aca="false">CONCATENATE(B551, "-",C551, "-", D551, "-", F551)</f>
        <v>M0112-A-143-1</v>
      </c>
      <c r="H551" s="20" t="n">
        <v>216.11</v>
      </c>
      <c r="I551" s="20" t="n">
        <v>216.66</v>
      </c>
    </row>
    <row r="552" customFormat="false" ht="13.5" hidden="false" customHeight="true" outlineLevel="0" collapsed="false">
      <c r="A552" s="20" t="n">
        <v>501</v>
      </c>
      <c r="B552" s="20" t="s">
        <v>49</v>
      </c>
      <c r="C552" s="20" t="s">
        <v>22</v>
      </c>
      <c r="D552" s="20" t="n">
        <v>144</v>
      </c>
      <c r="E552" s="20" t="s">
        <v>28</v>
      </c>
      <c r="F552" s="20" t="n">
        <v>1</v>
      </c>
      <c r="G552" s="20" t="str">
        <f aca="false">CONCATENATE(B552, "-",C552, "-", D552, "-", F552)</f>
        <v>M0112-A-144-1</v>
      </c>
      <c r="H552" s="20" t="n">
        <v>216.36</v>
      </c>
      <c r="I552" s="20" t="n">
        <v>217.36</v>
      </c>
    </row>
    <row r="553" customFormat="false" ht="13.5" hidden="false" customHeight="true" outlineLevel="0" collapsed="false">
      <c r="A553" s="20" t="n">
        <v>501</v>
      </c>
      <c r="B553" s="20" t="s">
        <v>49</v>
      </c>
      <c r="C553" s="20" t="s">
        <v>22</v>
      </c>
      <c r="D553" s="20" t="n">
        <v>144</v>
      </c>
      <c r="E553" s="20" t="s">
        <v>28</v>
      </c>
      <c r="F553" s="20" t="n">
        <v>2</v>
      </c>
      <c r="G553" s="20" t="str">
        <f aca="false">CONCATENATE(B553, "-",C553, "-", D553, "-", F553)</f>
        <v>M0112-A-144-2</v>
      </c>
      <c r="H553" s="20" t="n">
        <v>217.36</v>
      </c>
      <c r="I553" s="20" t="n">
        <v>218.18</v>
      </c>
    </row>
    <row r="554" customFormat="false" ht="13.5" hidden="false" customHeight="true" outlineLevel="0" collapsed="false">
      <c r="A554" s="20" t="n">
        <v>501</v>
      </c>
      <c r="B554" s="20" t="s">
        <v>49</v>
      </c>
      <c r="C554" s="20" t="s">
        <v>22</v>
      </c>
      <c r="D554" s="20" t="n">
        <v>145</v>
      </c>
      <c r="E554" s="20" t="s">
        <v>28</v>
      </c>
      <c r="F554" s="20" t="n">
        <v>1</v>
      </c>
      <c r="G554" s="20" t="str">
        <f aca="false">CONCATENATE(B554, "-",C554, "-", D554, "-", F554)</f>
        <v>M0112-A-145-1</v>
      </c>
      <c r="H554" s="20" t="n">
        <v>218.21</v>
      </c>
      <c r="I554" s="20" t="n">
        <v>218.96</v>
      </c>
    </row>
    <row r="555" customFormat="false" ht="13.5" hidden="false" customHeight="true" outlineLevel="0" collapsed="false">
      <c r="A555" s="20" t="n">
        <v>501</v>
      </c>
      <c r="B555" s="20" t="s">
        <v>49</v>
      </c>
      <c r="C555" s="20" t="s">
        <v>22</v>
      </c>
      <c r="D555" s="20" t="n">
        <v>145</v>
      </c>
      <c r="E555" s="20" t="s">
        <v>28</v>
      </c>
      <c r="F555" s="20" t="n">
        <v>2</v>
      </c>
      <c r="G555" s="20" t="str">
        <f aca="false">CONCATENATE(B555, "-",C555, "-", D555, "-", F555)</f>
        <v>M0112-A-145-2</v>
      </c>
      <c r="H555" s="20" t="n">
        <v>218.96</v>
      </c>
      <c r="I555" s="20" t="n">
        <v>219.49</v>
      </c>
    </row>
    <row r="556" customFormat="false" ht="13.5" hidden="false" customHeight="true" outlineLevel="0" collapsed="false">
      <c r="A556" s="20" t="n">
        <v>501</v>
      </c>
      <c r="B556" s="20" t="s">
        <v>49</v>
      </c>
      <c r="C556" s="20" t="s">
        <v>22</v>
      </c>
      <c r="D556" s="20" t="n">
        <v>145</v>
      </c>
      <c r="E556" s="20" t="s">
        <v>28</v>
      </c>
      <c r="F556" s="20" t="n">
        <v>3</v>
      </c>
      <c r="G556" s="20" t="str">
        <f aca="false">CONCATENATE(B556, "-",C556, "-", D556, "-", F556)</f>
        <v>M0112-A-145-3</v>
      </c>
      <c r="H556" s="20" t="n">
        <v>219.49</v>
      </c>
      <c r="I556" s="20" t="n">
        <v>219.58</v>
      </c>
    </row>
    <row r="557" customFormat="false" ht="13.5" hidden="false" customHeight="true" outlineLevel="0" collapsed="false">
      <c r="A557" s="20" t="n">
        <v>501</v>
      </c>
      <c r="B557" s="20" t="s">
        <v>49</v>
      </c>
      <c r="C557" s="20" t="s">
        <v>22</v>
      </c>
      <c r="D557" s="20" t="n">
        <v>146</v>
      </c>
      <c r="E557" s="20" t="s">
        <v>28</v>
      </c>
      <c r="F557" s="20" t="n">
        <v>1</v>
      </c>
      <c r="G557" s="20" t="str">
        <f aca="false">CONCATENATE(B557, "-",C557, "-", D557, "-", F557)</f>
        <v>M0112-A-146-1</v>
      </c>
      <c r="H557" s="20" t="n">
        <v>219.61</v>
      </c>
      <c r="I557" s="20" t="n">
        <v>219.62</v>
      </c>
    </row>
    <row r="558" customFormat="false" ht="13.5" hidden="false" customHeight="true" outlineLevel="0" collapsed="false">
      <c r="A558" s="20" t="n">
        <v>501</v>
      </c>
      <c r="B558" s="20" t="s">
        <v>49</v>
      </c>
      <c r="C558" s="20" t="s">
        <v>22</v>
      </c>
      <c r="D558" s="20" t="n">
        <v>147</v>
      </c>
      <c r="E558" s="20" t="s">
        <v>28</v>
      </c>
      <c r="F558" s="20" t="n">
        <v>1</v>
      </c>
      <c r="G558" s="20" t="str">
        <f aca="false">CONCATENATE(B558, "-",C558, "-", D558, "-", F558)</f>
        <v>M0112-A-147-1</v>
      </c>
      <c r="H558" s="20" t="n">
        <v>219.81</v>
      </c>
      <c r="I558" s="20" t="n">
        <v>220.06</v>
      </c>
    </row>
    <row r="559" customFormat="false" ht="13.5" hidden="false" customHeight="true" outlineLevel="0" collapsed="false">
      <c r="A559" s="20" t="n">
        <v>501</v>
      </c>
      <c r="B559" s="20" t="s">
        <v>49</v>
      </c>
      <c r="C559" s="20" t="s">
        <v>22</v>
      </c>
      <c r="D559" s="20" t="n">
        <v>148</v>
      </c>
      <c r="E559" s="20" t="s">
        <v>28</v>
      </c>
      <c r="F559" s="20" t="n">
        <v>1</v>
      </c>
      <c r="G559" s="20" t="str">
        <f aca="false">CONCATENATE(B559, "-",C559, "-", D559, "-", F559)</f>
        <v>M0112-A-148-1</v>
      </c>
      <c r="H559" s="20" t="n">
        <v>221.21</v>
      </c>
      <c r="I559" s="20" t="n">
        <v>221.42</v>
      </c>
    </row>
    <row r="560" customFormat="false" ht="13.5" hidden="false" customHeight="true" outlineLevel="0" collapsed="false">
      <c r="A560" s="20" t="n">
        <v>501</v>
      </c>
      <c r="B560" s="20" t="s">
        <v>49</v>
      </c>
      <c r="C560" s="20" t="s">
        <v>22</v>
      </c>
      <c r="D560" s="20" t="n">
        <v>149</v>
      </c>
      <c r="E560" s="20" t="s">
        <v>28</v>
      </c>
      <c r="F560" s="20" t="n">
        <v>1</v>
      </c>
      <c r="G560" s="20" t="str">
        <f aca="false">CONCATENATE(B560, "-",C560, "-", D560, "-", F560)</f>
        <v>M0112-A-149-1</v>
      </c>
      <c r="H560" s="20" t="n">
        <v>223.21</v>
      </c>
      <c r="I560" s="20" t="n">
        <v>223.23</v>
      </c>
    </row>
    <row r="561" customFormat="false" ht="13.5" hidden="false" customHeight="true" outlineLevel="0" collapsed="false">
      <c r="A561" s="20" t="n">
        <v>501</v>
      </c>
      <c r="B561" s="20" t="s">
        <v>49</v>
      </c>
      <c r="C561" s="20" t="s">
        <v>22</v>
      </c>
      <c r="D561" s="20" t="n">
        <v>150</v>
      </c>
      <c r="E561" s="20" t="s">
        <v>23</v>
      </c>
      <c r="F561" s="20" t="n">
        <v>1</v>
      </c>
      <c r="G561" s="20" t="str">
        <f aca="false">CONCATENATE(B561, "-",C561, "-", D561, "-", F561)</f>
        <v>M0112-A-150-1</v>
      </c>
      <c r="H561" s="20" t="n">
        <v>224.21</v>
      </c>
      <c r="I561" s="20" t="n">
        <v>224.66</v>
      </c>
    </row>
    <row r="562" customFormat="false" ht="13.5" hidden="false" customHeight="true" outlineLevel="0" collapsed="false">
      <c r="A562" s="20" t="n">
        <v>501</v>
      </c>
      <c r="B562" s="20" t="s">
        <v>49</v>
      </c>
      <c r="C562" s="20" t="s">
        <v>22</v>
      </c>
      <c r="D562" s="20" t="n">
        <v>151</v>
      </c>
      <c r="E562" s="20" t="s">
        <v>28</v>
      </c>
      <c r="F562" s="20" t="n">
        <v>1</v>
      </c>
      <c r="G562" s="20" t="str">
        <f aca="false">CONCATENATE(B562, "-",C562, "-", D562, "-", F562)</f>
        <v>M0112-A-151-1</v>
      </c>
      <c r="H562" s="20" t="n">
        <v>224.66</v>
      </c>
      <c r="I562" s="20" t="n">
        <v>225.92</v>
      </c>
    </row>
    <row r="563" customFormat="false" ht="13.5" hidden="false" customHeight="true" outlineLevel="0" collapsed="false">
      <c r="A563" s="20" t="n">
        <v>501</v>
      </c>
      <c r="B563" s="20" t="s">
        <v>49</v>
      </c>
      <c r="C563" s="20" t="s">
        <v>22</v>
      </c>
      <c r="D563" s="20" t="n">
        <v>152</v>
      </c>
      <c r="E563" s="20" t="s">
        <v>28</v>
      </c>
      <c r="F563" s="20" t="n">
        <v>1</v>
      </c>
      <c r="G563" s="20" t="str">
        <f aca="false">CONCATENATE(B563, "-",C563, "-", D563, "-", F563)</f>
        <v>M0112-A-152-1</v>
      </c>
      <c r="H563" s="20" t="n">
        <v>225.66</v>
      </c>
      <c r="I563" s="20" t="n">
        <v>225.94</v>
      </c>
    </row>
    <row r="564" customFormat="false" ht="13.5" hidden="false" customHeight="true" outlineLevel="0" collapsed="false">
      <c r="A564" s="20" t="n">
        <v>501</v>
      </c>
      <c r="B564" s="20" t="s">
        <v>49</v>
      </c>
      <c r="C564" s="20" t="s">
        <v>22</v>
      </c>
      <c r="D564" s="20" t="n">
        <v>153</v>
      </c>
      <c r="E564" s="20" t="s">
        <v>28</v>
      </c>
      <c r="F564" s="20" t="n">
        <v>1</v>
      </c>
      <c r="G564" s="20" t="str">
        <f aca="false">CONCATENATE(B564, "-",C564, "-", D564, "-", F564)</f>
        <v>M0112-A-153-1</v>
      </c>
      <c r="H564" s="20" t="n">
        <v>227.21</v>
      </c>
      <c r="I564" s="20" t="n">
        <v>227.87</v>
      </c>
    </row>
    <row r="565" customFormat="false" ht="13.5" hidden="false" customHeight="true" outlineLevel="0" collapsed="false">
      <c r="A565" s="20" t="n">
        <v>501</v>
      </c>
      <c r="B565" s="20" t="s">
        <v>49</v>
      </c>
      <c r="C565" s="20" t="s">
        <v>22</v>
      </c>
      <c r="D565" s="20" t="n">
        <v>154</v>
      </c>
      <c r="E565" s="20" t="s">
        <v>23</v>
      </c>
      <c r="F565" s="20" t="n">
        <v>1</v>
      </c>
      <c r="G565" s="20" t="str">
        <f aca="false">CONCATENATE(B565, "-",C565, "-", D565, "-", F565)</f>
        <v>M0112-A-154-1</v>
      </c>
      <c r="H565" s="20" t="n">
        <v>228.21</v>
      </c>
      <c r="I565" s="20" t="n">
        <v>228.84</v>
      </c>
    </row>
    <row r="566" customFormat="false" ht="13.5" hidden="false" customHeight="true" outlineLevel="0" collapsed="false">
      <c r="A566" s="20" t="n">
        <v>501</v>
      </c>
      <c r="B566" s="20" t="s">
        <v>49</v>
      </c>
      <c r="C566" s="20" t="s">
        <v>22</v>
      </c>
      <c r="D566" s="20" t="n">
        <v>155</v>
      </c>
      <c r="E566" s="20" t="s">
        <v>23</v>
      </c>
      <c r="F566" s="20" t="n">
        <v>1</v>
      </c>
      <c r="G566" s="20" t="str">
        <f aca="false">CONCATENATE(B566, "-",C566, "-", D566, "-", F566)</f>
        <v>M0112-A-155-1</v>
      </c>
      <c r="H566" s="20" t="n">
        <v>228.84</v>
      </c>
      <c r="I566" s="20" t="n">
        <v>229.09</v>
      </c>
    </row>
    <row r="567" customFormat="false" ht="13.5" hidden="false" customHeight="true" outlineLevel="0" collapsed="false">
      <c r="A567" s="20" t="n">
        <v>501</v>
      </c>
      <c r="B567" s="20" t="s">
        <v>49</v>
      </c>
      <c r="C567" s="20" t="s">
        <v>22</v>
      </c>
      <c r="D567" s="20" t="n">
        <v>155</v>
      </c>
      <c r="E567" s="20" t="s">
        <v>23</v>
      </c>
      <c r="F567" s="20" t="n">
        <v>2</v>
      </c>
      <c r="G567" s="20" t="str">
        <f aca="false">CONCATENATE(B567, "-",C567, "-", D567, "-", F567)</f>
        <v>M0112-A-155-2</v>
      </c>
      <c r="H567" s="20" t="n">
        <v>229.09</v>
      </c>
      <c r="I567" s="20" t="n">
        <v>230.45</v>
      </c>
    </row>
    <row r="568" customFormat="false" ht="13.5" hidden="false" customHeight="true" outlineLevel="0" collapsed="false">
      <c r="A568" s="20" t="n">
        <v>501</v>
      </c>
      <c r="B568" s="20" t="s">
        <v>49</v>
      </c>
      <c r="C568" s="20" t="s">
        <v>22</v>
      </c>
      <c r="D568" s="20" t="n">
        <v>156</v>
      </c>
      <c r="E568" s="20" t="s">
        <v>23</v>
      </c>
      <c r="F568" s="20" t="n">
        <v>1</v>
      </c>
      <c r="G568" s="20" t="str">
        <f aca="false">CONCATENATE(B568, "-",C568, "-", D568, "-", F568)</f>
        <v>M0112-A-156-1</v>
      </c>
      <c r="H568" s="20" t="n">
        <v>230.45</v>
      </c>
      <c r="I568" s="20" t="n">
        <v>231.18</v>
      </c>
    </row>
    <row r="569" customFormat="false" ht="13.5" hidden="false" customHeight="true" outlineLevel="0" collapsed="false">
      <c r="A569" s="20" t="n">
        <v>501</v>
      </c>
      <c r="B569" s="20" t="s">
        <v>49</v>
      </c>
      <c r="C569" s="20" t="s">
        <v>22</v>
      </c>
      <c r="D569" s="20" t="n">
        <v>157</v>
      </c>
      <c r="E569" s="20" t="s">
        <v>23</v>
      </c>
      <c r="F569" s="20" t="n">
        <v>1</v>
      </c>
      <c r="G569" s="20" t="str">
        <f aca="false">CONCATENATE(B569, "-",C569, "-", D569, "-", F569)</f>
        <v>M0112-A-157-1</v>
      </c>
      <c r="H569" s="20" t="n">
        <v>231.18</v>
      </c>
      <c r="I569" s="20" t="n">
        <v>231.83</v>
      </c>
    </row>
    <row r="570" customFormat="false" ht="13.5" hidden="false" customHeight="true" outlineLevel="0" collapsed="false">
      <c r="A570" s="20" t="n">
        <v>501</v>
      </c>
      <c r="B570" s="20" t="s">
        <v>49</v>
      </c>
      <c r="C570" s="20" t="s">
        <v>22</v>
      </c>
      <c r="D570" s="20" t="n">
        <v>157</v>
      </c>
      <c r="E570" s="20" t="s">
        <v>23</v>
      </c>
      <c r="F570" s="20" t="n">
        <v>2</v>
      </c>
      <c r="G570" s="20" t="str">
        <f aca="false">CONCATENATE(B570, "-",C570, "-", D570, "-", F570)</f>
        <v>M0112-A-157-2</v>
      </c>
      <c r="H570" s="20" t="n">
        <v>231.83</v>
      </c>
      <c r="I570" s="20" t="n">
        <v>232.37</v>
      </c>
    </row>
    <row r="571" customFormat="false" ht="13.5" hidden="false" customHeight="true" outlineLevel="0" collapsed="false">
      <c r="A571" s="20" t="n">
        <v>501</v>
      </c>
      <c r="B571" s="20" t="s">
        <v>49</v>
      </c>
      <c r="C571" s="20" t="s">
        <v>22</v>
      </c>
      <c r="D571" s="20" t="n">
        <v>158</v>
      </c>
      <c r="E571" s="20" t="s">
        <v>23</v>
      </c>
      <c r="F571" s="20" t="n">
        <v>1</v>
      </c>
      <c r="G571" s="20" t="str">
        <f aca="false">CONCATENATE(B571, "-",C571, "-", D571, "-", F571)</f>
        <v>M0112-A-158-1</v>
      </c>
      <c r="H571" s="20" t="n">
        <v>232.37</v>
      </c>
      <c r="I571" s="20" t="n">
        <v>233.07</v>
      </c>
    </row>
    <row r="572" customFormat="false" ht="13.5" hidden="false" customHeight="true" outlineLevel="0" collapsed="false">
      <c r="A572" s="20" t="n">
        <v>501</v>
      </c>
      <c r="B572" s="20" t="s">
        <v>49</v>
      </c>
      <c r="C572" s="20" t="s">
        <v>22</v>
      </c>
      <c r="D572" s="20" t="n">
        <v>159</v>
      </c>
      <c r="E572" s="20" t="s">
        <v>28</v>
      </c>
      <c r="F572" s="20" t="n">
        <v>1</v>
      </c>
      <c r="G572" s="20" t="str">
        <f aca="false">CONCATENATE(B572, "-",C572, "-", D572, "-", F572)</f>
        <v>M0112-A-159-1</v>
      </c>
      <c r="H572" s="20" t="n">
        <v>233.07</v>
      </c>
      <c r="I572" s="20" t="n">
        <v>234.21</v>
      </c>
    </row>
    <row r="573" customFormat="false" ht="13.5" hidden="false" customHeight="true" outlineLevel="0" collapsed="false">
      <c r="A573" s="20" t="n">
        <v>501</v>
      </c>
      <c r="B573" s="20" t="s">
        <v>49</v>
      </c>
      <c r="C573" s="20" t="s">
        <v>22</v>
      </c>
      <c r="D573" s="20" t="n">
        <v>159</v>
      </c>
      <c r="E573" s="20" t="s">
        <v>28</v>
      </c>
      <c r="F573" s="20" t="n">
        <v>2</v>
      </c>
      <c r="G573" s="20" t="str">
        <f aca="false">CONCATENATE(B573, "-",C573, "-", D573, "-", F573)</f>
        <v>M0112-A-159-2</v>
      </c>
      <c r="H573" s="20" t="n">
        <v>234.21</v>
      </c>
      <c r="I573" s="20" t="n">
        <v>234.83</v>
      </c>
    </row>
    <row r="574" customFormat="false" ht="13.5" hidden="false" customHeight="true" outlineLevel="0" collapsed="false">
      <c r="A574" s="20" t="n">
        <v>501</v>
      </c>
      <c r="B574" s="20" t="s">
        <v>49</v>
      </c>
      <c r="C574" s="20" t="s">
        <v>22</v>
      </c>
      <c r="D574" s="20" t="n">
        <v>160</v>
      </c>
      <c r="E574" s="20" t="s">
        <v>28</v>
      </c>
      <c r="F574" s="20" t="n">
        <v>1</v>
      </c>
      <c r="G574" s="20" t="str">
        <f aca="false">CONCATENATE(B574, "-",C574, "-", D574, "-", F574)</f>
        <v>M0112-A-160-1</v>
      </c>
      <c r="H574" s="20" t="n">
        <v>235.21</v>
      </c>
      <c r="I574" s="20" t="n">
        <v>236.31</v>
      </c>
    </row>
    <row r="575" customFormat="false" ht="13.5" hidden="false" customHeight="true" outlineLevel="0" collapsed="false">
      <c r="A575" s="20" t="n">
        <v>501</v>
      </c>
      <c r="B575" s="20" t="s">
        <v>49</v>
      </c>
      <c r="C575" s="20" t="s">
        <v>22</v>
      </c>
      <c r="D575" s="20" t="n">
        <v>160</v>
      </c>
      <c r="E575" s="20" t="s">
        <v>28</v>
      </c>
      <c r="F575" s="20" t="n">
        <v>2</v>
      </c>
      <c r="G575" s="20" t="str">
        <f aca="false">CONCATENATE(B575, "-",C575, "-", D575, "-", F575)</f>
        <v>M0112-A-160-2</v>
      </c>
      <c r="H575" s="20" t="n">
        <v>236.31</v>
      </c>
      <c r="I575" s="20" t="n">
        <v>237.03</v>
      </c>
    </row>
    <row r="576" customFormat="false" ht="13.5" hidden="false" customHeight="true" outlineLevel="0" collapsed="false">
      <c r="A576" s="20" t="n">
        <v>501</v>
      </c>
      <c r="B576" s="20" t="s">
        <v>49</v>
      </c>
      <c r="C576" s="20" t="s">
        <v>22</v>
      </c>
      <c r="D576" s="20" t="n">
        <v>161</v>
      </c>
      <c r="E576" s="20" t="s">
        <v>28</v>
      </c>
      <c r="F576" s="20" t="n">
        <v>1</v>
      </c>
      <c r="G576" s="20" t="str">
        <f aca="false">CONCATENATE(B576, "-",C576, "-", D576, "-", F576)</f>
        <v>M0112-A-161-1</v>
      </c>
      <c r="H576" s="20" t="n">
        <v>238.21</v>
      </c>
      <c r="I576" s="20" t="n">
        <v>238.86</v>
      </c>
    </row>
    <row r="577" customFormat="false" ht="13.5" hidden="false" customHeight="true" outlineLevel="0" collapsed="false">
      <c r="A577" s="20" t="n">
        <v>501</v>
      </c>
      <c r="B577" s="20" t="s">
        <v>49</v>
      </c>
      <c r="C577" s="20" t="s">
        <v>22</v>
      </c>
      <c r="D577" s="20" t="n">
        <v>161</v>
      </c>
      <c r="E577" s="20" t="s">
        <v>28</v>
      </c>
      <c r="F577" s="20" t="n">
        <v>2</v>
      </c>
      <c r="G577" s="20" t="str">
        <f aca="false">CONCATENATE(B577, "-",C577, "-", D577, "-", F577)</f>
        <v>M0112-A-161-2</v>
      </c>
      <c r="H577" s="20" t="n">
        <v>238.86</v>
      </c>
      <c r="I577" s="20" t="n">
        <v>239.36</v>
      </c>
    </row>
    <row r="578" customFormat="false" ht="13.5" hidden="false" customHeight="true" outlineLevel="0" collapsed="false">
      <c r="A578" s="20" t="n">
        <v>501</v>
      </c>
      <c r="B578" s="20" t="s">
        <v>49</v>
      </c>
      <c r="C578" s="20" t="s">
        <v>22</v>
      </c>
      <c r="D578" s="20" t="n">
        <v>162</v>
      </c>
      <c r="E578" s="20" t="s">
        <v>28</v>
      </c>
      <c r="F578" s="20" t="n">
        <v>1</v>
      </c>
      <c r="G578" s="20" t="str">
        <f aca="false">CONCATENATE(B578, "-",C578, "-", D578, "-", F578)</f>
        <v>M0112-A-162-1</v>
      </c>
      <c r="H578" s="20" t="n">
        <v>240.21</v>
      </c>
      <c r="I578" s="20" t="n">
        <v>240.83</v>
      </c>
    </row>
    <row r="579" customFormat="false" ht="13.5" hidden="false" customHeight="true" outlineLevel="0" collapsed="false">
      <c r="A579" s="20" t="n">
        <v>501</v>
      </c>
      <c r="B579" s="20" t="s">
        <v>49</v>
      </c>
      <c r="C579" s="20" t="s">
        <v>22</v>
      </c>
      <c r="D579" s="20" t="n">
        <v>163</v>
      </c>
      <c r="E579" s="20" t="s">
        <v>28</v>
      </c>
      <c r="F579" s="20" t="n">
        <v>1</v>
      </c>
      <c r="G579" s="20" t="str">
        <f aca="false">CONCATENATE(B579, "-",C579, "-", D579, "-", F579)</f>
        <v>M0112-A-163-1</v>
      </c>
      <c r="H579" s="20" t="n">
        <v>242.21</v>
      </c>
      <c r="I579" s="20" t="n">
        <v>242.64</v>
      </c>
    </row>
    <row r="580" customFormat="false" ht="13.5" hidden="false" customHeight="true" outlineLevel="0" collapsed="false">
      <c r="A580" s="20" t="n">
        <v>501</v>
      </c>
      <c r="B580" s="20" t="s">
        <v>49</v>
      </c>
      <c r="C580" s="20" t="s">
        <v>22</v>
      </c>
      <c r="D580" s="20" t="n">
        <v>163</v>
      </c>
      <c r="E580" s="20" t="s">
        <v>28</v>
      </c>
      <c r="F580" s="20" t="n">
        <v>2</v>
      </c>
      <c r="G580" s="20" t="str">
        <f aca="false">CONCATENATE(B580, "-",C580, "-", D580, "-", F580)</f>
        <v>M0112-A-163-2</v>
      </c>
      <c r="H580" s="20" t="n">
        <v>242.64</v>
      </c>
      <c r="I580" s="20" t="n">
        <v>242.73</v>
      </c>
    </row>
    <row r="581" customFormat="false" ht="13.5" hidden="false" customHeight="true" outlineLevel="0" collapsed="false">
      <c r="A581" s="20" t="n">
        <v>501</v>
      </c>
      <c r="B581" s="20" t="s">
        <v>49</v>
      </c>
      <c r="C581" s="20" t="s">
        <v>22</v>
      </c>
      <c r="D581" s="20" t="n">
        <v>164</v>
      </c>
      <c r="E581" s="20" t="s">
        <v>28</v>
      </c>
      <c r="F581" s="20" t="n">
        <v>1</v>
      </c>
      <c r="G581" s="20" t="str">
        <f aca="false">CONCATENATE(B581, "-",C581, "-", D581, "-", F581)</f>
        <v>M0112-A-164-1</v>
      </c>
      <c r="H581" s="20" t="n">
        <v>243.71</v>
      </c>
      <c r="I581" s="20" t="n">
        <v>244.51</v>
      </c>
    </row>
    <row r="582" customFormat="false" ht="13.5" hidden="false" customHeight="true" outlineLevel="0" collapsed="false">
      <c r="A582" s="20" t="n">
        <v>501</v>
      </c>
      <c r="B582" s="20" t="s">
        <v>49</v>
      </c>
      <c r="C582" s="20" t="s">
        <v>22</v>
      </c>
      <c r="D582" s="20" t="n">
        <v>164</v>
      </c>
      <c r="E582" s="20" t="s">
        <v>28</v>
      </c>
      <c r="F582" s="20" t="n">
        <v>2</v>
      </c>
      <c r="G582" s="20" t="str">
        <f aca="false">CONCATENATE(B582, "-",C582, "-", D582, "-", F582)</f>
        <v>M0112-A-164-2</v>
      </c>
      <c r="H582" s="20" t="n">
        <v>244.51</v>
      </c>
      <c r="I582" s="20" t="n">
        <v>245.09</v>
      </c>
    </row>
    <row r="583" customFormat="false" ht="13.5" hidden="false" customHeight="true" outlineLevel="0" collapsed="false">
      <c r="A583" s="20" t="n">
        <v>501</v>
      </c>
      <c r="B583" s="20" t="s">
        <v>49</v>
      </c>
      <c r="C583" s="20" t="s">
        <v>22</v>
      </c>
      <c r="D583" s="20" t="n">
        <v>165</v>
      </c>
      <c r="E583" s="20" t="s">
        <v>28</v>
      </c>
      <c r="F583" s="20" t="n">
        <v>1</v>
      </c>
      <c r="G583" s="20" t="str">
        <f aca="false">CONCATENATE(B583, "-",C583, "-", D583, "-", F583)</f>
        <v>M0112-A-165-1</v>
      </c>
      <c r="H583" s="20" t="n">
        <v>245.21</v>
      </c>
      <c r="I583" s="20" t="n">
        <v>246.71</v>
      </c>
    </row>
    <row r="584" customFormat="false" ht="13.5" hidden="false" customHeight="true" outlineLevel="0" collapsed="false">
      <c r="A584" s="20" t="n">
        <v>501</v>
      </c>
      <c r="B584" s="20" t="s">
        <v>49</v>
      </c>
      <c r="C584" s="20" t="s">
        <v>22</v>
      </c>
      <c r="D584" s="20" t="n">
        <v>165</v>
      </c>
      <c r="E584" s="20" t="s">
        <v>28</v>
      </c>
      <c r="F584" s="20" t="n">
        <v>2</v>
      </c>
      <c r="G584" s="20" t="str">
        <f aca="false">CONCATENATE(B584, "-",C584, "-", D584, "-", F584)</f>
        <v>M0112-A-165-2</v>
      </c>
      <c r="H584" s="20" t="n">
        <v>246.71</v>
      </c>
      <c r="I584" s="20" t="n">
        <v>247.73</v>
      </c>
    </row>
    <row r="585" customFormat="false" ht="13.5" hidden="false" customHeight="true" outlineLevel="0" collapsed="false">
      <c r="A585" s="20" t="n">
        <v>501</v>
      </c>
      <c r="B585" s="20" t="s">
        <v>49</v>
      </c>
      <c r="C585" s="20" t="s">
        <v>22</v>
      </c>
      <c r="D585" s="20" t="n">
        <v>166</v>
      </c>
      <c r="E585" s="20" t="s">
        <v>28</v>
      </c>
      <c r="F585" s="20" t="n">
        <v>1</v>
      </c>
      <c r="G585" s="20" t="str">
        <f aca="false">CONCATENATE(B585, "-",C585, "-", D585, "-", F585)</f>
        <v>M0112-A-166-1</v>
      </c>
      <c r="H585" s="20" t="n">
        <v>247.56</v>
      </c>
      <c r="I585" s="20" t="n">
        <v>248.11</v>
      </c>
    </row>
    <row r="586" customFormat="false" ht="13.5" hidden="false" customHeight="true" outlineLevel="0" collapsed="false">
      <c r="A586" s="20" t="n">
        <v>501</v>
      </c>
      <c r="B586" s="20" t="s">
        <v>49</v>
      </c>
      <c r="C586" s="20" t="s">
        <v>22</v>
      </c>
      <c r="D586" s="20" t="n">
        <v>167</v>
      </c>
      <c r="E586" s="20" t="s">
        <v>23</v>
      </c>
      <c r="F586" s="20" t="n">
        <v>1</v>
      </c>
      <c r="G586" s="20" t="str">
        <f aca="false">CONCATENATE(B586, "-",C586, "-", D586, "-", F586)</f>
        <v>M0112-A-167-1</v>
      </c>
      <c r="H586" s="20" t="n">
        <v>248.81</v>
      </c>
      <c r="I586" s="20" t="n">
        <v>250.31</v>
      </c>
    </row>
    <row r="587" customFormat="false" ht="13.5" hidden="false" customHeight="true" outlineLevel="0" collapsed="false">
      <c r="A587" s="20" t="n">
        <v>501</v>
      </c>
      <c r="B587" s="20" t="s">
        <v>49</v>
      </c>
      <c r="C587" s="20" t="s">
        <v>22</v>
      </c>
      <c r="D587" s="20" t="n">
        <v>167</v>
      </c>
      <c r="E587" s="20" t="s">
        <v>23</v>
      </c>
      <c r="F587" s="20" t="n">
        <v>2</v>
      </c>
      <c r="G587" s="20" t="str">
        <f aca="false">CONCATENATE(B587, "-",C587, "-", D587, "-", F587)</f>
        <v>M0112-A-167-2</v>
      </c>
      <c r="H587" s="20" t="n">
        <v>250.31</v>
      </c>
      <c r="I587" s="20" t="n">
        <v>251.64</v>
      </c>
    </row>
    <row r="588" customFormat="false" ht="13.5" hidden="false" customHeight="true" outlineLevel="0" collapsed="false">
      <c r="A588" s="20" t="n">
        <v>501</v>
      </c>
      <c r="B588" s="20" t="s">
        <v>49</v>
      </c>
      <c r="C588" s="20" t="s">
        <v>22</v>
      </c>
      <c r="D588" s="20" t="n">
        <v>168</v>
      </c>
      <c r="E588" s="20" t="s">
        <v>23</v>
      </c>
      <c r="F588" s="20" t="n">
        <v>1</v>
      </c>
      <c r="G588" s="20" t="str">
        <f aca="false">CONCATENATE(B588, "-",C588, "-", D588, "-", F588)</f>
        <v>M0112-A-168-1</v>
      </c>
      <c r="H588" s="20" t="n">
        <v>251.64</v>
      </c>
      <c r="I588" s="20" t="n">
        <v>253.14</v>
      </c>
    </row>
    <row r="589" customFormat="false" ht="13.5" hidden="false" customHeight="true" outlineLevel="0" collapsed="false">
      <c r="A589" s="20" t="n">
        <v>501</v>
      </c>
      <c r="B589" s="20" t="s">
        <v>49</v>
      </c>
      <c r="C589" s="20" t="s">
        <v>22</v>
      </c>
      <c r="D589" s="20" t="n">
        <v>168</v>
      </c>
      <c r="E589" s="20" t="s">
        <v>23</v>
      </c>
      <c r="F589" s="20" t="n">
        <v>2</v>
      </c>
      <c r="G589" s="20" t="str">
        <f aca="false">CONCATENATE(B589, "-",C589, "-", D589, "-", F589)</f>
        <v>M0112-A-168-2</v>
      </c>
      <c r="H589" s="20" t="n">
        <v>253.14</v>
      </c>
      <c r="I589" s="20" t="n">
        <v>254.06</v>
      </c>
    </row>
    <row r="590" customFormat="false" ht="13.5" hidden="false" customHeight="true" outlineLevel="0" collapsed="false">
      <c r="A590" s="20" t="n">
        <v>501</v>
      </c>
      <c r="B590" s="20" t="s">
        <v>49</v>
      </c>
      <c r="C590" s="20" t="s">
        <v>22</v>
      </c>
      <c r="D590" s="20" t="n">
        <v>169</v>
      </c>
      <c r="E590" s="20" t="s">
        <v>23</v>
      </c>
      <c r="F590" s="20" t="n">
        <v>1</v>
      </c>
      <c r="G590" s="20" t="str">
        <f aca="false">CONCATENATE(B590, "-",C590, "-", D590, "-", F590)</f>
        <v>M0112-A-169-1</v>
      </c>
      <c r="H590" s="20" t="n">
        <v>254.06</v>
      </c>
      <c r="I590" s="20" t="n">
        <v>255.56</v>
      </c>
    </row>
    <row r="591" customFormat="false" ht="13.5" hidden="false" customHeight="true" outlineLevel="0" collapsed="false">
      <c r="A591" s="20" t="n">
        <v>501</v>
      </c>
      <c r="B591" s="20" t="s">
        <v>49</v>
      </c>
      <c r="C591" s="20" t="s">
        <v>22</v>
      </c>
      <c r="D591" s="20" t="n">
        <v>169</v>
      </c>
      <c r="E591" s="20" t="s">
        <v>23</v>
      </c>
      <c r="F591" s="20" t="n">
        <v>2</v>
      </c>
      <c r="G591" s="20" t="str">
        <f aca="false">CONCATENATE(B591, "-",C591, "-", D591, "-", F591)</f>
        <v>M0112-A-169-2</v>
      </c>
      <c r="H591" s="20" t="n">
        <v>255.56</v>
      </c>
      <c r="I591" s="20" t="n">
        <v>257.02</v>
      </c>
    </row>
    <row r="592" customFormat="false" ht="13.5" hidden="false" customHeight="true" outlineLevel="0" collapsed="false">
      <c r="A592" s="20" t="n">
        <v>501</v>
      </c>
      <c r="B592" s="20" t="s">
        <v>49</v>
      </c>
      <c r="C592" s="20" t="s">
        <v>22</v>
      </c>
      <c r="D592" s="20" t="n">
        <v>170</v>
      </c>
      <c r="E592" s="20" t="s">
        <v>23</v>
      </c>
      <c r="F592" s="20" t="n">
        <v>1</v>
      </c>
      <c r="G592" s="20" t="str">
        <f aca="false">CONCATENATE(B592, "-",C592, "-", D592, "-", F592)</f>
        <v>M0112-A-170-1</v>
      </c>
      <c r="H592" s="20" t="n">
        <v>257.02</v>
      </c>
      <c r="I592" s="20" t="n">
        <v>258.52</v>
      </c>
    </row>
    <row r="593" customFormat="false" ht="13.5" hidden="false" customHeight="true" outlineLevel="0" collapsed="false">
      <c r="A593" s="20" t="n">
        <v>501</v>
      </c>
      <c r="B593" s="20" t="s">
        <v>49</v>
      </c>
      <c r="C593" s="20" t="s">
        <v>22</v>
      </c>
      <c r="D593" s="20" t="n">
        <v>170</v>
      </c>
      <c r="E593" s="20" t="s">
        <v>23</v>
      </c>
      <c r="F593" s="20" t="n">
        <v>2</v>
      </c>
      <c r="G593" s="20" t="str">
        <f aca="false">CONCATENATE(B593, "-",C593, "-", D593, "-", F593)</f>
        <v>M0112-A-170-2</v>
      </c>
      <c r="H593" s="20" t="n">
        <v>258.52</v>
      </c>
      <c r="I593" s="20" t="n">
        <v>259.52</v>
      </c>
    </row>
    <row r="594" customFormat="false" ht="13.5" hidden="false" customHeight="true" outlineLevel="0" collapsed="false">
      <c r="A594" s="20" t="n">
        <v>501</v>
      </c>
      <c r="B594" s="20" t="s">
        <v>49</v>
      </c>
      <c r="C594" s="20" t="s">
        <v>22</v>
      </c>
      <c r="D594" s="20" t="n">
        <v>171</v>
      </c>
      <c r="E594" s="20" t="s">
        <v>23</v>
      </c>
      <c r="F594" s="20" t="n">
        <v>1</v>
      </c>
      <c r="G594" s="20" t="str">
        <f aca="false">CONCATENATE(B594, "-",C594, "-", D594, "-", F594)</f>
        <v>M0112-A-171-1</v>
      </c>
      <c r="H594" s="20" t="n">
        <v>259.52</v>
      </c>
      <c r="I594" s="20" t="n">
        <v>261.01</v>
      </c>
    </row>
    <row r="595" customFormat="false" ht="13.5" hidden="false" customHeight="true" outlineLevel="0" collapsed="false">
      <c r="A595" s="20" t="n">
        <v>501</v>
      </c>
      <c r="B595" s="20" t="s">
        <v>49</v>
      </c>
      <c r="C595" s="20" t="s">
        <v>22</v>
      </c>
      <c r="D595" s="20" t="n">
        <v>171</v>
      </c>
      <c r="E595" s="20" t="s">
        <v>23</v>
      </c>
      <c r="F595" s="20" t="n">
        <v>2</v>
      </c>
      <c r="G595" s="20" t="str">
        <f aca="false">CONCATENATE(B595, "-",C595, "-", D595, "-", F595)</f>
        <v>M0112-A-171-2</v>
      </c>
      <c r="H595" s="20" t="n">
        <v>261.01</v>
      </c>
      <c r="I595" s="20" t="n">
        <v>261.82</v>
      </c>
    </row>
    <row r="596" customFormat="false" ht="13.5" hidden="false" customHeight="true" outlineLevel="0" collapsed="false">
      <c r="A596" s="20" t="n">
        <v>501</v>
      </c>
      <c r="B596" s="20" t="s">
        <v>49</v>
      </c>
      <c r="C596" s="20" t="s">
        <v>22</v>
      </c>
      <c r="D596" s="20" t="n">
        <v>172</v>
      </c>
      <c r="E596" s="20" t="s">
        <v>23</v>
      </c>
      <c r="F596" s="20" t="n">
        <v>1</v>
      </c>
      <c r="G596" s="20" t="str">
        <f aca="false">CONCATENATE(B596, "-",C596, "-", D596, "-", F596)</f>
        <v>M0112-A-172-1</v>
      </c>
      <c r="H596" s="20" t="n">
        <v>261.82</v>
      </c>
      <c r="I596" s="20" t="n">
        <v>263.31</v>
      </c>
    </row>
    <row r="597" customFormat="false" ht="13.5" hidden="false" customHeight="true" outlineLevel="0" collapsed="false">
      <c r="A597" s="20" t="n">
        <v>501</v>
      </c>
      <c r="B597" s="20" t="s">
        <v>49</v>
      </c>
      <c r="C597" s="20" t="s">
        <v>22</v>
      </c>
      <c r="D597" s="20" t="n">
        <v>172</v>
      </c>
      <c r="E597" s="20" t="s">
        <v>23</v>
      </c>
      <c r="F597" s="20" t="n">
        <v>2</v>
      </c>
      <c r="G597" s="20" t="str">
        <f aca="false">CONCATENATE(B597, "-",C597, "-", D597, "-", F597)</f>
        <v>M0112-A-172-2</v>
      </c>
      <c r="H597" s="20" t="n">
        <v>263.31</v>
      </c>
      <c r="I597" s="20" t="n">
        <v>263.86</v>
      </c>
    </row>
    <row r="598" customFormat="false" ht="13.5" hidden="false" customHeight="true" outlineLevel="0" collapsed="false">
      <c r="A598" s="20" t="n">
        <v>501</v>
      </c>
      <c r="B598" s="20" t="s">
        <v>49</v>
      </c>
      <c r="C598" s="20" t="s">
        <v>22</v>
      </c>
      <c r="D598" s="20" t="n">
        <v>173</v>
      </c>
      <c r="E598" s="20" t="s">
        <v>23</v>
      </c>
      <c r="F598" s="20" t="n">
        <v>1</v>
      </c>
      <c r="G598" s="20" t="str">
        <f aca="false">CONCATENATE(B598, "-",C598, "-", D598, "-", F598)</f>
        <v>M0112-A-173-1</v>
      </c>
      <c r="H598" s="20" t="n">
        <v>263.86</v>
      </c>
      <c r="I598" s="20" t="n">
        <v>264.7</v>
      </c>
    </row>
    <row r="599" customFormat="false" ht="13.5" hidden="false" customHeight="true" outlineLevel="0" collapsed="false">
      <c r="A599" s="20" t="n">
        <v>501</v>
      </c>
      <c r="B599" s="20" t="s">
        <v>49</v>
      </c>
      <c r="C599" s="20" t="s">
        <v>22</v>
      </c>
      <c r="D599" s="20" t="n">
        <v>174</v>
      </c>
      <c r="E599" s="20" t="s">
        <v>23</v>
      </c>
      <c r="F599" s="20" t="n">
        <v>1</v>
      </c>
      <c r="G599" s="20" t="str">
        <f aca="false">CONCATENATE(B599, "-",C599, "-", D599, "-", F599)</f>
        <v>M0112-A-174-1</v>
      </c>
      <c r="H599" s="20" t="n">
        <v>264.7</v>
      </c>
      <c r="I599" s="20" t="n">
        <v>265.25</v>
      </c>
    </row>
    <row r="600" customFormat="false" ht="13.5" hidden="false" customHeight="true" outlineLevel="0" collapsed="false">
      <c r="A600" s="20" t="n">
        <v>501</v>
      </c>
      <c r="B600" s="20" t="s">
        <v>49</v>
      </c>
      <c r="C600" s="20" t="s">
        <v>22</v>
      </c>
      <c r="D600" s="20" t="n">
        <v>174</v>
      </c>
      <c r="E600" s="20" t="s">
        <v>23</v>
      </c>
      <c r="F600" s="20" t="n">
        <v>2</v>
      </c>
      <c r="G600" s="20" t="str">
        <f aca="false">CONCATENATE(B600, "-",C600, "-", D600, "-", F600)</f>
        <v>M0112-A-174-2</v>
      </c>
      <c r="H600" s="20" t="n">
        <v>265.25</v>
      </c>
      <c r="I600" s="20" t="n">
        <v>266.43</v>
      </c>
    </row>
    <row r="601" customFormat="false" ht="13.5" hidden="false" customHeight="true" outlineLevel="0" collapsed="false">
      <c r="A601" s="20" t="n">
        <v>501</v>
      </c>
      <c r="B601" s="20" t="s">
        <v>49</v>
      </c>
      <c r="C601" s="20" t="s">
        <v>22</v>
      </c>
      <c r="D601" s="20" t="n">
        <v>175</v>
      </c>
      <c r="E601" s="20" t="s">
        <v>23</v>
      </c>
      <c r="F601" s="20" t="n">
        <v>1</v>
      </c>
      <c r="G601" s="20" t="str">
        <f aca="false">CONCATENATE(B601, "-",C601, "-", D601, "-", F601)</f>
        <v>M0112-A-175-1</v>
      </c>
      <c r="H601" s="20" t="n">
        <v>266.43</v>
      </c>
      <c r="I601" s="20" t="n">
        <v>267.92</v>
      </c>
    </row>
    <row r="602" customFormat="false" ht="13.5" hidden="false" customHeight="true" outlineLevel="0" collapsed="false">
      <c r="A602" s="20" t="n">
        <v>501</v>
      </c>
      <c r="B602" s="20" t="s">
        <v>49</v>
      </c>
      <c r="C602" s="20" t="s">
        <v>22</v>
      </c>
      <c r="D602" s="20" t="n">
        <v>175</v>
      </c>
      <c r="E602" s="20" t="s">
        <v>23</v>
      </c>
      <c r="F602" s="20" t="n">
        <v>2</v>
      </c>
      <c r="G602" s="20" t="str">
        <f aca="false">CONCATENATE(B602, "-",C602, "-", D602, "-", F602)</f>
        <v>M0112-A-175-2</v>
      </c>
      <c r="H602" s="20" t="n">
        <v>267.92</v>
      </c>
      <c r="I602" s="20" t="n">
        <v>269.34</v>
      </c>
    </row>
    <row r="603" customFormat="false" ht="13.5" hidden="false" customHeight="true" outlineLevel="0" collapsed="false">
      <c r="A603" s="20" t="n">
        <v>501</v>
      </c>
      <c r="B603" s="20" t="s">
        <v>49</v>
      </c>
      <c r="C603" s="20" t="s">
        <v>22</v>
      </c>
      <c r="D603" s="20" t="n">
        <v>176</v>
      </c>
      <c r="E603" s="20" t="s">
        <v>23</v>
      </c>
      <c r="F603" s="20" t="n">
        <v>1</v>
      </c>
      <c r="G603" s="20" t="str">
        <f aca="false">CONCATENATE(B603, "-",C603, "-", D603, "-", F603)</f>
        <v>M0112-A-176-1</v>
      </c>
      <c r="H603" s="20" t="n">
        <v>269.34</v>
      </c>
      <c r="I603" s="20" t="n">
        <v>269.59</v>
      </c>
    </row>
    <row r="604" customFormat="false" ht="13.5" hidden="false" customHeight="true" outlineLevel="0" collapsed="false">
      <c r="A604" s="20" t="n">
        <v>501</v>
      </c>
      <c r="B604" s="20" t="s">
        <v>49</v>
      </c>
      <c r="C604" s="20" t="s">
        <v>22</v>
      </c>
      <c r="D604" s="20" t="n">
        <v>176</v>
      </c>
      <c r="E604" s="20" t="s">
        <v>23</v>
      </c>
      <c r="F604" s="20" t="n">
        <v>2</v>
      </c>
      <c r="G604" s="20" t="str">
        <f aca="false">CONCATENATE(B604, "-",C604, "-", D604, "-", F604)</f>
        <v>M0112-A-176-2</v>
      </c>
      <c r="H604" s="20" t="n">
        <v>269.59</v>
      </c>
      <c r="I604" s="20" t="n">
        <v>270.54</v>
      </c>
    </row>
    <row r="605" customFormat="false" ht="13.5" hidden="false" customHeight="true" outlineLevel="0" collapsed="false">
      <c r="A605" s="20" t="n">
        <v>501</v>
      </c>
      <c r="B605" s="20" t="s">
        <v>49</v>
      </c>
      <c r="C605" s="20" t="s">
        <v>22</v>
      </c>
      <c r="D605" s="20" t="n">
        <v>177</v>
      </c>
      <c r="E605" s="20" t="s">
        <v>23</v>
      </c>
      <c r="F605" s="20" t="n">
        <v>1</v>
      </c>
      <c r="G605" s="20" t="str">
        <f aca="false">CONCATENATE(B605, "-",C605, "-", D605, "-", F605)</f>
        <v>M0112-A-177-1</v>
      </c>
      <c r="H605" s="20" t="n">
        <v>270.54</v>
      </c>
      <c r="I605" s="20" t="n">
        <v>270.68</v>
      </c>
    </row>
    <row r="606" customFormat="false" ht="13.5" hidden="false" customHeight="true" outlineLevel="0" collapsed="false">
      <c r="A606" s="20" t="n">
        <v>501</v>
      </c>
      <c r="B606" s="20" t="s">
        <v>49</v>
      </c>
      <c r="C606" s="20" t="s">
        <v>22</v>
      </c>
      <c r="D606" s="20" t="n">
        <v>177</v>
      </c>
      <c r="E606" s="20" t="s">
        <v>23</v>
      </c>
      <c r="F606" s="20" t="n">
        <v>2</v>
      </c>
      <c r="G606" s="20" t="str">
        <f aca="false">CONCATENATE(B606, "-",C606, "-", D606, "-", F606)</f>
        <v>M0112-A-177-2</v>
      </c>
      <c r="H606" s="20" t="n">
        <v>270.68</v>
      </c>
      <c r="I606" s="20" t="n">
        <v>272.18</v>
      </c>
    </row>
    <row r="607" customFormat="false" ht="13.5" hidden="false" customHeight="true" outlineLevel="0" collapsed="false">
      <c r="A607" s="20" t="n">
        <v>501</v>
      </c>
      <c r="B607" s="20" t="s">
        <v>49</v>
      </c>
      <c r="C607" s="20" t="s">
        <v>22</v>
      </c>
      <c r="D607" s="20" t="n">
        <v>177</v>
      </c>
      <c r="E607" s="20" t="s">
        <v>23</v>
      </c>
      <c r="F607" s="20" t="n">
        <v>3</v>
      </c>
      <c r="G607" s="20" t="str">
        <f aca="false">CONCATENATE(B607, "-",C607, "-", D607, "-", F607)</f>
        <v>M0112-A-177-3</v>
      </c>
      <c r="H607" s="20" t="n">
        <v>272.18</v>
      </c>
      <c r="I607" s="20" t="n">
        <v>273.35</v>
      </c>
    </row>
    <row r="608" customFormat="false" ht="13.5" hidden="false" customHeight="true" outlineLevel="0" collapsed="false">
      <c r="A608" s="20" t="n">
        <v>501</v>
      </c>
      <c r="B608" s="20" t="s">
        <v>49</v>
      </c>
      <c r="C608" s="20" t="s">
        <v>22</v>
      </c>
      <c r="D608" s="20" t="n">
        <v>178</v>
      </c>
      <c r="E608" s="20" t="s">
        <v>23</v>
      </c>
      <c r="F608" s="20" t="n">
        <v>1</v>
      </c>
      <c r="G608" s="20" t="str">
        <f aca="false">CONCATENATE(B608, "-",C608, "-", D608, "-", F608)</f>
        <v>M0112-A-178-1</v>
      </c>
      <c r="H608" s="20" t="n">
        <v>273.35</v>
      </c>
      <c r="I608" s="20" t="n">
        <v>274.84</v>
      </c>
    </row>
    <row r="609" customFormat="false" ht="13.5" hidden="false" customHeight="true" outlineLevel="0" collapsed="false">
      <c r="A609" s="20" t="n">
        <v>501</v>
      </c>
      <c r="B609" s="20" t="s">
        <v>49</v>
      </c>
      <c r="C609" s="20" t="s">
        <v>22</v>
      </c>
      <c r="D609" s="20" t="n">
        <v>178</v>
      </c>
      <c r="E609" s="20" t="s">
        <v>23</v>
      </c>
      <c r="F609" s="20" t="n">
        <v>2</v>
      </c>
      <c r="G609" s="20" t="str">
        <f aca="false">CONCATENATE(B609, "-",C609, "-", D609, "-", F609)</f>
        <v>M0112-A-178-2</v>
      </c>
      <c r="H609" s="20" t="n">
        <v>274.84</v>
      </c>
      <c r="I609" s="20" t="n">
        <v>275.93</v>
      </c>
    </row>
    <row r="610" customFormat="false" ht="13.5" hidden="false" customHeight="true" outlineLevel="0" collapsed="false">
      <c r="A610" s="20" t="n">
        <v>501</v>
      </c>
      <c r="B610" s="20" t="s">
        <v>49</v>
      </c>
      <c r="C610" s="20" t="s">
        <v>22</v>
      </c>
      <c r="D610" s="20" t="n">
        <v>179</v>
      </c>
      <c r="E610" s="20" t="s">
        <v>23</v>
      </c>
      <c r="F610" s="20" t="n">
        <v>1</v>
      </c>
      <c r="G610" s="20" t="str">
        <f aca="false">CONCATENATE(B610, "-",C610, "-", D610, "-", F610)</f>
        <v>M0112-A-179-1</v>
      </c>
      <c r="H610" s="20" t="n">
        <v>275.93</v>
      </c>
      <c r="I610" s="20" t="n">
        <v>276.93</v>
      </c>
    </row>
    <row r="611" customFormat="false" ht="13.5" hidden="false" customHeight="true" outlineLevel="0" collapsed="false">
      <c r="A611" s="20" t="n">
        <v>501</v>
      </c>
      <c r="B611" s="20" t="s">
        <v>49</v>
      </c>
      <c r="C611" s="20" t="s">
        <v>22</v>
      </c>
      <c r="D611" s="20" t="n">
        <v>179</v>
      </c>
      <c r="E611" s="20" t="s">
        <v>23</v>
      </c>
      <c r="F611" s="20" t="n">
        <v>2</v>
      </c>
      <c r="G611" s="20" t="str">
        <f aca="false">CONCATENATE(B611, "-",C611, "-", D611, "-", F611)</f>
        <v>M0112-A-179-2</v>
      </c>
      <c r="H611" s="20" t="n">
        <v>276.93</v>
      </c>
      <c r="I611" s="20" t="n">
        <v>277.74</v>
      </c>
    </row>
    <row r="612" customFormat="false" ht="13.5" hidden="false" customHeight="true" outlineLevel="0" collapsed="false">
      <c r="A612" s="20" t="n">
        <v>501</v>
      </c>
      <c r="B612" s="20" t="s">
        <v>49</v>
      </c>
      <c r="C612" s="20" t="s">
        <v>22</v>
      </c>
      <c r="D612" s="20" t="n">
        <v>180</v>
      </c>
      <c r="E612" s="20" t="s">
        <v>23</v>
      </c>
      <c r="F612" s="20" t="n">
        <v>1</v>
      </c>
      <c r="G612" s="20" t="str">
        <f aca="false">CONCATENATE(B612, "-",C612, "-", D612, "-", F612)</f>
        <v>M0112-A-180-1</v>
      </c>
      <c r="H612" s="20" t="n">
        <v>277.74</v>
      </c>
      <c r="I612" s="20" t="n">
        <v>278.24</v>
      </c>
    </row>
    <row r="613" customFormat="false" ht="13.5" hidden="false" customHeight="true" outlineLevel="0" collapsed="false">
      <c r="A613" s="20" t="n">
        <v>501</v>
      </c>
      <c r="B613" s="20" t="s">
        <v>49</v>
      </c>
      <c r="C613" s="20" t="s">
        <v>22</v>
      </c>
      <c r="D613" s="20" t="n">
        <v>181</v>
      </c>
      <c r="E613" s="20" t="s">
        <v>28</v>
      </c>
      <c r="F613" s="20" t="n">
        <v>1</v>
      </c>
      <c r="G613" s="20" t="str">
        <f aca="false">CONCATENATE(B613, "-",C613, "-", D613, "-", F613)</f>
        <v>M0112-A-181-1</v>
      </c>
      <c r="H613" s="20" t="n">
        <v>278.24</v>
      </c>
      <c r="I613" s="20" t="n">
        <v>278.45</v>
      </c>
    </row>
    <row r="614" customFormat="false" ht="13.5" hidden="false" customHeight="true" outlineLevel="0" collapsed="false">
      <c r="A614" s="20" t="n">
        <v>501</v>
      </c>
      <c r="B614" s="20" t="s">
        <v>49</v>
      </c>
      <c r="C614" s="20" t="s">
        <v>22</v>
      </c>
      <c r="D614" s="20" t="n">
        <v>182</v>
      </c>
      <c r="E614" s="20" t="s">
        <v>28</v>
      </c>
      <c r="F614" s="20" t="n">
        <v>1</v>
      </c>
      <c r="G614" s="20" t="str">
        <f aca="false">CONCATENATE(B614, "-",C614, "-", D614, "-", F614)</f>
        <v>M0112-A-182-1</v>
      </c>
      <c r="H614" s="20" t="n">
        <v>279.74</v>
      </c>
      <c r="I614" s="20" t="n">
        <v>279.87</v>
      </c>
    </row>
    <row r="615" customFormat="false" ht="13.5" hidden="false" customHeight="true" outlineLevel="0" collapsed="false">
      <c r="A615" s="20" t="n">
        <v>501</v>
      </c>
      <c r="B615" s="20" t="s">
        <v>49</v>
      </c>
      <c r="C615" s="20" t="s">
        <v>22</v>
      </c>
      <c r="D615" s="20" t="n">
        <v>183</v>
      </c>
      <c r="E615" s="20" t="s">
        <v>28</v>
      </c>
      <c r="F615" s="20" t="n">
        <v>1</v>
      </c>
      <c r="G615" s="20" t="str">
        <f aca="false">CONCATENATE(B615, "-",C615, "-", D615, "-", F615)</f>
        <v>M0112-A-183-1</v>
      </c>
      <c r="H615" s="20" t="n">
        <v>281.21</v>
      </c>
      <c r="I615" s="20" t="n">
        <v>281.29</v>
      </c>
    </row>
    <row r="616" customFormat="false" ht="13.5" hidden="false" customHeight="true" outlineLevel="0" collapsed="false">
      <c r="A616" s="20" t="n">
        <v>501</v>
      </c>
      <c r="B616" s="20" t="s">
        <v>49</v>
      </c>
      <c r="C616" s="20" t="s">
        <v>22</v>
      </c>
      <c r="D616" s="20" t="n">
        <v>185</v>
      </c>
      <c r="E616" s="20" t="s">
        <v>28</v>
      </c>
      <c r="F616" s="20" t="n">
        <v>1</v>
      </c>
      <c r="G616" s="20" t="str">
        <f aca="false">CONCATENATE(B616, "-",C616, "-", D616, "-", F616)</f>
        <v>M0112-A-185-1</v>
      </c>
      <c r="H616" s="20" t="n">
        <v>284.21</v>
      </c>
      <c r="I616" s="20" t="n">
        <v>285.36</v>
      </c>
    </row>
    <row r="617" customFormat="false" ht="13.5" hidden="false" customHeight="true" outlineLevel="0" collapsed="false">
      <c r="A617" s="20" t="n">
        <v>501</v>
      </c>
      <c r="B617" s="20" t="s">
        <v>49</v>
      </c>
      <c r="C617" s="20" t="s">
        <v>22</v>
      </c>
      <c r="D617" s="20" t="n">
        <v>185</v>
      </c>
      <c r="E617" s="20" t="s">
        <v>28</v>
      </c>
      <c r="F617" s="20" t="n">
        <v>2</v>
      </c>
      <c r="G617" s="20" t="str">
        <f aca="false">CONCATENATE(B617, "-",C617, "-", D617, "-", F617)</f>
        <v>M0112-A-185-2</v>
      </c>
      <c r="H617" s="20" t="n">
        <v>285.36</v>
      </c>
      <c r="I617" s="20" t="n">
        <v>285.96</v>
      </c>
    </row>
    <row r="618" customFormat="false" ht="13.5" hidden="false" customHeight="true" outlineLevel="0" collapsed="false">
      <c r="A618" s="20" t="n">
        <v>501</v>
      </c>
      <c r="B618" s="20" t="s">
        <v>49</v>
      </c>
      <c r="C618" s="20" t="s">
        <v>22</v>
      </c>
      <c r="D618" s="20" t="n">
        <v>186</v>
      </c>
      <c r="E618" s="20" t="s">
        <v>28</v>
      </c>
      <c r="F618" s="20" t="n">
        <v>1</v>
      </c>
      <c r="G618" s="20" t="str">
        <f aca="false">CONCATENATE(B618, "-",C618, "-", D618, "-", F618)</f>
        <v>M0112-A-186-1</v>
      </c>
      <c r="H618" s="20" t="n">
        <v>286.21</v>
      </c>
      <c r="I618" s="20" t="n">
        <v>286.81</v>
      </c>
    </row>
    <row r="619" customFormat="false" ht="13.5" hidden="false" customHeight="true" outlineLevel="0" collapsed="false">
      <c r="A619" s="20" t="n">
        <v>501</v>
      </c>
      <c r="B619" s="20" t="s">
        <v>49</v>
      </c>
      <c r="C619" s="20" t="s">
        <v>22</v>
      </c>
      <c r="D619" s="20" t="n">
        <v>187</v>
      </c>
      <c r="E619" s="20" t="s">
        <v>28</v>
      </c>
      <c r="F619" s="20" t="n">
        <v>1</v>
      </c>
      <c r="G619" s="20" t="str">
        <f aca="false">CONCATENATE(B619, "-",C619, "-", D619, "-", F619)</f>
        <v>M0112-A-187-1</v>
      </c>
      <c r="H619" s="20" t="n">
        <v>288.21</v>
      </c>
      <c r="I619" s="20" t="n">
        <v>288.35</v>
      </c>
    </row>
    <row r="620" customFormat="false" ht="13.5" hidden="false" customHeight="true" outlineLevel="0" collapsed="false">
      <c r="A620" s="20" t="n">
        <v>501</v>
      </c>
      <c r="B620" s="20" t="s">
        <v>49</v>
      </c>
      <c r="C620" s="20" t="s">
        <v>22</v>
      </c>
      <c r="D620" s="20" t="n">
        <v>189</v>
      </c>
      <c r="E620" s="20" t="s">
        <v>28</v>
      </c>
      <c r="F620" s="20" t="n">
        <v>1</v>
      </c>
      <c r="G620" s="20" t="str">
        <f aca="false">CONCATENATE(B620, "-",C620, "-", D620, "-", F620)</f>
        <v>M0112-A-189-1</v>
      </c>
      <c r="H620" s="20" t="n">
        <v>290.21</v>
      </c>
      <c r="I620" s="20" t="n">
        <v>290.88</v>
      </c>
    </row>
    <row r="621" customFormat="false" ht="13.5" hidden="false" customHeight="true" outlineLevel="0" collapsed="false">
      <c r="A621" s="20" t="n">
        <v>501</v>
      </c>
      <c r="B621" s="20" t="s">
        <v>49</v>
      </c>
      <c r="C621" s="20" t="s">
        <v>22</v>
      </c>
      <c r="D621" s="20" t="n">
        <v>190</v>
      </c>
      <c r="E621" s="20" t="s">
        <v>28</v>
      </c>
      <c r="F621" s="20" t="n">
        <v>1</v>
      </c>
      <c r="G621" s="20" t="str">
        <f aca="false">CONCATENATE(B621, "-",C621, "-", D621, "-", F621)</f>
        <v>M0112-A-190-1</v>
      </c>
      <c r="H621" s="20" t="n">
        <v>291.21</v>
      </c>
      <c r="I621" s="20" t="n">
        <v>291.36</v>
      </c>
    </row>
    <row r="622" customFormat="false" ht="13.5" hidden="false" customHeight="true" outlineLevel="0" collapsed="false">
      <c r="A622" s="20" t="n">
        <v>501</v>
      </c>
      <c r="B622" s="20" t="s">
        <v>49</v>
      </c>
      <c r="C622" s="20" t="s">
        <v>22</v>
      </c>
      <c r="D622" s="20" t="n">
        <v>191</v>
      </c>
      <c r="E622" s="20" t="s">
        <v>28</v>
      </c>
      <c r="F622" s="20" t="n">
        <v>1</v>
      </c>
      <c r="G622" s="20" t="str">
        <f aca="false">CONCATENATE(B622, "-",C622, "-", D622, "-", F622)</f>
        <v>M0112-A-191-1</v>
      </c>
      <c r="H622" s="20" t="n">
        <v>292.21</v>
      </c>
      <c r="I622" s="20" t="n">
        <v>292.35</v>
      </c>
    </row>
    <row r="623" customFormat="false" ht="13.5" hidden="false" customHeight="true" outlineLevel="0" collapsed="false">
      <c r="A623" s="20" t="n">
        <v>501</v>
      </c>
      <c r="B623" s="20" t="s">
        <v>49</v>
      </c>
      <c r="C623" s="20" t="s">
        <v>22</v>
      </c>
      <c r="D623" s="20" t="n">
        <v>194</v>
      </c>
      <c r="E623" s="20" t="s">
        <v>28</v>
      </c>
      <c r="F623" s="20" t="n">
        <v>1</v>
      </c>
      <c r="G623" s="20" t="str">
        <f aca="false">CONCATENATE(B623, "-",C623, "-", D623, "-", F623)</f>
        <v>M0112-A-194-1</v>
      </c>
      <c r="H623" s="20" t="n">
        <v>294.41</v>
      </c>
      <c r="I623" s="20" t="n">
        <v>294.43</v>
      </c>
    </row>
    <row r="624" customFormat="false" ht="13.5" hidden="false" customHeight="true" outlineLevel="0" collapsed="false">
      <c r="A624" s="20" t="n">
        <v>501</v>
      </c>
      <c r="B624" s="20" t="s">
        <v>49</v>
      </c>
      <c r="C624" s="20" t="s">
        <v>22</v>
      </c>
      <c r="D624" s="20" t="n">
        <v>195</v>
      </c>
      <c r="E624" s="20" t="s">
        <v>28</v>
      </c>
      <c r="F624" s="20" t="n">
        <v>1</v>
      </c>
      <c r="G624" s="20" t="str">
        <f aca="false">CONCATENATE(B624, "-",C624, "-", D624, "-", F624)</f>
        <v>M0112-A-195-1</v>
      </c>
      <c r="H624" s="20" t="n">
        <v>295.41</v>
      </c>
      <c r="I624" s="20" t="n">
        <v>295.7</v>
      </c>
    </row>
    <row r="625" customFormat="false" ht="13.5" hidden="false" customHeight="true" outlineLevel="0" collapsed="false">
      <c r="A625" s="20" t="n">
        <v>501</v>
      </c>
      <c r="B625" s="20" t="s">
        <v>49</v>
      </c>
      <c r="C625" s="20" t="s">
        <v>22</v>
      </c>
      <c r="D625" s="20" t="n">
        <v>196</v>
      </c>
      <c r="E625" s="20" t="s">
        <v>28</v>
      </c>
      <c r="F625" s="20" t="n">
        <v>1</v>
      </c>
      <c r="G625" s="20" t="str">
        <f aca="false">CONCATENATE(B625, "-",C625, "-", D625, "-", F625)</f>
        <v>M0112-A-196-1</v>
      </c>
      <c r="H625" s="20" t="n">
        <v>295.66</v>
      </c>
      <c r="I625" s="20" t="n">
        <v>296.5</v>
      </c>
    </row>
    <row r="626" customFormat="false" ht="13.5" hidden="false" customHeight="true" outlineLevel="0" collapsed="false">
      <c r="A626" s="20" t="n">
        <v>501</v>
      </c>
      <c r="B626" s="20" t="s">
        <v>49</v>
      </c>
      <c r="C626" s="20" t="s">
        <v>22</v>
      </c>
      <c r="D626" s="20" t="n">
        <v>197</v>
      </c>
      <c r="E626" s="20" t="s">
        <v>28</v>
      </c>
      <c r="F626" s="20" t="n">
        <v>1</v>
      </c>
      <c r="G626" s="20" t="str">
        <f aca="false">CONCATENATE(B626, "-",C626, "-", D626, "-", F626)</f>
        <v>M0112-A-197-1</v>
      </c>
      <c r="H626" s="20" t="n">
        <v>297.21</v>
      </c>
      <c r="I626" s="20" t="n">
        <v>298.16</v>
      </c>
    </row>
    <row r="627" customFormat="false" ht="13.5" hidden="false" customHeight="true" outlineLevel="0" collapsed="false">
      <c r="A627" s="20" t="n">
        <v>501</v>
      </c>
      <c r="B627" s="20" t="s">
        <v>49</v>
      </c>
      <c r="C627" s="20" t="s">
        <v>22</v>
      </c>
      <c r="D627" s="20" t="n">
        <v>198</v>
      </c>
      <c r="E627" s="20" t="s">
        <v>28</v>
      </c>
      <c r="F627" s="20" t="n">
        <v>1</v>
      </c>
      <c r="G627" s="20" t="str">
        <f aca="false">CONCATENATE(B627, "-",C627, "-", D627, "-", F627)</f>
        <v>M0112-A-198-1</v>
      </c>
      <c r="H627" s="20" t="n">
        <v>298.21</v>
      </c>
      <c r="I627" s="20" t="n">
        <v>299.21</v>
      </c>
    </row>
    <row r="628" customFormat="false" ht="13.5" hidden="false" customHeight="true" outlineLevel="0" collapsed="false">
      <c r="A628" s="20" t="n">
        <v>501</v>
      </c>
      <c r="B628" s="20" t="s">
        <v>49</v>
      </c>
      <c r="C628" s="20" t="s">
        <v>22</v>
      </c>
      <c r="D628" s="20" t="n">
        <v>199</v>
      </c>
      <c r="E628" s="20" t="s">
        <v>28</v>
      </c>
      <c r="F628" s="20" t="n">
        <v>1</v>
      </c>
      <c r="G628" s="20" t="str">
        <f aca="false">CONCATENATE(B628, "-",C628, "-", D628, "-", F628)</f>
        <v>M0112-A-199-1</v>
      </c>
      <c r="H628" s="20" t="n">
        <v>299.21</v>
      </c>
      <c r="I628" s="20" t="n">
        <v>299.51</v>
      </c>
    </row>
    <row r="629" customFormat="false" ht="13.5" hidden="false" customHeight="true" outlineLevel="0" collapsed="false">
      <c r="A629" s="20" t="n">
        <v>501</v>
      </c>
      <c r="B629" s="20" t="s">
        <v>49</v>
      </c>
      <c r="C629" s="20" t="s">
        <v>22</v>
      </c>
      <c r="D629" s="20" t="n">
        <v>200</v>
      </c>
      <c r="E629" s="20" t="s">
        <v>28</v>
      </c>
      <c r="F629" s="20" t="n">
        <v>1</v>
      </c>
      <c r="G629" s="20" t="str">
        <f aca="false">CONCATENATE(B629, "-",C629, "-", D629, "-", F629)</f>
        <v>M0112-A-200-1</v>
      </c>
      <c r="H629" s="20" t="n">
        <v>300.21</v>
      </c>
      <c r="I629" s="20" t="n">
        <v>300.68</v>
      </c>
    </row>
    <row r="630" customFormat="false" ht="13.5" hidden="false" customHeight="true" outlineLevel="0" collapsed="false">
      <c r="A630" s="20" t="n">
        <v>501</v>
      </c>
      <c r="B630" s="20" t="s">
        <v>49</v>
      </c>
      <c r="C630" s="20" t="s">
        <v>22</v>
      </c>
      <c r="D630" s="20" t="n">
        <v>201</v>
      </c>
      <c r="E630" s="20" t="s">
        <v>28</v>
      </c>
      <c r="F630" s="20" t="n">
        <v>1</v>
      </c>
      <c r="G630" s="20" t="str">
        <f aca="false">CONCATENATE(B630, "-",C630, "-", D630, "-", F630)</f>
        <v>M0112-A-201-1</v>
      </c>
      <c r="H630" s="20" t="n">
        <v>301.21</v>
      </c>
      <c r="I630" s="20" t="n">
        <v>301.28</v>
      </c>
    </row>
    <row r="631" customFormat="false" ht="13.5" hidden="false" customHeight="true" outlineLevel="0" collapsed="false">
      <c r="A631" s="20" t="n">
        <v>501</v>
      </c>
      <c r="B631" s="20" t="s">
        <v>49</v>
      </c>
      <c r="C631" s="20" t="s">
        <v>22</v>
      </c>
      <c r="D631" s="20" t="n">
        <v>202</v>
      </c>
      <c r="E631" s="20" t="s">
        <v>28</v>
      </c>
      <c r="F631" s="20" t="n">
        <v>1</v>
      </c>
      <c r="G631" s="20" t="str">
        <f aca="false">CONCATENATE(B631, "-",C631, "-", D631, "-", F631)</f>
        <v>M0112-A-202-1</v>
      </c>
      <c r="H631" s="20" t="n">
        <v>302.21</v>
      </c>
      <c r="I631" s="20" t="n">
        <v>302.25</v>
      </c>
    </row>
    <row r="632" customFormat="false" ht="13.5" hidden="false" customHeight="true" outlineLevel="0" collapsed="false">
      <c r="A632" s="20" t="n">
        <v>501</v>
      </c>
      <c r="B632" s="20" t="s">
        <v>49</v>
      </c>
      <c r="C632" s="20" t="s">
        <v>22</v>
      </c>
      <c r="D632" s="20" t="n">
        <v>204</v>
      </c>
      <c r="E632" s="20" t="s">
        <v>28</v>
      </c>
      <c r="F632" s="20" t="n">
        <v>1</v>
      </c>
      <c r="G632" s="20" t="str">
        <f aca="false">CONCATENATE(B632, "-",C632, "-", D632, "-", F632)</f>
        <v>M0112-A-204-1</v>
      </c>
      <c r="H632" s="20" t="n">
        <v>304.21</v>
      </c>
      <c r="I632" s="20" t="n">
        <v>305.75</v>
      </c>
    </row>
    <row r="633" customFormat="false" ht="13.5" hidden="false" customHeight="true" outlineLevel="0" collapsed="false">
      <c r="A633" s="20" t="n">
        <v>501</v>
      </c>
      <c r="B633" s="20" t="s">
        <v>49</v>
      </c>
      <c r="C633" s="20" t="s">
        <v>22</v>
      </c>
      <c r="D633" s="20" t="n">
        <v>205</v>
      </c>
      <c r="E633" s="20" t="s">
        <v>28</v>
      </c>
      <c r="F633" s="20" t="n">
        <v>1</v>
      </c>
      <c r="G633" s="20" t="str">
        <f aca="false">CONCATENATE(B633, "-",C633, "-", D633, "-", F633)</f>
        <v>M0112-A-205-1</v>
      </c>
      <c r="H633" s="20" t="n">
        <v>305.21</v>
      </c>
      <c r="I633" s="20" t="n">
        <v>306.15</v>
      </c>
    </row>
    <row r="634" customFormat="false" ht="13.5" hidden="false" customHeight="true" outlineLevel="0" collapsed="false">
      <c r="A634" s="20" t="n">
        <v>501</v>
      </c>
      <c r="B634" s="20" t="s">
        <v>49</v>
      </c>
      <c r="C634" s="20" t="s">
        <v>22</v>
      </c>
      <c r="D634" s="20" t="n">
        <v>206</v>
      </c>
      <c r="E634" s="20" t="s">
        <v>28</v>
      </c>
      <c r="F634" s="20" t="n">
        <v>1</v>
      </c>
      <c r="G634" s="20" t="str">
        <f aca="false">CONCATENATE(B634, "-",C634, "-", D634, "-", F634)</f>
        <v>M0112-A-206-1</v>
      </c>
      <c r="H634" s="20" t="n">
        <v>306.21</v>
      </c>
      <c r="I634" s="20" t="n">
        <v>306.72</v>
      </c>
    </row>
    <row r="635" customFormat="false" ht="13.5" hidden="false" customHeight="true" outlineLevel="0" collapsed="false">
      <c r="A635" s="20" t="n">
        <v>501</v>
      </c>
      <c r="B635" s="20" t="s">
        <v>49</v>
      </c>
      <c r="C635" s="20" t="s">
        <v>22</v>
      </c>
      <c r="D635" s="20" t="n">
        <v>207</v>
      </c>
      <c r="E635" s="20" t="s">
        <v>28</v>
      </c>
      <c r="F635" s="20" t="n">
        <v>1</v>
      </c>
      <c r="G635" s="20" t="str">
        <f aca="false">CONCATENATE(B635, "-",C635, "-", D635, "-", F635)</f>
        <v>M0112-A-207-1</v>
      </c>
      <c r="H635" s="20" t="n">
        <v>307.21</v>
      </c>
      <c r="I635" s="20" t="n">
        <v>307.22</v>
      </c>
    </row>
    <row r="636" customFormat="false" ht="13.5" hidden="false" customHeight="true" outlineLevel="0" collapsed="false">
      <c r="A636" s="20" t="n">
        <v>501</v>
      </c>
      <c r="B636" s="20" t="s">
        <v>49</v>
      </c>
      <c r="C636" s="20" t="s">
        <v>22</v>
      </c>
      <c r="D636" s="20" t="n">
        <v>209</v>
      </c>
      <c r="E636" s="20" t="s">
        <v>28</v>
      </c>
      <c r="F636" s="20" t="n">
        <v>1</v>
      </c>
      <c r="G636" s="20" t="str">
        <f aca="false">CONCATENATE(B636, "-",C636, "-", D636, "-", F636)</f>
        <v>M0112-A-209-1</v>
      </c>
      <c r="H636" s="20" t="n">
        <v>309.21</v>
      </c>
      <c r="I636" s="20" t="n">
        <v>309.41</v>
      </c>
    </row>
    <row r="637" customFormat="false" ht="13.5" hidden="false" customHeight="true" outlineLevel="0" collapsed="false">
      <c r="A637" s="20" t="n">
        <v>501</v>
      </c>
      <c r="B637" s="20" t="s">
        <v>49</v>
      </c>
      <c r="C637" s="20" t="s">
        <v>22</v>
      </c>
      <c r="D637" s="20" t="n">
        <v>210</v>
      </c>
      <c r="E637" s="20" t="s">
        <v>28</v>
      </c>
      <c r="F637" s="20" t="n">
        <v>1</v>
      </c>
      <c r="G637" s="20" t="str">
        <f aca="false">CONCATENATE(B637, "-",C637, "-", D637, "-", F637)</f>
        <v>M0112-A-210-1</v>
      </c>
      <c r="H637" s="20" t="n">
        <v>310.21</v>
      </c>
      <c r="I637" s="20" t="n">
        <v>310.49</v>
      </c>
    </row>
    <row r="638" customFormat="false" ht="13.5" hidden="false" customHeight="true" outlineLevel="0" collapsed="false">
      <c r="A638" s="20" t="n">
        <v>501</v>
      </c>
      <c r="B638" s="20" t="s">
        <v>49</v>
      </c>
      <c r="C638" s="20" t="s">
        <v>22</v>
      </c>
      <c r="D638" s="20" t="n">
        <v>211</v>
      </c>
      <c r="E638" s="20" t="s">
        <v>28</v>
      </c>
      <c r="F638" s="20" t="n">
        <v>1</v>
      </c>
      <c r="G638" s="20" t="str">
        <f aca="false">CONCATENATE(B638, "-",C638, "-", D638, "-", F638)</f>
        <v>M0112-A-211-1</v>
      </c>
      <c r="H638" s="20" t="n">
        <v>311.21</v>
      </c>
      <c r="I638" s="20" t="n">
        <v>311.29</v>
      </c>
    </row>
    <row r="639" customFormat="false" ht="13.5" hidden="false" customHeight="true" outlineLevel="0" collapsed="false">
      <c r="A639" s="20" t="n">
        <v>501</v>
      </c>
      <c r="B639" s="20" t="s">
        <v>49</v>
      </c>
      <c r="C639" s="20" t="s">
        <v>22</v>
      </c>
      <c r="D639" s="20" t="n">
        <v>212</v>
      </c>
      <c r="E639" s="20" t="s">
        <v>28</v>
      </c>
      <c r="F639" s="20" t="n">
        <v>1</v>
      </c>
      <c r="G639" s="20" t="str">
        <f aca="false">CONCATENATE(B639, "-",C639, "-", D639, "-", F639)</f>
        <v>M0112-A-212-1</v>
      </c>
      <c r="H639" s="20" t="n">
        <v>312.21</v>
      </c>
      <c r="I639" s="20" t="n">
        <v>313.01</v>
      </c>
    </row>
    <row r="640" customFormat="false" ht="13.5" hidden="false" customHeight="true" outlineLevel="0" collapsed="false">
      <c r="A640" s="20" t="n">
        <v>501</v>
      </c>
      <c r="B640" s="20" t="s">
        <v>49</v>
      </c>
      <c r="C640" s="20" t="s">
        <v>22</v>
      </c>
      <c r="D640" s="20" t="n">
        <v>212</v>
      </c>
      <c r="E640" s="20" t="s">
        <v>28</v>
      </c>
      <c r="F640" s="20" t="n">
        <v>2</v>
      </c>
      <c r="G640" s="20" t="str">
        <f aca="false">CONCATENATE(B640, "-",C640, "-", D640, "-", F640)</f>
        <v>M0112-A-212-2</v>
      </c>
      <c r="H640" s="20" t="n">
        <v>313.01</v>
      </c>
      <c r="I640" s="20" t="n">
        <v>313.53</v>
      </c>
    </row>
    <row r="641" customFormat="false" ht="13.5" hidden="false" customHeight="true" outlineLevel="0" collapsed="false">
      <c r="A641" s="20" t="n">
        <v>501</v>
      </c>
      <c r="B641" s="20" t="s">
        <v>49</v>
      </c>
      <c r="C641" s="20" t="s">
        <v>22</v>
      </c>
      <c r="D641" s="20" t="n">
        <v>213</v>
      </c>
      <c r="E641" s="20" t="s">
        <v>28</v>
      </c>
      <c r="F641" s="20" t="n">
        <v>1</v>
      </c>
      <c r="G641" s="20" t="str">
        <f aca="false">CONCATENATE(B641, "-",C641, "-", D641, "-", F641)</f>
        <v>M0112-A-213-1</v>
      </c>
      <c r="H641" s="20" t="n">
        <v>313.21</v>
      </c>
      <c r="I641" s="20" t="n">
        <v>313.22</v>
      </c>
    </row>
    <row r="642" customFormat="false" ht="13.5" hidden="false" customHeight="true" outlineLevel="0" collapsed="false">
      <c r="A642" s="20" t="n">
        <v>501</v>
      </c>
      <c r="B642" s="20" t="s">
        <v>49</v>
      </c>
      <c r="C642" s="20" t="s">
        <v>22</v>
      </c>
      <c r="D642" s="20" t="n">
        <v>214</v>
      </c>
      <c r="E642" s="20" t="s">
        <v>28</v>
      </c>
      <c r="F642" s="20" t="n">
        <v>1</v>
      </c>
      <c r="G642" s="20" t="str">
        <f aca="false">CONCATENATE(B642, "-",C642, "-", D642, "-", F642)</f>
        <v>M0112-A-214-1</v>
      </c>
      <c r="H642" s="20" t="n">
        <v>314.21</v>
      </c>
      <c r="I642" s="20" t="n">
        <v>315.71</v>
      </c>
    </row>
    <row r="643" customFormat="false" ht="13.5" hidden="false" customHeight="true" outlineLevel="0" collapsed="false">
      <c r="A643" s="20" t="n">
        <v>501</v>
      </c>
      <c r="B643" s="20" t="s">
        <v>49</v>
      </c>
      <c r="C643" s="20" t="s">
        <v>22</v>
      </c>
      <c r="D643" s="20" t="n">
        <v>214</v>
      </c>
      <c r="E643" s="20" t="s">
        <v>28</v>
      </c>
      <c r="F643" s="20" t="n">
        <v>2</v>
      </c>
      <c r="G643" s="20" t="str">
        <f aca="false">CONCATENATE(B643, "-",C643, "-", D643, "-", F643)</f>
        <v>M0112-A-214-2</v>
      </c>
      <c r="H643" s="20" t="n">
        <v>315.71</v>
      </c>
      <c r="I643" s="20" t="n">
        <v>316.39</v>
      </c>
    </row>
    <row r="644" customFormat="false" ht="13.5" hidden="false" customHeight="true" outlineLevel="0" collapsed="false">
      <c r="A644" s="20" t="n">
        <v>501</v>
      </c>
      <c r="B644" s="20" t="s">
        <v>49</v>
      </c>
      <c r="C644" s="20" t="s">
        <v>22</v>
      </c>
      <c r="D644" s="20" t="n">
        <v>215</v>
      </c>
      <c r="E644" s="20" t="s">
        <v>28</v>
      </c>
      <c r="F644" s="20" t="n">
        <v>1</v>
      </c>
      <c r="G644" s="20" t="str">
        <f aca="false">CONCATENATE(B644, "-",C644, "-", D644, "-", F644)</f>
        <v>M0112-A-215-1</v>
      </c>
      <c r="H644" s="20" t="n">
        <v>315.21</v>
      </c>
      <c r="I644" s="20" t="n">
        <v>316.47</v>
      </c>
    </row>
    <row r="645" customFormat="false" ht="13.5" hidden="false" customHeight="true" outlineLevel="0" collapsed="false">
      <c r="A645" s="20" t="n">
        <v>501</v>
      </c>
      <c r="B645" s="20" t="s">
        <v>49</v>
      </c>
      <c r="C645" s="20" t="s">
        <v>22</v>
      </c>
      <c r="D645" s="20" t="n">
        <v>215</v>
      </c>
      <c r="E645" s="20" t="s">
        <v>28</v>
      </c>
      <c r="F645" s="20" t="n">
        <v>2</v>
      </c>
      <c r="G645" s="20" t="str">
        <f aca="false">CONCATENATE(B645, "-",C645, "-", D645, "-", F645)</f>
        <v>M0112-A-215-2</v>
      </c>
      <c r="H645" s="20" t="n">
        <v>316.47</v>
      </c>
      <c r="I645" s="20" t="n">
        <v>317.02</v>
      </c>
    </row>
    <row r="646" customFormat="false" ht="13.5" hidden="false" customHeight="true" outlineLevel="0" collapsed="false">
      <c r="A646" s="20" t="n">
        <v>501</v>
      </c>
      <c r="B646" s="20" t="s">
        <v>49</v>
      </c>
      <c r="C646" s="20" t="s">
        <v>22</v>
      </c>
      <c r="D646" s="20" t="n">
        <v>216</v>
      </c>
      <c r="E646" s="20" t="s">
        <v>28</v>
      </c>
      <c r="F646" s="20" t="n">
        <v>1</v>
      </c>
      <c r="G646" s="20" t="str">
        <f aca="false">CONCATENATE(B646, "-",C646, "-", D646, "-", F646)</f>
        <v>M0112-A-216-1</v>
      </c>
      <c r="H646" s="20" t="n">
        <v>317.21</v>
      </c>
      <c r="I646" s="20" t="n">
        <v>318.71</v>
      </c>
    </row>
    <row r="647" customFormat="false" ht="13.5" hidden="false" customHeight="true" outlineLevel="0" collapsed="false">
      <c r="A647" s="20" t="n">
        <v>501</v>
      </c>
      <c r="B647" s="20" t="s">
        <v>49</v>
      </c>
      <c r="C647" s="20" t="s">
        <v>22</v>
      </c>
      <c r="D647" s="20" t="n">
        <v>216</v>
      </c>
      <c r="E647" s="20" t="s">
        <v>28</v>
      </c>
      <c r="F647" s="20" t="n">
        <v>2</v>
      </c>
      <c r="G647" s="20" t="str">
        <f aca="false">CONCATENATE(B647, "-",C647, "-", D647, "-", F647)</f>
        <v>M0112-A-216-2</v>
      </c>
      <c r="H647" s="20" t="n">
        <v>318.71</v>
      </c>
      <c r="I647" s="20" t="n">
        <v>319.66</v>
      </c>
    </row>
    <row r="648" customFormat="false" ht="13.5" hidden="false" customHeight="true" outlineLevel="0" collapsed="false">
      <c r="A648" s="20" t="n">
        <v>501</v>
      </c>
      <c r="B648" s="20" t="s">
        <v>49</v>
      </c>
      <c r="C648" s="20" t="s">
        <v>22</v>
      </c>
      <c r="D648" s="20" t="n">
        <v>217</v>
      </c>
      <c r="E648" s="20" t="s">
        <v>28</v>
      </c>
      <c r="F648" s="20" t="n">
        <v>1</v>
      </c>
      <c r="G648" s="20" t="str">
        <f aca="false">CONCATENATE(B648, "-",C648, "-", D648, "-", F648)</f>
        <v>M0112-A-217-1</v>
      </c>
      <c r="H648" s="20" t="n">
        <v>320.21</v>
      </c>
      <c r="I648" s="20" t="n">
        <v>321.71</v>
      </c>
    </row>
    <row r="649" customFormat="false" ht="13.5" hidden="false" customHeight="true" outlineLevel="0" collapsed="false">
      <c r="A649" s="20" t="n">
        <v>501</v>
      </c>
      <c r="B649" s="20" t="s">
        <v>49</v>
      </c>
      <c r="C649" s="20" t="s">
        <v>22</v>
      </c>
      <c r="D649" s="20" t="n">
        <v>217</v>
      </c>
      <c r="E649" s="20" t="s">
        <v>28</v>
      </c>
      <c r="F649" s="20" t="n">
        <v>2</v>
      </c>
      <c r="G649" s="20" t="str">
        <f aca="false">CONCATENATE(B649, "-",C649, "-", D649, "-", F649)</f>
        <v>M0112-A-217-2</v>
      </c>
      <c r="H649" s="20" t="n">
        <v>321.71</v>
      </c>
      <c r="I649" s="20" t="n">
        <v>323.18</v>
      </c>
    </row>
    <row r="650" customFormat="false" ht="13.5" hidden="false" customHeight="true" outlineLevel="0" collapsed="false">
      <c r="A650" s="20" t="n">
        <v>501</v>
      </c>
      <c r="B650" s="20" t="s">
        <v>49</v>
      </c>
      <c r="C650" s="20" t="s">
        <v>22</v>
      </c>
      <c r="D650" s="20" t="n">
        <v>218</v>
      </c>
      <c r="E650" s="20" t="s">
        <v>28</v>
      </c>
      <c r="F650" s="20" t="n">
        <v>1</v>
      </c>
      <c r="G650" s="20" t="str">
        <f aca="false">CONCATENATE(B650, "-",C650, "-", D650, "-", F650)</f>
        <v>M0112-A-218-1</v>
      </c>
      <c r="H650" s="20" t="n">
        <v>322.21</v>
      </c>
      <c r="I650" s="20" t="n">
        <v>323.53</v>
      </c>
    </row>
    <row r="651" customFormat="false" ht="13.5" hidden="false" customHeight="true" outlineLevel="0" collapsed="false">
      <c r="A651" s="20" t="n">
        <v>501</v>
      </c>
      <c r="B651" s="20" t="s">
        <v>49</v>
      </c>
      <c r="C651" s="20" t="s">
        <v>22</v>
      </c>
      <c r="D651" s="20" t="n">
        <v>218</v>
      </c>
      <c r="E651" s="20" t="s">
        <v>28</v>
      </c>
      <c r="F651" s="20" t="n">
        <v>2</v>
      </c>
      <c r="G651" s="20" t="str">
        <f aca="false">CONCATENATE(B651, "-",C651, "-", D651, "-", F651)</f>
        <v>M0112-A-218-2</v>
      </c>
      <c r="H651" s="20" t="n">
        <v>322.21</v>
      </c>
      <c r="I651" s="20" t="n">
        <v>323.53</v>
      </c>
    </row>
    <row r="652" customFormat="false" ht="13.5" hidden="false" customHeight="true" outlineLevel="0" collapsed="false">
      <c r="A652" s="20" t="n">
        <v>501</v>
      </c>
      <c r="B652" s="20" t="s">
        <v>49</v>
      </c>
      <c r="C652" s="20" t="s">
        <v>22</v>
      </c>
      <c r="D652" s="20" t="n">
        <v>219</v>
      </c>
      <c r="E652" s="20" t="s">
        <v>28</v>
      </c>
      <c r="F652" s="20" t="n">
        <v>1</v>
      </c>
      <c r="G652" s="20" t="str">
        <f aca="false">CONCATENATE(B652, "-",C652, "-", D652, "-", F652)</f>
        <v>M0112-A-219-1</v>
      </c>
      <c r="H652" s="20" t="n">
        <v>324.01</v>
      </c>
      <c r="I652" s="20" t="n">
        <v>324.96</v>
      </c>
    </row>
    <row r="653" customFormat="false" ht="13.5" hidden="false" customHeight="true" outlineLevel="0" collapsed="false">
      <c r="A653" s="20" t="n">
        <v>501</v>
      </c>
      <c r="B653" s="20" t="s">
        <v>49</v>
      </c>
      <c r="C653" s="20" t="s">
        <v>22</v>
      </c>
      <c r="D653" s="20" t="n">
        <v>219</v>
      </c>
      <c r="E653" s="20" t="s">
        <v>28</v>
      </c>
      <c r="F653" s="20" t="n">
        <v>2</v>
      </c>
      <c r="G653" s="20" t="str">
        <f aca="false">CONCATENATE(B653, "-",C653, "-", D653, "-", F653)</f>
        <v>M0112-A-219-2</v>
      </c>
      <c r="H653" s="20" t="n">
        <v>324.96</v>
      </c>
      <c r="I653" s="20" t="n">
        <v>325.81</v>
      </c>
    </row>
    <row r="654" customFormat="false" ht="13.5" hidden="false" customHeight="true" outlineLevel="0" collapsed="false">
      <c r="A654" s="20" t="n">
        <v>501</v>
      </c>
      <c r="B654" s="20" t="s">
        <v>49</v>
      </c>
      <c r="C654" s="20" t="s">
        <v>22</v>
      </c>
      <c r="D654" s="20" t="n">
        <v>221</v>
      </c>
      <c r="E654" s="20" t="s">
        <v>28</v>
      </c>
      <c r="F654" s="20" t="n">
        <v>1</v>
      </c>
      <c r="G654" s="20" t="str">
        <f aca="false">CONCATENATE(B654, "-",C654, "-", D654, "-", F654)</f>
        <v>M0112-A-221-1</v>
      </c>
      <c r="H654" s="20" t="n">
        <v>328.21</v>
      </c>
      <c r="I654" s="20" t="n">
        <v>328.49</v>
      </c>
    </row>
    <row r="655" customFormat="false" ht="13.5" hidden="false" customHeight="true" outlineLevel="0" collapsed="false">
      <c r="A655" s="20" t="n">
        <v>501</v>
      </c>
      <c r="B655" s="20" t="s">
        <v>49</v>
      </c>
      <c r="C655" s="20" t="s">
        <v>27</v>
      </c>
      <c r="D655" s="20" t="n">
        <v>2</v>
      </c>
      <c r="E655" s="20" t="s">
        <v>23</v>
      </c>
      <c r="F655" s="20" t="n">
        <v>1</v>
      </c>
      <c r="G655" s="20" t="str">
        <f aca="false">CONCATENATE(B655, "-",C655, "-", D655, "-", F655)</f>
        <v>M0112-B-2-1</v>
      </c>
      <c r="H655" s="20" t="n">
        <v>28.22</v>
      </c>
      <c r="I655" s="20" t="n">
        <v>29.73</v>
      </c>
    </row>
    <row r="656" customFormat="false" ht="13.5" hidden="false" customHeight="true" outlineLevel="0" collapsed="false">
      <c r="A656" s="20" t="n">
        <v>501</v>
      </c>
      <c r="B656" s="20" t="s">
        <v>49</v>
      </c>
      <c r="C656" s="20" t="s">
        <v>27</v>
      </c>
      <c r="D656" s="20" t="n">
        <v>2</v>
      </c>
      <c r="E656" s="20" t="s">
        <v>23</v>
      </c>
      <c r="F656" s="20" t="n">
        <v>2</v>
      </c>
      <c r="G656" s="20" t="str">
        <f aca="false">CONCATENATE(B656, "-",C656, "-", D656, "-", F656)</f>
        <v>M0112-B-2-2</v>
      </c>
      <c r="H656" s="20" t="n">
        <v>29.73</v>
      </c>
      <c r="I656" s="20" t="n">
        <v>30.39</v>
      </c>
    </row>
    <row r="657" customFormat="false" ht="13.5" hidden="false" customHeight="true" outlineLevel="0" collapsed="false">
      <c r="A657" s="20" t="n">
        <v>501</v>
      </c>
      <c r="B657" s="20" t="s">
        <v>49</v>
      </c>
      <c r="C657" s="20" t="s">
        <v>27</v>
      </c>
      <c r="D657" s="20" t="n">
        <v>3</v>
      </c>
      <c r="E657" s="20" t="s">
        <v>23</v>
      </c>
      <c r="F657" s="20" t="n">
        <v>1</v>
      </c>
      <c r="G657" s="20" t="str">
        <f aca="false">CONCATENATE(B657, "-",C657, "-", D657, "-", F657)</f>
        <v>M0112-B-3-1</v>
      </c>
      <c r="H657" s="20" t="n">
        <v>30.39</v>
      </c>
      <c r="I657" s="20" t="n">
        <v>31.9</v>
      </c>
    </row>
    <row r="658" customFormat="false" ht="13.5" hidden="false" customHeight="true" outlineLevel="0" collapsed="false">
      <c r="A658" s="20" t="n">
        <v>501</v>
      </c>
      <c r="B658" s="20" t="s">
        <v>49</v>
      </c>
      <c r="C658" s="20" t="s">
        <v>27</v>
      </c>
      <c r="D658" s="20" t="n">
        <v>3</v>
      </c>
      <c r="E658" s="20" t="s">
        <v>23</v>
      </c>
      <c r="F658" s="20" t="n">
        <v>2</v>
      </c>
      <c r="G658" s="20" t="str">
        <f aca="false">CONCATENATE(B658, "-",C658, "-", D658, "-", F658)</f>
        <v>M0112-B-3-2</v>
      </c>
      <c r="H658" s="20" t="n">
        <v>31.9</v>
      </c>
      <c r="I658" s="20" t="n">
        <v>32.72</v>
      </c>
    </row>
    <row r="659" customFormat="false" ht="13.5" hidden="false" customHeight="true" outlineLevel="0" collapsed="false">
      <c r="A659" s="20" t="n">
        <v>501</v>
      </c>
      <c r="B659" s="20" t="s">
        <v>49</v>
      </c>
      <c r="C659" s="20" t="s">
        <v>27</v>
      </c>
      <c r="D659" s="20" t="n">
        <v>5</v>
      </c>
      <c r="E659" s="20" t="s">
        <v>23</v>
      </c>
      <c r="F659" s="20" t="n">
        <v>1</v>
      </c>
      <c r="G659" s="20" t="str">
        <f aca="false">CONCATENATE(B659, "-",C659, "-", D659, "-", F659)</f>
        <v>M0112-B-5-1</v>
      </c>
      <c r="H659" s="20" t="n">
        <v>54</v>
      </c>
      <c r="I659" s="20" t="n">
        <v>55.19</v>
      </c>
    </row>
    <row r="660" customFormat="false" ht="13.5" hidden="false" customHeight="true" outlineLevel="0" collapsed="false">
      <c r="A660" s="20" t="n">
        <v>501</v>
      </c>
      <c r="B660" s="20" t="s">
        <v>49</v>
      </c>
      <c r="C660" s="20" t="s">
        <v>27</v>
      </c>
      <c r="D660" s="20" t="n">
        <v>5</v>
      </c>
      <c r="E660" s="20" t="s">
        <v>23</v>
      </c>
      <c r="F660" s="20" t="n">
        <v>2</v>
      </c>
      <c r="G660" s="20" t="str">
        <f aca="false">CONCATENATE(B660, "-",C660, "-", D660, "-", F660)</f>
        <v>M0112-B-5-2</v>
      </c>
      <c r="H660" s="20" t="n">
        <v>55.19</v>
      </c>
      <c r="I660" s="20" t="n">
        <v>55.52</v>
      </c>
    </row>
    <row r="661" customFormat="false" ht="13.5" hidden="false" customHeight="true" outlineLevel="0" collapsed="false">
      <c r="A661" s="20" t="n">
        <v>501</v>
      </c>
      <c r="B661" s="20" t="s">
        <v>49</v>
      </c>
      <c r="C661" s="20" t="s">
        <v>27</v>
      </c>
      <c r="D661" s="20" t="n">
        <v>6</v>
      </c>
      <c r="E661" s="20" t="s">
        <v>28</v>
      </c>
      <c r="F661" s="20" t="n">
        <v>1</v>
      </c>
      <c r="G661" s="20" t="str">
        <f aca="false">CONCATENATE(B661, "-",C661, "-", D661, "-", F661)</f>
        <v>M0112-B-6-1</v>
      </c>
      <c r="H661" s="20" t="n">
        <v>55.52</v>
      </c>
      <c r="I661" s="20" t="n">
        <v>56.32</v>
      </c>
    </row>
    <row r="662" customFormat="false" ht="13.5" hidden="false" customHeight="true" outlineLevel="0" collapsed="false">
      <c r="A662" s="20" t="n">
        <v>501</v>
      </c>
      <c r="B662" s="20" t="s">
        <v>49</v>
      </c>
      <c r="C662" s="20" t="s">
        <v>27</v>
      </c>
      <c r="D662" s="20" t="n">
        <v>7</v>
      </c>
      <c r="E662" s="20" t="s">
        <v>28</v>
      </c>
      <c r="F662" s="20" t="n">
        <v>1</v>
      </c>
      <c r="G662" s="20" t="str">
        <f aca="false">CONCATENATE(B662, "-",C662, "-", D662, "-", F662)</f>
        <v>M0112-B-7-1</v>
      </c>
      <c r="H662" s="20" t="n">
        <v>56.82</v>
      </c>
      <c r="I662" s="20" t="n">
        <v>57.4</v>
      </c>
    </row>
    <row r="663" customFormat="false" ht="13.5" hidden="false" customHeight="true" outlineLevel="0" collapsed="false">
      <c r="A663" s="20" t="n">
        <v>501</v>
      </c>
      <c r="B663" s="20" t="s">
        <v>49</v>
      </c>
      <c r="C663" s="20" t="s">
        <v>27</v>
      </c>
      <c r="D663" s="20" t="n">
        <v>8</v>
      </c>
      <c r="E663" s="20" t="s">
        <v>28</v>
      </c>
      <c r="F663" s="20" t="n">
        <v>1</v>
      </c>
      <c r="G663" s="20" t="str">
        <f aca="false">CONCATENATE(B663, "-",C663, "-", D663, "-", F663)</f>
        <v>M0112-B-8-1</v>
      </c>
      <c r="H663" s="20" t="n">
        <v>58.32</v>
      </c>
      <c r="I663" s="20" t="n">
        <v>58.72</v>
      </c>
    </row>
    <row r="664" customFormat="false" ht="13.5" hidden="false" customHeight="true" outlineLevel="0" collapsed="false">
      <c r="A664" s="20" t="n">
        <v>501</v>
      </c>
      <c r="B664" s="20" t="s">
        <v>49</v>
      </c>
      <c r="C664" s="20" t="s">
        <v>27</v>
      </c>
      <c r="D664" s="20" t="n">
        <v>9</v>
      </c>
      <c r="E664" s="20" t="s">
        <v>28</v>
      </c>
      <c r="F664" s="20" t="n">
        <v>1</v>
      </c>
      <c r="G664" s="20" t="str">
        <f aca="false">CONCATENATE(B664, "-",C664, "-", D664, "-", F664)</f>
        <v>M0112-B-9-1</v>
      </c>
      <c r="H664" s="20" t="n">
        <v>59.82</v>
      </c>
      <c r="I664" s="20" t="n">
        <v>60.89</v>
      </c>
    </row>
    <row r="665" customFormat="false" ht="13.5" hidden="false" customHeight="true" outlineLevel="0" collapsed="false">
      <c r="A665" s="20" t="n">
        <v>501</v>
      </c>
      <c r="B665" s="20" t="s">
        <v>49</v>
      </c>
      <c r="C665" s="20" t="s">
        <v>27</v>
      </c>
      <c r="D665" s="20" t="n">
        <v>9</v>
      </c>
      <c r="E665" s="20" t="s">
        <v>28</v>
      </c>
      <c r="F665" s="20" t="n">
        <v>2</v>
      </c>
      <c r="G665" s="20" t="str">
        <f aca="false">CONCATENATE(B665, "-",C665, "-", D665, "-", F665)</f>
        <v>M0112-B-9-2</v>
      </c>
      <c r="H665" s="20" t="n">
        <v>60.89</v>
      </c>
      <c r="I665" s="20" t="n">
        <v>61.37</v>
      </c>
    </row>
    <row r="666" customFormat="false" ht="13.5" hidden="false" customHeight="true" outlineLevel="0" collapsed="false">
      <c r="A666" s="20" t="n">
        <v>501</v>
      </c>
      <c r="B666" s="20" t="s">
        <v>49</v>
      </c>
      <c r="C666" s="20" t="s">
        <v>27</v>
      </c>
      <c r="D666" s="20" t="n">
        <v>10</v>
      </c>
      <c r="E666" s="20" t="s">
        <v>28</v>
      </c>
      <c r="F666" s="20" t="n">
        <v>1</v>
      </c>
      <c r="G666" s="20" t="str">
        <f aca="false">CONCATENATE(B666, "-",C666, "-", D666, "-", F666)</f>
        <v>M0112-B-10-1</v>
      </c>
      <c r="H666" s="20" t="n">
        <v>61.32</v>
      </c>
      <c r="I666" s="20" t="n">
        <v>62.82</v>
      </c>
    </row>
    <row r="667" customFormat="false" ht="13.5" hidden="false" customHeight="true" outlineLevel="0" collapsed="false">
      <c r="A667" s="20" t="n">
        <v>501</v>
      </c>
      <c r="B667" s="20" t="s">
        <v>49</v>
      </c>
      <c r="C667" s="20" t="s">
        <v>27</v>
      </c>
      <c r="D667" s="20" t="n">
        <v>12</v>
      </c>
      <c r="E667" s="20" t="s">
        <v>28</v>
      </c>
      <c r="F667" s="20" t="n">
        <v>1</v>
      </c>
      <c r="G667" s="20" t="str">
        <f aca="false">CONCATENATE(B667, "-",C667, "-", D667, "-", F667)</f>
        <v>M0112-B-12-1</v>
      </c>
      <c r="H667" s="20" t="n">
        <v>82</v>
      </c>
      <c r="I667" s="20" t="n">
        <v>83.48</v>
      </c>
    </row>
    <row r="668" customFormat="false" ht="13.5" hidden="false" customHeight="true" outlineLevel="0" collapsed="false">
      <c r="A668" s="20" t="n">
        <v>501</v>
      </c>
      <c r="B668" s="20" t="s">
        <v>49</v>
      </c>
      <c r="C668" s="20" t="s">
        <v>27</v>
      </c>
      <c r="D668" s="20" t="n">
        <v>13</v>
      </c>
      <c r="E668" s="20" t="s">
        <v>28</v>
      </c>
      <c r="F668" s="20" t="n">
        <v>1</v>
      </c>
      <c r="G668" s="20" t="str">
        <f aca="false">CONCATENATE(B668, "-",C668, "-", D668, "-", F668)</f>
        <v>M0112-B-13-1</v>
      </c>
      <c r="H668" s="20" t="n">
        <v>83.5</v>
      </c>
      <c r="I668" s="20" t="n">
        <v>85</v>
      </c>
    </row>
    <row r="669" customFormat="false" ht="13.5" hidden="false" customHeight="true" outlineLevel="0" collapsed="false">
      <c r="A669" s="20" t="n">
        <v>501</v>
      </c>
      <c r="B669" s="20" t="s">
        <v>49</v>
      </c>
      <c r="C669" s="20" t="s">
        <v>27</v>
      </c>
      <c r="D669" s="20" t="n">
        <v>13</v>
      </c>
      <c r="E669" s="20" t="s">
        <v>28</v>
      </c>
      <c r="F669" s="20" t="n">
        <v>2</v>
      </c>
      <c r="G669" s="20" t="str">
        <f aca="false">CONCATENATE(B669, "-",C669, "-", D669, "-", F669)</f>
        <v>M0112-B-13-2</v>
      </c>
      <c r="H669" s="20" t="n">
        <v>85</v>
      </c>
      <c r="I669" s="20" t="n">
        <v>86.02</v>
      </c>
    </row>
    <row r="670" customFormat="false" ht="13.5" hidden="false" customHeight="true" outlineLevel="0" collapsed="false">
      <c r="A670" s="20" t="n">
        <v>501</v>
      </c>
      <c r="B670" s="20" t="s">
        <v>49</v>
      </c>
      <c r="C670" s="20" t="s">
        <v>27</v>
      </c>
      <c r="D670" s="20" t="n">
        <v>14</v>
      </c>
      <c r="E670" s="20" t="s">
        <v>28</v>
      </c>
      <c r="F670" s="20" t="n">
        <v>1</v>
      </c>
      <c r="G670" s="20" t="str">
        <f aca="false">CONCATENATE(B670, "-",C670, "-", D670, "-", F670)</f>
        <v>M0112-B-14-1</v>
      </c>
      <c r="H670" s="20" t="n">
        <v>86.5</v>
      </c>
      <c r="I670" s="20" t="n">
        <v>87.75</v>
      </c>
    </row>
    <row r="671" customFormat="false" ht="13.5" hidden="false" customHeight="true" outlineLevel="0" collapsed="false">
      <c r="A671" s="20" t="n">
        <v>501</v>
      </c>
      <c r="B671" s="20" t="s">
        <v>49</v>
      </c>
      <c r="C671" s="20" t="s">
        <v>27</v>
      </c>
      <c r="D671" s="20" t="n">
        <v>15</v>
      </c>
      <c r="E671" s="20" t="s">
        <v>28</v>
      </c>
      <c r="F671" s="20" t="n">
        <v>1</v>
      </c>
      <c r="G671" s="20" t="str">
        <f aca="false">CONCATENATE(B671, "-",C671, "-", D671, "-", F671)</f>
        <v>M0112-B-15-1</v>
      </c>
      <c r="H671" s="20" t="n">
        <v>89.5</v>
      </c>
      <c r="I671" s="20" t="n">
        <v>91</v>
      </c>
    </row>
    <row r="672" customFormat="false" ht="13.5" hidden="false" customHeight="true" outlineLevel="0" collapsed="false">
      <c r="A672" s="20" t="n">
        <v>501</v>
      </c>
      <c r="B672" s="20" t="s">
        <v>49</v>
      </c>
      <c r="C672" s="20" t="s">
        <v>27</v>
      </c>
      <c r="D672" s="20" t="n">
        <v>15</v>
      </c>
      <c r="E672" s="20" t="s">
        <v>28</v>
      </c>
      <c r="F672" s="20" t="n">
        <v>2</v>
      </c>
      <c r="G672" s="20" t="str">
        <f aca="false">CONCATENATE(B672, "-",C672, "-", D672, "-", F672)</f>
        <v>M0112-B-15-2</v>
      </c>
      <c r="H672" s="20" t="n">
        <v>91</v>
      </c>
      <c r="I672" s="20" t="n">
        <v>92.27</v>
      </c>
    </row>
    <row r="673" customFormat="false" ht="13.5" hidden="false" customHeight="true" outlineLevel="0" collapsed="false">
      <c r="A673" s="20" t="n">
        <v>501</v>
      </c>
      <c r="B673" s="20" t="s">
        <v>49</v>
      </c>
      <c r="C673" s="20" t="s">
        <v>27</v>
      </c>
      <c r="D673" s="20" t="n">
        <v>16</v>
      </c>
      <c r="E673" s="20" t="s">
        <v>28</v>
      </c>
      <c r="F673" s="20" t="n">
        <v>1</v>
      </c>
      <c r="G673" s="20" t="str">
        <f aca="false">CONCATENATE(B673, "-",C673, "-", D673, "-", F673)</f>
        <v>M0112-B-16-1</v>
      </c>
      <c r="H673" s="20" t="n">
        <v>92.5</v>
      </c>
      <c r="I673" s="20" t="n">
        <v>94</v>
      </c>
    </row>
    <row r="674" customFormat="false" ht="13.5" hidden="false" customHeight="true" outlineLevel="0" collapsed="false">
      <c r="A674" s="20" t="n">
        <v>501</v>
      </c>
      <c r="B674" s="20" t="s">
        <v>49</v>
      </c>
      <c r="C674" s="20" t="s">
        <v>27</v>
      </c>
      <c r="D674" s="20" t="n">
        <v>16</v>
      </c>
      <c r="E674" s="20" t="s">
        <v>28</v>
      </c>
      <c r="F674" s="20" t="n">
        <v>2</v>
      </c>
      <c r="G674" s="20" t="str">
        <f aca="false">CONCATENATE(B674, "-",C674, "-", D674, "-", F674)</f>
        <v>M0112-B-16-2</v>
      </c>
      <c r="H674" s="20" t="n">
        <v>94</v>
      </c>
      <c r="I674" s="20" t="n">
        <v>94.91</v>
      </c>
    </row>
    <row r="675" customFormat="false" ht="13.5" hidden="false" customHeight="true" outlineLevel="0" collapsed="false">
      <c r="A675" s="20" t="n">
        <v>501</v>
      </c>
      <c r="B675" s="20" t="s">
        <v>49</v>
      </c>
      <c r="C675" s="20" t="s">
        <v>27</v>
      </c>
      <c r="D675" s="20" t="n">
        <v>17</v>
      </c>
      <c r="E675" s="20" t="s">
        <v>28</v>
      </c>
      <c r="F675" s="20" t="n">
        <v>1</v>
      </c>
      <c r="G675" s="20" t="str">
        <f aca="false">CONCATENATE(B675, "-",C675, "-", D675, "-", F675)</f>
        <v>M0112-B-17-1</v>
      </c>
      <c r="H675" s="20" t="n">
        <v>95.5</v>
      </c>
      <c r="I675" s="20" t="n">
        <v>96.91</v>
      </c>
    </row>
    <row r="676" customFormat="false" ht="13.5" hidden="false" customHeight="true" outlineLevel="0" collapsed="false">
      <c r="A676" s="20" t="n">
        <v>501</v>
      </c>
      <c r="B676" s="20" t="s">
        <v>49</v>
      </c>
      <c r="C676" s="20" t="s">
        <v>27</v>
      </c>
      <c r="D676" s="20" t="n">
        <v>18</v>
      </c>
      <c r="E676" s="20" t="s">
        <v>28</v>
      </c>
      <c r="F676" s="20" t="n">
        <v>1</v>
      </c>
      <c r="G676" s="20" t="str">
        <f aca="false">CONCATENATE(B676, "-",C676, "-", D676, "-", F676)</f>
        <v>M0112-B-18-1</v>
      </c>
      <c r="H676" s="20" t="n">
        <v>98.5</v>
      </c>
      <c r="I676" s="20" t="n">
        <v>98.82</v>
      </c>
    </row>
    <row r="677" customFormat="false" ht="13.5" hidden="false" customHeight="true" outlineLevel="0" collapsed="false">
      <c r="A677" s="20" t="n">
        <v>501</v>
      </c>
      <c r="B677" s="20" t="s">
        <v>49</v>
      </c>
      <c r="C677" s="20" t="s">
        <v>27</v>
      </c>
      <c r="D677" s="20" t="n">
        <v>19</v>
      </c>
      <c r="E677" s="20" t="s">
        <v>28</v>
      </c>
      <c r="F677" s="20" t="n">
        <v>1</v>
      </c>
      <c r="G677" s="20" t="str">
        <f aca="false">CONCATENATE(B677, "-",C677, "-", D677, "-", F677)</f>
        <v>M0112-B-19-1</v>
      </c>
      <c r="H677" s="20" t="n">
        <v>101.5</v>
      </c>
      <c r="I677" s="20" t="n">
        <v>102.11</v>
      </c>
    </row>
    <row r="678" customFormat="false" ht="13.5" hidden="false" customHeight="true" outlineLevel="0" collapsed="false">
      <c r="A678" s="20" t="n">
        <v>501</v>
      </c>
      <c r="B678" s="20" t="s">
        <v>49</v>
      </c>
      <c r="C678" s="20" t="s">
        <v>27</v>
      </c>
      <c r="D678" s="20" t="n">
        <v>19</v>
      </c>
      <c r="E678" s="20" t="s">
        <v>28</v>
      </c>
      <c r="F678" s="20" t="n">
        <v>2</v>
      </c>
      <c r="G678" s="20" t="str">
        <f aca="false">CONCATENATE(B678, "-",C678, "-", D678, "-", F678)</f>
        <v>M0112-B-19-2</v>
      </c>
      <c r="H678" s="20" t="n">
        <v>102.11</v>
      </c>
      <c r="I678" s="20" t="n">
        <v>102.55</v>
      </c>
    </row>
    <row r="679" customFormat="false" ht="13.5" hidden="false" customHeight="true" outlineLevel="0" collapsed="false">
      <c r="A679" s="20" t="n">
        <v>501</v>
      </c>
      <c r="B679" s="20" t="s">
        <v>49</v>
      </c>
      <c r="C679" s="20" t="s">
        <v>27</v>
      </c>
      <c r="D679" s="20" t="n">
        <v>20</v>
      </c>
      <c r="E679" s="20" t="s">
        <v>28</v>
      </c>
      <c r="F679" s="20" t="n">
        <v>1</v>
      </c>
      <c r="G679" s="20" t="str">
        <f aca="false">CONCATENATE(B679, "-",C679, "-", D679, "-", F679)</f>
        <v>M0112-B-20-1</v>
      </c>
      <c r="H679" s="20" t="n">
        <v>103.42</v>
      </c>
      <c r="I679" s="20" t="n">
        <v>103.6</v>
      </c>
    </row>
    <row r="680" customFormat="false" ht="13.5" hidden="false" customHeight="true" outlineLevel="0" collapsed="false">
      <c r="A680" s="20" t="n">
        <v>501</v>
      </c>
      <c r="B680" s="20" t="s">
        <v>49</v>
      </c>
      <c r="C680" s="20" t="s">
        <v>27</v>
      </c>
      <c r="D680" s="20" t="n">
        <v>21</v>
      </c>
      <c r="E680" s="20" t="s">
        <v>28</v>
      </c>
      <c r="F680" s="20" t="n">
        <v>1</v>
      </c>
      <c r="G680" s="20" t="str">
        <f aca="false">CONCATENATE(B680, "-",C680, "-", D680, "-", F680)</f>
        <v>M0112-B-21-1</v>
      </c>
      <c r="H680" s="20" t="n">
        <v>104.82</v>
      </c>
      <c r="I680" s="20" t="n">
        <v>105.06</v>
      </c>
    </row>
    <row r="681" customFormat="false" ht="13.5" hidden="false" customHeight="true" outlineLevel="0" collapsed="false">
      <c r="A681" s="20" t="n">
        <v>501</v>
      </c>
      <c r="B681" s="20" t="s">
        <v>49</v>
      </c>
      <c r="C681" s="20" t="s">
        <v>27</v>
      </c>
      <c r="D681" s="20" t="n">
        <v>22</v>
      </c>
      <c r="E681" s="20" t="s">
        <v>28</v>
      </c>
      <c r="F681" s="20" t="n">
        <v>1</v>
      </c>
      <c r="G681" s="20" t="str">
        <f aca="false">CONCATENATE(B681, "-",C681, "-", D681, "-", F681)</f>
        <v>M0112-B-22-1</v>
      </c>
      <c r="H681" s="20" t="n">
        <v>107.82</v>
      </c>
      <c r="I681" s="20" t="n">
        <v>107.93</v>
      </c>
    </row>
    <row r="682" customFormat="false" ht="13.5" hidden="false" customHeight="true" outlineLevel="0" collapsed="false">
      <c r="A682" s="20" t="n">
        <v>501</v>
      </c>
      <c r="B682" s="20" t="s">
        <v>49</v>
      </c>
      <c r="C682" s="20" t="s">
        <v>27</v>
      </c>
      <c r="D682" s="20" t="n">
        <v>24</v>
      </c>
      <c r="E682" s="20" t="s">
        <v>28</v>
      </c>
      <c r="F682" s="20" t="n">
        <v>1</v>
      </c>
      <c r="G682" s="20" t="str">
        <f aca="false">CONCATENATE(B682, "-",C682, "-", D682, "-", F682)</f>
        <v>M0112-B-24-1</v>
      </c>
      <c r="H682" s="20" t="n">
        <v>110.22</v>
      </c>
      <c r="I682" s="20" t="n">
        <v>110.77</v>
      </c>
    </row>
    <row r="683" customFormat="false" ht="13.5" hidden="false" customHeight="true" outlineLevel="0" collapsed="false">
      <c r="A683" s="20" t="n">
        <v>501</v>
      </c>
      <c r="B683" s="20" t="s">
        <v>49</v>
      </c>
      <c r="C683" s="20" t="s">
        <v>27</v>
      </c>
      <c r="D683" s="20" t="n">
        <v>25</v>
      </c>
      <c r="E683" s="20" t="s">
        <v>48</v>
      </c>
      <c r="F683" s="20" t="n">
        <v>1</v>
      </c>
      <c r="G683" s="20" t="str">
        <f aca="false">CONCATENATE(B683, "-",C683, "-", D683, "-", F683)</f>
        <v>M0112-B-25-1</v>
      </c>
      <c r="H683" s="20" t="n">
        <v>80.82</v>
      </c>
      <c r="I683" s="20" t="n">
        <v>110.82</v>
      </c>
    </row>
    <row r="684" customFormat="false" ht="13.5" hidden="false" customHeight="true" outlineLevel="0" collapsed="false">
      <c r="A684" s="20" t="n">
        <v>501</v>
      </c>
      <c r="B684" s="20" t="s">
        <v>49</v>
      </c>
      <c r="C684" s="20" t="s">
        <v>27</v>
      </c>
      <c r="D684" s="20" t="n">
        <v>27</v>
      </c>
      <c r="E684" s="20" t="s">
        <v>28</v>
      </c>
      <c r="F684" s="20" t="n">
        <v>1</v>
      </c>
      <c r="G684" s="20" t="str">
        <f aca="false">CONCATENATE(B684, "-",C684, "-", D684, "-", F684)</f>
        <v>M0112-B-27-1</v>
      </c>
      <c r="H684" s="20" t="n">
        <v>138</v>
      </c>
      <c r="I684" s="20" t="n">
        <v>139.5</v>
      </c>
    </row>
    <row r="685" customFormat="false" ht="13.5" hidden="false" customHeight="true" outlineLevel="0" collapsed="false">
      <c r="A685" s="20" t="n">
        <v>501</v>
      </c>
      <c r="B685" s="20" t="s">
        <v>49</v>
      </c>
      <c r="C685" s="20" t="s">
        <v>27</v>
      </c>
      <c r="D685" s="20" t="n">
        <v>27</v>
      </c>
      <c r="E685" s="20" t="s">
        <v>28</v>
      </c>
      <c r="F685" s="20" t="n">
        <v>2</v>
      </c>
      <c r="G685" s="20" t="str">
        <f aca="false">CONCATENATE(B685, "-",C685, "-", D685, "-", F685)</f>
        <v>M0112-B-27-2</v>
      </c>
      <c r="H685" s="20" t="n">
        <v>139.5</v>
      </c>
      <c r="I685" s="20" t="n">
        <v>140.66</v>
      </c>
    </row>
    <row r="686" customFormat="false" ht="13.5" hidden="false" customHeight="true" outlineLevel="0" collapsed="false">
      <c r="A686" s="20" t="n">
        <v>501</v>
      </c>
      <c r="B686" s="20" t="s">
        <v>49</v>
      </c>
      <c r="C686" s="20" t="s">
        <v>27</v>
      </c>
      <c r="D686" s="20" t="n">
        <v>28</v>
      </c>
      <c r="E686" s="20" t="s">
        <v>28</v>
      </c>
      <c r="F686" s="20" t="n">
        <v>1</v>
      </c>
      <c r="G686" s="20" t="str">
        <f aca="false">CONCATENATE(B686, "-",C686, "-", D686, "-", F686)</f>
        <v>M0112-B-28-1</v>
      </c>
      <c r="H686" s="20" t="n">
        <v>141</v>
      </c>
      <c r="I686" s="20" t="n">
        <v>142.5</v>
      </c>
    </row>
    <row r="687" customFormat="false" ht="13.5" hidden="false" customHeight="true" outlineLevel="0" collapsed="false">
      <c r="A687" s="20" t="n">
        <v>501</v>
      </c>
      <c r="B687" s="20" t="s">
        <v>49</v>
      </c>
      <c r="C687" s="20" t="s">
        <v>27</v>
      </c>
      <c r="D687" s="20" t="n">
        <v>28</v>
      </c>
      <c r="E687" s="20" t="s">
        <v>28</v>
      </c>
      <c r="F687" s="20" t="n">
        <v>2</v>
      </c>
      <c r="G687" s="20" t="str">
        <f aca="false">CONCATENATE(B687, "-",C687, "-", D687, "-", F687)</f>
        <v>M0112-B-28-2</v>
      </c>
      <c r="H687" s="20" t="n">
        <v>142.5</v>
      </c>
      <c r="I687" s="20" t="n">
        <v>143.5</v>
      </c>
    </row>
    <row r="688" customFormat="false" ht="13.5" hidden="false" customHeight="true" outlineLevel="0" collapsed="false">
      <c r="A688" s="20" t="n">
        <v>501</v>
      </c>
      <c r="B688" s="20" t="s">
        <v>49</v>
      </c>
      <c r="C688" s="20" t="s">
        <v>27</v>
      </c>
      <c r="D688" s="20" t="n">
        <v>28</v>
      </c>
      <c r="E688" s="20" t="s">
        <v>28</v>
      </c>
      <c r="F688" s="20" t="n">
        <v>3</v>
      </c>
      <c r="G688" s="20" t="str">
        <f aca="false">CONCATENATE(B688, "-",C688, "-", D688, "-", F688)</f>
        <v>M0112-B-28-3</v>
      </c>
      <c r="H688" s="20" t="n">
        <v>143.5</v>
      </c>
      <c r="I688" s="20" t="n">
        <v>144.14</v>
      </c>
    </row>
    <row r="689" customFormat="false" ht="13.5" hidden="false" customHeight="true" outlineLevel="0" collapsed="false">
      <c r="A689" s="20" t="n">
        <v>501</v>
      </c>
      <c r="B689" s="20" t="s">
        <v>49</v>
      </c>
      <c r="C689" s="20" t="s">
        <v>27</v>
      </c>
      <c r="D689" s="20" t="n">
        <v>29</v>
      </c>
      <c r="E689" s="20" t="s">
        <v>28</v>
      </c>
      <c r="F689" s="20" t="n">
        <v>1</v>
      </c>
      <c r="G689" s="20" t="str">
        <f aca="false">CONCATENATE(B689, "-",C689, "-", D689, "-", F689)</f>
        <v>M0112-B-29-1</v>
      </c>
      <c r="H689" s="20" t="n">
        <v>144</v>
      </c>
      <c r="I689" s="20" t="n">
        <v>145.5</v>
      </c>
    </row>
    <row r="690" customFormat="false" ht="13.5" hidden="false" customHeight="true" outlineLevel="0" collapsed="false">
      <c r="A690" s="20" t="n">
        <v>501</v>
      </c>
      <c r="B690" s="20" t="s">
        <v>49</v>
      </c>
      <c r="C690" s="20" t="s">
        <v>27</v>
      </c>
      <c r="D690" s="20" t="n">
        <v>29</v>
      </c>
      <c r="E690" s="20" t="s">
        <v>28</v>
      </c>
      <c r="F690" s="20" t="n">
        <v>2</v>
      </c>
      <c r="G690" s="20" t="str">
        <f aca="false">CONCATENATE(B690, "-",C690, "-", D690, "-", F690)</f>
        <v>M0112-B-29-2</v>
      </c>
      <c r="H690" s="20" t="n">
        <v>145.5</v>
      </c>
      <c r="I690" s="20" t="n">
        <v>146.5</v>
      </c>
    </row>
    <row r="691" customFormat="false" ht="13.5" hidden="false" customHeight="true" outlineLevel="0" collapsed="false">
      <c r="A691" s="20" t="n">
        <v>501</v>
      </c>
      <c r="B691" s="20" t="s">
        <v>49</v>
      </c>
      <c r="C691" s="20" t="s">
        <v>27</v>
      </c>
      <c r="D691" s="20" t="n">
        <v>29</v>
      </c>
      <c r="E691" s="20" t="s">
        <v>28</v>
      </c>
      <c r="F691" s="20" t="n">
        <v>3</v>
      </c>
      <c r="G691" s="20" t="str">
        <f aca="false">CONCATENATE(B691, "-",C691, "-", D691, "-", F691)</f>
        <v>M0112-B-29-3</v>
      </c>
      <c r="H691" s="20" t="n">
        <v>146.5</v>
      </c>
      <c r="I691" s="20" t="n">
        <v>147.09</v>
      </c>
    </row>
    <row r="692" customFormat="false" ht="13.5" hidden="false" customHeight="true" outlineLevel="0" collapsed="false">
      <c r="A692" s="20" t="n">
        <v>501</v>
      </c>
      <c r="B692" s="20" t="s">
        <v>49</v>
      </c>
      <c r="C692" s="20" t="s">
        <v>27</v>
      </c>
      <c r="D692" s="20" t="n">
        <v>30</v>
      </c>
      <c r="E692" s="20" t="s">
        <v>28</v>
      </c>
      <c r="F692" s="20" t="n">
        <v>1</v>
      </c>
      <c r="G692" s="20" t="str">
        <f aca="false">CONCATENATE(B692, "-",C692, "-", D692, "-", F692)</f>
        <v>M0112-B-30-1</v>
      </c>
      <c r="H692" s="20" t="n">
        <v>147</v>
      </c>
      <c r="I692" s="20" t="n">
        <v>148.5</v>
      </c>
    </row>
    <row r="693" customFormat="false" ht="13.5" hidden="false" customHeight="true" outlineLevel="0" collapsed="false">
      <c r="A693" s="20" t="n">
        <v>501</v>
      </c>
      <c r="B693" s="20" t="s">
        <v>49</v>
      </c>
      <c r="C693" s="20" t="s">
        <v>27</v>
      </c>
      <c r="D693" s="20" t="n">
        <v>30</v>
      </c>
      <c r="E693" s="20" t="s">
        <v>28</v>
      </c>
      <c r="F693" s="20" t="n">
        <v>2</v>
      </c>
      <c r="G693" s="20" t="str">
        <f aca="false">CONCATENATE(B693, "-",C693, "-", D693, "-", F693)</f>
        <v>M0112-B-30-2</v>
      </c>
      <c r="H693" s="20" t="n">
        <v>148.5</v>
      </c>
      <c r="I693" s="20" t="n">
        <v>149.54</v>
      </c>
    </row>
    <row r="694" customFormat="false" ht="13.5" hidden="false" customHeight="true" outlineLevel="0" collapsed="false">
      <c r="A694" s="20" t="n">
        <v>501</v>
      </c>
      <c r="B694" s="20" t="s">
        <v>49</v>
      </c>
      <c r="C694" s="20" t="s">
        <v>27</v>
      </c>
      <c r="D694" s="20" t="n">
        <v>31</v>
      </c>
      <c r="E694" s="20" t="s">
        <v>28</v>
      </c>
      <c r="F694" s="20" t="n">
        <v>1</v>
      </c>
      <c r="G694" s="20" t="str">
        <f aca="false">CONCATENATE(B694, "-",C694, "-", D694, "-", F694)</f>
        <v>M0112-B-31-1</v>
      </c>
      <c r="H694" s="20" t="n">
        <v>149.37</v>
      </c>
      <c r="I694" s="20" t="n">
        <v>150.37</v>
      </c>
    </row>
    <row r="695" customFormat="false" ht="13.5" hidden="false" customHeight="true" outlineLevel="0" collapsed="false">
      <c r="A695" s="20" t="n">
        <v>501</v>
      </c>
      <c r="B695" s="20" t="s">
        <v>49</v>
      </c>
      <c r="C695" s="20" t="s">
        <v>27</v>
      </c>
      <c r="D695" s="20" t="n">
        <v>31</v>
      </c>
      <c r="E695" s="20" t="s">
        <v>28</v>
      </c>
      <c r="F695" s="20" t="n">
        <v>2</v>
      </c>
      <c r="G695" s="20" t="str">
        <f aca="false">CONCATENATE(B695, "-",C695, "-", D695, "-", F695)</f>
        <v>M0112-B-31-2</v>
      </c>
      <c r="H695" s="20" t="n">
        <v>150.37</v>
      </c>
      <c r="I695" s="20" t="n">
        <v>150.92</v>
      </c>
    </row>
    <row r="696" customFormat="false" ht="13.5" hidden="false" customHeight="true" outlineLevel="0" collapsed="false">
      <c r="A696" s="20" t="n">
        <v>501</v>
      </c>
      <c r="B696" s="20" t="s">
        <v>49</v>
      </c>
      <c r="C696" s="20" t="s">
        <v>27</v>
      </c>
      <c r="D696" s="20" t="n">
        <v>35</v>
      </c>
      <c r="E696" s="20" t="s">
        <v>28</v>
      </c>
      <c r="F696" s="20" t="n">
        <v>1</v>
      </c>
      <c r="G696" s="20" t="str">
        <f aca="false">CONCATENATE(B696, "-",C696, "-", D696, "-", F696)</f>
        <v>M0112-B-35-1</v>
      </c>
      <c r="H696" s="20" t="n">
        <v>200</v>
      </c>
      <c r="I696" s="20" t="n">
        <v>200.27</v>
      </c>
    </row>
    <row r="697" customFormat="false" ht="13.5" hidden="false" customHeight="true" outlineLevel="0" collapsed="false">
      <c r="A697" s="20" t="n">
        <v>501</v>
      </c>
      <c r="B697" s="20" t="s">
        <v>49</v>
      </c>
      <c r="C697" s="20" t="s">
        <v>27</v>
      </c>
      <c r="D697" s="20" t="n">
        <v>36</v>
      </c>
      <c r="E697" s="20" t="s">
        <v>28</v>
      </c>
      <c r="F697" s="20" t="n">
        <v>1</v>
      </c>
      <c r="G697" s="20" t="str">
        <f aca="false">CONCATENATE(B697, "-",C697, "-", D697, "-", F697)</f>
        <v>M0112-B-36-1</v>
      </c>
      <c r="H697" s="20" t="n">
        <v>201.82</v>
      </c>
      <c r="I697" s="20" t="n">
        <v>201.97</v>
      </c>
    </row>
    <row r="698" customFormat="false" ht="13.5" hidden="false" customHeight="true" outlineLevel="0" collapsed="false">
      <c r="A698" s="20" t="n">
        <v>501</v>
      </c>
      <c r="B698" s="20" t="s">
        <v>49</v>
      </c>
      <c r="C698" s="20" t="s">
        <v>27</v>
      </c>
      <c r="D698" s="20" t="n">
        <v>37</v>
      </c>
      <c r="E698" s="20" t="s">
        <v>28</v>
      </c>
      <c r="F698" s="20" t="n">
        <v>1</v>
      </c>
      <c r="G698" s="20" t="str">
        <f aca="false">CONCATENATE(B698, "-",C698, "-", D698, "-", F698)</f>
        <v>M0112-B-37-1</v>
      </c>
      <c r="H698" s="20" t="n">
        <v>203.32</v>
      </c>
      <c r="I698" s="20" t="n">
        <v>203.77</v>
      </c>
    </row>
    <row r="699" customFormat="false" ht="13.5" hidden="false" customHeight="true" outlineLevel="0" collapsed="false">
      <c r="A699" s="20" t="n">
        <v>501</v>
      </c>
      <c r="B699" s="20" t="s">
        <v>49</v>
      </c>
      <c r="C699" s="20" t="s">
        <v>27</v>
      </c>
      <c r="D699" s="20" t="n">
        <v>39</v>
      </c>
      <c r="E699" s="20" t="s">
        <v>28</v>
      </c>
      <c r="F699" s="20" t="n">
        <v>1</v>
      </c>
      <c r="G699" s="20" t="str">
        <f aca="false">CONCATENATE(B699, "-",C699, "-", D699, "-", F699)</f>
        <v>M0112-B-39-1</v>
      </c>
      <c r="H699" s="20" t="n">
        <v>230.32</v>
      </c>
      <c r="I699" s="20" t="n">
        <v>231.39</v>
      </c>
    </row>
    <row r="700" customFormat="false" ht="13.5" hidden="false" customHeight="true" outlineLevel="0" collapsed="false">
      <c r="A700" s="20" t="n">
        <v>501</v>
      </c>
      <c r="B700" s="20" t="s">
        <v>49</v>
      </c>
      <c r="C700" s="20" t="s">
        <v>27</v>
      </c>
      <c r="D700" s="20" t="n">
        <v>40</v>
      </c>
      <c r="E700" s="20" t="s">
        <v>28</v>
      </c>
      <c r="F700" s="20" t="n">
        <v>1</v>
      </c>
      <c r="G700" s="20" t="str">
        <f aca="false">CONCATENATE(B700, "-",C700, "-", D700, "-", F700)</f>
        <v>M0112-B-40-1</v>
      </c>
      <c r="H700" s="20" t="n">
        <v>231.82</v>
      </c>
      <c r="I700" s="20" t="n">
        <v>232.72</v>
      </c>
    </row>
    <row r="701" customFormat="false" ht="13.5" hidden="false" customHeight="true" outlineLevel="0" collapsed="false">
      <c r="A701" s="20" t="n">
        <v>501</v>
      </c>
      <c r="B701" s="20" t="s">
        <v>49</v>
      </c>
      <c r="C701" s="20" t="s">
        <v>27</v>
      </c>
      <c r="D701" s="20" t="n">
        <v>40</v>
      </c>
      <c r="E701" s="20" t="s">
        <v>28</v>
      </c>
      <c r="F701" s="20" t="n">
        <v>2</v>
      </c>
      <c r="G701" s="20" t="str">
        <f aca="false">CONCATENATE(B701, "-",C701, "-", D701, "-", F701)</f>
        <v>M0112-B-40-2</v>
      </c>
      <c r="H701" s="20" t="n">
        <v>232.72</v>
      </c>
      <c r="I701" s="20" t="n">
        <v>232.79</v>
      </c>
    </row>
    <row r="702" customFormat="false" ht="13.5" hidden="false" customHeight="true" outlineLevel="0" collapsed="false">
      <c r="A702" s="20" t="n">
        <v>501</v>
      </c>
      <c r="B702" s="20" t="s">
        <v>49</v>
      </c>
      <c r="C702" s="20" t="s">
        <v>27</v>
      </c>
      <c r="D702" s="20" t="n">
        <v>41</v>
      </c>
      <c r="E702" s="20" t="s">
        <v>28</v>
      </c>
      <c r="F702" s="20" t="n">
        <v>1</v>
      </c>
      <c r="G702" s="20" t="str">
        <f aca="false">CONCATENATE(B702, "-",C702, "-", D702, "-", F702)</f>
        <v>M0112-B-41-1</v>
      </c>
      <c r="H702" s="20" t="n">
        <v>234.82</v>
      </c>
      <c r="I702" s="20" t="n">
        <v>235.7</v>
      </c>
    </row>
    <row r="703" customFormat="false" ht="13.5" hidden="false" customHeight="true" outlineLevel="0" collapsed="false">
      <c r="A703" s="20" t="n">
        <v>501</v>
      </c>
      <c r="B703" s="20" t="s">
        <v>49</v>
      </c>
      <c r="C703" s="20" t="s">
        <v>27</v>
      </c>
      <c r="D703" s="20" t="n">
        <v>41</v>
      </c>
      <c r="E703" s="20" t="s">
        <v>28</v>
      </c>
      <c r="F703" s="20" t="n">
        <v>2</v>
      </c>
      <c r="G703" s="20" t="str">
        <f aca="false">CONCATENATE(B703, "-",C703, "-", D703, "-", F703)</f>
        <v>M0112-B-41-2</v>
      </c>
      <c r="H703" s="20" t="n">
        <v>235.7</v>
      </c>
      <c r="I703" s="20" t="n">
        <v>236.25</v>
      </c>
    </row>
    <row r="704" customFormat="false" ht="13.5" hidden="false" customHeight="true" outlineLevel="0" collapsed="false">
      <c r="A704" s="20" t="n">
        <v>501</v>
      </c>
      <c r="B704" s="20" t="s">
        <v>49</v>
      </c>
      <c r="C704" s="20" t="s">
        <v>27</v>
      </c>
      <c r="D704" s="20" t="n">
        <v>42</v>
      </c>
      <c r="E704" s="20" t="s">
        <v>28</v>
      </c>
      <c r="F704" s="20" t="n">
        <v>1</v>
      </c>
      <c r="G704" s="20" t="str">
        <f aca="false">CONCATENATE(B704, "-",C704, "-", D704, "-", F704)</f>
        <v>M0112-B-42-1</v>
      </c>
      <c r="H704" s="20" t="n">
        <v>236.32</v>
      </c>
      <c r="I704" s="20" t="n">
        <v>236.93</v>
      </c>
    </row>
    <row r="705" customFormat="false" ht="13.5" hidden="false" customHeight="true" outlineLevel="0" collapsed="false">
      <c r="A705" s="20" t="n">
        <v>501</v>
      </c>
      <c r="B705" s="20" t="s">
        <v>49</v>
      </c>
      <c r="C705" s="20" t="s">
        <v>27</v>
      </c>
      <c r="D705" s="20" t="n">
        <v>42</v>
      </c>
      <c r="E705" s="20" t="s">
        <v>28</v>
      </c>
      <c r="F705" s="20" t="n">
        <v>2</v>
      </c>
      <c r="G705" s="20" t="str">
        <f aca="false">CONCATENATE(B705, "-",C705, "-", D705, "-", F705)</f>
        <v>M0112-B-42-2</v>
      </c>
      <c r="H705" s="20" t="n">
        <v>236.93</v>
      </c>
      <c r="I705" s="20" t="n">
        <v>237.05</v>
      </c>
    </row>
    <row r="706" customFormat="false" ht="13.5" hidden="false" customHeight="true" outlineLevel="0" collapsed="false">
      <c r="A706" s="20" t="n">
        <v>501</v>
      </c>
      <c r="B706" s="20" t="s">
        <v>49</v>
      </c>
      <c r="C706" s="20" t="s">
        <v>27</v>
      </c>
      <c r="D706" s="20" t="n">
        <v>43</v>
      </c>
      <c r="E706" s="20" t="s">
        <v>28</v>
      </c>
      <c r="F706" s="20" t="n">
        <v>1</v>
      </c>
      <c r="G706" s="20" t="str">
        <f aca="false">CONCATENATE(B706, "-",C706, "-", D706, "-", F706)</f>
        <v>M0112-B-43-1</v>
      </c>
      <c r="H706" s="20" t="n">
        <v>237.82</v>
      </c>
      <c r="I706" s="20" t="n">
        <v>238.9</v>
      </c>
    </row>
    <row r="707" customFormat="false" ht="13.5" hidden="false" customHeight="true" outlineLevel="0" collapsed="false">
      <c r="A707" s="20" t="n">
        <v>501</v>
      </c>
      <c r="B707" s="20" t="s">
        <v>49</v>
      </c>
      <c r="C707" s="20" t="s">
        <v>27</v>
      </c>
      <c r="D707" s="20" t="n">
        <v>44</v>
      </c>
      <c r="E707" s="20" t="s">
        <v>28</v>
      </c>
      <c r="F707" s="20" t="n">
        <v>1</v>
      </c>
      <c r="G707" s="20" t="str">
        <f aca="false">CONCATENATE(B707, "-",C707, "-", D707, "-", F707)</f>
        <v>M0112-B-44-1</v>
      </c>
      <c r="H707" s="20" t="n">
        <v>239.32</v>
      </c>
      <c r="I707" s="20" t="n">
        <v>240.44</v>
      </c>
    </row>
    <row r="708" customFormat="false" ht="13.5" hidden="false" customHeight="true" outlineLevel="0" collapsed="false">
      <c r="A708" s="20" t="n">
        <v>501</v>
      </c>
      <c r="B708" s="20" t="s">
        <v>49</v>
      </c>
      <c r="C708" s="20" t="s">
        <v>27</v>
      </c>
      <c r="D708" s="20" t="n">
        <v>45</v>
      </c>
      <c r="E708" s="20" t="s">
        <v>28</v>
      </c>
      <c r="F708" s="20" t="n">
        <v>1</v>
      </c>
      <c r="G708" s="20" t="str">
        <f aca="false">CONCATENATE(B708, "-",C708, "-", D708, "-", F708)</f>
        <v>M0112-B-45-1</v>
      </c>
      <c r="H708" s="20" t="n">
        <v>240.82</v>
      </c>
      <c r="I708" s="20" t="n">
        <v>242.06</v>
      </c>
    </row>
    <row r="709" customFormat="false" ht="13.5" hidden="false" customHeight="true" outlineLevel="0" collapsed="false">
      <c r="A709" s="20" t="n">
        <v>501</v>
      </c>
      <c r="B709" s="20" t="s">
        <v>49</v>
      </c>
      <c r="C709" s="20" t="s">
        <v>27</v>
      </c>
      <c r="D709" s="20" t="n">
        <v>46</v>
      </c>
      <c r="E709" s="20" t="s">
        <v>28</v>
      </c>
      <c r="F709" s="20" t="n">
        <v>1</v>
      </c>
      <c r="G709" s="20" t="str">
        <f aca="false">CONCATENATE(B709, "-",C709, "-", D709, "-", F709)</f>
        <v>M0112-B-46-1</v>
      </c>
      <c r="H709" s="20" t="n">
        <v>242.32</v>
      </c>
      <c r="I709" s="20" t="n">
        <v>243.75</v>
      </c>
    </row>
    <row r="710" customFormat="false" ht="13.5" hidden="false" customHeight="true" outlineLevel="0" collapsed="false">
      <c r="A710" s="20" t="n">
        <v>501</v>
      </c>
      <c r="B710" s="20" t="s">
        <v>49</v>
      </c>
      <c r="C710" s="20" t="s">
        <v>27</v>
      </c>
      <c r="D710" s="20" t="n">
        <v>47</v>
      </c>
      <c r="E710" s="20" t="s">
        <v>28</v>
      </c>
      <c r="F710" s="20" t="n">
        <v>1</v>
      </c>
      <c r="G710" s="20" t="str">
        <f aca="false">CONCATENATE(B710, "-",C710, "-", D710, "-", F710)</f>
        <v>M0112-B-47-1</v>
      </c>
      <c r="H710" s="20" t="n">
        <v>243.82</v>
      </c>
      <c r="I710" s="20" t="n">
        <v>243.93</v>
      </c>
    </row>
    <row r="711" customFormat="false" ht="13.5" hidden="false" customHeight="true" outlineLevel="0" collapsed="false">
      <c r="A711" s="20" t="n">
        <v>501</v>
      </c>
      <c r="B711" s="20" t="s">
        <v>49</v>
      </c>
      <c r="C711" s="20" t="s">
        <v>27</v>
      </c>
      <c r="D711" s="20" t="n">
        <v>48</v>
      </c>
      <c r="E711" s="20" t="s">
        <v>28</v>
      </c>
      <c r="F711" s="20" t="n">
        <v>1</v>
      </c>
      <c r="G711" s="20" t="str">
        <f aca="false">CONCATENATE(B711, "-",C711, "-", D711, "-", F711)</f>
        <v>M0112-B-48-1</v>
      </c>
      <c r="H711" s="20" t="n">
        <v>245.32</v>
      </c>
      <c r="I711" s="20" t="n">
        <v>245.45</v>
      </c>
    </row>
    <row r="712" customFormat="false" ht="13.5" hidden="false" customHeight="true" outlineLevel="0" collapsed="false">
      <c r="A712" s="20" t="n">
        <v>501</v>
      </c>
      <c r="B712" s="20" t="s">
        <v>49</v>
      </c>
      <c r="C712" s="20" t="s">
        <v>27</v>
      </c>
      <c r="D712" s="20" t="n">
        <v>49</v>
      </c>
      <c r="E712" s="20" t="s">
        <v>28</v>
      </c>
      <c r="F712" s="20" t="n">
        <v>1</v>
      </c>
      <c r="G712" s="20" t="str">
        <f aca="false">CONCATENATE(B712, "-",C712, "-", D712, "-", F712)</f>
        <v>M0112-B-49-1</v>
      </c>
      <c r="H712" s="20" t="n">
        <v>246.82</v>
      </c>
      <c r="I712" s="20" t="n">
        <v>248.32</v>
      </c>
    </row>
    <row r="713" customFormat="false" ht="13.5" hidden="false" customHeight="true" outlineLevel="0" collapsed="false">
      <c r="A713" s="20" t="n">
        <v>501</v>
      </c>
      <c r="B713" s="20" t="s">
        <v>49</v>
      </c>
      <c r="C713" s="20" t="s">
        <v>27</v>
      </c>
      <c r="D713" s="20" t="n">
        <v>49</v>
      </c>
      <c r="E713" s="20" t="s">
        <v>28</v>
      </c>
      <c r="F713" s="20" t="n">
        <v>2</v>
      </c>
      <c r="G713" s="20" t="str">
        <f aca="false">CONCATENATE(B713, "-",C713, "-", D713, "-", F713)</f>
        <v>M0112-B-49-2</v>
      </c>
      <c r="H713" s="20" t="n">
        <v>248.32</v>
      </c>
      <c r="I713" s="20" t="n">
        <v>248.77</v>
      </c>
    </row>
    <row r="714" customFormat="false" ht="13.5" hidden="false" customHeight="true" outlineLevel="0" collapsed="false">
      <c r="A714" s="20" t="n">
        <v>501</v>
      </c>
      <c r="B714" s="20" t="s">
        <v>49</v>
      </c>
      <c r="C714" s="20" t="s">
        <v>27</v>
      </c>
      <c r="D714" s="20" t="n">
        <v>49</v>
      </c>
      <c r="E714" s="20" t="s">
        <v>28</v>
      </c>
      <c r="F714" s="20" t="n">
        <v>3</v>
      </c>
      <c r="G714" s="20" t="str">
        <f aca="false">CONCATENATE(B714, "-",C714, "-", D714, "-", F714)</f>
        <v>M0112-B-49-3</v>
      </c>
      <c r="H714" s="20" t="n">
        <v>248.77</v>
      </c>
      <c r="I714" s="20" t="n">
        <v>248.85</v>
      </c>
    </row>
    <row r="715" customFormat="false" ht="13.5" hidden="false" customHeight="true" outlineLevel="0" collapsed="false">
      <c r="A715" s="20" t="n">
        <v>501</v>
      </c>
      <c r="B715" s="20" t="s">
        <v>49</v>
      </c>
      <c r="C715" s="20" t="s">
        <v>27</v>
      </c>
      <c r="D715" s="20" t="n">
        <v>50</v>
      </c>
      <c r="E715" s="20" t="s">
        <v>28</v>
      </c>
      <c r="F715" s="20" t="n">
        <v>1</v>
      </c>
      <c r="G715" s="20" t="str">
        <f aca="false">CONCATENATE(B715, "-",C715, "-", D715, "-", F715)</f>
        <v>M0112-B-50-1</v>
      </c>
      <c r="H715" s="20" t="n">
        <v>249.82</v>
      </c>
      <c r="I715" s="20" t="n">
        <v>250.24</v>
      </c>
    </row>
    <row r="716" customFormat="false" ht="13.5" hidden="false" customHeight="true" outlineLevel="0" collapsed="false">
      <c r="A716" s="20" t="n">
        <v>501</v>
      </c>
      <c r="B716" s="20" t="s">
        <v>49</v>
      </c>
      <c r="C716" s="20" t="s">
        <v>27</v>
      </c>
      <c r="D716" s="20" t="n">
        <v>51</v>
      </c>
      <c r="E716" s="20" t="s">
        <v>28</v>
      </c>
      <c r="F716" s="20" t="n">
        <v>1</v>
      </c>
      <c r="G716" s="20" t="str">
        <f aca="false">CONCATENATE(B716, "-",C716, "-", D716, "-", F716)</f>
        <v>M0112-B-51-1</v>
      </c>
      <c r="H716" s="20" t="n">
        <v>250.82</v>
      </c>
      <c r="I716" s="20" t="n">
        <v>251.11</v>
      </c>
    </row>
    <row r="717" customFormat="false" ht="13.5" hidden="false" customHeight="true" outlineLevel="0" collapsed="false">
      <c r="A717" s="20" t="n">
        <v>501</v>
      </c>
      <c r="B717" s="20" t="s">
        <v>49</v>
      </c>
      <c r="C717" s="20" t="s">
        <v>27</v>
      </c>
      <c r="D717" s="20" t="n">
        <v>52</v>
      </c>
      <c r="E717" s="20" t="s">
        <v>28</v>
      </c>
      <c r="F717" s="20" t="n">
        <v>1</v>
      </c>
      <c r="G717" s="20" t="str">
        <f aca="false">CONCATENATE(B717, "-",C717, "-", D717, "-", F717)</f>
        <v>M0112-B-52-1</v>
      </c>
      <c r="H717" s="20" t="n">
        <v>252.82</v>
      </c>
      <c r="I717" s="20" t="n">
        <v>252.98</v>
      </c>
    </row>
    <row r="718" customFormat="false" ht="13.5" hidden="false" customHeight="true" outlineLevel="0" collapsed="false">
      <c r="A718" s="20" t="n">
        <v>501</v>
      </c>
      <c r="B718" s="20" t="s">
        <v>49</v>
      </c>
      <c r="C718" s="20" t="s">
        <v>27</v>
      </c>
      <c r="D718" s="20" t="n">
        <v>53</v>
      </c>
      <c r="E718" s="20" t="s">
        <v>28</v>
      </c>
      <c r="F718" s="20" t="n">
        <v>1</v>
      </c>
      <c r="G718" s="20" t="str">
        <f aca="false">CONCATENATE(B718, "-",C718, "-", D718, "-", F718)</f>
        <v>M0112-B-53-1</v>
      </c>
      <c r="H718" s="20" t="n">
        <v>254.42</v>
      </c>
      <c r="I718" s="20" t="n">
        <v>254.54</v>
      </c>
    </row>
    <row r="719" customFormat="false" ht="13.5" hidden="false" customHeight="true" outlineLevel="0" collapsed="false">
      <c r="A719" s="20" t="n">
        <v>501</v>
      </c>
      <c r="B719" s="20" t="s">
        <v>49</v>
      </c>
      <c r="C719" s="20" t="s">
        <v>27</v>
      </c>
      <c r="D719" s="20" t="n">
        <v>54</v>
      </c>
      <c r="E719" s="20" t="s">
        <v>48</v>
      </c>
      <c r="F719" s="20" t="n">
        <v>1</v>
      </c>
      <c r="G719" s="20" t="str">
        <f aca="false">CONCATENATE(B719, "-",C719, "-", D719, "-", F719)</f>
        <v>M0112-B-54-1</v>
      </c>
      <c r="H719" s="20" t="n">
        <v>235.82</v>
      </c>
      <c r="I719" s="20" t="n">
        <v>255.82</v>
      </c>
    </row>
    <row r="720" customFormat="false" ht="13.5" hidden="false" customHeight="true" outlineLevel="0" collapsed="false">
      <c r="A720" s="20" t="n">
        <v>501</v>
      </c>
      <c r="B720" s="20" t="s">
        <v>49</v>
      </c>
      <c r="C720" s="20" t="s">
        <v>27</v>
      </c>
      <c r="D720" s="20" t="n">
        <v>56</v>
      </c>
      <c r="E720" s="20" t="s">
        <v>28</v>
      </c>
      <c r="F720" s="20" t="n">
        <v>1</v>
      </c>
      <c r="G720" s="20" t="str">
        <f aca="false">CONCATENATE(B720, "-",C720, "-", D720, "-", F720)</f>
        <v>M0112-B-56-1</v>
      </c>
      <c r="H720" s="20" t="n">
        <v>321.82</v>
      </c>
      <c r="I720" s="20" t="n">
        <v>322.83</v>
      </c>
    </row>
    <row r="721" customFormat="false" ht="13.5" hidden="false" customHeight="true" outlineLevel="0" collapsed="false">
      <c r="A721" s="20" t="n">
        <v>501</v>
      </c>
      <c r="B721" s="20" t="s">
        <v>49</v>
      </c>
      <c r="C721" s="20" t="s">
        <v>27</v>
      </c>
      <c r="D721" s="20" t="n">
        <v>56</v>
      </c>
      <c r="E721" s="20" t="s">
        <v>28</v>
      </c>
      <c r="F721" s="20" t="n">
        <v>2</v>
      </c>
      <c r="G721" s="20" t="str">
        <f aca="false">CONCATENATE(B721, "-",C721, "-", D721, "-", F721)</f>
        <v>M0112-B-56-2</v>
      </c>
      <c r="H721" s="20" t="n">
        <v>322.83</v>
      </c>
      <c r="I721" s="20" t="n">
        <v>323.5</v>
      </c>
    </row>
    <row r="722" customFormat="false" ht="13.5" hidden="false" customHeight="true" outlineLevel="0" collapsed="false">
      <c r="A722" s="20" t="n">
        <v>501</v>
      </c>
      <c r="B722" s="20" t="s">
        <v>49</v>
      </c>
      <c r="C722" s="20" t="s">
        <v>27</v>
      </c>
      <c r="D722" s="20" t="n">
        <v>56</v>
      </c>
      <c r="E722" s="20" t="s">
        <v>28</v>
      </c>
      <c r="F722" s="20" t="n">
        <v>3</v>
      </c>
      <c r="G722" s="20" t="str">
        <f aca="false">CONCATENATE(B722, "-",C722, "-", D722, "-", F722)</f>
        <v>M0112-B-56-3</v>
      </c>
      <c r="H722" s="20" t="n">
        <v>323.5</v>
      </c>
      <c r="I722" s="20" t="n">
        <v>323.71</v>
      </c>
    </row>
    <row r="723" customFormat="false" ht="13.5" hidden="false" customHeight="true" outlineLevel="0" collapsed="false">
      <c r="A723" s="20" t="n">
        <v>501</v>
      </c>
      <c r="B723" s="20" t="s">
        <v>49</v>
      </c>
      <c r="C723" s="20" t="s">
        <v>27</v>
      </c>
      <c r="D723" s="20" t="n">
        <v>57</v>
      </c>
      <c r="E723" s="20" t="s">
        <v>28</v>
      </c>
      <c r="F723" s="20" t="n">
        <v>1</v>
      </c>
      <c r="G723" s="20" t="str">
        <f aca="false">CONCATENATE(B723, "-",C723, "-", D723, "-", F723)</f>
        <v>M0112-B-57-1</v>
      </c>
      <c r="H723" s="20" t="n">
        <v>323.62</v>
      </c>
      <c r="I723" s="20" t="n">
        <v>324.13</v>
      </c>
    </row>
    <row r="724" customFormat="false" ht="13.5" hidden="false" customHeight="true" outlineLevel="0" collapsed="false">
      <c r="A724" s="20" t="n">
        <v>501</v>
      </c>
      <c r="B724" s="20" t="s">
        <v>49</v>
      </c>
      <c r="C724" s="20" t="s">
        <v>27</v>
      </c>
      <c r="D724" s="20" t="n">
        <v>57</v>
      </c>
      <c r="E724" s="20" t="s">
        <v>28</v>
      </c>
      <c r="F724" s="20" t="n">
        <v>2</v>
      </c>
      <c r="G724" s="20" t="str">
        <f aca="false">CONCATENATE(B724, "-",C724, "-", D724, "-", F724)</f>
        <v>M0112-B-57-2</v>
      </c>
      <c r="H724" s="20" t="n">
        <v>324.13</v>
      </c>
      <c r="I724" s="20" t="n">
        <v>324.55</v>
      </c>
    </row>
    <row r="725" customFormat="false" ht="13.5" hidden="false" customHeight="true" outlineLevel="0" collapsed="false">
      <c r="A725" s="20" t="n">
        <v>501</v>
      </c>
      <c r="B725" s="20" t="s">
        <v>49</v>
      </c>
      <c r="C725" s="20" t="s">
        <v>27</v>
      </c>
      <c r="D725" s="20" t="n">
        <v>58</v>
      </c>
      <c r="E725" s="20" t="s">
        <v>28</v>
      </c>
      <c r="F725" s="20" t="n">
        <v>1</v>
      </c>
      <c r="G725" s="20" t="str">
        <f aca="false">CONCATENATE(B725, "-",C725, "-", D725, "-", F725)</f>
        <v>M0112-B-58-1</v>
      </c>
      <c r="H725" s="20" t="n">
        <v>324.82</v>
      </c>
      <c r="I725" s="20" t="n">
        <v>325.71</v>
      </c>
    </row>
    <row r="726" customFormat="false" ht="13.5" hidden="false" customHeight="true" outlineLevel="0" collapsed="false">
      <c r="A726" s="20" t="n">
        <v>501</v>
      </c>
      <c r="B726" s="20" t="s">
        <v>49</v>
      </c>
      <c r="C726" s="20" t="s">
        <v>27</v>
      </c>
      <c r="D726" s="20" t="n">
        <v>59</v>
      </c>
      <c r="E726" s="20" t="s">
        <v>28</v>
      </c>
      <c r="F726" s="20" t="n">
        <v>1</v>
      </c>
      <c r="G726" s="20" t="str">
        <f aca="false">CONCATENATE(B726, "-",C726, "-", D726, "-", F726)</f>
        <v>M0112-B-59-1</v>
      </c>
      <c r="H726" s="20" t="n">
        <v>327.82</v>
      </c>
      <c r="I726" s="20" t="n">
        <v>327.91</v>
      </c>
    </row>
    <row r="727" customFormat="false" ht="13.5" hidden="false" customHeight="true" outlineLevel="0" collapsed="false">
      <c r="A727" s="20" t="n">
        <v>501</v>
      </c>
      <c r="B727" s="20" t="s">
        <v>49</v>
      </c>
      <c r="C727" s="20" t="s">
        <v>27</v>
      </c>
      <c r="D727" s="20" t="n">
        <v>60</v>
      </c>
      <c r="E727" s="20" t="s">
        <v>28</v>
      </c>
      <c r="F727" s="20" t="n">
        <v>1</v>
      </c>
      <c r="G727" s="20" t="str">
        <f aca="false">CONCATENATE(B727, "-",C727, "-", D727, "-", F727)</f>
        <v>M0112-B-60-1</v>
      </c>
      <c r="H727" s="20" t="n">
        <v>329.32</v>
      </c>
      <c r="I727" s="20" t="n">
        <v>329.33</v>
      </c>
    </row>
    <row r="728" customFormat="false" ht="13.5" hidden="false" customHeight="true" outlineLevel="0" collapsed="false">
      <c r="A728" s="20" t="n">
        <v>501</v>
      </c>
      <c r="B728" s="20" t="s">
        <v>49</v>
      </c>
      <c r="C728" s="20" t="s">
        <v>27</v>
      </c>
      <c r="D728" s="20" t="n">
        <v>61</v>
      </c>
      <c r="E728" s="20" t="s">
        <v>28</v>
      </c>
      <c r="F728" s="20" t="n">
        <v>1</v>
      </c>
      <c r="G728" s="20" t="str">
        <f aca="false">CONCATENATE(B728, "-",C728, "-", D728, "-", F728)</f>
        <v>M0112-B-61-1</v>
      </c>
      <c r="H728" s="20" t="n">
        <v>330.82</v>
      </c>
      <c r="I728" s="20" t="n">
        <v>331.44</v>
      </c>
    </row>
    <row r="729" customFormat="false" ht="13.5" hidden="false" customHeight="true" outlineLevel="0" collapsed="false">
      <c r="A729" s="20" t="n">
        <v>501</v>
      </c>
      <c r="B729" s="20" t="s">
        <v>49</v>
      </c>
      <c r="C729" s="20" t="s">
        <v>27</v>
      </c>
      <c r="D729" s="20" t="n">
        <v>63</v>
      </c>
      <c r="E729" s="20" t="s">
        <v>28</v>
      </c>
      <c r="F729" s="20" t="n">
        <v>1</v>
      </c>
      <c r="G729" s="20" t="str">
        <f aca="false">CONCATENATE(B729, "-",C729, "-", D729, "-", F729)</f>
        <v>M0112-B-63-1</v>
      </c>
      <c r="H729" s="20" t="n">
        <v>333.82</v>
      </c>
      <c r="I729" s="20" t="n">
        <v>334.66</v>
      </c>
    </row>
    <row r="730" customFormat="false" ht="13.5" hidden="false" customHeight="true" outlineLevel="0" collapsed="false">
      <c r="A730" s="20" t="n">
        <v>501</v>
      </c>
      <c r="B730" s="20" t="s">
        <v>49</v>
      </c>
      <c r="C730" s="20" t="s">
        <v>27</v>
      </c>
      <c r="D730" s="20" t="n">
        <v>64</v>
      </c>
      <c r="E730" s="20" t="s">
        <v>28</v>
      </c>
      <c r="F730" s="20" t="n">
        <v>1</v>
      </c>
      <c r="G730" s="20" t="str">
        <f aca="false">CONCATENATE(B730, "-",C730, "-", D730, "-", F730)</f>
        <v>M0112-B-64-1</v>
      </c>
      <c r="H730" s="20" t="n">
        <v>335.32</v>
      </c>
      <c r="I730" s="20" t="n">
        <v>336.25</v>
      </c>
    </row>
    <row r="731" customFormat="false" ht="13.5" hidden="false" customHeight="true" outlineLevel="0" collapsed="false">
      <c r="A731" s="20" t="n">
        <v>501</v>
      </c>
      <c r="B731" s="20" t="s">
        <v>49</v>
      </c>
      <c r="C731" s="20" t="s">
        <v>27</v>
      </c>
      <c r="D731" s="20" t="n">
        <v>65</v>
      </c>
      <c r="E731" s="20" t="s">
        <v>28</v>
      </c>
      <c r="F731" s="20" t="n">
        <v>1</v>
      </c>
      <c r="G731" s="20" t="str">
        <f aca="false">CONCATENATE(B731, "-",C731, "-", D731, "-", F731)</f>
        <v>M0112-B-65-1</v>
      </c>
      <c r="H731" s="20" t="n">
        <v>336.82</v>
      </c>
      <c r="I731" s="20" t="n">
        <v>337.82</v>
      </c>
    </row>
    <row r="732" customFormat="false" ht="13.5" hidden="false" customHeight="true" outlineLevel="0" collapsed="false">
      <c r="A732" s="20" t="n">
        <v>501</v>
      </c>
      <c r="B732" s="20" t="s">
        <v>50</v>
      </c>
      <c r="C732" s="20" t="s">
        <v>22</v>
      </c>
      <c r="D732" s="20" t="n">
        <v>1</v>
      </c>
      <c r="E732" s="20" t="s">
        <v>23</v>
      </c>
      <c r="F732" s="20" t="n">
        <v>1</v>
      </c>
      <c r="G732" s="20" t="str">
        <f aca="false">CONCATENATE(B732, "-",C732, "-", D732, "-", F732)</f>
        <v>M0113-A-1-1</v>
      </c>
      <c r="H732" s="20" t="n">
        <v>0</v>
      </c>
      <c r="I732" s="20" t="n">
        <v>1.5</v>
      </c>
    </row>
    <row r="733" customFormat="false" ht="13.5" hidden="false" customHeight="true" outlineLevel="0" collapsed="false">
      <c r="A733" s="20" t="n">
        <v>501</v>
      </c>
      <c r="B733" s="20" t="s">
        <v>50</v>
      </c>
      <c r="C733" s="20" t="s">
        <v>22</v>
      </c>
      <c r="D733" s="20" t="n">
        <v>1</v>
      </c>
      <c r="E733" s="20" t="s">
        <v>23</v>
      </c>
      <c r="F733" s="20" t="n">
        <v>2</v>
      </c>
      <c r="G733" s="20" t="str">
        <f aca="false">CONCATENATE(B733, "-",C733, "-", D733, "-", F733)</f>
        <v>M0113-A-1-2</v>
      </c>
      <c r="H733" s="20" t="n">
        <v>1.5</v>
      </c>
      <c r="I733" s="20" t="n">
        <v>2.9</v>
      </c>
    </row>
    <row r="734" customFormat="false" ht="13.5" hidden="false" customHeight="true" outlineLevel="0" collapsed="false">
      <c r="A734" s="20" t="n">
        <v>501</v>
      </c>
      <c r="B734" s="20" t="s">
        <v>50</v>
      </c>
      <c r="C734" s="20" t="s">
        <v>22</v>
      </c>
      <c r="D734" s="20" t="n">
        <v>2</v>
      </c>
      <c r="E734" s="20" t="s">
        <v>23</v>
      </c>
      <c r="F734" s="20" t="n">
        <v>1</v>
      </c>
      <c r="G734" s="20" t="str">
        <f aca="false">CONCATENATE(B734, "-",C734, "-", D734, "-", F734)</f>
        <v>M0113-A-2-1</v>
      </c>
      <c r="H734" s="20" t="n">
        <v>2.9</v>
      </c>
      <c r="I734" s="20" t="n">
        <v>4.4</v>
      </c>
    </row>
    <row r="735" customFormat="false" ht="13.5" hidden="false" customHeight="true" outlineLevel="0" collapsed="false">
      <c r="A735" s="20" t="n">
        <v>501</v>
      </c>
      <c r="B735" s="20" t="s">
        <v>50</v>
      </c>
      <c r="C735" s="20" t="s">
        <v>22</v>
      </c>
      <c r="D735" s="20" t="n">
        <v>2</v>
      </c>
      <c r="E735" s="20" t="s">
        <v>23</v>
      </c>
      <c r="F735" s="20" t="n">
        <v>2</v>
      </c>
      <c r="G735" s="20" t="str">
        <f aca="false">CONCATENATE(B735, "-",C735, "-", D735, "-", F735)</f>
        <v>M0113-A-2-2</v>
      </c>
      <c r="H735" s="20" t="n">
        <v>4.4</v>
      </c>
      <c r="I735" s="20" t="n">
        <v>5.3</v>
      </c>
    </row>
    <row r="736" customFormat="false" ht="13.5" hidden="false" customHeight="true" outlineLevel="0" collapsed="false">
      <c r="A736" s="20" t="n">
        <v>501</v>
      </c>
      <c r="B736" s="20" t="s">
        <v>50</v>
      </c>
      <c r="C736" s="20" t="s">
        <v>22</v>
      </c>
      <c r="D736" s="20" t="n">
        <v>3</v>
      </c>
      <c r="E736" s="20" t="s">
        <v>23</v>
      </c>
      <c r="F736" s="20" t="n">
        <v>1</v>
      </c>
      <c r="G736" s="20" t="str">
        <f aca="false">CONCATENATE(B736, "-",C736, "-", D736, "-", F736)</f>
        <v>M0113-A-3-1</v>
      </c>
      <c r="H736" s="20" t="n">
        <v>5.3</v>
      </c>
      <c r="I736" s="20" t="n">
        <v>6.8</v>
      </c>
    </row>
    <row r="737" customFormat="false" ht="13.5" hidden="false" customHeight="true" outlineLevel="0" collapsed="false">
      <c r="A737" s="20" t="n">
        <v>501</v>
      </c>
      <c r="B737" s="20" t="s">
        <v>50</v>
      </c>
      <c r="C737" s="20" t="s">
        <v>22</v>
      </c>
      <c r="D737" s="20" t="n">
        <v>3</v>
      </c>
      <c r="E737" s="20" t="s">
        <v>23</v>
      </c>
      <c r="F737" s="20" t="n">
        <v>2</v>
      </c>
      <c r="G737" s="20" t="str">
        <f aca="false">CONCATENATE(B737, "-",C737, "-", D737, "-", F737)</f>
        <v>M0113-A-3-2</v>
      </c>
      <c r="H737" s="20" t="n">
        <v>6.8</v>
      </c>
      <c r="I737" s="20" t="n">
        <v>8</v>
      </c>
    </row>
    <row r="738" customFormat="false" ht="13.5" hidden="false" customHeight="true" outlineLevel="0" collapsed="false">
      <c r="A738" s="20" t="n">
        <v>501</v>
      </c>
      <c r="B738" s="20" t="s">
        <v>50</v>
      </c>
      <c r="C738" s="20" t="s">
        <v>22</v>
      </c>
      <c r="D738" s="20" t="n">
        <v>4</v>
      </c>
      <c r="E738" s="20" t="s">
        <v>23</v>
      </c>
      <c r="F738" s="20" t="n">
        <v>1</v>
      </c>
      <c r="G738" s="20" t="str">
        <f aca="false">CONCATENATE(B738, "-",C738, "-", D738, "-", F738)</f>
        <v>M0113-A-4-1</v>
      </c>
      <c r="H738" s="20" t="n">
        <v>8</v>
      </c>
      <c r="I738" s="20" t="n">
        <v>9.5</v>
      </c>
    </row>
    <row r="739" customFormat="false" ht="13.5" hidden="false" customHeight="true" outlineLevel="0" collapsed="false">
      <c r="A739" s="20" t="n">
        <v>501</v>
      </c>
      <c r="B739" s="20" t="s">
        <v>50</v>
      </c>
      <c r="C739" s="20" t="s">
        <v>22</v>
      </c>
      <c r="D739" s="20" t="n">
        <v>4</v>
      </c>
      <c r="E739" s="20" t="s">
        <v>23</v>
      </c>
      <c r="F739" s="20" t="n">
        <v>2</v>
      </c>
      <c r="G739" s="20" t="str">
        <f aca="false">CONCATENATE(B739, "-",C739, "-", D739, "-", F739)</f>
        <v>M0113-A-4-2</v>
      </c>
      <c r="H739" s="20" t="n">
        <v>9.5</v>
      </c>
      <c r="I739" s="20" t="n">
        <v>10.5</v>
      </c>
    </row>
    <row r="740" customFormat="false" ht="13.5" hidden="false" customHeight="true" outlineLevel="0" collapsed="false">
      <c r="A740" s="20" t="n">
        <v>501</v>
      </c>
      <c r="B740" s="20" t="s">
        <v>50</v>
      </c>
      <c r="C740" s="20" t="s">
        <v>22</v>
      </c>
      <c r="D740" s="20" t="n">
        <v>5</v>
      </c>
      <c r="E740" s="20" t="s">
        <v>23</v>
      </c>
      <c r="F740" s="20" t="n">
        <v>1</v>
      </c>
      <c r="G740" s="20" t="str">
        <f aca="false">CONCATENATE(B740, "-",C740, "-", D740, "-", F740)</f>
        <v>M0113-A-5-1</v>
      </c>
      <c r="H740" s="20" t="n">
        <v>10.5</v>
      </c>
      <c r="I740" s="20" t="n">
        <v>11</v>
      </c>
    </row>
    <row r="741" customFormat="false" ht="13.5" hidden="false" customHeight="true" outlineLevel="0" collapsed="false">
      <c r="A741" s="20" t="n">
        <v>501</v>
      </c>
      <c r="B741" s="20" t="s">
        <v>50</v>
      </c>
      <c r="C741" s="20" t="s">
        <v>22</v>
      </c>
      <c r="D741" s="20" t="n">
        <v>6</v>
      </c>
      <c r="E741" s="20" t="s">
        <v>23</v>
      </c>
      <c r="F741" s="20" t="n">
        <v>1</v>
      </c>
      <c r="G741" s="20" t="str">
        <f aca="false">CONCATENATE(B741, "-",C741, "-", D741, "-", F741)</f>
        <v>M0113-A-6-1</v>
      </c>
      <c r="H741" s="20" t="n">
        <v>11</v>
      </c>
      <c r="I741" s="20" t="n">
        <v>12.51</v>
      </c>
    </row>
    <row r="742" customFormat="false" ht="13.5" hidden="false" customHeight="true" outlineLevel="0" collapsed="false">
      <c r="A742" s="20" t="n">
        <v>501</v>
      </c>
      <c r="B742" s="20" t="s">
        <v>50</v>
      </c>
      <c r="C742" s="20" t="s">
        <v>22</v>
      </c>
      <c r="D742" s="20" t="n">
        <v>6</v>
      </c>
      <c r="E742" s="20" t="s">
        <v>23</v>
      </c>
      <c r="F742" s="20" t="n">
        <v>2</v>
      </c>
      <c r="G742" s="20" t="str">
        <f aca="false">CONCATENATE(B742, "-",C742, "-", D742, "-", F742)</f>
        <v>M0113-A-6-2</v>
      </c>
      <c r="H742" s="20" t="n">
        <v>12.51</v>
      </c>
      <c r="I742" s="20" t="n">
        <v>13.77</v>
      </c>
    </row>
    <row r="743" customFormat="false" ht="13.5" hidden="false" customHeight="true" outlineLevel="0" collapsed="false">
      <c r="A743" s="20" t="n">
        <v>501</v>
      </c>
      <c r="B743" s="20" t="s">
        <v>50</v>
      </c>
      <c r="C743" s="20" t="s">
        <v>22</v>
      </c>
      <c r="D743" s="20" t="n">
        <v>7</v>
      </c>
      <c r="E743" s="20" t="s">
        <v>23</v>
      </c>
      <c r="F743" s="20" t="n">
        <v>1</v>
      </c>
      <c r="G743" s="20" t="str">
        <f aca="false">CONCATENATE(B743, "-",C743, "-", D743, "-", F743)</f>
        <v>M0113-A-7-1</v>
      </c>
      <c r="H743" s="20" t="n">
        <v>13.77</v>
      </c>
      <c r="I743" s="20" t="n">
        <v>15.27</v>
      </c>
    </row>
    <row r="744" customFormat="false" ht="13.5" hidden="false" customHeight="true" outlineLevel="0" collapsed="false">
      <c r="A744" s="20" t="n">
        <v>501</v>
      </c>
      <c r="B744" s="20" t="s">
        <v>50</v>
      </c>
      <c r="C744" s="20" t="s">
        <v>22</v>
      </c>
      <c r="D744" s="20" t="n">
        <v>7</v>
      </c>
      <c r="E744" s="20" t="s">
        <v>23</v>
      </c>
      <c r="F744" s="20" t="n">
        <v>2</v>
      </c>
      <c r="G744" s="20" t="str">
        <f aca="false">CONCATENATE(B744, "-",C744, "-", D744, "-", F744)</f>
        <v>M0113-A-7-2</v>
      </c>
      <c r="H744" s="20" t="n">
        <v>15.27</v>
      </c>
      <c r="I744" s="20" t="n">
        <v>15.88</v>
      </c>
    </row>
    <row r="745" customFormat="false" ht="13.5" hidden="false" customHeight="true" outlineLevel="0" collapsed="false">
      <c r="A745" s="20" t="n">
        <v>501</v>
      </c>
      <c r="B745" s="20" t="s">
        <v>50</v>
      </c>
      <c r="C745" s="20" t="s">
        <v>22</v>
      </c>
      <c r="D745" s="20" t="n">
        <v>8</v>
      </c>
      <c r="E745" s="20" t="s">
        <v>23</v>
      </c>
      <c r="F745" s="20" t="n">
        <v>1</v>
      </c>
      <c r="G745" s="20" t="str">
        <f aca="false">CONCATENATE(B745, "-",C745, "-", D745, "-", F745)</f>
        <v>M0113-A-8-1</v>
      </c>
      <c r="H745" s="20" t="n">
        <v>15.88</v>
      </c>
      <c r="I745" s="20" t="n">
        <v>17.23</v>
      </c>
    </row>
    <row r="746" customFormat="false" ht="13.5" hidden="false" customHeight="true" outlineLevel="0" collapsed="false">
      <c r="A746" s="20" t="n">
        <v>501</v>
      </c>
      <c r="B746" s="20" t="s">
        <v>50</v>
      </c>
      <c r="C746" s="20" t="s">
        <v>22</v>
      </c>
      <c r="D746" s="20" t="n">
        <v>9</v>
      </c>
      <c r="E746" s="20" t="s">
        <v>23</v>
      </c>
      <c r="F746" s="20" t="n">
        <v>1</v>
      </c>
      <c r="G746" s="20" t="str">
        <f aca="false">CONCATENATE(B746, "-",C746, "-", D746, "-", F746)</f>
        <v>M0113-A-9-1</v>
      </c>
      <c r="H746" s="20" t="n">
        <v>17.23</v>
      </c>
      <c r="I746" s="20" t="n">
        <v>18.73</v>
      </c>
    </row>
    <row r="747" customFormat="false" ht="13.5" hidden="false" customHeight="true" outlineLevel="0" collapsed="false">
      <c r="A747" s="20" t="n">
        <v>501</v>
      </c>
      <c r="B747" s="20" t="s">
        <v>50</v>
      </c>
      <c r="C747" s="20" t="s">
        <v>22</v>
      </c>
      <c r="D747" s="20" t="n">
        <v>9</v>
      </c>
      <c r="E747" s="20" t="s">
        <v>23</v>
      </c>
      <c r="F747" s="20" t="n">
        <v>2</v>
      </c>
      <c r="G747" s="20" t="str">
        <f aca="false">CONCATENATE(B747, "-",C747, "-", D747, "-", F747)</f>
        <v>M0113-A-9-2</v>
      </c>
      <c r="H747" s="20" t="n">
        <v>18.73</v>
      </c>
      <c r="I747" s="20" t="n">
        <v>19.19</v>
      </c>
    </row>
    <row r="748" customFormat="false" ht="13.5" hidden="false" customHeight="true" outlineLevel="0" collapsed="false">
      <c r="A748" s="20" t="n">
        <v>501</v>
      </c>
      <c r="B748" s="20" t="s">
        <v>50</v>
      </c>
      <c r="C748" s="20" t="s">
        <v>22</v>
      </c>
      <c r="D748" s="20" t="n">
        <v>10</v>
      </c>
      <c r="E748" s="20" t="s">
        <v>23</v>
      </c>
      <c r="F748" s="20" t="n">
        <v>1</v>
      </c>
      <c r="G748" s="20" t="str">
        <f aca="false">CONCATENATE(B748, "-",C748, "-", D748, "-", F748)</f>
        <v>M0113-A-10-1</v>
      </c>
      <c r="H748" s="20" t="n">
        <v>19.19</v>
      </c>
      <c r="I748" s="20" t="n">
        <v>20.69</v>
      </c>
    </row>
    <row r="749" customFormat="false" ht="13.5" hidden="false" customHeight="true" outlineLevel="0" collapsed="false">
      <c r="A749" s="20" t="n">
        <v>501</v>
      </c>
      <c r="B749" s="20" t="s">
        <v>50</v>
      </c>
      <c r="C749" s="20" t="s">
        <v>22</v>
      </c>
      <c r="D749" s="20" t="n">
        <v>10</v>
      </c>
      <c r="E749" s="20" t="s">
        <v>23</v>
      </c>
      <c r="F749" s="20" t="n">
        <v>2</v>
      </c>
      <c r="G749" s="20" t="str">
        <f aca="false">CONCATENATE(B749, "-",C749, "-", D749, "-", F749)</f>
        <v>M0113-A-10-2</v>
      </c>
      <c r="H749" s="20" t="n">
        <v>20.69</v>
      </c>
      <c r="I749" s="20" t="n">
        <v>21.38</v>
      </c>
    </row>
    <row r="750" customFormat="false" ht="13.5" hidden="false" customHeight="true" outlineLevel="0" collapsed="false">
      <c r="A750" s="20" t="n">
        <v>501</v>
      </c>
      <c r="B750" s="20" t="s">
        <v>50</v>
      </c>
      <c r="C750" s="20" t="s">
        <v>22</v>
      </c>
      <c r="D750" s="20" t="n">
        <v>11</v>
      </c>
      <c r="E750" s="20" t="s">
        <v>23</v>
      </c>
      <c r="F750" s="20" t="n">
        <v>1</v>
      </c>
      <c r="G750" s="20" t="str">
        <f aca="false">CONCATENATE(B750, "-",C750, "-", D750, "-", F750)</f>
        <v>M0113-A-11-1</v>
      </c>
      <c r="H750" s="20" t="n">
        <v>21.38</v>
      </c>
      <c r="I750" s="20" t="n">
        <v>21.98</v>
      </c>
    </row>
    <row r="751" customFormat="false" ht="13.5" hidden="false" customHeight="true" outlineLevel="0" collapsed="false">
      <c r="A751" s="20" t="n">
        <v>501</v>
      </c>
      <c r="B751" s="20" t="s">
        <v>50</v>
      </c>
      <c r="C751" s="20" t="s">
        <v>22</v>
      </c>
      <c r="D751" s="20" t="n">
        <v>11</v>
      </c>
      <c r="E751" s="20" t="s">
        <v>23</v>
      </c>
      <c r="F751" s="20" t="n">
        <v>2</v>
      </c>
      <c r="G751" s="20" t="str">
        <f aca="false">CONCATENATE(B751, "-",C751, "-", D751, "-", F751)</f>
        <v>M0113-A-11-2</v>
      </c>
      <c r="H751" s="20" t="n">
        <v>21.98</v>
      </c>
      <c r="I751" s="20" t="n">
        <v>22.51</v>
      </c>
    </row>
    <row r="752" customFormat="false" ht="13.5" hidden="false" customHeight="true" outlineLevel="0" collapsed="false">
      <c r="A752" s="20" t="n">
        <v>501</v>
      </c>
      <c r="B752" s="20" t="s">
        <v>50</v>
      </c>
      <c r="C752" s="20" t="s">
        <v>22</v>
      </c>
      <c r="D752" s="20" t="n">
        <v>12</v>
      </c>
      <c r="E752" s="20" t="s">
        <v>23</v>
      </c>
      <c r="F752" s="20" t="n">
        <v>1</v>
      </c>
      <c r="G752" s="20" t="str">
        <f aca="false">CONCATENATE(B752, "-",C752, "-", D752, "-", F752)</f>
        <v>M0113-A-12-1</v>
      </c>
      <c r="H752" s="20" t="n">
        <v>22.51</v>
      </c>
      <c r="I752" s="20" t="n">
        <v>24.02</v>
      </c>
    </row>
    <row r="753" customFormat="false" ht="13.5" hidden="false" customHeight="true" outlineLevel="0" collapsed="false">
      <c r="A753" s="20" t="n">
        <v>501</v>
      </c>
      <c r="B753" s="20" t="s">
        <v>50</v>
      </c>
      <c r="C753" s="20" t="s">
        <v>22</v>
      </c>
      <c r="D753" s="20" t="n">
        <v>13</v>
      </c>
      <c r="E753" s="20" t="s">
        <v>23</v>
      </c>
      <c r="F753" s="20" t="n">
        <v>1</v>
      </c>
      <c r="G753" s="20" t="str">
        <f aca="false">CONCATENATE(B753, "-",C753, "-", D753, "-", F753)</f>
        <v>M0113-A-13-1</v>
      </c>
      <c r="H753" s="20" t="n">
        <v>24.02</v>
      </c>
      <c r="I753" s="20" t="n">
        <v>25.39</v>
      </c>
    </row>
    <row r="754" customFormat="false" ht="13.5" hidden="false" customHeight="true" outlineLevel="0" collapsed="false">
      <c r="A754" s="20" t="n">
        <v>501</v>
      </c>
      <c r="B754" s="20" t="s">
        <v>50</v>
      </c>
      <c r="C754" s="20" t="s">
        <v>22</v>
      </c>
      <c r="D754" s="20" t="n">
        <v>14</v>
      </c>
      <c r="E754" s="20" t="s">
        <v>23</v>
      </c>
      <c r="F754" s="20" t="n">
        <v>1</v>
      </c>
      <c r="G754" s="20" t="str">
        <f aca="false">CONCATENATE(B754, "-",C754, "-", D754, "-", F754)</f>
        <v>M0113-A-14-1</v>
      </c>
      <c r="H754" s="20" t="n">
        <v>25.39</v>
      </c>
      <c r="I754" s="20" t="n">
        <v>26.73</v>
      </c>
    </row>
    <row r="755" customFormat="false" ht="13.5" hidden="false" customHeight="true" outlineLevel="0" collapsed="false">
      <c r="A755" s="20" t="n">
        <v>501</v>
      </c>
      <c r="B755" s="20" t="s">
        <v>50</v>
      </c>
      <c r="C755" s="20" t="s">
        <v>22</v>
      </c>
      <c r="D755" s="20" t="n">
        <v>15</v>
      </c>
      <c r="E755" s="20" t="s">
        <v>23</v>
      </c>
      <c r="F755" s="20" t="n">
        <v>1</v>
      </c>
      <c r="G755" s="20" t="str">
        <f aca="false">CONCATENATE(B755, "-",C755, "-", D755, "-", F755)</f>
        <v>M0113-A-15-1</v>
      </c>
      <c r="H755" s="20" t="n">
        <v>26.73</v>
      </c>
      <c r="I755" s="20" t="n">
        <v>28.22</v>
      </c>
    </row>
    <row r="756" customFormat="false" ht="13.5" hidden="false" customHeight="true" outlineLevel="0" collapsed="false">
      <c r="A756" s="20" t="n">
        <v>501</v>
      </c>
      <c r="B756" s="20" t="s">
        <v>50</v>
      </c>
      <c r="C756" s="20" t="s">
        <v>22</v>
      </c>
      <c r="D756" s="20" t="n">
        <v>15</v>
      </c>
      <c r="E756" s="20" t="s">
        <v>23</v>
      </c>
      <c r="F756" s="20" t="n">
        <v>2</v>
      </c>
      <c r="G756" s="20" t="str">
        <f aca="false">CONCATENATE(B756, "-",C756, "-", D756, "-", F756)</f>
        <v>M0113-A-15-2</v>
      </c>
      <c r="H756" s="20" t="n">
        <v>28.22</v>
      </c>
      <c r="I756" s="20" t="n">
        <v>28.74</v>
      </c>
    </row>
    <row r="757" customFormat="false" ht="13.5" hidden="false" customHeight="true" outlineLevel="0" collapsed="false">
      <c r="A757" s="20" t="n">
        <v>501</v>
      </c>
      <c r="B757" s="20" t="s">
        <v>50</v>
      </c>
      <c r="C757" s="20" t="s">
        <v>22</v>
      </c>
      <c r="D757" s="20" t="n">
        <v>16</v>
      </c>
      <c r="E757" s="20" t="s">
        <v>23</v>
      </c>
      <c r="F757" s="20" t="n">
        <v>1</v>
      </c>
      <c r="G757" s="20" t="str">
        <f aca="false">CONCATENATE(B757, "-",C757, "-", D757, "-", F757)</f>
        <v>M0113-A-16-1</v>
      </c>
      <c r="H757" s="20" t="n">
        <v>28.74</v>
      </c>
      <c r="I757" s="20" t="n">
        <v>29.34</v>
      </c>
    </row>
    <row r="758" customFormat="false" ht="13.5" hidden="false" customHeight="true" outlineLevel="0" collapsed="false">
      <c r="A758" s="20" t="n">
        <v>501</v>
      </c>
      <c r="B758" s="20" t="s">
        <v>50</v>
      </c>
      <c r="C758" s="20" t="s">
        <v>22</v>
      </c>
      <c r="D758" s="20" t="n">
        <v>16</v>
      </c>
      <c r="E758" s="20" t="s">
        <v>23</v>
      </c>
      <c r="F758" s="20" t="n">
        <v>2</v>
      </c>
      <c r="G758" s="20" t="str">
        <f aca="false">CONCATENATE(B758, "-",C758, "-", D758, "-", F758)</f>
        <v>M0113-A-16-2</v>
      </c>
      <c r="H758" s="20" t="n">
        <v>29.34</v>
      </c>
      <c r="I758" s="20" t="n">
        <v>30.36</v>
      </c>
    </row>
    <row r="759" customFormat="false" ht="13.5" hidden="false" customHeight="true" outlineLevel="0" collapsed="false">
      <c r="A759" s="20" t="n">
        <v>501</v>
      </c>
      <c r="B759" s="20" t="s">
        <v>50</v>
      </c>
      <c r="C759" s="20" t="s">
        <v>22</v>
      </c>
      <c r="D759" s="20" t="n">
        <v>16</v>
      </c>
      <c r="E759" s="20" t="s">
        <v>23</v>
      </c>
      <c r="F759" s="20" t="n">
        <v>3</v>
      </c>
      <c r="G759" s="20" t="str">
        <f aca="false">CONCATENATE(B759, "-",C759, "-", D759, "-", F759)</f>
        <v>M0113-A-16-3</v>
      </c>
      <c r="H759" s="20" t="n">
        <v>30.36</v>
      </c>
      <c r="I759" s="20" t="n">
        <v>31.15</v>
      </c>
    </row>
    <row r="760" customFormat="false" ht="13.5" hidden="false" customHeight="true" outlineLevel="0" collapsed="false">
      <c r="A760" s="20" t="n">
        <v>501</v>
      </c>
      <c r="B760" s="20" t="s">
        <v>50</v>
      </c>
      <c r="C760" s="20" t="s">
        <v>22</v>
      </c>
      <c r="D760" s="20" t="n">
        <v>17</v>
      </c>
      <c r="E760" s="20" t="s">
        <v>23</v>
      </c>
      <c r="F760" s="20" t="n">
        <v>1</v>
      </c>
      <c r="G760" s="20" t="str">
        <f aca="false">CONCATENATE(B760, "-",C760, "-", D760, "-", F760)</f>
        <v>M0113-A-17-1</v>
      </c>
      <c r="H760" s="20" t="n">
        <v>31.15</v>
      </c>
      <c r="I760" s="20" t="n">
        <v>32.15</v>
      </c>
    </row>
    <row r="761" customFormat="false" ht="13.5" hidden="false" customHeight="true" outlineLevel="0" collapsed="false">
      <c r="A761" s="20" t="n">
        <v>501</v>
      </c>
      <c r="B761" s="20" t="s">
        <v>50</v>
      </c>
      <c r="C761" s="20" t="s">
        <v>22</v>
      </c>
      <c r="D761" s="20" t="n">
        <v>17</v>
      </c>
      <c r="E761" s="20" t="s">
        <v>23</v>
      </c>
      <c r="F761" s="20" t="n">
        <v>2</v>
      </c>
      <c r="G761" s="20" t="str">
        <f aca="false">CONCATENATE(B761, "-",C761, "-", D761, "-", F761)</f>
        <v>M0113-A-17-2</v>
      </c>
      <c r="H761" s="20" t="n">
        <v>32.15</v>
      </c>
      <c r="I761" s="20" t="n">
        <v>33.03</v>
      </c>
    </row>
    <row r="762" customFormat="false" ht="13.5" hidden="false" customHeight="true" outlineLevel="0" collapsed="false">
      <c r="A762" s="20" t="n">
        <v>501</v>
      </c>
      <c r="B762" s="20" t="s">
        <v>50</v>
      </c>
      <c r="C762" s="20" t="s">
        <v>22</v>
      </c>
      <c r="D762" s="20" t="n">
        <v>18</v>
      </c>
      <c r="E762" s="20" t="s">
        <v>23</v>
      </c>
      <c r="F762" s="20" t="n">
        <v>1</v>
      </c>
      <c r="G762" s="20" t="str">
        <f aca="false">CONCATENATE(B762, "-",C762, "-", D762, "-", F762)</f>
        <v>M0113-A-18-1</v>
      </c>
      <c r="H762" s="20" t="n">
        <v>33.03</v>
      </c>
      <c r="I762" s="20" t="n">
        <v>34.53</v>
      </c>
    </row>
    <row r="763" customFormat="false" ht="13.5" hidden="false" customHeight="true" outlineLevel="0" collapsed="false">
      <c r="A763" s="20" t="n">
        <v>501</v>
      </c>
      <c r="B763" s="20" t="s">
        <v>50</v>
      </c>
      <c r="C763" s="20" t="s">
        <v>22</v>
      </c>
      <c r="D763" s="20" t="n">
        <v>18</v>
      </c>
      <c r="E763" s="20" t="s">
        <v>23</v>
      </c>
      <c r="F763" s="20" t="n">
        <v>2</v>
      </c>
      <c r="G763" s="20" t="str">
        <f aca="false">CONCATENATE(B763, "-",C763, "-", D763, "-", F763)</f>
        <v>M0113-A-18-2</v>
      </c>
      <c r="H763" s="20" t="n">
        <v>34.53</v>
      </c>
      <c r="I763" s="20" t="n">
        <v>35.36</v>
      </c>
    </row>
    <row r="764" customFormat="false" ht="13.5" hidden="false" customHeight="true" outlineLevel="0" collapsed="false">
      <c r="A764" s="20" t="n">
        <v>501</v>
      </c>
      <c r="B764" s="20" t="s">
        <v>50</v>
      </c>
      <c r="C764" s="20" t="s">
        <v>22</v>
      </c>
      <c r="D764" s="20" t="n">
        <v>19</v>
      </c>
      <c r="E764" s="20" t="s">
        <v>23</v>
      </c>
      <c r="F764" s="20" t="n">
        <v>1</v>
      </c>
      <c r="G764" s="20" t="str">
        <f aca="false">CONCATENATE(B764, "-",C764, "-", D764, "-", F764)</f>
        <v>M0113-A-19-1</v>
      </c>
      <c r="H764" s="20" t="n">
        <v>35.36</v>
      </c>
      <c r="I764" s="20" t="n">
        <v>36.63</v>
      </c>
    </row>
    <row r="765" customFormat="false" ht="13.5" hidden="false" customHeight="true" outlineLevel="0" collapsed="false">
      <c r="A765" s="20" t="n">
        <v>501</v>
      </c>
      <c r="B765" s="20" t="s">
        <v>50</v>
      </c>
      <c r="C765" s="20" t="s">
        <v>22</v>
      </c>
      <c r="D765" s="20" t="n">
        <v>20</v>
      </c>
      <c r="E765" s="20" t="s">
        <v>23</v>
      </c>
      <c r="F765" s="20" t="n">
        <v>1</v>
      </c>
      <c r="G765" s="20" t="str">
        <f aca="false">CONCATENATE(B765, "-",C765, "-", D765, "-", F765)</f>
        <v>M0113-A-20-1</v>
      </c>
      <c r="H765" s="20" t="n">
        <v>36.63</v>
      </c>
      <c r="I765" s="20" t="n">
        <v>37.63</v>
      </c>
    </row>
    <row r="766" customFormat="false" ht="13.5" hidden="false" customHeight="true" outlineLevel="0" collapsed="false">
      <c r="A766" s="20" t="n">
        <v>501</v>
      </c>
      <c r="B766" s="20" t="s">
        <v>50</v>
      </c>
      <c r="C766" s="20" t="s">
        <v>22</v>
      </c>
      <c r="D766" s="20" t="n">
        <v>20</v>
      </c>
      <c r="E766" s="20" t="s">
        <v>23</v>
      </c>
      <c r="F766" s="20" t="n">
        <v>2</v>
      </c>
      <c r="G766" s="20" t="str">
        <f aca="false">CONCATENATE(B766, "-",C766, "-", D766, "-", F766)</f>
        <v>M0113-A-20-2</v>
      </c>
      <c r="H766" s="20" t="n">
        <v>37.63</v>
      </c>
      <c r="I766" s="20" t="n">
        <v>38.37</v>
      </c>
    </row>
    <row r="767" customFormat="false" ht="13.5" hidden="false" customHeight="true" outlineLevel="0" collapsed="false">
      <c r="A767" s="20" t="n">
        <v>501</v>
      </c>
      <c r="B767" s="20" t="s">
        <v>50</v>
      </c>
      <c r="C767" s="20" t="s">
        <v>22</v>
      </c>
      <c r="D767" s="20" t="n">
        <v>21</v>
      </c>
      <c r="E767" s="20" t="s">
        <v>23</v>
      </c>
      <c r="F767" s="20" t="n">
        <v>1</v>
      </c>
      <c r="G767" s="20" t="str">
        <f aca="false">CONCATENATE(B767, "-",C767, "-", D767, "-", F767)</f>
        <v>M0113-A-21-1</v>
      </c>
      <c r="H767" s="20" t="n">
        <v>38.37</v>
      </c>
      <c r="I767" s="20" t="n">
        <v>39.47</v>
      </c>
    </row>
    <row r="768" customFormat="false" ht="13.5" hidden="false" customHeight="true" outlineLevel="0" collapsed="false">
      <c r="A768" s="20" t="n">
        <v>501</v>
      </c>
      <c r="B768" s="20" t="s">
        <v>50</v>
      </c>
      <c r="C768" s="20" t="s">
        <v>22</v>
      </c>
      <c r="D768" s="20" t="n">
        <v>21</v>
      </c>
      <c r="E768" s="20" t="s">
        <v>23</v>
      </c>
      <c r="F768" s="20" t="n">
        <v>2</v>
      </c>
      <c r="G768" s="20" t="str">
        <f aca="false">CONCATENATE(B768, "-",C768, "-", D768, "-", F768)</f>
        <v>M0113-A-21-2</v>
      </c>
      <c r="H768" s="20" t="n">
        <v>39.47</v>
      </c>
      <c r="I768" s="20" t="n">
        <v>40.3</v>
      </c>
    </row>
    <row r="769" customFormat="false" ht="13.5" hidden="false" customHeight="true" outlineLevel="0" collapsed="false">
      <c r="A769" s="20" t="n">
        <v>501</v>
      </c>
      <c r="B769" s="20" t="s">
        <v>50</v>
      </c>
      <c r="C769" s="20" t="s">
        <v>22</v>
      </c>
      <c r="D769" s="20" t="n">
        <v>22</v>
      </c>
      <c r="E769" s="20" t="s">
        <v>23</v>
      </c>
      <c r="F769" s="20" t="n">
        <v>1</v>
      </c>
      <c r="G769" s="20" t="str">
        <f aca="false">CONCATENATE(B769, "-",C769, "-", D769, "-", F769)</f>
        <v>M0113-A-22-1</v>
      </c>
      <c r="H769" s="20" t="n">
        <v>40.3</v>
      </c>
      <c r="I769" s="20" t="n">
        <v>40.43</v>
      </c>
    </row>
    <row r="770" customFormat="false" ht="13.5" hidden="false" customHeight="true" outlineLevel="0" collapsed="false">
      <c r="A770" s="20" t="n">
        <v>501</v>
      </c>
      <c r="B770" s="20" t="s">
        <v>50</v>
      </c>
      <c r="C770" s="20" t="s">
        <v>22</v>
      </c>
      <c r="D770" s="20" t="n">
        <v>23</v>
      </c>
      <c r="E770" s="20" t="s">
        <v>23</v>
      </c>
      <c r="F770" s="20" t="n">
        <v>1</v>
      </c>
      <c r="G770" s="20" t="str">
        <f aca="false">CONCATENATE(B770, "-",C770, "-", D770, "-", F770)</f>
        <v>M0113-A-23-1</v>
      </c>
      <c r="H770" s="20" t="n">
        <v>40.43</v>
      </c>
      <c r="I770" s="20" t="n">
        <v>40.62</v>
      </c>
    </row>
    <row r="771" customFormat="false" ht="13.5" hidden="false" customHeight="true" outlineLevel="0" collapsed="false">
      <c r="A771" s="20" t="n">
        <v>501</v>
      </c>
      <c r="B771" s="20" t="s">
        <v>50</v>
      </c>
      <c r="C771" s="20" t="s">
        <v>22</v>
      </c>
      <c r="D771" s="20" t="n">
        <v>23</v>
      </c>
      <c r="E771" s="20" t="s">
        <v>23</v>
      </c>
      <c r="F771" s="20" t="n">
        <v>2</v>
      </c>
      <c r="G771" s="20" t="str">
        <f aca="false">CONCATENATE(B771, "-",C771, "-", D771, "-", F771)</f>
        <v>M0113-A-23-2</v>
      </c>
      <c r="H771" s="20" t="n">
        <v>40.62</v>
      </c>
      <c r="I771" s="20" t="n">
        <v>41.48</v>
      </c>
    </row>
    <row r="772" customFormat="false" ht="13.5" hidden="false" customHeight="true" outlineLevel="0" collapsed="false">
      <c r="A772" s="20" t="n">
        <v>501</v>
      </c>
      <c r="B772" s="20" t="s">
        <v>50</v>
      </c>
      <c r="C772" s="20" t="s">
        <v>22</v>
      </c>
      <c r="D772" s="20" t="n">
        <v>23</v>
      </c>
      <c r="E772" s="20" t="s">
        <v>23</v>
      </c>
      <c r="F772" s="20" t="n">
        <v>3</v>
      </c>
      <c r="G772" s="20" t="str">
        <f aca="false">CONCATENATE(B772, "-",C772, "-", D772, "-", F772)</f>
        <v>M0113-A-23-3</v>
      </c>
      <c r="H772" s="20" t="n">
        <v>41.48</v>
      </c>
      <c r="I772" s="20" t="n">
        <v>42.44</v>
      </c>
    </row>
    <row r="773" customFormat="false" ht="13.5" hidden="false" customHeight="true" outlineLevel="0" collapsed="false">
      <c r="A773" s="20" t="n">
        <v>501</v>
      </c>
      <c r="B773" s="20" t="s">
        <v>50</v>
      </c>
      <c r="C773" s="20" t="s">
        <v>22</v>
      </c>
      <c r="D773" s="20" t="n">
        <v>24</v>
      </c>
      <c r="E773" s="20" t="s">
        <v>23</v>
      </c>
      <c r="F773" s="20" t="n">
        <v>1</v>
      </c>
      <c r="G773" s="20" t="str">
        <f aca="false">CONCATENATE(B773, "-",C773, "-", D773, "-", F773)</f>
        <v>M0113-A-24-1</v>
      </c>
      <c r="H773" s="20" t="n">
        <v>42.44</v>
      </c>
      <c r="I773" s="20" t="n">
        <v>42.57</v>
      </c>
    </row>
    <row r="774" customFormat="false" ht="13.5" hidden="false" customHeight="true" outlineLevel="0" collapsed="false">
      <c r="A774" s="20" t="n">
        <v>501</v>
      </c>
      <c r="B774" s="20" t="s">
        <v>50</v>
      </c>
      <c r="C774" s="20" t="s">
        <v>22</v>
      </c>
      <c r="D774" s="20" t="n">
        <v>25</v>
      </c>
      <c r="E774" s="20" t="s">
        <v>23</v>
      </c>
      <c r="F774" s="20" t="n">
        <v>1</v>
      </c>
      <c r="G774" s="20" t="str">
        <f aca="false">CONCATENATE(B774, "-",C774, "-", D774, "-", F774)</f>
        <v>M0113-A-25-1</v>
      </c>
      <c r="H774" s="20" t="n">
        <v>42.57</v>
      </c>
      <c r="I774" s="20" t="n">
        <v>43.57</v>
      </c>
    </row>
    <row r="775" customFormat="false" ht="13.5" hidden="false" customHeight="true" outlineLevel="0" collapsed="false">
      <c r="A775" s="20" t="n">
        <v>501</v>
      </c>
      <c r="B775" s="20" t="s">
        <v>50</v>
      </c>
      <c r="C775" s="20" t="s">
        <v>22</v>
      </c>
      <c r="D775" s="20" t="n">
        <v>25</v>
      </c>
      <c r="E775" s="20" t="s">
        <v>23</v>
      </c>
      <c r="F775" s="20" t="n">
        <v>2</v>
      </c>
      <c r="G775" s="20" t="str">
        <f aca="false">CONCATENATE(B775, "-",C775, "-", D775, "-", F775)</f>
        <v>M0113-A-25-2</v>
      </c>
      <c r="H775" s="20" t="n">
        <v>43.57</v>
      </c>
      <c r="I775" s="20" t="n">
        <v>44.54</v>
      </c>
    </row>
    <row r="776" customFormat="false" ht="13.5" hidden="false" customHeight="true" outlineLevel="0" collapsed="false">
      <c r="A776" s="20" t="n">
        <v>501</v>
      </c>
      <c r="B776" s="20" t="s">
        <v>50</v>
      </c>
      <c r="C776" s="20" t="s">
        <v>22</v>
      </c>
      <c r="D776" s="20" t="n">
        <v>26</v>
      </c>
      <c r="E776" s="20" t="s">
        <v>23</v>
      </c>
      <c r="F776" s="20" t="n">
        <v>1</v>
      </c>
      <c r="G776" s="20" t="str">
        <f aca="false">CONCATENATE(B776, "-",C776, "-", D776, "-", F776)</f>
        <v>M0113-A-26-1</v>
      </c>
      <c r="H776" s="20" t="n">
        <v>44.54</v>
      </c>
      <c r="I776" s="20" t="n">
        <v>45.54</v>
      </c>
    </row>
    <row r="777" customFormat="false" ht="13.5" hidden="false" customHeight="true" outlineLevel="0" collapsed="false">
      <c r="A777" s="20" t="n">
        <v>501</v>
      </c>
      <c r="B777" s="20" t="s">
        <v>50</v>
      </c>
      <c r="C777" s="20" t="s">
        <v>22</v>
      </c>
      <c r="D777" s="20" t="n">
        <v>26</v>
      </c>
      <c r="E777" s="20" t="s">
        <v>23</v>
      </c>
      <c r="F777" s="20" t="n">
        <v>2</v>
      </c>
      <c r="G777" s="20" t="str">
        <f aca="false">CONCATENATE(B777, "-",C777, "-", D777, "-", F777)</f>
        <v>M0113-A-26-2</v>
      </c>
      <c r="H777" s="20" t="n">
        <v>45.54</v>
      </c>
      <c r="I777" s="20" t="n">
        <v>46.48</v>
      </c>
    </row>
    <row r="778" customFormat="false" ht="13.5" hidden="false" customHeight="true" outlineLevel="0" collapsed="false">
      <c r="A778" s="20" t="n">
        <v>501</v>
      </c>
      <c r="B778" s="20" t="s">
        <v>50</v>
      </c>
      <c r="C778" s="20" t="s">
        <v>22</v>
      </c>
      <c r="D778" s="20" t="n">
        <v>27</v>
      </c>
      <c r="E778" s="20" t="s">
        <v>23</v>
      </c>
      <c r="F778" s="20" t="n">
        <v>1</v>
      </c>
      <c r="G778" s="20" t="str">
        <f aca="false">CONCATENATE(B778, "-",C778, "-", D778, "-", F778)</f>
        <v>M0113-A-27-1</v>
      </c>
      <c r="H778" s="20" t="n">
        <v>46.48</v>
      </c>
      <c r="I778" s="20" t="n">
        <v>47.48</v>
      </c>
    </row>
    <row r="779" customFormat="false" ht="13.5" hidden="false" customHeight="true" outlineLevel="0" collapsed="false">
      <c r="A779" s="20" t="n">
        <v>501</v>
      </c>
      <c r="B779" s="20" t="s">
        <v>50</v>
      </c>
      <c r="C779" s="20" t="s">
        <v>22</v>
      </c>
      <c r="D779" s="20" t="n">
        <v>27</v>
      </c>
      <c r="E779" s="20" t="s">
        <v>23</v>
      </c>
      <c r="F779" s="20" t="n">
        <v>2</v>
      </c>
      <c r="G779" s="20" t="str">
        <f aca="false">CONCATENATE(B779, "-",C779, "-", D779, "-", F779)</f>
        <v>M0113-A-27-2</v>
      </c>
      <c r="H779" s="20" t="n">
        <v>47.48</v>
      </c>
      <c r="I779" s="20" t="n">
        <v>48.47</v>
      </c>
    </row>
    <row r="780" customFormat="false" ht="13.5" hidden="false" customHeight="true" outlineLevel="0" collapsed="false">
      <c r="A780" s="20" t="n">
        <v>501</v>
      </c>
      <c r="B780" s="20" t="s">
        <v>50</v>
      </c>
      <c r="C780" s="20" t="s">
        <v>22</v>
      </c>
      <c r="D780" s="20" t="n">
        <v>28</v>
      </c>
      <c r="E780" s="20" t="s">
        <v>23</v>
      </c>
      <c r="F780" s="20" t="n">
        <v>1</v>
      </c>
      <c r="G780" s="20" t="str">
        <f aca="false">CONCATENATE(B780, "-",C780, "-", D780, "-", F780)</f>
        <v>M0113-A-28-1</v>
      </c>
      <c r="H780" s="20" t="n">
        <v>48.47</v>
      </c>
      <c r="I780" s="20" t="n">
        <v>49.47</v>
      </c>
    </row>
    <row r="781" customFormat="false" ht="13.5" hidden="false" customHeight="true" outlineLevel="0" collapsed="false">
      <c r="A781" s="20" t="n">
        <v>501</v>
      </c>
      <c r="B781" s="20" t="s">
        <v>50</v>
      </c>
      <c r="C781" s="20" t="s">
        <v>22</v>
      </c>
      <c r="D781" s="20" t="n">
        <v>28</v>
      </c>
      <c r="E781" s="20" t="s">
        <v>23</v>
      </c>
      <c r="F781" s="20" t="n">
        <v>2</v>
      </c>
      <c r="G781" s="20" t="str">
        <f aca="false">CONCATENATE(B781, "-",C781, "-", D781, "-", F781)</f>
        <v>M0113-A-28-2</v>
      </c>
      <c r="H781" s="20" t="n">
        <v>49.47</v>
      </c>
      <c r="I781" s="20" t="n">
        <v>50.41</v>
      </c>
    </row>
    <row r="782" customFormat="false" ht="13.5" hidden="false" customHeight="true" outlineLevel="0" collapsed="false">
      <c r="A782" s="20" t="n">
        <v>501</v>
      </c>
      <c r="B782" s="20" t="s">
        <v>50</v>
      </c>
      <c r="C782" s="20" t="s">
        <v>22</v>
      </c>
      <c r="D782" s="20" t="n">
        <v>29</v>
      </c>
      <c r="E782" s="20" t="s">
        <v>23</v>
      </c>
      <c r="F782" s="20" t="n">
        <v>1</v>
      </c>
      <c r="G782" s="20" t="str">
        <f aca="false">CONCATENATE(B782, "-",C782, "-", D782, "-", F782)</f>
        <v>M0113-A-29-1</v>
      </c>
      <c r="H782" s="20" t="n">
        <v>50.41</v>
      </c>
      <c r="I782" s="20" t="n">
        <v>51.91</v>
      </c>
    </row>
    <row r="783" customFormat="false" ht="13.5" hidden="false" customHeight="true" outlineLevel="0" collapsed="false">
      <c r="A783" s="20" t="n">
        <v>501</v>
      </c>
      <c r="B783" s="20" t="s">
        <v>50</v>
      </c>
      <c r="C783" s="20" t="s">
        <v>22</v>
      </c>
      <c r="D783" s="20" t="n">
        <v>30</v>
      </c>
      <c r="E783" s="20" t="s">
        <v>23</v>
      </c>
      <c r="F783" s="20" t="n">
        <v>1</v>
      </c>
      <c r="G783" s="20" t="str">
        <f aca="false">CONCATENATE(B783, "-",C783, "-", D783, "-", F783)</f>
        <v>M0113-A-30-1</v>
      </c>
      <c r="H783" s="20" t="n">
        <v>51.91</v>
      </c>
      <c r="I783" s="20" t="n">
        <v>52.89</v>
      </c>
    </row>
    <row r="784" customFormat="false" ht="13.5" hidden="false" customHeight="true" outlineLevel="0" collapsed="false">
      <c r="A784" s="20" t="n">
        <v>501</v>
      </c>
      <c r="B784" s="20" t="s">
        <v>50</v>
      </c>
      <c r="C784" s="20" t="s">
        <v>22</v>
      </c>
      <c r="D784" s="20" t="n">
        <v>30</v>
      </c>
      <c r="E784" s="20" t="s">
        <v>23</v>
      </c>
      <c r="F784" s="20" t="n">
        <v>2</v>
      </c>
      <c r="G784" s="20" t="str">
        <f aca="false">CONCATENATE(B784, "-",C784, "-", D784, "-", F784)</f>
        <v>M0113-A-30-2</v>
      </c>
      <c r="H784" s="20" t="n">
        <v>52.89</v>
      </c>
      <c r="I784" s="20" t="n">
        <v>53.73</v>
      </c>
    </row>
    <row r="785" customFormat="false" ht="13.5" hidden="false" customHeight="true" outlineLevel="0" collapsed="false">
      <c r="A785" s="20" t="n">
        <v>501</v>
      </c>
      <c r="B785" s="20" t="s">
        <v>50</v>
      </c>
      <c r="C785" s="20" t="s">
        <v>22</v>
      </c>
      <c r="D785" s="20" t="n">
        <v>30</v>
      </c>
      <c r="E785" s="20" t="s">
        <v>23</v>
      </c>
      <c r="F785" s="20" t="n">
        <v>3</v>
      </c>
      <c r="G785" s="20" t="str">
        <f aca="false">CONCATENATE(B785, "-",C785, "-", D785, "-", F785)</f>
        <v>M0113-A-30-3</v>
      </c>
      <c r="H785" s="20" t="n">
        <v>53.73</v>
      </c>
      <c r="I785" s="20" t="n">
        <v>53.89</v>
      </c>
    </row>
    <row r="786" customFormat="false" ht="13.5" hidden="false" customHeight="true" outlineLevel="0" collapsed="false">
      <c r="A786" s="20" t="n">
        <v>501</v>
      </c>
      <c r="B786" s="20" t="s">
        <v>50</v>
      </c>
      <c r="C786" s="20" t="s">
        <v>22</v>
      </c>
      <c r="D786" s="20" t="n">
        <v>31</v>
      </c>
      <c r="E786" s="20" t="s">
        <v>23</v>
      </c>
      <c r="F786" s="20" t="n">
        <v>1</v>
      </c>
      <c r="G786" s="20" t="str">
        <f aca="false">CONCATENATE(B786, "-",C786, "-", D786, "-", F786)</f>
        <v>M0113-A-31-1</v>
      </c>
      <c r="H786" s="20" t="n">
        <v>53.89</v>
      </c>
      <c r="I786" s="20" t="n">
        <v>55.02</v>
      </c>
    </row>
    <row r="787" customFormat="false" ht="13.5" hidden="false" customHeight="true" outlineLevel="0" collapsed="false">
      <c r="A787" s="20" t="n">
        <v>501</v>
      </c>
      <c r="B787" s="20" t="s">
        <v>50</v>
      </c>
      <c r="C787" s="20" t="s">
        <v>22</v>
      </c>
      <c r="D787" s="20" t="n">
        <v>32</v>
      </c>
      <c r="E787" s="20" t="s">
        <v>23</v>
      </c>
      <c r="F787" s="20" t="n">
        <v>1</v>
      </c>
      <c r="G787" s="20" t="str">
        <f aca="false">CONCATENATE(B787, "-",C787, "-", D787, "-", F787)</f>
        <v>M0113-A-32-1</v>
      </c>
      <c r="H787" s="20" t="n">
        <v>55.02</v>
      </c>
      <c r="I787" s="20" t="n">
        <v>56.52</v>
      </c>
    </row>
    <row r="788" customFormat="false" ht="13.5" hidden="false" customHeight="true" outlineLevel="0" collapsed="false">
      <c r="A788" s="20" t="n">
        <v>501</v>
      </c>
      <c r="B788" s="20" t="s">
        <v>50</v>
      </c>
      <c r="C788" s="20" t="s">
        <v>22</v>
      </c>
      <c r="D788" s="20" t="n">
        <v>32</v>
      </c>
      <c r="E788" s="20" t="s">
        <v>23</v>
      </c>
      <c r="F788" s="20" t="n">
        <v>2</v>
      </c>
      <c r="G788" s="20" t="str">
        <f aca="false">CONCATENATE(B788, "-",C788, "-", D788, "-", F788)</f>
        <v>M0113-A-32-2</v>
      </c>
      <c r="H788" s="20" t="n">
        <v>56.52</v>
      </c>
      <c r="I788" s="20" t="n">
        <v>57.52</v>
      </c>
    </row>
    <row r="789" customFormat="false" ht="13.5" hidden="false" customHeight="true" outlineLevel="0" collapsed="false">
      <c r="A789" s="20" t="n">
        <v>501</v>
      </c>
      <c r="B789" s="20" t="s">
        <v>50</v>
      </c>
      <c r="C789" s="20" t="s">
        <v>22</v>
      </c>
      <c r="D789" s="20" t="n">
        <v>33</v>
      </c>
      <c r="E789" s="20" t="s">
        <v>23</v>
      </c>
      <c r="F789" s="20" t="n">
        <v>1</v>
      </c>
      <c r="G789" s="20" t="str">
        <f aca="false">CONCATENATE(B789, "-",C789, "-", D789, "-", F789)</f>
        <v>M0113-A-33-1</v>
      </c>
      <c r="H789" s="20" t="n">
        <v>57.52</v>
      </c>
      <c r="I789" s="20" t="n">
        <v>58.52</v>
      </c>
    </row>
    <row r="790" customFormat="false" ht="13.5" hidden="false" customHeight="true" outlineLevel="0" collapsed="false">
      <c r="A790" s="20" t="n">
        <v>501</v>
      </c>
      <c r="B790" s="20" t="s">
        <v>50</v>
      </c>
      <c r="C790" s="20" t="s">
        <v>22</v>
      </c>
      <c r="D790" s="20" t="n">
        <v>33</v>
      </c>
      <c r="E790" s="20" t="s">
        <v>23</v>
      </c>
      <c r="F790" s="20" t="n">
        <v>2</v>
      </c>
      <c r="G790" s="20" t="str">
        <f aca="false">CONCATENATE(B790, "-",C790, "-", D790, "-", F790)</f>
        <v>M0113-A-33-2</v>
      </c>
      <c r="H790" s="20" t="n">
        <v>58.52</v>
      </c>
      <c r="I790" s="20" t="n">
        <v>59.94</v>
      </c>
    </row>
    <row r="791" customFormat="false" ht="13.5" hidden="false" customHeight="true" outlineLevel="0" collapsed="false">
      <c r="A791" s="20" t="n">
        <v>501</v>
      </c>
      <c r="B791" s="20" t="s">
        <v>50</v>
      </c>
      <c r="C791" s="20" t="s">
        <v>22</v>
      </c>
      <c r="D791" s="20" t="n">
        <v>34</v>
      </c>
      <c r="E791" s="20" t="s">
        <v>23</v>
      </c>
      <c r="F791" s="20" t="n">
        <v>1</v>
      </c>
      <c r="G791" s="20" t="str">
        <f aca="false">CONCATENATE(B791, "-",C791, "-", D791, "-", F791)</f>
        <v>M0113-A-34-1</v>
      </c>
      <c r="H791" s="20" t="n">
        <v>59.94</v>
      </c>
      <c r="I791" s="20" t="n">
        <v>60.94</v>
      </c>
    </row>
    <row r="792" customFormat="false" ht="13.5" hidden="false" customHeight="true" outlineLevel="0" collapsed="false">
      <c r="A792" s="20" t="n">
        <v>501</v>
      </c>
      <c r="B792" s="20" t="s">
        <v>50</v>
      </c>
      <c r="C792" s="20" t="s">
        <v>22</v>
      </c>
      <c r="D792" s="20" t="n">
        <v>34</v>
      </c>
      <c r="E792" s="20" t="s">
        <v>23</v>
      </c>
      <c r="F792" s="20" t="n">
        <v>2</v>
      </c>
      <c r="G792" s="20" t="str">
        <f aca="false">CONCATENATE(B792, "-",C792, "-", D792, "-", F792)</f>
        <v>M0113-A-34-2</v>
      </c>
      <c r="H792" s="20" t="n">
        <v>60.94</v>
      </c>
      <c r="I792" s="20" t="n">
        <v>61.74</v>
      </c>
    </row>
    <row r="793" customFormat="false" ht="13.5" hidden="false" customHeight="true" outlineLevel="0" collapsed="false">
      <c r="A793" s="20" t="n">
        <v>501</v>
      </c>
      <c r="B793" s="20" t="s">
        <v>50</v>
      </c>
      <c r="C793" s="20" t="s">
        <v>22</v>
      </c>
      <c r="D793" s="20" t="n">
        <v>35</v>
      </c>
      <c r="E793" s="20" t="s">
        <v>23</v>
      </c>
      <c r="F793" s="20" t="n">
        <v>1</v>
      </c>
      <c r="G793" s="20" t="str">
        <f aca="false">CONCATENATE(B793, "-",C793, "-", D793, "-", F793)</f>
        <v>M0113-A-35-1</v>
      </c>
      <c r="H793" s="20" t="n">
        <v>61.74</v>
      </c>
      <c r="I793" s="20" t="n">
        <v>62.75</v>
      </c>
    </row>
    <row r="794" customFormat="false" ht="13.5" hidden="false" customHeight="true" outlineLevel="0" collapsed="false">
      <c r="A794" s="20" t="n">
        <v>501</v>
      </c>
      <c r="B794" s="20" t="s">
        <v>50</v>
      </c>
      <c r="C794" s="20" t="s">
        <v>22</v>
      </c>
      <c r="D794" s="20" t="n">
        <v>35</v>
      </c>
      <c r="E794" s="20" t="s">
        <v>23</v>
      </c>
      <c r="F794" s="20" t="n">
        <v>2</v>
      </c>
      <c r="G794" s="20" t="str">
        <f aca="false">CONCATENATE(B794, "-",C794, "-", D794, "-", F794)</f>
        <v>M0113-A-35-2</v>
      </c>
      <c r="H794" s="20" t="n">
        <v>62.75</v>
      </c>
      <c r="I794" s="20" t="n">
        <v>63.68</v>
      </c>
    </row>
    <row r="795" customFormat="false" ht="13.5" hidden="false" customHeight="true" outlineLevel="0" collapsed="false">
      <c r="A795" s="20" t="n">
        <v>501</v>
      </c>
      <c r="B795" s="20" t="s">
        <v>50</v>
      </c>
      <c r="C795" s="20" t="s">
        <v>22</v>
      </c>
      <c r="D795" s="20" t="n">
        <v>36</v>
      </c>
      <c r="E795" s="20" t="s">
        <v>23</v>
      </c>
      <c r="F795" s="20" t="n">
        <v>1</v>
      </c>
      <c r="G795" s="20" t="str">
        <f aca="false">CONCATENATE(B795, "-",C795, "-", D795, "-", F795)</f>
        <v>M0113-A-36-1</v>
      </c>
      <c r="H795" s="20" t="n">
        <v>63.68</v>
      </c>
      <c r="I795" s="20" t="n">
        <v>64.68</v>
      </c>
    </row>
    <row r="796" customFormat="false" ht="13.5" hidden="false" customHeight="true" outlineLevel="0" collapsed="false">
      <c r="A796" s="20" t="n">
        <v>501</v>
      </c>
      <c r="B796" s="20" t="s">
        <v>50</v>
      </c>
      <c r="C796" s="20" t="s">
        <v>22</v>
      </c>
      <c r="D796" s="20" t="n">
        <v>36</v>
      </c>
      <c r="E796" s="20" t="s">
        <v>23</v>
      </c>
      <c r="F796" s="20" t="n">
        <v>2</v>
      </c>
      <c r="G796" s="20" t="str">
        <f aca="false">CONCATENATE(B796, "-",C796, "-", D796, "-", F796)</f>
        <v>M0113-A-36-2</v>
      </c>
      <c r="H796" s="20" t="n">
        <v>64.68</v>
      </c>
      <c r="I796" s="20" t="n">
        <v>65.54</v>
      </c>
    </row>
    <row r="797" customFormat="false" ht="13.5" hidden="false" customHeight="true" outlineLevel="0" collapsed="false">
      <c r="A797" s="20" t="n">
        <v>501</v>
      </c>
      <c r="B797" s="20" t="s">
        <v>50</v>
      </c>
      <c r="C797" s="20" t="s">
        <v>22</v>
      </c>
      <c r="D797" s="20" t="n">
        <v>37</v>
      </c>
      <c r="E797" s="20" t="s">
        <v>23</v>
      </c>
      <c r="F797" s="20" t="n">
        <v>1</v>
      </c>
      <c r="G797" s="20" t="str">
        <f aca="false">CONCATENATE(B797, "-",C797, "-", D797, "-", F797)</f>
        <v>M0113-A-37-1</v>
      </c>
      <c r="H797" s="20" t="n">
        <v>65.44</v>
      </c>
      <c r="I797" s="20" t="n">
        <v>66.44</v>
      </c>
    </row>
    <row r="798" customFormat="false" ht="13.5" hidden="false" customHeight="true" outlineLevel="0" collapsed="false">
      <c r="A798" s="20" t="n">
        <v>501</v>
      </c>
      <c r="B798" s="20" t="s">
        <v>50</v>
      </c>
      <c r="C798" s="20" t="s">
        <v>22</v>
      </c>
      <c r="D798" s="20" t="n">
        <v>37</v>
      </c>
      <c r="E798" s="20" t="s">
        <v>23</v>
      </c>
      <c r="F798" s="20" t="n">
        <v>2</v>
      </c>
      <c r="G798" s="20" t="str">
        <f aca="false">CONCATENATE(B798, "-",C798, "-", D798, "-", F798)</f>
        <v>M0113-A-37-2</v>
      </c>
      <c r="H798" s="20" t="n">
        <v>66.44</v>
      </c>
      <c r="I798" s="20" t="n">
        <v>67.21</v>
      </c>
    </row>
    <row r="799" customFormat="false" ht="13.5" hidden="false" customHeight="true" outlineLevel="0" collapsed="false">
      <c r="A799" s="20" t="n">
        <v>501</v>
      </c>
      <c r="B799" s="20" t="s">
        <v>50</v>
      </c>
      <c r="C799" s="20" t="s">
        <v>22</v>
      </c>
      <c r="D799" s="20" t="n">
        <v>38</v>
      </c>
      <c r="E799" s="20" t="s">
        <v>23</v>
      </c>
      <c r="F799" s="20" t="n">
        <v>1</v>
      </c>
      <c r="G799" s="20" t="str">
        <f aca="false">CONCATENATE(B799, "-",C799, "-", D799, "-", F799)</f>
        <v>M0113-A-38-1</v>
      </c>
      <c r="H799" s="20" t="n">
        <v>67.01</v>
      </c>
      <c r="I799" s="20" t="n">
        <v>67.2</v>
      </c>
    </row>
    <row r="800" customFormat="false" ht="13.5" hidden="false" customHeight="true" outlineLevel="0" collapsed="false">
      <c r="A800" s="20" t="n">
        <v>501</v>
      </c>
      <c r="B800" s="20" t="s">
        <v>50</v>
      </c>
      <c r="C800" s="20" t="s">
        <v>22</v>
      </c>
      <c r="D800" s="20" t="n">
        <v>38</v>
      </c>
      <c r="E800" s="20" t="s">
        <v>23</v>
      </c>
      <c r="F800" s="20" t="n">
        <v>2</v>
      </c>
      <c r="G800" s="20" t="str">
        <f aca="false">CONCATENATE(B800, "-",C800, "-", D800, "-", F800)</f>
        <v>M0113-A-38-2</v>
      </c>
      <c r="H800" s="20" t="n">
        <v>67.2</v>
      </c>
      <c r="I800" s="20" t="n">
        <v>67.66</v>
      </c>
    </row>
    <row r="801" customFormat="false" ht="13.5" hidden="false" customHeight="true" outlineLevel="0" collapsed="false">
      <c r="A801" s="20" t="n">
        <v>501</v>
      </c>
      <c r="B801" s="20" t="s">
        <v>50</v>
      </c>
      <c r="C801" s="20" t="s">
        <v>22</v>
      </c>
      <c r="D801" s="20" t="n">
        <v>38</v>
      </c>
      <c r="E801" s="20" t="s">
        <v>23</v>
      </c>
      <c r="F801" s="20" t="n">
        <v>3</v>
      </c>
      <c r="G801" s="20" t="str">
        <f aca="false">CONCATENATE(B801, "-",C801, "-", D801, "-", F801)</f>
        <v>M0113-A-38-3</v>
      </c>
      <c r="H801" s="20" t="n">
        <v>67.66</v>
      </c>
      <c r="I801" s="20" t="n">
        <v>68.18</v>
      </c>
    </row>
    <row r="802" customFormat="false" ht="13.5" hidden="false" customHeight="true" outlineLevel="0" collapsed="false">
      <c r="A802" s="20" t="n">
        <v>501</v>
      </c>
      <c r="B802" s="20" t="s">
        <v>50</v>
      </c>
      <c r="C802" s="20" t="s">
        <v>22</v>
      </c>
      <c r="D802" s="20" t="n">
        <v>38</v>
      </c>
      <c r="E802" s="20" t="s">
        <v>23</v>
      </c>
      <c r="F802" s="20" t="n">
        <v>4</v>
      </c>
      <c r="G802" s="20" t="str">
        <f aca="false">CONCATENATE(B802, "-",C802, "-", D802, "-", F802)</f>
        <v>M0113-A-38-4</v>
      </c>
      <c r="H802" s="20" t="n">
        <v>68.18</v>
      </c>
      <c r="I802" s="20" t="n">
        <v>68.27</v>
      </c>
    </row>
    <row r="803" customFormat="false" ht="13.5" hidden="false" customHeight="true" outlineLevel="0" collapsed="false">
      <c r="A803" s="20" t="n">
        <v>501</v>
      </c>
      <c r="B803" s="20" t="s">
        <v>50</v>
      </c>
      <c r="C803" s="20" t="s">
        <v>22</v>
      </c>
      <c r="D803" s="20" t="n">
        <v>39</v>
      </c>
      <c r="E803" s="20" t="s">
        <v>28</v>
      </c>
      <c r="F803" s="20" t="n">
        <v>1</v>
      </c>
      <c r="G803" s="20" t="str">
        <f aca="false">CONCATENATE(B803, "-",C803, "-", D803, "-", F803)</f>
        <v>M0113-A-39-1</v>
      </c>
      <c r="H803" s="20" t="n">
        <v>68.27</v>
      </c>
      <c r="I803" s="20" t="n">
        <v>68.8</v>
      </c>
    </row>
    <row r="804" customFormat="false" ht="13.5" hidden="false" customHeight="true" outlineLevel="0" collapsed="false">
      <c r="A804" s="20" t="n">
        <v>501</v>
      </c>
      <c r="B804" s="20" t="s">
        <v>50</v>
      </c>
      <c r="C804" s="20" t="s">
        <v>22</v>
      </c>
      <c r="D804" s="20" t="n">
        <v>41</v>
      </c>
      <c r="E804" s="20" t="s">
        <v>23</v>
      </c>
      <c r="F804" s="20" t="n">
        <v>1</v>
      </c>
      <c r="G804" s="20" t="str">
        <f aca="false">CONCATENATE(B804, "-",C804, "-", D804, "-", F804)</f>
        <v>M0113-A-41-1</v>
      </c>
      <c r="H804" s="20" t="n">
        <v>68.27</v>
      </c>
      <c r="I804" s="20" t="n">
        <v>69.63</v>
      </c>
    </row>
    <row r="805" customFormat="false" ht="13.5" hidden="false" customHeight="true" outlineLevel="0" collapsed="false">
      <c r="A805" s="20" t="n">
        <v>501</v>
      </c>
      <c r="B805" s="20" t="s">
        <v>50</v>
      </c>
      <c r="C805" s="20" t="s">
        <v>22</v>
      </c>
      <c r="D805" s="20" t="n">
        <v>42</v>
      </c>
      <c r="E805" s="20" t="s">
        <v>23</v>
      </c>
      <c r="F805" s="20" t="n">
        <v>1</v>
      </c>
      <c r="G805" s="20" t="str">
        <f aca="false">CONCATENATE(B805, "-",C805, "-", D805, "-", F805)</f>
        <v>M0113-A-42-1</v>
      </c>
      <c r="H805" s="20" t="n">
        <v>79.4</v>
      </c>
      <c r="I805" s="20" t="n">
        <v>79.76</v>
      </c>
    </row>
    <row r="806" customFormat="false" ht="13.5" hidden="false" customHeight="true" outlineLevel="0" collapsed="false">
      <c r="A806" s="20" t="n">
        <v>501</v>
      </c>
      <c r="B806" s="20" t="s">
        <v>50</v>
      </c>
      <c r="C806" s="20" t="s">
        <v>22</v>
      </c>
      <c r="D806" s="20" t="n">
        <v>43</v>
      </c>
      <c r="E806" s="20" t="s">
        <v>23</v>
      </c>
      <c r="F806" s="20" t="n">
        <v>1</v>
      </c>
      <c r="G806" s="20" t="str">
        <f aca="false">CONCATENATE(B806, "-",C806, "-", D806, "-", F806)</f>
        <v>M0113-A-43-1</v>
      </c>
      <c r="H806" s="20" t="n">
        <v>79.76</v>
      </c>
      <c r="I806" s="20" t="n">
        <v>80.97</v>
      </c>
    </row>
    <row r="807" customFormat="false" ht="13.5" hidden="false" customHeight="true" outlineLevel="0" collapsed="false">
      <c r="A807" s="20" t="n">
        <v>501</v>
      </c>
      <c r="B807" s="20" t="s">
        <v>50</v>
      </c>
      <c r="C807" s="20" t="s">
        <v>22</v>
      </c>
      <c r="D807" s="20" t="n">
        <v>43</v>
      </c>
      <c r="E807" s="20" t="s">
        <v>23</v>
      </c>
      <c r="F807" s="20" t="n">
        <v>2</v>
      </c>
      <c r="G807" s="20" t="str">
        <f aca="false">CONCATENATE(B807, "-",C807, "-", D807, "-", F807)</f>
        <v>M0113-A-43-2</v>
      </c>
      <c r="H807" s="20" t="n">
        <v>80.97</v>
      </c>
      <c r="I807" s="20" t="n">
        <v>81.08</v>
      </c>
    </row>
    <row r="808" customFormat="false" ht="13.5" hidden="false" customHeight="true" outlineLevel="0" collapsed="false">
      <c r="A808" s="20" t="n">
        <v>501</v>
      </c>
      <c r="B808" s="20" t="s">
        <v>50</v>
      </c>
      <c r="C808" s="20" t="s">
        <v>22</v>
      </c>
      <c r="D808" s="20" t="n">
        <v>44</v>
      </c>
      <c r="E808" s="20" t="s">
        <v>23</v>
      </c>
      <c r="F808" s="20" t="n">
        <v>1</v>
      </c>
      <c r="G808" s="20" t="str">
        <f aca="false">CONCATENATE(B808, "-",C808, "-", D808, "-", F808)</f>
        <v>M0113-A-44-1</v>
      </c>
      <c r="H808" s="20" t="n">
        <v>81.08</v>
      </c>
      <c r="I808" s="20" t="n">
        <v>81.19</v>
      </c>
    </row>
    <row r="809" customFormat="false" ht="13.5" hidden="false" customHeight="true" outlineLevel="0" collapsed="false">
      <c r="A809" s="20" t="n">
        <v>501</v>
      </c>
      <c r="B809" s="20" t="s">
        <v>50</v>
      </c>
      <c r="C809" s="20" t="s">
        <v>22</v>
      </c>
      <c r="D809" s="20" t="n">
        <v>44</v>
      </c>
      <c r="E809" s="20" t="s">
        <v>23</v>
      </c>
      <c r="F809" s="20" t="n">
        <v>2</v>
      </c>
      <c r="G809" s="20" t="str">
        <f aca="false">CONCATENATE(B809, "-",C809, "-", D809, "-", F809)</f>
        <v>M0113-A-44-2</v>
      </c>
      <c r="H809" s="20" t="n">
        <v>81.19</v>
      </c>
      <c r="I809" s="20" t="n">
        <v>82.02</v>
      </c>
    </row>
    <row r="810" customFormat="false" ht="13.5" hidden="false" customHeight="true" outlineLevel="0" collapsed="false">
      <c r="A810" s="20" t="n">
        <v>501</v>
      </c>
      <c r="B810" s="20" t="s">
        <v>50</v>
      </c>
      <c r="C810" s="20" t="s">
        <v>22</v>
      </c>
      <c r="D810" s="20" t="n">
        <v>44</v>
      </c>
      <c r="E810" s="20" t="s">
        <v>23</v>
      </c>
      <c r="F810" s="20" t="n">
        <v>3</v>
      </c>
      <c r="G810" s="20" t="str">
        <f aca="false">CONCATENATE(B810, "-",C810, "-", D810, "-", F810)</f>
        <v>M0113-A-44-3</v>
      </c>
      <c r="H810" s="20" t="n">
        <v>82.02</v>
      </c>
      <c r="I810" s="20" t="n">
        <v>82.56</v>
      </c>
    </row>
    <row r="811" customFormat="false" ht="13.5" hidden="false" customHeight="true" outlineLevel="0" collapsed="false">
      <c r="A811" s="20" t="n">
        <v>501</v>
      </c>
      <c r="B811" s="20" t="s">
        <v>50</v>
      </c>
      <c r="C811" s="20" t="s">
        <v>22</v>
      </c>
      <c r="D811" s="20" t="n">
        <v>45</v>
      </c>
      <c r="E811" s="20" t="s">
        <v>28</v>
      </c>
      <c r="F811" s="20" t="n">
        <v>1</v>
      </c>
      <c r="G811" s="20" t="str">
        <f aca="false">CONCATENATE(B811, "-",C811, "-", D811, "-", F811)</f>
        <v>M0113-A-45-1</v>
      </c>
      <c r="H811" s="20" t="n">
        <v>82.56</v>
      </c>
      <c r="I811" s="20" t="n">
        <v>83.92</v>
      </c>
    </row>
    <row r="812" customFormat="false" ht="13.5" hidden="false" customHeight="true" outlineLevel="0" collapsed="false">
      <c r="A812" s="20" t="n">
        <v>501</v>
      </c>
      <c r="B812" s="20" t="s">
        <v>50</v>
      </c>
      <c r="C812" s="20" t="s">
        <v>22</v>
      </c>
      <c r="D812" s="20" t="n">
        <v>46</v>
      </c>
      <c r="E812" s="20" t="s">
        <v>23</v>
      </c>
      <c r="F812" s="20" t="n">
        <v>1</v>
      </c>
      <c r="G812" s="20" t="str">
        <f aca="false">CONCATENATE(B812, "-",C812, "-", D812, "-", F812)</f>
        <v>M0113-A-46-1</v>
      </c>
      <c r="H812" s="20" t="n">
        <v>83.49</v>
      </c>
      <c r="I812" s="20" t="n">
        <v>83.9</v>
      </c>
    </row>
    <row r="813" customFormat="false" ht="13.5" hidden="false" customHeight="true" outlineLevel="0" collapsed="false">
      <c r="A813" s="20" t="n">
        <v>501</v>
      </c>
      <c r="B813" s="20" t="s">
        <v>50</v>
      </c>
      <c r="C813" s="20" t="s">
        <v>22</v>
      </c>
      <c r="D813" s="20" t="n">
        <v>46</v>
      </c>
      <c r="E813" s="20" t="s">
        <v>23</v>
      </c>
      <c r="F813" s="20" t="n">
        <v>2</v>
      </c>
      <c r="G813" s="20" t="str">
        <f aca="false">CONCATENATE(B813, "-",C813, "-", D813, "-", F813)</f>
        <v>M0113-A-46-2</v>
      </c>
      <c r="H813" s="20" t="n">
        <v>83.9</v>
      </c>
      <c r="I813" s="20" t="n">
        <v>85.33</v>
      </c>
    </row>
    <row r="814" customFormat="false" ht="13.5" hidden="false" customHeight="true" outlineLevel="0" collapsed="false">
      <c r="A814" s="20" t="n">
        <v>501</v>
      </c>
      <c r="B814" s="20" t="s">
        <v>50</v>
      </c>
      <c r="C814" s="20" t="s">
        <v>22</v>
      </c>
      <c r="D814" s="20" t="n">
        <v>47</v>
      </c>
      <c r="E814" s="20" t="s">
        <v>23</v>
      </c>
      <c r="F814" s="20" t="n">
        <v>1</v>
      </c>
      <c r="G814" s="20" t="str">
        <f aca="false">CONCATENATE(B814, "-",C814, "-", D814, "-", F814)</f>
        <v>M0113-A-47-1</v>
      </c>
      <c r="H814" s="20" t="n">
        <v>85.33</v>
      </c>
      <c r="I814" s="20" t="n">
        <v>85.82</v>
      </c>
    </row>
    <row r="815" customFormat="false" ht="13.5" hidden="false" customHeight="true" outlineLevel="0" collapsed="false">
      <c r="A815" s="20" t="n">
        <v>501</v>
      </c>
      <c r="B815" s="20" t="s">
        <v>50</v>
      </c>
      <c r="C815" s="20" t="s">
        <v>22</v>
      </c>
      <c r="D815" s="20" t="n">
        <v>47</v>
      </c>
      <c r="E815" s="20" t="s">
        <v>23</v>
      </c>
      <c r="F815" s="20" t="n">
        <v>2</v>
      </c>
      <c r="G815" s="20" t="str">
        <f aca="false">CONCATENATE(B815, "-",C815, "-", D815, "-", F815)</f>
        <v>M0113-A-47-2</v>
      </c>
      <c r="H815" s="20" t="n">
        <v>85.82</v>
      </c>
      <c r="I815" s="20" t="n">
        <v>86.34</v>
      </c>
    </row>
    <row r="816" customFormat="false" ht="13.5" hidden="false" customHeight="true" outlineLevel="0" collapsed="false">
      <c r="A816" s="20" t="n">
        <v>501</v>
      </c>
      <c r="B816" s="20" t="s">
        <v>50</v>
      </c>
      <c r="C816" s="20" t="s">
        <v>22</v>
      </c>
      <c r="D816" s="20" t="n">
        <v>48</v>
      </c>
      <c r="E816" s="20" t="s">
        <v>23</v>
      </c>
      <c r="F816" s="20" t="n">
        <v>1</v>
      </c>
      <c r="G816" s="20" t="str">
        <f aca="false">CONCATENATE(B816, "-",C816, "-", D816, "-", F816)</f>
        <v>M0113-A-48-1</v>
      </c>
      <c r="H816" s="20" t="n">
        <v>86.34</v>
      </c>
      <c r="I816" s="20" t="n">
        <v>87.27</v>
      </c>
    </row>
    <row r="817" customFormat="false" ht="13.5" hidden="false" customHeight="true" outlineLevel="0" collapsed="false">
      <c r="A817" s="20" t="n">
        <v>501</v>
      </c>
      <c r="B817" s="20" t="s">
        <v>50</v>
      </c>
      <c r="C817" s="20" t="s">
        <v>22</v>
      </c>
      <c r="D817" s="20" t="n">
        <v>49</v>
      </c>
      <c r="E817" s="20" t="s">
        <v>28</v>
      </c>
      <c r="F817" s="20" t="n">
        <v>1</v>
      </c>
      <c r="G817" s="20" t="str">
        <f aca="false">CONCATENATE(B817, "-",C817, "-", D817, "-", F817)</f>
        <v>M0113-A-49-1</v>
      </c>
      <c r="H817" s="20" t="n">
        <v>87.27</v>
      </c>
      <c r="I817" s="20" t="n">
        <v>88.21</v>
      </c>
    </row>
    <row r="818" customFormat="false" ht="13.5" hidden="false" customHeight="true" outlineLevel="0" collapsed="false">
      <c r="A818" s="20" t="n">
        <v>501</v>
      </c>
      <c r="B818" s="20" t="s">
        <v>50</v>
      </c>
      <c r="C818" s="20" t="s">
        <v>22</v>
      </c>
      <c r="D818" s="20" t="n">
        <v>49</v>
      </c>
      <c r="E818" s="20" t="s">
        <v>28</v>
      </c>
      <c r="F818" s="20" t="n">
        <v>2</v>
      </c>
      <c r="G818" s="20" t="str">
        <f aca="false">CONCATENATE(B818, "-",C818, "-", D818, "-", F818)</f>
        <v>M0113-A-49-2</v>
      </c>
      <c r="H818" s="20" t="n">
        <v>88.21</v>
      </c>
      <c r="I818" s="20" t="n">
        <v>88.7</v>
      </c>
    </row>
    <row r="819" customFormat="false" ht="13.5" hidden="false" customHeight="true" outlineLevel="0" collapsed="false">
      <c r="A819" s="20" t="n">
        <v>501</v>
      </c>
      <c r="B819" s="20" t="s">
        <v>50</v>
      </c>
      <c r="C819" s="20" t="s">
        <v>22</v>
      </c>
      <c r="D819" s="20" t="n">
        <v>50</v>
      </c>
      <c r="E819" s="20" t="s">
        <v>28</v>
      </c>
      <c r="F819" s="20" t="n">
        <v>1</v>
      </c>
      <c r="G819" s="20" t="str">
        <f aca="false">CONCATENATE(B819, "-",C819, "-", D819, "-", F819)</f>
        <v>M0113-A-50-1</v>
      </c>
      <c r="H819" s="20" t="n">
        <v>89.49</v>
      </c>
      <c r="I819" s="20" t="n">
        <v>90.4</v>
      </c>
    </row>
    <row r="820" customFormat="false" ht="13.5" hidden="false" customHeight="true" outlineLevel="0" collapsed="false">
      <c r="A820" s="20" t="n">
        <v>501</v>
      </c>
      <c r="B820" s="20" t="s">
        <v>50</v>
      </c>
      <c r="C820" s="20" t="s">
        <v>22</v>
      </c>
      <c r="D820" s="20" t="n">
        <v>51</v>
      </c>
      <c r="E820" s="20" t="s">
        <v>28</v>
      </c>
      <c r="F820" s="20" t="n">
        <v>1</v>
      </c>
      <c r="G820" s="20" t="str">
        <f aca="false">CONCATENATE(B820, "-",C820, "-", D820, "-", F820)</f>
        <v>M0113-A-51-1</v>
      </c>
      <c r="H820" s="20" t="n">
        <v>90.99</v>
      </c>
      <c r="I820" s="20" t="n">
        <v>92.15</v>
      </c>
    </row>
    <row r="821" customFormat="false" ht="13.5" hidden="false" customHeight="true" outlineLevel="0" collapsed="false">
      <c r="A821" s="20" t="n">
        <v>501</v>
      </c>
      <c r="B821" s="20" t="s">
        <v>50</v>
      </c>
      <c r="C821" s="20" t="s">
        <v>22</v>
      </c>
      <c r="D821" s="20" t="n">
        <v>53</v>
      </c>
      <c r="E821" s="20" t="s">
        <v>28</v>
      </c>
      <c r="F821" s="20" t="n">
        <v>1</v>
      </c>
      <c r="G821" s="20" t="str">
        <f aca="false">CONCATENATE(B821, "-",C821, "-", D821, "-", F821)</f>
        <v>M0113-A-53-1</v>
      </c>
      <c r="H821" s="20" t="n">
        <v>93.99</v>
      </c>
      <c r="I821" s="20" t="n">
        <v>95.49</v>
      </c>
    </row>
    <row r="822" customFormat="false" ht="13.5" hidden="false" customHeight="true" outlineLevel="0" collapsed="false">
      <c r="A822" s="20" t="n">
        <v>501</v>
      </c>
      <c r="B822" s="20" t="s">
        <v>50</v>
      </c>
      <c r="C822" s="20" t="s">
        <v>22</v>
      </c>
      <c r="D822" s="20" t="n">
        <v>53</v>
      </c>
      <c r="E822" s="20" t="s">
        <v>28</v>
      </c>
      <c r="F822" s="20" t="n">
        <v>2</v>
      </c>
      <c r="G822" s="20" t="str">
        <f aca="false">CONCATENATE(B822, "-",C822, "-", D822, "-", F822)</f>
        <v>M0113-A-53-2</v>
      </c>
      <c r="H822" s="20" t="n">
        <v>95.49</v>
      </c>
      <c r="I822" s="20" t="n">
        <v>96.69</v>
      </c>
    </row>
    <row r="823" customFormat="false" ht="13.5" hidden="false" customHeight="true" outlineLevel="0" collapsed="false">
      <c r="A823" s="20" t="n">
        <v>501</v>
      </c>
      <c r="B823" s="20" t="s">
        <v>50</v>
      </c>
      <c r="C823" s="20" t="s">
        <v>22</v>
      </c>
      <c r="D823" s="20" t="n">
        <v>54</v>
      </c>
      <c r="E823" s="20" t="s">
        <v>28</v>
      </c>
      <c r="F823" s="20" t="n">
        <v>1</v>
      </c>
      <c r="G823" s="20" t="str">
        <f aca="false">CONCATENATE(B823, "-",C823, "-", D823, "-", F823)</f>
        <v>M0113-A-54-1</v>
      </c>
      <c r="H823" s="20" t="n">
        <v>95.49</v>
      </c>
      <c r="I823" s="20" t="n">
        <v>96.72</v>
      </c>
    </row>
    <row r="824" customFormat="false" ht="13.5" hidden="false" customHeight="true" outlineLevel="0" collapsed="false">
      <c r="A824" s="20" t="n">
        <v>501</v>
      </c>
      <c r="B824" s="20" t="s">
        <v>50</v>
      </c>
      <c r="C824" s="20" t="s">
        <v>22</v>
      </c>
      <c r="D824" s="20" t="n">
        <v>55</v>
      </c>
      <c r="E824" s="20" t="s">
        <v>23</v>
      </c>
      <c r="F824" s="20" t="n">
        <v>1</v>
      </c>
      <c r="G824" s="20" t="str">
        <f aca="false">CONCATENATE(B824, "-",C824, "-", D824, "-", F824)</f>
        <v>M0113-A-55-1</v>
      </c>
      <c r="H824" s="20" t="n">
        <v>96.99</v>
      </c>
      <c r="I824" s="20" t="n">
        <v>97.99</v>
      </c>
    </row>
    <row r="825" customFormat="false" ht="13.5" hidden="false" customHeight="true" outlineLevel="0" collapsed="false">
      <c r="A825" s="20" t="n">
        <v>501</v>
      </c>
      <c r="B825" s="20" t="s">
        <v>50</v>
      </c>
      <c r="C825" s="20" t="s">
        <v>22</v>
      </c>
      <c r="D825" s="20" t="n">
        <v>55</v>
      </c>
      <c r="E825" s="20" t="s">
        <v>23</v>
      </c>
      <c r="F825" s="20" t="n">
        <v>2</v>
      </c>
      <c r="G825" s="20" t="str">
        <f aca="false">CONCATENATE(B825, "-",C825, "-", D825, "-", F825)</f>
        <v>M0113-A-55-2</v>
      </c>
      <c r="H825" s="20" t="n">
        <v>97.99</v>
      </c>
      <c r="I825" s="20" t="n">
        <v>98.99</v>
      </c>
    </row>
    <row r="826" customFormat="false" ht="13.5" hidden="false" customHeight="true" outlineLevel="0" collapsed="false">
      <c r="A826" s="20" t="n">
        <v>501</v>
      </c>
      <c r="B826" s="20" t="s">
        <v>50</v>
      </c>
      <c r="C826" s="20" t="s">
        <v>22</v>
      </c>
      <c r="D826" s="20" t="n">
        <v>56</v>
      </c>
      <c r="E826" s="20" t="s">
        <v>23</v>
      </c>
      <c r="F826" s="20" t="n">
        <v>1</v>
      </c>
      <c r="G826" s="20" t="str">
        <f aca="false">CONCATENATE(B826, "-",C826, "-", D826, "-", F826)</f>
        <v>M0113-A-56-1</v>
      </c>
      <c r="H826" s="20" t="n">
        <v>98.99</v>
      </c>
      <c r="I826" s="20" t="n">
        <v>100.49</v>
      </c>
    </row>
    <row r="827" customFormat="false" ht="13.5" hidden="false" customHeight="true" outlineLevel="0" collapsed="false">
      <c r="A827" s="20" t="n">
        <v>501</v>
      </c>
      <c r="B827" s="20" t="s">
        <v>50</v>
      </c>
      <c r="C827" s="20" t="s">
        <v>22</v>
      </c>
      <c r="D827" s="20" t="n">
        <v>56</v>
      </c>
      <c r="E827" s="20" t="s">
        <v>23</v>
      </c>
      <c r="F827" s="20" t="n">
        <v>2</v>
      </c>
      <c r="G827" s="20" t="str">
        <f aca="false">CONCATENATE(B827, "-",C827, "-", D827, "-", F827)</f>
        <v>M0113-A-56-2</v>
      </c>
      <c r="H827" s="20" t="n">
        <v>100.49</v>
      </c>
      <c r="I827" s="20" t="n">
        <v>101.4</v>
      </c>
    </row>
    <row r="828" customFormat="false" ht="13.5" hidden="false" customHeight="true" outlineLevel="0" collapsed="false">
      <c r="A828" s="20" t="n">
        <v>501</v>
      </c>
      <c r="B828" s="20" t="s">
        <v>50</v>
      </c>
      <c r="C828" s="20" t="s">
        <v>22</v>
      </c>
      <c r="D828" s="20" t="n">
        <v>57</v>
      </c>
      <c r="E828" s="20" t="s">
        <v>23</v>
      </c>
      <c r="F828" s="20" t="n">
        <v>1</v>
      </c>
      <c r="G828" s="20" t="str">
        <f aca="false">CONCATENATE(B828, "-",C828, "-", D828, "-", F828)</f>
        <v>M0113-A-57-1</v>
      </c>
      <c r="H828" s="20" t="n">
        <v>101.4</v>
      </c>
      <c r="I828" s="20" t="n">
        <v>102.35</v>
      </c>
    </row>
    <row r="829" customFormat="false" ht="13.5" hidden="false" customHeight="true" outlineLevel="0" collapsed="false">
      <c r="A829" s="20" t="n">
        <v>501</v>
      </c>
      <c r="B829" s="20" t="s">
        <v>50</v>
      </c>
      <c r="C829" s="20" t="s">
        <v>22</v>
      </c>
      <c r="D829" s="20" t="n">
        <v>57</v>
      </c>
      <c r="E829" s="20" t="s">
        <v>23</v>
      </c>
      <c r="F829" s="20" t="n">
        <v>2</v>
      </c>
      <c r="G829" s="20" t="str">
        <f aca="false">CONCATENATE(B829, "-",C829, "-", D829, "-", F829)</f>
        <v>M0113-A-57-2</v>
      </c>
      <c r="H829" s="20" t="n">
        <v>102.35</v>
      </c>
      <c r="I829" s="20" t="n">
        <v>103.38</v>
      </c>
    </row>
    <row r="830" customFormat="false" ht="13.5" hidden="false" customHeight="true" outlineLevel="0" collapsed="false">
      <c r="A830" s="20" t="n">
        <v>501</v>
      </c>
      <c r="B830" s="20" t="s">
        <v>50</v>
      </c>
      <c r="C830" s="20" t="s">
        <v>22</v>
      </c>
      <c r="D830" s="20" t="n">
        <v>58</v>
      </c>
      <c r="E830" s="20" t="s">
        <v>23</v>
      </c>
      <c r="F830" s="20" t="n">
        <v>1</v>
      </c>
      <c r="G830" s="20" t="str">
        <f aca="false">CONCATENATE(B830, "-",C830, "-", D830, "-", F830)</f>
        <v>M0113-A-58-1</v>
      </c>
      <c r="H830" s="20" t="n">
        <v>103.38</v>
      </c>
      <c r="I830" s="20" t="n">
        <v>104.38</v>
      </c>
    </row>
    <row r="831" customFormat="false" ht="13.5" hidden="false" customHeight="true" outlineLevel="0" collapsed="false">
      <c r="A831" s="20" t="n">
        <v>501</v>
      </c>
      <c r="B831" s="20" t="s">
        <v>50</v>
      </c>
      <c r="C831" s="20" t="s">
        <v>22</v>
      </c>
      <c r="D831" s="20" t="n">
        <v>58</v>
      </c>
      <c r="E831" s="20" t="s">
        <v>23</v>
      </c>
      <c r="F831" s="20" t="n">
        <v>2</v>
      </c>
      <c r="G831" s="20" t="str">
        <f aca="false">CONCATENATE(B831, "-",C831, "-", D831, "-", F831)</f>
        <v>M0113-A-58-2</v>
      </c>
      <c r="H831" s="20" t="n">
        <v>104.38</v>
      </c>
      <c r="I831" s="20" t="n">
        <v>105.03</v>
      </c>
    </row>
    <row r="832" customFormat="false" ht="13.5" hidden="false" customHeight="true" outlineLevel="0" collapsed="false">
      <c r="A832" s="20" t="n">
        <v>501</v>
      </c>
      <c r="B832" s="20" t="s">
        <v>50</v>
      </c>
      <c r="C832" s="20" t="s">
        <v>22</v>
      </c>
      <c r="D832" s="20" t="n">
        <v>59</v>
      </c>
      <c r="E832" s="20" t="s">
        <v>23</v>
      </c>
      <c r="F832" s="20" t="n">
        <v>1</v>
      </c>
      <c r="G832" s="20" t="str">
        <f aca="false">CONCATENATE(B832, "-",C832, "-", D832, "-", F832)</f>
        <v>M0113-A-59-1</v>
      </c>
      <c r="H832" s="20" t="n">
        <v>104.22</v>
      </c>
      <c r="I832" s="20" t="n">
        <v>104.9</v>
      </c>
    </row>
    <row r="833" customFormat="false" ht="13.5" hidden="false" customHeight="true" outlineLevel="0" collapsed="false">
      <c r="A833" s="20" t="n">
        <v>501</v>
      </c>
      <c r="B833" s="20" t="s">
        <v>50</v>
      </c>
      <c r="C833" s="20" t="s">
        <v>22</v>
      </c>
      <c r="D833" s="20" t="n">
        <v>59</v>
      </c>
      <c r="E833" s="20" t="s">
        <v>23</v>
      </c>
      <c r="F833" s="20" t="n">
        <v>2</v>
      </c>
      <c r="G833" s="20" t="str">
        <f aca="false">CONCATENATE(B833, "-",C833, "-", D833, "-", F833)</f>
        <v>M0113-A-59-2</v>
      </c>
      <c r="H833" s="20" t="n">
        <v>104.9</v>
      </c>
      <c r="I833" s="20" t="n">
        <v>105.03</v>
      </c>
    </row>
    <row r="834" customFormat="false" ht="13.5" hidden="false" customHeight="true" outlineLevel="0" collapsed="false">
      <c r="A834" s="20" t="n">
        <v>501</v>
      </c>
      <c r="B834" s="20" t="s">
        <v>50</v>
      </c>
      <c r="C834" s="20" t="s">
        <v>22</v>
      </c>
      <c r="D834" s="20" t="n">
        <v>60</v>
      </c>
      <c r="E834" s="20" t="s">
        <v>23</v>
      </c>
      <c r="F834" s="20" t="n">
        <v>1</v>
      </c>
      <c r="G834" s="20" t="str">
        <f aca="false">CONCATENATE(B834, "-",C834, "-", D834, "-", F834)</f>
        <v>M0113-A-60-1</v>
      </c>
      <c r="H834" s="20" t="n">
        <v>105.03</v>
      </c>
      <c r="I834" s="20" t="n">
        <v>105.75</v>
      </c>
    </row>
    <row r="835" customFormat="false" ht="13.5" hidden="false" customHeight="true" outlineLevel="0" collapsed="false">
      <c r="A835" s="20" t="n">
        <v>501</v>
      </c>
      <c r="B835" s="20" t="s">
        <v>50</v>
      </c>
      <c r="C835" s="20" t="s">
        <v>22</v>
      </c>
      <c r="D835" s="20" t="n">
        <v>60</v>
      </c>
      <c r="E835" s="20" t="s">
        <v>23</v>
      </c>
      <c r="F835" s="20" t="n">
        <v>2</v>
      </c>
      <c r="G835" s="20" t="str">
        <f aca="false">CONCATENATE(B835, "-",C835, "-", D835, "-", F835)</f>
        <v>M0113-A-60-2</v>
      </c>
      <c r="H835" s="20" t="n">
        <v>105.75</v>
      </c>
      <c r="I835" s="20" t="n">
        <v>105.9</v>
      </c>
    </row>
    <row r="836" customFormat="false" ht="13.5" hidden="false" customHeight="true" outlineLevel="0" collapsed="false">
      <c r="A836" s="20" t="n">
        <v>501</v>
      </c>
      <c r="B836" s="20" t="s">
        <v>50</v>
      </c>
      <c r="C836" s="20" t="s">
        <v>22</v>
      </c>
      <c r="D836" s="20" t="n">
        <v>61</v>
      </c>
      <c r="E836" s="20" t="s">
        <v>28</v>
      </c>
      <c r="F836" s="20" t="n">
        <v>1</v>
      </c>
      <c r="G836" s="20" t="str">
        <f aca="false">CONCATENATE(B836, "-",C836, "-", D836, "-", F836)</f>
        <v>M0113-A-61-1</v>
      </c>
      <c r="H836" s="20" t="n">
        <v>105.9</v>
      </c>
      <c r="I836" s="20" t="n">
        <v>106.49</v>
      </c>
    </row>
    <row r="837" customFormat="false" ht="13.5" hidden="false" customHeight="true" outlineLevel="0" collapsed="false">
      <c r="A837" s="20" t="n">
        <v>501</v>
      </c>
      <c r="B837" s="20" t="s">
        <v>50</v>
      </c>
      <c r="C837" s="20" t="s">
        <v>22</v>
      </c>
      <c r="D837" s="20" t="n">
        <v>62</v>
      </c>
      <c r="E837" s="20" t="s">
        <v>28</v>
      </c>
      <c r="F837" s="20" t="n">
        <v>1</v>
      </c>
      <c r="G837" s="20" t="str">
        <f aca="false">CONCATENATE(B837, "-",C837, "-", D837, "-", F837)</f>
        <v>M0113-A-62-1</v>
      </c>
      <c r="H837" s="20" t="n">
        <v>107.49</v>
      </c>
      <c r="I837" s="20" t="n">
        <v>107.96</v>
      </c>
    </row>
    <row r="838" customFormat="false" ht="13.5" hidden="false" customHeight="true" outlineLevel="0" collapsed="false">
      <c r="A838" s="20" t="n">
        <v>501</v>
      </c>
      <c r="B838" s="20" t="s">
        <v>50</v>
      </c>
      <c r="C838" s="20" t="s">
        <v>22</v>
      </c>
      <c r="D838" s="20" t="n">
        <v>63</v>
      </c>
      <c r="E838" s="20" t="s">
        <v>23</v>
      </c>
      <c r="F838" s="20" t="n">
        <v>1</v>
      </c>
      <c r="G838" s="20" t="str">
        <f aca="false">CONCATENATE(B838, "-",C838, "-", D838, "-", F838)</f>
        <v>M0113-A-63-1</v>
      </c>
      <c r="H838" s="20" t="n">
        <v>108.99</v>
      </c>
      <c r="I838" s="20" t="n">
        <v>109.8</v>
      </c>
    </row>
    <row r="839" customFormat="false" ht="13.5" hidden="false" customHeight="true" outlineLevel="0" collapsed="false">
      <c r="A839" s="20" t="n">
        <v>501</v>
      </c>
      <c r="B839" s="20" t="s">
        <v>50</v>
      </c>
      <c r="C839" s="20" t="s">
        <v>22</v>
      </c>
      <c r="D839" s="20" t="n">
        <v>63</v>
      </c>
      <c r="E839" s="20" t="s">
        <v>23</v>
      </c>
      <c r="F839" s="20" t="n">
        <v>2</v>
      </c>
      <c r="G839" s="20" t="str">
        <f aca="false">CONCATENATE(B839, "-",C839, "-", D839, "-", F839)</f>
        <v>M0113-A-63-2</v>
      </c>
      <c r="H839" s="20" t="n">
        <v>109.8</v>
      </c>
      <c r="I839" s="20" t="n">
        <v>109.93</v>
      </c>
    </row>
    <row r="840" customFormat="false" ht="13.5" hidden="false" customHeight="true" outlineLevel="0" collapsed="false">
      <c r="A840" s="20" t="n">
        <v>501</v>
      </c>
      <c r="B840" s="20" t="s">
        <v>50</v>
      </c>
      <c r="C840" s="20" t="s">
        <v>22</v>
      </c>
      <c r="D840" s="20" t="n">
        <v>65</v>
      </c>
      <c r="E840" s="20" t="s">
        <v>28</v>
      </c>
      <c r="F840" s="20" t="n">
        <v>1</v>
      </c>
      <c r="G840" s="20" t="str">
        <f aca="false">CONCATENATE(B840, "-",C840, "-", D840, "-", F840)</f>
        <v>M0113-A-65-1</v>
      </c>
      <c r="H840" s="20" t="n">
        <v>109.93</v>
      </c>
      <c r="I840" s="20" t="n">
        <v>110.92</v>
      </c>
    </row>
    <row r="841" customFormat="false" ht="13.5" hidden="false" customHeight="true" outlineLevel="0" collapsed="false">
      <c r="A841" s="20" t="n">
        <v>501</v>
      </c>
      <c r="B841" s="20" t="s">
        <v>50</v>
      </c>
      <c r="C841" s="20" t="s">
        <v>22</v>
      </c>
      <c r="D841" s="20" t="n">
        <v>65</v>
      </c>
      <c r="E841" s="20" t="s">
        <v>28</v>
      </c>
      <c r="F841" s="20" t="n">
        <v>2</v>
      </c>
      <c r="G841" s="20" t="str">
        <f aca="false">CONCATENATE(B841, "-",C841, "-", D841, "-", F841)</f>
        <v>M0113-A-65-2</v>
      </c>
      <c r="H841" s="20" t="n">
        <v>110.92</v>
      </c>
      <c r="I841" s="20" t="n">
        <v>111.31</v>
      </c>
    </row>
    <row r="842" customFormat="false" ht="13.5" hidden="false" customHeight="true" outlineLevel="0" collapsed="false">
      <c r="A842" s="20" t="n">
        <v>501</v>
      </c>
      <c r="B842" s="20" t="s">
        <v>50</v>
      </c>
      <c r="C842" s="20" t="s">
        <v>22</v>
      </c>
      <c r="D842" s="20" t="n">
        <v>66</v>
      </c>
      <c r="E842" s="20" t="s">
        <v>28</v>
      </c>
      <c r="F842" s="20" t="n">
        <v>1</v>
      </c>
      <c r="G842" s="20" t="str">
        <f aca="false">CONCATENATE(B842, "-",C842, "-", D842, "-", F842)</f>
        <v>M0113-A-66-1</v>
      </c>
      <c r="H842" s="20" t="n">
        <v>111.99</v>
      </c>
      <c r="I842" s="20" t="n">
        <v>112.23</v>
      </c>
    </row>
    <row r="843" customFormat="false" ht="13.5" hidden="false" customHeight="true" outlineLevel="0" collapsed="false">
      <c r="A843" s="20" t="n">
        <v>501</v>
      </c>
      <c r="B843" s="20" t="s">
        <v>50</v>
      </c>
      <c r="C843" s="20" t="s">
        <v>22</v>
      </c>
      <c r="D843" s="20" t="n">
        <v>67</v>
      </c>
      <c r="E843" s="20" t="s">
        <v>28</v>
      </c>
      <c r="F843" s="20" t="n">
        <v>1</v>
      </c>
      <c r="G843" s="20" t="str">
        <f aca="false">CONCATENATE(B843, "-",C843, "-", D843, "-", F843)</f>
        <v>M0113-A-67-1</v>
      </c>
      <c r="H843" s="20" t="n">
        <v>113.49</v>
      </c>
      <c r="I843" s="20" t="n">
        <v>114.99</v>
      </c>
    </row>
    <row r="844" customFormat="false" ht="13.5" hidden="false" customHeight="true" outlineLevel="0" collapsed="false">
      <c r="A844" s="20" t="n">
        <v>501</v>
      </c>
      <c r="B844" s="20" t="s">
        <v>50</v>
      </c>
      <c r="C844" s="20" t="s">
        <v>22</v>
      </c>
      <c r="D844" s="20" t="n">
        <v>64</v>
      </c>
      <c r="E844" s="20" t="s">
        <v>23</v>
      </c>
      <c r="F844" s="20" t="n">
        <v>1</v>
      </c>
      <c r="G844" s="20" t="str">
        <f aca="false">CONCATENATE(B844, "-",C844, "-", D844, "-", F844)</f>
        <v>M0113-A-64-1</v>
      </c>
      <c r="H844" s="20" t="n">
        <v>109.93</v>
      </c>
      <c r="I844" s="20" t="n">
        <v>110.14</v>
      </c>
    </row>
    <row r="845" customFormat="false" ht="13.5" hidden="false" customHeight="true" outlineLevel="0" collapsed="false">
      <c r="A845" s="20" t="n">
        <v>501</v>
      </c>
      <c r="B845" s="20" t="s">
        <v>50</v>
      </c>
      <c r="C845" s="20" t="s">
        <v>22</v>
      </c>
      <c r="D845" s="20" t="n">
        <v>68</v>
      </c>
      <c r="E845" s="20" t="s">
        <v>28</v>
      </c>
      <c r="F845" s="20" t="n">
        <v>1</v>
      </c>
      <c r="G845" s="20" t="str">
        <f aca="false">CONCATENATE(B845, "-",C845, "-", D845, "-", F845)</f>
        <v>M0113-A-68-1</v>
      </c>
      <c r="H845" s="20" t="n">
        <v>114.99</v>
      </c>
      <c r="I845" s="20" t="n">
        <v>115.44</v>
      </c>
    </row>
    <row r="846" customFormat="false" ht="13.5" hidden="false" customHeight="true" outlineLevel="0" collapsed="false">
      <c r="A846" s="20" t="n">
        <v>501</v>
      </c>
      <c r="B846" s="20" t="s">
        <v>50</v>
      </c>
      <c r="C846" s="20" t="s">
        <v>22</v>
      </c>
      <c r="D846" s="20" t="n">
        <v>69</v>
      </c>
      <c r="E846" s="20" t="s">
        <v>28</v>
      </c>
      <c r="F846" s="20" t="n">
        <v>1</v>
      </c>
      <c r="G846" s="20" t="str">
        <f aca="false">CONCATENATE(B846, "-",C846, "-", D846, "-", F846)</f>
        <v>M0113-A-69-1</v>
      </c>
      <c r="H846" s="20" t="n">
        <v>116.49</v>
      </c>
      <c r="I846" s="20" t="n">
        <v>116.92</v>
      </c>
    </row>
    <row r="847" customFormat="false" ht="13.5" hidden="false" customHeight="true" outlineLevel="0" collapsed="false">
      <c r="A847" s="20" t="n">
        <v>501</v>
      </c>
      <c r="B847" s="20" t="s">
        <v>50</v>
      </c>
      <c r="C847" s="20" t="s">
        <v>22</v>
      </c>
      <c r="D847" s="20" t="n">
        <v>70</v>
      </c>
      <c r="E847" s="20" t="s">
        <v>28</v>
      </c>
      <c r="F847" s="20" t="n">
        <v>1</v>
      </c>
      <c r="G847" s="20" t="str">
        <f aca="false">CONCATENATE(B847, "-",C847, "-", D847, "-", F847)</f>
        <v>M0113-A-70-1</v>
      </c>
      <c r="H847" s="20" t="n">
        <v>117.99</v>
      </c>
      <c r="I847" s="20" t="n">
        <v>118.97</v>
      </c>
    </row>
    <row r="848" customFormat="false" ht="13.5" hidden="false" customHeight="true" outlineLevel="0" collapsed="false">
      <c r="A848" s="20" t="n">
        <v>501</v>
      </c>
      <c r="B848" s="20" t="s">
        <v>50</v>
      </c>
      <c r="C848" s="20" t="s">
        <v>22</v>
      </c>
      <c r="D848" s="20" t="n">
        <v>71</v>
      </c>
      <c r="E848" s="20" t="s">
        <v>28</v>
      </c>
      <c r="F848" s="20" t="n">
        <v>1</v>
      </c>
      <c r="G848" s="20" t="str">
        <f aca="false">CONCATENATE(B848, "-",C848, "-", D848, "-", F848)</f>
        <v>M0113-A-71-1</v>
      </c>
      <c r="H848" s="20" t="n">
        <v>119.49</v>
      </c>
      <c r="I848" s="20" t="n">
        <v>119.85</v>
      </c>
    </row>
    <row r="849" customFormat="false" ht="13.5" hidden="false" customHeight="true" outlineLevel="0" collapsed="false">
      <c r="A849" s="20" t="n">
        <v>501</v>
      </c>
      <c r="B849" s="20" t="s">
        <v>50</v>
      </c>
      <c r="C849" s="20" t="s">
        <v>22</v>
      </c>
      <c r="D849" s="20" t="n">
        <v>72</v>
      </c>
      <c r="E849" s="20" t="s">
        <v>28</v>
      </c>
      <c r="F849" s="20" t="n">
        <v>1</v>
      </c>
      <c r="G849" s="20" t="str">
        <f aca="false">CONCATENATE(B849, "-",C849, "-", D849, "-", F849)</f>
        <v>M0113-A-72-1</v>
      </c>
      <c r="H849" s="20" t="n">
        <v>120.99</v>
      </c>
      <c r="I849" s="20" t="n">
        <v>122.11</v>
      </c>
    </row>
    <row r="850" customFormat="false" ht="13.5" hidden="false" customHeight="true" outlineLevel="0" collapsed="false">
      <c r="A850" s="20" t="n">
        <v>501</v>
      </c>
      <c r="B850" s="20" t="s">
        <v>50</v>
      </c>
      <c r="C850" s="20" t="s">
        <v>22</v>
      </c>
      <c r="D850" s="20" t="n">
        <v>73</v>
      </c>
      <c r="E850" s="20" t="s">
        <v>28</v>
      </c>
      <c r="F850" s="20" t="n">
        <v>1</v>
      </c>
      <c r="G850" s="20" t="str">
        <f aca="false">CONCATENATE(B850, "-",C850, "-", D850, "-", F850)</f>
        <v>M0113-A-73-1</v>
      </c>
      <c r="H850" s="20" t="n">
        <v>122.49</v>
      </c>
      <c r="I850" s="20" t="n">
        <v>122.99</v>
      </c>
    </row>
    <row r="851" customFormat="false" ht="13.5" hidden="false" customHeight="true" outlineLevel="0" collapsed="false">
      <c r="A851" s="20" t="n">
        <v>501</v>
      </c>
      <c r="B851" s="20" t="s">
        <v>50</v>
      </c>
      <c r="C851" s="20" t="s">
        <v>22</v>
      </c>
      <c r="D851" s="20" t="n">
        <v>74</v>
      </c>
      <c r="E851" s="20" t="s">
        <v>28</v>
      </c>
      <c r="F851" s="20" t="n">
        <v>1</v>
      </c>
      <c r="G851" s="20" t="str">
        <f aca="false">CONCATENATE(B851, "-",C851, "-", D851, "-", F851)</f>
        <v>M0113-A-74-1</v>
      </c>
      <c r="H851" s="20" t="n">
        <v>123.99</v>
      </c>
      <c r="I851" s="20" t="n">
        <v>124.53</v>
      </c>
    </row>
    <row r="852" customFormat="false" ht="13.5" hidden="false" customHeight="true" outlineLevel="0" collapsed="false">
      <c r="A852" s="20" t="n">
        <v>501</v>
      </c>
      <c r="B852" s="20" t="s">
        <v>50</v>
      </c>
      <c r="C852" s="20" t="s">
        <v>22</v>
      </c>
      <c r="D852" s="20" t="n">
        <v>75</v>
      </c>
      <c r="E852" s="20" t="s">
        <v>28</v>
      </c>
      <c r="F852" s="20" t="n">
        <v>1</v>
      </c>
      <c r="G852" s="20" t="str">
        <f aca="false">CONCATENATE(B852, "-",C852, "-", D852, "-", F852)</f>
        <v>M0113-A-75-1</v>
      </c>
      <c r="H852" s="20" t="n">
        <v>125.49</v>
      </c>
      <c r="I852" s="20" t="n">
        <v>126.11</v>
      </c>
    </row>
    <row r="853" customFormat="false" ht="13.5" hidden="false" customHeight="true" outlineLevel="0" collapsed="false">
      <c r="A853" s="20" t="n">
        <v>501</v>
      </c>
      <c r="B853" s="20" t="s">
        <v>50</v>
      </c>
      <c r="C853" s="20" t="s">
        <v>22</v>
      </c>
      <c r="D853" s="20" t="n">
        <v>75</v>
      </c>
      <c r="E853" s="20" t="s">
        <v>28</v>
      </c>
      <c r="F853" s="20" t="n">
        <v>2</v>
      </c>
      <c r="G853" s="20" t="str">
        <f aca="false">CONCATENATE(B853, "-",C853, "-", D853, "-", F853)</f>
        <v>M0113-A-75-2</v>
      </c>
      <c r="H853" s="20" t="n">
        <v>126.11</v>
      </c>
      <c r="I853" s="20" t="n">
        <v>126.51</v>
      </c>
    </row>
    <row r="854" customFormat="false" ht="13.5" hidden="false" customHeight="true" outlineLevel="0" collapsed="false">
      <c r="A854" s="20" t="n">
        <v>501</v>
      </c>
      <c r="B854" s="20" t="s">
        <v>50</v>
      </c>
      <c r="C854" s="20" t="s">
        <v>22</v>
      </c>
      <c r="D854" s="20" t="n">
        <v>76</v>
      </c>
      <c r="E854" s="20" t="s">
        <v>28</v>
      </c>
      <c r="F854" s="20" t="n">
        <v>1</v>
      </c>
      <c r="G854" s="20" t="str">
        <f aca="false">CONCATENATE(B854, "-",C854, "-", D854, "-", F854)</f>
        <v>M0113-A-76-1</v>
      </c>
      <c r="H854" s="20" t="n">
        <v>126.99</v>
      </c>
      <c r="I854" s="20" t="n">
        <v>127.08</v>
      </c>
    </row>
    <row r="855" customFormat="false" ht="13.5" hidden="false" customHeight="true" outlineLevel="0" collapsed="false">
      <c r="A855" s="20" t="n">
        <v>501</v>
      </c>
      <c r="B855" s="20" t="s">
        <v>50</v>
      </c>
      <c r="C855" s="20" t="s">
        <v>22</v>
      </c>
      <c r="D855" s="20" t="n">
        <v>77</v>
      </c>
      <c r="E855" s="20" t="s">
        <v>28</v>
      </c>
      <c r="F855" s="20" t="n">
        <v>1</v>
      </c>
      <c r="G855" s="20" t="str">
        <f aca="false">CONCATENATE(B855, "-",C855, "-", D855, "-", F855)</f>
        <v>M0113-A-77-1</v>
      </c>
      <c r="H855" s="20" t="n">
        <v>128.49</v>
      </c>
      <c r="I855" s="20" t="n">
        <v>128.69</v>
      </c>
    </row>
    <row r="856" customFormat="false" ht="13.5" hidden="false" customHeight="true" outlineLevel="0" collapsed="false">
      <c r="A856" s="20" t="n">
        <v>501</v>
      </c>
      <c r="B856" s="20" t="s">
        <v>50</v>
      </c>
      <c r="C856" s="20" t="s">
        <v>22</v>
      </c>
      <c r="D856" s="20" t="n">
        <v>78</v>
      </c>
      <c r="E856" s="20" t="s">
        <v>23</v>
      </c>
      <c r="F856" s="20" t="n">
        <v>1</v>
      </c>
      <c r="G856" s="20" t="str">
        <f aca="false">CONCATENATE(B856, "-",C856, "-", D856, "-", F856)</f>
        <v>M0113-A-78-1</v>
      </c>
      <c r="H856" s="20" t="n">
        <v>129.99</v>
      </c>
      <c r="I856" s="20" t="n">
        <v>131.49</v>
      </c>
    </row>
    <row r="857" customFormat="false" ht="13.5" hidden="false" customHeight="true" outlineLevel="0" collapsed="false">
      <c r="A857" s="20" t="n">
        <v>501</v>
      </c>
      <c r="B857" s="20" t="s">
        <v>50</v>
      </c>
      <c r="C857" s="20" t="s">
        <v>22</v>
      </c>
      <c r="D857" s="20" t="n">
        <v>78</v>
      </c>
      <c r="E857" s="20" t="s">
        <v>23</v>
      </c>
      <c r="F857" s="20" t="n">
        <v>2</v>
      </c>
      <c r="G857" s="20" t="str">
        <f aca="false">CONCATENATE(B857, "-",C857, "-", D857, "-", F857)</f>
        <v>M0113-A-78-2</v>
      </c>
      <c r="H857" s="20" t="n">
        <v>131.49</v>
      </c>
      <c r="I857" s="20" t="n">
        <v>132.29</v>
      </c>
    </row>
    <row r="858" customFormat="false" ht="13.5" hidden="false" customHeight="true" outlineLevel="0" collapsed="false">
      <c r="A858" s="20" t="n">
        <v>501</v>
      </c>
      <c r="B858" s="20" t="s">
        <v>50</v>
      </c>
      <c r="C858" s="20" t="s">
        <v>22</v>
      </c>
      <c r="D858" s="20" t="n">
        <v>80</v>
      </c>
      <c r="E858" s="20" t="s">
        <v>28</v>
      </c>
      <c r="F858" s="20" t="n">
        <v>1</v>
      </c>
      <c r="G858" s="20" t="str">
        <f aca="false">CONCATENATE(B858, "-",C858, "-", D858, "-", F858)</f>
        <v>M0113-A-80-1</v>
      </c>
      <c r="H858" s="20" t="n">
        <v>132.29</v>
      </c>
      <c r="I858" s="20" t="n">
        <v>132.91</v>
      </c>
    </row>
    <row r="859" customFormat="false" ht="13.5" hidden="false" customHeight="true" outlineLevel="0" collapsed="false">
      <c r="A859" s="20" t="n">
        <v>501</v>
      </c>
      <c r="B859" s="20" t="s">
        <v>50</v>
      </c>
      <c r="C859" s="20" t="s">
        <v>22</v>
      </c>
      <c r="D859" s="20" t="n">
        <v>81</v>
      </c>
      <c r="E859" s="20" t="s">
        <v>28</v>
      </c>
      <c r="F859" s="20" t="n">
        <v>1</v>
      </c>
      <c r="G859" s="20" t="str">
        <f aca="false">CONCATENATE(B859, "-",C859, "-", D859, "-", F859)</f>
        <v>M0113-A-81-1</v>
      </c>
      <c r="H859" s="20" t="n">
        <v>134.49</v>
      </c>
      <c r="I859" s="20" t="n">
        <v>135.05</v>
      </c>
    </row>
    <row r="860" customFormat="false" ht="13.5" hidden="false" customHeight="true" outlineLevel="0" collapsed="false">
      <c r="A860" s="20" t="n">
        <v>501</v>
      </c>
      <c r="B860" s="20" t="s">
        <v>50</v>
      </c>
      <c r="C860" s="20" t="s">
        <v>22</v>
      </c>
      <c r="D860" s="20" t="n">
        <v>81</v>
      </c>
      <c r="E860" s="20" t="s">
        <v>28</v>
      </c>
      <c r="F860" s="20" t="n">
        <v>2</v>
      </c>
      <c r="G860" s="20" t="str">
        <f aca="false">CONCATENATE(B860, "-",C860, "-", D860, "-", F860)</f>
        <v>M0113-A-81-2</v>
      </c>
      <c r="H860" s="20" t="n">
        <v>135.05</v>
      </c>
      <c r="I860" s="20" t="n">
        <v>135.44</v>
      </c>
    </row>
    <row r="861" customFormat="false" ht="13.5" hidden="false" customHeight="true" outlineLevel="0" collapsed="false">
      <c r="A861" s="20" t="n">
        <v>501</v>
      </c>
      <c r="B861" s="20" t="s">
        <v>50</v>
      </c>
      <c r="C861" s="20" t="s">
        <v>22</v>
      </c>
      <c r="D861" s="20" t="n">
        <v>82</v>
      </c>
      <c r="E861" s="20" t="s">
        <v>28</v>
      </c>
      <c r="F861" s="20" t="n">
        <v>1</v>
      </c>
      <c r="G861" s="20" t="str">
        <f aca="false">CONCATENATE(B861, "-",C861, "-", D861, "-", F861)</f>
        <v>M0113-A-82-1</v>
      </c>
      <c r="H861" s="20" t="n">
        <v>135.99</v>
      </c>
      <c r="I861" s="20" t="n">
        <v>137.06</v>
      </c>
    </row>
    <row r="862" customFormat="false" ht="13.5" hidden="false" customHeight="true" outlineLevel="0" collapsed="false">
      <c r="A862" s="20" t="n">
        <v>501</v>
      </c>
      <c r="B862" s="20" t="s">
        <v>50</v>
      </c>
      <c r="C862" s="20" t="s">
        <v>22</v>
      </c>
      <c r="D862" s="20" t="n">
        <v>83</v>
      </c>
      <c r="E862" s="20" t="s">
        <v>28</v>
      </c>
      <c r="F862" s="20" t="n">
        <v>1</v>
      </c>
      <c r="G862" s="20" t="str">
        <f aca="false">CONCATENATE(B862, "-",C862, "-", D862, "-", F862)</f>
        <v>M0113-A-83-1</v>
      </c>
      <c r="H862" s="20" t="n">
        <v>137.49</v>
      </c>
      <c r="I862" s="20" t="n">
        <v>138.92</v>
      </c>
    </row>
    <row r="863" customFormat="false" ht="13.5" hidden="false" customHeight="true" outlineLevel="0" collapsed="false">
      <c r="A863" s="20" t="n">
        <v>501</v>
      </c>
      <c r="B863" s="20" t="s">
        <v>50</v>
      </c>
      <c r="C863" s="20" t="s">
        <v>22</v>
      </c>
      <c r="D863" s="20" t="n">
        <v>83</v>
      </c>
      <c r="E863" s="20" t="s">
        <v>28</v>
      </c>
      <c r="F863" s="20" t="n">
        <v>2</v>
      </c>
      <c r="G863" s="20" t="str">
        <f aca="false">CONCATENATE(B863, "-",C863, "-", D863, "-", F863)</f>
        <v>M0113-A-83-2</v>
      </c>
      <c r="H863" s="20" t="n">
        <v>138.92</v>
      </c>
      <c r="I863" s="20" t="n">
        <v>139.02</v>
      </c>
    </row>
    <row r="864" customFormat="false" ht="13.5" hidden="false" customHeight="true" outlineLevel="0" collapsed="false">
      <c r="A864" s="20" t="n">
        <v>501</v>
      </c>
      <c r="B864" s="20" t="s">
        <v>50</v>
      </c>
      <c r="C864" s="20" t="s">
        <v>22</v>
      </c>
      <c r="D864" s="20" t="n">
        <v>84</v>
      </c>
      <c r="E864" s="20" t="s">
        <v>28</v>
      </c>
      <c r="F864" s="20" t="n">
        <v>1</v>
      </c>
      <c r="G864" s="20" t="str">
        <f aca="false">CONCATENATE(B864, "-",C864, "-", D864, "-", F864)</f>
        <v>M0113-A-84-1</v>
      </c>
      <c r="H864" s="20" t="n">
        <v>138.99</v>
      </c>
      <c r="I864" s="20" t="n">
        <v>139.69</v>
      </c>
    </row>
    <row r="865" customFormat="false" ht="13.5" hidden="false" customHeight="true" outlineLevel="0" collapsed="false">
      <c r="A865" s="20" t="n">
        <v>501</v>
      </c>
      <c r="B865" s="20" t="s">
        <v>50</v>
      </c>
      <c r="C865" s="20" t="s">
        <v>22</v>
      </c>
      <c r="D865" s="20" t="n">
        <v>84</v>
      </c>
      <c r="E865" s="20" t="s">
        <v>28</v>
      </c>
      <c r="F865" s="20" t="n">
        <v>2</v>
      </c>
      <c r="G865" s="20" t="str">
        <f aca="false">CONCATENATE(B865, "-",C865, "-", D865, "-", F865)</f>
        <v>M0113-A-84-2</v>
      </c>
      <c r="H865" s="20" t="n">
        <v>139.69</v>
      </c>
      <c r="I865" s="20" t="n">
        <v>140.3</v>
      </c>
    </row>
    <row r="866" customFormat="false" ht="13.5" hidden="false" customHeight="true" outlineLevel="0" collapsed="false">
      <c r="A866" s="20" t="n">
        <v>501</v>
      </c>
      <c r="B866" s="20" t="s">
        <v>50</v>
      </c>
      <c r="C866" s="20" t="s">
        <v>22</v>
      </c>
      <c r="D866" s="20" t="n">
        <v>85</v>
      </c>
      <c r="E866" s="20" t="s">
        <v>28</v>
      </c>
      <c r="F866" s="20" t="n">
        <v>1</v>
      </c>
      <c r="G866" s="20" t="str">
        <f aca="false">CONCATENATE(B866, "-",C866, "-", D866, "-", F866)</f>
        <v>M0113-A-85-1</v>
      </c>
      <c r="H866" s="20" t="n">
        <v>140.49</v>
      </c>
      <c r="I866" s="20" t="n">
        <v>141.99</v>
      </c>
    </row>
    <row r="867" customFormat="false" ht="13.5" hidden="false" customHeight="true" outlineLevel="0" collapsed="false">
      <c r="A867" s="20" t="n">
        <v>501</v>
      </c>
      <c r="B867" s="20" t="s">
        <v>50</v>
      </c>
      <c r="C867" s="20" t="s">
        <v>22</v>
      </c>
      <c r="D867" s="20" t="n">
        <v>85</v>
      </c>
      <c r="E867" s="20" t="s">
        <v>28</v>
      </c>
      <c r="F867" s="20" t="n">
        <v>2</v>
      </c>
      <c r="G867" s="20" t="str">
        <f aca="false">CONCATENATE(B867, "-",C867, "-", D867, "-", F867)</f>
        <v>M0113-A-85-2</v>
      </c>
      <c r="H867" s="20" t="n">
        <v>141.99</v>
      </c>
      <c r="I867" s="20" t="n">
        <v>143.24</v>
      </c>
    </row>
    <row r="868" customFormat="false" ht="13.5" hidden="false" customHeight="true" outlineLevel="0" collapsed="false">
      <c r="A868" s="20" t="n">
        <v>501</v>
      </c>
      <c r="B868" s="20" t="s">
        <v>50</v>
      </c>
      <c r="C868" s="20" t="s">
        <v>22</v>
      </c>
      <c r="D868" s="20" t="n">
        <v>86</v>
      </c>
      <c r="E868" s="20" t="s">
        <v>28</v>
      </c>
      <c r="F868" s="20" t="n">
        <v>1</v>
      </c>
      <c r="G868" s="20" t="str">
        <f aca="false">CONCATENATE(B868, "-",C868, "-", D868, "-", F868)</f>
        <v>M0113-A-86-1</v>
      </c>
      <c r="H868" s="20" t="n">
        <v>143.49</v>
      </c>
      <c r="I868" s="20" t="n">
        <v>144.49</v>
      </c>
    </row>
    <row r="869" customFormat="false" ht="13.5" hidden="false" customHeight="true" outlineLevel="0" collapsed="false">
      <c r="A869" s="20" t="n">
        <v>501</v>
      </c>
      <c r="B869" s="20" t="s">
        <v>50</v>
      </c>
      <c r="C869" s="20" t="s">
        <v>22</v>
      </c>
      <c r="D869" s="20" t="n">
        <v>86</v>
      </c>
      <c r="E869" s="20" t="s">
        <v>28</v>
      </c>
      <c r="F869" s="20" t="n">
        <v>2</v>
      </c>
      <c r="G869" s="20" t="str">
        <f aca="false">CONCATENATE(B869, "-",C869, "-", D869, "-", F869)</f>
        <v>M0113-A-86-2</v>
      </c>
      <c r="H869" s="20" t="n">
        <v>144.49</v>
      </c>
      <c r="I869" s="20" t="n">
        <v>145.16</v>
      </c>
    </row>
    <row r="870" customFormat="false" ht="13.5" hidden="false" customHeight="true" outlineLevel="0" collapsed="false">
      <c r="A870" s="20" t="n">
        <v>501</v>
      </c>
      <c r="B870" s="20" t="s">
        <v>50</v>
      </c>
      <c r="C870" s="20" t="s">
        <v>22</v>
      </c>
      <c r="D870" s="20" t="n">
        <v>87</v>
      </c>
      <c r="E870" s="20" t="s">
        <v>28</v>
      </c>
      <c r="F870" s="20" t="n">
        <v>1</v>
      </c>
      <c r="G870" s="20" t="str">
        <f aca="false">CONCATENATE(B870, "-",C870, "-", D870, "-", F870)</f>
        <v>M0113-A-87-1</v>
      </c>
      <c r="H870" s="20" t="n">
        <v>146.49</v>
      </c>
      <c r="I870" s="20" t="n">
        <v>147.49</v>
      </c>
    </row>
    <row r="871" customFormat="false" ht="13.5" hidden="false" customHeight="true" outlineLevel="0" collapsed="false">
      <c r="A871" s="20" t="n">
        <v>501</v>
      </c>
      <c r="B871" s="20" t="s">
        <v>50</v>
      </c>
      <c r="C871" s="20" t="s">
        <v>22</v>
      </c>
      <c r="D871" s="20" t="n">
        <v>87</v>
      </c>
      <c r="E871" s="20" t="s">
        <v>28</v>
      </c>
      <c r="F871" s="20" t="n">
        <v>2</v>
      </c>
      <c r="G871" s="20" t="str">
        <f aca="false">CONCATENATE(B871, "-",C871, "-", D871, "-", F871)</f>
        <v>M0113-A-87-2</v>
      </c>
      <c r="H871" s="20" t="n">
        <v>147.49</v>
      </c>
      <c r="I871" s="20" t="n">
        <v>148</v>
      </c>
    </row>
    <row r="872" customFormat="false" ht="13.5" hidden="false" customHeight="true" outlineLevel="0" collapsed="false">
      <c r="A872" s="20" t="n">
        <v>501</v>
      </c>
      <c r="B872" s="20" t="s">
        <v>50</v>
      </c>
      <c r="C872" s="20" t="s">
        <v>22</v>
      </c>
      <c r="D872" s="20" t="n">
        <v>88</v>
      </c>
      <c r="E872" s="20" t="s">
        <v>28</v>
      </c>
      <c r="F872" s="20" t="n">
        <v>1</v>
      </c>
      <c r="G872" s="20" t="str">
        <f aca="false">CONCATENATE(B872, "-",C872, "-", D872, "-", F872)</f>
        <v>M0113-A-88-1</v>
      </c>
      <c r="H872" s="20" t="n">
        <v>148.49</v>
      </c>
      <c r="I872" s="20" t="n">
        <v>149.99</v>
      </c>
    </row>
    <row r="873" customFormat="false" ht="13.5" hidden="false" customHeight="true" outlineLevel="0" collapsed="false">
      <c r="A873" s="20" t="n">
        <v>501</v>
      </c>
      <c r="B873" s="20" t="s">
        <v>50</v>
      </c>
      <c r="C873" s="20" t="s">
        <v>22</v>
      </c>
      <c r="D873" s="20" t="n">
        <v>88</v>
      </c>
      <c r="E873" s="20" t="s">
        <v>28</v>
      </c>
      <c r="F873" s="20" t="n">
        <v>2</v>
      </c>
      <c r="G873" s="20" t="str">
        <f aca="false">CONCATENATE(B873, "-",C873, "-", D873, "-", F873)</f>
        <v>M0113-A-88-2</v>
      </c>
      <c r="H873" s="20" t="n">
        <v>149.99</v>
      </c>
      <c r="I873" s="20" t="n">
        <v>150.54</v>
      </c>
    </row>
    <row r="874" customFormat="false" ht="13.5" hidden="false" customHeight="true" outlineLevel="0" collapsed="false">
      <c r="A874" s="20" t="n">
        <v>501</v>
      </c>
      <c r="B874" s="20" t="s">
        <v>50</v>
      </c>
      <c r="C874" s="20" t="s">
        <v>22</v>
      </c>
      <c r="D874" s="20" t="n">
        <v>89</v>
      </c>
      <c r="E874" s="20" t="s">
        <v>28</v>
      </c>
      <c r="F874" s="20" t="n">
        <v>1</v>
      </c>
      <c r="G874" s="20" t="str">
        <f aca="false">CONCATENATE(B874, "-",C874, "-", D874, "-", F874)</f>
        <v>M0113-A-89-1</v>
      </c>
      <c r="H874" s="20" t="n">
        <v>151.49</v>
      </c>
      <c r="I874" s="20" t="n">
        <v>152.34</v>
      </c>
    </row>
    <row r="875" customFormat="false" ht="13.5" hidden="false" customHeight="true" outlineLevel="0" collapsed="false">
      <c r="A875" s="20" t="n">
        <v>501</v>
      </c>
      <c r="B875" s="20" t="s">
        <v>50</v>
      </c>
      <c r="C875" s="20" t="s">
        <v>22</v>
      </c>
      <c r="D875" s="20" t="n">
        <v>79</v>
      </c>
      <c r="E875" s="20" t="s">
        <v>23</v>
      </c>
      <c r="F875" s="20" t="n">
        <v>1</v>
      </c>
      <c r="G875" s="20" t="str">
        <f aca="false">CONCATENATE(B875, "-",C875, "-", D875, "-", F875)</f>
        <v>M0113-A-79-1</v>
      </c>
      <c r="H875" s="20" t="n">
        <v>131.59</v>
      </c>
      <c r="I875" s="20" t="n">
        <v>131.75</v>
      </c>
    </row>
    <row r="876" customFormat="false" ht="13.5" hidden="false" customHeight="true" outlineLevel="0" collapsed="false">
      <c r="A876" s="20" t="n">
        <v>501</v>
      </c>
      <c r="B876" s="20" t="s">
        <v>50</v>
      </c>
      <c r="C876" s="20" t="s">
        <v>22</v>
      </c>
      <c r="D876" s="20" t="n">
        <v>90</v>
      </c>
      <c r="E876" s="20" t="s">
        <v>28</v>
      </c>
      <c r="F876" s="20" t="n">
        <v>1</v>
      </c>
      <c r="G876" s="20" t="str">
        <f aca="false">CONCATENATE(B876, "-",C876, "-", D876, "-", F876)</f>
        <v>M0113-A-90-1</v>
      </c>
      <c r="H876" s="20" t="n">
        <v>152.59</v>
      </c>
      <c r="I876" s="20" t="n">
        <v>153.64</v>
      </c>
    </row>
    <row r="877" customFormat="false" ht="13.5" hidden="false" customHeight="true" outlineLevel="0" collapsed="false">
      <c r="A877" s="20" t="n">
        <v>501</v>
      </c>
      <c r="B877" s="20" t="s">
        <v>50</v>
      </c>
      <c r="C877" s="20" t="s">
        <v>22</v>
      </c>
      <c r="D877" s="20" t="n">
        <v>90</v>
      </c>
      <c r="E877" s="20" t="s">
        <v>28</v>
      </c>
      <c r="F877" s="20" t="n">
        <v>2</v>
      </c>
      <c r="G877" s="20" t="str">
        <f aca="false">CONCATENATE(B877, "-",C877, "-", D877, "-", F877)</f>
        <v>M0113-A-90-2</v>
      </c>
      <c r="H877" s="20" t="n">
        <v>153.64</v>
      </c>
      <c r="I877" s="20" t="n">
        <v>154.14</v>
      </c>
    </row>
    <row r="878" customFormat="false" ht="13.5" hidden="false" customHeight="true" outlineLevel="0" collapsed="false">
      <c r="A878" s="20" t="n">
        <v>501</v>
      </c>
      <c r="B878" s="20" t="s">
        <v>50</v>
      </c>
      <c r="C878" s="20" t="s">
        <v>22</v>
      </c>
      <c r="D878" s="20" t="n">
        <v>91</v>
      </c>
      <c r="E878" s="20" t="s">
        <v>28</v>
      </c>
      <c r="F878" s="20" t="n">
        <v>1</v>
      </c>
      <c r="G878" s="20" t="str">
        <f aca="false">CONCATENATE(B878, "-",C878, "-", D878, "-", F878)</f>
        <v>M0113-A-91-1</v>
      </c>
      <c r="H878" s="20" t="n">
        <v>155.49</v>
      </c>
      <c r="I878" s="20" t="n">
        <v>155.89</v>
      </c>
    </row>
    <row r="879" customFormat="false" ht="13.5" hidden="false" customHeight="true" outlineLevel="0" collapsed="false">
      <c r="A879" s="20" t="n">
        <v>501</v>
      </c>
      <c r="B879" s="20" t="s">
        <v>50</v>
      </c>
      <c r="C879" s="20" t="s">
        <v>22</v>
      </c>
      <c r="D879" s="20" t="n">
        <v>92</v>
      </c>
      <c r="E879" s="20" t="s">
        <v>28</v>
      </c>
      <c r="F879" s="20" t="n">
        <v>1</v>
      </c>
      <c r="G879" s="20" t="str">
        <f aca="false">CONCATENATE(B879, "-",C879, "-", D879, "-", F879)</f>
        <v>M0113-A-92-1</v>
      </c>
      <c r="H879" s="20" t="n">
        <v>158.49</v>
      </c>
      <c r="I879" s="20" t="n">
        <v>159.07</v>
      </c>
    </row>
    <row r="880" customFormat="false" ht="13.5" hidden="false" customHeight="true" outlineLevel="0" collapsed="false">
      <c r="A880" s="20" t="n">
        <v>501</v>
      </c>
      <c r="B880" s="20" t="s">
        <v>50</v>
      </c>
      <c r="C880" s="20" t="s">
        <v>22</v>
      </c>
      <c r="D880" s="20" t="n">
        <v>93</v>
      </c>
      <c r="E880" s="20" t="s">
        <v>28</v>
      </c>
      <c r="F880" s="20" t="n">
        <v>1</v>
      </c>
      <c r="G880" s="20" t="str">
        <f aca="false">CONCATENATE(B880, "-",C880, "-", D880, "-", F880)</f>
        <v>M0113-A-93-1</v>
      </c>
      <c r="H880" s="20" t="n">
        <v>161.49</v>
      </c>
      <c r="I880" s="20" t="n">
        <v>162.01</v>
      </c>
    </row>
    <row r="881" customFormat="false" ht="13.5" hidden="false" customHeight="true" outlineLevel="0" collapsed="false">
      <c r="A881" s="20" t="n">
        <v>501</v>
      </c>
      <c r="B881" s="20" t="s">
        <v>50</v>
      </c>
      <c r="C881" s="20" t="s">
        <v>22</v>
      </c>
      <c r="D881" s="20" t="n">
        <v>94</v>
      </c>
      <c r="E881" s="20" t="s">
        <v>28</v>
      </c>
      <c r="F881" s="20" t="n">
        <v>1</v>
      </c>
      <c r="G881" s="20" t="str">
        <f aca="false">CONCATENATE(B881, "-",C881, "-", D881, "-", F881)</f>
        <v>M0113-A-94-1</v>
      </c>
      <c r="H881" s="20" t="n">
        <v>162.99</v>
      </c>
      <c r="I881" s="20" t="n">
        <v>163.31</v>
      </c>
    </row>
    <row r="882" customFormat="false" ht="13.5" hidden="false" customHeight="true" outlineLevel="0" collapsed="false">
      <c r="A882" s="20" t="n">
        <v>501</v>
      </c>
      <c r="B882" s="20" t="s">
        <v>50</v>
      </c>
      <c r="C882" s="20" t="s">
        <v>22</v>
      </c>
      <c r="D882" s="20" t="n">
        <v>95</v>
      </c>
      <c r="E882" s="20" t="s">
        <v>28</v>
      </c>
      <c r="F882" s="20" t="n">
        <v>1</v>
      </c>
      <c r="G882" s="20" t="str">
        <f aca="false">CONCATENATE(B882, "-",C882, "-", D882, "-", F882)</f>
        <v>M0113-A-95-1</v>
      </c>
      <c r="H882" s="20" t="n">
        <v>164.49</v>
      </c>
      <c r="I882" s="20" t="n">
        <v>164.88</v>
      </c>
    </row>
    <row r="883" customFormat="false" ht="13.5" hidden="false" customHeight="true" outlineLevel="0" collapsed="false">
      <c r="A883" s="20" t="n">
        <v>501</v>
      </c>
      <c r="B883" s="20" t="s">
        <v>50</v>
      </c>
      <c r="C883" s="20" t="s">
        <v>22</v>
      </c>
      <c r="D883" s="20" t="n">
        <v>95</v>
      </c>
      <c r="E883" s="20" t="s">
        <v>28</v>
      </c>
      <c r="F883" s="20" t="n">
        <v>2</v>
      </c>
      <c r="G883" s="20" t="str">
        <f aca="false">CONCATENATE(B883, "-",C883, "-", D883, "-", F883)</f>
        <v>M0113-A-95-2</v>
      </c>
      <c r="H883" s="20" t="n">
        <v>164.88</v>
      </c>
      <c r="I883" s="20" t="n">
        <v>165.23</v>
      </c>
    </row>
    <row r="884" customFormat="false" ht="13.5" hidden="false" customHeight="true" outlineLevel="0" collapsed="false">
      <c r="A884" s="20" t="n">
        <v>501</v>
      </c>
      <c r="B884" s="20" t="s">
        <v>50</v>
      </c>
      <c r="C884" s="20" t="s">
        <v>22</v>
      </c>
      <c r="D884" s="20" t="n">
        <v>96</v>
      </c>
      <c r="E884" s="20" t="s">
        <v>28</v>
      </c>
      <c r="F884" s="20" t="n">
        <v>1</v>
      </c>
      <c r="G884" s="20" t="str">
        <f aca="false">CONCATENATE(B884, "-",C884, "-", D884, "-", F884)</f>
        <v>M0113-A-96-1</v>
      </c>
      <c r="H884" s="20" t="n">
        <v>165.99</v>
      </c>
      <c r="I884" s="20" t="n">
        <v>166.36</v>
      </c>
    </row>
    <row r="885" customFormat="false" ht="13.5" hidden="false" customHeight="true" outlineLevel="0" collapsed="false">
      <c r="A885" s="20" t="n">
        <v>501</v>
      </c>
      <c r="B885" s="20" t="s">
        <v>50</v>
      </c>
      <c r="C885" s="20" t="s">
        <v>22</v>
      </c>
      <c r="D885" s="20" t="n">
        <v>96</v>
      </c>
      <c r="E885" s="20" t="s">
        <v>28</v>
      </c>
      <c r="F885" s="20" t="n">
        <v>2</v>
      </c>
      <c r="G885" s="20" t="str">
        <f aca="false">CONCATENATE(B885, "-",C885, "-", D885, "-", F885)</f>
        <v>M0113-A-96-2</v>
      </c>
      <c r="H885" s="20" t="n">
        <v>166.36</v>
      </c>
      <c r="I885" s="20" t="n">
        <v>166.48</v>
      </c>
    </row>
    <row r="886" customFormat="false" ht="13.5" hidden="false" customHeight="true" outlineLevel="0" collapsed="false">
      <c r="A886" s="20" t="n">
        <v>501</v>
      </c>
      <c r="B886" s="20" t="s">
        <v>50</v>
      </c>
      <c r="C886" s="20" t="s">
        <v>22</v>
      </c>
      <c r="D886" s="20" t="n">
        <v>97</v>
      </c>
      <c r="E886" s="20" t="s">
        <v>28</v>
      </c>
      <c r="F886" s="20" t="n">
        <v>1</v>
      </c>
      <c r="G886" s="20" t="str">
        <f aca="false">CONCATENATE(B886, "-",C886, "-", D886, "-", F886)</f>
        <v>M0113-A-97-1</v>
      </c>
      <c r="H886" s="20" t="n">
        <v>167.49</v>
      </c>
      <c r="I886" s="20" t="n">
        <v>168.94</v>
      </c>
    </row>
    <row r="887" customFormat="false" ht="13.5" hidden="false" customHeight="true" outlineLevel="0" collapsed="false">
      <c r="A887" s="20" t="n">
        <v>501</v>
      </c>
      <c r="B887" s="20" t="s">
        <v>50</v>
      </c>
      <c r="C887" s="20" t="s">
        <v>22</v>
      </c>
      <c r="D887" s="20" t="n">
        <v>98</v>
      </c>
      <c r="E887" s="20" t="s">
        <v>28</v>
      </c>
      <c r="F887" s="20" t="n">
        <v>1</v>
      </c>
      <c r="G887" s="20" t="str">
        <f aca="false">CONCATENATE(B887, "-",C887, "-", D887, "-", F887)</f>
        <v>M0113-A-98-1</v>
      </c>
      <c r="H887" s="20" t="n">
        <v>168.99</v>
      </c>
      <c r="I887" s="20" t="n">
        <v>169.45</v>
      </c>
    </row>
    <row r="888" customFormat="false" ht="13.5" hidden="false" customHeight="true" outlineLevel="0" collapsed="false">
      <c r="A888" s="20" t="n">
        <v>501</v>
      </c>
      <c r="B888" s="20" t="s">
        <v>50</v>
      </c>
      <c r="C888" s="20" t="s">
        <v>22</v>
      </c>
      <c r="D888" s="20" t="n">
        <v>99</v>
      </c>
      <c r="E888" s="20" t="s">
        <v>28</v>
      </c>
      <c r="F888" s="20" t="n">
        <v>1</v>
      </c>
      <c r="G888" s="20" t="str">
        <f aca="false">CONCATENATE(B888, "-",C888, "-", D888, "-", F888)</f>
        <v>M0113-A-99-1</v>
      </c>
      <c r="H888" s="20" t="n">
        <v>170.49</v>
      </c>
      <c r="I888" s="20" t="n">
        <v>171.49</v>
      </c>
    </row>
    <row r="889" customFormat="false" ht="13.5" hidden="false" customHeight="true" outlineLevel="0" collapsed="false">
      <c r="A889" s="20" t="n">
        <v>501</v>
      </c>
      <c r="B889" s="20" t="s">
        <v>50</v>
      </c>
      <c r="C889" s="20" t="s">
        <v>22</v>
      </c>
      <c r="D889" s="20" t="n">
        <v>99</v>
      </c>
      <c r="E889" s="20" t="s">
        <v>28</v>
      </c>
      <c r="F889" s="20" t="n">
        <v>2</v>
      </c>
      <c r="G889" s="20" t="str">
        <f aca="false">CONCATENATE(B889, "-",C889, "-", D889, "-", F889)</f>
        <v>M0113-A-99-2</v>
      </c>
      <c r="H889" s="20" t="n">
        <v>171.49</v>
      </c>
      <c r="I889" s="20" t="n">
        <v>171.91</v>
      </c>
    </row>
    <row r="890" customFormat="false" ht="13.5" hidden="false" customHeight="true" outlineLevel="0" collapsed="false">
      <c r="A890" s="20" t="n">
        <v>501</v>
      </c>
      <c r="B890" s="20" t="s">
        <v>50</v>
      </c>
      <c r="C890" s="20" t="s">
        <v>22</v>
      </c>
      <c r="D890" s="20" t="n">
        <v>100</v>
      </c>
      <c r="E890" s="20" t="s">
        <v>28</v>
      </c>
      <c r="F890" s="20" t="n">
        <v>1</v>
      </c>
      <c r="G890" s="20" t="str">
        <f aca="false">CONCATENATE(B890, "-",C890, "-", D890, "-", F890)</f>
        <v>M0113-A-100-1</v>
      </c>
      <c r="H890" s="20" t="n">
        <v>171.99</v>
      </c>
      <c r="I890" s="20" t="n">
        <v>172.46</v>
      </c>
    </row>
    <row r="891" customFormat="false" ht="13.5" hidden="false" customHeight="true" outlineLevel="0" collapsed="false">
      <c r="A891" s="20" t="n">
        <v>501</v>
      </c>
      <c r="B891" s="20" t="s">
        <v>50</v>
      </c>
      <c r="C891" s="20" t="s">
        <v>22</v>
      </c>
      <c r="D891" s="20" t="n">
        <v>101</v>
      </c>
      <c r="E891" s="20" t="s">
        <v>28</v>
      </c>
      <c r="F891" s="20" t="n">
        <v>1</v>
      </c>
      <c r="G891" s="20" t="str">
        <f aca="false">CONCATENATE(B891, "-",C891, "-", D891, "-", F891)</f>
        <v>M0113-A-101-1</v>
      </c>
      <c r="H891" s="20" t="n">
        <v>173.49</v>
      </c>
      <c r="I891" s="20" t="n">
        <v>173.96</v>
      </c>
    </row>
    <row r="892" customFormat="false" ht="13.5" hidden="false" customHeight="true" outlineLevel="0" collapsed="false">
      <c r="A892" s="20" t="n">
        <v>501</v>
      </c>
      <c r="B892" s="20" t="s">
        <v>50</v>
      </c>
      <c r="C892" s="20" t="s">
        <v>22</v>
      </c>
      <c r="D892" s="20" t="n">
        <v>102</v>
      </c>
      <c r="E892" s="20" t="s">
        <v>28</v>
      </c>
      <c r="F892" s="20" t="n">
        <v>1</v>
      </c>
      <c r="G892" s="20" t="str">
        <f aca="false">CONCATENATE(B892, "-",C892, "-", D892, "-", F892)</f>
        <v>M0113-A-102-1</v>
      </c>
      <c r="H892" s="20" t="n">
        <v>174.99</v>
      </c>
      <c r="I892" s="20" t="n">
        <v>175.89</v>
      </c>
    </row>
    <row r="893" customFormat="false" ht="13.5" hidden="false" customHeight="true" outlineLevel="0" collapsed="false">
      <c r="A893" s="20" t="n">
        <v>501</v>
      </c>
      <c r="B893" s="20" t="s">
        <v>50</v>
      </c>
      <c r="C893" s="20" t="s">
        <v>22</v>
      </c>
      <c r="D893" s="20" t="n">
        <v>102</v>
      </c>
      <c r="E893" s="20" t="s">
        <v>28</v>
      </c>
      <c r="F893" s="20" t="n">
        <v>2</v>
      </c>
      <c r="G893" s="20" t="str">
        <f aca="false">CONCATENATE(B893, "-",C893, "-", D893, "-", F893)</f>
        <v>M0113-A-102-2</v>
      </c>
      <c r="H893" s="20" t="n">
        <v>175.89</v>
      </c>
      <c r="I893" s="20" t="n">
        <v>176.34</v>
      </c>
    </row>
    <row r="894" customFormat="false" ht="13.5" hidden="false" customHeight="true" outlineLevel="0" collapsed="false">
      <c r="A894" s="20" t="n">
        <v>501</v>
      </c>
      <c r="B894" s="20" t="s">
        <v>50</v>
      </c>
      <c r="C894" s="20" t="s">
        <v>22</v>
      </c>
      <c r="D894" s="20" t="n">
        <v>103</v>
      </c>
      <c r="E894" s="20" t="s">
        <v>28</v>
      </c>
      <c r="F894" s="20" t="n">
        <v>1</v>
      </c>
      <c r="G894" s="20" t="str">
        <f aca="false">CONCATENATE(B894, "-",C894, "-", D894, "-", F894)</f>
        <v>M0113-A-103-1</v>
      </c>
      <c r="H894" s="20" t="n">
        <v>176.49</v>
      </c>
      <c r="I894" s="20" t="n">
        <v>176.89</v>
      </c>
    </row>
    <row r="895" customFormat="false" ht="13.5" hidden="false" customHeight="true" outlineLevel="0" collapsed="false">
      <c r="A895" s="20" t="n">
        <v>501</v>
      </c>
      <c r="B895" s="20" t="s">
        <v>50</v>
      </c>
      <c r="C895" s="20" t="s">
        <v>22</v>
      </c>
      <c r="D895" s="20" t="n">
        <v>104</v>
      </c>
      <c r="E895" s="20" t="s">
        <v>28</v>
      </c>
      <c r="F895" s="20" t="n">
        <v>1</v>
      </c>
      <c r="G895" s="20" t="str">
        <f aca="false">CONCATENATE(B895, "-",C895, "-", D895, "-", F895)</f>
        <v>M0113-A-104-1</v>
      </c>
      <c r="H895" s="20" t="n">
        <v>177.99</v>
      </c>
      <c r="I895" s="20" t="n">
        <v>179.45</v>
      </c>
    </row>
    <row r="896" customFormat="false" ht="13.5" hidden="false" customHeight="true" outlineLevel="0" collapsed="false">
      <c r="A896" s="20" t="n">
        <v>501</v>
      </c>
      <c r="B896" s="20" t="s">
        <v>50</v>
      </c>
      <c r="C896" s="20" t="s">
        <v>22</v>
      </c>
      <c r="D896" s="20" t="n">
        <v>105</v>
      </c>
      <c r="E896" s="20" t="s">
        <v>28</v>
      </c>
      <c r="F896" s="20" t="n">
        <v>1</v>
      </c>
      <c r="G896" s="20" t="str">
        <f aca="false">CONCATENATE(B896, "-",C896, "-", D896, "-", F896)</f>
        <v>M0113-A-105-1</v>
      </c>
      <c r="H896" s="20" t="n">
        <v>179.49</v>
      </c>
      <c r="I896" s="20" t="n">
        <v>180.49</v>
      </c>
    </row>
    <row r="897" customFormat="false" ht="13.5" hidden="false" customHeight="true" outlineLevel="0" collapsed="false">
      <c r="A897" s="20" t="n">
        <v>501</v>
      </c>
      <c r="B897" s="20" t="s">
        <v>50</v>
      </c>
      <c r="C897" s="20" t="s">
        <v>22</v>
      </c>
      <c r="D897" s="20" t="n">
        <v>105</v>
      </c>
      <c r="E897" s="20" t="s">
        <v>28</v>
      </c>
      <c r="F897" s="20" t="n">
        <v>2</v>
      </c>
      <c r="G897" s="20" t="str">
        <f aca="false">CONCATENATE(B897, "-",C897, "-", D897, "-", F897)</f>
        <v>M0113-A-105-2</v>
      </c>
      <c r="H897" s="20" t="n">
        <v>180.49</v>
      </c>
      <c r="I897" s="20" t="n">
        <v>181.19</v>
      </c>
    </row>
    <row r="898" customFormat="false" ht="13.5" hidden="false" customHeight="true" outlineLevel="0" collapsed="false">
      <c r="A898" s="20" t="n">
        <v>501</v>
      </c>
      <c r="B898" s="20" t="s">
        <v>50</v>
      </c>
      <c r="C898" s="20" t="s">
        <v>22</v>
      </c>
      <c r="D898" s="20" t="n">
        <v>105</v>
      </c>
      <c r="E898" s="20" t="s">
        <v>28</v>
      </c>
      <c r="F898" s="20" t="n">
        <v>3</v>
      </c>
      <c r="G898" s="20" t="str">
        <f aca="false">CONCATENATE(B898, "-",C898, "-", D898, "-", F898)</f>
        <v>M0113-A-105-3</v>
      </c>
      <c r="H898" s="20" t="n">
        <v>181.19</v>
      </c>
      <c r="I898" s="20" t="n">
        <v>181.28</v>
      </c>
    </row>
    <row r="899" customFormat="false" ht="13.5" hidden="false" customHeight="true" outlineLevel="0" collapsed="false">
      <c r="A899" s="20" t="n">
        <v>501</v>
      </c>
      <c r="B899" s="20" t="s">
        <v>50</v>
      </c>
      <c r="C899" s="20" t="s">
        <v>22</v>
      </c>
      <c r="D899" s="20" t="n">
        <v>106</v>
      </c>
      <c r="E899" s="20" t="s">
        <v>28</v>
      </c>
      <c r="F899" s="20" t="n">
        <v>1</v>
      </c>
      <c r="G899" s="20" t="str">
        <f aca="false">CONCATENATE(B899, "-",C899, "-", D899, "-", F899)</f>
        <v>M0113-A-106-1</v>
      </c>
      <c r="H899" s="20" t="n">
        <v>182.49</v>
      </c>
      <c r="I899" s="20" t="n">
        <v>182.72</v>
      </c>
    </row>
    <row r="900" customFormat="false" ht="13.5" hidden="false" customHeight="true" outlineLevel="0" collapsed="false">
      <c r="A900" s="20" t="n">
        <v>501</v>
      </c>
      <c r="B900" s="20" t="s">
        <v>50</v>
      </c>
      <c r="C900" s="20" t="s">
        <v>22</v>
      </c>
      <c r="D900" s="20" t="n">
        <v>107</v>
      </c>
      <c r="E900" s="20" t="s">
        <v>28</v>
      </c>
      <c r="F900" s="20" t="n">
        <v>1</v>
      </c>
      <c r="G900" s="20" t="str">
        <f aca="false">CONCATENATE(B900, "-",C900, "-", D900, "-", F900)</f>
        <v>M0113-A-107-1</v>
      </c>
      <c r="H900" s="20" t="n">
        <v>185.49</v>
      </c>
      <c r="I900" s="20" t="n">
        <v>186.49</v>
      </c>
    </row>
    <row r="901" customFormat="false" ht="13.5" hidden="false" customHeight="true" outlineLevel="0" collapsed="false">
      <c r="A901" s="20" t="n">
        <v>501</v>
      </c>
      <c r="B901" s="20" t="s">
        <v>50</v>
      </c>
      <c r="C901" s="20" t="s">
        <v>22</v>
      </c>
      <c r="D901" s="20" t="n">
        <v>107</v>
      </c>
      <c r="E901" s="20" t="s">
        <v>28</v>
      </c>
      <c r="F901" s="20" t="n">
        <v>2</v>
      </c>
      <c r="G901" s="20" t="str">
        <f aca="false">CONCATENATE(B901, "-",C901, "-", D901, "-", F901)</f>
        <v>M0113-A-107-2</v>
      </c>
      <c r="H901" s="20" t="n">
        <v>186.49</v>
      </c>
      <c r="I901" s="20" t="n">
        <v>187.07</v>
      </c>
    </row>
    <row r="902" customFormat="false" ht="13.5" hidden="false" customHeight="true" outlineLevel="0" collapsed="false">
      <c r="A902" s="20" t="n">
        <v>501</v>
      </c>
      <c r="B902" s="20" t="s">
        <v>50</v>
      </c>
      <c r="C902" s="20" t="s">
        <v>22</v>
      </c>
      <c r="D902" s="20" t="n">
        <v>108</v>
      </c>
      <c r="E902" s="20" t="s">
        <v>28</v>
      </c>
      <c r="F902" s="20" t="n">
        <v>1</v>
      </c>
      <c r="G902" s="20" t="str">
        <f aca="false">CONCATENATE(B902, "-",C902, "-", D902, "-", F902)</f>
        <v>M0113-A-108-1</v>
      </c>
      <c r="H902" s="20" t="n">
        <v>186.99</v>
      </c>
      <c r="I902" s="20" t="n">
        <v>188.03</v>
      </c>
    </row>
    <row r="903" customFormat="false" ht="13.5" hidden="false" customHeight="true" outlineLevel="0" collapsed="false">
      <c r="A903" s="20" t="n">
        <v>501</v>
      </c>
      <c r="B903" s="20" t="s">
        <v>50</v>
      </c>
      <c r="C903" s="20" t="s">
        <v>22</v>
      </c>
      <c r="D903" s="20" t="n">
        <v>109</v>
      </c>
      <c r="E903" s="20" t="s">
        <v>28</v>
      </c>
      <c r="F903" s="20" t="n">
        <v>1</v>
      </c>
      <c r="G903" s="20" t="str">
        <f aca="false">CONCATENATE(B903, "-",C903, "-", D903, "-", F903)</f>
        <v>M0113-A-109-1</v>
      </c>
      <c r="H903" s="20" t="n">
        <v>188.49</v>
      </c>
      <c r="I903" s="20" t="n">
        <v>188.75</v>
      </c>
    </row>
    <row r="904" customFormat="false" ht="13.5" hidden="false" customHeight="true" outlineLevel="0" collapsed="false">
      <c r="A904" s="20" t="n">
        <v>501</v>
      </c>
      <c r="B904" s="20" t="s">
        <v>50</v>
      </c>
      <c r="C904" s="20" t="s">
        <v>22</v>
      </c>
      <c r="D904" s="20" t="n">
        <v>110</v>
      </c>
      <c r="E904" s="20" t="s">
        <v>28</v>
      </c>
      <c r="F904" s="20" t="n">
        <v>1</v>
      </c>
      <c r="G904" s="20" t="str">
        <f aca="false">CONCATENATE(B904, "-",C904, "-", D904, "-", F904)</f>
        <v>M0113-A-110-1</v>
      </c>
      <c r="H904" s="20" t="n">
        <v>189.99</v>
      </c>
      <c r="I904" s="20" t="n">
        <v>190.98</v>
      </c>
    </row>
    <row r="905" customFormat="false" ht="13.5" hidden="false" customHeight="true" outlineLevel="0" collapsed="false">
      <c r="A905" s="20" t="n">
        <v>501</v>
      </c>
      <c r="B905" s="20" t="s">
        <v>50</v>
      </c>
      <c r="C905" s="20" t="s">
        <v>22</v>
      </c>
      <c r="D905" s="20" t="n">
        <v>110</v>
      </c>
      <c r="E905" s="20" t="s">
        <v>28</v>
      </c>
      <c r="F905" s="20" t="n">
        <v>2</v>
      </c>
      <c r="G905" s="20" t="str">
        <f aca="false">CONCATENATE(B905, "-",C905, "-", D905, "-", F905)</f>
        <v>M0113-A-110-2</v>
      </c>
      <c r="H905" s="20" t="n">
        <v>190.98</v>
      </c>
      <c r="I905" s="20" t="n">
        <v>191.48</v>
      </c>
    </row>
    <row r="906" customFormat="false" ht="13.5" hidden="false" customHeight="true" outlineLevel="0" collapsed="false">
      <c r="A906" s="20" t="n">
        <v>501</v>
      </c>
      <c r="B906" s="20" t="s">
        <v>50</v>
      </c>
      <c r="C906" s="20" t="s">
        <v>22</v>
      </c>
      <c r="D906" s="20" t="n">
        <v>111</v>
      </c>
      <c r="E906" s="20" t="s">
        <v>28</v>
      </c>
      <c r="F906" s="20" t="n">
        <v>1</v>
      </c>
      <c r="G906" s="20" t="str">
        <f aca="false">CONCATENATE(B906, "-",C906, "-", D906, "-", F906)</f>
        <v>M0113-A-111-1</v>
      </c>
      <c r="H906" s="20" t="n">
        <v>191.49</v>
      </c>
      <c r="I906" s="20" t="n">
        <v>191.74</v>
      </c>
    </row>
    <row r="907" customFormat="false" ht="13.5" hidden="false" customHeight="true" outlineLevel="0" collapsed="false">
      <c r="A907" s="20" t="n">
        <v>501</v>
      </c>
      <c r="B907" s="20" t="s">
        <v>50</v>
      </c>
      <c r="C907" s="20" t="s">
        <v>22</v>
      </c>
      <c r="D907" s="20" t="n">
        <v>112</v>
      </c>
      <c r="E907" s="20" t="s">
        <v>28</v>
      </c>
      <c r="F907" s="20" t="n">
        <v>1</v>
      </c>
      <c r="G907" s="20" t="str">
        <f aca="false">CONCATENATE(B907, "-",C907, "-", D907, "-", F907)</f>
        <v>M0113-A-112-1</v>
      </c>
      <c r="H907" s="20" t="n">
        <v>192.99</v>
      </c>
      <c r="I907" s="20" t="n">
        <v>193.26</v>
      </c>
    </row>
    <row r="908" customFormat="false" ht="13.5" hidden="false" customHeight="true" outlineLevel="0" collapsed="false">
      <c r="A908" s="20" t="n">
        <v>501</v>
      </c>
      <c r="B908" s="20" t="s">
        <v>50</v>
      </c>
      <c r="C908" s="20" t="s">
        <v>22</v>
      </c>
      <c r="D908" s="20" t="n">
        <v>114</v>
      </c>
      <c r="E908" s="20" t="s">
        <v>28</v>
      </c>
      <c r="F908" s="20" t="n">
        <v>1</v>
      </c>
      <c r="G908" s="20" t="str">
        <f aca="false">CONCATENATE(B908, "-",C908, "-", D908, "-", F908)</f>
        <v>M0113-A-114-1</v>
      </c>
      <c r="H908" s="20" t="n">
        <v>195.99</v>
      </c>
      <c r="I908" s="20" t="n">
        <v>196.42</v>
      </c>
    </row>
    <row r="909" customFormat="false" ht="13.5" hidden="false" customHeight="true" outlineLevel="0" collapsed="false">
      <c r="A909" s="20" t="n">
        <v>501</v>
      </c>
      <c r="B909" s="20" t="s">
        <v>50</v>
      </c>
      <c r="C909" s="20" t="s">
        <v>22</v>
      </c>
      <c r="D909" s="20" t="n">
        <v>115</v>
      </c>
      <c r="E909" s="20" t="s">
        <v>28</v>
      </c>
      <c r="F909" s="20" t="n">
        <v>1</v>
      </c>
      <c r="G909" s="20" t="str">
        <f aca="false">CONCATENATE(B909, "-",C909, "-", D909, "-", F909)</f>
        <v>M0113-A-115-1</v>
      </c>
      <c r="H909" s="20" t="n">
        <v>197.49</v>
      </c>
      <c r="I909" s="20" t="n">
        <v>197.9</v>
      </c>
    </row>
    <row r="910" customFormat="false" ht="13.5" hidden="false" customHeight="true" outlineLevel="0" collapsed="false">
      <c r="A910" s="20" t="n">
        <v>501</v>
      </c>
      <c r="B910" s="20" t="s">
        <v>50</v>
      </c>
      <c r="C910" s="20" t="s">
        <v>22</v>
      </c>
      <c r="D910" s="20" t="n">
        <v>116</v>
      </c>
      <c r="E910" s="20" t="s">
        <v>28</v>
      </c>
      <c r="F910" s="20" t="n">
        <v>1</v>
      </c>
      <c r="G910" s="20" t="str">
        <f aca="false">CONCATENATE(B910, "-",C910, "-", D910, "-", F910)</f>
        <v>M0113-A-116-1</v>
      </c>
      <c r="H910" s="20" t="n">
        <v>198.99</v>
      </c>
      <c r="I910" s="20" t="n">
        <v>200</v>
      </c>
    </row>
    <row r="911" customFormat="false" ht="13.5" hidden="false" customHeight="true" outlineLevel="0" collapsed="false">
      <c r="A911" s="20" t="n">
        <v>501</v>
      </c>
      <c r="B911" s="20" t="s">
        <v>50</v>
      </c>
      <c r="C911" s="20" t="s">
        <v>22</v>
      </c>
      <c r="D911" s="20" t="n">
        <v>117</v>
      </c>
      <c r="E911" s="20" t="s">
        <v>28</v>
      </c>
      <c r="F911" s="20" t="n">
        <v>1</v>
      </c>
      <c r="G911" s="20" t="str">
        <f aca="false">CONCATENATE(B911, "-",C911, "-", D911, "-", F911)</f>
        <v>M0113-A-117-1</v>
      </c>
      <c r="H911" s="20" t="n">
        <v>200.49</v>
      </c>
      <c r="I911" s="20" t="n">
        <v>200.94</v>
      </c>
    </row>
    <row r="912" customFormat="false" ht="13.5" hidden="false" customHeight="true" outlineLevel="0" collapsed="false">
      <c r="A912" s="20" t="n">
        <v>501</v>
      </c>
      <c r="B912" s="20" t="s">
        <v>50</v>
      </c>
      <c r="C912" s="20" t="s">
        <v>22</v>
      </c>
      <c r="D912" s="20" t="n">
        <v>117</v>
      </c>
      <c r="E912" s="20" t="s">
        <v>28</v>
      </c>
      <c r="F912" s="20" t="n">
        <v>2</v>
      </c>
      <c r="G912" s="20" t="str">
        <f aca="false">CONCATENATE(B912, "-",C912, "-", D912, "-", F912)</f>
        <v>M0113-A-117-2</v>
      </c>
      <c r="H912" s="20" t="n">
        <v>200.94</v>
      </c>
      <c r="I912" s="20" t="n">
        <v>201.33</v>
      </c>
    </row>
    <row r="913" customFormat="false" ht="13.5" hidden="false" customHeight="true" outlineLevel="0" collapsed="false">
      <c r="A913" s="20" t="n">
        <v>501</v>
      </c>
      <c r="B913" s="20" t="s">
        <v>50</v>
      </c>
      <c r="C913" s="20" t="s">
        <v>22</v>
      </c>
      <c r="D913" s="20" t="n">
        <v>118</v>
      </c>
      <c r="E913" s="20" t="s">
        <v>28</v>
      </c>
      <c r="F913" s="20" t="n">
        <v>1</v>
      </c>
      <c r="G913" s="20" t="str">
        <f aca="false">CONCATENATE(B913, "-",C913, "-", D913, "-", F913)</f>
        <v>M0113-A-118-1</v>
      </c>
      <c r="H913" s="20" t="n">
        <v>201.99</v>
      </c>
      <c r="I913" s="20" t="n">
        <v>202.49</v>
      </c>
    </row>
    <row r="914" customFormat="false" ht="13.5" hidden="false" customHeight="true" outlineLevel="0" collapsed="false">
      <c r="A914" s="20" t="n">
        <v>501</v>
      </c>
      <c r="B914" s="20" t="s">
        <v>50</v>
      </c>
      <c r="C914" s="20" t="s">
        <v>22</v>
      </c>
      <c r="D914" s="20" t="n">
        <v>118</v>
      </c>
      <c r="E914" s="20" t="s">
        <v>28</v>
      </c>
      <c r="F914" s="20" t="n">
        <v>2</v>
      </c>
      <c r="G914" s="20" t="str">
        <f aca="false">CONCATENATE(B914, "-",C914, "-", D914, "-", F914)</f>
        <v>M0113-A-118-2</v>
      </c>
      <c r="H914" s="20" t="n">
        <v>202.49</v>
      </c>
      <c r="I914" s="20" t="n">
        <v>202.79</v>
      </c>
    </row>
    <row r="915" customFormat="false" ht="13.5" hidden="false" customHeight="true" outlineLevel="0" collapsed="false">
      <c r="A915" s="20" t="n">
        <v>501</v>
      </c>
      <c r="B915" s="20" t="s">
        <v>50</v>
      </c>
      <c r="C915" s="20" t="s">
        <v>22</v>
      </c>
      <c r="D915" s="20" t="n">
        <v>119</v>
      </c>
      <c r="E915" s="20" t="s">
        <v>28</v>
      </c>
      <c r="F915" s="20" t="n">
        <v>1</v>
      </c>
      <c r="G915" s="20" t="str">
        <f aca="false">CONCATENATE(B915, "-",C915, "-", D915, "-", F915)</f>
        <v>M0113-A-119-1</v>
      </c>
      <c r="H915" s="20" t="n">
        <v>203.49</v>
      </c>
      <c r="I915" s="20" t="n">
        <v>204.23</v>
      </c>
    </row>
    <row r="916" customFormat="false" ht="13.5" hidden="false" customHeight="true" outlineLevel="0" collapsed="false">
      <c r="A916" s="20" t="n">
        <v>501</v>
      </c>
      <c r="B916" s="20" t="s">
        <v>50</v>
      </c>
      <c r="C916" s="20" t="s">
        <v>22</v>
      </c>
      <c r="D916" s="20" t="n">
        <v>120</v>
      </c>
      <c r="E916" s="20" t="s">
        <v>28</v>
      </c>
      <c r="F916" s="20" t="n">
        <v>1</v>
      </c>
      <c r="G916" s="20" t="str">
        <f aca="false">CONCATENATE(B916, "-",C916, "-", D916, "-", F916)</f>
        <v>M0113-A-120-1</v>
      </c>
      <c r="H916" s="20" t="n">
        <v>204.99</v>
      </c>
      <c r="I916" s="20" t="n">
        <v>205.59</v>
      </c>
    </row>
    <row r="917" customFormat="false" ht="13.5" hidden="false" customHeight="true" outlineLevel="0" collapsed="false">
      <c r="A917" s="20" t="n">
        <v>501</v>
      </c>
      <c r="B917" s="20" t="s">
        <v>50</v>
      </c>
      <c r="C917" s="20" t="s">
        <v>22</v>
      </c>
      <c r="D917" s="20" t="n">
        <v>121</v>
      </c>
      <c r="E917" s="20" t="s">
        <v>28</v>
      </c>
      <c r="F917" s="20" t="n">
        <v>1</v>
      </c>
      <c r="G917" s="20" t="str">
        <f aca="false">CONCATENATE(B917, "-",C917, "-", D917, "-", F917)</f>
        <v>M0113-A-121-1</v>
      </c>
      <c r="H917" s="20" t="n">
        <v>206.49</v>
      </c>
      <c r="I917" s="20" t="n">
        <v>207.98</v>
      </c>
    </row>
    <row r="918" customFormat="false" ht="13.5" hidden="false" customHeight="true" outlineLevel="0" collapsed="false">
      <c r="A918" s="20" t="n">
        <v>501</v>
      </c>
      <c r="B918" s="20" t="s">
        <v>50</v>
      </c>
      <c r="C918" s="20" t="s">
        <v>22</v>
      </c>
      <c r="D918" s="20" t="n">
        <v>122</v>
      </c>
      <c r="E918" s="20" t="s">
        <v>28</v>
      </c>
      <c r="F918" s="20" t="n">
        <v>1</v>
      </c>
      <c r="G918" s="20" t="str">
        <f aca="false">CONCATENATE(B918, "-",C918, "-", D918, "-", F918)</f>
        <v>M0113-A-122-1</v>
      </c>
      <c r="H918" s="20" t="n">
        <v>207.99</v>
      </c>
      <c r="I918" s="20" t="n">
        <v>208.31</v>
      </c>
    </row>
    <row r="919" customFormat="false" ht="13.5" hidden="false" customHeight="true" outlineLevel="0" collapsed="false">
      <c r="A919" s="20" t="n">
        <v>501</v>
      </c>
      <c r="B919" s="20" t="s">
        <v>50</v>
      </c>
      <c r="C919" s="20" t="s">
        <v>22</v>
      </c>
      <c r="D919" s="20" t="n">
        <v>123</v>
      </c>
      <c r="E919" s="20" t="s">
        <v>28</v>
      </c>
      <c r="F919" s="20" t="n">
        <v>1</v>
      </c>
      <c r="G919" s="20" t="str">
        <f aca="false">CONCATENATE(B919, "-",C919, "-", D919, "-", F919)</f>
        <v>M0113-A-123-1</v>
      </c>
      <c r="H919" s="20" t="n">
        <v>209.49</v>
      </c>
      <c r="I919" s="20" t="n">
        <v>209.74</v>
      </c>
    </row>
    <row r="920" customFormat="false" ht="13.5" hidden="false" customHeight="true" outlineLevel="0" collapsed="false">
      <c r="A920" s="20" t="n">
        <v>501</v>
      </c>
      <c r="B920" s="20" t="s">
        <v>50</v>
      </c>
      <c r="C920" s="20" t="s">
        <v>22</v>
      </c>
      <c r="D920" s="20" t="n">
        <v>124</v>
      </c>
      <c r="E920" s="20" t="s">
        <v>28</v>
      </c>
      <c r="F920" s="20" t="n">
        <v>1</v>
      </c>
      <c r="G920" s="20" t="str">
        <f aca="false">CONCATENATE(B920, "-",C920, "-", D920, "-", F920)</f>
        <v>M0113-A-124-1</v>
      </c>
      <c r="H920" s="20" t="n">
        <v>210.99</v>
      </c>
      <c r="I920" s="20" t="n">
        <v>211.99</v>
      </c>
    </row>
    <row r="921" customFormat="false" ht="13.5" hidden="false" customHeight="true" outlineLevel="0" collapsed="false">
      <c r="A921" s="20" t="n">
        <v>501</v>
      </c>
      <c r="B921" s="20" t="s">
        <v>50</v>
      </c>
      <c r="C921" s="20" t="s">
        <v>22</v>
      </c>
      <c r="D921" s="20" t="n">
        <v>124</v>
      </c>
      <c r="E921" s="20" t="s">
        <v>28</v>
      </c>
      <c r="F921" s="20" t="n">
        <v>2</v>
      </c>
      <c r="G921" s="20" t="str">
        <f aca="false">CONCATENATE(B921, "-",C921, "-", D921, "-", F921)</f>
        <v>M0113-A-124-2</v>
      </c>
      <c r="H921" s="20" t="n">
        <v>211.99</v>
      </c>
      <c r="I921" s="20" t="n">
        <v>212.52</v>
      </c>
    </row>
    <row r="922" customFormat="false" ht="13.5" hidden="false" customHeight="true" outlineLevel="0" collapsed="false">
      <c r="A922" s="20" t="n">
        <v>501</v>
      </c>
      <c r="B922" s="20" t="s">
        <v>50</v>
      </c>
      <c r="C922" s="20" t="s">
        <v>22</v>
      </c>
      <c r="D922" s="20" t="n">
        <v>125</v>
      </c>
      <c r="E922" s="20" t="s">
        <v>28</v>
      </c>
      <c r="F922" s="20" t="n">
        <v>1</v>
      </c>
      <c r="G922" s="20" t="str">
        <f aca="false">CONCATENATE(B922, "-",C922, "-", D922, "-", F922)</f>
        <v>M0113-A-125-1</v>
      </c>
      <c r="H922" s="20" t="n">
        <v>212.49</v>
      </c>
      <c r="I922" s="20" t="n">
        <v>212.71</v>
      </c>
    </row>
    <row r="923" customFormat="false" ht="13.5" hidden="false" customHeight="true" outlineLevel="0" collapsed="false">
      <c r="A923" s="20" t="n">
        <v>501</v>
      </c>
      <c r="B923" s="20" t="s">
        <v>50</v>
      </c>
      <c r="C923" s="20" t="s">
        <v>22</v>
      </c>
      <c r="D923" s="20" t="n">
        <v>126</v>
      </c>
      <c r="E923" s="20" t="s">
        <v>28</v>
      </c>
      <c r="F923" s="20" t="n">
        <v>1</v>
      </c>
      <c r="G923" s="20" t="str">
        <f aca="false">CONCATENATE(B923, "-",C923, "-", D923, "-", F923)</f>
        <v>M0113-A-126-1</v>
      </c>
      <c r="H923" s="20" t="n">
        <v>215.49</v>
      </c>
      <c r="I923" s="20" t="n">
        <v>216.34</v>
      </c>
    </row>
    <row r="924" customFormat="false" ht="13.5" hidden="false" customHeight="true" outlineLevel="0" collapsed="false">
      <c r="A924" s="20" t="n">
        <v>501</v>
      </c>
      <c r="B924" s="20" t="s">
        <v>50</v>
      </c>
      <c r="C924" s="20" t="s">
        <v>22</v>
      </c>
      <c r="D924" s="20" t="n">
        <v>127</v>
      </c>
      <c r="E924" s="20" t="s">
        <v>28</v>
      </c>
      <c r="F924" s="20" t="n">
        <v>1</v>
      </c>
      <c r="G924" s="20" t="str">
        <f aca="false">CONCATENATE(B924, "-",C924, "-", D924, "-", F924)</f>
        <v>M0113-A-127-1</v>
      </c>
      <c r="H924" s="20" t="n">
        <v>216.99</v>
      </c>
      <c r="I924" s="20" t="n">
        <v>217.25</v>
      </c>
    </row>
    <row r="925" customFormat="false" ht="13.5" hidden="false" customHeight="true" outlineLevel="0" collapsed="false">
      <c r="A925" s="20" t="n">
        <v>501</v>
      </c>
      <c r="B925" s="20" t="s">
        <v>50</v>
      </c>
      <c r="C925" s="20" t="s">
        <v>22</v>
      </c>
      <c r="D925" s="20" t="n">
        <v>128</v>
      </c>
      <c r="E925" s="20" t="s">
        <v>28</v>
      </c>
      <c r="F925" s="20" t="n">
        <v>1</v>
      </c>
      <c r="G925" s="20" t="str">
        <f aca="false">CONCATENATE(B925, "-",C925, "-", D925, "-", F925)</f>
        <v>M0113-A-128-1</v>
      </c>
      <c r="H925" s="20" t="n">
        <v>217.47</v>
      </c>
      <c r="I925" s="20" t="n">
        <v>217.77</v>
      </c>
    </row>
    <row r="926" customFormat="false" ht="13.5" hidden="false" customHeight="true" outlineLevel="0" collapsed="false">
      <c r="A926" s="20" t="n">
        <v>501</v>
      </c>
      <c r="B926" s="20" t="s">
        <v>50</v>
      </c>
      <c r="C926" s="20" t="s">
        <v>22</v>
      </c>
      <c r="D926" s="20" t="n">
        <v>128</v>
      </c>
      <c r="E926" s="20" t="s">
        <v>28</v>
      </c>
      <c r="F926" s="20" t="n">
        <v>2</v>
      </c>
      <c r="G926" s="20" t="str">
        <f aca="false">CONCATENATE(B926, "-",C926, "-", D926, "-", F926)</f>
        <v>M0113-A-128-2</v>
      </c>
      <c r="H926" s="20" t="n">
        <v>217.77</v>
      </c>
      <c r="I926" s="20" t="n">
        <v>218.17</v>
      </c>
    </row>
    <row r="927" customFormat="false" ht="13.5" hidden="false" customHeight="true" outlineLevel="0" collapsed="false">
      <c r="A927" s="20" t="n">
        <v>501</v>
      </c>
      <c r="B927" s="20" t="s">
        <v>50</v>
      </c>
      <c r="C927" s="20" t="s">
        <v>22</v>
      </c>
      <c r="D927" s="20" t="n">
        <v>129</v>
      </c>
      <c r="E927" s="20" t="s">
        <v>28</v>
      </c>
      <c r="F927" s="20" t="n">
        <v>1</v>
      </c>
      <c r="G927" s="20" t="str">
        <f aca="false">CONCATENATE(B927, "-",C927, "-", D927, "-", F927)</f>
        <v>M0113-A-129-1</v>
      </c>
      <c r="H927" s="20" t="n">
        <v>218.34</v>
      </c>
      <c r="I927" s="20" t="n">
        <v>218.88</v>
      </c>
    </row>
    <row r="928" customFormat="false" ht="13.5" hidden="false" customHeight="true" outlineLevel="0" collapsed="false">
      <c r="A928" s="20" t="n">
        <v>501</v>
      </c>
      <c r="B928" s="20" t="s">
        <v>50</v>
      </c>
      <c r="C928" s="20" t="s">
        <v>22</v>
      </c>
      <c r="D928" s="20" t="n">
        <v>130</v>
      </c>
      <c r="E928" s="20" t="s">
        <v>28</v>
      </c>
      <c r="F928" s="20" t="n">
        <v>1</v>
      </c>
      <c r="G928" s="20" t="str">
        <f aca="false">CONCATENATE(B928, "-",C928, "-", D928, "-", F928)</f>
        <v>M0113-A-130-1</v>
      </c>
      <c r="H928" s="20" t="n">
        <v>218.74</v>
      </c>
      <c r="I928" s="20" t="n">
        <v>219</v>
      </c>
    </row>
    <row r="929" customFormat="false" ht="13.5" hidden="false" customHeight="true" outlineLevel="0" collapsed="false">
      <c r="A929" s="20" t="n">
        <v>501</v>
      </c>
      <c r="B929" s="20" t="s">
        <v>50</v>
      </c>
      <c r="C929" s="20" t="s">
        <v>22</v>
      </c>
      <c r="D929" s="20" t="n">
        <v>131</v>
      </c>
      <c r="E929" s="20" t="s">
        <v>28</v>
      </c>
      <c r="F929" s="20" t="n">
        <v>1</v>
      </c>
      <c r="G929" s="20" t="str">
        <f aca="false">CONCATENATE(B929, "-",C929, "-", D929, "-", F929)</f>
        <v>M0113-A-131-1</v>
      </c>
      <c r="H929" s="20" t="n">
        <v>218.94</v>
      </c>
      <c r="I929" s="20" t="n">
        <v>219.24</v>
      </c>
    </row>
    <row r="930" customFormat="false" ht="13.5" hidden="false" customHeight="true" outlineLevel="0" collapsed="false">
      <c r="A930" s="20" t="n">
        <v>501</v>
      </c>
      <c r="B930" s="20" t="s">
        <v>50</v>
      </c>
      <c r="C930" s="20" t="s">
        <v>22</v>
      </c>
      <c r="D930" s="20" t="n">
        <v>132</v>
      </c>
      <c r="E930" s="20" t="s">
        <v>28</v>
      </c>
      <c r="F930" s="20" t="n">
        <v>1</v>
      </c>
      <c r="G930" s="20" t="str">
        <f aca="false">CONCATENATE(B930, "-",C930, "-", D930, "-", F930)</f>
        <v>M0113-A-132-1</v>
      </c>
      <c r="H930" s="20" t="n">
        <v>219.44</v>
      </c>
      <c r="I930" s="20" t="n">
        <v>220.95</v>
      </c>
    </row>
    <row r="931" customFormat="false" ht="13.5" hidden="false" customHeight="true" outlineLevel="0" collapsed="false">
      <c r="A931" s="20" t="n">
        <v>501</v>
      </c>
      <c r="B931" s="20" t="s">
        <v>50</v>
      </c>
      <c r="C931" s="20" t="s">
        <v>22</v>
      </c>
      <c r="D931" s="20" t="n">
        <v>132</v>
      </c>
      <c r="E931" s="20" t="s">
        <v>28</v>
      </c>
      <c r="F931" s="20" t="n">
        <v>2</v>
      </c>
      <c r="G931" s="20" t="str">
        <f aca="false">CONCATENATE(B931, "-",C931, "-", D931, "-", F931)</f>
        <v>M0113-A-132-2</v>
      </c>
      <c r="H931" s="20" t="n">
        <v>220.95</v>
      </c>
      <c r="I931" s="20" t="n">
        <v>221.55</v>
      </c>
    </row>
    <row r="932" customFormat="false" ht="13.5" hidden="false" customHeight="true" outlineLevel="0" collapsed="false">
      <c r="A932" s="20" t="n">
        <v>501</v>
      </c>
      <c r="B932" s="20" t="s">
        <v>50</v>
      </c>
      <c r="C932" s="20" t="s">
        <v>22</v>
      </c>
      <c r="D932" s="20" t="n">
        <v>133</v>
      </c>
      <c r="E932" s="20" t="s">
        <v>28</v>
      </c>
      <c r="F932" s="20" t="n">
        <v>1</v>
      </c>
      <c r="G932" s="20" t="str">
        <f aca="false">CONCATENATE(B932, "-",C932, "-", D932, "-", F932)</f>
        <v>M0113-A-133-1</v>
      </c>
      <c r="H932" s="20" t="n">
        <v>221.49</v>
      </c>
      <c r="I932" s="20" t="n">
        <v>222.74</v>
      </c>
    </row>
    <row r="933" customFormat="false" ht="13.5" hidden="false" customHeight="true" outlineLevel="0" collapsed="false">
      <c r="A933" s="20" t="n">
        <v>501</v>
      </c>
      <c r="B933" s="20" t="s">
        <v>50</v>
      </c>
      <c r="C933" s="20" t="s">
        <v>22</v>
      </c>
      <c r="D933" s="20" t="n">
        <v>134</v>
      </c>
      <c r="E933" s="20" t="s">
        <v>28</v>
      </c>
      <c r="F933" s="20" t="n">
        <v>1</v>
      </c>
      <c r="G933" s="20" t="str">
        <f aca="false">CONCATENATE(B933, "-",C933, "-", D933, "-", F933)</f>
        <v>M0113-A-134-1</v>
      </c>
      <c r="H933" s="20" t="n">
        <v>222.94</v>
      </c>
      <c r="I933" s="20" t="n">
        <v>223.41</v>
      </c>
    </row>
    <row r="934" customFormat="false" ht="13.5" hidden="false" customHeight="true" outlineLevel="0" collapsed="false">
      <c r="A934" s="20" t="n">
        <v>501</v>
      </c>
      <c r="B934" s="20" t="s">
        <v>50</v>
      </c>
      <c r="C934" s="20" t="s">
        <v>22</v>
      </c>
      <c r="D934" s="20" t="n">
        <v>135</v>
      </c>
      <c r="E934" s="20" t="s">
        <v>28</v>
      </c>
      <c r="F934" s="20" t="n">
        <v>1</v>
      </c>
      <c r="G934" s="20" t="str">
        <f aca="false">CONCATENATE(B934, "-",C934, "-", D934, "-", F934)</f>
        <v>M0113-A-135-1</v>
      </c>
      <c r="H934" s="20" t="n">
        <v>224.49</v>
      </c>
      <c r="I934" s="20" t="n">
        <v>225.99</v>
      </c>
    </row>
    <row r="935" customFormat="false" ht="13.5" hidden="false" customHeight="true" outlineLevel="0" collapsed="false">
      <c r="A935" s="20" t="n">
        <v>501</v>
      </c>
      <c r="B935" s="20" t="s">
        <v>50</v>
      </c>
      <c r="C935" s="20" t="s">
        <v>22</v>
      </c>
      <c r="D935" s="20" t="n">
        <v>135</v>
      </c>
      <c r="E935" s="20" t="s">
        <v>28</v>
      </c>
      <c r="F935" s="20" t="n">
        <v>2</v>
      </c>
      <c r="G935" s="20" t="str">
        <f aca="false">CONCATENATE(B935, "-",C935, "-", D935, "-", F935)</f>
        <v>M0113-A-135-2</v>
      </c>
      <c r="H935" s="20" t="n">
        <v>225.99</v>
      </c>
      <c r="I935" s="20" t="n">
        <v>227.11</v>
      </c>
    </row>
    <row r="936" customFormat="false" ht="13.5" hidden="false" customHeight="true" outlineLevel="0" collapsed="false">
      <c r="A936" s="20" t="n">
        <v>501</v>
      </c>
      <c r="B936" s="20" t="s">
        <v>50</v>
      </c>
      <c r="C936" s="20" t="s">
        <v>22</v>
      </c>
      <c r="D936" s="20" t="n">
        <v>136</v>
      </c>
      <c r="E936" s="20" t="s">
        <v>28</v>
      </c>
      <c r="F936" s="20" t="n">
        <v>1</v>
      </c>
      <c r="G936" s="20" t="str">
        <f aca="false">CONCATENATE(B936, "-",C936, "-", D936, "-", F936)</f>
        <v>M0113-A-136-1</v>
      </c>
      <c r="H936" s="20" t="n">
        <v>227.49</v>
      </c>
      <c r="I936" s="20" t="n">
        <v>228.59</v>
      </c>
    </row>
    <row r="937" customFormat="false" ht="13.5" hidden="false" customHeight="true" outlineLevel="0" collapsed="false">
      <c r="A937" s="20" t="n">
        <v>501</v>
      </c>
      <c r="B937" s="20" t="s">
        <v>50</v>
      </c>
      <c r="C937" s="20" t="s">
        <v>22</v>
      </c>
      <c r="D937" s="20" t="n">
        <v>136</v>
      </c>
      <c r="E937" s="20" t="s">
        <v>28</v>
      </c>
      <c r="F937" s="20" t="n">
        <v>2</v>
      </c>
      <c r="G937" s="20" t="str">
        <f aca="false">CONCATENATE(B937, "-",C937, "-", D937, "-", F937)</f>
        <v>M0113-A-136-2</v>
      </c>
      <c r="H937" s="20" t="n">
        <v>228.59</v>
      </c>
      <c r="I937" s="20" t="n">
        <v>229.23</v>
      </c>
    </row>
    <row r="938" customFormat="false" ht="13.5" hidden="false" customHeight="true" outlineLevel="0" collapsed="false">
      <c r="A938" s="20" t="n">
        <v>501</v>
      </c>
      <c r="B938" s="20" t="s">
        <v>50</v>
      </c>
      <c r="C938" s="20" t="s">
        <v>22</v>
      </c>
      <c r="D938" s="20" t="n">
        <v>136</v>
      </c>
      <c r="E938" s="20" t="s">
        <v>28</v>
      </c>
      <c r="F938" s="20" t="n">
        <v>3</v>
      </c>
      <c r="G938" s="20" t="str">
        <f aca="false">CONCATENATE(B938, "-",C938, "-", D938, "-", F938)</f>
        <v>M0113-A-136-3</v>
      </c>
      <c r="H938" s="20" t="n">
        <v>229.23</v>
      </c>
      <c r="I938" s="20" t="n">
        <v>229.35</v>
      </c>
    </row>
    <row r="939" customFormat="false" ht="13.5" hidden="false" customHeight="true" outlineLevel="0" collapsed="false">
      <c r="A939" s="20" t="n">
        <v>501</v>
      </c>
      <c r="B939" s="20" t="s">
        <v>50</v>
      </c>
      <c r="C939" s="20" t="s">
        <v>22</v>
      </c>
      <c r="D939" s="20" t="n">
        <v>137</v>
      </c>
      <c r="E939" s="20" t="s">
        <v>28</v>
      </c>
      <c r="F939" s="20" t="n">
        <v>1</v>
      </c>
      <c r="G939" s="20" t="str">
        <f aca="false">CONCATENATE(B939, "-",C939, "-", D939, "-", F939)</f>
        <v>M0113-A-137-1</v>
      </c>
      <c r="H939" s="20" t="n">
        <v>230.49</v>
      </c>
      <c r="I939" s="20" t="n">
        <v>230.58</v>
      </c>
    </row>
    <row r="940" customFormat="false" ht="13.5" hidden="false" customHeight="true" outlineLevel="0" collapsed="false">
      <c r="A940" s="20" t="n">
        <v>501</v>
      </c>
      <c r="B940" s="20" t="s">
        <v>50</v>
      </c>
      <c r="C940" s="20" t="s">
        <v>22</v>
      </c>
      <c r="D940" s="20" t="n">
        <v>138</v>
      </c>
      <c r="E940" s="20" t="s">
        <v>23</v>
      </c>
      <c r="F940" s="20" t="n">
        <v>1</v>
      </c>
      <c r="G940" s="20" t="str">
        <f aca="false">CONCATENATE(B940, "-",C940, "-", D940, "-", F940)</f>
        <v>M0113-A-138-1</v>
      </c>
      <c r="H940" s="20" t="n">
        <v>231.59</v>
      </c>
      <c r="I940" s="20" t="n">
        <v>232.03</v>
      </c>
    </row>
    <row r="941" customFormat="false" ht="13.5" hidden="false" customHeight="true" outlineLevel="0" collapsed="false">
      <c r="A941" s="20" t="n">
        <v>501</v>
      </c>
      <c r="B941" s="20" t="s">
        <v>50</v>
      </c>
      <c r="C941" s="20" t="s">
        <v>22</v>
      </c>
      <c r="D941" s="20" t="n">
        <v>138</v>
      </c>
      <c r="E941" s="20" t="s">
        <v>23</v>
      </c>
      <c r="F941" s="20" t="n">
        <v>2</v>
      </c>
      <c r="G941" s="20" t="str">
        <f aca="false">CONCATENATE(B941, "-",C941, "-", D941, "-", F941)</f>
        <v>M0113-A-138-2</v>
      </c>
      <c r="H941" s="20" t="n">
        <v>232.03</v>
      </c>
      <c r="I941" s="20" t="n">
        <v>232.17</v>
      </c>
    </row>
    <row r="942" customFormat="false" ht="13.5" hidden="false" customHeight="true" outlineLevel="0" collapsed="false">
      <c r="A942" s="20" t="n">
        <v>501</v>
      </c>
      <c r="B942" s="20" t="s">
        <v>50</v>
      </c>
      <c r="C942" s="20" t="s">
        <v>22</v>
      </c>
      <c r="D942" s="20" t="n">
        <v>139</v>
      </c>
      <c r="E942" s="20" t="s">
        <v>23</v>
      </c>
      <c r="F942" s="20" t="n">
        <v>1</v>
      </c>
      <c r="G942" s="20" t="str">
        <f aca="false">CONCATENATE(B942, "-",C942, "-", D942, "-", F942)</f>
        <v>M0113-A-139-1</v>
      </c>
      <c r="H942" s="20" t="n">
        <v>232.17</v>
      </c>
      <c r="I942" s="20" t="n">
        <v>232.86</v>
      </c>
    </row>
    <row r="943" customFormat="false" ht="13.5" hidden="false" customHeight="true" outlineLevel="0" collapsed="false">
      <c r="A943" s="20" t="n">
        <v>501</v>
      </c>
      <c r="B943" s="20" t="s">
        <v>50</v>
      </c>
      <c r="C943" s="20" t="s">
        <v>22</v>
      </c>
      <c r="D943" s="20" t="n">
        <v>140</v>
      </c>
      <c r="E943" s="20" t="s">
        <v>28</v>
      </c>
      <c r="F943" s="20" t="n">
        <v>1</v>
      </c>
      <c r="G943" s="20" t="str">
        <f aca="false">CONCATENATE(B943, "-",C943, "-", D943, "-", F943)</f>
        <v>M0113-A-140-1</v>
      </c>
      <c r="H943" s="20" t="n">
        <v>232.86</v>
      </c>
      <c r="I943" s="20" t="n">
        <v>233.88</v>
      </c>
    </row>
    <row r="944" customFormat="false" ht="13.5" hidden="false" customHeight="true" outlineLevel="0" collapsed="false">
      <c r="A944" s="20" t="n">
        <v>501</v>
      </c>
      <c r="B944" s="20" t="s">
        <v>50</v>
      </c>
      <c r="C944" s="20" t="s">
        <v>22</v>
      </c>
      <c r="D944" s="20" t="n">
        <v>141</v>
      </c>
      <c r="E944" s="20" t="s">
        <v>28</v>
      </c>
      <c r="F944" s="20" t="n">
        <v>1</v>
      </c>
      <c r="G944" s="20" t="str">
        <f aca="false">CONCATENATE(B944, "-",C944, "-", D944, "-", F944)</f>
        <v>M0113-A-141-1</v>
      </c>
      <c r="H944" s="20" t="n">
        <v>233.49</v>
      </c>
      <c r="I944" s="20" t="n">
        <v>233.84</v>
      </c>
    </row>
    <row r="945" customFormat="false" ht="13.5" hidden="false" customHeight="true" outlineLevel="0" collapsed="false">
      <c r="A945" s="20" t="n">
        <v>501</v>
      </c>
      <c r="B945" s="20" t="s">
        <v>50</v>
      </c>
      <c r="C945" s="20" t="s">
        <v>22</v>
      </c>
      <c r="D945" s="20" t="n">
        <v>142</v>
      </c>
      <c r="E945" s="20" t="s">
        <v>28</v>
      </c>
      <c r="F945" s="20" t="n">
        <v>1</v>
      </c>
      <c r="G945" s="20" t="str">
        <f aca="false">CONCATENATE(B945, "-",C945, "-", D945, "-", F945)</f>
        <v>M0113-A-142-1</v>
      </c>
      <c r="H945" s="20" t="n">
        <v>234.99</v>
      </c>
      <c r="I945" s="20" t="n">
        <v>236.49</v>
      </c>
    </row>
    <row r="946" customFormat="false" ht="13.5" hidden="false" customHeight="true" outlineLevel="0" collapsed="false">
      <c r="A946" s="20" t="n">
        <v>501</v>
      </c>
      <c r="B946" s="20" t="s">
        <v>50</v>
      </c>
      <c r="C946" s="20" t="s">
        <v>22</v>
      </c>
      <c r="D946" s="20" t="n">
        <v>142</v>
      </c>
      <c r="E946" s="20" t="s">
        <v>28</v>
      </c>
      <c r="F946" s="20" t="n">
        <v>2</v>
      </c>
      <c r="G946" s="20" t="str">
        <f aca="false">CONCATENATE(B946, "-",C946, "-", D946, "-", F946)</f>
        <v>M0113-A-142-2</v>
      </c>
      <c r="H946" s="20" t="n">
        <v>236.49</v>
      </c>
      <c r="I946" s="20" t="n">
        <v>237.87</v>
      </c>
    </row>
    <row r="947" customFormat="false" ht="13.5" hidden="false" customHeight="true" outlineLevel="0" collapsed="false">
      <c r="A947" s="20" t="n">
        <v>501</v>
      </c>
      <c r="B947" s="20" t="s">
        <v>50</v>
      </c>
      <c r="C947" s="20" t="s">
        <v>22</v>
      </c>
      <c r="D947" s="20" t="n">
        <v>143</v>
      </c>
      <c r="E947" s="20" t="s">
        <v>28</v>
      </c>
      <c r="F947" s="20" t="n">
        <v>1</v>
      </c>
      <c r="G947" s="20" t="str">
        <f aca="false">CONCATENATE(B947, "-",C947, "-", D947, "-", F947)</f>
        <v>M0113-A-143-1</v>
      </c>
      <c r="H947" s="20" t="n">
        <v>236.49</v>
      </c>
      <c r="I947" s="20" t="n">
        <v>236.61</v>
      </c>
    </row>
    <row r="948" customFormat="false" ht="13.5" hidden="false" customHeight="true" outlineLevel="0" collapsed="false">
      <c r="A948" s="20" t="n">
        <v>501</v>
      </c>
      <c r="B948" s="20" t="s">
        <v>50</v>
      </c>
      <c r="C948" s="20" t="s">
        <v>22</v>
      </c>
      <c r="D948" s="20" t="n">
        <v>144</v>
      </c>
      <c r="E948" s="20" t="s">
        <v>28</v>
      </c>
      <c r="F948" s="20" t="n">
        <v>1</v>
      </c>
      <c r="G948" s="20" t="str">
        <f aca="false">CONCATENATE(B948, "-",C948, "-", D948, "-", F948)</f>
        <v>M0113-A-144-1</v>
      </c>
      <c r="H948" s="20" t="n">
        <v>236.49</v>
      </c>
      <c r="I948" s="20" t="n">
        <v>237.4</v>
      </c>
    </row>
    <row r="949" customFormat="false" ht="13.5" hidden="false" customHeight="true" outlineLevel="0" collapsed="false">
      <c r="A949" s="20" t="n">
        <v>501</v>
      </c>
      <c r="B949" s="20" t="s">
        <v>50</v>
      </c>
      <c r="C949" s="20" t="s">
        <v>22</v>
      </c>
      <c r="D949" s="20" t="n">
        <v>144</v>
      </c>
      <c r="E949" s="20" t="s">
        <v>28</v>
      </c>
      <c r="F949" s="20" t="n">
        <v>2</v>
      </c>
      <c r="G949" s="20" t="str">
        <f aca="false">CONCATENATE(B949, "-",C949, "-", D949, "-", F949)</f>
        <v>M0113-A-144-2</v>
      </c>
      <c r="H949" s="20" t="n">
        <v>237.4</v>
      </c>
      <c r="I949" s="20" t="n">
        <v>237.98</v>
      </c>
    </row>
    <row r="950" customFormat="false" ht="13.5" hidden="false" customHeight="true" outlineLevel="0" collapsed="false">
      <c r="A950" s="20" t="n">
        <v>501</v>
      </c>
      <c r="B950" s="20" t="s">
        <v>50</v>
      </c>
      <c r="C950" s="20" t="s">
        <v>22</v>
      </c>
      <c r="D950" s="20" t="n">
        <v>145</v>
      </c>
      <c r="E950" s="20" t="s">
        <v>28</v>
      </c>
      <c r="F950" s="20" t="n">
        <v>1</v>
      </c>
      <c r="G950" s="20" t="str">
        <f aca="false">CONCATENATE(B950, "-",C950, "-", D950, "-", F950)</f>
        <v>M0113-A-145-1</v>
      </c>
      <c r="H950" s="20" t="n">
        <v>237.99</v>
      </c>
      <c r="I950" s="20" t="n">
        <v>239.5</v>
      </c>
    </row>
    <row r="951" customFormat="false" ht="13.5" hidden="false" customHeight="true" outlineLevel="0" collapsed="false">
      <c r="A951" s="20" t="n">
        <v>501</v>
      </c>
      <c r="B951" s="20" t="s">
        <v>50</v>
      </c>
      <c r="C951" s="20" t="s">
        <v>22</v>
      </c>
      <c r="D951" s="20" t="n">
        <v>145</v>
      </c>
      <c r="E951" s="20" t="s">
        <v>28</v>
      </c>
      <c r="F951" s="20" t="n">
        <v>2</v>
      </c>
      <c r="G951" s="20" t="str">
        <f aca="false">CONCATENATE(B951, "-",C951, "-", D951, "-", F951)</f>
        <v>M0113-A-145-2</v>
      </c>
      <c r="H951" s="20" t="n">
        <v>239.5</v>
      </c>
      <c r="I951" s="20" t="n">
        <v>239.63</v>
      </c>
    </row>
    <row r="952" customFormat="false" ht="13.5" hidden="false" customHeight="true" outlineLevel="0" collapsed="false">
      <c r="A952" s="20" t="n">
        <v>501</v>
      </c>
      <c r="B952" s="20" t="s">
        <v>50</v>
      </c>
      <c r="C952" s="20" t="s">
        <v>22</v>
      </c>
      <c r="D952" s="20" t="n">
        <v>146</v>
      </c>
      <c r="E952" s="20" t="s">
        <v>28</v>
      </c>
      <c r="F952" s="20" t="n">
        <v>1</v>
      </c>
      <c r="G952" s="20" t="str">
        <f aca="false">CONCATENATE(B952, "-",C952, "-", D952, "-", F952)</f>
        <v>M0113-A-146-1</v>
      </c>
      <c r="H952" s="20" t="n">
        <v>239.49</v>
      </c>
      <c r="I952" s="20" t="n">
        <v>240.37</v>
      </c>
    </row>
    <row r="953" customFormat="false" ht="13.5" hidden="false" customHeight="true" outlineLevel="0" collapsed="false">
      <c r="A953" s="20" t="n">
        <v>501</v>
      </c>
      <c r="B953" s="20" t="s">
        <v>50</v>
      </c>
      <c r="C953" s="20" t="s">
        <v>22</v>
      </c>
      <c r="D953" s="20" t="n">
        <v>148</v>
      </c>
      <c r="E953" s="20" t="s">
        <v>28</v>
      </c>
      <c r="F953" s="20" t="n">
        <v>1</v>
      </c>
      <c r="G953" s="20" t="str">
        <f aca="false">CONCATENATE(B953, "-",C953, "-", D953, "-", F953)</f>
        <v>M0113-A-148-1</v>
      </c>
      <c r="H953" s="20" t="n">
        <v>242.49</v>
      </c>
      <c r="I953" s="20" t="n">
        <v>243.49</v>
      </c>
    </row>
    <row r="954" customFormat="false" ht="13.5" hidden="false" customHeight="true" outlineLevel="0" collapsed="false">
      <c r="A954" s="20" t="n">
        <v>501</v>
      </c>
      <c r="B954" s="20" t="s">
        <v>50</v>
      </c>
      <c r="C954" s="20" t="s">
        <v>22</v>
      </c>
      <c r="D954" s="20" t="n">
        <v>148</v>
      </c>
      <c r="E954" s="20" t="s">
        <v>28</v>
      </c>
      <c r="F954" s="20" t="n">
        <v>2</v>
      </c>
      <c r="G954" s="20" t="str">
        <f aca="false">CONCATENATE(B954, "-",C954, "-", D954, "-", F954)</f>
        <v>M0113-A-148-2</v>
      </c>
      <c r="H954" s="20" t="n">
        <v>243.49</v>
      </c>
      <c r="I954" s="20" t="n">
        <v>244.32</v>
      </c>
    </row>
    <row r="955" customFormat="false" ht="13.5" hidden="false" customHeight="true" outlineLevel="0" collapsed="false">
      <c r="A955" s="20" t="n">
        <v>501</v>
      </c>
      <c r="B955" s="20" t="s">
        <v>50</v>
      </c>
      <c r="C955" s="20" t="s">
        <v>22</v>
      </c>
      <c r="D955" s="20" t="n">
        <v>148</v>
      </c>
      <c r="E955" s="20" t="s">
        <v>28</v>
      </c>
      <c r="F955" s="20" t="n">
        <v>3</v>
      </c>
      <c r="G955" s="20" t="str">
        <f aca="false">CONCATENATE(B955, "-",C955, "-", D955, "-", F955)</f>
        <v>M0113-A-148-3</v>
      </c>
      <c r="H955" s="20" t="n">
        <v>244.32</v>
      </c>
      <c r="I955" s="20" t="n">
        <v>244.46</v>
      </c>
    </row>
    <row r="956" customFormat="false" ht="13.5" hidden="false" customHeight="true" outlineLevel="0" collapsed="false">
      <c r="A956" s="20" t="n">
        <v>501</v>
      </c>
      <c r="B956" s="20" t="s">
        <v>50</v>
      </c>
      <c r="C956" s="20" t="s">
        <v>22</v>
      </c>
      <c r="D956" s="20" t="n">
        <v>149</v>
      </c>
      <c r="E956" s="20" t="s">
        <v>28</v>
      </c>
      <c r="F956" s="20" t="n">
        <v>1</v>
      </c>
      <c r="G956" s="20" t="str">
        <f aca="false">CONCATENATE(B956, "-",C956, "-", D956, "-", F956)</f>
        <v>M0113-A-149-1</v>
      </c>
      <c r="H956" s="20" t="n">
        <v>243.99</v>
      </c>
      <c r="I956" s="20" t="n">
        <v>245.49</v>
      </c>
    </row>
    <row r="957" customFormat="false" ht="13.5" hidden="false" customHeight="true" outlineLevel="0" collapsed="false">
      <c r="A957" s="20" t="n">
        <v>501</v>
      </c>
      <c r="B957" s="20" t="s">
        <v>50</v>
      </c>
      <c r="C957" s="20" t="s">
        <v>22</v>
      </c>
      <c r="D957" s="20" t="n">
        <v>150</v>
      </c>
      <c r="E957" s="20" t="s">
        <v>28</v>
      </c>
      <c r="F957" s="20" t="n">
        <v>1</v>
      </c>
      <c r="G957" s="20" t="str">
        <f aca="false">CONCATENATE(B957, "-",C957, "-", D957, "-", F957)</f>
        <v>M0113-A-150-1</v>
      </c>
      <c r="H957" s="20" t="n">
        <v>245.49</v>
      </c>
      <c r="I957" s="20" t="n">
        <v>246.29</v>
      </c>
    </row>
    <row r="958" customFormat="false" ht="13.5" hidden="false" customHeight="true" outlineLevel="0" collapsed="false">
      <c r="A958" s="20" t="n">
        <v>501</v>
      </c>
      <c r="B958" s="20" t="s">
        <v>50</v>
      </c>
      <c r="C958" s="20" t="s">
        <v>22</v>
      </c>
      <c r="D958" s="20" t="n">
        <v>151</v>
      </c>
      <c r="E958" s="20" t="s">
        <v>28</v>
      </c>
      <c r="F958" s="20" t="n">
        <v>1</v>
      </c>
      <c r="G958" s="20" t="str">
        <f aca="false">CONCATENATE(B958, "-",C958, "-", D958, "-", F958)</f>
        <v>M0113-A-151-1</v>
      </c>
      <c r="H958" s="20" t="n">
        <v>246.99</v>
      </c>
      <c r="I958" s="20" t="n">
        <v>247.99</v>
      </c>
    </row>
    <row r="959" customFormat="false" ht="13.5" hidden="false" customHeight="true" outlineLevel="0" collapsed="false">
      <c r="A959" s="20" t="n">
        <v>501</v>
      </c>
      <c r="B959" s="20" t="s">
        <v>50</v>
      </c>
      <c r="C959" s="20" t="s">
        <v>22</v>
      </c>
      <c r="D959" s="20" t="n">
        <v>151</v>
      </c>
      <c r="E959" s="20" t="s">
        <v>28</v>
      </c>
      <c r="F959" s="20" t="n">
        <v>2</v>
      </c>
      <c r="G959" s="20" t="str">
        <f aca="false">CONCATENATE(B959, "-",C959, "-", D959, "-", F959)</f>
        <v>M0113-A-151-2</v>
      </c>
      <c r="H959" s="20" t="n">
        <v>247.99</v>
      </c>
      <c r="I959" s="20" t="n">
        <v>248.51</v>
      </c>
    </row>
    <row r="960" customFormat="false" ht="13.5" hidden="false" customHeight="true" outlineLevel="0" collapsed="false">
      <c r="A960" s="20" t="n">
        <v>501</v>
      </c>
      <c r="B960" s="20" t="s">
        <v>50</v>
      </c>
      <c r="C960" s="20" t="s">
        <v>22</v>
      </c>
      <c r="D960" s="20" t="n">
        <v>152</v>
      </c>
      <c r="E960" s="20" t="s">
        <v>28</v>
      </c>
      <c r="F960" s="20" t="n">
        <v>1</v>
      </c>
      <c r="G960" s="20" t="str">
        <f aca="false">CONCATENATE(B960, "-",C960, "-", D960, "-", F960)</f>
        <v>M0113-A-152-1</v>
      </c>
      <c r="H960" s="20" t="n">
        <v>248.49</v>
      </c>
      <c r="I960" s="20" t="n">
        <v>249.87</v>
      </c>
    </row>
    <row r="961" customFormat="false" ht="13.5" hidden="false" customHeight="true" outlineLevel="0" collapsed="false">
      <c r="A961" s="20" t="n">
        <v>501</v>
      </c>
      <c r="B961" s="20" t="s">
        <v>50</v>
      </c>
      <c r="C961" s="20" t="s">
        <v>22</v>
      </c>
      <c r="D961" s="20" t="n">
        <v>153</v>
      </c>
      <c r="E961" s="20" t="s">
        <v>28</v>
      </c>
      <c r="F961" s="20" t="n">
        <v>1</v>
      </c>
      <c r="G961" s="20" t="str">
        <f aca="false">CONCATENATE(B961, "-",C961, "-", D961, "-", F961)</f>
        <v>M0113-A-153-1</v>
      </c>
      <c r="H961" s="20" t="n">
        <v>249.99</v>
      </c>
      <c r="I961" s="20" t="n">
        <v>250.18</v>
      </c>
    </row>
    <row r="962" customFormat="false" ht="13.5" hidden="false" customHeight="true" outlineLevel="0" collapsed="false">
      <c r="A962" s="20" t="n">
        <v>501</v>
      </c>
      <c r="B962" s="20" t="s">
        <v>50</v>
      </c>
      <c r="C962" s="20" t="s">
        <v>22</v>
      </c>
      <c r="D962" s="20" t="n">
        <v>154</v>
      </c>
      <c r="E962" s="20" t="s">
        <v>28</v>
      </c>
      <c r="F962" s="20" t="n">
        <v>1</v>
      </c>
      <c r="G962" s="20" t="str">
        <f aca="false">CONCATENATE(B962, "-",C962, "-", D962, "-", F962)</f>
        <v>M0113-A-154-1</v>
      </c>
      <c r="H962" s="20" t="n">
        <v>250.84</v>
      </c>
      <c r="I962" s="20" t="n">
        <v>251.06</v>
      </c>
    </row>
    <row r="963" customFormat="false" ht="13.5" hidden="false" customHeight="true" outlineLevel="0" collapsed="false">
      <c r="A963" s="20" t="n">
        <v>501</v>
      </c>
      <c r="B963" s="20" t="s">
        <v>50</v>
      </c>
      <c r="C963" s="20" t="s">
        <v>22</v>
      </c>
      <c r="D963" s="20" t="n">
        <v>156</v>
      </c>
      <c r="E963" s="20" t="s">
        <v>23</v>
      </c>
      <c r="F963" s="20" t="n">
        <v>1</v>
      </c>
      <c r="G963" s="20" t="str">
        <f aca="false">CONCATENATE(B963, "-",C963, "-", D963, "-", F963)</f>
        <v>M0113-A-156-1</v>
      </c>
      <c r="H963" s="20" t="n">
        <v>252.99</v>
      </c>
      <c r="I963" s="20" t="n">
        <v>254.15</v>
      </c>
    </row>
    <row r="964" customFormat="false" ht="13.5" hidden="false" customHeight="true" outlineLevel="0" collapsed="false">
      <c r="A964" s="20" t="n">
        <v>501</v>
      </c>
      <c r="B964" s="20" t="s">
        <v>50</v>
      </c>
      <c r="C964" s="20" t="s">
        <v>22</v>
      </c>
      <c r="D964" s="20" t="n">
        <v>157</v>
      </c>
      <c r="E964" s="20" t="s">
        <v>23</v>
      </c>
      <c r="F964" s="20" t="n">
        <v>1</v>
      </c>
      <c r="G964" s="20" t="str">
        <f aca="false">CONCATENATE(B964, "-",C964, "-", D964, "-", F964)</f>
        <v>M0113-A-157-1</v>
      </c>
      <c r="H964" s="20" t="n">
        <v>254.15</v>
      </c>
      <c r="I964" s="20" t="n">
        <v>255.65</v>
      </c>
    </row>
    <row r="965" customFormat="false" ht="13.5" hidden="false" customHeight="true" outlineLevel="0" collapsed="false">
      <c r="A965" s="20" t="n">
        <v>501</v>
      </c>
      <c r="B965" s="20" t="s">
        <v>50</v>
      </c>
      <c r="C965" s="20" t="s">
        <v>22</v>
      </c>
      <c r="D965" s="20" t="n">
        <v>157</v>
      </c>
      <c r="E965" s="20" t="s">
        <v>23</v>
      </c>
      <c r="F965" s="20" t="n">
        <v>2</v>
      </c>
      <c r="G965" s="20" t="str">
        <f aca="false">CONCATENATE(B965, "-",C965, "-", D965, "-", F965)</f>
        <v>M0113-A-157-2</v>
      </c>
      <c r="H965" s="20" t="n">
        <v>255.65</v>
      </c>
      <c r="I965" s="20" t="n">
        <v>256.56</v>
      </c>
    </row>
    <row r="966" customFormat="false" ht="13.5" hidden="false" customHeight="true" outlineLevel="0" collapsed="false">
      <c r="A966" s="20" t="n">
        <v>501</v>
      </c>
      <c r="B966" s="20" t="s">
        <v>50</v>
      </c>
      <c r="C966" s="20" t="s">
        <v>22</v>
      </c>
      <c r="D966" s="20" t="n">
        <v>158</v>
      </c>
      <c r="E966" s="20" t="s">
        <v>48</v>
      </c>
      <c r="F966" s="20" t="n">
        <v>1</v>
      </c>
      <c r="G966" s="20" t="str">
        <f aca="false">CONCATENATE(B966, "-",C966, "-", D966, "-", F966)</f>
        <v>M0113-A-158-1</v>
      </c>
      <c r="H966" s="20" t="n">
        <v>234.56</v>
      </c>
      <c r="I966" s="20" t="n">
        <v>256.56</v>
      </c>
    </row>
    <row r="967" customFormat="false" ht="13.5" hidden="false" customHeight="true" outlineLevel="0" collapsed="false">
      <c r="A967" s="20" t="n">
        <v>501</v>
      </c>
      <c r="B967" s="20" t="s">
        <v>50</v>
      </c>
      <c r="C967" s="20" t="s">
        <v>22</v>
      </c>
      <c r="D967" s="20" t="n">
        <v>159</v>
      </c>
      <c r="E967" s="20" t="s">
        <v>23</v>
      </c>
      <c r="F967" s="20" t="n">
        <v>1</v>
      </c>
      <c r="G967" s="20" t="str">
        <f aca="false">CONCATENATE(B967, "-",C967, "-", D967, "-", F967)</f>
        <v>M0113-A-159-1</v>
      </c>
      <c r="H967" s="20" t="n">
        <v>256.56</v>
      </c>
      <c r="I967" s="20" t="n">
        <v>257.52</v>
      </c>
    </row>
    <row r="968" customFormat="false" ht="13.5" hidden="false" customHeight="true" outlineLevel="0" collapsed="false">
      <c r="A968" s="20" t="n">
        <v>501</v>
      </c>
      <c r="B968" s="20" t="s">
        <v>50</v>
      </c>
      <c r="C968" s="20" t="s">
        <v>22</v>
      </c>
      <c r="D968" s="20" t="n">
        <v>159</v>
      </c>
      <c r="E968" s="20" t="s">
        <v>23</v>
      </c>
      <c r="F968" s="20" t="n">
        <v>2</v>
      </c>
      <c r="G968" s="20" t="str">
        <f aca="false">CONCATENATE(B968, "-",C968, "-", D968, "-", F968)</f>
        <v>M0113-A-159-2</v>
      </c>
      <c r="H968" s="20" t="n">
        <v>257.52</v>
      </c>
      <c r="I968" s="20" t="n">
        <v>258.29</v>
      </c>
    </row>
    <row r="969" customFormat="false" ht="13.5" hidden="false" customHeight="true" outlineLevel="0" collapsed="false">
      <c r="A969" s="20" t="n">
        <v>501</v>
      </c>
      <c r="B969" s="20" t="s">
        <v>50</v>
      </c>
      <c r="C969" s="20" t="s">
        <v>22</v>
      </c>
      <c r="D969" s="20" t="n">
        <v>160</v>
      </c>
      <c r="E969" s="20" t="s">
        <v>23</v>
      </c>
      <c r="F969" s="20" t="n">
        <v>1</v>
      </c>
      <c r="G969" s="20" t="str">
        <f aca="false">CONCATENATE(B969, "-",C969, "-", D969, "-", F969)</f>
        <v>M0113-A-160-1</v>
      </c>
      <c r="H969" s="20" t="n">
        <v>258.29</v>
      </c>
      <c r="I969" s="20" t="n">
        <v>259.29</v>
      </c>
    </row>
    <row r="970" customFormat="false" ht="13.5" hidden="false" customHeight="true" outlineLevel="0" collapsed="false">
      <c r="A970" s="20" t="n">
        <v>501</v>
      </c>
      <c r="B970" s="20" t="s">
        <v>50</v>
      </c>
      <c r="C970" s="20" t="s">
        <v>22</v>
      </c>
      <c r="D970" s="20" t="n">
        <v>160</v>
      </c>
      <c r="E970" s="20" t="s">
        <v>23</v>
      </c>
      <c r="F970" s="20" t="n">
        <v>2</v>
      </c>
      <c r="G970" s="20" t="str">
        <f aca="false">CONCATENATE(B970, "-",C970, "-", D970, "-", F970)</f>
        <v>M0113-A-160-2</v>
      </c>
      <c r="H970" s="20" t="n">
        <v>259.29</v>
      </c>
      <c r="I970" s="20" t="n">
        <v>259.98</v>
      </c>
    </row>
    <row r="971" customFormat="false" ht="13.5" hidden="false" customHeight="true" outlineLevel="0" collapsed="false">
      <c r="A971" s="20" t="n">
        <v>501</v>
      </c>
      <c r="B971" s="20" t="s">
        <v>50</v>
      </c>
      <c r="C971" s="20" t="s">
        <v>22</v>
      </c>
      <c r="D971" s="20" t="n">
        <v>161</v>
      </c>
      <c r="E971" s="20" t="s">
        <v>23</v>
      </c>
      <c r="F971" s="20" t="n">
        <v>1</v>
      </c>
      <c r="G971" s="20" t="str">
        <f aca="false">CONCATENATE(B971, "-",C971, "-", D971, "-", F971)</f>
        <v>M0113-A-161-1</v>
      </c>
      <c r="H971" s="20" t="n">
        <v>259.98</v>
      </c>
      <c r="I971" s="20" t="n">
        <v>260.13</v>
      </c>
    </row>
    <row r="972" customFormat="false" ht="13.5" hidden="false" customHeight="true" outlineLevel="0" collapsed="false">
      <c r="A972" s="20" t="n">
        <v>501</v>
      </c>
      <c r="B972" s="20" t="s">
        <v>50</v>
      </c>
      <c r="C972" s="20" t="s">
        <v>22</v>
      </c>
      <c r="D972" s="20" t="n">
        <v>163</v>
      </c>
      <c r="E972" s="20" t="s">
        <v>23</v>
      </c>
      <c r="F972" s="20" t="n">
        <v>1</v>
      </c>
      <c r="G972" s="20" t="str">
        <f aca="false">CONCATENATE(B972, "-",C972, "-", D972, "-", F972)</f>
        <v>M0113-A-163-1</v>
      </c>
      <c r="H972" s="20" t="n">
        <v>261.63</v>
      </c>
      <c r="I972" s="20" t="n">
        <v>262.49</v>
      </c>
    </row>
    <row r="973" customFormat="false" ht="13.5" hidden="false" customHeight="true" outlineLevel="0" collapsed="false">
      <c r="A973" s="20" t="n">
        <v>501</v>
      </c>
      <c r="B973" s="20" t="s">
        <v>50</v>
      </c>
      <c r="C973" s="20" t="s">
        <v>22</v>
      </c>
      <c r="D973" s="20" t="n">
        <v>164</v>
      </c>
      <c r="E973" s="20" t="s">
        <v>23</v>
      </c>
      <c r="F973" s="20" t="n">
        <v>1</v>
      </c>
      <c r="G973" s="20" t="str">
        <f aca="false">CONCATENATE(B973, "-",C973, "-", D973, "-", F973)</f>
        <v>M0113-A-164-1</v>
      </c>
      <c r="H973" s="20" t="n">
        <v>262.49</v>
      </c>
      <c r="I973" s="20" t="n">
        <v>262.92</v>
      </c>
    </row>
    <row r="974" customFormat="false" ht="13.5" hidden="false" customHeight="true" outlineLevel="0" collapsed="false">
      <c r="A974" s="20" t="n">
        <v>501</v>
      </c>
      <c r="B974" s="20" t="s">
        <v>50</v>
      </c>
      <c r="C974" s="20" t="s">
        <v>22</v>
      </c>
      <c r="D974" s="20" t="n">
        <v>165</v>
      </c>
      <c r="E974" s="20" t="s">
        <v>23</v>
      </c>
      <c r="F974" s="20" t="n">
        <v>1</v>
      </c>
      <c r="G974" s="20" t="str">
        <f aca="false">CONCATENATE(B974, "-",C974, "-", D974, "-", F974)</f>
        <v>M0113-A-165-1</v>
      </c>
      <c r="H974" s="20" t="n">
        <v>262.92</v>
      </c>
      <c r="I974" s="20" t="n">
        <v>264.36</v>
      </c>
    </row>
    <row r="975" customFormat="false" ht="13.5" hidden="false" customHeight="true" outlineLevel="0" collapsed="false">
      <c r="A975" s="20" t="n">
        <v>501</v>
      </c>
      <c r="B975" s="20" t="s">
        <v>50</v>
      </c>
      <c r="C975" s="20" t="s">
        <v>22</v>
      </c>
      <c r="D975" s="20" t="n">
        <v>165</v>
      </c>
      <c r="E975" s="20" t="s">
        <v>23</v>
      </c>
      <c r="F975" s="20" t="n">
        <v>2</v>
      </c>
      <c r="G975" s="20" t="str">
        <f aca="false">CONCATENATE(B975, "-",C975, "-", D975, "-", F975)</f>
        <v>M0113-A-165-2</v>
      </c>
      <c r="H975" s="20" t="n">
        <v>264.36</v>
      </c>
      <c r="I975" s="20" t="n">
        <v>265.06</v>
      </c>
    </row>
    <row r="976" customFormat="false" ht="13.5" hidden="false" customHeight="true" outlineLevel="0" collapsed="false">
      <c r="A976" s="20" t="n">
        <v>501</v>
      </c>
      <c r="B976" s="20" t="s">
        <v>50</v>
      </c>
      <c r="C976" s="20" t="s">
        <v>22</v>
      </c>
      <c r="D976" s="20" t="n">
        <v>166</v>
      </c>
      <c r="E976" s="20" t="s">
        <v>23</v>
      </c>
      <c r="F976" s="20" t="n">
        <v>1</v>
      </c>
      <c r="G976" s="20" t="str">
        <f aca="false">CONCATENATE(B976, "-",C976, "-", D976, "-", F976)</f>
        <v>M0113-A-166-1</v>
      </c>
      <c r="H976" s="20" t="n">
        <v>265.06</v>
      </c>
      <c r="I976" s="20" t="n">
        <v>266.06</v>
      </c>
    </row>
    <row r="977" customFormat="false" ht="13.5" hidden="false" customHeight="true" outlineLevel="0" collapsed="false">
      <c r="A977" s="20" t="n">
        <v>501</v>
      </c>
      <c r="B977" s="20" t="s">
        <v>50</v>
      </c>
      <c r="C977" s="20" t="s">
        <v>22</v>
      </c>
      <c r="D977" s="20" t="n">
        <v>166</v>
      </c>
      <c r="E977" s="20" t="s">
        <v>23</v>
      </c>
      <c r="F977" s="20" t="n">
        <v>2</v>
      </c>
      <c r="G977" s="20" t="str">
        <f aca="false">CONCATENATE(B977, "-",C977, "-", D977, "-", F977)</f>
        <v>M0113-A-166-2</v>
      </c>
      <c r="H977" s="20" t="n">
        <v>266.06</v>
      </c>
      <c r="I977" s="20" t="n">
        <v>266.78</v>
      </c>
    </row>
    <row r="978" customFormat="false" ht="13.5" hidden="false" customHeight="true" outlineLevel="0" collapsed="false">
      <c r="A978" s="20" t="n">
        <v>501</v>
      </c>
      <c r="B978" s="20" t="s">
        <v>50</v>
      </c>
      <c r="C978" s="20" t="s">
        <v>22</v>
      </c>
      <c r="D978" s="20" t="n">
        <v>167</v>
      </c>
      <c r="E978" s="20" t="s">
        <v>23</v>
      </c>
      <c r="F978" s="20" t="n">
        <v>1</v>
      </c>
      <c r="G978" s="20" t="str">
        <f aca="false">CONCATENATE(B978, "-",C978, "-", D978, "-", F978)</f>
        <v>M0113-A-167-1</v>
      </c>
      <c r="H978" s="20" t="n">
        <v>266.78</v>
      </c>
      <c r="I978" s="20" t="n">
        <v>268.28</v>
      </c>
    </row>
    <row r="979" customFormat="false" ht="13.5" hidden="false" customHeight="true" outlineLevel="0" collapsed="false">
      <c r="A979" s="20" t="n">
        <v>501</v>
      </c>
      <c r="B979" s="20" t="s">
        <v>50</v>
      </c>
      <c r="C979" s="20" t="s">
        <v>22</v>
      </c>
      <c r="D979" s="20" t="n">
        <v>167</v>
      </c>
      <c r="E979" s="20" t="s">
        <v>23</v>
      </c>
      <c r="F979" s="20" t="n">
        <v>2</v>
      </c>
      <c r="G979" s="20" t="str">
        <f aca="false">CONCATENATE(B979, "-",C979, "-", D979, "-", F979)</f>
        <v>M0113-A-167-2</v>
      </c>
      <c r="H979" s="20" t="n">
        <v>268.28</v>
      </c>
      <c r="I979" s="20" t="n">
        <v>269.03</v>
      </c>
    </row>
    <row r="980" customFormat="false" ht="13.5" hidden="false" customHeight="true" outlineLevel="0" collapsed="false">
      <c r="A980" s="20" t="n">
        <v>501</v>
      </c>
      <c r="B980" s="20" t="s">
        <v>50</v>
      </c>
      <c r="C980" s="20" t="s">
        <v>22</v>
      </c>
      <c r="D980" s="20" t="n">
        <v>168</v>
      </c>
      <c r="E980" s="20" t="s">
        <v>23</v>
      </c>
      <c r="F980" s="20" t="n">
        <v>1</v>
      </c>
      <c r="G980" s="20" t="str">
        <f aca="false">CONCATENATE(B980, "-",C980, "-", D980, "-", F980)</f>
        <v>M0113-A-168-1</v>
      </c>
      <c r="H980" s="20" t="n">
        <v>269.03</v>
      </c>
      <c r="I980" s="20" t="n">
        <v>270.53</v>
      </c>
    </row>
    <row r="981" customFormat="false" ht="13.5" hidden="false" customHeight="true" outlineLevel="0" collapsed="false">
      <c r="A981" s="20" t="n">
        <v>501</v>
      </c>
      <c r="B981" s="20" t="s">
        <v>50</v>
      </c>
      <c r="C981" s="20" t="s">
        <v>22</v>
      </c>
      <c r="D981" s="20" t="n">
        <v>168</v>
      </c>
      <c r="E981" s="20" t="s">
        <v>23</v>
      </c>
      <c r="F981" s="20" t="n">
        <v>2</v>
      </c>
      <c r="G981" s="20" t="str">
        <f aca="false">CONCATENATE(B981, "-",C981, "-", D981, "-", F981)</f>
        <v>M0113-A-168-2</v>
      </c>
      <c r="H981" s="20" t="n">
        <v>270.53</v>
      </c>
      <c r="I981" s="20" t="n">
        <v>270.95</v>
      </c>
    </row>
    <row r="982" customFormat="false" ht="13.5" hidden="false" customHeight="true" outlineLevel="0" collapsed="false">
      <c r="A982" s="20" t="n">
        <v>501</v>
      </c>
      <c r="B982" s="20" t="s">
        <v>50</v>
      </c>
      <c r="C982" s="20" t="s">
        <v>22</v>
      </c>
      <c r="D982" s="20" t="n">
        <v>169</v>
      </c>
      <c r="E982" s="20" t="s">
        <v>23</v>
      </c>
      <c r="F982" s="20" t="n">
        <v>1</v>
      </c>
      <c r="G982" s="20" t="str">
        <f aca="false">CONCATENATE(B982, "-",C982, "-", D982, "-", F982)</f>
        <v>M0113-A-169-1</v>
      </c>
      <c r="H982" s="20" t="n">
        <v>270.95</v>
      </c>
      <c r="I982" s="20" t="n">
        <v>272.2</v>
      </c>
    </row>
    <row r="983" customFormat="false" ht="13.5" hidden="false" customHeight="true" outlineLevel="0" collapsed="false">
      <c r="A983" s="20" t="n">
        <v>501</v>
      </c>
      <c r="B983" s="20" t="s">
        <v>50</v>
      </c>
      <c r="C983" s="20" t="s">
        <v>22</v>
      </c>
      <c r="D983" s="20" t="n">
        <v>169</v>
      </c>
      <c r="E983" s="20" t="s">
        <v>23</v>
      </c>
      <c r="F983" s="20" t="n">
        <v>2</v>
      </c>
      <c r="G983" s="20" t="str">
        <f aca="false">CONCATENATE(B983, "-",C983, "-", D983, "-", F983)</f>
        <v>M0113-A-169-2</v>
      </c>
      <c r="H983" s="20" t="n">
        <v>272.2</v>
      </c>
      <c r="I983" s="20" t="n">
        <v>272.96</v>
      </c>
    </row>
    <row r="984" customFormat="false" ht="13.5" hidden="false" customHeight="true" outlineLevel="0" collapsed="false">
      <c r="A984" s="20" t="n">
        <v>501</v>
      </c>
      <c r="B984" s="20" t="s">
        <v>50</v>
      </c>
      <c r="C984" s="20" t="s">
        <v>22</v>
      </c>
      <c r="D984" s="20" t="n">
        <v>170</v>
      </c>
      <c r="E984" s="20" t="s">
        <v>48</v>
      </c>
      <c r="F984" s="20" t="n">
        <v>1</v>
      </c>
      <c r="G984" s="20" t="str">
        <f aca="false">CONCATENATE(B984, "-",C984, "-", D984, "-", F984)</f>
        <v>M0113-A-170-1</v>
      </c>
      <c r="H984" s="20" t="n">
        <v>248.96</v>
      </c>
      <c r="I984" s="20" t="n">
        <v>272.96</v>
      </c>
    </row>
    <row r="985" customFormat="false" ht="13.5" hidden="false" customHeight="true" outlineLevel="0" collapsed="false">
      <c r="A985" s="20" t="n">
        <v>501</v>
      </c>
      <c r="B985" s="20" t="s">
        <v>50</v>
      </c>
      <c r="C985" s="20" t="s">
        <v>22</v>
      </c>
      <c r="D985" s="20" t="n">
        <v>171</v>
      </c>
      <c r="E985" s="20" t="s">
        <v>23</v>
      </c>
      <c r="F985" s="20" t="n">
        <v>1</v>
      </c>
      <c r="G985" s="20" t="str">
        <f aca="false">CONCATENATE(B985, "-",C985, "-", D985, "-", F985)</f>
        <v>M0113-A-171-1</v>
      </c>
      <c r="H985" s="20" t="n">
        <v>272.96</v>
      </c>
      <c r="I985" s="20" t="n">
        <v>274.46</v>
      </c>
    </row>
    <row r="986" customFormat="false" ht="13.5" hidden="false" customHeight="true" outlineLevel="0" collapsed="false">
      <c r="A986" s="20" t="n">
        <v>501</v>
      </c>
      <c r="B986" s="20" t="s">
        <v>50</v>
      </c>
      <c r="C986" s="20" t="s">
        <v>22</v>
      </c>
      <c r="D986" s="20" t="n">
        <v>172</v>
      </c>
      <c r="E986" s="20" t="s">
        <v>23</v>
      </c>
      <c r="F986" s="20" t="n">
        <v>1</v>
      </c>
      <c r="G986" s="20" t="str">
        <f aca="false">CONCATENATE(B986, "-",C986, "-", D986, "-", F986)</f>
        <v>M0113-A-172-1</v>
      </c>
      <c r="H986" s="20" t="n">
        <v>274.46</v>
      </c>
      <c r="I986" s="20" t="n">
        <v>274.98</v>
      </c>
    </row>
    <row r="987" customFormat="false" ht="13.5" hidden="false" customHeight="true" outlineLevel="0" collapsed="false">
      <c r="A987" s="20" t="n">
        <v>501</v>
      </c>
      <c r="B987" s="20" t="s">
        <v>50</v>
      </c>
      <c r="C987" s="20" t="s">
        <v>22</v>
      </c>
      <c r="D987" s="20" t="n">
        <v>172</v>
      </c>
      <c r="E987" s="20" t="s">
        <v>23</v>
      </c>
      <c r="F987" s="20" t="n">
        <v>2</v>
      </c>
      <c r="G987" s="20" t="str">
        <f aca="false">CONCATENATE(B987, "-",C987, "-", D987, "-", F987)</f>
        <v>M0113-A-172-2</v>
      </c>
      <c r="H987" s="20" t="n">
        <v>274.98</v>
      </c>
      <c r="I987" s="20" t="n">
        <v>275.98</v>
      </c>
    </row>
    <row r="988" customFormat="false" ht="13.5" hidden="false" customHeight="true" outlineLevel="0" collapsed="false">
      <c r="A988" s="20" t="n">
        <v>501</v>
      </c>
      <c r="B988" s="20" t="s">
        <v>50</v>
      </c>
      <c r="C988" s="20" t="s">
        <v>22</v>
      </c>
      <c r="D988" s="20" t="n">
        <v>172</v>
      </c>
      <c r="E988" s="20" t="s">
        <v>23</v>
      </c>
      <c r="F988" s="20" t="n">
        <v>3</v>
      </c>
      <c r="G988" s="20" t="str">
        <f aca="false">CONCATENATE(B988, "-",C988, "-", D988, "-", F988)</f>
        <v>M0113-A-172-3</v>
      </c>
      <c r="H988" s="20" t="n">
        <v>275.98</v>
      </c>
      <c r="I988" s="20" t="n">
        <v>276.78</v>
      </c>
    </row>
    <row r="989" customFormat="false" ht="13.5" hidden="false" customHeight="true" outlineLevel="0" collapsed="false">
      <c r="A989" s="20" t="n">
        <v>501</v>
      </c>
      <c r="B989" s="20" t="s">
        <v>50</v>
      </c>
      <c r="C989" s="20" t="s">
        <v>22</v>
      </c>
      <c r="D989" s="20" t="n">
        <v>172</v>
      </c>
      <c r="E989" s="20" t="s">
        <v>23</v>
      </c>
      <c r="F989" s="20" t="n">
        <v>4</v>
      </c>
      <c r="G989" s="20" t="str">
        <f aca="false">CONCATENATE(B989, "-",C989, "-", D989, "-", F989)</f>
        <v>M0113-A-172-4</v>
      </c>
      <c r="H989" s="20" t="n">
        <v>276.78</v>
      </c>
      <c r="I989" s="20" t="n">
        <v>276.84</v>
      </c>
    </row>
    <row r="990" customFormat="false" ht="13.5" hidden="false" customHeight="true" outlineLevel="0" collapsed="false">
      <c r="A990" s="20" t="n">
        <v>501</v>
      </c>
      <c r="B990" s="20" t="s">
        <v>50</v>
      </c>
      <c r="C990" s="20" t="s">
        <v>22</v>
      </c>
      <c r="D990" s="20" t="n">
        <v>173</v>
      </c>
      <c r="E990" s="20" t="s">
        <v>23</v>
      </c>
      <c r="F990" s="20" t="n">
        <v>1</v>
      </c>
      <c r="G990" s="20" t="str">
        <f aca="false">CONCATENATE(B990, "-",C990, "-", D990, "-", F990)</f>
        <v>M0113-A-173-1</v>
      </c>
      <c r="H990" s="20" t="n">
        <v>276.84</v>
      </c>
      <c r="I990" s="20" t="n">
        <v>277.73</v>
      </c>
    </row>
    <row r="991" customFormat="false" ht="13.5" hidden="false" customHeight="true" outlineLevel="0" collapsed="false">
      <c r="A991" s="20" t="n">
        <v>501</v>
      </c>
      <c r="B991" s="20" t="s">
        <v>50</v>
      </c>
      <c r="C991" s="20" t="s">
        <v>22</v>
      </c>
      <c r="D991" s="20" t="n">
        <v>174</v>
      </c>
      <c r="E991" s="20" t="s">
        <v>23</v>
      </c>
      <c r="F991" s="20" t="n">
        <v>1</v>
      </c>
      <c r="G991" s="20" t="str">
        <f aca="false">CONCATENATE(B991, "-",C991, "-", D991, "-", F991)</f>
        <v>M0113-A-174-1</v>
      </c>
      <c r="H991" s="20" t="n">
        <v>277.73</v>
      </c>
      <c r="I991" s="20" t="n">
        <v>277.74</v>
      </c>
    </row>
    <row r="992" customFormat="false" ht="13.5" hidden="false" customHeight="true" outlineLevel="0" collapsed="false">
      <c r="A992" s="20" t="n">
        <v>501</v>
      </c>
      <c r="B992" s="20" t="s">
        <v>50</v>
      </c>
      <c r="C992" s="20" t="s">
        <v>22</v>
      </c>
      <c r="D992" s="20" t="n">
        <v>175</v>
      </c>
      <c r="E992" s="20" t="s">
        <v>28</v>
      </c>
      <c r="F992" s="20" t="n">
        <v>1</v>
      </c>
      <c r="G992" s="20" t="str">
        <f aca="false">CONCATENATE(B992, "-",C992, "-", D992, "-", F992)</f>
        <v>M0113-A-175-1</v>
      </c>
      <c r="H992" s="20" t="n">
        <v>277.74</v>
      </c>
      <c r="I992" s="20" t="n">
        <v>278.99</v>
      </c>
    </row>
    <row r="993" customFormat="false" ht="13.5" hidden="false" customHeight="true" outlineLevel="0" collapsed="false">
      <c r="A993" s="20" t="n">
        <v>501</v>
      </c>
      <c r="B993" s="20" t="s">
        <v>50</v>
      </c>
      <c r="C993" s="20" t="s">
        <v>22</v>
      </c>
      <c r="D993" s="20" t="n">
        <v>176</v>
      </c>
      <c r="E993" s="20" t="s">
        <v>28</v>
      </c>
      <c r="F993" s="20" t="n">
        <v>1</v>
      </c>
      <c r="G993" s="20" t="str">
        <f aca="false">CONCATENATE(B993, "-",C993, "-", D993, "-", F993)</f>
        <v>M0113-A-176-1</v>
      </c>
      <c r="H993" s="20" t="n">
        <v>279.74</v>
      </c>
      <c r="I993" s="20" t="n">
        <v>280.13</v>
      </c>
    </row>
    <row r="994" customFormat="false" ht="13.5" hidden="false" customHeight="true" outlineLevel="0" collapsed="false">
      <c r="A994" s="20" t="n">
        <v>501</v>
      </c>
      <c r="B994" s="20" t="s">
        <v>50</v>
      </c>
      <c r="C994" s="20" t="s">
        <v>22</v>
      </c>
      <c r="D994" s="20" t="n">
        <v>177</v>
      </c>
      <c r="E994" s="20" t="s">
        <v>23</v>
      </c>
      <c r="F994" s="20" t="n">
        <v>1</v>
      </c>
      <c r="G994" s="20" t="str">
        <f aca="false">CONCATENATE(B994, "-",C994, "-", D994, "-", F994)</f>
        <v>M0113-A-177-1</v>
      </c>
      <c r="H994" s="20" t="n">
        <v>281.49</v>
      </c>
      <c r="I994" s="20" t="n">
        <v>282.28</v>
      </c>
    </row>
    <row r="995" customFormat="false" ht="13.5" hidden="false" customHeight="true" outlineLevel="0" collapsed="false">
      <c r="A995" s="20" t="n">
        <v>501</v>
      </c>
      <c r="B995" s="20" t="s">
        <v>50</v>
      </c>
      <c r="C995" s="20" t="s">
        <v>22</v>
      </c>
      <c r="D995" s="20" t="n">
        <v>177</v>
      </c>
      <c r="E995" s="20" t="s">
        <v>23</v>
      </c>
      <c r="F995" s="20" t="n">
        <v>2</v>
      </c>
      <c r="G995" s="20" t="str">
        <f aca="false">CONCATENATE(B995, "-",C995, "-", D995, "-", F995)</f>
        <v>M0113-A-177-2</v>
      </c>
      <c r="H995" s="20" t="n">
        <v>282.28</v>
      </c>
      <c r="I995" s="20" t="n">
        <v>282.89</v>
      </c>
    </row>
    <row r="996" customFormat="false" ht="13.5" hidden="false" customHeight="true" outlineLevel="0" collapsed="false">
      <c r="A996" s="20" t="n">
        <v>501</v>
      </c>
      <c r="B996" s="20" t="s">
        <v>50</v>
      </c>
      <c r="C996" s="20" t="s">
        <v>22</v>
      </c>
      <c r="D996" s="20" t="n">
        <v>178</v>
      </c>
      <c r="E996" s="20" t="s">
        <v>23</v>
      </c>
      <c r="F996" s="20" t="n">
        <v>1</v>
      </c>
      <c r="G996" s="20" t="str">
        <f aca="false">CONCATENATE(B996, "-",C996, "-", D996, "-", F996)</f>
        <v>M0113-A-178-1</v>
      </c>
      <c r="H996" s="20" t="n">
        <v>282.89</v>
      </c>
      <c r="I996" s="20" t="n">
        <v>284.29</v>
      </c>
    </row>
    <row r="997" customFormat="false" ht="13.5" hidden="false" customHeight="true" outlineLevel="0" collapsed="false">
      <c r="A997" s="20" t="n">
        <v>501</v>
      </c>
      <c r="B997" s="20" t="s">
        <v>50</v>
      </c>
      <c r="C997" s="20" t="s">
        <v>22</v>
      </c>
      <c r="D997" s="20" t="n">
        <v>178</v>
      </c>
      <c r="E997" s="20" t="s">
        <v>23</v>
      </c>
      <c r="F997" s="20" t="n">
        <v>2</v>
      </c>
      <c r="G997" s="20" t="str">
        <f aca="false">CONCATENATE(B997, "-",C997, "-", D997, "-", F997)</f>
        <v>M0113-A-178-2</v>
      </c>
      <c r="H997" s="20" t="n">
        <v>284.29</v>
      </c>
      <c r="I997" s="20" t="n">
        <v>284.79</v>
      </c>
    </row>
    <row r="998" customFormat="false" ht="13.5" hidden="false" customHeight="true" outlineLevel="0" collapsed="false">
      <c r="A998" s="20" t="n">
        <v>501</v>
      </c>
      <c r="B998" s="20" t="s">
        <v>50</v>
      </c>
      <c r="C998" s="20" t="s">
        <v>22</v>
      </c>
      <c r="D998" s="20" t="n">
        <v>179</v>
      </c>
      <c r="E998" s="20" t="s">
        <v>23</v>
      </c>
      <c r="F998" s="20" t="n">
        <v>1</v>
      </c>
      <c r="G998" s="20" t="str">
        <f aca="false">CONCATENATE(B998, "-",C998, "-", D998, "-", F998)</f>
        <v>M0113-A-179-1</v>
      </c>
      <c r="H998" s="20" t="n">
        <v>284.79</v>
      </c>
      <c r="I998" s="20" t="n">
        <v>285.55</v>
      </c>
    </row>
    <row r="999" customFormat="false" ht="13.5" hidden="false" customHeight="true" outlineLevel="0" collapsed="false">
      <c r="A999" s="20" t="n">
        <v>501</v>
      </c>
      <c r="B999" s="20" t="s">
        <v>50</v>
      </c>
      <c r="C999" s="20" t="s">
        <v>22</v>
      </c>
      <c r="D999" s="20" t="n">
        <v>179</v>
      </c>
      <c r="E999" s="20" t="s">
        <v>23</v>
      </c>
      <c r="F999" s="20" t="n">
        <v>2</v>
      </c>
      <c r="G999" s="20" t="str">
        <f aca="false">CONCATENATE(B999, "-",C999, "-", D999, "-", F999)</f>
        <v>M0113-A-179-2</v>
      </c>
      <c r="H999" s="20" t="n">
        <v>285.55</v>
      </c>
      <c r="I999" s="20" t="n">
        <v>286.09</v>
      </c>
    </row>
    <row r="1000" customFormat="false" ht="13.5" hidden="false" customHeight="true" outlineLevel="0" collapsed="false">
      <c r="A1000" s="20" t="n">
        <v>501</v>
      </c>
      <c r="B1000" s="20" t="s">
        <v>50</v>
      </c>
      <c r="C1000" s="20" t="s">
        <v>22</v>
      </c>
      <c r="D1000" s="20" t="n">
        <v>180</v>
      </c>
      <c r="E1000" s="20" t="s">
        <v>23</v>
      </c>
      <c r="F1000" s="20" t="n">
        <v>1</v>
      </c>
      <c r="G1000" s="20" t="str">
        <f aca="false">CONCATENATE(B1000, "-",C1000, "-", D1000, "-", F1000)</f>
        <v>M0113-A-180-1</v>
      </c>
      <c r="H1000" s="20" t="n">
        <v>286.09</v>
      </c>
      <c r="I1000" s="20" t="n">
        <v>286.99</v>
      </c>
    </row>
    <row r="1001" customFormat="false" ht="13.5" hidden="false" customHeight="true" outlineLevel="0" collapsed="false">
      <c r="A1001" s="20" t="n">
        <v>501</v>
      </c>
      <c r="B1001" s="20" t="s">
        <v>50</v>
      </c>
      <c r="C1001" s="20" t="s">
        <v>22</v>
      </c>
      <c r="D1001" s="20" t="n">
        <v>181</v>
      </c>
      <c r="E1001" s="20" t="s">
        <v>23</v>
      </c>
      <c r="F1001" s="20" t="n">
        <v>1</v>
      </c>
      <c r="G1001" s="20" t="str">
        <f aca="false">CONCATENATE(B1001, "-",C1001, "-", D1001, "-", F1001)</f>
        <v>M0113-A-181-1</v>
      </c>
      <c r="H1001" s="20" t="n">
        <v>286.99</v>
      </c>
      <c r="I1001" s="20" t="n">
        <v>288.4</v>
      </c>
    </row>
    <row r="1002" customFormat="false" ht="13.5" hidden="false" customHeight="true" outlineLevel="0" collapsed="false">
      <c r="A1002" s="20" t="n">
        <v>501</v>
      </c>
      <c r="B1002" s="20" t="s">
        <v>50</v>
      </c>
      <c r="C1002" s="20" t="s">
        <v>22</v>
      </c>
      <c r="D1002" s="20" t="n">
        <v>182</v>
      </c>
      <c r="E1002" s="20" t="s">
        <v>23</v>
      </c>
      <c r="F1002" s="20" t="n">
        <v>1</v>
      </c>
      <c r="G1002" s="20" t="str">
        <f aca="false">CONCATENATE(B1002, "-",C1002, "-", D1002, "-", F1002)</f>
        <v>M0113-A-182-1</v>
      </c>
      <c r="H1002" s="20" t="n">
        <v>288.4</v>
      </c>
      <c r="I1002" s="20" t="n">
        <v>289.9</v>
      </c>
    </row>
    <row r="1003" customFormat="false" ht="13.5" hidden="false" customHeight="true" outlineLevel="0" collapsed="false">
      <c r="A1003" s="20" t="n">
        <v>501</v>
      </c>
      <c r="B1003" s="20" t="s">
        <v>50</v>
      </c>
      <c r="C1003" s="20" t="s">
        <v>22</v>
      </c>
      <c r="D1003" s="20" t="n">
        <v>182</v>
      </c>
      <c r="E1003" s="20" t="s">
        <v>23</v>
      </c>
      <c r="F1003" s="20" t="n">
        <v>2</v>
      </c>
      <c r="G1003" s="20" t="str">
        <f aca="false">CONCATENATE(B1003, "-",C1003, "-", D1003, "-", F1003)</f>
        <v>M0113-A-182-2</v>
      </c>
      <c r="H1003" s="20" t="n">
        <v>289.9</v>
      </c>
      <c r="I1003" s="20" t="n">
        <v>290.66</v>
      </c>
    </row>
    <row r="1004" customFormat="false" ht="13.5" hidden="false" customHeight="true" outlineLevel="0" collapsed="false">
      <c r="A1004" s="20" t="n">
        <v>501</v>
      </c>
      <c r="B1004" s="20" t="s">
        <v>50</v>
      </c>
      <c r="C1004" s="20" t="s">
        <v>22</v>
      </c>
      <c r="D1004" s="20" t="n">
        <v>183</v>
      </c>
      <c r="E1004" s="20" t="s">
        <v>23</v>
      </c>
      <c r="F1004" s="20" t="n">
        <v>1</v>
      </c>
      <c r="G1004" s="20" t="str">
        <f aca="false">CONCATENATE(B1004, "-",C1004, "-", D1004, "-", F1004)</f>
        <v>M0113-A-183-1</v>
      </c>
      <c r="H1004" s="20" t="n">
        <v>290.66</v>
      </c>
      <c r="I1004" s="20" t="n">
        <v>290.89</v>
      </c>
    </row>
    <row r="1005" customFormat="false" ht="13.5" hidden="false" customHeight="true" outlineLevel="0" collapsed="false">
      <c r="A1005" s="20" t="n">
        <v>501</v>
      </c>
      <c r="B1005" s="20" t="s">
        <v>50</v>
      </c>
      <c r="C1005" s="20" t="s">
        <v>22</v>
      </c>
      <c r="D1005" s="20" t="n">
        <v>184</v>
      </c>
      <c r="E1005" s="20" t="s">
        <v>23</v>
      </c>
      <c r="F1005" s="20" t="n">
        <v>1</v>
      </c>
      <c r="G1005" s="20" t="str">
        <f aca="false">CONCATENATE(B1005, "-",C1005, "-", D1005, "-", F1005)</f>
        <v>M0113-A-184-1</v>
      </c>
      <c r="H1005" s="20" t="n">
        <v>290.89</v>
      </c>
      <c r="I1005" s="20" t="n">
        <v>292.19</v>
      </c>
    </row>
    <row r="1006" customFormat="false" ht="13.5" hidden="false" customHeight="true" outlineLevel="0" collapsed="false">
      <c r="A1006" s="20" t="n">
        <v>501</v>
      </c>
      <c r="B1006" s="20" t="s">
        <v>50</v>
      </c>
      <c r="C1006" s="20" t="s">
        <v>22</v>
      </c>
      <c r="D1006" s="20" t="n">
        <v>185</v>
      </c>
      <c r="E1006" s="20" t="s">
        <v>23</v>
      </c>
      <c r="F1006" s="20" t="n">
        <v>1</v>
      </c>
      <c r="G1006" s="20" t="str">
        <f aca="false">CONCATENATE(B1006, "-",C1006, "-", D1006, "-", F1006)</f>
        <v>M0113-A-185-1</v>
      </c>
      <c r="H1006" s="20" t="n">
        <v>292.19</v>
      </c>
      <c r="I1006" s="20" t="n">
        <v>293.2</v>
      </c>
    </row>
    <row r="1007" customFormat="false" ht="13.5" hidden="false" customHeight="true" outlineLevel="0" collapsed="false">
      <c r="A1007" s="20" t="n">
        <v>501</v>
      </c>
      <c r="B1007" s="20" t="s">
        <v>50</v>
      </c>
      <c r="C1007" s="20" t="s">
        <v>22</v>
      </c>
      <c r="D1007" s="20" t="n">
        <v>185</v>
      </c>
      <c r="E1007" s="20" t="s">
        <v>23</v>
      </c>
      <c r="F1007" s="20" t="n">
        <v>2</v>
      </c>
      <c r="G1007" s="20" t="str">
        <f aca="false">CONCATENATE(B1007, "-",C1007, "-", D1007, "-", F1007)</f>
        <v>M0113-A-185-2</v>
      </c>
      <c r="H1007" s="20" t="n">
        <v>293.2</v>
      </c>
      <c r="I1007" s="20" t="n">
        <v>293.84</v>
      </c>
    </row>
    <row r="1008" customFormat="false" ht="13.5" hidden="false" customHeight="true" outlineLevel="0" collapsed="false">
      <c r="A1008" s="20" t="n">
        <v>501</v>
      </c>
      <c r="B1008" s="20" t="s">
        <v>50</v>
      </c>
      <c r="C1008" s="20" t="s">
        <v>22</v>
      </c>
      <c r="D1008" s="20" t="n">
        <v>186</v>
      </c>
      <c r="E1008" s="20" t="s">
        <v>23</v>
      </c>
      <c r="F1008" s="20" t="n">
        <v>1</v>
      </c>
      <c r="G1008" s="20" t="str">
        <f aca="false">CONCATENATE(B1008, "-",C1008, "-", D1008, "-", F1008)</f>
        <v>M0113-A-186-1</v>
      </c>
      <c r="H1008" s="20" t="n">
        <v>293.84</v>
      </c>
      <c r="I1008" s="20" t="n">
        <v>293.89</v>
      </c>
    </row>
    <row r="1009" customFormat="false" ht="13.5" hidden="false" customHeight="true" outlineLevel="0" collapsed="false">
      <c r="A1009" s="20" t="n">
        <v>501</v>
      </c>
      <c r="B1009" s="20" t="s">
        <v>50</v>
      </c>
      <c r="C1009" s="20" t="s">
        <v>22</v>
      </c>
      <c r="D1009" s="20" t="n">
        <v>187</v>
      </c>
      <c r="E1009" s="20" t="s">
        <v>23</v>
      </c>
      <c r="F1009" s="20" t="n">
        <v>1</v>
      </c>
      <c r="G1009" s="20" t="str">
        <f aca="false">CONCATENATE(B1009, "-",C1009, "-", D1009, "-", F1009)</f>
        <v>M0113-A-187-1</v>
      </c>
      <c r="H1009" s="20" t="n">
        <v>293.89</v>
      </c>
      <c r="I1009" s="20" t="n">
        <v>294.47</v>
      </c>
    </row>
    <row r="1010" customFormat="false" ht="13.5" hidden="false" customHeight="true" outlineLevel="0" collapsed="false">
      <c r="A1010" s="20" t="n">
        <v>501</v>
      </c>
      <c r="B1010" s="20" t="s">
        <v>50</v>
      </c>
      <c r="C1010" s="20" t="s">
        <v>22</v>
      </c>
      <c r="D1010" s="20" t="n">
        <v>188</v>
      </c>
      <c r="E1010" s="20" t="s">
        <v>23</v>
      </c>
      <c r="F1010" s="20" t="n">
        <v>1</v>
      </c>
      <c r="G1010" s="20" t="str">
        <f aca="false">CONCATENATE(B1010, "-",C1010, "-", D1010, "-", F1010)</f>
        <v>M0113-A-188-1</v>
      </c>
      <c r="H1010" s="20" t="n">
        <v>294.47</v>
      </c>
      <c r="I1010" s="20" t="n">
        <v>295.41</v>
      </c>
    </row>
    <row r="1011" customFormat="false" ht="13.5" hidden="false" customHeight="true" outlineLevel="0" collapsed="false">
      <c r="A1011" s="20" t="n">
        <v>501</v>
      </c>
      <c r="B1011" s="20" t="s">
        <v>50</v>
      </c>
      <c r="C1011" s="20" t="s">
        <v>22</v>
      </c>
      <c r="D1011" s="20" t="n">
        <v>189</v>
      </c>
      <c r="E1011" s="20" t="s">
        <v>28</v>
      </c>
      <c r="F1011" s="20" t="n">
        <v>1</v>
      </c>
      <c r="G1011" s="20" t="str">
        <f aca="false">CONCATENATE(B1011, "-",C1011, "-", D1011, "-", F1011)</f>
        <v>M0113-A-189-1</v>
      </c>
      <c r="H1011" s="20" t="n">
        <v>295.41</v>
      </c>
      <c r="I1011" s="20" t="n">
        <v>295.79</v>
      </c>
    </row>
    <row r="1012" customFormat="false" ht="13.5" hidden="false" customHeight="true" outlineLevel="0" collapsed="false">
      <c r="A1012" s="20" t="n">
        <v>501</v>
      </c>
      <c r="B1012" s="20" t="s">
        <v>50</v>
      </c>
      <c r="C1012" s="20" t="s">
        <v>22</v>
      </c>
      <c r="D1012" s="20" t="n">
        <v>190</v>
      </c>
      <c r="E1012" s="20" t="s">
        <v>28</v>
      </c>
      <c r="F1012" s="20" t="n">
        <v>1</v>
      </c>
      <c r="G1012" s="20" t="str">
        <f aca="false">CONCATENATE(B1012, "-",C1012, "-", D1012, "-", F1012)</f>
        <v>M0113-A-190-1</v>
      </c>
      <c r="H1012" s="20" t="n">
        <v>296.49</v>
      </c>
      <c r="I1012" s="20" t="n">
        <v>296.76</v>
      </c>
    </row>
    <row r="1013" customFormat="false" ht="13.5" hidden="false" customHeight="true" outlineLevel="0" collapsed="false">
      <c r="A1013" s="20" t="n">
        <v>501</v>
      </c>
      <c r="B1013" s="20" t="s">
        <v>50</v>
      </c>
      <c r="C1013" s="20" t="s">
        <v>22</v>
      </c>
      <c r="D1013" s="20" t="n">
        <v>191</v>
      </c>
      <c r="E1013" s="20" t="s">
        <v>23</v>
      </c>
      <c r="F1013" s="20" t="n">
        <v>1</v>
      </c>
      <c r="G1013" s="20" t="str">
        <f aca="false">CONCATENATE(B1013, "-",C1013, "-", D1013, "-", F1013)</f>
        <v>M0113-A-191-1</v>
      </c>
      <c r="H1013" s="20" t="n">
        <v>297.99</v>
      </c>
      <c r="I1013" s="20" t="n">
        <v>298.99</v>
      </c>
    </row>
    <row r="1014" customFormat="false" ht="13.5" hidden="false" customHeight="true" outlineLevel="0" collapsed="false">
      <c r="A1014" s="20" t="n">
        <v>501</v>
      </c>
      <c r="B1014" s="20" t="s">
        <v>50</v>
      </c>
      <c r="C1014" s="20" t="s">
        <v>22</v>
      </c>
      <c r="D1014" s="20" t="n">
        <v>191</v>
      </c>
      <c r="E1014" s="20" t="s">
        <v>23</v>
      </c>
      <c r="F1014" s="20" t="n">
        <v>2</v>
      </c>
      <c r="G1014" s="20" t="str">
        <f aca="false">CONCATENATE(B1014, "-",C1014, "-", D1014, "-", F1014)</f>
        <v>M0113-A-191-2</v>
      </c>
      <c r="H1014" s="20" t="n">
        <v>298.99</v>
      </c>
      <c r="I1014" s="20" t="n">
        <v>299.83</v>
      </c>
    </row>
    <row r="1015" customFormat="false" ht="13.5" hidden="false" customHeight="true" outlineLevel="0" collapsed="false">
      <c r="A1015" s="20" t="n">
        <v>501</v>
      </c>
      <c r="B1015" s="20" t="s">
        <v>50</v>
      </c>
      <c r="C1015" s="20" t="s">
        <v>22</v>
      </c>
      <c r="D1015" s="20" t="n">
        <v>192</v>
      </c>
      <c r="E1015" s="20" t="s">
        <v>23</v>
      </c>
      <c r="F1015" s="20" t="n">
        <v>1</v>
      </c>
      <c r="G1015" s="20" t="str">
        <f aca="false">CONCATENATE(B1015, "-",C1015, "-", D1015, "-", F1015)</f>
        <v>M0113-A-192-1</v>
      </c>
      <c r="H1015" s="20" t="n">
        <v>299.83</v>
      </c>
      <c r="I1015" s="20" t="n">
        <v>300.97</v>
      </c>
    </row>
    <row r="1016" customFormat="false" ht="13.5" hidden="false" customHeight="true" outlineLevel="0" collapsed="false">
      <c r="A1016" s="20" t="n">
        <v>501</v>
      </c>
      <c r="B1016" s="20" t="s">
        <v>50</v>
      </c>
      <c r="C1016" s="20" t="s">
        <v>22</v>
      </c>
      <c r="D1016" s="20" t="n">
        <v>193</v>
      </c>
      <c r="E1016" s="20" t="s">
        <v>23</v>
      </c>
      <c r="F1016" s="20" t="n">
        <v>1</v>
      </c>
      <c r="G1016" s="20" t="str">
        <f aca="false">CONCATENATE(B1016, "-",C1016, "-", D1016, "-", F1016)</f>
        <v>M0113-A-193-1</v>
      </c>
      <c r="H1016" s="20" t="n">
        <v>300.97</v>
      </c>
      <c r="I1016" s="20" t="n">
        <v>301.43</v>
      </c>
    </row>
    <row r="1017" customFormat="false" ht="13.5" hidden="false" customHeight="true" outlineLevel="0" collapsed="false">
      <c r="A1017" s="20" t="n">
        <v>501</v>
      </c>
      <c r="B1017" s="20" t="s">
        <v>50</v>
      </c>
      <c r="C1017" s="20" t="s">
        <v>22</v>
      </c>
      <c r="D1017" s="20" t="n">
        <v>193</v>
      </c>
      <c r="E1017" s="20" t="s">
        <v>23</v>
      </c>
      <c r="F1017" s="20" t="n">
        <v>2</v>
      </c>
      <c r="G1017" s="20" t="str">
        <f aca="false">CONCATENATE(B1017, "-",C1017, "-", D1017, "-", F1017)</f>
        <v>M0113-A-193-2</v>
      </c>
      <c r="H1017" s="20" t="n">
        <v>301.43</v>
      </c>
      <c r="I1017" s="20" t="n">
        <v>301.82</v>
      </c>
    </row>
    <row r="1018" customFormat="false" ht="13.5" hidden="false" customHeight="true" outlineLevel="0" collapsed="false">
      <c r="A1018" s="20" t="n">
        <v>501</v>
      </c>
      <c r="B1018" s="20" t="s">
        <v>50</v>
      </c>
      <c r="C1018" s="20" t="s">
        <v>22</v>
      </c>
      <c r="D1018" s="20" t="n">
        <v>194</v>
      </c>
      <c r="E1018" s="20" t="s">
        <v>23</v>
      </c>
      <c r="F1018" s="20" t="n">
        <v>1</v>
      </c>
      <c r="G1018" s="20" t="str">
        <f aca="false">CONCATENATE(B1018, "-",C1018, "-", D1018, "-", F1018)</f>
        <v>M0113-A-194-1</v>
      </c>
      <c r="H1018" s="20" t="n">
        <v>301.82</v>
      </c>
      <c r="I1018" s="20" t="n">
        <v>301.95</v>
      </c>
    </row>
    <row r="1019" customFormat="false" ht="13.5" hidden="false" customHeight="true" outlineLevel="0" collapsed="false">
      <c r="A1019" s="20" t="n">
        <v>501</v>
      </c>
      <c r="B1019" s="20" t="s">
        <v>50</v>
      </c>
      <c r="C1019" s="20" t="s">
        <v>22</v>
      </c>
      <c r="D1019" s="20" t="n">
        <v>194</v>
      </c>
      <c r="E1019" s="20" t="s">
        <v>23</v>
      </c>
      <c r="F1019" s="20" t="n">
        <v>2</v>
      </c>
      <c r="G1019" s="20" t="str">
        <f aca="false">CONCATENATE(B1019, "-",C1019, "-", D1019, "-", F1019)</f>
        <v>M0113-A-194-2</v>
      </c>
      <c r="H1019" s="20" t="n">
        <v>301.95</v>
      </c>
      <c r="I1019" s="20" t="n">
        <v>302.1</v>
      </c>
    </row>
    <row r="1020" customFormat="false" ht="13.5" hidden="false" customHeight="true" outlineLevel="0" collapsed="false">
      <c r="A1020" s="20" t="n">
        <v>501</v>
      </c>
      <c r="B1020" s="20" t="s">
        <v>50</v>
      </c>
      <c r="C1020" s="20" t="s">
        <v>22</v>
      </c>
      <c r="D1020" s="20" t="n">
        <v>194</v>
      </c>
      <c r="E1020" s="20" t="s">
        <v>23</v>
      </c>
      <c r="F1020" s="20" t="n">
        <v>3</v>
      </c>
      <c r="G1020" s="20" t="str">
        <f aca="false">CONCATENATE(B1020, "-",C1020, "-", D1020, "-", F1020)</f>
        <v>M0113-A-194-3</v>
      </c>
      <c r="H1020" s="20" t="n">
        <v>302.1</v>
      </c>
      <c r="I1020" s="20" t="n">
        <v>302.69</v>
      </c>
    </row>
    <row r="1021" customFormat="false" ht="13.5" hidden="false" customHeight="true" outlineLevel="0" collapsed="false">
      <c r="A1021" s="20" t="n">
        <v>501</v>
      </c>
      <c r="B1021" s="20" t="s">
        <v>50</v>
      </c>
      <c r="C1021" s="20" t="s">
        <v>22</v>
      </c>
      <c r="D1021" s="20" t="n">
        <v>195</v>
      </c>
      <c r="E1021" s="20" t="s">
        <v>23</v>
      </c>
      <c r="F1021" s="20" t="n">
        <v>1</v>
      </c>
      <c r="G1021" s="20" t="str">
        <f aca="false">CONCATENATE(B1021, "-",C1021, "-", D1021, "-", F1021)</f>
        <v>M0113-A-195-1</v>
      </c>
      <c r="H1021" s="20" t="n">
        <v>302.69</v>
      </c>
      <c r="I1021" s="20" t="n">
        <v>303.26</v>
      </c>
    </row>
    <row r="1022" customFormat="false" ht="13.5" hidden="false" customHeight="true" outlineLevel="0" collapsed="false">
      <c r="A1022" s="20" t="n">
        <v>501</v>
      </c>
      <c r="B1022" s="20" t="s">
        <v>50</v>
      </c>
      <c r="C1022" s="20" t="s">
        <v>22</v>
      </c>
      <c r="D1022" s="20" t="n">
        <v>196</v>
      </c>
      <c r="E1022" s="20" t="s">
        <v>23</v>
      </c>
      <c r="F1022" s="20" t="n">
        <v>1</v>
      </c>
      <c r="G1022" s="20" t="str">
        <f aca="false">CONCATENATE(B1022, "-",C1022, "-", D1022, "-", F1022)</f>
        <v>M0113-A-196-1</v>
      </c>
      <c r="H1022" s="20" t="n">
        <v>303.26</v>
      </c>
      <c r="I1022" s="20" t="n">
        <v>304.36</v>
      </c>
    </row>
    <row r="1023" customFormat="false" ht="13.5" hidden="false" customHeight="true" outlineLevel="0" collapsed="false">
      <c r="A1023" s="20" t="n">
        <v>501</v>
      </c>
      <c r="B1023" s="20" t="s">
        <v>50</v>
      </c>
      <c r="C1023" s="20" t="s">
        <v>22</v>
      </c>
      <c r="D1023" s="20" t="n">
        <v>196</v>
      </c>
      <c r="E1023" s="20" t="s">
        <v>23</v>
      </c>
      <c r="F1023" s="20" t="n">
        <v>2</v>
      </c>
      <c r="G1023" s="20" t="str">
        <f aca="false">CONCATENATE(B1023, "-",C1023, "-", D1023, "-", F1023)</f>
        <v>M0113-A-196-2</v>
      </c>
      <c r="H1023" s="20" t="n">
        <v>304.36</v>
      </c>
      <c r="I1023" s="20" t="n">
        <v>304.79</v>
      </c>
    </row>
    <row r="1024" customFormat="false" ht="13.5" hidden="false" customHeight="true" outlineLevel="0" collapsed="false">
      <c r="A1024" s="20" t="n">
        <v>501</v>
      </c>
      <c r="B1024" s="20" t="s">
        <v>50</v>
      </c>
      <c r="C1024" s="20" t="s">
        <v>22</v>
      </c>
      <c r="D1024" s="20" t="n">
        <v>197</v>
      </c>
      <c r="E1024" s="20" t="s">
        <v>23</v>
      </c>
      <c r="F1024" s="20" t="n">
        <v>1</v>
      </c>
      <c r="G1024" s="20" t="str">
        <f aca="false">CONCATENATE(B1024, "-",C1024, "-", D1024, "-", F1024)</f>
        <v>M0113-A-197-1</v>
      </c>
      <c r="H1024" s="20" t="n">
        <v>304.79</v>
      </c>
      <c r="I1024" s="20" t="n">
        <v>305.22</v>
      </c>
    </row>
    <row r="1025" customFormat="false" ht="13.5" hidden="false" customHeight="true" outlineLevel="0" collapsed="false">
      <c r="A1025" s="20" t="n">
        <v>501</v>
      </c>
      <c r="B1025" s="20" t="s">
        <v>50</v>
      </c>
      <c r="C1025" s="20" t="s">
        <v>22</v>
      </c>
      <c r="D1025" s="20" t="n">
        <v>197</v>
      </c>
      <c r="E1025" s="20" t="s">
        <v>23</v>
      </c>
      <c r="F1025" s="20" t="n">
        <v>2</v>
      </c>
      <c r="G1025" s="20" t="str">
        <f aca="false">CONCATENATE(B1025, "-",C1025, "-", D1025, "-", F1025)</f>
        <v>M0113-A-197-2</v>
      </c>
      <c r="H1025" s="20" t="n">
        <v>305.22</v>
      </c>
      <c r="I1025" s="20" t="n">
        <v>305.41</v>
      </c>
    </row>
    <row r="1026" customFormat="false" ht="13.5" hidden="false" customHeight="true" outlineLevel="0" collapsed="false">
      <c r="A1026" s="20" t="n">
        <v>501</v>
      </c>
      <c r="B1026" s="20" t="s">
        <v>50</v>
      </c>
      <c r="C1026" s="20" t="s">
        <v>22</v>
      </c>
      <c r="D1026" s="20" t="n">
        <v>198</v>
      </c>
      <c r="E1026" s="20" t="s">
        <v>23</v>
      </c>
      <c r="F1026" s="20" t="n">
        <v>1</v>
      </c>
      <c r="G1026" s="20" t="str">
        <f aca="false">CONCATENATE(B1026, "-",C1026, "-", D1026, "-", F1026)</f>
        <v>M0113-A-198-1</v>
      </c>
      <c r="H1026" s="20" t="n">
        <v>305.41</v>
      </c>
      <c r="I1026" s="20" t="n">
        <v>305.49</v>
      </c>
    </row>
    <row r="1027" customFormat="false" ht="13.5" hidden="false" customHeight="true" outlineLevel="0" collapsed="false">
      <c r="A1027" s="20" t="n">
        <v>501</v>
      </c>
      <c r="B1027" s="20" t="s">
        <v>50</v>
      </c>
      <c r="C1027" s="20" t="s">
        <v>22</v>
      </c>
      <c r="D1027" s="20" t="n">
        <v>198</v>
      </c>
      <c r="E1027" s="20" t="s">
        <v>23</v>
      </c>
      <c r="F1027" s="20" t="n">
        <v>2</v>
      </c>
      <c r="G1027" s="20" t="str">
        <f aca="false">CONCATENATE(B1027, "-",C1027, "-", D1027, "-", F1027)</f>
        <v>M0113-A-198-2</v>
      </c>
      <c r="H1027" s="20" t="n">
        <v>305.49</v>
      </c>
      <c r="I1027" s="20" t="n">
        <v>306.04</v>
      </c>
    </row>
    <row r="1028" customFormat="false" ht="13.5" hidden="false" customHeight="true" outlineLevel="0" collapsed="false">
      <c r="A1028" s="20" t="n">
        <v>501</v>
      </c>
      <c r="B1028" s="20" t="s">
        <v>50</v>
      </c>
      <c r="C1028" s="20" t="s">
        <v>22</v>
      </c>
      <c r="D1028" s="20" t="n">
        <v>199</v>
      </c>
      <c r="E1028" s="20" t="s">
        <v>23</v>
      </c>
      <c r="F1028" s="20" t="n">
        <v>1</v>
      </c>
      <c r="G1028" s="20" t="str">
        <f aca="false">CONCATENATE(B1028, "-",C1028, "-", D1028, "-", F1028)</f>
        <v>M0113-A-199-1</v>
      </c>
      <c r="H1028" s="20" t="n">
        <v>306.04</v>
      </c>
      <c r="I1028" s="20" t="n">
        <v>306.46</v>
      </c>
    </row>
    <row r="1029" customFormat="false" ht="13.5" hidden="false" customHeight="true" outlineLevel="0" collapsed="false">
      <c r="A1029" s="20" t="n">
        <v>501</v>
      </c>
      <c r="B1029" s="20" t="s">
        <v>50</v>
      </c>
      <c r="C1029" s="20" t="s">
        <v>22</v>
      </c>
      <c r="D1029" s="20" t="n">
        <v>200</v>
      </c>
      <c r="E1029" s="20" t="s">
        <v>28</v>
      </c>
      <c r="F1029" s="20" t="n">
        <v>1</v>
      </c>
      <c r="G1029" s="20" t="str">
        <f aca="false">CONCATENATE(B1029, "-",C1029, "-", D1029, "-", F1029)</f>
        <v>M0113-A-200-1</v>
      </c>
      <c r="H1029" s="20" t="n">
        <v>306.46</v>
      </c>
      <c r="I1029" s="20" t="n">
        <v>307.12</v>
      </c>
    </row>
    <row r="1030" customFormat="false" ht="13.5" hidden="false" customHeight="true" outlineLevel="0" collapsed="false">
      <c r="A1030" s="20" t="n">
        <v>501</v>
      </c>
      <c r="B1030" s="20" t="s">
        <v>50</v>
      </c>
      <c r="C1030" s="20" t="s">
        <v>22</v>
      </c>
      <c r="D1030" s="20" t="n">
        <v>200</v>
      </c>
      <c r="E1030" s="20" t="s">
        <v>28</v>
      </c>
      <c r="F1030" s="20" t="n">
        <v>2</v>
      </c>
      <c r="G1030" s="20" t="str">
        <f aca="false">CONCATENATE(B1030, "-",C1030, "-", D1030, "-", F1030)</f>
        <v>M0113-A-200-2</v>
      </c>
      <c r="H1030" s="20" t="n">
        <v>307.12</v>
      </c>
      <c r="I1030" s="20" t="n">
        <v>307.45</v>
      </c>
    </row>
    <row r="1031" customFormat="false" ht="13.5" hidden="false" customHeight="true" outlineLevel="0" collapsed="false">
      <c r="A1031" s="20" t="n">
        <v>501</v>
      </c>
      <c r="B1031" s="20" t="s">
        <v>50</v>
      </c>
      <c r="C1031" s="20" t="s">
        <v>22</v>
      </c>
      <c r="D1031" s="20" t="n">
        <v>200</v>
      </c>
      <c r="E1031" s="20" t="s">
        <v>28</v>
      </c>
      <c r="F1031" s="20" t="n">
        <v>3</v>
      </c>
      <c r="G1031" s="20" t="str">
        <f aca="false">CONCATENATE(B1031, "-",C1031, "-", D1031, "-", F1031)</f>
        <v>M0113-A-200-3</v>
      </c>
      <c r="H1031" s="20" t="n">
        <v>307.45</v>
      </c>
      <c r="I1031" s="20" t="n">
        <v>307.53</v>
      </c>
    </row>
    <row r="1032" customFormat="false" ht="13.5" hidden="false" customHeight="true" outlineLevel="0" collapsed="false">
      <c r="A1032" s="20" t="n">
        <v>501</v>
      </c>
      <c r="B1032" s="20" t="s">
        <v>50</v>
      </c>
      <c r="C1032" s="20" t="s">
        <v>22</v>
      </c>
      <c r="D1032" s="20" t="n">
        <v>201</v>
      </c>
      <c r="E1032" s="20" t="s">
        <v>28</v>
      </c>
      <c r="F1032" s="20" t="n">
        <v>1</v>
      </c>
      <c r="G1032" s="20" t="str">
        <f aca="false">CONCATENATE(B1032, "-",C1032, "-", D1032, "-", F1032)</f>
        <v>M0113-A-201-1</v>
      </c>
      <c r="H1032" s="20" t="n">
        <v>308.49</v>
      </c>
      <c r="I1032" s="20" t="n">
        <v>308.94</v>
      </c>
    </row>
    <row r="1033" customFormat="false" ht="13.5" hidden="false" customHeight="true" outlineLevel="0" collapsed="false">
      <c r="A1033" s="20" t="n">
        <v>501</v>
      </c>
      <c r="B1033" s="20" t="s">
        <v>50</v>
      </c>
      <c r="C1033" s="20" t="s">
        <v>22</v>
      </c>
      <c r="D1033" s="20" t="n">
        <v>201</v>
      </c>
      <c r="E1033" s="20" t="s">
        <v>28</v>
      </c>
      <c r="F1033" s="20" t="n">
        <v>2</v>
      </c>
      <c r="G1033" s="20" t="str">
        <f aca="false">CONCATENATE(B1033, "-",C1033, "-", D1033, "-", F1033)</f>
        <v>M0113-A-201-2</v>
      </c>
      <c r="H1033" s="20" t="n">
        <v>308.94</v>
      </c>
      <c r="I1033" s="20" t="n">
        <v>309.29</v>
      </c>
    </row>
    <row r="1034" customFormat="false" ht="13.5" hidden="false" customHeight="true" outlineLevel="0" collapsed="false">
      <c r="A1034" s="20" t="n">
        <v>501</v>
      </c>
      <c r="B1034" s="20" t="s">
        <v>50</v>
      </c>
      <c r="C1034" s="20" t="s">
        <v>22</v>
      </c>
      <c r="D1034" s="20" t="n">
        <v>202</v>
      </c>
      <c r="E1034" s="20" t="s">
        <v>28</v>
      </c>
      <c r="F1034" s="20" t="n">
        <v>1</v>
      </c>
      <c r="G1034" s="20" t="str">
        <f aca="false">CONCATENATE(B1034, "-",C1034, "-", D1034, "-", F1034)</f>
        <v>M0113-A-202-1</v>
      </c>
      <c r="H1034" s="20" t="n">
        <v>311.49</v>
      </c>
      <c r="I1034" s="20" t="n">
        <v>311.99</v>
      </c>
    </row>
    <row r="1035" customFormat="false" ht="13.5" hidden="false" customHeight="true" outlineLevel="0" collapsed="false">
      <c r="A1035" s="20" t="n">
        <v>501</v>
      </c>
      <c r="B1035" s="20" t="s">
        <v>50</v>
      </c>
      <c r="C1035" s="20" t="s">
        <v>22</v>
      </c>
      <c r="D1035" s="20" t="n">
        <v>203</v>
      </c>
      <c r="E1035" s="20" t="s">
        <v>28</v>
      </c>
      <c r="F1035" s="20" t="n">
        <v>1</v>
      </c>
      <c r="G1035" s="20" t="str">
        <f aca="false">CONCATENATE(B1035, "-",C1035, "-", D1035, "-", F1035)</f>
        <v>M0113-A-203-1</v>
      </c>
      <c r="H1035" s="20" t="n">
        <v>312.99</v>
      </c>
      <c r="I1035" s="20" t="n">
        <v>313.99</v>
      </c>
    </row>
    <row r="1036" customFormat="false" ht="13.5" hidden="false" customHeight="true" outlineLevel="0" collapsed="false">
      <c r="A1036" s="20" t="n">
        <v>501</v>
      </c>
      <c r="B1036" s="20" t="s">
        <v>50</v>
      </c>
      <c r="C1036" s="20" t="s">
        <v>22</v>
      </c>
      <c r="D1036" s="20" t="n">
        <v>203</v>
      </c>
      <c r="E1036" s="20" t="s">
        <v>28</v>
      </c>
      <c r="F1036" s="20" t="n">
        <v>2</v>
      </c>
      <c r="G1036" s="20" t="str">
        <f aca="false">CONCATENATE(B1036, "-",C1036, "-", D1036, "-", F1036)</f>
        <v>M0113-A-203-2</v>
      </c>
      <c r="H1036" s="20" t="n">
        <v>313.99</v>
      </c>
      <c r="I1036" s="20" t="n">
        <v>314.55</v>
      </c>
    </row>
    <row r="1037" customFormat="false" ht="13.5" hidden="false" customHeight="true" outlineLevel="0" collapsed="false">
      <c r="A1037" s="20" t="n">
        <v>501</v>
      </c>
      <c r="B1037" s="20" t="s">
        <v>50</v>
      </c>
      <c r="C1037" s="20" t="s">
        <v>22</v>
      </c>
      <c r="D1037" s="20" t="n">
        <v>204</v>
      </c>
      <c r="E1037" s="20" t="s">
        <v>28</v>
      </c>
      <c r="F1037" s="20" t="n">
        <v>1</v>
      </c>
      <c r="G1037" s="20" t="str">
        <f aca="false">CONCATENATE(B1037, "-",C1037, "-", D1037, "-", F1037)</f>
        <v>M0113-A-204-1</v>
      </c>
      <c r="H1037" s="20" t="n">
        <v>314.49</v>
      </c>
      <c r="I1037" s="20" t="n">
        <v>314.89</v>
      </c>
    </row>
    <row r="1038" customFormat="false" ht="13.5" hidden="false" customHeight="true" outlineLevel="0" collapsed="false">
      <c r="A1038" s="20" t="n">
        <v>501</v>
      </c>
      <c r="B1038" s="20" t="s">
        <v>50</v>
      </c>
      <c r="C1038" s="20" t="s">
        <v>22</v>
      </c>
      <c r="D1038" s="20" t="n">
        <v>204</v>
      </c>
      <c r="E1038" s="20" t="s">
        <v>28</v>
      </c>
      <c r="F1038" s="20" t="n">
        <v>2</v>
      </c>
      <c r="G1038" s="20" t="str">
        <f aca="false">CONCATENATE(B1038, "-",C1038, "-", D1038, "-", F1038)</f>
        <v>M0113-A-204-2</v>
      </c>
      <c r="H1038" s="20" t="n">
        <v>314.89</v>
      </c>
      <c r="I1038" s="20" t="n">
        <v>314.99</v>
      </c>
    </row>
    <row r="1039" customFormat="false" ht="13.5" hidden="false" customHeight="true" outlineLevel="0" collapsed="false">
      <c r="A1039" s="20" t="n">
        <v>501</v>
      </c>
      <c r="B1039" s="20" t="s">
        <v>50</v>
      </c>
      <c r="C1039" s="20" t="s">
        <v>22</v>
      </c>
      <c r="D1039" s="20" t="n">
        <v>205</v>
      </c>
      <c r="E1039" s="20" t="s">
        <v>28</v>
      </c>
      <c r="F1039" s="20" t="n">
        <v>1</v>
      </c>
      <c r="G1039" s="20" t="str">
        <f aca="false">CONCATENATE(B1039, "-",C1039, "-", D1039, "-", F1039)</f>
        <v>M0113-A-205-1</v>
      </c>
      <c r="H1039" s="20" t="n">
        <v>315.99</v>
      </c>
      <c r="I1039" s="20" t="n">
        <v>316.99</v>
      </c>
    </row>
    <row r="1040" customFormat="false" ht="13.5" hidden="false" customHeight="true" outlineLevel="0" collapsed="false">
      <c r="A1040" s="20" t="n">
        <v>501</v>
      </c>
      <c r="B1040" s="20" t="s">
        <v>50</v>
      </c>
      <c r="C1040" s="20" t="s">
        <v>22</v>
      </c>
      <c r="D1040" s="20" t="n">
        <v>205</v>
      </c>
      <c r="E1040" s="20" t="s">
        <v>28</v>
      </c>
      <c r="F1040" s="20" t="n">
        <v>2</v>
      </c>
      <c r="G1040" s="20" t="str">
        <f aca="false">CONCATENATE(B1040, "-",C1040, "-", D1040, "-", F1040)</f>
        <v>M0113-A-205-2</v>
      </c>
      <c r="H1040" s="20" t="n">
        <v>316.99</v>
      </c>
      <c r="I1040" s="20" t="n">
        <v>317.43</v>
      </c>
    </row>
    <row r="1041" customFormat="false" ht="13.5" hidden="false" customHeight="true" outlineLevel="0" collapsed="false">
      <c r="A1041" s="20" t="n">
        <v>501</v>
      </c>
      <c r="B1041" s="20" t="s">
        <v>50</v>
      </c>
      <c r="C1041" s="20" t="s">
        <v>22</v>
      </c>
      <c r="D1041" s="20" t="n">
        <v>205</v>
      </c>
      <c r="E1041" s="20" t="s">
        <v>28</v>
      </c>
      <c r="F1041" s="20" t="n">
        <v>3</v>
      </c>
      <c r="G1041" s="20" t="str">
        <f aca="false">CONCATENATE(B1041, "-",C1041, "-", D1041, "-", F1041)</f>
        <v>M0113-A-205-3</v>
      </c>
      <c r="H1041" s="20" t="n">
        <v>317.43</v>
      </c>
      <c r="I1041" s="20" t="n">
        <v>317.56</v>
      </c>
    </row>
    <row r="1042" customFormat="false" ht="13.5" hidden="false" customHeight="true" outlineLevel="0" collapsed="false">
      <c r="A1042" s="20" t="n">
        <v>501</v>
      </c>
      <c r="B1042" s="20" t="s">
        <v>50</v>
      </c>
      <c r="C1042" s="20" t="s">
        <v>22</v>
      </c>
      <c r="D1042" s="20" t="n">
        <v>206</v>
      </c>
      <c r="E1042" s="20" t="s">
        <v>28</v>
      </c>
      <c r="F1042" s="20" t="n">
        <v>1</v>
      </c>
      <c r="G1042" s="20" t="str">
        <f aca="false">CONCATENATE(B1042, "-",C1042, "-", D1042, "-", F1042)</f>
        <v>M0113-A-206-1</v>
      </c>
      <c r="H1042" s="20" t="n">
        <v>317.49</v>
      </c>
      <c r="I1042" s="20" t="n">
        <v>318.92</v>
      </c>
    </row>
    <row r="1043" customFormat="false" ht="13.5" hidden="false" customHeight="true" outlineLevel="0" collapsed="false">
      <c r="A1043" s="20" t="n">
        <v>501</v>
      </c>
      <c r="B1043" s="20" t="s">
        <v>50</v>
      </c>
      <c r="C1043" s="20" t="s">
        <v>22</v>
      </c>
      <c r="D1043" s="20" t="n">
        <v>207</v>
      </c>
      <c r="E1043" s="20" t="s">
        <v>28</v>
      </c>
      <c r="F1043" s="20" t="n">
        <v>1</v>
      </c>
      <c r="G1043" s="20" t="str">
        <f aca="false">CONCATENATE(B1043, "-",C1043, "-", D1043, "-", F1043)</f>
        <v>M0113-A-207-1</v>
      </c>
      <c r="H1043" s="20" t="n">
        <v>318.99</v>
      </c>
      <c r="I1043" s="20" t="n">
        <v>319.99</v>
      </c>
    </row>
    <row r="1044" customFormat="false" ht="13.5" hidden="false" customHeight="true" outlineLevel="0" collapsed="false">
      <c r="A1044" s="20" t="n">
        <v>501</v>
      </c>
      <c r="B1044" s="20" t="s">
        <v>50</v>
      </c>
      <c r="C1044" s="20" t="s">
        <v>22</v>
      </c>
      <c r="D1044" s="20" t="n">
        <v>207</v>
      </c>
      <c r="E1044" s="20" t="s">
        <v>28</v>
      </c>
      <c r="F1044" s="20" t="n">
        <v>2</v>
      </c>
      <c r="G1044" s="20" t="str">
        <f aca="false">CONCATENATE(B1044, "-",C1044, "-", D1044, "-", F1044)</f>
        <v>M0113-A-207-2</v>
      </c>
      <c r="H1044" s="20" t="n">
        <v>319.99</v>
      </c>
      <c r="I1044" s="20" t="n">
        <v>320.56</v>
      </c>
    </row>
    <row r="1045" customFormat="false" ht="13.5" hidden="false" customHeight="true" outlineLevel="0" collapsed="false">
      <c r="A1045" s="20" t="n">
        <v>501</v>
      </c>
      <c r="B1045" s="20" t="s">
        <v>50</v>
      </c>
      <c r="C1045" s="20" t="s">
        <v>22</v>
      </c>
      <c r="D1045" s="20" t="n">
        <v>208</v>
      </c>
      <c r="E1045" s="20" t="s">
        <v>28</v>
      </c>
      <c r="F1045" s="20" t="n">
        <v>1</v>
      </c>
      <c r="G1045" s="20" t="str">
        <f aca="false">CONCATENATE(B1045, "-",C1045, "-", D1045, "-", F1045)</f>
        <v>M0113-A-208-1</v>
      </c>
      <c r="H1045" s="20" t="n">
        <v>320.49</v>
      </c>
      <c r="I1045" s="20" t="n">
        <v>321.77</v>
      </c>
    </row>
    <row r="1046" customFormat="false" ht="13.5" hidden="false" customHeight="true" outlineLevel="0" collapsed="false">
      <c r="A1046" s="20" t="n">
        <v>501</v>
      </c>
      <c r="B1046" s="20" t="s">
        <v>50</v>
      </c>
      <c r="C1046" s="20" t="s">
        <v>22</v>
      </c>
      <c r="D1046" s="20" t="n">
        <v>209</v>
      </c>
      <c r="E1046" s="20" t="s">
        <v>28</v>
      </c>
      <c r="F1046" s="20" t="n">
        <v>1</v>
      </c>
      <c r="G1046" s="20" t="str">
        <f aca="false">CONCATENATE(B1046, "-",C1046, "-", D1046, "-", F1046)</f>
        <v>M0113-A-209-1</v>
      </c>
      <c r="H1046" s="20" t="n">
        <v>321.99</v>
      </c>
      <c r="I1046" s="20" t="n">
        <v>323.49</v>
      </c>
    </row>
    <row r="1047" customFormat="false" ht="13.5" hidden="false" customHeight="true" outlineLevel="0" collapsed="false">
      <c r="A1047" s="20" t="n">
        <v>501</v>
      </c>
      <c r="B1047" s="20" t="s">
        <v>50</v>
      </c>
      <c r="C1047" s="20" t="s">
        <v>22</v>
      </c>
      <c r="D1047" s="20" t="n">
        <v>209</v>
      </c>
      <c r="E1047" s="20" t="s">
        <v>28</v>
      </c>
      <c r="F1047" s="20" t="n">
        <v>2</v>
      </c>
      <c r="G1047" s="20" t="str">
        <f aca="false">CONCATENATE(B1047, "-",C1047, "-", D1047, "-", F1047)</f>
        <v>M0113-A-209-2</v>
      </c>
      <c r="H1047" s="20" t="n">
        <v>323.49</v>
      </c>
      <c r="I1047" s="20" t="n">
        <v>323.89</v>
      </c>
    </row>
    <row r="1048" customFormat="false" ht="13.5" hidden="false" customHeight="true" outlineLevel="0" collapsed="false">
      <c r="A1048" s="20" t="n">
        <v>501</v>
      </c>
      <c r="B1048" s="20" t="s">
        <v>50</v>
      </c>
      <c r="C1048" s="20" t="s">
        <v>22</v>
      </c>
      <c r="D1048" s="20" t="n">
        <v>210</v>
      </c>
      <c r="E1048" s="20" t="s">
        <v>28</v>
      </c>
      <c r="F1048" s="20" t="n">
        <v>1</v>
      </c>
      <c r="G1048" s="20" t="str">
        <f aca="false">CONCATENATE(B1048, "-",C1048, "-", D1048, "-", F1048)</f>
        <v>M0113-A-210-1</v>
      </c>
      <c r="H1048" s="20" t="n">
        <v>323.49</v>
      </c>
      <c r="I1048" s="20" t="n">
        <v>324.01</v>
      </c>
    </row>
    <row r="1049" customFormat="false" ht="13.5" hidden="false" customHeight="true" outlineLevel="0" collapsed="false">
      <c r="A1049" s="20" t="n">
        <v>501</v>
      </c>
      <c r="B1049" s="20" t="s">
        <v>50</v>
      </c>
      <c r="C1049" s="20" t="s">
        <v>22</v>
      </c>
      <c r="D1049" s="20" t="n">
        <v>210</v>
      </c>
      <c r="E1049" s="20" t="s">
        <v>28</v>
      </c>
      <c r="F1049" s="20" t="n">
        <v>2</v>
      </c>
      <c r="G1049" s="20" t="str">
        <f aca="false">CONCATENATE(B1049, "-",C1049, "-", D1049, "-", F1049)</f>
        <v>M0113-A-210-2</v>
      </c>
      <c r="H1049" s="20" t="n">
        <v>324.01</v>
      </c>
      <c r="I1049" s="20" t="n">
        <v>325.1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C6" activeCellId="1" sqref="X1:X41 C6"/>
    </sheetView>
  </sheetViews>
  <sheetFormatPr defaultColWidth="11" defaultRowHeight="15" customHeight="true" zeroHeight="false" outlineLevelRow="0" outlineLevelCol="0"/>
  <cols>
    <col collapsed="false" customWidth="true" hidden="false" outlineLevel="0" max="1" min="1" style="0" width="35.69"/>
    <col collapsed="false" customWidth="true" hidden="false" outlineLevel="0" max="2" min="2" style="0" width="25.46"/>
    <col collapsed="false" customWidth="true" hidden="false" outlineLevel="0" max="3" min="3" style="0" width="14"/>
    <col collapsed="false" customWidth="true" hidden="false" outlineLevel="0" max="6" min="6" style="47" width="20.69"/>
    <col collapsed="false" customWidth="true" hidden="false" outlineLevel="0" max="7" min="7" style="47" width="20.15"/>
    <col collapsed="false" customWidth="true" hidden="false" outlineLevel="0" max="8" min="8" style="47" width="7.15"/>
  </cols>
  <sheetData>
    <row r="1" customFormat="false" ht="15" hidden="false" customHeight="true" outlineLevel="0" collapsed="false">
      <c r="A1" s="48" t="s">
        <v>51</v>
      </c>
      <c r="B1" s="48" t="s">
        <v>52</v>
      </c>
      <c r="C1" s="48" t="s">
        <v>53</v>
      </c>
    </row>
    <row r="2" customFormat="false" ht="15" hidden="false" customHeight="true" outlineLevel="0" collapsed="false">
      <c r="A2" s="47" t="s">
        <v>54</v>
      </c>
      <c r="B2" s="47" t="s">
        <v>55</v>
      </c>
      <c r="C2" s="47" t="n">
        <v>32</v>
      </c>
    </row>
    <row r="3" customFormat="false" ht="15" hidden="false" customHeight="true" outlineLevel="0" collapsed="false">
      <c r="A3" s="47"/>
      <c r="B3" s="47"/>
      <c r="C3" s="47"/>
    </row>
    <row r="4" customFormat="false" ht="15" hidden="false" customHeight="true" outlineLevel="0" collapsed="false">
      <c r="A4" s="47" t="s">
        <v>56</v>
      </c>
      <c r="B4" s="47" t="s">
        <v>57</v>
      </c>
      <c r="C4" s="47" t="n">
        <v>30</v>
      </c>
      <c r="D4" s="49"/>
    </row>
    <row r="5" customFormat="false" ht="15" hidden="false" customHeight="true" outlineLevel="0" collapsed="false">
      <c r="A5" s="47" t="s">
        <v>58</v>
      </c>
      <c r="B5" s="47" t="s">
        <v>59</v>
      </c>
      <c r="C5" s="47" t="n">
        <v>12</v>
      </c>
    </row>
    <row r="6" customFormat="false" ht="15" hidden="false" customHeight="true" outlineLevel="0" collapsed="false">
      <c r="A6" s="47" t="s">
        <v>60</v>
      </c>
      <c r="B6" s="47" t="s">
        <v>61</v>
      </c>
      <c r="C6" s="47" t="n">
        <v>6</v>
      </c>
    </row>
    <row r="7" customFormat="false" ht="15" hidden="false" customHeight="true" outlineLevel="0" collapsed="false">
      <c r="A7" s="47" t="s">
        <v>62</v>
      </c>
      <c r="B7" s="47" t="s">
        <v>63</v>
      </c>
      <c r="C7" s="47" t="n">
        <v>25</v>
      </c>
    </row>
    <row r="8" customFormat="false" ht="15" hidden="false" customHeight="true" outlineLevel="0" collapsed="false">
      <c r="A8" s="47"/>
      <c r="B8" s="47"/>
      <c r="C8" s="47"/>
    </row>
    <row r="9" customFormat="false" ht="15" hidden="false" customHeight="true" outlineLevel="0" collapsed="false">
      <c r="A9" s="47" t="s">
        <v>64</v>
      </c>
      <c r="B9" s="47" t="s">
        <v>64</v>
      </c>
      <c r="C9" s="47" t="n">
        <v>32</v>
      </c>
    </row>
    <row r="10" customFormat="false" ht="15" hidden="false" customHeight="true" outlineLevel="0" collapsed="false">
      <c r="A10" s="47" t="s">
        <v>64</v>
      </c>
      <c r="B10" s="47" t="s">
        <v>65</v>
      </c>
      <c r="C10" s="47" t="n">
        <v>12</v>
      </c>
      <c r="D10" s="49"/>
    </row>
    <row r="11" customFormat="false" ht="15" hidden="false" customHeight="true" outlineLevel="0" collapsed="false">
      <c r="A11" s="47" t="s">
        <v>66</v>
      </c>
      <c r="B11" s="47" t="s">
        <v>67</v>
      </c>
      <c r="C11" s="47" t="n">
        <v>6</v>
      </c>
    </row>
    <row r="12" customFormat="false" ht="15" hidden="false" customHeight="true" outlineLevel="0" collapsed="false">
      <c r="A12" s="47"/>
      <c r="B12" s="47"/>
      <c r="C12" s="47"/>
    </row>
    <row r="13" customFormat="false" ht="15" hidden="false" customHeight="true" outlineLevel="0" collapsed="false">
      <c r="A13" s="47" t="s">
        <v>68</v>
      </c>
      <c r="B13" s="47" t="s">
        <v>69</v>
      </c>
      <c r="C13" s="47" t="n">
        <v>32</v>
      </c>
    </row>
    <row r="14" customFormat="false" ht="15" hidden="false" customHeight="true" outlineLevel="0" collapsed="false">
      <c r="A14" s="47" t="s">
        <v>70</v>
      </c>
      <c r="B14" s="47" t="s">
        <v>71</v>
      </c>
      <c r="C14" s="47" t="n">
        <v>12</v>
      </c>
      <c r="D14" s="49"/>
    </row>
    <row r="15" customFormat="false" ht="15" hidden="false" customHeight="true" outlineLevel="0" collapsed="false">
      <c r="A15" s="47" t="s">
        <v>72</v>
      </c>
      <c r="B15" s="47" t="s">
        <v>71</v>
      </c>
      <c r="C15" s="47" t="n">
        <v>4</v>
      </c>
    </row>
    <row r="16" customFormat="false" ht="15" hidden="false" customHeight="true" outlineLevel="0" collapsed="false">
      <c r="A16" s="47"/>
      <c r="B16" s="47"/>
      <c r="C16" s="47"/>
    </row>
    <row r="17" customFormat="false" ht="15" hidden="false" customHeight="true" outlineLevel="0" collapsed="false">
      <c r="A17" s="47" t="s">
        <v>73</v>
      </c>
      <c r="B17" s="47" t="s">
        <v>74</v>
      </c>
      <c r="C17" s="47" t="n">
        <v>27</v>
      </c>
    </row>
    <row r="18" customFormat="false" ht="15" hidden="false" customHeight="true" outlineLevel="0" collapsed="false">
      <c r="A18" s="47" t="s">
        <v>75</v>
      </c>
      <c r="B18" s="47" t="s">
        <v>76</v>
      </c>
      <c r="C18" s="47" t="n">
        <v>6</v>
      </c>
    </row>
    <row r="19" customFormat="false" ht="15" hidden="false" customHeight="true" outlineLevel="0" collapsed="false">
      <c r="A19" s="47"/>
      <c r="B19" s="47"/>
      <c r="C19" s="47"/>
    </row>
    <row r="20" customFormat="false" ht="15" hidden="false" customHeight="true" outlineLevel="0" collapsed="false">
      <c r="A20" s="47" t="s">
        <v>77</v>
      </c>
      <c r="B20" s="47" t="s">
        <v>78</v>
      </c>
      <c r="C20" s="47" t="n">
        <v>27</v>
      </c>
    </row>
    <row r="21" customFormat="false" ht="15" hidden="false" customHeight="true" outlineLevel="0" collapsed="false">
      <c r="A21" s="47" t="s">
        <v>79</v>
      </c>
      <c r="B21" s="47" t="s">
        <v>80</v>
      </c>
      <c r="C21" s="47" t="n">
        <v>18</v>
      </c>
    </row>
    <row r="22" customFormat="false" ht="15" hidden="false" customHeight="true" outlineLevel="0" collapsed="false">
      <c r="A22" s="47" t="s">
        <v>81</v>
      </c>
      <c r="B22" s="47" t="s">
        <v>82</v>
      </c>
      <c r="C22" s="47" t="n">
        <v>29</v>
      </c>
    </row>
    <row r="23" customFormat="false" ht="15" hidden="false" customHeight="true" outlineLevel="0" collapsed="false">
      <c r="C23" s="49"/>
    </row>
    <row r="24" customFormat="false" ht="15" hidden="false" customHeight="true" outlineLevel="0" collapsed="false">
      <c r="C24" s="49"/>
    </row>
    <row r="25" customFormat="false" ht="15" hidden="false" customHeight="true" outlineLevel="0" collapsed="false">
      <c r="C25" s="49"/>
    </row>
    <row r="26" customFormat="false" ht="15" hidden="false" customHeight="true" outlineLevel="0" collapsed="false">
      <c r="C26" s="49"/>
    </row>
    <row r="27" customFormat="false" ht="15" hidden="false" customHeight="true" outlineLevel="0" collapsed="false">
      <c r="C27" s="49"/>
    </row>
    <row r="28" customFormat="false" ht="15" hidden="false" customHeight="true" outlineLevel="0" collapsed="false">
      <c r="C28" s="49"/>
    </row>
    <row r="29" customFormat="false" ht="15" hidden="false" customHeight="true" outlineLevel="0" collapsed="false">
      <c r="C29" s="49"/>
    </row>
    <row r="30" customFormat="false" ht="15" hidden="false" customHeight="true" outlineLevel="0" collapsed="false">
      <c r="C30" s="49"/>
    </row>
    <row r="31" customFormat="false" ht="15" hidden="false" customHeight="true" outlineLevel="0" collapsed="false">
      <c r="C31" s="49"/>
    </row>
    <row r="32" customFormat="false" ht="15" hidden="false" customHeight="true" outlineLevel="0" collapsed="false">
      <c r="C32" s="49"/>
      <c r="D32" s="49"/>
    </row>
    <row r="33" customFormat="false" ht="15" hidden="false" customHeight="true" outlineLevel="0" collapsed="false">
      <c r="C33" s="49"/>
    </row>
    <row r="34" customFormat="false" ht="15" hidden="false" customHeight="true" outlineLevel="0" collapsed="false">
      <c r="C34" s="49"/>
    </row>
    <row r="35" customFormat="false" ht="15" hidden="false" customHeight="true" outlineLevel="0" collapsed="false">
      <c r="C35" s="49"/>
    </row>
    <row r="36" customFormat="false" ht="15" hidden="false" customHeight="true" outlineLevel="0" collapsed="false">
      <c r="C36" s="49"/>
    </row>
    <row r="37" customFormat="false" ht="15" hidden="false" customHeight="true" outlineLevel="0" collapsed="false">
      <c r="C37" s="49"/>
    </row>
    <row r="38" customFormat="false" ht="15" hidden="false" customHeight="true" outlineLevel="0" collapsed="false">
      <c r="C38" s="49"/>
    </row>
    <row r="39" customFormat="false" ht="15" hidden="false" customHeight="false" outlineLevel="0" collapsed="false">
      <c r="C39" s="49"/>
    </row>
    <row r="40" customFormat="false" ht="15" hidden="false" customHeight="false" outlineLevel="0" collapsed="false">
      <c r="C40" s="49"/>
    </row>
    <row r="41" customFormat="false" ht="15" hidden="false" customHeight="false" outlineLevel="0" collapsed="false">
      <c r="C41" s="49"/>
    </row>
    <row r="42" customFormat="false" ht="15" hidden="false" customHeight="false" outlineLevel="0" collapsed="false">
      <c r="C42" s="49"/>
    </row>
    <row r="43" customFormat="false" ht="15" hidden="false" customHeight="false" outlineLevel="0" collapsed="false">
      <c r="C43" s="49"/>
    </row>
    <row r="44" customFormat="false" ht="15" hidden="false" customHeight="false" outlineLevel="0" collapsed="false">
      <c r="C44" s="49"/>
    </row>
    <row r="45" customFormat="false" ht="15" hidden="false" customHeight="false" outlineLevel="0" collapsed="false">
      <c r="C45" s="49"/>
    </row>
    <row r="46" customFormat="false" ht="15" hidden="false" customHeight="false" outlineLevel="0" collapsed="false">
      <c r="C46" s="49"/>
    </row>
    <row r="47" customFormat="false" ht="15" hidden="false" customHeight="false" outlineLevel="0" collapsed="false">
      <c r="C47" s="49"/>
    </row>
    <row r="48" customFormat="false" ht="15" hidden="false" customHeight="false" outlineLevel="0" collapsed="false">
      <c r="C48" s="49"/>
    </row>
    <row r="49" customFormat="false" ht="15" hidden="false" customHeight="false" outlineLevel="0" collapsed="false">
      <c r="C49" s="49"/>
    </row>
    <row r="50" customFormat="false" ht="15" hidden="false" customHeight="false" outlineLevel="0" collapsed="false">
      <c r="C50" s="49"/>
    </row>
    <row r="51" customFormat="false" ht="15" hidden="false" customHeight="false" outlineLevel="0" collapsed="false">
      <c r="C51" s="49"/>
    </row>
    <row r="52" customFormat="false" ht="15" hidden="false" customHeight="false" outlineLevel="0" collapsed="false">
      <c r="C52" s="49"/>
    </row>
    <row r="53" customFormat="false" ht="15" hidden="false" customHeight="false" outlineLevel="0" collapsed="false">
      <c r="C53" s="49"/>
    </row>
    <row r="54" customFormat="false" ht="15" hidden="false" customHeight="false" outlineLevel="0" collapsed="false">
      <c r="C54" s="49"/>
    </row>
    <row r="55" customFormat="false" ht="15" hidden="false" customHeight="false" outlineLevel="0" collapsed="false">
      <c r="C55" s="49"/>
    </row>
    <row r="56" customFormat="false" ht="15" hidden="false" customHeight="false" outlineLevel="0" collapsed="false">
      <c r="C56" s="49"/>
    </row>
    <row r="57" customFormat="false" ht="15" hidden="false" customHeight="false" outlineLevel="0" collapsed="false">
      <c r="C57" s="49"/>
    </row>
    <row r="58" customFormat="false" ht="15" hidden="false" customHeight="false" outlineLevel="0" collapsed="false">
      <c r="C58" s="49"/>
    </row>
    <row r="59" customFormat="false" ht="15" hidden="false" customHeight="false" outlineLevel="0" collapsed="false">
      <c r="C59" s="49"/>
    </row>
    <row r="60" customFormat="false" ht="15" hidden="false" customHeight="false" outlineLevel="0" collapsed="false">
      <c r="C60" s="49"/>
    </row>
    <row r="61" customFormat="false" ht="15" hidden="false" customHeight="false" outlineLevel="0" collapsed="false">
      <c r="C61" s="49"/>
    </row>
    <row r="62" customFormat="false" ht="15" hidden="false" customHeight="false" outlineLevel="0" collapsed="false">
      <c r="C62" s="49"/>
    </row>
    <row r="63" customFormat="false" ht="15" hidden="false" customHeight="false" outlineLevel="0" collapsed="false">
      <c r="C63" s="49"/>
    </row>
    <row r="64" customFormat="false" ht="15" hidden="false" customHeight="false" outlineLevel="0" collapsed="false">
      <c r="C64" s="49"/>
    </row>
    <row r="65" customFormat="false" ht="15" hidden="false" customHeight="false" outlineLevel="0" collapsed="false">
      <c r="C65" s="49"/>
    </row>
    <row r="66" customFormat="false" ht="15" hidden="false" customHeight="false" outlineLevel="0" collapsed="false">
      <c r="C66" s="49"/>
    </row>
    <row r="67" customFormat="false" ht="15" hidden="false" customHeight="false" outlineLevel="0" collapsed="false">
      <c r="C67" s="49"/>
    </row>
    <row r="68" customFormat="false" ht="15" hidden="false" customHeight="false" outlineLevel="0" collapsed="false">
      <c r="C68" s="49"/>
    </row>
    <row r="69" customFormat="false" ht="15" hidden="false" customHeight="false" outlineLevel="0" collapsed="false">
      <c r="C69" s="49"/>
    </row>
    <row r="70" customFormat="false" ht="15" hidden="false" customHeight="false" outlineLevel="0" collapsed="false">
      <c r="C70" s="49"/>
    </row>
    <row r="71" customFormat="false" ht="15" hidden="false" customHeight="false" outlineLevel="0" collapsed="false">
      <c r="C71" s="49"/>
    </row>
    <row r="72" customFormat="false" ht="15" hidden="false" customHeight="false" outlineLevel="0" collapsed="false">
      <c r="C72" s="49"/>
    </row>
    <row r="73" customFormat="false" ht="15" hidden="false" customHeight="false" outlineLevel="0" collapsed="false">
      <c r="C73" s="49"/>
    </row>
    <row r="74" customFormat="false" ht="15" hidden="false" customHeight="false" outlineLevel="0" collapsed="false">
      <c r="C74" s="49"/>
    </row>
    <row r="75" customFormat="false" ht="15" hidden="false" customHeight="false" outlineLevel="0" collapsed="false">
      <c r="C75" s="49"/>
    </row>
    <row r="76" customFormat="false" ht="15" hidden="false" customHeight="false" outlineLevel="0" collapsed="false">
      <c r="C76" s="49"/>
    </row>
    <row r="77" customFormat="false" ht="15" hidden="false" customHeight="false" outlineLevel="0" collapsed="false">
      <c r="C77" s="49"/>
    </row>
    <row r="78" customFormat="false" ht="15" hidden="false" customHeight="false" outlineLevel="0" collapsed="false">
      <c r="C78" s="49"/>
    </row>
    <row r="79" customFormat="false" ht="15" hidden="false" customHeight="false" outlineLevel="0" collapsed="false">
      <c r="C79" s="49"/>
    </row>
    <row r="80" customFormat="false" ht="15" hidden="false" customHeight="false" outlineLevel="0" collapsed="false">
      <c r="C80" s="49"/>
    </row>
    <row r="81" customFormat="false" ht="15" hidden="false" customHeight="false" outlineLevel="0" collapsed="false">
      <c r="C81" s="49"/>
    </row>
    <row r="82" customFormat="false" ht="15" hidden="false" customHeight="false" outlineLevel="0" collapsed="false">
      <c r="C82" s="49"/>
    </row>
    <row r="83" customFormat="false" ht="15" hidden="false" customHeight="false" outlineLevel="0" collapsed="false">
      <c r="C83" s="49"/>
    </row>
    <row r="84" customFormat="false" ht="15" hidden="false" customHeight="false" outlineLevel="0" collapsed="false">
      <c r="C84" s="49"/>
    </row>
    <row r="85" customFormat="false" ht="15" hidden="false" customHeight="false" outlineLevel="0" collapsed="false">
      <c r="C85" s="49"/>
    </row>
    <row r="86" customFormat="false" ht="15" hidden="false" customHeight="false" outlineLevel="0" collapsed="false">
      <c r="C86" s="49"/>
    </row>
    <row r="87" customFormat="false" ht="15" hidden="false" customHeight="false" outlineLevel="0" collapsed="false">
      <c r="C87" s="49"/>
    </row>
    <row r="88" customFormat="false" ht="15" hidden="false" customHeight="false" outlineLevel="0" collapsed="false">
      <c r="C88" s="49"/>
    </row>
    <row r="89" customFormat="false" ht="15" hidden="false" customHeight="false" outlineLevel="0" collapsed="false">
      <c r="C89" s="49"/>
      <c r="D89" s="49"/>
    </row>
    <row r="90" customFormat="false" ht="15" hidden="false" customHeight="false" outlineLevel="0" collapsed="false">
      <c r="C90" s="49"/>
    </row>
    <row r="91" customFormat="false" ht="15" hidden="false" customHeight="false" outlineLevel="0" collapsed="false">
      <c r="C91" s="49"/>
    </row>
    <row r="92" customFormat="false" ht="15" hidden="false" customHeight="false" outlineLevel="0" collapsed="false">
      <c r="C92" s="49"/>
    </row>
    <row r="93" customFormat="false" ht="15" hidden="false" customHeight="false" outlineLevel="0" collapsed="false">
      <c r="C93" s="49"/>
    </row>
    <row r="94" customFormat="false" ht="15" hidden="false" customHeight="false" outlineLevel="0" collapsed="false">
      <c r="C94" s="49"/>
    </row>
    <row r="95" customFormat="false" ht="15" hidden="false" customHeight="false" outlineLevel="0" collapsed="false">
      <c r="C95" s="49"/>
    </row>
    <row r="96" customFormat="false" ht="15" hidden="false" customHeight="false" outlineLevel="0" collapsed="false">
      <c r="C96" s="49"/>
    </row>
    <row r="97" customFormat="false" ht="15" hidden="false" customHeight="false" outlineLevel="0" collapsed="false">
      <c r="C97" s="49"/>
    </row>
    <row r="98" customFormat="false" ht="15" hidden="false" customHeight="false" outlineLevel="0" collapsed="false">
      <c r="C98" s="49"/>
    </row>
    <row r="99" customFormat="false" ht="15" hidden="false" customHeight="false" outlineLevel="0" collapsed="false">
      <c r="C99" s="49"/>
    </row>
    <row r="100" customFormat="false" ht="15" hidden="false" customHeight="false" outlineLevel="0" collapsed="false">
      <c r="C100" s="49"/>
    </row>
    <row r="101" customFormat="false" ht="15" hidden="false" customHeight="false" outlineLevel="0" collapsed="false">
      <c r="C101" s="49"/>
    </row>
    <row r="102" customFormat="false" ht="15" hidden="false" customHeight="false" outlineLevel="0" collapsed="false">
      <c r="C102" s="49"/>
    </row>
    <row r="103" customFormat="false" ht="15" hidden="false" customHeight="false" outlineLevel="0" collapsed="false">
      <c r="C103" s="49"/>
      <c r="D103" s="49"/>
    </row>
    <row r="104" customFormat="false" ht="15" hidden="false" customHeight="false" outlineLevel="0" collapsed="false">
      <c r="C104" s="49"/>
    </row>
    <row r="105" customFormat="false" ht="15" hidden="false" customHeight="false" outlineLevel="0" collapsed="false">
      <c r="C105" s="49"/>
    </row>
    <row r="106" customFormat="false" ht="15" hidden="false" customHeight="false" outlineLevel="0" collapsed="false">
      <c r="C106" s="49"/>
    </row>
    <row r="107" customFormat="false" ht="15" hidden="false" customHeight="false" outlineLevel="0" collapsed="false">
      <c r="C107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0"/>
  <sheetViews>
    <sheetView showFormulas="false" showGridLines="true" showRowColHeaders="true" showZeros="true" rightToLeft="false" tabSelected="false" showOutlineSymbols="true" defaultGridColor="true" view="normal" topLeftCell="C1" colorId="64" zoomScale="200" zoomScaleNormal="200" zoomScalePageLayoutView="100" workbookViewId="0">
      <selection pane="topLeft" activeCell="G6" activeCellId="1" sqref="X1:X41 G6"/>
    </sheetView>
  </sheetViews>
  <sheetFormatPr defaultColWidth="11" defaultRowHeight="15" customHeight="true" zeroHeight="false" outlineLevelRow="0" outlineLevelCol="0"/>
  <cols>
    <col collapsed="false" customWidth="true" hidden="false" outlineLevel="0" max="3" min="3" style="0" width="64.15"/>
    <col collapsed="false" customWidth="true" hidden="false" outlineLevel="0" max="4" min="4" style="0" width="13"/>
    <col collapsed="false" customWidth="true" hidden="false" outlineLevel="0" max="5" min="5" style="0" width="12.84"/>
    <col collapsed="false" customWidth="true" hidden="false" outlineLevel="0" max="7" min="7" style="0" width="9"/>
    <col collapsed="false" customWidth="true" hidden="false" outlineLevel="0" max="11" min="11" style="0" width="13.84"/>
  </cols>
  <sheetData>
    <row r="2" customFormat="false" ht="17.15" hidden="false" customHeight="false" outlineLevel="0" collapsed="false">
      <c r="A2" s="50" t="s">
        <v>83</v>
      </c>
      <c r="B2" s="51"/>
      <c r="C2" s="52" t="s">
        <v>84</v>
      </c>
      <c r="E2" s="51"/>
      <c r="F2" s="51"/>
      <c r="G2" s="51"/>
      <c r="H2" s="51"/>
      <c r="I2" s="51"/>
      <c r="J2" s="51"/>
    </row>
    <row r="3" customFormat="false" ht="16.15" hidden="false" customHeight="false" outlineLevel="0" collapsed="false">
      <c r="C3" s="53"/>
    </row>
    <row r="4" customFormat="false" ht="16.15" hidden="false" customHeight="false" outlineLevel="0" collapsed="false">
      <c r="C4" s="53"/>
    </row>
    <row r="5" customFormat="false" ht="48.5" hidden="false" customHeight="false" outlineLevel="0" collapsed="false">
      <c r="C5" s="54" t="s">
        <v>85</v>
      </c>
      <c r="G5" s="0" t="n">
        <v>20</v>
      </c>
    </row>
    <row r="6" customFormat="false" ht="15" hidden="false" customHeight="false" outlineLevel="0" collapsed="false">
      <c r="C6" s="55" t="s">
        <v>86</v>
      </c>
      <c r="D6" s="55"/>
      <c r="F6" s="0" t="s">
        <v>87</v>
      </c>
      <c r="G6" s="0" t="n">
        <f aca="false">$D9+$D10*G5+($D11*(G5^2))+($D12*(G5^3))+($D13*(G5^4))+($D14*(G5^5))</f>
        <v>47.8932928</v>
      </c>
      <c r="I6" s="55"/>
    </row>
    <row r="7" customFormat="false" ht="16.15" hidden="false" customHeight="false" outlineLevel="0" collapsed="false">
      <c r="C7" s="53" t="s">
        <v>88</v>
      </c>
    </row>
    <row r="9" customFormat="false" ht="16.15" hidden="false" customHeight="false" outlineLevel="0" collapsed="false">
      <c r="C9" s="53" t="s">
        <v>89</v>
      </c>
      <c r="D9" s="0" t="n">
        <v>29.05128</v>
      </c>
      <c r="I9" s="53"/>
    </row>
    <row r="10" customFormat="false" ht="16.15" hidden="false" customHeight="false" outlineLevel="0" collapsed="false">
      <c r="C10" s="53" t="s">
        <v>90</v>
      </c>
      <c r="D10" s="0" t="n">
        <v>0.88082</v>
      </c>
      <c r="I10" s="53"/>
    </row>
    <row r="11" customFormat="false" ht="16.15" hidden="false" customHeight="false" outlineLevel="0" collapsed="false">
      <c r="C11" s="53" t="s">
        <v>91</v>
      </c>
      <c r="D11" s="0" t="n">
        <v>-0.000198312</v>
      </c>
      <c r="I11" s="53"/>
    </row>
    <row r="12" customFormat="false" ht="16.15" hidden="false" customHeight="false" outlineLevel="0" collapsed="false">
      <c r="C12" s="53" t="s">
        <v>92</v>
      </c>
      <c r="D12" s="0" t="n">
        <v>0.00033363</v>
      </c>
      <c r="I12" s="53"/>
    </row>
    <row r="13" customFormat="false" ht="16.15" hidden="false" customHeight="false" outlineLevel="0" collapsed="false">
      <c r="C13" s="53" t="s">
        <v>93</v>
      </c>
      <c r="D13" s="0" t="n">
        <v>-1.0776E-005</v>
      </c>
      <c r="I13" s="53"/>
    </row>
    <row r="14" customFormat="false" ht="16.15" hidden="false" customHeight="false" outlineLevel="0" collapsed="false">
      <c r="C14" s="53" t="s">
        <v>94</v>
      </c>
      <c r="D14" s="0" t="n">
        <v>1.12518E-007</v>
      </c>
      <c r="I14" s="53"/>
    </row>
    <row r="16" customFormat="false" ht="17.15" hidden="false" customHeight="false" outlineLevel="0" collapsed="false">
      <c r="C16" s="53" t="s">
        <v>95</v>
      </c>
    </row>
    <row r="17" customFormat="false" ht="15" hidden="false" customHeight="false" outlineLevel="0" collapsed="false">
      <c r="C17" s="55" t="s">
        <v>96</v>
      </c>
      <c r="D17" s="55"/>
    </row>
    <row r="18" customFormat="false" ht="111.15" hidden="false" customHeight="false" outlineLevel="0" collapsed="false">
      <c r="C18" s="54" t="s">
        <v>97</v>
      </c>
    </row>
    <row r="19" customFormat="false" ht="15" hidden="false" customHeight="false" outlineLevel="0" collapsed="false">
      <c r="C19" s="56" t="s">
        <v>98</v>
      </c>
      <c r="D19" s="55"/>
    </row>
    <row r="20" customFormat="false" ht="16.5" hidden="false" customHeight="false" outlineLevel="0" collapsed="false">
      <c r="C20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6"/>
  <sheetViews>
    <sheetView showFormulas="false" showGridLines="true" showRowColHeaders="true" showZeros="true" rightToLeft="false" tabSelected="false" showOutlineSymbols="true" defaultGridColor="true" view="normal" topLeftCell="H1" colorId="64" zoomScale="200" zoomScaleNormal="200" zoomScalePageLayoutView="100" workbookViewId="0">
      <selection pane="topLeft" activeCell="J25" activeCellId="1" sqref="X1:X41 J25"/>
    </sheetView>
  </sheetViews>
  <sheetFormatPr defaultColWidth="11" defaultRowHeight="15" customHeight="true" zeroHeight="false" outlineLevelRow="0" outlineLevelCol="0"/>
  <cols>
    <col collapsed="false" customWidth="true" hidden="false" outlineLevel="0" max="4" min="4" style="0" width="12.69"/>
    <col collapsed="false" customWidth="true" hidden="false" outlineLevel="0" max="8" min="8" style="0" width="13"/>
    <col collapsed="false" customWidth="true" hidden="false" outlineLevel="0" max="9" min="9" style="0" width="12.69"/>
    <col collapsed="false" customWidth="true" hidden="false" outlineLevel="0" max="10" min="10" style="0" width="15.69"/>
    <col collapsed="false" customWidth="true" hidden="false" outlineLevel="0" max="12" min="12" style="0" width="10.15"/>
    <col collapsed="false" customWidth="true" hidden="false" outlineLevel="0" max="13" min="13" style="0" width="12.47"/>
    <col collapsed="false" customWidth="true" hidden="false" outlineLevel="0" max="14" min="14" style="0" width="14.31"/>
    <col collapsed="false" customWidth="true" hidden="false" outlineLevel="0" max="15" min="15" style="0" width="12"/>
  </cols>
  <sheetData>
    <row r="2" customFormat="false" ht="15" hidden="false" customHeight="false" outlineLevel="0" collapsed="false">
      <c r="F2" s="0" t="s">
        <v>99</v>
      </c>
    </row>
    <row r="3" customFormat="false" ht="15" hidden="false" customHeight="false" outlineLevel="0" collapsed="false">
      <c r="A3" s="0" t="s">
        <v>100</v>
      </c>
      <c r="F3" s="0" t="s">
        <v>101</v>
      </c>
      <c r="H3" s="0" t="s">
        <v>102</v>
      </c>
      <c r="I3" s="0" t="s">
        <v>103</v>
      </c>
      <c r="L3" s="0" t="s">
        <v>104</v>
      </c>
    </row>
    <row r="4" customFormat="false" ht="15" hidden="false" customHeight="false" outlineLevel="0" collapsed="false">
      <c r="D4" s="0" t="n">
        <v>50</v>
      </c>
      <c r="H4" s="0" t="n">
        <v>9.997</v>
      </c>
      <c r="I4" s="0" t="n">
        <v>1.33496</v>
      </c>
      <c r="J4" s="0" t="n">
        <v>1.33498</v>
      </c>
      <c r="K4" s="0" t="n">
        <v>1.33496</v>
      </c>
      <c r="L4" s="0" t="n">
        <f aca="false">AVERAGE(I4:K4)</f>
        <v>1.33496666666667</v>
      </c>
    </row>
    <row r="5" customFormat="false" ht="15" hidden="false" customHeight="false" outlineLevel="0" collapsed="false">
      <c r="A5" s="57"/>
      <c r="B5" s="57" t="n">
        <v>0</v>
      </c>
      <c r="C5" s="57" t="n">
        <v>34.993</v>
      </c>
      <c r="D5" s="48" t="s">
        <v>105</v>
      </c>
      <c r="E5" s="48" t="s">
        <v>106</v>
      </c>
      <c r="F5" s="0" t="s">
        <v>107</v>
      </c>
      <c r="H5" s="0" t="n">
        <v>30</v>
      </c>
      <c r="I5" s="0" t="n">
        <v>1.3386</v>
      </c>
      <c r="J5" s="0" t="n">
        <v>1.3386</v>
      </c>
      <c r="K5" s="0" t="n">
        <v>1.33863</v>
      </c>
      <c r="L5" s="0" t="n">
        <f aca="false">AVERAGE(I5:K5)</f>
        <v>1.33861</v>
      </c>
    </row>
    <row r="6" customFormat="false" ht="15" hidden="false" customHeight="false" outlineLevel="0" collapsed="false">
      <c r="A6" s="57" t="n">
        <f aca="false">0</f>
        <v>0</v>
      </c>
      <c r="B6" s="47" t="n">
        <v>1</v>
      </c>
      <c r="C6" s="47" t="n">
        <v>0</v>
      </c>
      <c r="D6" s="58" t="n">
        <f aca="false">B6*$D$4</f>
        <v>50</v>
      </c>
      <c r="E6" s="58" t="n">
        <f aca="false">$D$4-D6</f>
        <v>0</v>
      </c>
      <c r="F6" s="49" t="n">
        <v>0</v>
      </c>
      <c r="H6" s="0" t="n">
        <v>34.993</v>
      </c>
      <c r="I6" s="0" t="n">
        <v>1.33958</v>
      </c>
      <c r="J6" s="0" t="n">
        <v>1.3396</v>
      </c>
      <c r="K6" s="0" t="n">
        <v>1.33958</v>
      </c>
      <c r="L6" s="0" t="n">
        <f aca="false">AVERAGE(I6:K6)</f>
        <v>1.33958666666667</v>
      </c>
    </row>
    <row r="7" customFormat="false" ht="15" hidden="false" customHeight="false" outlineLevel="0" collapsed="false">
      <c r="A7" s="57" t="n">
        <v>2</v>
      </c>
      <c r="B7" s="58" t="n">
        <f aca="false">1-C7</f>
        <v>0.942845711999543</v>
      </c>
      <c r="C7" s="58" t="n">
        <f aca="false">A7/$C$5</f>
        <v>0.0571542880004572</v>
      </c>
      <c r="D7" s="58" t="n">
        <f aca="false">B7*$D$4</f>
        <v>47.1422855999771</v>
      </c>
      <c r="E7" s="58" t="n">
        <f aca="false">$D$4-D7</f>
        <v>2.85771440002286</v>
      </c>
      <c r="F7" s="49" t="n">
        <v>3</v>
      </c>
      <c r="H7" s="0" t="n">
        <v>37.999</v>
      </c>
      <c r="I7" s="0" t="n">
        <v>1.34015</v>
      </c>
      <c r="J7" s="0" t="n">
        <v>1.34013</v>
      </c>
      <c r="K7" s="0" t="n">
        <v>1.34011</v>
      </c>
      <c r="L7" s="0" t="n">
        <f aca="false">AVERAGE(I7:K7)</f>
        <v>1.34013</v>
      </c>
    </row>
    <row r="8" customFormat="false" ht="15" hidden="false" customHeight="false" outlineLevel="0" collapsed="false">
      <c r="A8" s="57" t="n">
        <v>5</v>
      </c>
      <c r="B8" s="58" t="n">
        <f aca="false">1-C8</f>
        <v>0.857114279998857</v>
      </c>
      <c r="C8" s="58" t="n">
        <f aca="false">A8/$C$5</f>
        <v>0.142885720001143</v>
      </c>
      <c r="D8" s="58" t="n">
        <f aca="false">B8*$D$4</f>
        <v>42.8557139999428</v>
      </c>
      <c r="E8" s="58" t="n">
        <f aca="false">$D$4-D8</f>
        <v>7.14428600005716</v>
      </c>
      <c r="F8" s="49" t="n">
        <v>3.57</v>
      </c>
      <c r="H8" s="0" t="n">
        <v>9.997</v>
      </c>
      <c r="I8" s="0" t="n">
        <v>1.33491</v>
      </c>
      <c r="J8" s="0" t="n">
        <v>1.33491</v>
      </c>
      <c r="K8" s="0" t="n">
        <v>1.33491</v>
      </c>
      <c r="L8" s="0" t="n">
        <f aca="false">AVERAGE(I8:K8)</f>
        <v>1.33491</v>
      </c>
    </row>
    <row r="9" customFormat="false" ht="15" hidden="false" customHeight="false" outlineLevel="0" collapsed="false">
      <c r="A9" s="57" t="n">
        <v>10</v>
      </c>
      <c r="B9" s="58" t="n">
        <f aca="false">1-C9</f>
        <v>0.714228559997714</v>
      </c>
      <c r="C9" s="58" t="n">
        <f aca="false">A9/$C$5</f>
        <v>0.285771440002286</v>
      </c>
      <c r="D9" s="58" t="n">
        <f aca="false">B9*$D$4</f>
        <v>35.7114279998857</v>
      </c>
      <c r="E9" s="58" t="n">
        <f aca="false">$D$4-D9</f>
        <v>14.2885720001143</v>
      </c>
      <c r="F9" s="49"/>
    </row>
    <row r="10" customFormat="false" ht="15" hidden="false" customHeight="false" outlineLevel="0" collapsed="false">
      <c r="A10" s="57" t="n">
        <v>25</v>
      </c>
      <c r="B10" s="58" t="n">
        <f aca="false">1-C10</f>
        <v>0.285571399994285</v>
      </c>
      <c r="C10" s="58" t="n">
        <f aca="false">A10/$C$5</f>
        <v>0.714428600005715</v>
      </c>
      <c r="D10" s="58" t="n">
        <f aca="false">B10*$D$4</f>
        <v>14.2785699997142</v>
      </c>
      <c r="E10" s="58" t="n">
        <f aca="false">$D$4-D10</f>
        <v>35.7214300002858</v>
      </c>
      <c r="F10" s="49"/>
      <c r="H10" s="0" t="s">
        <v>108</v>
      </c>
      <c r="I10" s="0" t="n">
        <f aca="false">SLOPE(L4:L8,H4:H8)</f>
        <v>0.000185330433805079</v>
      </c>
      <c r="J10" s="0" t="s">
        <v>109</v>
      </c>
      <c r="K10" s="0" t="n">
        <v>34.993</v>
      </c>
    </row>
    <row r="11" customFormat="false" ht="15" hidden="false" customHeight="false" outlineLevel="0" collapsed="false">
      <c r="A11" s="57" t="n">
        <v>35</v>
      </c>
      <c r="B11" s="58" t="n">
        <f aca="false">1-C11</f>
        <v>-0.000200040008001556</v>
      </c>
      <c r="C11" s="58" t="n">
        <f aca="false">A11/$C$5</f>
        <v>1.000200040008</v>
      </c>
      <c r="D11" s="58" t="n">
        <v>0</v>
      </c>
      <c r="E11" s="58" t="n">
        <f aca="false">$D$4-D11</f>
        <v>50</v>
      </c>
      <c r="H11" s="0" t="s">
        <v>110</v>
      </c>
      <c r="I11" s="0" t="n">
        <f aca="false">INTERCEPT(L4:L8,H4:H8)</f>
        <v>1.33308205692028</v>
      </c>
    </row>
    <row r="12" s="51" customFormat="true" ht="15" hidden="false" customHeight="false" outlineLevel="0" collapsed="false">
      <c r="A12" s="0"/>
      <c r="B12" s="0"/>
      <c r="C12" s="0"/>
      <c r="D12" s="0"/>
      <c r="E12" s="0"/>
      <c r="F12" s="0"/>
      <c r="G12" s="0"/>
      <c r="H12" s="0" t="s">
        <v>111</v>
      </c>
      <c r="I12" s="0" t="n">
        <f aca="false">RSQ(L4:L8,H4:H8)</f>
        <v>0.999880232396166</v>
      </c>
      <c r="J12" s="0"/>
      <c r="K12" s="0"/>
      <c r="L12" s="0"/>
      <c r="M12" s="0"/>
      <c r="N12" s="0"/>
      <c r="O12" s="0"/>
      <c r="P12" s="0"/>
    </row>
    <row r="13" customFormat="false" ht="15" hidden="false" customHeight="false" outlineLevel="0" collapsed="false">
      <c r="D13" s="0" t="s">
        <v>112</v>
      </c>
      <c r="E13" s="59" t="n">
        <f aca="false">SUM(E6:E11)</f>
        <v>110.01200240048</v>
      </c>
    </row>
    <row r="14" customFormat="false" ht="46.5" hidden="false" customHeight="true" outlineLevel="0" collapsed="false">
      <c r="A14" s="51"/>
      <c r="B14" s="51"/>
      <c r="C14" s="51"/>
      <c r="D14" s="51"/>
      <c r="E14" s="51"/>
      <c r="F14" s="51"/>
      <c r="G14" s="51"/>
      <c r="H14" s="45" t="s">
        <v>113</v>
      </c>
      <c r="I14" s="45" t="s">
        <v>113</v>
      </c>
      <c r="J14" s="45" t="s">
        <v>113</v>
      </c>
      <c r="K14" s="45" t="s">
        <v>104</v>
      </c>
      <c r="L14" s="45" t="s">
        <v>53</v>
      </c>
      <c r="M14" s="60" t="s">
        <v>4</v>
      </c>
      <c r="N14" s="60" t="s">
        <v>114</v>
      </c>
      <c r="O14" s="45" t="s">
        <v>115</v>
      </c>
      <c r="P14" s="51" t="s">
        <v>116</v>
      </c>
    </row>
    <row r="15" customFormat="false" ht="15" hidden="false" customHeight="false" outlineLevel="0" collapsed="false">
      <c r="A15" s="0" t="s">
        <v>117</v>
      </c>
      <c r="H15" s="0" t="n">
        <v>1.33335</v>
      </c>
      <c r="I15" s="0" t="n">
        <v>1.33337</v>
      </c>
      <c r="J15" s="0" t="n">
        <v>1.33335</v>
      </c>
      <c r="K15" s="0" t="n">
        <f aca="false">AVERAGE(H15:J15)</f>
        <v>1.33335666666667</v>
      </c>
      <c r="L15" s="61" t="n">
        <f aca="false">(K15-I$11)/I$10</f>
        <v>1.4817304462752</v>
      </c>
      <c r="M15" s="0" t="n">
        <v>3.918</v>
      </c>
      <c r="N15" s="0" t="n">
        <v>20.9</v>
      </c>
      <c r="O15" s="0" t="n">
        <f aca="false">'Temperature Corrections'!$D$9+'Temperature Corrections'!$D$10*$N15+('Temperature Corrections'!$D$11*($N15^2))+('Temperature Corrections'!$D$12*($N15^3))+('Temperature Corrections'!$D$13*($N15^4))+('Temperature Corrections'!$D$14*$N15^5)</f>
        <v>48.8122157767311</v>
      </c>
      <c r="P15" s="0" t="n">
        <f aca="false">M15*O15/'Temperature Corrections'!$G$6</f>
        <v>3.99317420524555</v>
      </c>
    </row>
    <row r="16" customFormat="false" ht="15" hidden="false" customHeight="false" outlineLevel="0" collapsed="false">
      <c r="A16" s="0" t="s">
        <v>118</v>
      </c>
      <c r="H16" s="0" t="n">
        <v>1.33394</v>
      </c>
      <c r="I16" s="0" t="n">
        <v>1.33395</v>
      </c>
      <c r="J16" s="0" t="n">
        <v>1.333976</v>
      </c>
      <c r="K16" s="0" t="n">
        <f aca="false">AVERAGE(H16:J16)</f>
        <v>1.33395533333333</v>
      </c>
      <c r="L16" s="61" t="n">
        <f aca="false">(K16-I$11)/I$10</f>
        <v>4.71199681092452</v>
      </c>
      <c r="M16" s="0" t="n">
        <v>8.899</v>
      </c>
      <c r="N16" s="0" t="n">
        <v>20.9</v>
      </c>
      <c r="O16" s="0" t="n">
        <f aca="false">'Temperature Corrections'!$D$9+'Temperature Corrections'!$D$10*$N16+('Temperature Corrections'!$D$11*($N16^2))+('Temperature Corrections'!$D$12*($N16^3))+('Temperature Corrections'!$D$13*($N16^4))+('Temperature Corrections'!$D$14*$N16^5)</f>
        <v>48.8122157767311</v>
      </c>
      <c r="P16" s="0" t="n">
        <f aca="false">M16*O16/'Temperature Corrections'!$G$6</f>
        <v>9.06974406648294</v>
      </c>
    </row>
    <row r="17" customFormat="false" ht="15" hidden="false" customHeight="false" outlineLevel="0" collapsed="false">
      <c r="A17" s="0" t="s">
        <v>119</v>
      </c>
      <c r="H17" s="0" t="n">
        <v>1.33492</v>
      </c>
      <c r="I17" s="0" t="n">
        <v>1.33492</v>
      </c>
      <c r="J17" s="0" t="n">
        <v>1.33491</v>
      </c>
      <c r="K17" s="0" t="n">
        <f aca="false">AVERAGE(H17:J17)</f>
        <v>1.33491666666667</v>
      </c>
      <c r="L17" s="61" t="n">
        <f aca="false">(K17-I$11)/I$10</f>
        <v>9.89912832298192</v>
      </c>
      <c r="M17" s="0" t="n">
        <v>16.8</v>
      </c>
      <c r="N17" s="0" t="n">
        <v>20.9</v>
      </c>
      <c r="O17" s="0" t="n">
        <f aca="false">'Temperature Corrections'!$D$9+'Temperature Corrections'!$D$10*$N17+('Temperature Corrections'!$D$11*($N17^2))+('Temperature Corrections'!$D$12*($N17^3))+('Temperature Corrections'!$D$13*($N17^4))+('Temperature Corrections'!$D$14*$N17^5)</f>
        <v>48.8122157767311</v>
      </c>
      <c r="P17" s="0" t="n">
        <f aca="false">M17*O17/'Temperature Corrections'!$G$6</f>
        <v>17.1223396243301</v>
      </c>
    </row>
    <row r="18" customFormat="false" ht="15" hidden="false" customHeight="false" outlineLevel="0" collapsed="false">
      <c r="H18" s="0" t="n">
        <v>1.33761</v>
      </c>
      <c r="I18" s="0" t="n">
        <v>1.33761</v>
      </c>
      <c r="J18" s="0" t="n">
        <v>1.33759</v>
      </c>
      <c r="K18" s="0" t="n">
        <f aca="false">AVERAGE(H18:J18)</f>
        <v>1.33760333333333</v>
      </c>
      <c r="L18" s="61" t="n">
        <f aca="false">(K18-I$11)/I$10</f>
        <v>24.3957579995315</v>
      </c>
      <c r="M18" s="0" t="n">
        <v>38.01</v>
      </c>
      <c r="N18" s="0" t="n">
        <v>20.9</v>
      </c>
      <c r="O18" s="0" t="n">
        <f aca="false">'Temperature Corrections'!$D$9+'Temperature Corrections'!$D$10*$N18+('Temperature Corrections'!$D$11*($N18^2))+('Temperature Corrections'!$D$12*($N18^3))+('Temperature Corrections'!$D$13*($N18^4))+('Temperature Corrections'!$D$14*$N18^5)</f>
        <v>48.8122157767311</v>
      </c>
      <c r="P18" s="0" t="n">
        <f aca="false">M18*O18/'Temperature Corrections'!$G$6</f>
        <v>38.7392934000468</v>
      </c>
    </row>
    <row r="19" customFormat="false" ht="15" hidden="false" customHeight="false" outlineLevel="0" collapsed="false">
      <c r="H19" s="0" t="n">
        <v>1.33952</v>
      </c>
      <c r="I19" s="0" t="n">
        <v>1.33952</v>
      </c>
      <c r="J19" s="0" t="n">
        <v>1.3395</v>
      </c>
      <c r="K19" s="0" t="n">
        <f aca="false">AVERAGE(H19:J19)</f>
        <v>1.33951333333333</v>
      </c>
      <c r="L19" s="61" t="n">
        <f aca="false">(K19-I$11)/I$10</f>
        <v>34.7016746306279</v>
      </c>
      <c r="M19" s="0" t="n">
        <v>50.85</v>
      </c>
      <c r="N19" s="0" t="n">
        <v>21</v>
      </c>
      <c r="O19" s="0" t="n">
        <f aca="false">'Temperature Corrections'!$D$9+'Temperature Corrections'!$D$10*$N19+('Temperature Corrections'!$D$11*($N19^2))+('Temperature Corrections'!$D$12*($N19^3))+('Temperature Corrections'!$D$13*($N19^4))+('Temperature Corrections'!$D$14*$N19^5)</f>
        <v>48.914599458318</v>
      </c>
      <c r="P19" s="0" t="n">
        <f aca="false">M19*O19/'Temperature Corrections'!$G$6</f>
        <v>51.9343573398125</v>
      </c>
    </row>
    <row r="22" customFormat="false" ht="15" hidden="false" customHeight="false" outlineLevel="0" collapsed="false">
      <c r="H22" s="0" t="s">
        <v>108</v>
      </c>
      <c r="I22" s="0" t="n">
        <f aca="false">SLOPE(M15:M19,L15:L19)</f>
        <v>1.42122974917072</v>
      </c>
      <c r="J22" s="0" t="s">
        <v>109</v>
      </c>
      <c r="K22" s="0" t="n">
        <v>34.9994</v>
      </c>
    </row>
    <row r="23" customFormat="false" ht="15" hidden="false" customHeight="false" outlineLevel="0" collapsed="false">
      <c r="H23" s="0" t="s">
        <v>110</v>
      </c>
      <c r="I23" s="0" t="n">
        <f aca="false">INTERCEPT(M15:M19,L15:L19)</f>
        <v>2.32286510934853</v>
      </c>
      <c r="K23" s="0" t="n">
        <f aca="false">AVERAGE('Data Entry'!Q1:Q5)</f>
        <v>51.9296733701791</v>
      </c>
    </row>
    <row r="24" customFormat="false" ht="15" hidden="false" customHeight="false" outlineLevel="0" collapsed="false">
      <c r="H24" s="0" t="s">
        <v>111</v>
      </c>
      <c r="I24" s="0" t="n">
        <f aca="false">RSQ(M15:M19,L15:L19)</f>
        <v>0.998687589706436</v>
      </c>
    </row>
    <row r="25" customFormat="false" ht="15" hidden="false" customHeight="true" outlineLevel="0" collapsed="false">
      <c r="J25" s="0" t="s">
        <v>120</v>
      </c>
      <c r="K25" s="0" t="n">
        <f aca="false">(K26-I23)/I22</f>
        <v>30.0283152076948</v>
      </c>
    </row>
    <row r="26" customFormat="false" ht="15" hidden="false" customHeight="true" outlineLevel="0" collapsed="false">
      <c r="J26" s="0" t="s">
        <v>121</v>
      </c>
      <c r="K26" s="0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2025-12-10T17:39:40Z</dcterms:created>
  <dc:creator>Rebecca Robinson</dc:creator>
  <dc:description/>
  <dc:language>en-US</dc:language>
  <cp:lastModifiedBy/>
  <dcterms:modified xsi:type="dcterms:W3CDTF">2026-01-28T17:57:47Z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